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Sản phẩm" sheetId="2" state="visible" r:id="rId2"/>
    <sheet name="Nhập kho" sheetId="3" state="visible" r:id="rId3"/>
    <sheet name="Bán hàng" sheetId="4" state="visible" r:id="rId4"/>
    <sheet name="Báo cáo" sheetId="5" state="visible" r:id="rId5"/>
  </sheets>
  <definedNames>
    <definedName name="DS_MASP">'Sản phẩm'!$A$5:$A$304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yyyy-mm-dd"/>
    <numFmt numFmtId="166" formatCode="dd/mm/yyyy"/>
    <numFmt numFmtId="167" formatCode="&quot;Tháng &quot;0"/>
    <numFmt numFmtId="168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0A2D47"/>
      <sz val="16"/>
    </font>
    <font>
      <name val="Arial"/>
      <i val="1"/>
      <color rgb="005B6B80"/>
      <sz val="11"/>
    </font>
    <font>
      <name val="Arial"/>
      <b val="1"/>
      <sz val="11"/>
    </font>
    <font>
      <name val="Arial"/>
      <b val="1"/>
      <color rgb="000A2D47"/>
      <sz val="11"/>
    </font>
    <font>
      <name val="Arial"/>
      <color rgb="00000000"/>
      <sz val="11"/>
    </font>
    <font>
      <name val="Arial"/>
      <color rgb="005B6B80"/>
      <sz val="11"/>
    </font>
    <font>
      <name val="Arial"/>
      <b val="1"/>
      <color rgb="000A2D47"/>
      <sz val="14"/>
    </font>
    <font>
      <name val="Arial"/>
      <i val="1"/>
      <color rgb="005B6B80"/>
      <sz val="10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A2D47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2" borderId="1" pivotButton="0" quotePrefix="0" xfId="0"/>
    <xf numFmtId="164" fontId="10" fillId="2" borderId="1" pivotButton="0" quotePrefix="0" xfId="0"/>
    <xf numFmtId="3" fontId="10" fillId="2" borderId="1" pivotButton="0" quotePrefix="0" xfId="0"/>
    <xf numFmtId="3" fontId="10" fillId="0" borderId="1" pivotButton="0" quotePrefix="0" xfId="0"/>
    <xf numFmtId="0" fontId="10" fillId="0" borderId="1" pivotButton="0" quotePrefix="0" xfId="0"/>
    <xf numFmtId="166" fontId="10" fillId="2" borderId="1" pivotButton="0" quotePrefix="0" xfId="0"/>
    <xf numFmtId="164" fontId="10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167" fontId="10" fillId="0" borderId="1" pivotButton="0" quotePrefix="0" xfId="0"/>
    <xf numFmtId="168" fontId="10" fillId="0" borderId="1" pivotButton="0" quotePrefix="0" xfId="0"/>
    <xf numFmtId="164" fontId="3" fillId="4" borderId="1" pivotButton="0" quotePrefix="0" xfId="0"/>
    <xf numFmtId="168" fontId="3" fillId="4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Quản lý bán hàng shop nhỏ</t>
        </is>
      </c>
    </row>
    <row r="2">
      <c r="A2" s="2" t="inlineStr">
        <is>
          <t>Sản phẩm của Zee Bee · app.zeebee.vn — dùng được bằng Excel (2010 trở lên) hoặc Google Sheets.</t>
        </is>
      </c>
    </row>
    <row r="4">
      <c r="A4" s="3" t="inlineStr">
        <is>
          <t>Ô tô VÀNG = ô bạn nhập. Ô TRẮNG = công thức tự tính, đừng xóa.</t>
        </is>
      </c>
    </row>
    <row r="6">
      <c r="A6" s="4" t="inlineStr">
        <is>
          <t>1. Khai báo sản phẩm</t>
        </is>
      </c>
    </row>
    <row r="7">
      <c r="A7" s="5" t="inlineStr">
        <is>
          <t xml:space="preserve">   Sheet "Sản phẩm": mỗi sản phẩm một dòng — Mã SP (ngắn, không trùng), Tên, Đơn vị, Giá vốn, Giá bán, Tồn đầu kỳ,</t>
        </is>
      </c>
    </row>
    <row r="8">
      <c r="A8" s="5" t="inlineStr">
        <is>
          <t xml:space="preserve">   Mức cảnh báo (tồn bằng hoặc dưới mức này sẽ hiện "Sắp hết"). Cột Nhập / Bán / Tồn hiện tại tự tính.</t>
        </is>
      </c>
    </row>
    <row r="9">
      <c r="A9" s="4" t="inlineStr">
        <is>
          <t>2. Nhập hàng</t>
        </is>
      </c>
    </row>
    <row r="10">
      <c r="A10" s="5" t="inlineStr">
        <is>
          <t xml:space="preserve">   Sheet "Nhập kho": Ngày, Mã SP (chọn), Số lượng, Đơn giá nhập. Tên và thành tiền tự hiện.</t>
        </is>
      </c>
    </row>
    <row r="11">
      <c r="A11" s="4" t="inlineStr">
        <is>
          <t>3. Bán hàng</t>
        </is>
      </c>
    </row>
    <row r="12">
      <c r="A12" s="5" t="inlineStr">
        <is>
          <t xml:space="preserve">   Sheet "Bán hàng": Ngày, Mã đơn, Khách hàng, Mã SP, Số lượng, Giảm giá (nếu có).</t>
        </is>
      </c>
    </row>
    <row r="13">
      <c r="A13" s="5" t="inlineStr">
        <is>
          <t xml:space="preserve">   Giá bán và giá vốn tự lấy từ sheet Sản phẩm; Doanh thu, Tiền vốn, Lãi gộp tự tính.</t>
        </is>
      </c>
    </row>
    <row r="14">
      <c r="A14" s="5" t="inlineStr">
        <is>
          <t xml:space="preserve">   Đơn nhiều sản phẩm: ghi mỗi sản phẩm một dòng, cùng Mã đơn.</t>
        </is>
      </c>
    </row>
    <row r="15">
      <c r="A15" s="4" t="inlineStr">
        <is>
          <t>4. Báo cáo</t>
        </is>
      </c>
    </row>
    <row r="16">
      <c r="A16" s="5" t="inlineStr">
        <is>
          <t xml:space="preserve">   Sheet "Báo cáo": nhập Năm ở ô vàng — xem Doanh thu, Tiền vốn, Lãi gộp, Số lượng bán theo tháng.</t>
        </is>
      </c>
    </row>
    <row r="17">
      <c r="A17" s="4" t="inlineStr">
        <is>
          <t>5. Lưu ý</t>
        </is>
      </c>
    </row>
    <row r="18">
      <c r="A18" s="5" t="inlineStr">
        <is>
          <t xml:space="preserve">   Dòng ví dụ (sản phẩm SP01, SP02 và các dòng nhập/bán mẫu): xóa đi khi bắt đầu dùng thật.</t>
        </is>
      </c>
    </row>
    <row r="19">
      <c r="A19" s="5" t="inlineStr">
        <is>
          <t xml:space="preserve">   Đổi giá bán ở sheet Sản phẩm sẽ ảnh hưởng các dòng bán cũ — muốn giữ giá cũ, ghi vào cột "Giá bán khác".</t>
        </is>
      </c>
    </row>
    <row r="21">
      <c r="A21" s="6" t="inlineStr">
        <is>
          <t>Hỗ trợ: nhắn Zalo cho Seller đã bán sản phẩm cho bạn, hoặc Zalo 0976 094 453.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</cols>
  <sheetData>
    <row r="1">
      <c r="A1" s="7" t="inlineStr">
        <is>
          <t>Danh mục sản phẩm &amp; tồn kho</t>
        </is>
      </c>
    </row>
    <row r="2">
      <c r="A2" s="8" t="inlineStr">
        <is>
          <t>Ô vàng: khai báo. Ô trắng: tự tính.</t>
        </is>
      </c>
    </row>
    <row r="4" ht="32" customHeight="1">
      <c r="A4" s="9" t="inlineStr">
        <is>
          <t>Mã SP</t>
        </is>
      </c>
      <c r="B4" s="9" t="inlineStr">
        <is>
          <t>Tên sản phẩm</t>
        </is>
      </c>
      <c r="C4" s="9" t="inlineStr">
        <is>
          <t>Đơn vị</t>
        </is>
      </c>
      <c r="D4" s="9" t="inlineStr">
        <is>
          <t>Giá vốn (đ)</t>
        </is>
      </c>
      <c r="E4" s="9" t="inlineStr">
        <is>
          <t>Giá bán (đ)</t>
        </is>
      </c>
      <c r="F4" s="9" t="inlineStr">
        <is>
          <t>Tồn đầu kỳ</t>
        </is>
      </c>
      <c r="G4" s="9" t="inlineStr">
        <is>
          <t>Mức cảnh báo</t>
        </is>
      </c>
      <c r="H4" s="9" t="inlineStr">
        <is>
          <t>Đã nhập</t>
        </is>
      </c>
      <c r="I4" s="9" t="inlineStr">
        <is>
          <t>Đã bán</t>
        </is>
      </c>
      <c r="J4" s="9" t="inlineStr">
        <is>
          <t>Tồn hiện tại</t>
        </is>
      </c>
      <c r="K4" s="9" t="inlineStr">
        <is>
          <t>Trạng thái</t>
        </is>
      </c>
    </row>
    <row r="5">
      <c r="A5" s="10" t="inlineStr">
        <is>
          <t>SP01</t>
        </is>
      </c>
      <c r="B5" s="10" t="inlineStr">
        <is>
          <t>Bình gốm men mờ (ví dụ)</t>
        </is>
      </c>
      <c r="C5" s="10" t="inlineStr">
        <is>
          <t>cái</t>
        </is>
      </c>
      <c r="D5" s="11" t="n">
        <v>150000</v>
      </c>
      <c r="E5" s="11" t="n">
        <v>280000</v>
      </c>
      <c r="F5" s="12" t="n">
        <v>10</v>
      </c>
      <c r="G5" s="12" t="n">
        <v>3</v>
      </c>
      <c r="H5" s="13">
        <f>IF(A5="","",SUMIFS('Nhập kho'!$D$5:$D$2004,'Nhập kho'!$B$5:$B$2004,A5))</f>
        <v/>
      </c>
      <c r="I5" s="13">
        <f>IF(A5="","",SUMIFS('Bán hàng'!$F$5:$F$5004,'Bán hàng'!$D$5:$D$5004,A5))</f>
        <v/>
      </c>
      <c r="J5" s="13">
        <f>IF(A5="","",F5+H5-I5)</f>
        <v/>
      </c>
      <c r="K5" s="14">
        <f>IF(A5="","",IF(J5&lt;=0,"Hết hàng",IF(J5&lt;=G5,"Sắp hết","Còn hàng")))</f>
        <v/>
      </c>
    </row>
    <row r="6">
      <c r="A6" s="10" t="inlineStr">
        <is>
          <t>SP02</t>
        </is>
      </c>
      <c r="B6" s="10" t="inlineStr">
        <is>
          <t>Kệ gỗ treo tường (ví dụ)</t>
        </is>
      </c>
      <c r="C6" s="10" t="inlineStr">
        <is>
          <t>cái</t>
        </is>
      </c>
      <c r="D6" s="11" t="n">
        <v>220000</v>
      </c>
      <c r="E6" s="11" t="n">
        <v>450000</v>
      </c>
      <c r="F6" s="12" t="n">
        <v>5</v>
      </c>
      <c r="G6" s="12" t="n">
        <v>2</v>
      </c>
      <c r="H6" s="13">
        <f>IF(A6="","",SUMIFS('Nhập kho'!$D$5:$D$2004,'Nhập kho'!$B$5:$B$2004,A6))</f>
        <v/>
      </c>
      <c r="I6" s="13">
        <f>IF(A6="","",SUMIFS('Bán hàng'!$F$5:$F$5004,'Bán hàng'!$D$5:$D$5004,A6))</f>
        <v/>
      </c>
      <c r="J6" s="13">
        <f>IF(A6="","",F6+H6-I6)</f>
        <v/>
      </c>
      <c r="K6" s="14">
        <f>IF(A6="","",IF(J6&lt;=0,"Hết hàng",IF(J6&lt;=G6,"Sắp hết","Còn hàng")))</f>
        <v/>
      </c>
    </row>
    <row r="7">
      <c r="A7" s="10" t="n"/>
      <c r="B7" s="10" t="n"/>
      <c r="C7" s="10" t="n"/>
      <c r="D7" s="11" t="n"/>
      <c r="E7" s="11" t="n"/>
      <c r="F7" s="12" t="n"/>
      <c r="G7" s="12" t="n"/>
      <c r="H7" s="13">
        <f>IF(A7="","",SUMIFS('Nhập kho'!$D$5:$D$2004,'Nhập kho'!$B$5:$B$2004,A7))</f>
        <v/>
      </c>
      <c r="I7" s="13">
        <f>IF(A7="","",SUMIFS('Bán hàng'!$F$5:$F$5004,'Bán hàng'!$D$5:$D$5004,A7))</f>
        <v/>
      </c>
      <c r="J7" s="13">
        <f>IF(A7="","",F7+H7-I7)</f>
        <v/>
      </c>
      <c r="K7" s="14">
        <f>IF(A7="","",IF(J7&lt;=0,"Hết hàng",IF(J7&lt;=G7,"Sắp hết","Còn hàng")))</f>
        <v/>
      </c>
    </row>
    <row r="8">
      <c r="A8" s="10" t="n"/>
      <c r="B8" s="10" t="n"/>
      <c r="C8" s="10" t="n"/>
      <c r="D8" s="11" t="n"/>
      <c r="E8" s="11" t="n"/>
      <c r="F8" s="12" t="n"/>
      <c r="G8" s="12" t="n"/>
      <c r="H8" s="13">
        <f>IF(A8="","",SUMIFS('Nhập kho'!$D$5:$D$2004,'Nhập kho'!$B$5:$B$2004,A8))</f>
        <v/>
      </c>
      <c r="I8" s="13">
        <f>IF(A8="","",SUMIFS('Bán hàng'!$F$5:$F$5004,'Bán hàng'!$D$5:$D$5004,A8))</f>
        <v/>
      </c>
      <c r="J8" s="13">
        <f>IF(A8="","",F8+H8-I8)</f>
        <v/>
      </c>
      <c r="K8" s="14">
        <f>IF(A8="","",IF(J8&lt;=0,"Hết hàng",IF(J8&lt;=G8,"Sắp hết","Còn hàng")))</f>
        <v/>
      </c>
    </row>
    <row r="9">
      <c r="A9" s="10" t="n"/>
      <c r="B9" s="10" t="n"/>
      <c r="C9" s="10" t="n"/>
      <c r="D9" s="11" t="n"/>
      <c r="E9" s="11" t="n"/>
      <c r="F9" s="12" t="n"/>
      <c r="G9" s="12" t="n"/>
      <c r="H9" s="13">
        <f>IF(A9="","",SUMIFS('Nhập kho'!$D$5:$D$2004,'Nhập kho'!$B$5:$B$2004,A9))</f>
        <v/>
      </c>
      <c r="I9" s="13">
        <f>IF(A9="","",SUMIFS('Bán hàng'!$F$5:$F$5004,'Bán hàng'!$D$5:$D$5004,A9))</f>
        <v/>
      </c>
      <c r="J9" s="13">
        <f>IF(A9="","",F9+H9-I9)</f>
        <v/>
      </c>
      <c r="K9" s="14">
        <f>IF(A9="","",IF(J9&lt;=0,"Hết hàng",IF(J9&lt;=G9,"Sắp hết","Còn hàng")))</f>
        <v/>
      </c>
    </row>
    <row r="10">
      <c r="A10" s="10" t="n"/>
      <c r="B10" s="10" t="n"/>
      <c r="C10" s="10" t="n"/>
      <c r="D10" s="11" t="n"/>
      <c r="E10" s="11" t="n"/>
      <c r="F10" s="12" t="n"/>
      <c r="G10" s="12" t="n"/>
      <c r="H10" s="13">
        <f>IF(A10="","",SUMIFS('Nhập kho'!$D$5:$D$2004,'Nhập kho'!$B$5:$B$2004,A10))</f>
        <v/>
      </c>
      <c r="I10" s="13">
        <f>IF(A10="","",SUMIFS('Bán hàng'!$F$5:$F$5004,'Bán hàng'!$D$5:$D$5004,A10))</f>
        <v/>
      </c>
      <c r="J10" s="13">
        <f>IF(A10="","",F10+H10-I10)</f>
        <v/>
      </c>
      <c r="K10" s="14">
        <f>IF(A10="","",IF(J10&lt;=0,"Hết hàng",IF(J10&lt;=G10,"Sắp hết","Còn hàng")))</f>
        <v/>
      </c>
    </row>
    <row r="11">
      <c r="A11" s="10" t="n"/>
      <c r="B11" s="10" t="n"/>
      <c r="C11" s="10" t="n"/>
      <c r="D11" s="11" t="n"/>
      <c r="E11" s="11" t="n"/>
      <c r="F11" s="12" t="n"/>
      <c r="G11" s="12" t="n"/>
      <c r="H11" s="13">
        <f>IF(A11="","",SUMIFS('Nhập kho'!$D$5:$D$2004,'Nhập kho'!$B$5:$B$2004,A11))</f>
        <v/>
      </c>
      <c r="I11" s="13">
        <f>IF(A11="","",SUMIFS('Bán hàng'!$F$5:$F$5004,'Bán hàng'!$D$5:$D$5004,A11))</f>
        <v/>
      </c>
      <c r="J11" s="13">
        <f>IF(A11="","",F11+H11-I11)</f>
        <v/>
      </c>
      <c r="K11" s="14">
        <f>IF(A11="","",IF(J11&lt;=0,"Hết hàng",IF(J11&lt;=G11,"Sắp hết","Còn hàng")))</f>
        <v/>
      </c>
    </row>
    <row r="12">
      <c r="A12" s="10" t="n"/>
      <c r="B12" s="10" t="n"/>
      <c r="C12" s="10" t="n"/>
      <c r="D12" s="11" t="n"/>
      <c r="E12" s="11" t="n"/>
      <c r="F12" s="12" t="n"/>
      <c r="G12" s="12" t="n"/>
      <c r="H12" s="13">
        <f>IF(A12="","",SUMIFS('Nhập kho'!$D$5:$D$2004,'Nhập kho'!$B$5:$B$2004,A12))</f>
        <v/>
      </c>
      <c r="I12" s="13">
        <f>IF(A12="","",SUMIFS('Bán hàng'!$F$5:$F$5004,'Bán hàng'!$D$5:$D$5004,A12))</f>
        <v/>
      </c>
      <c r="J12" s="13">
        <f>IF(A12="","",F12+H12-I12)</f>
        <v/>
      </c>
      <c r="K12" s="14">
        <f>IF(A12="","",IF(J12&lt;=0,"Hết hàng",IF(J12&lt;=G12,"Sắp hết","Còn hàng")))</f>
        <v/>
      </c>
    </row>
    <row r="13">
      <c r="A13" s="10" t="n"/>
      <c r="B13" s="10" t="n"/>
      <c r="C13" s="10" t="n"/>
      <c r="D13" s="11" t="n"/>
      <c r="E13" s="11" t="n"/>
      <c r="F13" s="12" t="n"/>
      <c r="G13" s="12" t="n"/>
      <c r="H13" s="13">
        <f>IF(A13="","",SUMIFS('Nhập kho'!$D$5:$D$2004,'Nhập kho'!$B$5:$B$2004,A13))</f>
        <v/>
      </c>
      <c r="I13" s="13">
        <f>IF(A13="","",SUMIFS('Bán hàng'!$F$5:$F$5004,'Bán hàng'!$D$5:$D$5004,A13))</f>
        <v/>
      </c>
      <c r="J13" s="13">
        <f>IF(A13="","",F13+H13-I13)</f>
        <v/>
      </c>
      <c r="K13" s="14">
        <f>IF(A13="","",IF(J13&lt;=0,"Hết hàng",IF(J13&lt;=G13,"Sắp hết","Còn hàng")))</f>
        <v/>
      </c>
    </row>
    <row r="14">
      <c r="A14" s="10" t="n"/>
      <c r="B14" s="10" t="n"/>
      <c r="C14" s="10" t="n"/>
      <c r="D14" s="11" t="n"/>
      <c r="E14" s="11" t="n"/>
      <c r="F14" s="12" t="n"/>
      <c r="G14" s="12" t="n"/>
      <c r="H14" s="13">
        <f>IF(A14="","",SUMIFS('Nhập kho'!$D$5:$D$2004,'Nhập kho'!$B$5:$B$2004,A14))</f>
        <v/>
      </c>
      <c r="I14" s="13">
        <f>IF(A14="","",SUMIFS('Bán hàng'!$F$5:$F$5004,'Bán hàng'!$D$5:$D$5004,A14))</f>
        <v/>
      </c>
      <c r="J14" s="13">
        <f>IF(A14="","",F14+H14-I14)</f>
        <v/>
      </c>
      <c r="K14" s="14">
        <f>IF(A14="","",IF(J14&lt;=0,"Hết hàng",IF(J14&lt;=G14,"Sắp hết","Còn hàng")))</f>
        <v/>
      </c>
    </row>
    <row r="15">
      <c r="A15" s="10" t="n"/>
      <c r="B15" s="10" t="n"/>
      <c r="C15" s="10" t="n"/>
      <c r="D15" s="11" t="n"/>
      <c r="E15" s="11" t="n"/>
      <c r="F15" s="12" t="n"/>
      <c r="G15" s="12" t="n"/>
      <c r="H15" s="13">
        <f>IF(A15="","",SUMIFS('Nhập kho'!$D$5:$D$2004,'Nhập kho'!$B$5:$B$2004,A15))</f>
        <v/>
      </c>
      <c r="I15" s="13">
        <f>IF(A15="","",SUMIFS('Bán hàng'!$F$5:$F$5004,'Bán hàng'!$D$5:$D$5004,A15))</f>
        <v/>
      </c>
      <c r="J15" s="13">
        <f>IF(A15="","",F15+H15-I15)</f>
        <v/>
      </c>
      <c r="K15" s="14">
        <f>IF(A15="","",IF(J15&lt;=0,"Hết hàng",IF(J15&lt;=G15,"Sắp hết","Còn hàng")))</f>
        <v/>
      </c>
    </row>
    <row r="16">
      <c r="A16" s="10" t="n"/>
      <c r="B16" s="10" t="n"/>
      <c r="C16" s="10" t="n"/>
      <c r="D16" s="11" t="n"/>
      <c r="E16" s="11" t="n"/>
      <c r="F16" s="12" t="n"/>
      <c r="G16" s="12" t="n"/>
      <c r="H16" s="13">
        <f>IF(A16="","",SUMIFS('Nhập kho'!$D$5:$D$2004,'Nhập kho'!$B$5:$B$2004,A16))</f>
        <v/>
      </c>
      <c r="I16" s="13">
        <f>IF(A16="","",SUMIFS('Bán hàng'!$F$5:$F$5004,'Bán hàng'!$D$5:$D$5004,A16))</f>
        <v/>
      </c>
      <c r="J16" s="13">
        <f>IF(A16="","",F16+H16-I16)</f>
        <v/>
      </c>
      <c r="K16" s="14">
        <f>IF(A16="","",IF(J16&lt;=0,"Hết hàng",IF(J16&lt;=G16,"Sắp hết","Còn hàng")))</f>
        <v/>
      </c>
    </row>
    <row r="17">
      <c r="A17" s="10" t="n"/>
      <c r="B17" s="10" t="n"/>
      <c r="C17" s="10" t="n"/>
      <c r="D17" s="11" t="n"/>
      <c r="E17" s="11" t="n"/>
      <c r="F17" s="12" t="n"/>
      <c r="G17" s="12" t="n"/>
      <c r="H17" s="13">
        <f>IF(A17="","",SUMIFS('Nhập kho'!$D$5:$D$2004,'Nhập kho'!$B$5:$B$2004,A17))</f>
        <v/>
      </c>
      <c r="I17" s="13">
        <f>IF(A17="","",SUMIFS('Bán hàng'!$F$5:$F$5004,'Bán hàng'!$D$5:$D$5004,A17))</f>
        <v/>
      </c>
      <c r="J17" s="13">
        <f>IF(A17="","",F17+H17-I17)</f>
        <v/>
      </c>
      <c r="K17" s="14">
        <f>IF(A17="","",IF(J17&lt;=0,"Hết hàng",IF(J17&lt;=G17,"Sắp hết","Còn hàng")))</f>
        <v/>
      </c>
    </row>
    <row r="18">
      <c r="A18" s="10" t="n"/>
      <c r="B18" s="10" t="n"/>
      <c r="C18" s="10" t="n"/>
      <c r="D18" s="11" t="n"/>
      <c r="E18" s="11" t="n"/>
      <c r="F18" s="12" t="n"/>
      <c r="G18" s="12" t="n"/>
      <c r="H18" s="13">
        <f>IF(A18="","",SUMIFS('Nhập kho'!$D$5:$D$2004,'Nhập kho'!$B$5:$B$2004,A18))</f>
        <v/>
      </c>
      <c r="I18" s="13">
        <f>IF(A18="","",SUMIFS('Bán hàng'!$F$5:$F$5004,'Bán hàng'!$D$5:$D$5004,A18))</f>
        <v/>
      </c>
      <c r="J18" s="13">
        <f>IF(A18="","",F18+H18-I18)</f>
        <v/>
      </c>
      <c r="K18" s="14">
        <f>IF(A18="","",IF(J18&lt;=0,"Hết hàng",IF(J18&lt;=G18,"Sắp hết","Còn hàng")))</f>
        <v/>
      </c>
    </row>
    <row r="19">
      <c r="A19" s="10" t="n"/>
      <c r="B19" s="10" t="n"/>
      <c r="C19" s="10" t="n"/>
      <c r="D19" s="11" t="n"/>
      <c r="E19" s="11" t="n"/>
      <c r="F19" s="12" t="n"/>
      <c r="G19" s="12" t="n"/>
      <c r="H19" s="13">
        <f>IF(A19="","",SUMIFS('Nhập kho'!$D$5:$D$2004,'Nhập kho'!$B$5:$B$2004,A19))</f>
        <v/>
      </c>
      <c r="I19" s="13">
        <f>IF(A19="","",SUMIFS('Bán hàng'!$F$5:$F$5004,'Bán hàng'!$D$5:$D$5004,A19))</f>
        <v/>
      </c>
      <c r="J19" s="13">
        <f>IF(A19="","",F19+H19-I19)</f>
        <v/>
      </c>
      <c r="K19" s="14">
        <f>IF(A19="","",IF(J19&lt;=0,"Hết hàng",IF(J19&lt;=G19,"Sắp hết","Còn hàng")))</f>
        <v/>
      </c>
    </row>
    <row r="20">
      <c r="A20" s="10" t="n"/>
      <c r="B20" s="10" t="n"/>
      <c r="C20" s="10" t="n"/>
      <c r="D20" s="11" t="n"/>
      <c r="E20" s="11" t="n"/>
      <c r="F20" s="12" t="n"/>
      <c r="G20" s="12" t="n"/>
      <c r="H20" s="13">
        <f>IF(A20="","",SUMIFS('Nhập kho'!$D$5:$D$2004,'Nhập kho'!$B$5:$B$2004,A20))</f>
        <v/>
      </c>
      <c r="I20" s="13">
        <f>IF(A20="","",SUMIFS('Bán hàng'!$F$5:$F$5004,'Bán hàng'!$D$5:$D$5004,A20))</f>
        <v/>
      </c>
      <c r="J20" s="13">
        <f>IF(A20="","",F20+H20-I20)</f>
        <v/>
      </c>
      <c r="K20" s="14">
        <f>IF(A20="","",IF(J20&lt;=0,"Hết hàng",IF(J20&lt;=G20,"Sắp hết","Còn hàng")))</f>
        <v/>
      </c>
    </row>
    <row r="21">
      <c r="A21" s="10" t="n"/>
      <c r="B21" s="10" t="n"/>
      <c r="C21" s="10" t="n"/>
      <c r="D21" s="11" t="n"/>
      <c r="E21" s="11" t="n"/>
      <c r="F21" s="12" t="n"/>
      <c r="G21" s="12" t="n"/>
      <c r="H21" s="13">
        <f>IF(A21="","",SUMIFS('Nhập kho'!$D$5:$D$2004,'Nhập kho'!$B$5:$B$2004,A21))</f>
        <v/>
      </c>
      <c r="I21" s="13">
        <f>IF(A21="","",SUMIFS('Bán hàng'!$F$5:$F$5004,'Bán hàng'!$D$5:$D$5004,A21))</f>
        <v/>
      </c>
      <c r="J21" s="13">
        <f>IF(A21="","",F21+H21-I21)</f>
        <v/>
      </c>
      <c r="K21" s="14">
        <f>IF(A21="","",IF(J21&lt;=0,"Hết hàng",IF(J21&lt;=G21,"Sắp hết","Còn hàng")))</f>
        <v/>
      </c>
    </row>
    <row r="22">
      <c r="A22" s="10" t="n"/>
      <c r="B22" s="10" t="n"/>
      <c r="C22" s="10" t="n"/>
      <c r="D22" s="11" t="n"/>
      <c r="E22" s="11" t="n"/>
      <c r="F22" s="12" t="n"/>
      <c r="G22" s="12" t="n"/>
      <c r="H22" s="13">
        <f>IF(A22="","",SUMIFS('Nhập kho'!$D$5:$D$2004,'Nhập kho'!$B$5:$B$2004,A22))</f>
        <v/>
      </c>
      <c r="I22" s="13">
        <f>IF(A22="","",SUMIFS('Bán hàng'!$F$5:$F$5004,'Bán hàng'!$D$5:$D$5004,A22))</f>
        <v/>
      </c>
      <c r="J22" s="13">
        <f>IF(A22="","",F22+H22-I22)</f>
        <v/>
      </c>
      <c r="K22" s="14">
        <f>IF(A22="","",IF(J22&lt;=0,"Hết hàng",IF(J22&lt;=G22,"Sắp hết","Còn hàng")))</f>
        <v/>
      </c>
    </row>
    <row r="23">
      <c r="A23" s="10" t="n"/>
      <c r="B23" s="10" t="n"/>
      <c r="C23" s="10" t="n"/>
      <c r="D23" s="11" t="n"/>
      <c r="E23" s="11" t="n"/>
      <c r="F23" s="12" t="n"/>
      <c r="G23" s="12" t="n"/>
      <c r="H23" s="13">
        <f>IF(A23="","",SUMIFS('Nhập kho'!$D$5:$D$2004,'Nhập kho'!$B$5:$B$2004,A23))</f>
        <v/>
      </c>
      <c r="I23" s="13">
        <f>IF(A23="","",SUMIFS('Bán hàng'!$F$5:$F$5004,'Bán hàng'!$D$5:$D$5004,A23))</f>
        <v/>
      </c>
      <c r="J23" s="13">
        <f>IF(A23="","",F23+H23-I23)</f>
        <v/>
      </c>
      <c r="K23" s="14">
        <f>IF(A23="","",IF(J23&lt;=0,"Hết hàng",IF(J23&lt;=G23,"Sắp hết","Còn hàng")))</f>
        <v/>
      </c>
    </row>
    <row r="24">
      <c r="A24" s="10" t="n"/>
      <c r="B24" s="10" t="n"/>
      <c r="C24" s="10" t="n"/>
      <c r="D24" s="11" t="n"/>
      <c r="E24" s="11" t="n"/>
      <c r="F24" s="12" t="n"/>
      <c r="G24" s="12" t="n"/>
      <c r="H24" s="13">
        <f>IF(A24="","",SUMIFS('Nhập kho'!$D$5:$D$2004,'Nhập kho'!$B$5:$B$2004,A24))</f>
        <v/>
      </c>
      <c r="I24" s="13">
        <f>IF(A24="","",SUMIFS('Bán hàng'!$F$5:$F$5004,'Bán hàng'!$D$5:$D$5004,A24))</f>
        <v/>
      </c>
      <c r="J24" s="13">
        <f>IF(A24="","",F24+H24-I24)</f>
        <v/>
      </c>
      <c r="K24" s="14">
        <f>IF(A24="","",IF(J24&lt;=0,"Hết hàng",IF(J24&lt;=G24,"Sắp hết","Còn hàng")))</f>
        <v/>
      </c>
    </row>
    <row r="25">
      <c r="A25" s="10" t="n"/>
      <c r="B25" s="10" t="n"/>
      <c r="C25" s="10" t="n"/>
      <c r="D25" s="11" t="n"/>
      <c r="E25" s="11" t="n"/>
      <c r="F25" s="12" t="n"/>
      <c r="G25" s="12" t="n"/>
      <c r="H25" s="13">
        <f>IF(A25="","",SUMIFS('Nhập kho'!$D$5:$D$2004,'Nhập kho'!$B$5:$B$2004,A25))</f>
        <v/>
      </c>
      <c r="I25" s="13">
        <f>IF(A25="","",SUMIFS('Bán hàng'!$F$5:$F$5004,'Bán hàng'!$D$5:$D$5004,A25))</f>
        <v/>
      </c>
      <c r="J25" s="13">
        <f>IF(A25="","",F25+H25-I25)</f>
        <v/>
      </c>
      <c r="K25" s="14">
        <f>IF(A25="","",IF(J25&lt;=0,"Hết hàng",IF(J25&lt;=G25,"Sắp hết","Còn hàng")))</f>
        <v/>
      </c>
    </row>
    <row r="26">
      <c r="A26" s="10" t="n"/>
      <c r="B26" s="10" t="n"/>
      <c r="C26" s="10" t="n"/>
      <c r="D26" s="11" t="n"/>
      <c r="E26" s="11" t="n"/>
      <c r="F26" s="12" t="n"/>
      <c r="G26" s="12" t="n"/>
      <c r="H26" s="13">
        <f>IF(A26="","",SUMIFS('Nhập kho'!$D$5:$D$2004,'Nhập kho'!$B$5:$B$2004,A26))</f>
        <v/>
      </c>
      <c r="I26" s="13">
        <f>IF(A26="","",SUMIFS('Bán hàng'!$F$5:$F$5004,'Bán hàng'!$D$5:$D$5004,A26))</f>
        <v/>
      </c>
      <c r="J26" s="13">
        <f>IF(A26="","",F26+H26-I26)</f>
        <v/>
      </c>
      <c r="K26" s="14">
        <f>IF(A26="","",IF(J26&lt;=0,"Hết hàng",IF(J26&lt;=G26,"Sắp hết","Còn hàng")))</f>
        <v/>
      </c>
    </row>
    <row r="27">
      <c r="A27" s="10" t="n"/>
      <c r="B27" s="10" t="n"/>
      <c r="C27" s="10" t="n"/>
      <c r="D27" s="11" t="n"/>
      <c r="E27" s="11" t="n"/>
      <c r="F27" s="12" t="n"/>
      <c r="G27" s="12" t="n"/>
      <c r="H27" s="13">
        <f>IF(A27="","",SUMIFS('Nhập kho'!$D$5:$D$2004,'Nhập kho'!$B$5:$B$2004,A27))</f>
        <v/>
      </c>
      <c r="I27" s="13">
        <f>IF(A27="","",SUMIFS('Bán hàng'!$F$5:$F$5004,'Bán hàng'!$D$5:$D$5004,A27))</f>
        <v/>
      </c>
      <c r="J27" s="13">
        <f>IF(A27="","",F27+H27-I27)</f>
        <v/>
      </c>
      <c r="K27" s="14">
        <f>IF(A27="","",IF(J27&lt;=0,"Hết hàng",IF(J27&lt;=G27,"Sắp hết","Còn hàng")))</f>
        <v/>
      </c>
    </row>
    <row r="28">
      <c r="A28" s="10" t="n"/>
      <c r="B28" s="10" t="n"/>
      <c r="C28" s="10" t="n"/>
      <c r="D28" s="11" t="n"/>
      <c r="E28" s="11" t="n"/>
      <c r="F28" s="12" t="n"/>
      <c r="G28" s="12" t="n"/>
      <c r="H28" s="13">
        <f>IF(A28="","",SUMIFS('Nhập kho'!$D$5:$D$2004,'Nhập kho'!$B$5:$B$2004,A28))</f>
        <v/>
      </c>
      <c r="I28" s="13">
        <f>IF(A28="","",SUMIFS('Bán hàng'!$F$5:$F$5004,'Bán hàng'!$D$5:$D$5004,A28))</f>
        <v/>
      </c>
      <c r="J28" s="13">
        <f>IF(A28="","",F28+H28-I28)</f>
        <v/>
      </c>
      <c r="K28" s="14">
        <f>IF(A28="","",IF(J28&lt;=0,"Hết hàng",IF(J28&lt;=G28,"Sắp hết","Còn hàng")))</f>
        <v/>
      </c>
    </row>
    <row r="29">
      <c r="A29" s="10" t="n"/>
      <c r="B29" s="10" t="n"/>
      <c r="C29" s="10" t="n"/>
      <c r="D29" s="11" t="n"/>
      <c r="E29" s="11" t="n"/>
      <c r="F29" s="12" t="n"/>
      <c r="G29" s="12" t="n"/>
      <c r="H29" s="13">
        <f>IF(A29="","",SUMIFS('Nhập kho'!$D$5:$D$2004,'Nhập kho'!$B$5:$B$2004,A29))</f>
        <v/>
      </c>
      <c r="I29" s="13">
        <f>IF(A29="","",SUMIFS('Bán hàng'!$F$5:$F$5004,'Bán hàng'!$D$5:$D$5004,A29))</f>
        <v/>
      </c>
      <c r="J29" s="13">
        <f>IF(A29="","",F29+H29-I29)</f>
        <v/>
      </c>
      <c r="K29" s="14">
        <f>IF(A29="","",IF(J29&lt;=0,"Hết hàng",IF(J29&lt;=G29,"Sắp hết","Còn hàng")))</f>
        <v/>
      </c>
    </row>
    <row r="30">
      <c r="A30" s="10" t="n"/>
      <c r="B30" s="10" t="n"/>
      <c r="C30" s="10" t="n"/>
      <c r="D30" s="11" t="n"/>
      <c r="E30" s="11" t="n"/>
      <c r="F30" s="12" t="n"/>
      <c r="G30" s="12" t="n"/>
      <c r="H30" s="13">
        <f>IF(A30="","",SUMIFS('Nhập kho'!$D$5:$D$2004,'Nhập kho'!$B$5:$B$2004,A30))</f>
        <v/>
      </c>
      <c r="I30" s="13">
        <f>IF(A30="","",SUMIFS('Bán hàng'!$F$5:$F$5004,'Bán hàng'!$D$5:$D$5004,A30))</f>
        <v/>
      </c>
      <c r="J30" s="13">
        <f>IF(A30="","",F30+H30-I30)</f>
        <v/>
      </c>
      <c r="K30" s="14">
        <f>IF(A30="","",IF(J30&lt;=0,"Hết hàng",IF(J30&lt;=G30,"Sắp hết","Còn hàng")))</f>
        <v/>
      </c>
    </row>
    <row r="31">
      <c r="A31" s="10" t="n"/>
      <c r="B31" s="10" t="n"/>
      <c r="C31" s="10" t="n"/>
      <c r="D31" s="11" t="n"/>
      <c r="E31" s="11" t="n"/>
      <c r="F31" s="12" t="n"/>
      <c r="G31" s="12" t="n"/>
      <c r="H31" s="13">
        <f>IF(A31="","",SUMIFS('Nhập kho'!$D$5:$D$2004,'Nhập kho'!$B$5:$B$2004,A31))</f>
        <v/>
      </c>
      <c r="I31" s="13">
        <f>IF(A31="","",SUMIFS('Bán hàng'!$F$5:$F$5004,'Bán hàng'!$D$5:$D$5004,A31))</f>
        <v/>
      </c>
      <c r="J31" s="13">
        <f>IF(A31="","",F31+H31-I31)</f>
        <v/>
      </c>
      <c r="K31" s="14">
        <f>IF(A31="","",IF(J31&lt;=0,"Hết hàng",IF(J31&lt;=G31,"Sắp hết","Còn hàng")))</f>
        <v/>
      </c>
    </row>
    <row r="32">
      <c r="A32" s="10" t="n"/>
      <c r="B32" s="10" t="n"/>
      <c r="C32" s="10" t="n"/>
      <c r="D32" s="11" t="n"/>
      <c r="E32" s="11" t="n"/>
      <c r="F32" s="12" t="n"/>
      <c r="G32" s="12" t="n"/>
      <c r="H32" s="13">
        <f>IF(A32="","",SUMIFS('Nhập kho'!$D$5:$D$2004,'Nhập kho'!$B$5:$B$2004,A32))</f>
        <v/>
      </c>
      <c r="I32" s="13">
        <f>IF(A32="","",SUMIFS('Bán hàng'!$F$5:$F$5004,'Bán hàng'!$D$5:$D$5004,A32))</f>
        <v/>
      </c>
      <c r="J32" s="13">
        <f>IF(A32="","",F32+H32-I32)</f>
        <v/>
      </c>
      <c r="K32" s="14">
        <f>IF(A32="","",IF(J32&lt;=0,"Hết hàng",IF(J32&lt;=G32,"Sắp hết","Còn hàng")))</f>
        <v/>
      </c>
    </row>
    <row r="33">
      <c r="A33" s="10" t="n"/>
      <c r="B33" s="10" t="n"/>
      <c r="C33" s="10" t="n"/>
      <c r="D33" s="11" t="n"/>
      <c r="E33" s="11" t="n"/>
      <c r="F33" s="12" t="n"/>
      <c r="G33" s="12" t="n"/>
      <c r="H33" s="13">
        <f>IF(A33="","",SUMIFS('Nhập kho'!$D$5:$D$2004,'Nhập kho'!$B$5:$B$2004,A33))</f>
        <v/>
      </c>
      <c r="I33" s="13">
        <f>IF(A33="","",SUMIFS('Bán hàng'!$F$5:$F$5004,'Bán hàng'!$D$5:$D$5004,A33))</f>
        <v/>
      </c>
      <c r="J33" s="13">
        <f>IF(A33="","",F33+H33-I33)</f>
        <v/>
      </c>
      <c r="K33" s="14">
        <f>IF(A33="","",IF(J33&lt;=0,"Hết hàng",IF(J33&lt;=G33,"Sắp hết","Còn hàng")))</f>
        <v/>
      </c>
    </row>
    <row r="34">
      <c r="A34" s="10" t="n"/>
      <c r="B34" s="10" t="n"/>
      <c r="C34" s="10" t="n"/>
      <c r="D34" s="11" t="n"/>
      <c r="E34" s="11" t="n"/>
      <c r="F34" s="12" t="n"/>
      <c r="G34" s="12" t="n"/>
      <c r="H34" s="13">
        <f>IF(A34="","",SUMIFS('Nhập kho'!$D$5:$D$2004,'Nhập kho'!$B$5:$B$2004,A34))</f>
        <v/>
      </c>
      <c r="I34" s="13">
        <f>IF(A34="","",SUMIFS('Bán hàng'!$F$5:$F$5004,'Bán hàng'!$D$5:$D$5004,A34))</f>
        <v/>
      </c>
      <c r="J34" s="13">
        <f>IF(A34="","",F34+H34-I34)</f>
        <v/>
      </c>
      <c r="K34" s="14">
        <f>IF(A34="","",IF(J34&lt;=0,"Hết hàng",IF(J34&lt;=G34,"Sắp hết","Còn hàng")))</f>
        <v/>
      </c>
    </row>
    <row r="35">
      <c r="A35" s="10" t="n"/>
      <c r="B35" s="10" t="n"/>
      <c r="C35" s="10" t="n"/>
      <c r="D35" s="11" t="n"/>
      <c r="E35" s="11" t="n"/>
      <c r="F35" s="12" t="n"/>
      <c r="G35" s="12" t="n"/>
      <c r="H35" s="13">
        <f>IF(A35="","",SUMIFS('Nhập kho'!$D$5:$D$2004,'Nhập kho'!$B$5:$B$2004,A35))</f>
        <v/>
      </c>
      <c r="I35" s="13">
        <f>IF(A35="","",SUMIFS('Bán hàng'!$F$5:$F$5004,'Bán hàng'!$D$5:$D$5004,A35))</f>
        <v/>
      </c>
      <c r="J35" s="13">
        <f>IF(A35="","",F35+H35-I35)</f>
        <v/>
      </c>
      <c r="K35" s="14">
        <f>IF(A35="","",IF(J35&lt;=0,"Hết hàng",IF(J35&lt;=G35,"Sắp hết","Còn hàng")))</f>
        <v/>
      </c>
    </row>
    <row r="36">
      <c r="A36" s="10" t="n"/>
      <c r="B36" s="10" t="n"/>
      <c r="C36" s="10" t="n"/>
      <c r="D36" s="11" t="n"/>
      <c r="E36" s="11" t="n"/>
      <c r="F36" s="12" t="n"/>
      <c r="G36" s="12" t="n"/>
      <c r="H36" s="13">
        <f>IF(A36="","",SUMIFS('Nhập kho'!$D$5:$D$2004,'Nhập kho'!$B$5:$B$2004,A36))</f>
        <v/>
      </c>
      <c r="I36" s="13">
        <f>IF(A36="","",SUMIFS('Bán hàng'!$F$5:$F$5004,'Bán hàng'!$D$5:$D$5004,A36))</f>
        <v/>
      </c>
      <c r="J36" s="13">
        <f>IF(A36="","",F36+H36-I36)</f>
        <v/>
      </c>
      <c r="K36" s="14">
        <f>IF(A36="","",IF(J36&lt;=0,"Hết hàng",IF(J36&lt;=G36,"Sắp hết","Còn hàng")))</f>
        <v/>
      </c>
    </row>
    <row r="37">
      <c r="A37" s="10" t="n"/>
      <c r="B37" s="10" t="n"/>
      <c r="C37" s="10" t="n"/>
      <c r="D37" s="11" t="n"/>
      <c r="E37" s="11" t="n"/>
      <c r="F37" s="12" t="n"/>
      <c r="G37" s="12" t="n"/>
      <c r="H37" s="13">
        <f>IF(A37="","",SUMIFS('Nhập kho'!$D$5:$D$2004,'Nhập kho'!$B$5:$B$2004,A37))</f>
        <v/>
      </c>
      <c r="I37" s="13">
        <f>IF(A37="","",SUMIFS('Bán hàng'!$F$5:$F$5004,'Bán hàng'!$D$5:$D$5004,A37))</f>
        <v/>
      </c>
      <c r="J37" s="13">
        <f>IF(A37="","",F37+H37-I37)</f>
        <v/>
      </c>
      <c r="K37" s="14">
        <f>IF(A37="","",IF(J37&lt;=0,"Hết hàng",IF(J37&lt;=G37,"Sắp hết","Còn hàng")))</f>
        <v/>
      </c>
    </row>
    <row r="38">
      <c r="A38" s="10" t="n"/>
      <c r="B38" s="10" t="n"/>
      <c r="C38" s="10" t="n"/>
      <c r="D38" s="11" t="n"/>
      <c r="E38" s="11" t="n"/>
      <c r="F38" s="12" t="n"/>
      <c r="G38" s="12" t="n"/>
      <c r="H38" s="13">
        <f>IF(A38="","",SUMIFS('Nhập kho'!$D$5:$D$2004,'Nhập kho'!$B$5:$B$2004,A38))</f>
        <v/>
      </c>
      <c r="I38" s="13">
        <f>IF(A38="","",SUMIFS('Bán hàng'!$F$5:$F$5004,'Bán hàng'!$D$5:$D$5004,A38))</f>
        <v/>
      </c>
      <c r="J38" s="13">
        <f>IF(A38="","",F38+H38-I38)</f>
        <v/>
      </c>
      <c r="K38" s="14">
        <f>IF(A38="","",IF(J38&lt;=0,"Hết hàng",IF(J38&lt;=G38,"Sắp hết","Còn hàng")))</f>
        <v/>
      </c>
    </row>
    <row r="39">
      <c r="A39" s="10" t="n"/>
      <c r="B39" s="10" t="n"/>
      <c r="C39" s="10" t="n"/>
      <c r="D39" s="11" t="n"/>
      <c r="E39" s="11" t="n"/>
      <c r="F39" s="12" t="n"/>
      <c r="G39" s="12" t="n"/>
      <c r="H39" s="13">
        <f>IF(A39="","",SUMIFS('Nhập kho'!$D$5:$D$2004,'Nhập kho'!$B$5:$B$2004,A39))</f>
        <v/>
      </c>
      <c r="I39" s="13">
        <f>IF(A39="","",SUMIFS('Bán hàng'!$F$5:$F$5004,'Bán hàng'!$D$5:$D$5004,A39))</f>
        <v/>
      </c>
      <c r="J39" s="13">
        <f>IF(A39="","",F39+H39-I39)</f>
        <v/>
      </c>
      <c r="K39" s="14">
        <f>IF(A39="","",IF(J39&lt;=0,"Hết hàng",IF(J39&lt;=G39,"Sắp hết","Còn hàng")))</f>
        <v/>
      </c>
    </row>
    <row r="40">
      <c r="A40" s="10" t="n"/>
      <c r="B40" s="10" t="n"/>
      <c r="C40" s="10" t="n"/>
      <c r="D40" s="11" t="n"/>
      <c r="E40" s="11" t="n"/>
      <c r="F40" s="12" t="n"/>
      <c r="G40" s="12" t="n"/>
      <c r="H40" s="13">
        <f>IF(A40="","",SUMIFS('Nhập kho'!$D$5:$D$2004,'Nhập kho'!$B$5:$B$2004,A40))</f>
        <v/>
      </c>
      <c r="I40" s="13">
        <f>IF(A40="","",SUMIFS('Bán hàng'!$F$5:$F$5004,'Bán hàng'!$D$5:$D$5004,A40))</f>
        <v/>
      </c>
      <c r="J40" s="13">
        <f>IF(A40="","",F40+H40-I40)</f>
        <v/>
      </c>
      <c r="K40" s="14">
        <f>IF(A40="","",IF(J40&lt;=0,"Hết hàng",IF(J40&lt;=G40,"Sắp hết","Còn hàng")))</f>
        <v/>
      </c>
    </row>
    <row r="41">
      <c r="A41" s="10" t="n"/>
      <c r="B41" s="10" t="n"/>
      <c r="C41" s="10" t="n"/>
      <c r="D41" s="11" t="n"/>
      <c r="E41" s="11" t="n"/>
      <c r="F41" s="12" t="n"/>
      <c r="G41" s="12" t="n"/>
      <c r="H41" s="13">
        <f>IF(A41="","",SUMIFS('Nhập kho'!$D$5:$D$2004,'Nhập kho'!$B$5:$B$2004,A41))</f>
        <v/>
      </c>
      <c r="I41" s="13">
        <f>IF(A41="","",SUMIFS('Bán hàng'!$F$5:$F$5004,'Bán hàng'!$D$5:$D$5004,A41))</f>
        <v/>
      </c>
      <c r="J41" s="13">
        <f>IF(A41="","",F41+H41-I41)</f>
        <v/>
      </c>
      <c r="K41" s="14">
        <f>IF(A41="","",IF(J41&lt;=0,"Hết hàng",IF(J41&lt;=G41,"Sắp hết","Còn hàng")))</f>
        <v/>
      </c>
    </row>
    <row r="42">
      <c r="A42" s="10" t="n"/>
      <c r="B42" s="10" t="n"/>
      <c r="C42" s="10" t="n"/>
      <c r="D42" s="11" t="n"/>
      <c r="E42" s="11" t="n"/>
      <c r="F42" s="12" t="n"/>
      <c r="G42" s="12" t="n"/>
      <c r="H42" s="13">
        <f>IF(A42="","",SUMIFS('Nhập kho'!$D$5:$D$2004,'Nhập kho'!$B$5:$B$2004,A42))</f>
        <v/>
      </c>
      <c r="I42" s="13">
        <f>IF(A42="","",SUMIFS('Bán hàng'!$F$5:$F$5004,'Bán hàng'!$D$5:$D$5004,A42))</f>
        <v/>
      </c>
      <c r="J42" s="13">
        <f>IF(A42="","",F42+H42-I42)</f>
        <v/>
      </c>
      <c r="K42" s="14">
        <f>IF(A42="","",IF(J42&lt;=0,"Hết hàng",IF(J42&lt;=G42,"Sắp hết","Còn hàng")))</f>
        <v/>
      </c>
    </row>
    <row r="43">
      <c r="A43" s="10" t="n"/>
      <c r="B43" s="10" t="n"/>
      <c r="C43" s="10" t="n"/>
      <c r="D43" s="11" t="n"/>
      <c r="E43" s="11" t="n"/>
      <c r="F43" s="12" t="n"/>
      <c r="G43" s="12" t="n"/>
      <c r="H43" s="13">
        <f>IF(A43="","",SUMIFS('Nhập kho'!$D$5:$D$2004,'Nhập kho'!$B$5:$B$2004,A43))</f>
        <v/>
      </c>
      <c r="I43" s="13">
        <f>IF(A43="","",SUMIFS('Bán hàng'!$F$5:$F$5004,'Bán hàng'!$D$5:$D$5004,A43))</f>
        <v/>
      </c>
      <c r="J43" s="13">
        <f>IF(A43="","",F43+H43-I43)</f>
        <v/>
      </c>
      <c r="K43" s="14">
        <f>IF(A43="","",IF(J43&lt;=0,"Hết hàng",IF(J43&lt;=G43,"Sắp hết","Còn hàng")))</f>
        <v/>
      </c>
    </row>
    <row r="44">
      <c r="A44" s="10" t="n"/>
      <c r="B44" s="10" t="n"/>
      <c r="C44" s="10" t="n"/>
      <c r="D44" s="11" t="n"/>
      <c r="E44" s="11" t="n"/>
      <c r="F44" s="12" t="n"/>
      <c r="G44" s="12" t="n"/>
      <c r="H44" s="13">
        <f>IF(A44="","",SUMIFS('Nhập kho'!$D$5:$D$2004,'Nhập kho'!$B$5:$B$2004,A44))</f>
        <v/>
      </c>
      <c r="I44" s="13">
        <f>IF(A44="","",SUMIFS('Bán hàng'!$F$5:$F$5004,'Bán hàng'!$D$5:$D$5004,A44))</f>
        <v/>
      </c>
      <c r="J44" s="13">
        <f>IF(A44="","",F44+H44-I44)</f>
        <v/>
      </c>
      <c r="K44" s="14">
        <f>IF(A44="","",IF(J44&lt;=0,"Hết hàng",IF(J44&lt;=G44,"Sắp hết","Còn hàng")))</f>
        <v/>
      </c>
    </row>
    <row r="45">
      <c r="A45" s="10" t="n"/>
      <c r="B45" s="10" t="n"/>
      <c r="C45" s="10" t="n"/>
      <c r="D45" s="11" t="n"/>
      <c r="E45" s="11" t="n"/>
      <c r="F45" s="12" t="n"/>
      <c r="G45" s="12" t="n"/>
      <c r="H45" s="13">
        <f>IF(A45="","",SUMIFS('Nhập kho'!$D$5:$D$2004,'Nhập kho'!$B$5:$B$2004,A45))</f>
        <v/>
      </c>
      <c r="I45" s="13">
        <f>IF(A45="","",SUMIFS('Bán hàng'!$F$5:$F$5004,'Bán hàng'!$D$5:$D$5004,A45))</f>
        <v/>
      </c>
      <c r="J45" s="13">
        <f>IF(A45="","",F45+H45-I45)</f>
        <v/>
      </c>
      <c r="K45" s="14">
        <f>IF(A45="","",IF(J45&lt;=0,"Hết hàng",IF(J45&lt;=G45,"Sắp hết","Còn hàng")))</f>
        <v/>
      </c>
    </row>
    <row r="46">
      <c r="A46" s="10" t="n"/>
      <c r="B46" s="10" t="n"/>
      <c r="C46" s="10" t="n"/>
      <c r="D46" s="11" t="n"/>
      <c r="E46" s="11" t="n"/>
      <c r="F46" s="12" t="n"/>
      <c r="G46" s="12" t="n"/>
      <c r="H46" s="13">
        <f>IF(A46="","",SUMIFS('Nhập kho'!$D$5:$D$2004,'Nhập kho'!$B$5:$B$2004,A46))</f>
        <v/>
      </c>
      <c r="I46" s="13">
        <f>IF(A46="","",SUMIFS('Bán hàng'!$F$5:$F$5004,'Bán hàng'!$D$5:$D$5004,A46))</f>
        <v/>
      </c>
      <c r="J46" s="13">
        <f>IF(A46="","",F46+H46-I46)</f>
        <v/>
      </c>
      <c r="K46" s="14">
        <f>IF(A46="","",IF(J46&lt;=0,"Hết hàng",IF(J46&lt;=G46,"Sắp hết","Còn hàng")))</f>
        <v/>
      </c>
    </row>
    <row r="47">
      <c r="A47" s="10" t="n"/>
      <c r="B47" s="10" t="n"/>
      <c r="C47" s="10" t="n"/>
      <c r="D47" s="11" t="n"/>
      <c r="E47" s="11" t="n"/>
      <c r="F47" s="12" t="n"/>
      <c r="G47" s="12" t="n"/>
      <c r="H47" s="13">
        <f>IF(A47="","",SUMIFS('Nhập kho'!$D$5:$D$2004,'Nhập kho'!$B$5:$B$2004,A47))</f>
        <v/>
      </c>
      <c r="I47" s="13">
        <f>IF(A47="","",SUMIFS('Bán hàng'!$F$5:$F$5004,'Bán hàng'!$D$5:$D$5004,A47))</f>
        <v/>
      </c>
      <c r="J47" s="13">
        <f>IF(A47="","",F47+H47-I47)</f>
        <v/>
      </c>
      <c r="K47" s="14">
        <f>IF(A47="","",IF(J47&lt;=0,"Hết hàng",IF(J47&lt;=G47,"Sắp hết","Còn hàng")))</f>
        <v/>
      </c>
    </row>
    <row r="48">
      <c r="A48" s="10" t="n"/>
      <c r="B48" s="10" t="n"/>
      <c r="C48" s="10" t="n"/>
      <c r="D48" s="11" t="n"/>
      <c r="E48" s="11" t="n"/>
      <c r="F48" s="12" t="n"/>
      <c r="G48" s="12" t="n"/>
      <c r="H48" s="13">
        <f>IF(A48="","",SUMIFS('Nhập kho'!$D$5:$D$2004,'Nhập kho'!$B$5:$B$2004,A48))</f>
        <v/>
      </c>
      <c r="I48" s="13">
        <f>IF(A48="","",SUMIFS('Bán hàng'!$F$5:$F$5004,'Bán hàng'!$D$5:$D$5004,A48))</f>
        <v/>
      </c>
      <c r="J48" s="13">
        <f>IF(A48="","",F48+H48-I48)</f>
        <v/>
      </c>
      <c r="K48" s="14">
        <f>IF(A48="","",IF(J48&lt;=0,"Hết hàng",IF(J48&lt;=G48,"Sắp hết","Còn hàng")))</f>
        <v/>
      </c>
    </row>
    <row r="49">
      <c r="A49" s="10" t="n"/>
      <c r="B49" s="10" t="n"/>
      <c r="C49" s="10" t="n"/>
      <c r="D49" s="11" t="n"/>
      <c r="E49" s="11" t="n"/>
      <c r="F49" s="12" t="n"/>
      <c r="G49" s="12" t="n"/>
      <c r="H49" s="13">
        <f>IF(A49="","",SUMIFS('Nhập kho'!$D$5:$D$2004,'Nhập kho'!$B$5:$B$2004,A49))</f>
        <v/>
      </c>
      <c r="I49" s="13">
        <f>IF(A49="","",SUMIFS('Bán hàng'!$F$5:$F$5004,'Bán hàng'!$D$5:$D$5004,A49))</f>
        <v/>
      </c>
      <c r="J49" s="13">
        <f>IF(A49="","",F49+H49-I49)</f>
        <v/>
      </c>
      <c r="K49" s="14">
        <f>IF(A49="","",IF(J49&lt;=0,"Hết hàng",IF(J49&lt;=G49,"Sắp hết","Còn hàng")))</f>
        <v/>
      </c>
    </row>
    <row r="50">
      <c r="A50" s="10" t="n"/>
      <c r="B50" s="10" t="n"/>
      <c r="C50" s="10" t="n"/>
      <c r="D50" s="11" t="n"/>
      <c r="E50" s="11" t="n"/>
      <c r="F50" s="12" t="n"/>
      <c r="G50" s="12" t="n"/>
      <c r="H50" s="13">
        <f>IF(A50="","",SUMIFS('Nhập kho'!$D$5:$D$2004,'Nhập kho'!$B$5:$B$2004,A50))</f>
        <v/>
      </c>
      <c r="I50" s="13">
        <f>IF(A50="","",SUMIFS('Bán hàng'!$F$5:$F$5004,'Bán hàng'!$D$5:$D$5004,A50))</f>
        <v/>
      </c>
      <c r="J50" s="13">
        <f>IF(A50="","",F50+H50-I50)</f>
        <v/>
      </c>
      <c r="K50" s="14">
        <f>IF(A50="","",IF(J50&lt;=0,"Hết hàng",IF(J50&lt;=G50,"Sắp hết","Còn hàng")))</f>
        <v/>
      </c>
    </row>
    <row r="51">
      <c r="A51" s="10" t="n"/>
      <c r="B51" s="10" t="n"/>
      <c r="C51" s="10" t="n"/>
      <c r="D51" s="11" t="n"/>
      <c r="E51" s="11" t="n"/>
      <c r="F51" s="12" t="n"/>
      <c r="G51" s="12" t="n"/>
      <c r="H51" s="13">
        <f>IF(A51="","",SUMIFS('Nhập kho'!$D$5:$D$2004,'Nhập kho'!$B$5:$B$2004,A51))</f>
        <v/>
      </c>
      <c r="I51" s="13">
        <f>IF(A51="","",SUMIFS('Bán hàng'!$F$5:$F$5004,'Bán hàng'!$D$5:$D$5004,A51))</f>
        <v/>
      </c>
      <c r="J51" s="13">
        <f>IF(A51="","",F51+H51-I51)</f>
        <v/>
      </c>
      <c r="K51" s="14">
        <f>IF(A51="","",IF(J51&lt;=0,"Hết hàng",IF(J51&lt;=G51,"Sắp hết","Còn hàng")))</f>
        <v/>
      </c>
    </row>
    <row r="52">
      <c r="A52" s="10" t="n"/>
      <c r="B52" s="10" t="n"/>
      <c r="C52" s="10" t="n"/>
      <c r="D52" s="11" t="n"/>
      <c r="E52" s="11" t="n"/>
      <c r="F52" s="12" t="n"/>
      <c r="G52" s="12" t="n"/>
      <c r="H52" s="13">
        <f>IF(A52="","",SUMIFS('Nhập kho'!$D$5:$D$2004,'Nhập kho'!$B$5:$B$2004,A52))</f>
        <v/>
      </c>
      <c r="I52" s="13">
        <f>IF(A52="","",SUMIFS('Bán hàng'!$F$5:$F$5004,'Bán hàng'!$D$5:$D$5004,A52))</f>
        <v/>
      </c>
      <c r="J52" s="13">
        <f>IF(A52="","",F52+H52-I52)</f>
        <v/>
      </c>
      <c r="K52" s="14">
        <f>IF(A52="","",IF(J52&lt;=0,"Hết hàng",IF(J52&lt;=G52,"Sắp hết","Còn hàng")))</f>
        <v/>
      </c>
    </row>
    <row r="53">
      <c r="A53" s="10" t="n"/>
      <c r="B53" s="10" t="n"/>
      <c r="C53" s="10" t="n"/>
      <c r="D53" s="11" t="n"/>
      <c r="E53" s="11" t="n"/>
      <c r="F53" s="12" t="n"/>
      <c r="G53" s="12" t="n"/>
      <c r="H53" s="13">
        <f>IF(A53="","",SUMIFS('Nhập kho'!$D$5:$D$2004,'Nhập kho'!$B$5:$B$2004,A53))</f>
        <v/>
      </c>
      <c r="I53" s="13">
        <f>IF(A53="","",SUMIFS('Bán hàng'!$F$5:$F$5004,'Bán hàng'!$D$5:$D$5004,A53))</f>
        <v/>
      </c>
      <c r="J53" s="13">
        <f>IF(A53="","",F53+H53-I53)</f>
        <v/>
      </c>
      <c r="K53" s="14">
        <f>IF(A53="","",IF(J53&lt;=0,"Hết hàng",IF(J53&lt;=G53,"Sắp hết","Còn hàng")))</f>
        <v/>
      </c>
    </row>
    <row r="54">
      <c r="A54" s="10" t="n"/>
      <c r="B54" s="10" t="n"/>
      <c r="C54" s="10" t="n"/>
      <c r="D54" s="11" t="n"/>
      <c r="E54" s="11" t="n"/>
      <c r="F54" s="12" t="n"/>
      <c r="G54" s="12" t="n"/>
      <c r="H54" s="13">
        <f>IF(A54="","",SUMIFS('Nhập kho'!$D$5:$D$2004,'Nhập kho'!$B$5:$B$2004,A54))</f>
        <v/>
      </c>
      <c r="I54" s="13">
        <f>IF(A54="","",SUMIFS('Bán hàng'!$F$5:$F$5004,'Bán hàng'!$D$5:$D$5004,A54))</f>
        <v/>
      </c>
      <c r="J54" s="13">
        <f>IF(A54="","",F54+H54-I54)</f>
        <v/>
      </c>
      <c r="K54" s="14">
        <f>IF(A54="","",IF(J54&lt;=0,"Hết hàng",IF(J54&lt;=G54,"Sắp hết","Còn hàng")))</f>
        <v/>
      </c>
    </row>
    <row r="55">
      <c r="A55" s="10" t="n"/>
      <c r="B55" s="10" t="n"/>
      <c r="C55" s="10" t="n"/>
      <c r="D55" s="11" t="n"/>
      <c r="E55" s="11" t="n"/>
      <c r="F55" s="12" t="n"/>
      <c r="G55" s="12" t="n"/>
      <c r="H55" s="13">
        <f>IF(A55="","",SUMIFS('Nhập kho'!$D$5:$D$2004,'Nhập kho'!$B$5:$B$2004,A55))</f>
        <v/>
      </c>
      <c r="I55" s="13">
        <f>IF(A55="","",SUMIFS('Bán hàng'!$F$5:$F$5004,'Bán hàng'!$D$5:$D$5004,A55))</f>
        <v/>
      </c>
      <c r="J55" s="13">
        <f>IF(A55="","",F55+H55-I55)</f>
        <v/>
      </c>
      <c r="K55" s="14">
        <f>IF(A55="","",IF(J55&lt;=0,"Hết hàng",IF(J55&lt;=G55,"Sắp hết","Còn hàng")))</f>
        <v/>
      </c>
    </row>
    <row r="56">
      <c r="A56" s="10" t="n"/>
      <c r="B56" s="10" t="n"/>
      <c r="C56" s="10" t="n"/>
      <c r="D56" s="11" t="n"/>
      <c r="E56" s="11" t="n"/>
      <c r="F56" s="12" t="n"/>
      <c r="G56" s="12" t="n"/>
      <c r="H56" s="13">
        <f>IF(A56="","",SUMIFS('Nhập kho'!$D$5:$D$2004,'Nhập kho'!$B$5:$B$2004,A56))</f>
        <v/>
      </c>
      <c r="I56" s="13">
        <f>IF(A56="","",SUMIFS('Bán hàng'!$F$5:$F$5004,'Bán hàng'!$D$5:$D$5004,A56))</f>
        <v/>
      </c>
      <c r="J56" s="13">
        <f>IF(A56="","",F56+H56-I56)</f>
        <v/>
      </c>
      <c r="K56" s="14">
        <f>IF(A56="","",IF(J56&lt;=0,"Hết hàng",IF(J56&lt;=G56,"Sắp hết","Còn hàng")))</f>
        <v/>
      </c>
    </row>
    <row r="57">
      <c r="A57" s="10" t="n"/>
      <c r="B57" s="10" t="n"/>
      <c r="C57" s="10" t="n"/>
      <c r="D57" s="11" t="n"/>
      <c r="E57" s="11" t="n"/>
      <c r="F57" s="12" t="n"/>
      <c r="G57" s="12" t="n"/>
      <c r="H57" s="13">
        <f>IF(A57="","",SUMIFS('Nhập kho'!$D$5:$D$2004,'Nhập kho'!$B$5:$B$2004,A57))</f>
        <v/>
      </c>
      <c r="I57" s="13">
        <f>IF(A57="","",SUMIFS('Bán hàng'!$F$5:$F$5004,'Bán hàng'!$D$5:$D$5004,A57))</f>
        <v/>
      </c>
      <c r="J57" s="13">
        <f>IF(A57="","",F57+H57-I57)</f>
        <v/>
      </c>
      <c r="K57" s="14">
        <f>IF(A57="","",IF(J57&lt;=0,"Hết hàng",IF(J57&lt;=G57,"Sắp hết","Còn hàng")))</f>
        <v/>
      </c>
    </row>
    <row r="58">
      <c r="A58" s="10" t="n"/>
      <c r="B58" s="10" t="n"/>
      <c r="C58" s="10" t="n"/>
      <c r="D58" s="11" t="n"/>
      <c r="E58" s="11" t="n"/>
      <c r="F58" s="12" t="n"/>
      <c r="G58" s="12" t="n"/>
      <c r="H58" s="13">
        <f>IF(A58="","",SUMIFS('Nhập kho'!$D$5:$D$2004,'Nhập kho'!$B$5:$B$2004,A58))</f>
        <v/>
      </c>
      <c r="I58" s="13">
        <f>IF(A58="","",SUMIFS('Bán hàng'!$F$5:$F$5004,'Bán hàng'!$D$5:$D$5004,A58))</f>
        <v/>
      </c>
      <c r="J58" s="13">
        <f>IF(A58="","",F58+H58-I58)</f>
        <v/>
      </c>
      <c r="K58" s="14">
        <f>IF(A58="","",IF(J58&lt;=0,"Hết hàng",IF(J58&lt;=G58,"Sắp hết","Còn hàng")))</f>
        <v/>
      </c>
    </row>
    <row r="59">
      <c r="A59" s="10" t="n"/>
      <c r="B59" s="10" t="n"/>
      <c r="C59" s="10" t="n"/>
      <c r="D59" s="11" t="n"/>
      <c r="E59" s="11" t="n"/>
      <c r="F59" s="12" t="n"/>
      <c r="G59" s="12" t="n"/>
      <c r="H59" s="13">
        <f>IF(A59="","",SUMIFS('Nhập kho'!$D$5:$D$2004,'Nhập kho'!$B$5:$B$2004,A59))</f>
        <v/>
      </c>
      <c r="I59" s="13">
        <f>IF(A59="","",SUMIFS('Bán hàng'!$F$5:$F$5004,'Bán hàng'!$D$5:$D$5004,A59))</f>
        <v/>
      </c>
      <c r="J59" s="13">
        <f>IF(A59="","",F59+H59-I59)</f>
        <v/>
      </c>
      <c r="K59" s="14">
        <f>IF(A59="","",IF(J59&lt;=0,"Hết hàng",IF(J59&lt;=G59,"Sắp hết","Còn hàng")))</f>
        <v/>
      </c>
    </row>
    <row r="60">
      <c r="A60" s="10" t="n"/>
      <c r="B60" s="10" t="n"/>
      <c r="C60" s="10" t="n"/>
      <c r="D60" s="11" t="n"/>
      <c r="E60" s="11" t="n"/>
      <c r="F60" s="12" t="n"/>
      <c r="G60" s="12" t="n"/>
      <c r="H60" s="13">
        <f>IF(A60="","",SUMIFS('Nhập kho'!$D$5:$D$2004,'Nhập kho'!$B$5:$B$2004,A60))</f>
        <v/>
      </c>
      <c r="I60" s="13">
        <f>IF(A60="","",SUMIFS('Bán hàng'!$F$5:$F$5004,'Bán hàng'!$D$5:$D$5004,A60))</f>
        <v/>
      </c>
      <c r="J60" s="13">
        <f>IF(A60="","",F60+H60-I60)</f>
        <v/>
      </c>
      <c r="K60" s="14">
        <f>IF(A60="","",IF(J60&lt;=0,"Hết hàng",IF(J60&lt;=G60,"Sắp hết","Còn hàng")))</f>
        <v/>
      </c>
    </row>
    <row r="61">
      <c r="A61" s="10" t="n"/>
      <c r="B61" s="10" t="n"/>
      <c r="C61" s="10" t="n"/>
      <c r="D61" s="11" t="n"/>
      <c r="E61" s="11" t="n"/>
      <c r="F61" s="12" t="n"/>
      <c r="G61" s="12" t="n"/>
      <c r="H61" s="13">
        <f>IF(A61="","",SUMIFS('Nhập kho'!$D$5:$D$2004,'Nhập kho'!$B$5:$B$2004,A61))</f>
        <v/>
      </c>
      <c r="I61" s="13">
        <f>IF(A61="","",SUMIFS('Bán hàng'!$F$5:$F$5004,'Bán hàng'!$D$5:$D$5004,A61))</f>
        <v/>
      </c>
      <c r="J61" s="13">
        <f>IF(A61="","",F61+H61-I61)</f>
        <v/>
      </c>
      <c r="K61" s="14">
        <f>IF(A61="","",IF(J61&lt;=0,"Hết hàng",IF(J61&lt;=G61,"Sắp hết","Còn hàng")))</f>
        <v/>
      </c>
    </row>
    <row r="62">
      <c r="A62" s="10" t="n"/>
      <c r="B62" s="10" t="n"/>
      <c r="C62" s="10" t="n"/>
      <c r="D62" s="11" t="n"/>
      <c r="E62" s="11" t="n"/>
      <c r="F62" s="12" t="n"/>
      <c r="G62" s="12" t="n"/>
      <c r="H62" s="13">
        <f>IF(A62="","",SUMIFS('Nhập kho'!$D$5:$D$2004,'Nhập kho'!$B$5:$B$2004,A62))</f>
        <v/>
      </c>
      <c r="I62" s="13">
        <f>IF(A62="","",SUMIFS('Bán hàng'!$F$5:$F$5004,'Bán hàng'!$D$5:$D$5004,A62))</f>
        <v/>
      </c>
      <c r="J62" s="13">
        <f>IF(A62="","",F62+H62-I62)</f>
        <v/>
      </c>
      <c r="K62" s="14">
        <f>IF(A62="","",IF(J62&lt;=0,"Hết hàng",IF(J62&lt;=G62,"Sắp hết","Còn hàng")))</f>
        <v/>
      </c>
    </row>
    <row r="63">
      <c r="A63" s="10" t="n"/>
      <c r="B63" s="10" t="n"/>
      <c r="C63" s="10" t="n"/>
      <c r="D63" s="11" t="n"/>
      <c r="E63" s="11" t="n"/>
      <c r="F63" s="12" t="n"/>
      <c r="G63" s="12" t="n"/>
      <c r="H63" s="13">
        <f>IF(A63="","",SUMIFS('Nhập kho'!$D$5:$D$2004,'Nhập kho'!$B$5:$B$2004,A63))</f>
        <v/>
      </c>
      <c r="I63" s="13">
        <f>IF(A63="","",SUMIFS('Bán hàng'!$F$5:$F$5004,'Bán hàng'!$D$5:$D$5004,A63))</f>
        <v/>
      </c>
      <c r="J63" s="13">
        <f>IF(A63="","",F63+H63-I63)</f>
        <v/>
      </c>
      <c r="K63" s="14">
        <f>IF(A63="","",IF(J63&lt;=0,"Hết hàng",IF(J63&lt;=G63,"Sắp hết","Còn hàng")))</f>
        <v/>
      </c>
    </row>
    <row r="64">
      <c r="A64" s="10" t="n"/>
      <c r="B64" s="10" t="n"/>
      <c r="C64" s="10" t="n"/>
      <c r="D64" s="11" t="n"/>
      <c r="E64" s="11" t="n"/>
      <c r="F64" s="12" t="n"/>
      <c r="G64" s="12" t="n"/>
      <c r="H64" s="13">
        <f>IF(A64="","",SUMIFS('Nhập kho'!$D$5:$D$2004,'Nhập kho'!$B$5:$B$2004,A64))</f>
        <v/>
      </c>
      <c r="I64" s="13">
        <f>IF(A64="","",SUMIFS('Bán hàng'!$F$5:$F$5004,'Bán hàng'!$D$5:$D$5004,A64))</f>
        <v/>
      </c>
      <c r="J64" s="13">
        <f>IF(A64="","",F64+H64-I64)</f>
        <v/>
      </c>
      <c r="K64" s="14">
        <f>IF(A64="","",IF(J64&lt;=0,"Hết hàng",IF(J64&lt;=G64,"Sắp hết","Còn hàng")))</f>
        <v/>
      </c>
    </row>
    <row r="65">
      <c r="A65" s="10" t="n"/>
      <c r="B65" s="10" t="n"/>
      <c r="C65" s="10" t="n"/>
      <c r="D65" s="11" t="n"/>
      <c r="E65" s="11" t="n"/>
      <c r="F65" s="12" t="n"/>
      <c r="G65" s="12" t="n"/>
      <c r="H65" s="13">
        <f>IF(A65="","",SUMIFS('Nhập kho'!$D$5:$D$2004,'Nhập kho'!$B$5:$B$2004,A65))</f>
        <v/>
      </c>
      <c r="I65" s="13">
        <f>IF(A65="","",SUMIFS('Bán hàng'!$F$5:$F$5004,'Bán hàng'!$D$5:$D$5004,A65))</f>
        <v/>
      </c>
      <c r="J65" s="13">
        <f>IF(A65="","",F65+H65-I65)</f>
        <v/>
      </c>
      <c r="K65" s="14">
        <f>IF(A65="","",IF(J65&lt;=0,"Hết hàng",IF(J65&lt;=G65,"Sắp hết","Còn hàng")))</f>
        <v/>
      </c>
    </row>
    <row r="66">
      <c r="A66" s="10" t="n"/>
      <c r="B66" s="10" t="n"/>
      <c r="C66" s="10" t="n"/>
      <c r="D66" s="11" t="n"/>
      <c r="E66" s="11" t="n"/>
      <c r="F66" s="12" t="n"/>
      <c r="G66" s="12" t="n"/>
      <c r="H66" s="13">
        <f>IF(A66="","",SUMIFS('Nhập kho'!$D$5:$D$2004,'Nhập kho'!$B$5:$B$2004,A66))</f>
        <v/>
      </c>
      <c r="I66" s="13">
        <f>IF(A66="","",SUMIFS('Bán hàng'!$F$5:$F$5004,'Bán hàng'!$D$5:$D$5004,A66))</f>
        <v/>
      </c>
      <c r="J66" s="13">
        <f>IF(A66="","",F66+H66-I66)</f>
        <v/>
      </c>
      <c r="K66" s="14">
        <f>IF(A66="","",IF(J66&lt;=0,"Hết hàng",IF(J66&lt;=G66,"Sắp hết","Còn hàng")))</f>
        <v/>
      </c>
    </row>
    <row r="67">
      <c r="A67" s="10" t="n"/>
      <c r="B67" s="10" t="n"/>
      <c r="C67" s="10" t="n"/>
      <c r="D67" s="11" t="n"/>
      <c r="E67" s="11" t="n"/>
      <c r="F67" s="12" t="n"/>
      <c r="G67" s="12" t="n"/>
      <c r="H67" s="13">
        <f>IF(A67="","",SUMIFS('Nhập kho'!$D$5:$D$2004,'Nhập kho'!$B$5:$B$2004,A67))</f>
        <v/>
      </c>
      <c r="I67" s="13">
        <f>IF(A67="","",SUMIFS('Bán hàng'!$F$5:$F$5004,'Bán hàng'!$D$5:$D$5004,A67))</f>
        <v/>
      </c>
      <c r="J67" s="13">
        <f>IF(A67="","",F67+H67-I67)</f>
        <v/>
      </c>
      <c r="K67" s="14">
        <f>IF(A67="","",IF(J67&lt;=0,"Hết hàng",IF(J67&lt;=G67,"Sắp hết","Còn hàng")))</f>
        <v/>
      </c>
    </row>
    <row r="68">
      <c r="A68" s="10" t="n"/>
      <c r="B68" s="10" t="n"/>
      <c r="C68" s="10" t="n"/>
      <c r="D68" s="11" t="n"/>
      <c r="E68" s="11" t="n"/>
      <c r="F68" s="12" t="n"/>
      <c r="G68" s="12" t="n"/>
      <c r="H68" s="13">
        <f>IF(A68="","",SUMIFS('Nhập kho'!$D$5:$D$2004,'Nhập kho'!$B$5:$B$2004,A68))</f>
        <v/>
      </c>
      <c r="I68" s="13">
        <f>IF(A68="","",SUMIFS('Bán hàng'!$F$5:$F$5004,'Bán hàng'!$D$5:$D$5004,A68))</f>
        <v/>
      </c>
      <c r="J68" s="13">
        <f>IF(A68="","",F68+H68-I68)</f>
        <v/>
      </c>
      <c r="K68" s="14">
        <f>IF(A68="","",IF(J68&lt;=0,"Hết hàng",IF(J68&lt;=G68,"Sắp hết","Còn hàng")))</f>
        <v/>
      </c>
    </row>
    <row r="69">
      <c r="A69" s="10" t="n"/>
      <c r="B69" s="10" t="n"/>
      <c r="C69" s="10" t="n"/>
      <c r="D69" s="11" t="n"/>
      <c r="E69" s="11" t="n"/>
      <c r="F69" s="12" t="n"/>
      <c r="G69" s="12" t="n"/>
      <c r="H69" s="13">
        <f>IF(A69="","",SUMIFS('Nhập kho'!$D$5:$D$2004,'Nhập kho'!$B$5:$B$2004,A69))</f>
        <v/>
      </c>
      <c r="I69" s="13">
        <f>IF(A69="","",SUMIFS('Bán hàng'!$F$5:$F$5004,'Bán hàng'!$D$5:$D$5004,A69))</f>
        <v/>
      </c>
      <c r="J69" s="13">
        <f>IF(A69="","",F69+H69-I69)</f>
        <v/>
      </c>
      <c r="K69" s="14">
        <f>IF(A69="","",IF(J69&lt;=0,"Hết hàng",IF(J69&lt;=G69,"Sắp hết","Còn hàng")))</f>
        <v/>
      </c>
    </row>
    <row r="70">
      <c r="A70" s="10" t="n"/>
      <c r="B70" s="10" t="n"/>
      <c r="C70" s="10" t="n"/>
      <c r="D70" s="11" t="n"/>
      <c r="E70" s="11" t="n"/>
      <c r="F70" s="12" t="n"/>
      <c r="G70" s="12" t="n"/>
      <c r="H70" s="13">
        <f>IF(A70="","",SUMIFS('Nhập kho'!$D$5:$D$2004,'Nhập kho'!$B$5:$B$2004,A70))</f>
        <v/>
      </c>
      <c r="I70" s="13">
        <f>IF(A70="","",SUMIFS('Bán hàng'!$F$5:$F$5004,'Bán hàng'!$D$5:$D$5004,A70))</f>
        <v/>
      </c>
      <c r="J70" s="13">
        <f>IF(A70="","",F70+H70-I70)</f>
        <v/>
      </c>
      <c r="K70" s="14">
        <f>IF(A70="","",IF(J70&lt;=0,"Hết hàng",IF(J70&lt;=G70,"Sắp hết","Còn hàng")))</f>
        <v/>
      </c>
    </row>
    <row r="71">
      <c r="A71" s="10" t="n"/>
      <c r="B71" s="10" t="n"/>
      <c r="C71" s="10" t="n"/>
      <c r="D71" s="11" t="n"/>
      <c r="E71" s="11" t="n"/>
      <c r="F71" s="12" t="n"/>
      <c r="G71" s="12" t="n"/>
      <c r="H71" s="13">
        <f>IF(A71="","",SUMIFS('Nhập kho'!$D$5:$D$2004,'Nhập kho'!$B$5:$B$2004,A71))</f>
        <v/>
      </c>
      <c r="I71" s="13">
        <f>IF(A71="","",SUMIFS('Bán hàng'!$F$5:$F$5004,'Bán hàng'!$D$5:$D$5004,A71))</f>
        <v/>
      </c>
      <c r="J71" s="13">
        <f>IF(A71="","",F71+H71-I71)</f>
        <v/>
      </c>
      <c r="K71" s="14">
        <f>IF(A71="","",IF(J71&lt;=0,"Hết hàng",IF(J71&lt;=G71,"Sắp hết","Còn hàng")))</f>
        <v/>
      </c>
    </row>
    <row r="72">
      <c r="A72" s="10" t="n"/>
      <c r="B72" s="10" t="n"/>
      <c r="C72" s="10" t="n"/>
      <c r="D72" s="11" t="n"/>
      <c r="E72" s="11" t="n"/>
      <c r="F72" s="12" t="n"/>
      <c r="G72" s="12" t="n"/>
      <c r="H72" s="13">
        <f>IF(A72="","",SUMIFS('Nhập kho'!$D$5:$D$2004,'Nhập kho'!$B$5:$B$2004,A72))</f>
        <v/>
      </c>
      <c r="I72" s="13">
        <f>IF(A72="","",SUMIFS('Bán hàng'!$F$5:$F$5004,'Bán hàng'!$D$5:$D$5004,A72))</f>
        <v/>
      </c>
      <c r="J72" s="13">
        <f>IF(A72="","",F72+H72-I72)</f>
        <v/>
      </c>
      <c r="K72" s="14">
        <f>IF(A72="","",IF(J72&lt;=0,"Hết hàng",IF(J72&lt;=G72,"Sắp hết","Còn hàng")))</f>
        <v/>
      </c>
    </row>
    <row r="73">
      <c r="A73" s="10" t="n"/>
      <c r="B73" s="10" t="n"/>
      <c r="C73" s="10" t="n"/>
      <c r="D73" s="11" t="n"/>
      <c r="E73" s="11" t="n"/>
      <c r="F73" s="12" t="n"/>
      <c r="G73" s="12" t="n"/>
      <c r="H73" s="13">
        <f>IF(A73="","",SUMIFS('Nhập kho'!$D$5:$D$2004,'Nhập kho'!$B$5:$B$2004,A73))</f>
        <v/>
      </c>
      <c r="I73" s="13">
        <f>IF(A73="","",SUMIFS('Bán hàng'!$F$5:$F$5004,'Bán hàng'!$D$5:$D$5004,A73))</f>
        <v/>
      </c>
      <c r="J73" s="13">
        <f>IF(A73="","",F73+H73-I73)</f>
        <v/>
      </c>
      <c r="K73" s="14">
        <f>IF(A73="","",IF(J73&lt;=0,"Hết hàng",IF(J73&lt;=G73,"Sắp hết","Còn hàng")))</f>
        <v/>
      </c>
    </row>
    <row r="74">
      <c r="A74" s="10" t="n"/>
      <c r="B74" s="10" t="n"/>
      <c r="C74" s="10" t="n"/>
      <c r="D74" s="11" t="n"/>
      <c r="E74" s="11" t="n"/>
      <c r="F74" s="12" t="n"/>
      <c r="G74" s="12" t="n"/>
      <c r="H74" s="13">
        <f>IF(A74="","",SUMIFS('Nhập kho'!$D$5:$D$2004,'Nhập kho'!$B$5:$B$2004,A74))</f>
        <v/>
      </c>
      <c r="I74" s="13">
        <f>IF(A74="","",SUMIFS('Bán hàng'!$F$5:$F$5004,'Bán hàng'!$D$5:$D$5004,A74))</f>
        <v/>
      </c>
      <c r="J74" s="13">
        <f>IF(A74="","",F74+H74-I74)</f>
        <v/>
      </c>
      <c r="K74" s="14">
        <f>IF(A74="","",IF(J74&lt;=0,"Hết hàng",IF(J74&lt;=G74,"Sắp hết","Còn hàng")))</f>
        <v/>
      </c>
    </row>
    <row r="75">
      <c r="A75" s="10" t="n"/>
      <c r="B75" s="10" t="n"/>
      <c r="C75" s="10" t="n"/>
      <c r="D75" s="11" t="n"/>
      <c r="E75" s="11" t="n"/>
      <c r="F75" s="12" t="n"/>
      <c r="G75" s="12" t="n"/>
      <c r="H75" s="13">
        <f>IF(A75="","",SUMIFS('Nhập kho'!$D$5:$D$2004,'Nhập kho'!$B$5:$B$2004,A75))</f>
        <v/>
      </c>
      <c r="I75" s="13">
        <f>IF(A75="","",SUMIFS('Bán hàng'!$F$5:$F$5004,'Bán hàng'!$D$5:$D$5004,A75))</f>
        <v/>
      </c>
      <c r="J75" s="13">
        <f>IF(A75="","",F75+H75-I75)</f>
        <v/>
      </c>
      <c r="K75" s="14">
        <f>IF(A75="","",IF(J75&lt;=0,"Hết hàng",IF(J75&lt;=G75,"Sắp hết","Còn hàng")))</f>
        <v/>
      </c>
    </row>
    <row r="76">
      <c r="A76" s="10" t="n"/>
      <c r="B76" s="10" t="n"/>
      <c r="C76" s="10" t="n"/>
      <c r="D76" s="11" t="n"/>
      <c r="E76" s="11" t="n"/>
      <c r="F76" s="12" t="n"/>
      <c r="G76" s="12" t="n"/>
      <c r="H76" s="13">
        <f>IF(A76="","",SUMIFS('Nhập kho'!$D$5:$D$2004,'Nhập kho'!$B$5:$B$2004,A76))</f>
        <v/>
      </c>
      <c r="I76" s="13">
        <f>IF(A76="","",SUMIFS('Bán hàng'!$F$5:$F$5004,'Bán hàng'!$D$5:$D$5004,A76))</f>
        <v/>
      </c>
      <c r="J76" s="13">
        <f>IF(A76="","",F76+H76-I76)</f>
        <v/>
      </c>
      <c r="K76" s="14">
        <f>IF(A76="","",IF(J76&lt;=0,"Hết hàng",IF(J76&lt;=G76,"Sắp hết","Còn hàng")))</f>
        <v/>
      </c>
    </row>
    <row r="77">
      <c r="A77" s="10" t="n"/>
      <c r="B77" s="10" t="n"/>
      <c r="C77" s="10" t="n"/>
      <c r="D77" s="11" t="n"/>
      <c r="E77" s="11" t="n"/>
      <c r="F77" s="12" t="n"/>
      <c r="G77" s="12" t="n"/>
      <c r="H77" s="13">
        <f>IF(A77="","",SUMIFS('Nhập kho'!$D$5:$D$2004,'Nhập kho'!$B$5:$B$2004,A77))</f>
        <v/>
      </c>
      <c r="I77" s="13">
        <f>IF(A77="","",SUMIFS('Bán hàng'!$F$5:$F$5004,'Bán hàng'!$D$5:$D$5004,A77))</f>
        <v/>
      </c>
      <c r="J77" s="13">
        <f>IF(A77="","",F77+H77-I77)</f>
        <v/>
      </c>
      <c r="K77" s="14">
        <f>IF(A77="","",IF(J77&lt;=0,"Hết hàng",IF(J77&lt;=G77,"Sắp hết","Còn hàng")))</f>
        <v/>
      </c>
    </row>
    <row r="78">
      <c r="A78" s="10" t="n"/>
      <c r="B78" s="10" t="n"/>
      <c r="C78" s="10" t="n"/>
      <c r="D78" s="11" t="n"/>
      <c r="E78" s="11" t="n"/>
      <c r="F78" s="12" t="n"/>
      <c r="G78" s="12" t="n"/>
      <c r="H78" s="13">
        <f>IF(A78="","",SUMIFS('Nhập kho'!$D$5:$D$2004,'Nhập kho'!$B$5:$B$2004,A78))</f>
        <v/>
      </c>
      <c r="I78" s="13">
        <f>IF(A78="","",SUMIFS('Bán hàng'!$F$5:$F$5004,'Bán hàng'!$D$5:$D$5004,A78))</f>
        <v/>
      </c>
      <c r="J78" s="13">
        <f>IF(A78="","",F78+H78-I78)</f>
        <v/>
      </c>
      <c r="K78" s="14">
        <f>IF(A78="","",IF(J78&lt;=0,"Hết hàng",IF(J78&lt;=G78,"Sắp hết","Còn hàng")))</f>
        <v/>
      </c>
    </row>
    <row r="79">
      <c r="A79" s="10" t="n"/>
      <c r="B79" s="10" t="n"/>
      <c r="C79" s="10" t="n"/>
      <c r="D79" s="11" t="n"/>
      <c r="E79" s="11" t="n"/>
      <c r="F79" s="12" t="n"/>
      <c r="G79" s="12" t="n"/>
      <c r="H79" s="13">
        <f>IF(A79="","",SUMIFS('Nhập kho'!$D$5:$D$2004,'Nhập kho'!$B$5:$B$2004,A79))</f>
        <v/>
      </c>
      <c r="I79" s="13">
        <f>IF(A79="","",SUMIFS('Bán hàng'!$F$5:$F$5004,'Bán hàng'!$D$5:$D$5004,A79))</f>
        <v/>
      </c>
      <c r="J79" s="13">
        <f>IF(A79="","",F79+H79-I79)</f>
        <v/>
      </c>
      <c r="K79" s="14">
        <f>IF(A79="","",IF(J79&lt;=0,"Hết hàng",IF(J79&lt;=G79,"Sắp hết","Còn hàng")))</f>
        <v/>
      </c>
    </row>
    <row r="80">
      <c r="A80" s="10" t="n"/>
      <c r="B80" s="10" t="n"/>
      <c r="C80" s="10" t="n"/>
      <c r="D80" s="11" t="n"/>
      <c r="E80" s="11" t="n"/>
      <c r="F80" s="12" t="n"/>
      <c r="G80" s="12" t="n"/>
      <c r="H80" s="13">
        <f>IF(A80="","",SUMIFS('Nhập kho'!$D$5:$D$2004,'Nhập kho'!$B$5:$B$2004,A80))</f>
        <v/>
      </c>
      <c r="I80" s="13">
        <f>IF(A80="","",SUMIFS('Bán hàng'!$F$5:$F$5004,'Bán hàng'!$D$5:$D$5004,A80))</f>
        <v/>
      </c>
      <c r="J80" s="13">
        <f>IF(A80="","",F80+H80-I80)</f>
        <v/>
      </c>
      <c r="K80" s="14">
        <f>IF(A80="","",IF(J80&lt;=0,"Hết hàng",IF(J80&lt;=G80,"Sắp hết","Còn hàng")))</f>
        <v/>
      </c>
    </row>
    <row r="81">
      <c r="A81" s="10" t="n"/>
      <c r="B81" s="10" t="n"/>
      <c r="C81" s="10" t="n"/>
      <c r="D81" s="11" t="n"/>
      <c r="E81" s="11" t="n"/>
      <c r="F81" s="12" t="n"/>
      <c r="G81" s="12" t="n"/>
      <c r="H81" s="13">
        <f>IF(A81="","",SUMIFS('Nhập kho'!$D$5:$D$2004,'Nhập kho'!$B$5:$B$2004,A81))</f>
        <v/>
      </c>
      <c r="I81" s="13">
        <f>IF(A81="","",SUMIFS('Bán hàng'!$F$5:$F$5004,'Bán hàng'!$D$5:$D$5004,A81))</f>
        <v/>
      </c>
      <c r="J81" s="13">
        <f>IF(A81="","",F81+H81-I81)</f>
        <v/>
      </c>
      <c r="K81" s="14">
        <f>IF(A81="","",IF(J81&lt;=0,"Hết hàng",IF(J81&lt;=G81,"Sắp hết","Còn hàng")))</f>
        <v/>
      </c>
    </row>
    <row r="82">
      <c r="A82" s="10" t="n"/>
      <c r="B82" s="10" t="n"/>
      <c r="C82" s="10" t="n"/>
      <c r="D82" s="11" t="n"/>
      <c r="E82" s="11" t="n"/>
      <c r="F82" s="12" t="n"/>
      <c r="G82" s="12" t="n"/>
      <c r="H82" s="13">
        <f>IF(A82="","",SUMIFS('Nhập kho'!$D$5:$D$2004,'Nhập kho'!$B$5:$B$2004,A82))</f>
        <v/>
      </c>
      <c r="I82" s="13">
        <f>IF(A82="","",SUMIFS('Bán hàng'!$F$5:$F$5004,'Bán hàng'!$D$5:$D$5004,A82))</f>
        <v/>
      </c>
      <c r="J82" s="13">
        <f>IF(A82="","",F82+H82-I82)</f>
        <v/>
      </c>
      <c r="K82" s="14">
        <f>IF(A82="","",IF(J82&lt;=0,"Hết hàng",IF(J82&lt;=G82,"Sắp hết","Còn hàng")))</f>
        <v/>
      </c>
    </row>
    <row r="83">
      <c r="A83" s="10" t="n"/>
      <c r="B83" s="10" t="n"/>
      <c r="C83" s="10" t="n"/>
      <c r="D83" s="11" t="n"/>
      <c r="E83" s="11" t="n"/>
      <c r="F83" s="12" t="n"/>
      <c r="G83" s="12" t="n"/>
      <c r="H83" s="13">
        <f>IF(A83="","",SUMIFS('Nhập kho'!$D$5:$D$2004,'Nhập kho'!$B$5:$B$2004,A83))</f>
        <v/>
      </c>
      <c r="I83" s="13">
        <f>IF(A83="","",SUMIFS('Bán hàng'!$F$5:$F$5004,'Bán hàng'!$D$5:$D$5004,A83))</f>
        <v/>
      </c>
      <c r="J83" s="13">
        <f>IF(A83="","",F83+H83-I83)</f>
        <v/>
      </c>
      <c r="K83" s="14">
        <f>IF(A83="","",IF(J83&lt;=0,"Hết hàng",IF(J83&lt;=G83,"Sắp hết","Còn hàng")))</f>
        <v/>
      </c>
    </row>
    <row r="84">
      <c r="A84" s="10" t="n"/>
      <c r="B84" s="10" t="n"/>
      <c r="C84" s="10" t="n"/>
      <c r="D84" s="11" t="n"/>
      <c r="E84" s="11" t="n"/>
      <c r="F84" s="12" t="n"/>
      <c r="G84" s="12" t="n"/>
      <c r="H84" s="13">
        <f>IF(A84="","",SUMIFS('Nhập kho'!$D$5:$D$2004,'Nhập kho'!$B$5:$B$2004,A84))</f>
        <v/>
      </c>
      <c r="I84" s="13">
        <f>IF(A84="","",SUMIFS('Bán hàng'!$F$5:$F$5004,'Bán hàng'!$D$5:$D$5004,A84))</f>
        <v/>
      </c>
      <c r="J84" s="13">
        <f>IF(A84="","",F84+H84-I84)</f>
        <v/>
      </c>
      <c r="K84" s="14">
        <f>IF(A84="","",IF(J84&lt;=0,"Hết hàng",IF(J84&lt;=G84,"Sắp hết","Còn hàng")))</f>
        <v/>
      </c>
    </row>
    <row r="85">
      <c r="A85" s="10" t="n"/>
      <c r="B85" s="10" t="n"/>
      <c r="C85" s="10" t="n"/>
      <c r="D85" s="11" t="n"/>
      <c r="E85" s="11" t="n"/>
      <c r="F85" s="12" t="n"/>
      <c r="G85" s="12" t="n"/>
      <c r="H85" s="13">
        <f>IF(A85="","",SUMIFS('Nhập kho'!$D$5:$D$2004,'Nhập kho'!$B$5:$B$2004,A85))</f>
        <v/>
      </c>
      <c r="I85" s="13">
        <f>IF(A85="","",SUMIFS('Bán hàng'!$F$5:$F$5004,'Bán hàng'!$D$5:$D$5004,A85))</f>
        <v/>
      </c>
      <c r="J85" s="13">
        <f>IF(A85="","",F85+H85-I85)</f>
        <v/>
      </c>
      <c r="K85" s="14">
        <f>IF(A85="","",IF(J85&lt;=0,"Hết hàng",IF(J85&lt;=G85,"Sắp hết","Còn hàng")))</f>
        <v/>
      </c>
    </row>
    <row r="86">
      <c r="A86" s="10" t="n"/>
      <c r="B86" s="10" t="n"/>
      <c r="C86" s="10" t="n"/>
      <c r="D86" s="11" t="n"/>
      <c r="E86" s="11" t="n"/>
      <c r="F86" s="12" t="n"/>
      <c r="G86" s="12" t="n"/>
      <c r="H86" s="13">
        <f>IF(A86="","",SUMIFS('Nhập kho'!$D$5:$D$2004,'Nhập kho'!$B$5:$B$2004,A86))</f>
        <v/>
      </c>
      <c r="I86" s="13">
        <f>IF(A86="","",SUMIFS('Bán hàng'!$F$5:$F$5004,'Bán hàng'!$D$5:$D$5004,A86))</f>
        <v/>
      </c>
      <c r="J86" s="13">
        <f>IF(A86="","",F86+H86-I86)</f>
        <v/>
      </c>
      <c r="K86" s="14">
        <f>IF(A86="","",IF(J86&lt;=0,"Hết hàng",IF(J86&lt;=G86,"Sắp hết","Còn hàng")))</f>
        <v/>
      </c>
    </row>
    <row r="87">
      <c r="A87" s="10" t="n"/>
      <c r="B87" s="10" t="n"/>
      <c r="C87" s="10" t="n"/>
      <c r="D87" s="11" t="n"/>
      <c r="E87" s="11" t="n"/>
      <c r="F87" s="12" t="n"/>
      <c r="G87" s="12" t="n"/>
      <c r="H87" s="13">
        <f>IF(A87="","",SUMIFS('Nhập kho'!$D$5:$D$2004,'Nhập kho'!$B$5:$B$2004,A87))</f>
        <v/>
      </c>
      <c r="I87" s="13">
        <f>IF(A87="","",SUMIFS('Bán hàng'!$F$5:$F$5004,'Bán hàng'!$D$5:$D$5004,A87))</f>
        <v/>
      </c>
      <c r="J87" s="13">
        <f>IF(A87="","",F87+H87-I87)</f>
        <v/>
      </c>
      <c r="K87" s="14">
        <f>IF(A87="","",IF(J87&lt;=0,"Hết hàng",IF(J87&lt;=G87,"Sắp hết","Còn hàng")))</f>
        <v/>
      </c>
    </row>
    <row r="88">
      <c r="A88" s="10" t="n"/>
      <c r="B88" s="10" t="n"/>
      <c r="C88" s="10" t="n"/>
      <c r="D88" s="11" t="n"/>
      <c r="E88" s="11" t="n"/>
      <c r="F88" s="12" t="n"/>
      <c r="G88" s="12" t="n"/>
      <c r="H88" s="13">
        <f>IF(A88="","",SUMIFS('Nhập kho'!$D$5:$D$2004,'Nhập kho'!$B$5:$B$2004,A88))</f>
        <v/>
      </c>
      <c r="I88" s="13">
        <f>IF(A88="","",SUMIFS('Bán hàng'!$F$5:$F$5004,'Bán hàng'!$D$5:$D$5004,A88))</f>
        <v/>
      </c>
      <c r="J88" s="13">
        <f>IF(A88="","",F88+H88-I88)</f>
        <v/>
      </c>
      <c r="K88" s="14">
        <f>IF(A88="","",IF(J88&lt;=0,"Hết hàng",IF(J88&lt;=G88,"Sắp hết","Còn hàng")))</f>
        <v/>
      </c>
    </row>
    <row r="89">
      <c r="A89" s="10" t="n"/>
      <c r="B89" s="10" t="n"/>
      <c r="C89" s="10" t="n"/>
      <c r="D89" s="11" t="n"/>
      <c r="E89" s="11" t="n"/>
      <c r="F89" s="12" t="n"/>
      <c r="G89" s="12" t="n"/>
      <c r="H89" s="13">
        <f>IF(A89="","",SUMIFS('Nhập kho'!$D$5:$D$2004,'Nhập kho'!$B$5:$B$2004,A89))</f>
        <v/>
      </c>
      <c r="I89" s="13">
        <f>IF(A89="","",SUMIFS('Bán hàng'!$F$5:$F$5004,'Bán hàng'!$D$5:$D$5004,A89))</f>
        <v/>
      </c>
      <c r="J89" s="13">
        <f>IF(A89="","",F89+H89-I89)</f>
        <v/>
      </c>
      <c r="K89" s="14">
        <f>IF(A89="","",IF(J89&lt;=0,"Hết hàng",IF(J89&lt;=G89,"Sắp hết","Còn hàng")))</f>
        <v/>
      </c>
    </row>
    <row r="90">
      <c r="A90" s="10" t="n"/>
      <c r="B90" s="10" t="n"/>
      <c r="C90" s="10" t="n"/>
      <c r="D90" s="11" t="n"/>
      <c r="E90" s="11" t="n"/>
      <c r="F90" s="12" t="n"/>
      <c r="G90" s="12" t="n"/>
      <c r="H90" s="13">
        <f>IF(A90="","",SUMIFS('Nhập kho'!$D$5:$D$2004,'Nhập kho'!$B$5:$B$2004,A90))</f>
        <v/>
      </c>
      <c r="I90" s="13">
        <f>IF(A90="","",SUMIFS('Bán hàng'!$F$5:$F$5004,'Bán hàng'!$D$5:$D$5004,A90))</f>
        <v/>
      </c>
      <c r="J90" s="13">
        <f>IF(A90="","",F90+H90-I90)</f>
        <v/>
      </c>
      <c r="K90" s="14">
        <f>IF(A90="","",IF(J90&lt;=0,"Hết hàng",IF(J90&lt;=G90,"Sắp hết","Còn hàng")))</f>
        <v/>
      </c>
    </row>
    <row r="91">
      <c r="A91" s="10" t="n"/>
      <c r="B91" s="10" t="n"/>
      <c r="C91" s="10" t="n"/>
      <c r="D91" s="11" t="n"/>
      <c r="E91" s="11" t="n"/>
      <c r="F91" s="12" t="n"/>
      <c r="G91" s="12" t="n"/>
      <c r="H91" s="13">
        <f>IF(A91="","",SUMIFS('Nhập kho'!$D$5:$D$2004,'Nhập kho'!$B$5:$B$2004,A91))</f>
        <v/>
      </c>
      <c r="I91" s="13">
        <f>IF(A91="","",SUMIFS('Bán hàng'!$F$5:$F$5004,'Bán hàng'!$D$5:$D$5004,A91))</f>
        <v/>
      </c>
      <c r="J91" s="13">
        <f>IF(A91="","",F91+H91-I91)</f>
        <v/>
      </c>
      <c r="K91" s="14">
        <f>IF(A91="","",IF(J91&lt;=0,"Hết hàng",IF(J91&lt;=G91,"Sắp hết","Còn hàng")))</f>
        <v/>
      </c>
    </row>
    <row r="92">
      <c r="A92" s="10" t="n"/>
      <c r="B92" s="10" t="n"/>
      <c r="C92" s="10" t="n"/>
      <c r="D92" s="11" t="n"/>
      <c r="E92" s="11" t="n"/>
      <c r="F92" s="12" t="n"/>
      <c r="G92" s="12" t="n"/>
      <c r="H92" s="13">
        <f>IF(A92="","",SUMIFS('Nhập kho'!$D$5:$D$2004,'Nhập kho'!$B$5:$B$2004,A92))</f>
        <v/>
      </c>
      <c r="I92" s="13">
        <f>IF(A92="","",SUMIFS('Bán hàng'!$F$5:$F$5004,'Bán hàng'!$D$5:$D$5004,A92))</f>
        <v/>
      </c>
      <c r="J92" s="13">
        <f>IF(A92="","",F92+H92-I92)</f>
        <v/>
      </c>
      <c r="K92" s="14">
        <f>IF(A92="","",IF(J92&lt;=0,"Hết hàng",IF(J92&lt;=G92,"Sắp hết","Còn hàng")))</f>
        <v/>
      </c>
    </row>
    <row r="93">
      <c r="A93" s="10" t="n"/>
      <c r="B93" s="10" t="n"/>
      <c r="C93" s="10" t="n"/>
      <c r="D93" s="11" t="n"/>
      <c r="E93" s="11" t="n"/>
      <c r="F93" s="12" t="n"/>
      <c r="G93" s="12" t="n"/>
      <c r="H93" s="13">
        <f>IF(A93="","",SUMIFS('Nhập kho'!$D$5:$D$2004,'Nhập kho'!$B$5:$B$2004,A93))</f>
        <v/>
      </c>
      <c r="I93" s="13">
        <f>IF(A93="","",SUMIFS('Bán hàng'!$F$5:$F$5004,'Bán hàng'!$D$5:$D$5004,A93))</f>
        <v/>
      </c>
      <c r="J93" s="13">
        <f>IF(A93="","",F93+H93-I93)</f>
        <v/>
      </c>
      <c r="K93" s="14">
        <f>IF(A93="","",IF(J93&lt;=0,"Hết hàng",IF(J93&lt;=G93,"Sắp hết","Còn hàng")))</f>
        <v/>
      </c>
    </row>
    <row r="94">
      <c r="A94" s="10" t="n"/>
      <c r="B94" s="10" t="n"/>
      <c r="C94" s="10" t="n"/>
      <c r="D94" s="11" t="n"/>
      <c r="E94" s="11" t="n"/>
      <c r="F94" s="12" t="n"/>
      <c r="G94" s="12" t="n"/>
      <c r="H94" s="13">
        <f>IF(A94="","",SUMIFS('Nhập kho'!$D$5:$D$2004,'Nhập kho'!$B$5:$B$2004,A94))</f>
        <v/>
      </c>
      <c r="I94" s="13">
        <f>IF(A94="","",SUMIFS('Bán hàng'!$F$5:$F$5004,'Bán hàng'!$D$5:$D$5004,A94))</f>
        <v/>
      </c>
      <c r="J94" s="13">
        <f>IF(A94="","",F94+H94-I94)</f>
        <v/>
      </c>
      <c r="K94" s="14">
        <f>IF(A94="","",IF(J94&lt;=0,"Hết hàng",IF(J94&lt;=G94,"Sắp hết","Còn hàng")))</f>
        <v/>
      </c>
    </row>
    <row r="95">
      <c r="A95" s="10" t="n"/>
      <c r="B95" s="10" t="n"/>
      <c r="C95" s="10" t="n"/>
      <c r="D95" s="11" t="n"/>
      <c r="E95" s="11" t="n"/>
      <c r="F95" s="12" t="n"/>
      <c r="G95" s="12" t="n"/>
      <c r="H95" s="13">
        <f>IF(A95="","",SUMIFS('Nhập kho'!$D$5:$D$2004,'Nhập kho'!$B$5:$B$2004,A95))</f>
        <v/>
      </c>
      <c r="I95" s="13">
        <f>IF(A95="","",SUMIFS('Bán hàng'!$F$5:$F$5004,'Bán hàng'!$D$5:$D$5004,A95))</f>
        <v/>
      </c>
      <c r="J95" s="13">
        <f>IF(A95="","",F95+H95-I95)</f>
        <v/>
      </c>
      <c r="K95" s="14">
        <f>IF(A95="","",IF(J95&lt;=0,"Hết hàng",IF(J95&lt;=G95,"Sắp hết","Còn hàng")))</f>
        <v/>
      </c>
    </row>
    <row r="96">
      <c r="A96" s="10" t="n"/>
      <c r="B96" s="10" t="n"/>
      <c r="C96" s="10" t="n"/>
      <c r="D96" s="11" t="n"/>
      <c r="E96" s="11" t="n"/>
      <c r="F96" s="12" t="n"/>
      <c r="G96" s="12" t="n"/>
      <c r="H96" s="13">
        <f>IF(A96="","",SUMIFS('Nhập kho'!$D$5:$D$2004,'Nhập kho'!$B$5:$B$2004,A96))</f>
        <v/>
      </c>
      <c r="I96" s="13">
        <f>IF(A96="","",SUMIFS('Bán hàng'!$F$5:$F$5004,'Bán hàng'!$D$5:$D$5004,A96))</f>
        <v/>
      </c>
      <c r="J96" s="13">
        <f>IF(A96="","",F96+H96-I96)</f>
        <v/>
      </c>
      <c r="K96" s="14">
        <f>IF(A96="","",IF(J96&lt;=0,"Hết hàng",IF(J96&lt;=G96,"Sắp hết","Còn hàng")))</f>
        <v/>
      </c>
    </row>
    <row r="97">
      <c r="A97" s="10" t="n"/>
      <c r="B97" s="10" t="n"/>
      <c r="C97" s="10" t="n"/>
      <c r="D97" s="11" t="n"/>
      <c r="E97" s="11" t="n"/>
      <c r="F97" s="12" t="n"/>
      <c r="G97" s="12" t="n"/>
      <c r="H97" s="13">
        <f>IF(A97="","",SUMIFS('Nhập kho'!$D$5:$D$2004,'Nhập kho'!$B$5:$B$2004,A97))</f>
        <v/>
      </c>
      <c r="I97" s="13">
        <f>IF(A97="","",SUMIFS('Bán hàng'!$F$5:$F$5004,'Bán hàng'!$D$5:$D$5004,A97))</f>
        <v/>
      </c>
      <c r="J97" s="13">
        <f>IF(A97="","",F97+H97-I97)</f>
        <v/>
      </c>
      <c r="K97" s="14">
        <f>IF(A97="","",IF(J97&lt;=0,"Hết hàng",IF(J97&lt;=G97,"Sắp hết","Còn hàng")))</f>
        <v/>
      </c>
    </row>
    <row r="98">
      <c r="A98" s="10" t="n"/>
      <c r="B98" s="10" t="n"/>
      <c r="C98" s="10" t="n"/>
      <c r="D98" s="11" t="n"/>
      <c r="E98" s="11" t="n"/>
      <c r="F98" s="12" t="n"/>
      <c r="G98" s="12" t="n"/>
      <c r="H98" s="13">
        <f>IF(A98="","",SUMIFS('Nhập kho'!$D$5:$D$2004,'Nhập kho'!$B$5:$B$2004,A98))</f>
        <v/>
      </c>
      <c r="I98" s="13">
        <f>IF(A98="","",SUMIFS('Bán hàng'!$F$5:$F$5004,'Bán hàng'!$D$5:$D$5004,A98))</f>
        <v/>
      </c>
      <c r="J98" s="13">
        <f>IF(A98="","",F98+H98-I98)</f>
        <v/>
      </c>
      <c r="K98" s="14">
        <f>IF(A98="","",IF(J98&lt;=0,"Hết hàng",IF(J98&lt;=G98,"Sắp hết","Còn hàng")))</f>
        <v/>
      </c>
    </row>
    <row r="99">
      <c r="A99" s="10" t="n"/>
      <c r="B99" s="10" t="n"/>
      <c r="C99" s="10" t="n"/>
      <c r="D99" s="11" t="n"/>
      <c r="E99" s="11" t="n"/>
      <c r="F99" s="12" t="n"/>
      <c r="G99" s="12" t="n"/>
      <c r="H99" s="13">
        <f>IF(A99="","",SUMIFS('Nhập kho'!$D$5:$D$2004,'Nhập kho'!$B$5:$B$2004,A99))</f>
        <v/>
      </c>
      <c r="I99" s="13">
        <f>IF(A99="","",SUMIFS('Bán hàng'!$F$5:$F$5004,'Bán hàng'!$D$5:$D$5004,A99))</f>
        <v/>
      </c>
      <c r="J99" s="13">
        <f>IF(A99="","",F99+H99-I99)</f>
        <v/>
      </c>
      <c r="K99" s="14">
        <f>IF(A99="","",IF(J99&lt;=0,"Hết hàng",IF(J99&lt;=G99,"Sắp hết","Còn hàng")))</f>
        <v/>
      </c>
    </row>
    <row r="100">
      <c r="A100" s="10" t="n"/>
      <c r="B100" s="10" t="n"/>
      <c r="C100" s="10" t="n"/>
      <c r="D100" s="11" t="n"/>
      <c r="E100" s="11" t="n"/>
      <c r="F100" s="12" t="n"/>
      <c r="G100" s="12" t="n"/>
      <c r="H100" s="13">
        <f>IF(A100="","",SUMIFS('Nhập kho'!$D$5:$D$2004,'Nhập kho'!$B$5:$B$2004,A100))</f>
        <v/>
      </c>
      <c r="I100" s="13">
        <f>IF(A100="","",SUMIFS('Bán hàng'!$F$5:$F$5004,'Bán hàng'!$D$5:$D$5004,A100))</f>
        <v/>
      </c>
      <c r="J100" s="13">
        <f>IF(A100="","",F100+H100-I100)</f>
        <v/>
      </c>
      <c r="K100" s="14">
        <f>IF(A100="","",IF(J100&lt;=0,"Hết hàng",IF(J100&lt;=G100,"Sắp hết","Còn hàng")))</f>
        <v/>
      </c>
    </row>
    <row r="101">
      <c r="A101" s="10" t="n"/>
      <c r="B101" s="10" t="n"/>
      <c r="C101" s="10" t="n"/>
      <c r="D101" s="11" t="n"/>
      <c r="E101" s="11" t="n"/>
      <c r="F101" s="12" t="n"/>
      <c r="G101" s="12" t="n"/>
      <c r="H101" s="13">
        <f>IF(A101="","",SUMIFS('Nhập kho'!$D$5:$D$2004,'Nhập kho'!$B$5:$B$2004,A101))</f>
        <v/>
      </c>
      <c r="I101" s="13">
        <f>IF(A101="","",SUMIFS('Bán hàng'!$F$5:$F$5004,'Bán hàng'!$D$5:$D$5004,A101))</f>
        <v/>
      </c>
      <c r="J101" s="13">
        <f>IF(A101="","",F101+H101-I101)</f>
        <v/>
      </c>
      <c r="K101" s="14">
        <f>IF(A101="","",IF(J101&lt;=0,"Hết hàng",IF(J101&lt;=G101,"Sắp hết","Còn hàng")))</f>
        <v/>
      </c>
    </row>
    <row r="102">
      <c r="A102" s="10" t="n"/>
      <c r="B102" s="10" t="n"/>
      <c r="C102" s="10" t="n"/>
      <c r="D102" s="11" t="n"/>
      <c r="E102" s="11" t="n"/>
      <c r="F102" s="12" t="n"/>
      <c r="G102" s="12" t="n"/>
      <c r="H102" s="13">
        <f>IF(A102="","",SUMIFS('Nhập kho'!$D$5:$D$2004,'Nhập kho'!$B$5:$B$2004,A102))</f>
        <v/>
      </c>
      <c r="I102" s="13">
        <f>IF(A102="","",SUMIFS('Bán hàng'!$F$5:$F$5004,'Bán hàng'!$D$5:$D$5004,A102))</f>
        <v/>
      </c>
      <c r="J102" s="13">
        <f>IF(A102="","",F102+H102-I102)</f>
        <v/>
      </c>
      <c r="K102" s="14">
        <f>IF(A102="","",IF(J102&lt;=0,"Hết hàng",IF(J102&lt;=G102,"Sắp hết","Còn hàng")))</f>
        <v/>
      </c>
    </row>
    <row r="103">
      <c r="A103" s="10" t="n"/>
      <c r="B103" s="10" t="n"/>
      <c r="C103" s="10" t="n"/>
      <c r="D103" s="11" t="n"/>
      <c r="E103" s="11" t="n"/>
      <c r="F103" s="12" t="n"/>
      <c r="G103" s="12" t="n"/>
      <c r="H103" s="13">
        <f>IF(A103="","",SUMIFS('Nhập kho'!$D$5:$D$2004,'Nhập kho'!$B$5:$B$2004,A103))</f>
        <v/>
      </c>
      <c r="I103" s="13">
        <f>IF(A103="","",SUMIFS('Bán hàng'!$F$5:$F$5004,'Bán hàng'!$D$5:$D$5004,A103))</f>
        <v/>
      </c>
      <c r="J103" s="13">
        <f>IF(A103="","",F103+H103-I103)</f>
        <v/>
      </c>
      <c r="K103" s="14">
        <f>IF(A103="","",IF(J103&lt;=0,"Hết hàng",IF(J103&lt;=G103,"Sắp hết","Còn hàng")))</f>
        <v/>
      </c>
    </row>
    <row r="104">
      <c r="A104" s="10" t="n"/>
      <c r="B104" s="10" t="n"/>
      <c r="C104" s="10" t="n"/>
      <c r="D104" s="11" t="n"/>
      <c r="E104" s="11" t="n"/>
      <c r="F104" s="12" t="n"/>
      <c r="G104" s="12" t="n"/>
      <c r="H104" s="13">
        <f>IF(A104="","",SUMIFS('Nhập kho'!$D$5:$D$2004,'Nhập kho'!$B$5:$B$2004,A104))</f>
        <v/>
      </c>
      <c r="I104" s="13">
        <f>IF(A104="","",SUMIFS('Bán hàng'!$F$5:$F$5004,'Bán hàng'!$D$5:$D$5004,A104))</f>
        <v/>
      </c>
      <c r="J104" s="13">
        <f>IF(A104="","",F104+H104-I104)</f>
        <v/>
      </c>
      <c r="K104" s="14">
        <f>IF(A104="","",IF(J104&lt;=0,"Hết hàng",IF(J104&lt;=G104,"Sắp hết","Còn hàng")))</f>
        <v/>
      </c>
    </row>
    <row r="105">
      <c r="A105" s="10" t="n"/>
      <c r="B105" s="10" t="n"/>
      <c r="C105" s="10" t="n"/>
      <c r="D105" s="11" t="n"/>
      <c r="E105" s="11" t="n"/>
      <c r="F105" s="12" t="n"/>
      <c r="G105" s="12" t="n"/>
      <c r="H105" s="13">
        <f>IF(A105="","",SUMIFS('Nhập kho'!$D$5:$D$2004,'Nhập kho'!$B$5:$B$2004,A105))</f>
        <v/>
      </c>
      <c r="I105" s="13">
        <f>IF(A105="","",SUMIFS('Bán hàng'!$F$5:$F$5004,'Bán hàng'!$D$5:$D$5004,A105))</f>
        <v/>
      </c>
      <c r="J105" s="13">
        <f>IF(A105="","",F105+H105-I105)</f>
        <v/>
      </c>
      <c r="K105" s="14">
        <f>IF(A105="","",IF(J105&lt;=0,"Hết hàng",IF(J105&lt;=G105,"Sắp hết","Còn hàng")))</f>
        <v/>
      </c>
    </row>
    <row r="106">
      <c r="A106" s="10" t="n"/>
      <c r="B106" s="10" t="n"/>
      <c r="C106" s="10" t="n"/>
      <c r="D106" s="11" t="n"/>
      <c r="E106" s="11" t="n"/>
      <c r="F106" s="12" t="n"/>
      <c r="G106" s="12" t="n"/>
      <c r="H106" s="13">
        <f>IF(A106="","",SUMIFS('Nhập kho'!$D$5:$D$2004,'Nhập kho'!$B$5:$B$2004,A106))</f>
        <v/>
      </c>
      <c r="I106" s="13">
        <f>IF(A106="","",SUMIFS('Bán hàng'!$F$5:$F$5004,'Bán hàng'!$D$5:$D$5004,A106))</f>
        <v/>
      </c>
      <c r="J106" s="13">
        <f>IF(A106="","",F106+H106-I106)</f>
        <v/>
      </c>
      <c r="K106" s="14">
        <f>IF(A106="","",IF(J106&lt;=0,"Hết hàng",IF(J106&lt;=G106,"Sắp hết","Còn hàng")))</f>
        <v/>
      </c>
    </row>
    <row r="107">
      <c r="A107" s="10" t="n"/>
      <c r="B107" s="10" t="n"/>
      <c r="C107" s="10" t="n"/>
      <c r="D107" s="11" t="n"/>
      <c r="E107" s="11" t="n"/>
      <c r="F107" s="12" t="n"/>
      <c r="G107" s="12" t="n"/>
      <c r="H107" s="13">
        <f>IF(A107="","",SUMIFS('Nhập kho'!$D$5:$D$2004,'Nhập kho'!$B$5:$B$2004,A107))</f>
        <v/>
      </c>
      <c r="I107" s="13">
        <f>IF(A107="","",SUMIFS('Bán hàng'!$F$5:$F$5004,'Bán hàng'!$D$5:$D$5004,A107))</f>
        <v/>
      </c>
      <c r="J107" s="13">
        <f>IF(A107="","",F107+H107-I107)</f>
        <v/>
      </c>
      <c r="K107" s="14">
        <f>IF(A107="","",IF(J107&lt;=0,"Hết hàng",IF(J107&lt;=G107,"Sắp hết","Còn hàng")))</f>
        <v/>
      </c>
    </row>
    <row r="108">
      <c r="A108" s="10" t="n"/>
      <c r="B108" s="10" t="n"/>
      <c r="C108" s="10" t="n"/>
      <c r="D108" s="11" t="n"/>
      <c r="E108" s="11" t="n"/>
      <c r="F108" s="12" t="n"/>
      <c r="G108" s="12" t="n"/>
      <c r="H108" s="13">
        <f>IF(A108="","",SUMIFS('Nhập kho'!$D$5:$D$2004,'Nhập kho'!$B$5:$B$2004,A108))</f>
        <v/>
      </c>
      <c r="I108" s="13">
        <f>IF(A108="","",SUMIFS('Bán hàng'!$F$5:$F$5004,'Bán hàng'!$D$5:$D$5004,A108))</f>
        <v/>
      </c>
      <c r="J108" s="13">
        <f>IF(A108="","",F108+H108-I108)</f>
        <v/>
      </c>
      <c r="K108" s="14">
        <f>IF(A108="","",IF(J108&lt;=0,"Hết hàng",IF(J108&lt;=G108,"Sắp hết","Còn hàng")))</f>
        <v/>
      </c>
    </row>
    <row r="109">
      <c r="A109" s="10" t="n"/>
      <c r="B109" s="10" t="n"/>
      <c r="C109" s="10" t="n"/>
      <c r="D109" s="11" t="n"/>
      <c r="E109" s="11" t="n"/>
      <c r="F109" s="12" t="n"/>
      <c r="G109" s="12" t="n"/>
      <c r="H109" s="13">
        <f>IF(A109="","",SUMIFS('Nhập kho'!$D$5:$D$2004,'Nhập kho'!$B$5:$B$2004,A109))</f>
        <v/>
      </c>
      <c r="I109" s="13">
        <f>IF(A109="","",SUMIFS('Bán hàng'!$F$5:$F$5004,'Bán hàng'!$D$5:$D$5004,A109))</f>
        <v/>
      </c>
      <c r="J109" s="13">
        <f>IF(A109="","",F109+H109-I109)</f>
        <v/>
      </c>
      <c r="K109" s="14">
        <f>IF(A109="","",IF(J109&lt;=0,"Hết hàng",IF(J109&lt;=G109,"Sắp hết","Còn hàng")))</f>
        <v/>
      </c>
    </row>
    <row r="110">
      <c r="A110" s="10" t="n"/>
      <c r="B110" s="10" t="n"/>
      <c r="C110" s="10" t="n"/>
      <c r="D110" s="11" t="n"/>
      <c r="E110" s="11" t="n"/>
      <c r="F110" s="12" t="n"/>
      <c r="G110" s="12" t="n"/>
      <c r="H110" s="13">
        <f>IF(A110="","",SUMIFS('Nhập kho'!$D$5:$D$2004,'Nhập kho'!$B$5:$B$2004,A110))</f>
        <v/>
      </c>
      <c r="I110" s="13">
        <f>IF(A110="","",SUMIFS('Bán hàng'!$F$5:$F$5004,'Bán hàng'!$D$5:$D$5004,A110))</f>
        <v/>
      </c>
      <c r="J110" s="13">
        <f>IF(A110="","",F110+H110-I110)</f>
        <v/>
      </c>
      <c r="K110" s="14">
        <f>IF(A110="","",IF(J110&lt;=0,"Hết hàng",IF(J110&lt;=G110,"Sắp hết","Còn hàng")))</f>
        <v/>
      </c>
    </row>
    <row r="111">
      <c r="A111" s="10" t="n"/>
      <c r="B111" s="10" t="n"/>
      <c r="C111" s="10" t="n"/>
      <c r="D111" s="11" t="n"/>
      <c r="E111" s="11" t="n"/>
      <c r="F111" s="12" t="n"/>
      <c r="G111" s="12" t="n"/>
      <c r="H111" s="13">
        <f>IF(A111="","",SUMIFS('Nhập kho'!$D$5:$D$2004,'Nhập kho'!$B$5:$B$2004,A111))</f>
        <v/>
      </c>
      <c r="I111" s="13">
        <f>IF(A111="","",SUMIFS('Bán hàng'!$F$5:$F$5004,'Bán hàng'!$D$5:$D$5004,A111))</f>
        <v/>
      </c>
      <c r="J111" s="13">
        <f>IF(A111="","",F111+H111-I111)</f>
        <v/>
      </c>
      <c r="K111" s="14">
        <f>IF(A111="","",IF(J111&lt;=0,"Hết hàng",IF(J111&lt;=G111,"Sắp hết","Còn hàng")))</f>
        <v/>
      </c>
    </row>
    <row r="112">
      <c r="A112" s="10" t="n"/>
      <c r="B112" s="10" t="n"/>
      <c r="C112" s="10" t="n"/>
      <c r="D112" s="11" t="n"/>
      <c r="E112" s="11" t="n"/>
      <c r="F112" s="12" t="n"/>
      <c r="G112" s="12" t="n"/>
      <c r="H112" s="13">
        <f>IF(A112="","",SUMIFS('Nhập kho'!$D$5:$D$2004,'Nhập kho'!$B$5:$B$2004,A112))</f>
        <v/>
      </c>
      <c r="I112" s="13">
        <f>IF(A112="","",SUMIFS('Bán hàng'!$F$5:$F$5004,'Bán hàng'!$D$5:$D$5004,A112))</f>
        <v/>
      </c>
      <c r="J112" s="13">
        <f>IF(A112="","",F112+H112-I112)</f>
        <v/>
      </c>
      <c r="K112" s="14">
        <f>IF(A112="","",IF(J112&lt;=0,"Hết hàng",IF(J112&lt;=G112,"Sắp hết","Còn hàng")))</f>
        <v/>
      </c>
    </row>
    <row r="113">
      <c r="A113" s="10" t="n"/>
      <c r="B113" s="10" t="n"/>
      <c r="C113" s="10" t="n"/>
      <c r="D113" s="11" t="n"/>
      <c r="E113" s="11" t="n"/>
      <c r="F113" s="12" t="n"/>
      <c r="G113" s="12" t="n"/>
      <c r="H113" s="13">
        <f>IF(A113="","",SUMIFS('Nhập kho'!$D$5:$D$2004,'Nhập kho'!$B$5:$B$2004,A113))</f>
        <v/>
      </c>
      <c r="I113" s="13">
        <f>IF(A113="","",SUMIFS('Bán hàng'!$F$5:$F$5004,'Bán hàng'!$D$5:$D$5004,A113))</f>
        <v/>
      </c>
      <c r="J113" s="13">
        <f>IF(A113="","",F113+H113-I113)</f>
        <v/>
      </c>
      <c r="K113" s="14">
        <f>IF(A113="","",IF(J113&lt;=0,"Hết hàng",IF(J113&lt;=G113,"Sắp hết","Còn hàng")))</f>
        <v/>
      </c>
    </row>
    <row r="114">
      <c r="A114" s="10" t="n"/>
      <c r="B114" s="10" t="n"/>
      <c r="C114" s="10" t="n"/>
      <c r="D114" s="11" t="n"/>
      <c r="E114" s="11" t="n"/>
      <c r="F114" s="12" t="n"/>
      <c r="G114" s="12" t="n"/>
      <c r="H114" s="13">
        <f>IF(A114="","",SUMIFS('Nhập kho'!$D$5:$D$2004,'Nhập kho'!$B$5:$B$2004,A114))</f>
        <v/>
      </c>
      <c r="I114" s="13">
        <f>IF(A114="","",SUMIFS('Bán hàng'!$F$5:$F$5004,'Bán hàng'!$D$5:$D$5004,A114))</f>
        <v/>
      </c>
      <c r="J114" s="13">
        <f>IF(A114="","",F114+H114-I114)</f>
        <v/>
      </c>
      <c r="K114" s="14">
        <f>IF(A114="","",IF(J114&lt;=0,"Hết hàng",IF(J114&lt;=G114,"Sắp hết","Còn hàng")))</f>
        <v/>
      </c>
    </row>
    <row r="115">
      <c r="A115" s="10" t="n"/>
      <c r="B115" s="10" t="n"/>
      <c r="C115" s="10" t="n"/>
      <c r="D115" s="11" t="n"/>
      <c r="E115" s="11" t="n"/>
      <c r="F115" s="12" t="n"/>
      <c r="G115" s="12" t="n"/>
      <c r="H115" s="13">
        <f>IF(A115="","",SUMIFS('Nhập kho'!$D$5:$D$2004,'Nhập kho'!$B$5:$B$2004,A115))</f>
        <v/>
      </c>
      <c r="I115" s="13">
        <f>IF(A115="","",SUMIFS('Bán hàng'!$F$5:$F$5004,'Bán hàng'!$D$5:$D$5004,A115))</f>
        <v/>
      </c>
      <c r="J115" s="13">
        <f>IF(A115="","",F115+H115-I115)</f>
        <v/>
      </c>
      <c r="K115" s="14">
        <f>IF(A115="","",IF(J115&lt;=0,"Hết hàng",IF(J115&lt;=G115,"Sắp hết","Còn hàng")))</f>
        <v/>
      </c>
    </row>
    <row r="116">
      <c r="A116" s="10" t="n"/>
      <c r="B116" s="10" t="n"/>
      <c r="C116" s="10" t="n"/>
      <c r="D116" s="11" t="n"/>
      <c r="E116" s="11" t="n"/>
      <c r="F116" s="12" t="n"/>
      <c r="G116" s="12" t="n"/>
      <c r="H116" s="13">
        <f>IF(A116="","",SUMIFS('Nhập kho'!$D$5:$D$2004,'Nhập kho'!$B$5:$B$2004,A116))</f>
        <v/>
      </c>
      <c r="I116" s="13">
        <f>IF(A116="","",SUMIFS('Bán hàng'!$F$5:$F$5004,'Bán hàng'!$D$5:$D$5004,A116))</f>
        <v/>
      </c>
      <c r="J116" s="13">
        <f>IF(A116="","",F116+H116-I116)</f>
        <v/>
      </c>
      <c r="K116" s="14">
        <f>IF(A116="","",IF(J116&lt;=0,"Hết hàng",IF(J116&lt;=G116,"Sắp hết","Còn hàng")))</f>
        <v/>
      </c>
    </row>
    <row r="117">
      <c r="A117" s="10" t="n"/>
      <c r="B117" s="10" t="n"/>
      <c r="C117" s="10" t="n"/>
      <c r="D117" s="11" t="n"/>
      <c r="E117" s="11" t="n"/>
      <c r="F117" s="12" t="n"/>
      <c r="G117" s="12" t="n"/>
      <c r="H117" s="13">
        <f>IF(A117="","",SUMIFS('Nhập kho'!$D$5:$D$2004,'Nhập kho'!$B$5:$B$2004,A117))</f>
        <v/>
      </c>
      <c r="I117" s="13">
        <f>IF(A117="","",SUMIFS('Bán hàng'!$F$5:$F$5004,'Bán hàng'!$D$5:$D$5004,A117))</f>
        <v/>
      </c>
      <c r="J117" s="13">
        <f>IF(A117="","",F117+H117-I117)</f>
        <v/>
      </c>
      <c r="K117" s="14">
        <f>IF(A117="","",IF(J117&lt;=0,"Hết hàng",IF(J117&lt;=G117,"Sắp hết","Còn hàng")))</f>
        <v/>
      </c>
    </row>
    <row r="118">
      <c r="A118" s="10" t="n"/>
      <c r="B118" s="10" t="n"/>
      <c r="C118" s="10" t="n"/>
      <c r="D118" s="11" t="n"/>
      <c r="E118" s="11" t="n"/>
      <c r="F118" s="12" t="n"/>
      <c r="G118" s="12" t="n"/>
      <c r="H118" s="13">
        <f>IF(A118="","",SUMIFS('Nhập kho'!$D$5:$D$2004,'Nhập kho'!$B$5:$B$2004,A118))</f>
        <v/>
      </c>
      <c r="I118" s="13">
        <f>IF(A118="","",SUMIFS('Bán hàng'!$F$5:$F$5004,'Bán hàng'!$D$5:$D$5004,A118))</f>
        <v/>
      </c>
      <c r="J118" s="13">
        <f>IF(A118="","",F118+H118-I118)</f>
        <v/>
      </c>
      <c r="K118" s="14">
        <f>IF(A118="","",IF(J118&lt;=0,"Hết hàng",IF(J118&lt;=G118,"Sắp hết","Còn hàng")))</f>
        <v/>
      </c>
    </row>
    <row r="119">
      <c r="A119" s="10" t="n"/>
      <c r="B119" s="10" t="n"/>
      <c r="C119" s="10" t="n"/>
      <c r="D119" s="11" t="n"/>
      <c r="E119" s="11" t="n"/>
      <c r="F119" s="12" t="n"/>
      <c r="G119" s="12" t="n"/>
      <c r="H119" s="13">
        <f>IF(A119="","",SUMIFS('Nhập kho'!$D$5:$D$2004,'Nhập kho'!$B$5:$B$2004,A119))</f>
        <v/>
      </c>
      <c r="I119" s="13">
        <f>IF(A119="","",SUMIFS('Bán hàng'!$F$5:$F$5004,'Bán hàng'!$D$5:$D$5004,A119))</f>
        <v/>
      </c>
      <c r="J119" s="13">
        <f>IF(A119="","",F119+H119-I119)</f>
        <v/>
      </c>
      <c r="K119" s="14">
        <f>IF(A119="","",IF(J119&lt;=0,"Hết hàng",IF(J119&lt;=G119,"Sắp hết","Còn hàng")))</f>
        <v/>
      </c>
    </row>
    <row r="120">
      <c r="A120" s="10" t="n"/>
      <c r="B120" s="10" t="n"/>
      <c r="C120" s="10" t="n"/>
      <c r="D120" s="11" t="n"/>
      <c r="E120" s="11" t="n"/>
      <c r="F120" s="12" t="n"/>
      <c r="G120" s="12" t="n"/>
      <c r="H120" s="13">
        <f>IF(A120="","",SUMIFS('Nhập kho'!$D$5:$D$2004,'Nhập kho'!$B$5:$B$2004,A120))</f>
        <v/>
      </c>
      <c r="I120" s="13">
        <f>IF(A120="","",SUMIFS('Bán hàng'!$F$5:$F$5004,'Bán hàng'!$D$5:$D$5004,A120))</f>
        <v/>
      </c>
      <c r="J120" s="13">
        <f>IF(A120="","",F120+H120-I120)</f>
        <v/>
      </c>
      <c r="K120" s="14">
        <f>IF(A120="","",IF(J120&lt;=0,"Hết hàng",IF(J120&lt;=G120,"Sắp hết","Còn hàng")))</f>
        <v/>
      </c>
    </row>
    <row r="121">
      <c r="A121" s="10" t="n"/>
      <c r="B121" s="10" t="n"/>
      <c r="C121" s="10" t="n"/>
      <c r="D121" s="11" t="n"/>
      <c r="E121" s="11" t="n"/>
      <c r="F121" s="12" t="n"/>
      <c r="G121" s="12" t="n"/>
      <c r="H121" s="13">
        <f>IF(A121="","",SUMIFS('Nhập kho'!$D$5:$D$2004,'Nhập kho'!$B$5:$B$2004,A121))</f>
        <v/>
      </c>
      <c r="I121" s="13">
        <f>IF(A121="","",SUMIFS('Bán hàng'!$F$5:$F$5004,'Bán hàng'!$D$5:$D$5004,A121))</f>
        <v/>
      </c>
      <c r="J121" s="13">
        <f>IF(A121="","",F121+H121-I121)</f>
        <v/>
      </c>
      <c r="K121" s="14">
        <f>IF(A121="","",IF(J121&lt;=0,"Hết hàng",IF(J121&lt;=G121,"Sắp hết","Còn hàng")))</f>
        <v/>
      </c>
    </row>
    <row r="122">
      <c r="A122" s="10" t="n"/>
      <c r="B122" s="10" t="n"/>
      <c r="C122" s="10" t="n"/>
      <c r="D122" s="11" t="n"/>
      <c r="E122" s="11" t="n"/>
      <c r="F122" s="12" t="n"/>
      <c r="G122" s="12" t="n"/>
      <c r="H122" s="13">
        <f>IF(A122="","",SUMIFS('Nhập kho'!$D$5:$D$2004,'Nhập kho'!$B$5:$B$2004,A122))</f>
        <v/>
      </c>
      <c r="I122" s="13">
        <f>IF(A122="","",SUMIFS('Bán hàng'!$F$5:$F$5004,'Bán hàng'!$D$5:$D$5004,A122))</f>
        <v/>
      </c>
      <c r="J122" s="13">
        <f>IF(A122="","",F122+H122-I122)</f>
        <v/>
      </c>
      <c r="K122" s="14">
        <f>IF(A122="","",IF(J122&lt;=0,"Hết hàng",IF(J122&lt;=G122,"Sắp hết","Còn hàng")))</f>
        <v/>
      </c>
    </row>
    <row r="123">
      <c r="A123" s="10" t="n"/>
      <c r="B123" s="10" t="n"/>
      <c r="C123" s="10" t="n"/>
      <c r="D123" s="11" t="n"/>
      <c r="E123" s="11" t="n"/>
      <c r="F123" s="12" t="n"/>
      <c r="G123" s="12" t="n"/>
      <c r="H123" s="13">
        <f>IF(A123="","",SUMIFS('Nhập kho'!$D$5:$D$2004,'Nhập kho'!$B$5:$B$2004,A123))</f>
        <v/>
      </c>
      <c r="I123" s="13">
        <f>IF(A123="","",SUMIFS('Bán hàng'!$F$5:$F$5004,'Bán hàng'!$D$5:$D$5004,A123))</f>
        <v/>
      </c>
      <c r="J123" s="13">
        <f>IF(A123="","",F123+H123-I123)</f>
        <v/>
      </c>
      <c r="K123" s="14">
        <f>IF(A123="","",IF(J123&lt;=0,"Hết hàng",IF(J123&lt;=G123,"Sắp hết","Còn hàng")))</f>
        <v/>
      </c>
    </row>
    <row r="124">
      <c r="A124" s="10" t="n"/>
      <c r="B124" s="10" t="n"/>
      <c r="C124" s="10" t="n"/>
      <c r="D124" s="11" t="n"/>
      <c r="E124" s="11" t="n"/>
      <c r="F124" s="12" t="n"/>
      <c r="G124" s="12" t="n"/>
      <c r="H124" s="13">
        <f>IF(A124="","",SUMIFS('Nhập kho'!$D$5:$D$2004,'Nhập kho'!$B$5:$B$2004,A124))</f>
        <v/>
      </c>
      <c r="I124" s="13">
        <f>IF(A124="","",SUMIFS('Bán hàng'!$F$5:$F$5004,'Bán hàng'!$D$5:$D$5004,A124))</f>
        <v/>
      </c>
      <c r="J124" s="13">
        <f>IF(A124="","",F124+H124-I124)</f>
        <v/>
      </c>
      <c r="K124" s="14">
        <f>IF(A124="","",IF(J124&lt;=0,"Hết hàng",IF(J124&lt;=G124,"Sắp hết","Còn hàng")))</f>
        <v/>
      </c>
    </row>
    <row r="125">
      <c r="A125" s="10" t="n"/>
      <c r="B125" s="10" t="n"/>
      <c r="C125" s="10" t="n"/>
      <c r="D125" s="11" t="n"/>
      <c r="E125" s="11" t="n"/>
      <c r="F125" s="12" t="n"/>
      <c r="G125" s="12" t="n"/>
      <c r="H125" s="13">
        <f>IF(A125="","",SUMIFS('Nhập kho'!$D$5:$D$2004,'Nhập kho'!$B$5:$B$2004,A125))</f>
        <v/>
      </c>
      <c r="I125" s="13">
        <f>IF(A125="","",SUMIFS('Bán hàng'!$F$5:$F$5004,'Bán hàng'!$D$5:$D$5004,A125))</f>
        <v/>
      </c>
      <c r="J125" s="13">
        <f>IF(A125="","",F125+H125-I125)</f>
        <v/>
      </c>
      <c r="K125" s="14">
        <f>IF(A125="","",IF(J125&lt;=0,"Hết hàng",IF(J125&lt;=G125,"Sắp hết","Còn hàng")))</f>
        <v/>
      </c>
    </row>
    <row r="126">
      <c r="A126" s="10" t="n"/>
      <c r="B126" s="10" t="n"/>
      <c r="C126" s="10" t="n"/>
      <c r="D126" s="11" t="n"/>
      <c r="E126" s="11" t="n"/>
      <c r="F126" s="12" t="n"/>
      <c r="G126" s="12" t="n"/>
      <c r="H126" s="13">
        <f>IF(A126="","",SUMIFS('Nhập kho'!$D$5:$D$2004,'Nhập kho'!$B$5:$B$2004,A126))</f>
        <v/>
      </c>
      <c r="I126" s="13">
        <f>IF(A126="","",SUMIFS('Bán hàng'!$F$5:$F$5004,'Bán hàng'!$D$5:$D$5004,A126))</f>
        <v/>
      </c>
      <c r="J126" s="13">
        <f>IF(A126="","",F126+H126-I126)</f>
        <v/>
      </c>
      <c r="K126" s="14">
        <f>IF(A126="","",IF(J126&lt;=0,"Hết hàng",IF(J126&lt;=G126,"Sắp hết","Còn hàng")))</f>
        <v/>
      </c>
    </row>
    <row r="127">
      <c r="A127" s="10" t="n"/>
      <c r="B127" s="10" t="n"/>
      <c r="C127" s="10" t="n"/>
      <c r="D127" s="11" t="n"/>
      <c r="E127" s="11" t="n"/>
      <c r="F127" s="12" t="n"/>
      <c r="G127" s="12" t="n"/>
      <c r="H127" s="13">
        <f>IF(A127="","",SUMIFS('Nhập kho'!$D$5:$D$2004,'Nhập kho'!$B$5:$B$2004,A127))</f>
        <v/>
      </c>
      <c r="I127" s="13">
        <f>IF(A127="","",SUMIFS('Bán hàng'!$F$5:$F$5004,'Bán hàng'!$D$5:$D$5004,A127))</f>
        <v/>
      </c>
      <c r="J127" s="13">
        <f>IF(A127="","",F127+H127-I127)</f>
        <v/>
      </c>
      <c r="K127" s="14">
        <f>IF(A127="","",IF(J127&lt;=0,"Hết hàng",IF(J127&lt;=G127,"Sắp hết","Còn hàng")))</f>
        <v/>
      </c>
    </row>
    <row r="128">
      <c r="A128" s="10" t="n"/>
      <c r="B128" s="10" t="n"/>
      <c r="C128" s="10" t="n"/>
      <c r="D128" s="11" t="n"/>
      <c r="E128" s="11" t="n"/>
      <c r="F128" s="12" t="n"/>
      <c r="G128" s="12" t="n"/>
      <c r="H128" s="13">
        <f>IF(A128="","",SUMIFS('Nhập kho'!$D$5:$D$2004,'Nhập kho'!$B$5:$B$2004,A128))</f>
        <v/>
      </c>
      <c r="I128" s="13">
        <f>IF(A128="","",SUMIFS('Bán hàng'!$F$5:$F$5004,'Bán hàng'!$D$5:$D$5004,A128))</f>
        <v/>
      </c>
      <c r="J128" s="13">
        <f>IF(A128="","",F128+H128-I128)</f>
        <v/>
      </c>
      <c r="K128" s="14">
        <f>IF(A128="","",IF(J128&lt;=0,"Hết hàng",IF(J128&lt;=G128,"Sắp hết","Còn hàng")))</f>
        <v/>
      </c>
    </row>
    <row r="129">
      <c r="A129" s="10" t="n"/>
      <c r="B129" s="10" t="n"/>
      <c r="C129" s="10" t="n"/>
      <c r="D129" s="11" t="n"/>
      <c r="E129" s="11" t="n"/>
      <c r="F129" s="12" t="n"/>
      <c r="G129" s="12" t="n"/>
      <c r="H129" s="13">
        <f>IF(A129="","",SUMIFS('Nhập kho'!$D$5:$D$2004,'Nhập kho'!$B$5:$B$2004,A129))</f>
        <v/>
      </c>
      <c r="I129" s="13">
        <f>IF(A129="","",SUMIFS('Bán hàng'!$F$5:$F$5004,'Bán hàng'!$D$5:$D$5004,A129))</f>
        <v/>
      </c>
      <c r="J129" s="13">
        <f>IF(A129="","",F129+H129-I129)</f>
        <v/>
      </c>
      <c r="K129" s="14">
        <f>IF(A129="","",IF(J129&lt;=0,"Hết hàng",IF(J129&lt;=G129,"Sắp hết","Còn hàng")))</f>
        <v/>
      </c>
    </row>
    <row r="130">
      <c r="A130" s="10" t="n"/>
      <c r="B130" s="10" t="n"/>
      <c r="C130" s="10" t="n"/>
      <c r="D130" s="11" t="n"/>
      <c r="E130" s="11" t="n"/>
      <c r="F130" s="12" t="n"/>
      <c r="G130" s="12" t="n"/>
      <c r="H130" s="13">
        <f>IF(A130="","",SUMIFS('Nhập kho'!$D$5:$D$2004,'Nhập kho'!$B$5:$B$2004,A130))</f>
        <v/>
      </c>
      <c r="I130" s="13">
        <f>IF(A130="","",SUMIFS('Bán hàng'!$F$5:$F$5004,'Bán hàng'!$D$5:$D$5004,A130))</f>
        <v/>
      </c>
      <c r="J130" s="13">
        <f>IF(A130="","",F130+H130-I130)</f>
        <v/>
      </c>
      <c r="K130" s="14">
        <f>IF(A130="","",IF(J130&lt;=0,"Hết hàng",IF(J130&lt;=G130,"Sắp hết","Còn hàng")))</f>
        <v/>
      </c>
    </row>
    <row r="131">
      <c r="A131" s="10" t="n"/>
      <c r="B131" s="10" t="n"/>
      <c r="C131" s="10" t="n"/>
      <c r="D131" s="11" t="n"/>
      <c r="E131" s="11" t="n"/>
      <c r="F131" s="12" t="n"/>
      <c r="G131" s="12" t="n"/>
      <c r="H131" s="13">
        <f>IF(A131="","",SUMIFS('Nhập kho'!$D$5:$D$2004,'Nhập kho'!$B$5:$B$2004,A131))</f>
        <v/>
      </c>
      <c r="I131" s="13">
        <f>IF(A131="","",SUMIFS('Bán hàng'!$F$5:$F$5004,'Bán hàng'!$D$5:$D$5004,A131))</f>
        <v/>
      </c>
      <c r="J131" s="13">
        <f>IF(A131="","",F131+H131-I131)</f>
        <v/>
      </c>
      <c r="K131" s="14">
        <f>IF(A131="","",IF(J131&lt;=0,"Hết hàng",IF(J131&lt;=G131,"Sắp hết","Còn hàng")))</f>
        <v/>
      </c>
    </row>
    <row r="132">
      <c r="A132" s="10" t="n"/>
      <c r="B132" s="10" t="n"/>
      <c r="C132" s="10" t="n"/>
      <c r="D132" s="11" t="n"/>
      <c r="E132" s="11" t="n"/>
      <c r="F132" s="12" t="n"/>
      <c r="G132" s="12" t="n"/>
      <c r="H132" s="13">
        <f>IF(A132="","",SUMIFS('Nhập kho'!$D$5:$D$2004,'Nhập kho'!$B$5:$B$2004,A132))</f>
        <v/>
      </c>
      <c r="I132" s="13">
        <f>IF(A132="","",SUMIFS('Bán hàng'!$F$5:$F$5004,'Bán hàng'!$D$5:$D$5004,A132))</f>
        <v/>
      </c>
      <c r="J132" s="13">
        <f>IF(A132="","",F132+H132-I132)</f>
        <v/>
      </c>
      <c r="K132" s="14">
        <f>IF(A132="","",IF(J132&lt;=0,"Hết hàng",IF(J132&lt;=G132,"Sắp hết","Còn hàng")))</f>
        <v/>
      </c>
    </row>
    <row r="133">
      <c r="A133" s="10" t="n"/>
      <c r="B133" s="10" t="n"/>
      <c r="C133" s="10" t="n"/>
      <c r="D133" s="11" t="n"/>
      <c r="E133" s="11" t="n"/>
      <c r="F133" s="12" t="n"/>
      <c r="G133" s="12" t="n"/>
      <c r="H133" s="13">
        <f>IF(A133="","",SUMIFS('Nhập kho'!$D$5:$D$2004,'Nhập kho'!$B$5:$B$2004,A133))</f>
        <v/>
      </c>
      <c r="I133" s="13">
        <f>IF(A133="","",SUMIFS('Bán hàng'!$F$5:$F$5004,'Bán hàng'!$D$5:$D$5004,A133))</f>
        <v/>
      </c>
      <c r="J133" s="13">
        <f>IF(A133="","",F133+H133-I133)</f>
        <v/>
      </c>
      <c r="K133" s="14">
        <f>IF(A133="","",IF(J133&lt;=0,"Hết hàng",IF(J133&lt;=G133,"Sắp hết","Còn hàng")))</f>
        <v/>
      </c>
    </row>
    <row r="134">
      <c r="A134" s="10" t="n"/>
      <c r="B134" s="10" t="n"/>
      <c r="C134" s="10" t="n"/>
      <c r="D134" s="11" t="n"/>
      <c r="E134" s="11" t="n"/>
      <c r="F134" s="12" t="n"/>
      <c r="G134" s="12" t="n"/>
      <c r="H134" s="13">
        <f>IF(A134="","",SUMIFS('Nhập kho'!$D$5:$D$2004,'Nhập kho'!$B$5:$B$2004,A134))</f>
        <v/>
      </c>
      <c r="I134" s="13">
        <f>IF(A134="","",SUMIFS('Bán hàng'!$F$5:$F$5004,'Bán hàng'!$D$5:$D$5004,A134))</f>
        <v/>
      </c>
      <c r="J134" s="13">
        <f>IF(A134="","",F134+H134-I134)</f>
        <v/>
      </c>
      <c r="K134" s="14">
        <f>IF(A134="","",IF(J134&lt;=0,"Hết hàng",IF(J134&lt;=G134,"Sắp hết","Còn hàng")))</f>
        <v/>
      </c>
    </row>
    <row r="135">
      <c r="A135" s="10" t="n"/>
      <c r="B135" s="10" t="n"/>
      <c r="C135" s="10" t="n"/>
      <c r="D135" s="11" t="n"/>
      <c r="E135" s="11" t="n"/>
      <c r="F135" s="12" t="n"/>
      <c r="G135" s="12" t="n"/>
      <c r="H135" s="13">
        <f>IF(A135="","",SUMIFS('Nhập kho'!$D$5:$D$2004,'Nhập kho'!$B$5:$B$2004,A135))</f>
        <v/>
      </c>
      <c r="I135" s="13">
        <f>IF(A135="","",SUMIFS('Bán hàng'!$F$5:$F$5004,'Bán hàng'!$D$5:$D$5004,A135))</f>
        <v/>
      </c>
      <c r="J135" s="13">
        <f>IF(A135="","",F135+H135-I135)</f>
        <v/>
      </c>
      <c r="K135" s="14">
        <f>IF(A135="","",IF(J135&lt;=0,"Hết hàng",IF(J135&lt;=G135,"Sắp hết","Còn hàng")))</f>
        <v/>
      </c>
    </row>
    <row r="136">
      <c r="A136" s="10" t="n"/>
      <c r="B136" s="10" t="n"/>
      <c r="C136" s="10" t="n"/>
      <c r="D136" s="11" t="n"/>
      <c r="E136" s="11" t="n"/>
      <c r="F136" s="12" t="n"/>
      <c r="G136" s="12" t="n"/>
      <c r="H136" s="13">
        <f>IF(A136="","",SUMIFS('Nhập kho'!$D$5:$D$2004,'Nhập kho'!$B$5:$B$2004,A136))</f>
        <v/>
      </c>
      <c r="I136" s="13">
        <f>IF(A136="","",SUMIFS('Bán hàng'!$F$5:$F$5004,'Bán hàng'!$D$5:$D$5004,A136))</f>
        <v/>
      </c>
      <c r="J136" s="13">
        <f>IF(A136="","",F136+H136-I136)</f>
        <v/>
      </c>
      <c r="K136" s="14">
        <f>IF(A136="","",IF(J136&lt;=0,"Hết hàng",IF(J136&lt;=G136,"Sắp hết","Còn hàng")))</f>
        <v/>
      </c>
    </row>
    <row r="137">
      <c r="A137" s="10" t="n"/>
      <c r="B137" s="10" t="n"/>
      <c r="C137" s="10" t="n"/>
      <c r="D137" s="11" t="n"/>
      <c r="E137" s="11" t="n"/>
      <c r="F137" s="12" t="n"/>
      <c r="G137" s="12" t="n"/>
      <c r="H137" s="13">
        <f>IF(A137="","",SUMIFS('Nhập kho'!$D$5:$D$2004,'Nhập kho'!$B$5:$B$2004,A137))</f>
        <v/>
      </c>
      <c r="I137" s="13">
        <f>IF(A137="","",SUMIFS('Bán hàng'!$F$5:$F$5004,'Bán hàng'!$D$5:$D$5004,A137))</f>
        <v/>
      </c>
      <c r="J137" s="13">
        <f>IF(A137="","",F137+H137-I137)</f>
        <v/>
      </c>
      <c r="K137" s="14">
        <f>IF(A137="","",IF(J137&lt;=0,"Hết hàng",IF(J137&lt;=G137,"Sắp hết","Còn hàng")))</f>
        <v/>
      </c>
    </row>
    <row r="138">
      <c r="A138" s="10" t="n"/>
      <c r="B138" s="10" t="n"/>
      <c r="C138" s="10" t="n"/>
      <c r="D138" s="11" t="n"/>
      <c r="E138" s="11" t="n"/>
      <c r="F138" s="12" t="n"/>
      <c r="G138" s="12" t="n"/>
      <c r="H138" s="13">
        <f>IF(A138="","",SUMIFS('Nhập kho'!$D$5:$D$2004,'Nhập kho'!$B$5:$B$2004,A138))</f>
        <v/>
      </c>
      <c r="I138" s="13">
        <f>IF(A138="","",SUMIFS('Bán hàng'!$F$5:$F$5004,'Bán hàng'!$D$5:$D$5004,A138))</f>
        <v/>
      </c>
      <c r="J138" s="13">
        <f>IF(A138="","",F138+H138-I138)</f>
        <v/>
      </c>
      <c r="K138" s="14">
        <f>IF(A138="","",IF(J138&lt;=0,"Hết hàng",IF(J138&lt;=G138,"Sắp hết","Còn hàng")))</f>
        <v/>
      </c>
    </row>
    <row r="139">
      <c r="A139" s="10" t="n"/>
      <c r="B139" s="10" t="n"/>
      <c r="C139" s="10" t="n"/>
      <c r="D139" s="11" t="n"/>
      <c r="E139" s="11" t="n"/>
      <c r="F139" s="12" t="n"/>
      <c r="G139" s="12" t="n"/>
      <c r="H139" s="13">
        <f>IF(A139="","",SUMIFS('Nhập kho'!$D$5:$D$2004,'Nhập kho'!$B$5:$B$2004,A139))</f>
        <v/>
      </c>
      <c r="I139" s="13">
        <f>IF(A139="","",SUMIFS('Bán hàng'!$F$5:$F$5004,'Bán hàng'!$D$5:$D$5004,A139))</f>
        <v/>
      </c>
      <c r="J139" s="13">
        <f>IF(A139="","",F139+H139-I139)</f>
        <v/>
      </c>
      <c r="K139" s="14">
        <f>IF(A139="","",IF(J139&lt;=0,"Hết hàng",IF(J139&lt;=G139,"Sắp hết","Còn hàng")))</f>
        <v/>
      </c>
    </row>
    <row r="140">
      <c r="A140" s="10" t="n"/>
      <c r="B140" s="10" t="n"/>
      <c r="C140" s="10" t="n"/>
      <c r="D140" s="11" t="n"/>
      <c r="E140" s="11" t="n"/>
      <c r="F140" s="12" t="n"/>
      <c r="G140" s="12" t="n"/>
      <c r="H140" s="13">
        <f>IF(A140="","",SUMIFS('Nhập kho'!$D$5:$D$2004,'Nhập kho'!$B$5:$B$2004,A140))</f>
        <v/>
      </c>
      <c r="I140" s="13">
        <f>IF(A140="","",SUMIFS('Bán hàng'!$F$5:$F$5004,'Bán hàng'!$D$5:$D$5004,A140))</f>
        <v/>
      </c>
      <c r="J140" s="13">
        <f>IF(A140="","",F140+H140-I140)</f>
        <v/>
      </c>
      <c r="K140" s="14">
        <f>IF(A140="","",IF(J140&lt;=0,"Hết hàng",IF(J140&lt;=G140,"Sắp hết","Còn hàng")))</f>
        <v/>
      </c>
    </row>
    <row r="141">
      <c r="A141" s="10" t="n"/>
      <c r="B141" s="10" t="n"/>
      <c r="C141" s="10" t="n"/>
      <c r="D141" s="11" t="n"/>
      <c r="E141" s="11" t="n"/>
      <c r="F141" s="12" t="n"/>
      <c r="G141" s="12" t="n"/>
      <c r="H141" s="13">
        <f>IF(A141="","",SUMIFS('Nhập kho'!$D$5:$D$2004,'Nhập kho'!$B$5:$B$2004,A141))</f>
        <v/>
      </c>
      <c r="I141" s="13">
        <f>IF(A141="","",SUMIFS('Bán hàng'!$F$5:$F$5004,'Bán hàng'!$D$5:$D$5004,A141))</f>
        <v/>
      </c>
      <c r="J141" s="13">
        <f>IF(A141="","",F141+H141-I141)</f>
        <v/>
      </c>
      <c r="K141" s="14">
        <f>IF(A141="","",IF(J141&lt;=0,"Hết hàng",IF(J141&lt;=G141,"Sắp hết","Còn hàng")))</f>
        <v/>
      </c>
    </row>
    <row r="142">
      <c r="A142" s="10" t="n"/>
      <c r="B142" s="10" t="n"/>
      <c r="C142" s="10" t="n"/>
      <c r="D142" s="11" t="n"/>
      <c r="E142" s="11" t="n"/>
      <c r="F142" s="12" t="n"/>
      <c r="G142" s="12" t="n"/>
      <c r="H142" s="13">
        <f>IF(A142="","",SUMIFS('Nhập kho'!$D$5:$D$2004,'Nhập kho'!$B$5:$B$2004,A142))</f>
        <v/>
      </c>
      <c r="I142" s="13">
        <f>IF(A142="","",SUMIFS('Bán hàng'!$F$5:$F$5004,'Bán hàng'!$D$5:$D$5004,A142))</f>
        <v/>
      </c>
      <c r="J142" s="13">
        <f>IF(A142="","",F142+H142-I142)</f>
        <v/>
      </c>
      <c r="K142" s="14">
        <f>IF(A142="","",IF(J142&lt;=0,"Hết hàng",IF(J142&lt;=G142,"Sắp hết","Còn hàng")))</f>
        <v/>
      </c>
    </row>
    <row r="143">
      <c r="A143" s="10" t="n"/>
      <c r="B143" s="10" t="n"/>
      <c r="C143" s="10" t="n"/>
      <c r="D143" s="11" t="n"/>
      <c r="E143" s="11" t="n"/>
      <c r="F143" s="12" t="n"/>
      <c r="G143" s="12" t="n"/>
      <c r="H143" s="13">
        <f>IF(A143="","",SUMIFS('Nhập kho'!$D$5:$D$2004,'Nhập kho'!$B$5:$B$2004,A143))</f>
        <v/>
      </c>
      <c r="I143" s="13">
        <f>IF(A143="","",SUMIFS('Bán hàng'!$F$5:$F$5004,'Bán hàng'!$D$5:$D$5004,A143))</f>
        <v/>
      </c>
      <c r="J143" s="13">
        <f>IF(A143="","",F143+H143-I143)</f>
        <v/>
      </c>
      <c r="K143" s="14">
        <f>IF(A143="","",IF(J143&lt;=0,"Hết hàng",IF(J143&lt;=G143,"Sắp hết","Còn hàng")))</f>
        <v/>
      </c>
    </row>
    <row r="144">
      <c r="A144" s="10" t="n"/>
      <c r="B144" s="10" t="n"/>
      <c r="C144" s="10" t="n"/>
      <c r="D144" s="11" t="n"/>
      <c r="E144" s="11" t="n"/>
      <c r="F144" s="12" t="n"/>
      <c r="G144" s="12" t="n"/>
      <c r="H144" s="13">
        <f>IF(A144="","",SUMIFS('Nhập kho'!$D$5:$D$2004,'Nhập kho'!$B$5:$B$2004,A144))</f>
        <v/>
      </c>
      <c r="I144" s="13">
        <f>IF(A144="","",SUMIFS('Bán hàng'!$F$5:$F$5004,'Bán hàng'!$D$5:$D$5004,A144))</f>
        <v/>
      </c>
      <c r="J144" s="13">
        <f>IF(A144="","",F144+H144-I144)</f>
        <v/>
      </c>
      <c r="K144" s="14">
        <f>IF(A144="","",IF(J144&lt;=0,"Hết hàng",IF(J144&lt;=G144,"Sắp hết","Còn hàng")))</f>
        <v/>
      </c>
    </row>
    <row r="145">
      <c r="A145" s="10" t="n"/>
      <c r="B145" s="10" t="n"/>
      <c r="C145" s="10" t="n"/>
      <c r="D145" s="11" t="n"/>
      <c r="E145" s="11" t="n"/>
      <c r="F145" s="12" t="n"/>
      <c r="G145" s="12" t="n"/>
      <c r="H145" s="13">
        <f>IF(A145="","",SUMIFS('Nhập kho'!$D$5:$D$2004,'Nhập kho'!$B$5:$B$2004,A145))</f>
        <v/>
      </c>
      <c r="I145" s="13">
        <f>IF(A145="","",SUMIFS('Bán hàng'!$F$5:$F$5004,'Bán hàng'!$D$5:$D$5004,A145))</f>
        <v/>
      </c>
      <c r="J145" s="13">
        <f>IF(A145="","",F145+H145-I145)</f>
        <v/>
      </c>
      <c r="K145" s="14">
        <f>IF(A145="","",IF(J145&lt;=0,"Hết hàng",IF(J145&lt;=G145,"Sắp hết","Còn hàng")))</f>
        <v/>
      </c>
    </row>
    <row r="146">
      <c r="A146" s="10" t="n"/>
      <c r="B146" s="10" t="n"/>
      <c r="C146" s="10" t="n"/>
      <c r="D146" s="11" t="n"/>
      <c r="E146" s="11" t="n"/>
      <c r="F146" s="12" t="n"/>
      <c r="G146" s="12" t="n"/>
      <c r="H146" s="13">
        <f>IF(A146="","",SUMIFS('Nhập kho'!$D$5:$D$2004,'Nhập kho'!$B$5:$B$2004,A146))</f>
        <v/>
      </c>
      <c r="I146" s="13">
        <f>IF(A146="","",SUMIFS('Bán hàng'!$F$5:$F$5004,'Bán hàng'!$D$5:$D$5004,A146))</f>
        <v/>
      </c>
      <c r="J146" s="13">
        <f>IF(A146="","",F146+H146-I146)</f>
        <v/>
      </c>
      <c r="K146" s="14">
        <f>IF(A146="","",IF(J146&lt;=0,"Hết hàng",IF(J146&lt;=G146,"Sắp hết","Còn hàng")))</f>
        <v/>
      </c>
    </row>
    <row r="147">
      <c r="A147" s="10" t="n"/>
      <c r="B147" s="10" t="n"/>
      <c r="C147" s="10" t="n"/>
      <c r="D147" s="11" t="n"/>
      <c r="E147" s="11" t="n"/>
      <c r="F147" s="12" t="n"/>
      <c r="G147" s="12" t="n"/>
      <c r="H147" s="13">
        <f>IF(A147="","",SUMIFS('Nhập kho'!$D$5:$D$2004,'Nhập kho'!$B$5:$B$2004,A147))</f>
        <v/>
      </c>
      <c r="I147" s="13">
        <f>IF(A147="","",SUMIFS('Bán hàng'!$F$5:$F$5004,'Bán hàng'!$D$5:$D$5004,A147))</f>
        <v/>
      </c>
      <c r="J147" s="13">
        <f>IF(A147="","",F147+H147-I147)</f>
        <v/>
      </c>
      <c r="K147" s="14">
        <f>IF(A147="","",IF(J147&lt;=0,"Hết hàng",IF(J147&lt;=G147,"Sắp hết","Còn hàng")))</f>
        <v/>
      </c>
    </row>
    <row r="148">
      <c r="A148" s="10" t="n"/>
      <c r="B148" s="10" t="n"/>
      <c r="C148" s="10" t="n"/>
      <c r="D148" s="11" t="n"/>
      <c r="E148" s="11" t="n"/>
      <c r="F148" s="12" t="n"/>
      <c r="G148" s="12" t="n"/>
      <c r="H148" s="13">
        <f>IF(A148="","",SUMIFS('Nhập kho'!$D$5:$D$2004,'Nhập kho'!$B$5:$B$2004,A148))</f>
        <v/>
      </c>
      <c r="I148" s="13">
        <f>IF(A148="","",SUMIFS('Bán hàng'!$F$5:$F$5004,'Bán hàng'!$D$5:$D$5004,A148))</f>
        <v/>
      </c>
      <c r="J148" s="13">
        <f>IF(A148="","",F148+H148-I148)</f>
        <v/>
      </c>
      <c r="K148" s="14">
        <f>IF(A148="","",IF(J148&lt;=0,"Hết hàng",IF(J148&lt;=G148,"Sắp hết","Còn hàng")))</f>
        <v/>
      </c>
    </row>
    <row r="149">
      <c r="A149" s="10" t="n"/>
      <c r="B149" s="10" t="n"/>
      <c r="C149" s="10" t="n"/>
      <c r="D149" s="11" t="n"/>
      <c r="E149" s="11" t="n"/>
      <c r="F149" s="12" t="n"/>
      <c r="G149" s="12" t="n"/>
      <c r="H149" s="13">
        <f>IF(A149="","",SUMIFS('Nhập kho'!$D$5:$D$2004,'Nhập kho'!$B$5:$B$2004,A149))</f>
        <v/>
      </c>
      <c r="I149" s="13">
        <f>IF(A149="","",SUMIFS('Bán hàng'!$F$5:$F$5004,'Bán hàng'!$D$5:$D$5004,A149))</f>
        <v/>
      </c>
      <c r="J149" s="13">
        <f>IF(A149="","",F149+H149-I149)</f>
        <v/>
      </c>
      <c r="K149" s="14">
        <f>IF(A149="","",IF(J149&lt;=0,"Hết hàng",IF(J149&lt;=G149,"Sắp hết","Còn hàng")))</f>
        <v/>
      </c>
    </row>
    <row r="150">
      <c r="A150" s="10" t="n"/>
      <c r="B150" s="10" t="n"/>
      <c r="C150" s="10" t="n"/>
      <c r="D150" s="11" t="n"/>
      <c r="E150" s="11" t="n"/>
      <c r="F150" s="12" t="n"/>
      <c r="G150" s="12" t="n"/>
      <c r="H150" s="13">
        <f>IF(A150="","",SUMIFS('Nhập kho'!$D$5:$D$2004,'Nhập kho'!$B$5:$B$2004,A150))</f>
        <v/>
      </c>
      <c r="I150" s="13">
        <f>IF(A150="","",SUMIFS('Bán hàng'!$F$5:$F$5004,'Bán hàng'!$D$5:$D$5004,A150))</f>
        <v/>
      </c>
      <c r="J150" s="13">
        <f>IF(A150="","",F150+H150-I150)</f>
        <v/>
      </c>
      <c r="K150" s="14">
        <f>IF(A150="","",IF(J150&lt;=0,"Hết hàng",IF(J150&lt;=G150,"Sắp hết","Còn hàng")))</f>
        <v/>
      </c>
    </row>
    <row r="151">
      <c r="A151" s="10" t="n"/>
      <c r="B151" s="10" t="n"/>
      <c r="C151" s="10" t="n"/>
      <c r="D151" s="11" t="n"/>
      <c r="E151" s="11" t="n"/>
      <c r="F151" s="12" t="n"/>
      <c r="G151" s="12" t="n"/>
      <c r="H151" s="13">
        <f>IF(A151="","",SUMIFS('Nhập kho'!$D$5:$D$2004,'Nhập kho'!$B$5:$B$2004,A151))</f>
        <v/>
      </c>
      <c r="I151" s="13">
        <f>IF(A151="","",SUMIFS('Bán hàng'!$F$5:$F$5004,'Bán hàng'!$D$5:$D$5004,A151))</f>
        <v/>
      </c>
      <c r="J151" s="13">
        <f>IF(A151="","",F151+H151-I151)</f>
        <v/>
      </c>
      <c r="K151" s="14">
        <f>IF(A151="","",IF(J151&lt;=0,"Hết hàng",IF(J151&lt;=G151,"Sắp hết","Còn hàng")))</f>
        <v/>
      </c>
    </row>
    <row r="152">
      <c r="A152" s="10" t="n"/>
      <c r="B152" s="10" t="n"/>
      <c r="C152" s="10" t="n"/>
      <c r="D152" s="11" t="n"/>
      <c r="E152" s="11" t="n"/>
      <c r="F152" s="12" t="n"/>
      <c r="G152" s="12" t="n"/>
      <c r="H152" s="13">
        <f>IF(A152="","",SUMIFS('Nhập kho'!$D$5:$D$2004,'Nhập kho'!$B$5:$B$2004,A152))</f>
        <v/>
      </c>
      <c r="I152" s="13">
        <f>IF(A152="","",SUMIFS('Bán hàng'!$F$5:$F$5004,'Bán hàng'!$D$5:$D$5004,A152))</f>
        <v/>
      </c>
      <c r="J152" s="13">
        <f>IF(A152="","",F152+H152-I152)</f>
        <v/>
      </c>
      <c r="K152" s="14">
        <f>IF(A152="","",IF(J152&lt;=0,"Hết hàng",IF(J152&lt;=G152,"Sắp hết","Còn hàng")))</f>
        <v/>
      </c>
    </row>
    <row r="153">
      <c r="A153" s="10" t="n"/>
      <c r="B153" s="10" t="n"/>
      <c r="C153" s="10" t="n"/>
      <c r="D153" s="11" t="n"/>
      <c r="E153" s="11" t="n"/>
      <c r="F153" s="12" t="n"/>
      <c r="G153" s="12" t="n"/>
      <c r="H153" s="13">
        <f>IF(A153="","",SUMIFS('Nhập kho'!$D$5:$D$2004,'Nhập kho'!$B$5:$B$2004,A153))</f>
        <v/>
      </c>
      <c r="I153" s="13">
        <f>IF(A153="","",SUMIFS('Bán hàng'!$F$5:$F$5004,'Bán hàng'!$D$5:$D$5004,A153))</f>
        <v/>
      </c>
      <c r="J153" s="13">
        <f>IF(A153="","",F153+H153-I153)</f>
        <v/>
      </c>
      <c r="K153" s="14">
        <f>IF(A153="","",IF(J153&lt;=0,"Hết hàng",IF(J153&lt;=G153,"Sắp hết","Còn hàng")))</f>
        <v/>
      </c>
    </row>
    <row r="154">
      <c r="A154" s="10" t="n"/>
      <c r="B154" s="10" t="n"/>
      <c r="C154" s="10" t="n"/>
      <c r="D154" s="11" t="n"/>
      <c r="E154" s="11" t="n"/>
      <c r="F154" s="12" t="n"/>
      <c r="G154" s="12" t="n"/>
      <c r="H154" s="13">
        <f>IF(A154="","",SUMIFS('Nhập kho'!$D$5:$D$2004,'Nhập kho'!$B$5:$B$2004,A154))</f>
        <v/>
      </c>
      <c r="I154" s="13">
        <f>IF(A154="","",SUMIFS('Bán hàng'!$F$5:$F$5004,'Bán hàng'!$D$5:$D$5004,A154))</f>
        <v/>
      </c>
      <c r="J154" s="13">
        <f>IF(A154="","",F154+H154-I154)</f>
        <v/>
      </c>
      <c r="K154" s="14">
        <f>IF(A154="","",IF(J154&lt;=0,"Hết hàng",IF(J154&lt;=G154,"Sắp hết","Còn hàng")))</f>
        <v/>
      </c>
    </row>
    <row r="155">
      <c r="A155" s="10" t="n"/>
      <c r="B155" s="10" t="n"/>
      <c r="C155" s="10" t="n"/>
      <c r="D155" s="11" t="n"/>
      <c r="E155" s="11" t="n"/>
      <c r="F155" s="12" t="n"/>
      <c r="G155" s="12" t="n"/>
      <c r="H155" s="13">
        <f>IF(A155="","",SUMIFS('Nhập kho'!$D$5:$D$2004,'Nhập kho'!$B$5:$B$2004,A155))</f>
        <v/>
      </c>
      <c r="I155" s="13">
        <f>IF(A155="","",SUMIFS('Bán hàng'!$F$5:$F$5004,'Bán hàng'!$D$5:$D$5004,A155))</f>
        <v/>
      </c>
      <c r="J155" s="13">
        <f>IF(A155="","",F155+H155-I155)</f>
        <v/>
      </c>
      <c r="K155" s="14">
        <f>IF(A155="","",IF(J155&lt;=0,"Hết hàng",IF(J155&lt;=G155,"Sắp hết","Còn hàng")))</f>
        <v/>
      </c>
    </row>
    <row r="156">
      <c r="A156" s="10" t="n"/>
      <c r="B156" s="10" t="n"/>
      <c r="C156" s="10" t="n"/>
      <c r="D156" s="11" t="n"/>
      <c r="E156" s="11" t="n"/>
      <c r="F156" s="12" t="n"/>
      <c r="G156" s="12" t="n"/>
      <c r="H156" s="13">
        <f>IF(A156="","",SUMIFS('Nhập kho'!$D$5:$D$2004,'Nhập kho'!$B$5:$B$2004,A156))</f>
        <v/>
      </c>
      <c r="I156" s="13">
        <f>IF(A156="","",SUMIFS('Bán hàng'!$F$5:$F$5004,'Bán hàng'!$D$5:$D$5004,A156))</f>
        <v/>
      </c>
      <c r="J156" s="13">
        <f>IF(A156="","",F156+H156-I156)</f>
        <v/>
      </c>
      <c r="K156" s="14">
        <f>IF(A156="","",IF(J156&lt;=0,"Hết hàng",IF(J156&lt;=G156,"Sắp hết","Còn hàng")))</f>
        <v/>
      </c>
    </row>
    <row r="157">
      <c r="A157" s="10" t="n"/>
      <c r="B157" s="10" t="n"/>
      <c r="C157" s="10" t="n"/>
      <c r="D157" s="11" t="n"/>
      <c r="E157" s="11" t="n"/>
      <c r="F157" s="12" t="n"/>
      <c r="G157" s="12" t="n"/>
      <c r="H157" s="13">
        <f>IF(A157="","",SUMIFS('Nhập kho'!$D$5:$D$2004,'Nhập kho'!$B$5:$B$2004,A157))</f>
        <v/>
      </c>
      <c r="I157" s="13">
        <f>IF(A157="","",SUMIFS('Bán hàng'!$F$5:$F$5004,'Bán hàng'!$D$5:$D$5004,A157))</f>
        <v/>
      </c>
      <c r="J157" s="13">
        <f>IF(A157="","",F157+H157-I157)</f>
        <v/>
      </c>
      <c r="K157" s="14">
        <f>IF(A157="","",IF(J157&lt;=0,"Hết hàng",IF(J157&lt;=G157,"Sắp hết","Còn hàng")))</f>
        <v/>
      </c>
    </row>
    <row r="158">
      <c r="A158" s="10" t="n"/>
      <c r="B158" s="10" t="n"/>
      <c r="C158" s="10" t="n"/>
      <c r="D158" s="11" t="n"/>
      <c r="E158" s="11" t="n"/>
      <c r="F158" s="12" t="n"/>
      <c r="G158" s="12" t="n"/>
      <c r="H158" s="13">
        <f>IF(A158="","",SUMIFS('Nhập kho'!$D$5:$D$2004,'Nhập kho'!$B$5:$B$2004,A158))</f>
        <v/>
      </c>
      <c r="I158" s="13">
        <f>IF(A158="","",SUMIFS('Bán hàng'!$F$5:$F$5004,'Bán hàng'!$D$5:$D$5004,A158))</f>
        <v/>
      </c>
      <c r="J158" s="13">
        <f>IF(A158="","",F158+H158-I158)</f>
        <v/>
      </c>
      <c r="K158" s="14">
        <f>IF(A158="","",IF(J158&lt;=0,"Hết hàng",IF(J158&lt;=G158,"Sắp hết","Còn hàng")))</f>
        <v/>
      </c>
    </row>
    <row r="159">
      <c r="A159" s="10" t="n"/>
      <c r="B159" s="10" t="n"/>
      <c r="C159" s="10" t="n"/>
      <c r="D159" s="11" t="n"/>
      <c r="E159" s="11" t="n"/>
      <c r="F159" s="12" t="n"/>
      <c r="G159" s="12" t="n"/>
      <c r="H159" s="13">
        <f>IF(A159="","",SUMIFS('Nhập kho'!$D$5:$D$2004,'Nhập kho'!$B$5:$B$2004,A159))</f>
        <v/>
      </c>
      <c r="I159" s="13">
        <f>IF(A159="","",SUMIFS('Bán hàng'!$F$5:$F$5004,'Bán hàng'!$D$5:$D$5004,A159))</f>
        <v/>
      </c>
      <c r="J159" s="13">
        <f>IF(A159="","",F159+H159-I159)</f>
        <v/>
      </c>
      <c r="K159" s="14">
        <f>IF(A159="","",IF(J159&lt;=0,"Hết hàng",IF(J159&lt;=G159,"Sắp hết","Còn hàng")))</f>
        <v/>
      </c>
    </row>
    <row r="160">
      <c r="A160" s="10" t="n"/>
      <c r="B160" s="10" t="n"/>
      <c r="C160" s="10" t="n"/>
      <c r="D160" s="11" t="n"/>
      <c r="E160" s="11" t="n"/>
      <c r="F160" s="12" t="n"/>
      <c r="G160" s="12" t="n"/>
      <c r="H160" s="13">
        <f>IF(A160="","",SUMIFS('Nhập kho'!$D$5:$D$2004,'Nhập kho'!$B$5:$B$2004,A160))</f>
        <v/>
      </c>
      <c r="I160" s="13">
        <f>IF(A160="","",SUMIFS('Bán hàng'!$F$5:$F$5004,'Bán hàng'!$D$5:$D$5004,A160))</f>
        <v/>
      </c>
      <c r="J160" s="13">
        <f>IF(A160="","",F160+H160-I160)</f>
        <v/>
      </c>
      <c r="K160" s="14">
        <f>IF(A160="","",IF(J160&lt;=0,"Hết hàng",IF(J160&lt;=G160,"Sắp hết","Còn hàng")))</f>
        <v/>
      </c>
    </row>
    <row r="161">
      <c r="A161" s="10" t="n"/>
      <c r="B161" s="10" t="n"/>
      <c r="C161" s="10" t="n"/>
      <c r="D161" s="11" t="n"/>
      <c r="E161" s="11" t="n"/>
      <c r="F161" s="12" t="n"/>
      <c r="G161" s="12" t="n"/>
      <c r="H161" s="13">
        <f>IF(A161="","",SUMIFS('Nhập kho'!$D$5:$D$2004,'Nhập kho'!$B$5:$B$2004,A161))</f>
        <v/>
      </c>
      <c r="I161" s="13">
        <f>IF(A161="","",SUMIFS('Bán hàng'!$F$5:$F$5004,'Bán hàng'!$D$5:$D$5004,A161))</f>
        <v/>
      </c>
      <c r="J161" s="13">
        <f>IF(A161="","",F161+H161-I161)</f>
        <v/>
      </c>
      <c r="K161" s="14">
        <f>IF(A161="","",IF(J161&lt;=0,"Hết hàng",IF(J161&lt;=G161,"Sắp hết","Còn hàng")))</f>
        <v/>
      </c>
    </row>
    <row r="162">
      <c r="A162" s="10" t="n"/>
      <c r="B162" s="10" t="n"/>
      <c r="C162" s="10" t="n"/>
      <c r="D162" s="11" t="n"/>
      <c r="E162" s="11" t="n"/>
      <c r="F162" s="12" t="n"/>
      <c r="G162" s="12" t="n"/>
      <c r="H162" s="13">
        <f>IF(A162="","",SUMIFS('Nhập kho'!$D$5:$D$2004,'Nhập kho'!$B$5:$B$2004,A162))</f>
        <v/>
      </c>
      <c r="I162" s="13">
        <f>IF(A162="","",SUMIFS('Bán hàng'!$F$5:$F$5004,'Bán hàng'!$D$5:$D$5004,A162))</f>
        <v/>
      </c>
      <c r="J162" s="13">
        <f>IF(A162="","",F162+H162-I162)</f>
        <v/>
      </c>
      <c r="K162" s="14">
        <f>IF(A162="","",IF(J162&lt;=0,"Hết hàng",IF(J162&lt;=G162,"Sắp hết","Còn hàng")))</f>
        <v/>
      </c>
    </row>
    <row r="163">
      <c r="A163" s="10" t="n"/>
      <c r="B163" s="10" t="n"/>
      <c r="C163" s="10" t="n"/>
      <c r="D163" s="11" t="n"/>
      <c r="E163" s="11" t="n"/>
      <c r="F163" s="12" t="n"/>
      <c r="G163" s="12" t="n"/>
      <c r="H163" s="13">
        <f>IF(A163="","",SUMIFS('Nhập kho'!$D$5:$D$2004,'Nhập kho'!$B$5:$B$2004,A163))</f>
        <v/>
      </c>
      <c r="I163" s="13">
        <f>IF(A163="","",SUMIFS('Bán hàng'!$F$5:$F$5004,'Bán hàng'!$D$5:$D$5004,A163))</f>
        <v/>
      </c>
      <c r="J163" s="13">
        <f>IF(A163="","",F163+H163-I163)</f>
        <v/>
      </c>
      <c r="K163" s="14">
        <f>IF(A163="","",IF(J163&lt;=0,"Hết hàng",IF(J163&lt;=G163,"Sắp hết","Còn hàng")))</f>
        <v/>
      </c>
    </row>
    <row r="164">
      <c r="A164" s="10" t="n"/>
      <c r="B164" s="10" t="n"/>
      <c r="C164" s="10" t="n"/>
      <c r="D164" s="11" t="n"/>
      <c r="E164" s="11" t="n"/>
      <c r="F164" s="12" t="n"/>
      <c r="G164" s="12" t="n"/>
      <c r="H164" s="13">
        <f>IF(A164="","",SUMIFS('Nhập kho'!$D$5:$D$2004,'Nhập kho'!$B$5:$B$2004,A164))</f>
        <v/>
      </c>
      <c r="I164" s="13">
        <f>IF(A164="","",SUMIFS('Bán hàng'!$F$5:$F$5004,'Bán hàng'!$D$5:$D$5004,A164))</f>
        <v/>
      </c>
      <c r="J164" s="13">
        <f>IF(A164="","",F164+H164-I164)</f>
        <v/>
      </c>
      <c r="K164" s="14">
        <f>IF(A164="","",IF(J164&lt;=0,"Hết hàng",IF(J164&lt;=G164,"Sắp hết","Còn hàng")))</f>
        <v/>
      </c>
    </row>
    <row r="165">
      <c r="A165" s="10" t="n"/>
      <c r="B165" s="10" t="n"/>
      <c r="C165" s="10" t="n"/>
      <c r="D165" s="11" t="n"/>
      <c r="E165" s="11" t="n"/>
      <c r="F165" s="12" t="n"/>
      <c r="G165" s="12" t="n"/>
      <c r="H165" s="13">
        <f>IF(A165="","",SUMIFS('Nhập kho'!$D$5:$D$2004,'Nhập kho'!$B$5:$B$2004,A165))</f>
        <v/>
      </c>
      <c r="I165" s="13">
        <f>IF(A165="","",SUMIFS('Bán hàng'!$F$5:$F$5004,'Bán hàng'!$D$5:$D$5004,A165))</f>
        <v/>
      </c>
      <c r="J165" s="13">
        <f>IF(A165="","",F165+H165-I165)</f>
        <v/>
      </c>
      <c r="K165" s="14">
        <f>IF(A165="","",IF(J165&lt;=0,"Hết hàng",IF(J165&lt;=G165,"Sắp hết","Còn hàng")))</f>
        <v/>
      </c>
    </row>
    <row r="166">
      <c r="A166" s="10" t="n"/>
      <c r="B166" s="10" t="n"/>
      <c r="C166" s="10" t="n"/>
      <c r="D166" s="11" t="n"/>
      <c r="E166" s="11" t="n"/>
      <c r="F166" s="12" t="n"/>
      <c r="G166" s="12" t="n"/>
      <c r="H166" s="13">
        <f>IF(A166="","",SUMIFS('Nhập kho'!$D$5:$D$2004,'Nhập kho'!$B$5:$B$2004,A166))</f>
        <v/>
      </c>
      <c r="I166" s="13">
        <f>IF(A166="","",SUMIFS('Bán hàng'!$F$5:$F$5004,'Bán hàng'!$D$5:$D$5004,A166))</f>
        <v/>
      </c>
      <c r="J166" s="13">
        <f>IF(A166="","",F166+H166-I166)</f>
        <v/>
      </c>
      <c r="K166" s="14">
        <f>IF(A166="","",IF(J166&lt;=0,"Hết hàng",IF(J166&lt;=G166,"Sắp hết","Còn hàng")))</f>
        <v/>
      </c>
    </row>
    <row r="167">
      <c r="A167" s="10" t="n"/>
      <c r="B167" s="10" t="n"/>
      <c r="C167" s="10" t="n"/>
      <c r="D167" s="11" t="n"/>
      <c r="E167" s="11" t="n"/>
      <c r="F167" s="12" t="n"/>
      <c r="G167" s="12" t="n"/>
      <c r="H167" s="13">
        <f>IF(A167="","",SUMIFS('Nhập kho'!$D$5:$D$2004,'Nhập kho'!$B$5:$B$2004,A167))</f>
        <v/>
      </c>
      <c r="I167" s="13">
        <f>IF(A167="","",SUMIFS('Bán hàng'!$F$5:$F$5004,'Bán hàng'!$D$5:$D$5004,A167))</f>
        <v/>
      </c>
      <c r="J167" s="13">
        <f>IF(A167="","",F167+H167-I167)</f>
        <v/>
      </c>
      <c r="K167" s="14">
        <f>IF(A167="","",IF(J167&lt;=0,"Hết hàng",IF(J167&lt;=G167,"Sắp hết","Còn hàng")))</f>
        <v/>
      </c>
    </row>
    <row r="168">
      <c r="A168" s="10" t="n"/>
      <c r="B168" s="10" t="n"/>
      <c r="C168" s="10" t="n"/>
      <c r="D168" s="11" t="n"/>
      <c r="E168" s="11" t="n"/>
      <c r="F168" s="12" t="n"/>
      <c r="G168" s="12" t="n"/>
      <c r="H168" s="13">
        <f>IF(A168="","",SUMIFS('Nhập kho'!$D$5:$D$2004,'Nhập kho'!$B$5:$B$2004,A168))</f>
        <v/>
      </c>
      <c r="I168" s="13">
        <f>IF(A168="","",SUMIFS('Bán hàng'!$F$5:$F$5004,'Bán hàng'!$D$5:$D$5004,A168))</f>
        <v/>
      </c>
      <c r="J168" s="13">
        <f>IF(A168="","",F168+H168-I168)</f>
        <v/>
      </c>
      <c r="K168" s="14">
        <f>IF(A168="","",IF(J168&lt;=0,"Hết hàng",IF(J168&lt;=G168,"Sắp hết","Còn hàng")))</f>
        <v/>
      </c>
    </row>
    <row r="169">
      <c r="A169" s="10" t="n"/>
      <c r="B169" s="10" t="n"/>
      <c r="C169" s="10" t="n"/>
      <c r="D169" s="11" t="n"/>
      <c r="E169" s="11" t="n"/>
      <c r="F169" s="12" t="n"/>
      <c r="G169" s="12" t="n"/>
      <c r="H169" s="13">
        <f>IF(A169="","",SUMIFS('Nhập kho'!$D$5:$D$2004,'Nhập kho'!$B$5:$B$2004,A169))</f>
        <v/>
      </c>
      <c r="I169" s="13">
        <f>IF(A169="","",SUMIFS('Bán hàng'!$F$5:$F$5004,'Bán hàng'!$D$5:$D$5004,A169))</f>
        <v/>
      </c>
      <c r="J169" s="13">
        <f>IF(A169="","",F169+H169-I169)</f>
        <v/>
      </c>
      <c r="K169" s="14">
        <f>IF(A169="","",IF(J169&lt;=0,"Hết hàng",IF(J169&lt;=G169,"Sắp hết","Còn hàng")))</f>
        <v/>
      </c>
    </row>
    <row r="170">
      <c r="A170" s="10" t="n"/>
      <c r="B170" s="10" t="n"/>
      <c r="C170" s="10" t="n"/>
      <c r="D170" s="11" t="n"/>
      <c r="E170" s="11" t="n"/>
      <c r="F170" s="12" t="n"/>
      <c r="G170" s="12" t="n"/>
      <c r="H170" s="13">
        <f>IF(A170="","",SUMIFS('Nhập kho'!$D$5:$D$2004,'Nhập kho'!$B$5:$B$2004,A170))</f>
        <v/>
      </c>
      <c r="I170" s="13">
        <f>IF(A170="","",SUMIFS('Bán hàng'!$F$5:$F$5004,'Bán hàng'!$D$5:$D$5004,A170))</f>
        <v/>
      </c>
      <c r="J170" s="13">
        <f>IF(A170="","",F170+H170-I170)</f>
        <v/>
      </c>
      <c r="K170" s="14">
        <f>IF(A170="","",IF(J170&lt;=0,"Hết hàng",IF(J170&lt;=G170,"Sắp hết","Còn hàng")))</f>
        <v/>
      </c>
    </row>
    <row r="171">
      <c r="A171" s="10" t="n"/>
      <c r="B171" s="10" t="n"/>
      <c r="C171" s="10" t="n"/>
      <c r="D171" s="11" t="n"/>
      <c r="E171" s="11" t="n"/>
      <c r="F171" s="12" t="n"/>
      <c r="G171" s="12" t="n"/>
      <c r="H171" s="13">
        <f>IF(A171="","",SUMIFS('Nhập kho'!$D$5:$D$2004,'Nhập kho'!$B$5:$B$2004,A171))</f>
        <v/>
      </c>
      <c r="I171" s="13">
        <f>IF(A171="","",SUMIFS('Bán hàng'!$F$5:$F$5004,'Bán hàng'!$D$5:$D$5004,A171))</f>
        <v/>
      </c>
      <c r="J171" s="13">
        <f>IF(A171="","",F171+H171-I171)</f>
        <v/>
      </c>
      <c r="K171" s="14">
        <f>IF(A171="","",IF(J171&lt;=0,"Hết hàng",IF(J171&lt;=G171,"Sắp hết","Còn hàng")))</f>
        <v/>
      </c>
    </row>
    <row r="172">
      <c r="A172" s="10" t="n"/>
      <c r="B172" s="10" t="n"/>
      <c r="C172" s="10" t="n"/>
      <c r="D172" s="11" t="n"/>
      <c r="E172" s="11" t="n"/>
      <c r="F172" s="12" t="n"/>
      <c r="G172" s="12" t="n"/>
      <c r="H172" s="13">
        <f>IF(A172="","",SUMIFS('Nhập kho'!$D$5:$D$2004,'Nhập kho'!$B$5:$B$2004,A172))</f>
        <v/>
      </c>
      <c r="I172" s="13">
        <f>IF(A172="","",SUMIFS('Bán hàng'!$F$5:$F$5004,'Bán hàng'!$D$5:$D$5004,A172))</f>
        <v/>
      </c>
      <c r="J172" s="13">
        <f>IF(A172="","",F172+H172-I172)</f>
        <v/>
      </c>
      <c r="K172" s="14">
        <f>IF(A172="","",IF(J172&lt;=0,"Hết hàng",IF(J172&lt;=G172,"Sắp hết","Còn hàng")))</f>
        <v/>
      </c>
    </row>
    <row r="173">
      <c r="A173" s="10" t="n"/>
      <c r="B173" s="10" t="n"/>
      <c r="C173" s="10" t="n"/>
      <c r="D173" s="11" t="n"/>
      <c r="E173" s="11" t="n"/>
      <c r="F173" s="12" t="n"/>
      <c r="G173" s="12" t="n"/>
      <c r="H173" s="13">
        <f>IF(A173="","",SUMIFS('Nhập kho'!$D$5:$D$2004,'Nhập kho'!$B$5:$B$2004,A173))</f>
        <v/>
      </c>
      <c r="I173" s="13">
        <f>IF(A173="","",SUMIFS('Bán hàng'!$F$5:$F$5004,'Bán hàng'!$D$5:$D$5004,A173))</f>
        <v/>
      </c>
      <c r="J173" s="13">
        <f>IF(A173="","",F173+H173-I173)</f>
        <v/>
      </c>
      <c r="K173" s="14">
        <f>IF(A173="","",IF(J173&lt;=0,"Hết hàng",IF(J173&lt;=G173,"Sắp hết","Còn hàng")))</f>
        <v/>
      </c>
    </row>
    <row r="174">
      <c r="A174" s="10" t="n"/>
      <c r="B174" s="10" t="n"/>
      <c r="C174" s="10" t="n"/>
      <c r="D174" s="11" t="n"/>
      <c r="E174" s="11" t="n"/>
      <c r="F174" s="12" t="n"/>
      <c r="G174" s="12" t="n"/>
      <c r="H174" s="13">
        <f>IF(A174="","",SUMIFS('Nhập kho'!$D$5:$D$2004,'Nhập kho'!$B$5:$B$2004,A174))</f>
        <v/>
      </c>
      <c r="I174" s="13">
        <f>IF(A174="","",SUMIFS('Bán hàng'!$F$5:$F$5004,'Bán hàng'!$D$5:$D$5004,A174))</f>
        <v/>
      </c>
      <c r="J174" s="13">
        <f>IF(A174="","",F174+H174-I174)</f>
        <v/>
      </c>
      <c r="K174" s="14">
        <f>IF(A174="","",IF(J174&lt;=0,"Hết hàng",IF(J174&lt;=G174,"Sắp hết","Còn hàng")))</f>
        <v/>
      </c>
    </row>
    <row r="175">
      <c r="A175" s="10" t="n"/>
      <c r="B175" s="10" t="n"/>
      <c r="C175" s="10" t="n"/>
      <c r="D175" s="11" t="n"/>
      <c r="E175" s="11" t="n"/>
      <c r="F175" s="12" t="n"/>
      <c r="G175" s="12" t="n"/>
      <c r="H175" s="13">
        <f>IF(A175="","",SUMIFS('Nhập kho'!$D$5:$D$2004,'Nhập kho'!$B$5:$B$2004,A175))</f>
        <v/>
      </c>
      <c r="I175" s="13">
        <f>IF(A175="","",SUMIFS('Bán hàng'!$F$5:$F$5004,'Bán hàng'!$D$5:$D$5004,A175))</f>
        <v/>
      </c>
      <c r="J175" s="13">
        <f>IF(A175="","",F175+H175-I175)</f>
        <v/>
      </c>
      <c r="K175" s="14">
        <f>IF(A175="","",IF(J175&lt;=0,"Hết hàng",IF(J175&lt;=G175,"Sắp hết","Còn hàng")))</f>
        <v/>
      </c>
    </row>
    <row r="176">
      <c r="A176" s="10" t="n"/>
      <c r="B176" s="10" t="n"/>
      <c r="C176" s="10" t="n"/>
      <c r="D176" s="11" t="n"/>
      <c r="E176" s="11" t="n"/>
      <c r="F176" s="12" t="n"/>
      <c r="G176" s="12" t="n"/>
      <c r="H176" s="13">
        <f>IF(A176="","",SUMIFS('Nhập kho'!$D$5:$D$2004,'Nhập kho'!$B$5:$B$2004,A176))</f>
        <v/>
      </c>
      <c r="I176" s="13">
        <f>IF(A176="","",SUMIFS('Bán hàng'!$F$5:$F$5004,'Bán hàng'!$D$5:$D$5004,A176))</f>
        <v/>
      </c>
      <c r="J176" s="13">
        <f>IF(A176="","",F176+H176-I176)</f>
        <v/>
      </c>
      <c r="K176" s="14">
        <f>IF(A176="","",IF(J176&lt;=0,"Hết hàng",IF(J176&lt;=G176,"Sắp hết","Còn hàng")))</f>
        <v/>
      </c>
    </row>
    <row r="177">
      <c r="A177" s="10" t="n"/>
      <c r="B177" s="10" t="n"/>
      <c r="C177" s="10" t="n"/>
      <c r="D177" s="11" t="n"/>
      <c r="E177" s="11" t="n"/>
      <c r="F177" s="12" t="n"/>
      <c r="G177" s="12" t="n"/>
      <c r="H177" s="13">
        <f>IF(A177="","",SUMIFS('Nhập kho'!$D$5:$D$2004,'Nhập kho'!$B$5:$B$2004,A177))</f>
        <v/>
      </c>
      <c r="I177" s="13">
        <f>IF(A177="","",SUMIFS('Bán hàng'!$F$5:$F$5004,'Bán hàng'!$D$5:$D$5004,A177))</f>
        <v/>
      </c>
      <c r="J177" s="13">
        <f>IF(A177="","",F177+H177-I177)</f>
        <v/>
      </c>
      <c r="K177" s="14">
        <f>IF(A177="","",IF(J177&lt;=0,"Hết hàng",IF(J177&lt;=G177,"Sắp hết","Còn hàng")))</f>
        <v/>
      </c>
    </row>
    <row r="178">
      <c r="A178" s="10" t="n"/>
      <c r="B178" s="10" t="n"/>
      <c r="C178" s="10" t="n"/>
      <c r="D178" s="11" t="n"/>
      <c r="E178" s="11" t="n"/>
      <c r="F178" s="12" t="n"/>
      <c r="G178" s="12" t="n"/>
      <c r="H178" s="13">
        <f>IF(A178="","",SUMIFS('Nhập kho'!$D$5:$D$2004,'Nhập kho'!$B$5:$B$2004,A178))</f>
        <v/>
      </c>
      <c r="I178" s="13">
        <f>IF(A178="","",SUMIFS('Bán hàng'!$F$5:$F$5004,'Bán hàng'!$D$5:$D$5004,A178))</f>
        <v/>
      </c>
      <c r="J178" s="13">
        <f>IF(A178="","",F178+H178-I178)</f>
        <v/>
      </c>
      <c r="K178" s="14">
        <f>IF(A178="","",IF(J178&lt;=0,"Hết hàng",IF(J178&lt;=G178,"Sắp hết","Còn hàng")))</f>
        <v/>
      </c>
    </row>
    <row r="179">
      <c r="A179" s="10" t="n"/>
      <c r="B179" s="10" t="n"/>
      <c r="C179" s="10" t="n"/>
      <c r="D179" s="11" t="n"/>
      <c r="E179" s="11" t="n"/>
      <c r="F179" s="12" t="n"/>
      <c r="G179" s="12" t="n"/>
      <c r="H179" s="13">
        <f>IF(A179="","",SUMIFS('Nhập kho'!$D$5:$D$2004,'Nhập kho'!$B$5:$B$2004,A179))</f>
        <v/>
      </c>
      <c r="I179" s="13">
        <f>IF(A179="","",SUMIFS('Bán hàng'!$F$5:$F$5004,'Bán hàng'!$D$5:$D$5004,A179))</f>
        <v/>
      </c>
      <c r="J179" s="13">
        <f>IF(A179="","",F179+H179-I179)</f>
        <v/>
      </c>
      <c r="K179" s="14">
        <f>IF(A179="","",IF(J179&lt;=0,"Hết hàng",IF(J179&lt;=G179,"Sắp hết","Còn hàng")))</f>
        <v/>
      </c>
    </row>
    <row r="180">
      <c r="A180" s="10" t="n"/>
      <c r="B180" s="10" t="n"/>
      <c r="C180" s="10" t="n"/>
      <c r="D180" s="11" t="n"/>
      <c r="E180" s="11" t="n"/>
      <c r="F180" s="12" t="n"/>
      <c r="G180" s="12" t="n"/>
      <c r="H180" s="13">
        <f>IF(A180="","",SUMIFS('Nhập kho'!$D$5:$D$2004,'Nhập kho'!$B$5:$B$2004,A180))</f>
        <v/>
      </c>
      <c r="I180" s="13">
        <f>IF(A180="","",SUMIFS('Bán hàng'!$F$5:$F$5004,'Bán hàng'!$D$5:$D$5004,A180))</f>
        <v/>
      </c>
      <c r="J180" s="13">
        <f>IF(A180="","",F180+H180-I180)</f>
        <v/>
      </c>
      <c r="K180" s="14">
        <f>IF(A180="","",IF(J180&lt;=0,"Hết hàng",IF(J180&lt;=G180,"Sắp hết","Còn hàng")))</f>
        <v/>
      </c>
    </row>
    <row r="181">
      <c r="A181" s="10" t="n"/>
      <c r="B181" s="10" t="n"/>
      <c r="C181" s="10" t="n"/>
      <c r="D181" s="11" t="n"/>
      <c r="E181" s="11" t="n"/>
      <c r="F181" s="12" t="n"/>
      <c r="G181" s="12" t="n"/>
      <c r="H181" s="13">
        <f>IF(A181="","",SUMIFS('Nhập kho'!$D$5:$D$2004,'Nhập kho'!$B$5:$B$2004,A181))</f>
        <v/>
      </c>
      <c r="I181" s="13">
        <f>IF(A181="","",SUMIFS('Bán hàng'!$F$5:$F$5004,'Bán hàng'!$D$5:$D$5004,A181))</f>
        <v/>
      </c>
      <c r="J181" s="13">
        <f>IF(A181="","",F181+H181-I181)</f>
        <v/>
      </c>
      <c r="K181" s="14">
        <f>IF(A181="","",IF(J181&lt;=0,"Hết hàng",IF(J181&lt;=G181,"Sắp hết","Còn hàng")))</f>
        <v/>
      </c>
    </row>
    <row r="182">
      <c r="A182" s="10" t="n"/>
      <c r="B182" s="10" t="n"/>
      <c r="C182" s="10" t="n"/>
      <c r="D182" s="11" t="n"/>
      <c r="E182" s="11" t="n"/>
      <c r="F182" s="12" t="n"/>
      <c r="G182" s="12" t="n"/>
      <c r="H182" s="13">
        <f>IF(A182="","",SUMIFS('Nhập kho'!$D$5:$D$2004,'Nhập kho'!$B$5:$B$2004,A182))</f>
        <v/>
      </c>
      <c r="I182" s="13">
        <f>IF(A182="","",SUMIFS('Bán hàng'!$F$5:$F$5004,'Bán hàng'!$D$5:$D$5004,A182))</f>
        <v/>
      </c>
      <c r="J182" s="13">
        <f>IF(A182="","",F182+H182-I182)</f>
        <v/>
      </c>
      <c r="K182" s="14">
        <f>IF(A182="","",IF(J182&lt;=0,"Hết hàng",IF(J182&lt;=G182,"Sắp hết","Còn hàng")))</f>
        <v/>
      </c>
    </row>
    <row r="183">
      <c r="A183" s="10" t="n"/>
      <c r="B183" s="10" t="n"/>
      <c r="C183" s="10" t="n"/>
      <c r="D183" s="11" t="n"/>
      <c r="E183" s="11" t="n"/>
      <c r="F183" s="12" t="n"/>
      <c r="G183" s="12" t="n"/>
      <c r="H183" s="13">
        <f>IF(A183="","",SUMIFS('Nhập kho'!$D$5:$D$2004,'Nhập kho'!$B$5:$B$2004,A183))</f>
        <v/>
      </c>
      <c r="I183" s="13">
        <f>IF(A183="","",SUMIFS('Bán hàng'!$F$5:$F$5004,'Bán hàng'!$D$5:$D$5004,A183))</f>
        <v/>
      </c>
      <c r="J183" s="13">
        <f>IF(A183="","",F183+H183-I183)</f>
        <v/>
      </c>
      <c r="K183" s="14">
        <f>IF(A183="","",IF(J183&lt;=0,"Hết hàng",IF(J183&lt;=G183,"Sắp hết","Còn hàng")))</f>
        <v/>
      </c>
    </row>
    <row r="184">
      <c r="A184" s="10" t="n"/>
      <c r="B184" s="10" t="n"/>
      <c r="C184" s="10" t="n"/>
      <c r="D184" s="11" t="n"/>
      <c r="E184" s="11" t="n"/>
      <c r="F184" s="12" t="n"/>
      <c r="G184" s="12" t="n"/>
      <c r="H184" s="13">
        <f>IF(A184="","",SUMIFS('Nhập kho'!$D$5:$D$2004,'Nhập kho'!$B$5:$B$2004,A184))</f>
        <v/>
      </c>
      <c r="I184" s="13">
        <f>IF(A184="","",SUMIFS('Bán hàng'!$F$5:$F$5004,'Bán hàng'!$D$5:$D$5004,A184))</f>
        <v/>
      </c>
      <c r="J184" s="13">
        <f>IF(A184="","",F184+H184-I184)</f>
        <v/>
      </c>
      <c r="K184" s="14">
        <f>IF(A184="","",IF(J184&lt;=0,"Hết hàng",IF(J184&lt;=G184,"Sắp hết","Còn hàng")))</f>
        <v/>
      </c>
    </row>
    <row r="185">
      <c r="A185" s="10" t="n"/>
      <c r="B185" s="10" t="n"/>
      <c r="C185" s="10" t="n"/>
      <c r="D185" s="11" t="n"/>
      <c r="E185" s="11" t="n"/>
      <c r="F185" s="12" t="n"/>
      <c r="G185" s="12" t="n"/>
      <c r="H185" s="13">
        <f>IF(A185="","",SUMIFS('Nhập kho'!$D$5:$D$2004,'Nhập kho'!$B$5:$B$2004,A185))</f>
        <v/>
      </c>
      <c r="I185" s="13">
        <f>IF(A185="","",SUMIFS('Bán hàng'!$F$5:$F$5004,'Bán hàng'!$D$5:$D$5004,A185))</f>
        <v/>
      </c>
      <c r="J185" s="13">
        <f>IF(A185="","",F185+H185-I185)</f>
        <v/>
      </c>
      <c r="K185" s="14">
        <f>IF(A185="","",IF(J185&lt;=0,"Hết hàng",IF(J185&lt;=G185,"Sắp hết","Còn hàng")))</f>
        <v/>
      </c>
    </row>
    <row r="186">
      <c r="A186" s="10" t="n"/>
      <c r="B186" s="10" t="n"/>
      <c r="C186" s="10" t="n"/>
      <c r="D186" s="11" t="n"/>
      <c r="E186" s="11" t="n"/>
      <c r="F186" s="12" t="n"/>
      <c r="G186" s="12" t="n"/>
      <c r="H186" s="13">
        <f>IF(A186="","",SUMIFS('Nhập kho'!$D$5:$D$2004,'Nhập kho'!$B$5:$B$2004,A186))</f>
        <v/>
      </c>
      <c r="I186" s="13">
        <f>IF(A186="","",SUMIFS('Bán hàng'!$F$5:$F$5004,'Bán hàng'!$D$5:$D$5004,A186))</f>
        <v/>
      </c>
      <c r="J186" s="13">
        <f>IF(A186="","",F186+H186-I186)</f>
        <v/>
      </c>
      <c r="K186" s="14">
        <f>IF(A186="","",IF(J186&lt;=0,"Hết hàng",IF(J186&lt;=G186,"Sắp hết","Còn hàng")))</f>
        <v/>
      </c>
    </row>
    <row r="187">
      <c r="A187" s="10" t="n"/>
      <c r="B187" s="10" t="n"/>
      <c r="C187" s="10" t="n"/>
      <c r="D187" s="11" t="n"/>
      <c r="E187" s="11" t="n"/>
      <c r="F187" s="12" t="n"/>
      <c r="G187" s="12" t="n"/>
      <c r="H187" s="13">
        <f>IF(A187="","",SUMIFS('Nhập kho'!$D$5:$D$2004,'Nhập kho'!$B$5:$B$2004,A187))</f>
        <v/>
      </c>
      <c r="I187" s="13">
        <f>IF(A187="","",SUMIFS('Bán hàng'!$F$5:$F$5004,'Bán hàng'!$D$5:$D$5004,A187))</f>
        <v/>
      </c>
      <c r="J187" s="13">
        <f>IF(A187="","",F187+H187-I187)</f>
        <v/>
      </c>
      <c r="K187" s="14">
        <f>IF(A187="","",IF(J187&lt;=0,"Hết hàng",IF(J187&lt;=G187,"Sắp hết","Còn hàng")))</f>
        <v/>
      </c>
    </row>
    <row r="188">
      <c r="A188" s="10" t="n"/>
      <c r="B188" s="10" t="n"/>
      <c r="C188" s="10" t="n"/>
      <c r="D188" s="11" t="n"/>
      <c r="E188" s="11" t="n"/>
      <c r="F188" s="12" t="n"/>
      <c r="G188" s="12" t="n"/>
      <c r="H188" s="13">
        <f>IF(A188="","",SUMIFS('Nhập kho'!$D$5:$D$2004,'Nhập kho'!$B$5:$B$2004,A188))</f>
        <v/>
      </c>
      <c r="I188" s="13">
        <f>IF(A188="","",SUMIFS('Bán hàng'!$F$5:$F$5004,'Bán hàng'!$D$5:$D$5004,A188))</f>
        <v/>
      </c>
      <c r="J188" s="13">
        <f>IF(A188="","",F188+H188-I188)</f>
        <v/>
      </c>
      <c r="K188" s="14">
        <f>IF(A188="","",IF(J188&lt;=0,"Hết hàng",IF(J188&lt;=G188,"Sắp hết","Còn hàng")))</f>
        <v/>
      </c>
    </row>
    <row r="189">
      <c r="A189" s="10" t="n"/>
      <c r="B189" s="10" t="n"/>
      <c r="C189" s="10" t="n"/>
      <c r="D189" s="11" t="n"/>
      <c r="E189" s="11" t="n"/>
      <c r="F189" s="12" t="n"/>
      <c r="G189" s="12" t="n"/>
      <c r="H189" s="13">
        <f>IF(A189="","",SUMIFS('Nhập kho'!$D$5:$D$2004,'Nhập kho'!$B$5:$B$2004,A189))</f>
        <v/>
      </c>
      <c r="I189" s="13">
        <f>IF(A189="","",SUMIFS('Bán hàng'!$F$5:$F$5004,'Bán hàng'!$D$5:$D$5004,A189))</f>
        <v/>
      </c>
      <c r="J189" s="13">
        <f>IF(A189="","",F189+H189-I189)</f>
        <v/>
      </c>
      <c r="K189" s="14">
        <f>IF(A189="","",IF(J189&lt;=0,"Hết hàng",IF(J189&lt;=G189,"Sắp hết","Còn hàng")))</f>
        <v/>
      </c>
    </row>
    <row r="190">
      <c r="A190" s="10" t="n"/>
      <c r="B190" s="10" t="n"/>
      <c r="C190" s="10" t="n"/>
      <c r="D190" s="11" t="n"/>
      <c r="E190" s="11" t="n"/>
      <c r="F190" s="12" t="n"/>
      <c r="G190" s="12" t="n"/>
      <c r="H190" s="13">
        <f>IF(A190="","",SUMIFS('Nhập kho'!$D$5:$D$2004,'Nhập kho'!$B$5:$B$2004,A190))</f>
        <v/>
      </c>
      <c r="I190" s="13">
        <f>IF(A190="","",SUMIFS('Bán hàng'!$F$5:$F$5004,'Bán hàng'!$D$5:$D$5004,A190))</f>
        <v/>
      </c>
      <c r="J190" s="13">
        <f>IF(A190="","",F190+H190-I190)</f>
        <v/>
      </c>
      <c r="K190" s="14">
        <f>IF(A190="","",IF(J190&lt;=0,"Hết hàng",IF(J190&lt;=G190,"Sắp hết","Còn hàng")))</f>
        <v/>
      </c>
    </row>
    <row r="191">
      <c r="A191" s="10" t="n"/>
      <c r="B191" s="10" t="n"/>
      <c r="C191" s="10" t="n"/>
      <c r="D191" s="11" t="n"/>
      <c r="E191" s="11" t="n"/>
      <c r="F191" s="12" t="n"/>
      <c r="G191" s="12" t="n"/>
      <c r="H191" s="13">
        <f>IF(A191="","",SUMIFS('Nhập kho'!$D$5:$D$2004,'Nhập kho'!$B$5:$B$2004,A191))</f>
        <v/>
      </c>
      <c r="I191" s="13">
        <f>IF(A191="","",SUMIFS('Bán hàng'!$F$5:$F$5004,'Bán hàng'!$D$5:$D$5004,A191))</f>
        <v/>
      </c>
      <c r="J191" s="13">
        <f>IF(A191="","",F191+H191-I191)</f>
        <v/>
      </c>
      <c r="K191" s="14">
        <f>IF(A191="","",IF(J191&lt;=0,"Hết hàng",IF(J191&lt;=G191,"Sắp hết","Còn hàng")))</f>
        <v/>
      </c>
    </row>
    <row r="192">
      <c r="A192" s="10" t="n"/>
      <c r="B192" s="10" t="n"/>
      <c r="C192" s="10" t="n"/>
      <c r="D192" s="11" t="n"/>
      <c r="E192" s="11" t="n"/>
      <c r="F192" s="12" t="n"/>
      <c r="G192" s="12" t="n"/>
      <c r="H192" s="13">
        <f>IF(A192="","",SUMIFS('Nhập kho'!$D$5:$D$2004,'Nhập kho'!$B$5:$B$2004,A192))</f>
        <v/>
      </c>
      <c r="I192" s="13">
        <f>IF(A192="","",SUMIFS('Bán hàng'!$F$5:$F$5004,'Bán hàng'!$D$5:$D$5004,A192))</f>
        <v/>
      </c>
      <c r="J192" s="13">
        <f>IF(A192="","",F192+H192-I192)</f>
        <v/>
      </c>
      <c r="K192" s="14">
        <f>IF(A192="","",IF(J192&lt;=0,"Hết hàng",IF(J192&lt;=G192,"Sắp hết","Còn hàng")))</f>
        <v/>
      </c>
    </row>
    <row r="193">
      <c r="A193" s="10" t="n"/>
      <c r="B193" s="10" t="n"/>
      <c r="C193" s="10" t="n"/>
      <c r="D193" s="11" t="n"/>
      <c r="E193" s="11" t="n"/>
      <c r="F193" s="12" t="n"/>
      <c r="G193" s="12" t="n"/>
      <c r="H193" s="13">
        <f>IF(A193="","",SUMIFS('Nhập kho'!$D$5:$D$2004,'Nhập kho'!$B$5:$B$2004,A193))</f>
        <v/>
      </c>
      <c r="I193" s="13">
        <f>IF(A193="","",SUMIFS('Bán hàng'!$F$5:$F$5004,'Bán hàng'!$D$5:$D$5004,A193))</f>
        <v/>
      </c>
      <c r="J193" s="13">
        <f>IF(A193="","",F193+H193-I193)</f>
        <v/>
      </c>
      <c r="K193" s="14">
        <f>IF(A193="","",IF(J193&lt;=0,"Hết hàng",IF(J193&lt;=G193,"Sắp hết","Còn hàng")))</f>
        <v/>
      </c>
    </row>
    <row r="194">
      <c r="A194" s="10" t="n"/>
      <c r="B194" s="10" t="n"/>
      <c r="C194" s="10" t="n"/>
      <c r="D194" s="11" t="n"/>
      <c r="E194" s="11" t="n"/>
      <c r="F194" s="12" t="n"/>
      <c r="G194" s="12" t="n"/>
      <c r="H194" s="13">
        <f>IF(A194="","",SUMIFS('Nhập kho'!$D$5:$D$2004,'Nhập kho'!$B$5:$B$2004,A194))</f>
        <v/>
      </c>
      <c r="I194" s="13">
        <f>IF(A194="","",SUMIFS('Bán hàng'!$F$5:$F$5004,'Bán hàng'!$D$5:$D$5004,A194))</f>
        <v/>
      </c>
      <c r="J194" s="13">
        <f>IF(A194="","",F194+H194-I194)</f>
        <v/>
      </c>
      <c r="K194" s="14">
        <f>IF(A194="","",IF(J194&lt;=0,"Hết hàng",IF(J194&lt;=G194,"Sắp hết","Còn hàng")))</f>
        <v/>
      </c>
    </row>
    <row r="195">
      <c r="A195" s="10" t="n"/>
      <c r="B195" s="10" t="n"/>
      <c r="C195" s="10" t="n"/>
      <c r="D195" s="11" t="n"/>
      <c r="E195" s="11" t="n"/>
      <c r="F195" s="12" t="n"/>
      <c r="G195" s="12" t="n"/>
      <c r="H195" s="13">
        <f>IF(A195="","",SUMIFS('Nhập kho'!$D$5:$D$2004,'Nhập kho'!$B$5:$B$2004,A195))</f>
        <v/>
      </c>
      <c r="I195" s="13">
        <f>IF(A195="","",SUMIFS('Bán hàng'!$F$5:$F$5004,'Bán hàng'!$D$5:$D$5004,A195))</f>
        <v/>
      </c>
      <c r="J195" s="13">
        <f>IF(A195="","",F195+H195-I195)</f>
        <v/>
      </c>
      <c r="K195" s="14">
        <f>IF(A195="","",IF(J195&lt;=0,"Hết hàng",IF(J195&lt;=G195,"Sắp hết","Còn hàng")))</f>
        <v/>
      </c>
    </row>
    <row r="196">
      <c r="A196" s="10" t="n"/>
      <c r="B196" s="10" t="n"/>
      <c r="C196" s="10" t="n"/>
      <c r="D196" s="11" t="n"/>
      <c r="E196" s="11" t="n"/>
      <c r="F196" s="12" t="n"/>
      <c r="G196" s="12" t="n"/>
      <c r="H196" s="13">
        <f>IF(A196="","",SUMIFS('Nhập kho'!$D$5:$D$2004,'Nhập kho'!$B$5:$B$2004,A196))</f>
        <v/>
      </c>
      <c r="I196" s="13">
        <f>IF(A196="","",SUMIFS('Bán hàng'!$F$5:$F$5004,'Bán hàng'!$D$5:$D$5004,A196))</f>
        <v/>
      </c>
      <c r="J196" s="13">
        <f>IF(A196="","",F196+H196-I196)</f>
        <v/>
      </c>
      <c r="K196" s="14">
        <f>IF(A196="","",IF(J196&lt;=0,"Hết hàng",IF(J196&lt;=G196,"Sắp hết","Còn hàng")))</f>
        <v/>
      </c>
    </row>
    <row r="197">
      <c r="A197" s="10" t="n"/>
      <c r="B197" s="10" t="n"/>
      <c r="C197" s="10" t="n"/>
      <c r="D197" s="11" t="n"/>
      <c r="E197" s="11" t="n"/>
      <c r="F197" s="12" t="n"/>
      <c r="G197" s="12" t="n"/>
      <c r="H197" s="13">
        <f>IF(A197="","",SUMIFS('Nhập kho'!$D$5:$D$2004,'Nhập kho'!$B$5:$B$2004,A197))</f>
        <v/>
      </c>
      <c r="I197" s="13">
        <f>IF(A197="","",SUMIFS('Bán hàng'!$F$5:$F$5004,'Bán hàng'!$D$5:$D$5004,A197))</f>
        <v/>
      </c>
      <c r="J197" s="13">
        <f>IF(A197="","",F197+H197-I197)</f>
        <v/>
      </c>
      <c r="K197" s="14">
        <f>IF(A197="","",IF(J197&lt;=0,"Hết hàng",IF(J197&lt;=G197,"Sắp hết","Còn hàng")))</f>
        <v/>
      </c>
    </row>
    <row r="198">
      <c r="A198" s="10" t="n"/>
      <c r="B198" s="10" t="n"/>
      <c r="C198" s="10" t="n"/>
      <c r="D198" s="11" t="n"/>
      <c r="E198" s="11" t="n"/>
      <c r="F198" s="12" t="n"/>
      <c r="G198" s="12" t="n"/>
      <c r="H198" s="13">
        <f>IF(A198="","",SUMIFS('Nhập kho'!$D$5:$D$2004,'Nhập kho'!$B$5:$B$2004,A198))</f>
        <v/>
      </c>
      <c r="I198" s="13">
        <f>IF(A198="","",SUMIFS('Bán hàng'!$F$5:$F$5004,'Bán hàng'!$D$5:$D$5004,A198))</f>
        <v/>
      </c>
      <c r="J198" s="13">
        <f>IF(A198="","",F198+H198-I198)</f>
        <v/>
      </c>
      <c r="K198" s="14">
        <f>IF(A198="","",IF(J198&lt;=0,"Hết hàng",IF(J198&lt;=G198,"Sắp hết","Còn hàng")))</f>
        <v/>
      </c>
    </row>
    <row r="199">
      <c r="A199" s="10" t="n"/>
      <c r="B199" s="10" t="n"/>
      <c r="C199" s="10" t="n"/>
      <c r="D199" s="11" t="n"/>
      <c r="E199" s="11" t="n"/>
      <c r="F199" s="12" t="n"/>
      <c r="G199" s="12" t="n"/>
      <c r="H199" s="13">
        <f>IF(A199="","",SUMIFS('Nhập kho'!$D$5:$D$2004,'Nhập kho'!$B$5:$B$2004,A199))</f>
        <v/>
      </c>
      <c r="I199" s="13">
        <f>IF(A199="","",SUMIFS('Bán hàng'!$F$5:$F$5004,'Bán hàng'!$D$5:$D$5004,A199))</f>
        <v/>
      </c>
      <c r="J199" s="13">
        <f>IF(A199="","",F199+H199-I199)</f>
        <v/>
      </c>
      <c r="K199" s="14">
        <f>IF(A199="","",IF(J199&lt;=0,"Hết hàng",IF(J199&lt;=G199,"Sắp hết","Còn hàng")))</f>
        <v/>
      </c>
    </row>
    <row r="200">
      <c r="A200" s="10" t="n"/>
      <c r="B200" s="10" t="n"/>
      <c r="C200" s="10" t="n"/>
      <c r="D200" s="11" t="n"/>
      <c r="E200" s="11" t="n"/>
      <c r="F200" s="12" t="n"/>
      <c r="G200" s="12" t="n"/>
      <c r="H200" s="13">
        <f>IF(A200="","",SUMIFS('Nhập kho'!$D$5:$D$2004,'Nhập kho'!$B$5:$B$2004,A200))</f>
        <v/>
      </c>
      <c r="I200" s="13">
        <f>IF(A200="","",SUMIFS('Bán hàng'!$F$5:$F$5004,'Bán hàng'!$D$5:$D$5004,A200))</f>
        <v/>
      </c>
      <c r="J200" s="13">
        <f>IF(A200="","",F200+H200-I200)</f>
        <v/>
      </c>
      <c r="K200" s="14">
        <f>IF(A200="","",IF(J200&lt;=0,"Hết hàng",IF(J200&lt;=G200,"Sắp hết","Còn hàng")))</f>
        <v/>
      </c>
    </row>
    <row r="201">
      <c r="A201" s="10" t="n"/>
      <c r="B201" s="10" t="n"/>
      <c r="C201" s="10" t="n"/>
      <c r="D201" s="11" t="n"/>
      <c r="E201" s="11" t="n"/>
      <c r="F201" s="12" t="n"/>
      <c r="G201" s="12" t="n"/>
      <c r="H201" s="13">
        <f>IF(A201="","",SUMIFS('Nhập kho'!$D$5:$D$2004,'Nhập kho'!$B$5:$B$2004,A201))</f>
        <v/>
      </c>
      <c r="I201" s="13">
        <f>IF(A201="","",SUMIFS('Bán hàng'!$F$5:$F$5004,'Bán hàng'!$D$5:$D$5004,A201))</f>
        <v/>
      </c>
      <c r="J201" s="13">
        <f>IF(A201="","",F201+H201-I201)</f>
        <v/>
      </c>
      <c r="K201" s="14">
        <f>IF(A201="","",IF(J201&lt;=0,"Hết hàng",IF(J201&lt;=G201,"Sắp hết","Còn hàng")))</f>
        <v/>
      </c>
    </row>
    <row r="202">
      <c r="A202" s="10" t="n"/>
      <c r="B202" s="10" t="n"/>
      <c r="C202" s="10" t="n"/>
      <c r="D202" s="11" t="n"/>
      <c r="E202" s="11" t="n"/>
      <c r="F202" s="12" t="n"/>
      <c r="G202" s="12" t="n"/>
      <c r="H202" s="13">
        <f>IF(A202="","",SUMIFS('Nhập kho'!$D$5:$D$2004,'Nhập kho'!$B$5:$B$2004,A202))</f>
        <v/>
      </c>
      <c r="I202" s="13">
        <f>IF(A202="","",SUMIFS('Bán hàng'!$F$5:$F$5004,'Bán hàng'!$D$5:$D$5004,A202))</f>
        <v/>
      </c>
      <c r="J202" s="13">
        <f>IF(A202="","",F202+H202-I202)</f>
        <v/>
      </c>
      <c r="K202" s="14">
        <f>IF(A202="","",IF(J202&lt;=0,"Hết hàng",IF(J202&lt;=G202,"Sắp hết","Còn hàng")))</f>
        <v/>
      </c>
    </row>
    <row r="203">
      <c r="A203" s="10" t="n"/>
      <c r="B203" s="10" t="n"/>
      <c r="C203" s="10" t="n"/>
      <c r="D203" s="11" t="n"/>
      <c r="E203" s="11" t="n"/>
      <c r="F203" s="12" t="n"/>
      <c r="G203" s="12" t="n"/>
      <c r="H203" s="13">
        <f>IF(A203="","",SUMIFS('Nhập kho'!$D$5:$D$2004,'Nhập kho'!$B$5:$B$2004,A203))</f>
        <v/>
      </c>
      <c r="I203" s="13">
        <f>IF(A203="","",SUMIFS('Bán hàng'!$F$5:$F$5004,'Bán hàng'!$D$5:$D$5004,A203))</f>
        <v/>
      </c>
      <c r="J203" s="13">
        <f>IF(A203="","",F203+H203-I203)</f>
        <v/>
      </c>
      <c r="K203" s="14">
        <f>IF(A203="","",IF(J203&lt;=0,"Hết hàng",IF(J203&lt;=G203,"Sắp hết","Còn hàng")))</f>
        <v/>
      </c>
    </row>
    <row r="204">
      <c r="A204" s="10" t="n"/>
      <c r="B204" s="10" t="n"/>
      <c r="C204" s="10" t="n"/>
      <c r="D204" s="11" t="n"/>
      <c r="E204" s="11" t="n"/>
      <c r="F204" s="12" t="n"/>
      <c r="G204" s="12" t="n"/>
      <c r="H204" s="13">
        <f>IF(A204="","",SUMIFS('Nhập kho'!$D$5:$D$2004,'Nhập kho'!$B$5:$B$2004,A204))</f>
        <v/>
      </c>
      <c r="I204" s="13">
        <f>IF(A204="","",SUMIFS('Bán hàng'!$F$5:$F$5004,'Bán hàng'!$D$5:$D$5004,A204))</f>
        <v/>
      </c>
      <c r="J204" s="13">
        <f>IF(A204="","",F204+H204-I204)</f>
        <v/>
      </c>
      <c r="K204" s="14">
        <f>IF(A204="","",IF(J204&lt;=0,"Hết hàng",IF(J204&lt;=G204,"Sắp hết","Còn hàng")))</f>
        <v/>
      </c>
    </row>
    <row r="205">
      <c r="A205" s="10" t="n"/>
      <c r="B205" s="10" t="n"/>
      <c r="C205" s="10" t="n"/>
      <c r="D205" s="11" t="n"/>
      <c r="E205" s="11" t="n"/>
      <c r="F205" s="12" t="n"/>
      <c r="G205" s="12" t="n"/>
      <c r="H205" s="13">
        <f>IF(A205="","",SUMIFS('Nhập kho'!$D$5:$D$2004,'Nhập kho'!$B$5:$B$2004,A205))</f>
        <v/>
      </c>
      <c r="I205" s="13">
        <f>IF(A205="","",SUMIFS('Bán hàng'!$F$5:$F$5004,'Bán hàng'!$D$5:$D$5004,A205))</f>
        <v/>
      </c>
      <c r="J205" s="13">
        <f>IF(A205="","",F205+H205-I205)</f>
        <v/>
      </c>
      <c r="K205" s="14">
        <f>IF(A205="","",IF(J205&lt;=0,"Hết hàng",IF(J205&lt;=G205,"Sắp hết","Còn hàng")))</f>
        <v/>
      </c>
    </row>
    <row r="206">
      <c r="A206" s="10" t="n"/>
      <c r="B206" s="10" t="n"/>
      <c r="C206" s="10" t="n"/>
      <c r="D206" s="11" t="n"/>
      <c r="E206" s="11" t="n"/>
      <c r="F206" s="12" t="n"/>
      <c r="G206" s="12" t="n"/>
      <c r="H206" s="13">
        <f>IF(A206="","",SUMIFS('Nhập kho'!$D$5:$D$2004,'Nhập kho'!$B$5:$B$2004,A206))</f>
        <v/>
      </c>
      <c r="I206" s="13">
        <f>IF(A206="","",SUMIFS('Bán hàng'!$F$5:$F$5004,'Bán hàng'!$D$5:$D$5004,A206))</f>
        <v/>
      </c>
      <c r="J206" s="13">
        <f>IF(A206="","",F206+H206-I206)</f>
        <v/>
      </c>
      <c r="K206" s="14">
        <f>IF(A206="","",IF(J206&lt;=0,"Hết hàng",IF(J206&lt;=G206,"Sắp hết","Còn hàng")))</f>
        <v/>
      </c>
    </row>
    <row r="207">
      <c r="A207" s="10" t="n"/>
      <c r="B207" s="10" t="n"/>
      <c r="C207" s="10" t="n"/>
      <c r="D207" s="11" t="n"/>
      <c r="E207" s="11" t="n"/>
      <c r="F207" s="12" t="n"/>
      <c r="G207" s="12" t="n"/>
      <c r="H207" s="13">
        <f>IF(A207="","",SUMIFS('Nhập kho'!$D$5:$D$2004,'Nhập kho'!$B$5:$B$2004,A207))</f>
        <v/>
      </c>
      <c r="I207" s="13">
        <f>IF(A207="","",SUMIFS('Bán hàng'!$F$5:$F$5004,'Bán hàng'!$D$5:$D$5004,A207))</f>
        <v/>
      </c>
      <c r="J207" s="13">
        <f>IF(A207="","",F207+H207-I207)</f>
        <v/>
      </c>
      <c r="K207" s="14">
        <f>IF(A207="","",IF(J207&lt;=0,"Hết hàng",IF(J207&lt;=G207,"Sắp hết","Còn hàng")))</f>
        <v/>
      </c>
    </row>
    <row r="208">
      <c r="A208" s="10" t="n"/>
      <c r="B208" s="10" t="n"/>
      <c r="C208" s="10" t="n"/>
      <c r="D208" s="11" t="n"/>
      <c r="E208" s="11" t="n"/>
      <c r="F208" s="12" t="n"/>
      <c r="G208" s="12" t="n"/>
      <c r="H208" s="13">
        <f>IF(A208="","",SUMIFS('Nhập kho'!$D$5:$D$2004,'Nhập kho'!$B$5:$B$2004,A208))</f>
        <v/>
      </c>
      <c r="I208" s="13">
        <f>IF(A208="","",SUMIFS('Bán hàng'!$F$5:$F$5004,'Bán hàng'!$D$5:$D$5004,A208))</f>
        <v/>
      </c>
      <c r="J208" s="13">
        <f>IF(A208="","",F208+H208-I208)</f>
        <v/>
      </c>
      <c r="K208" s="14">
        <f>IF(A208="","",IF(J208&lt;=0,"Hết hàng",IF(J208&lt;=G208,"Sắp hết","Còn hàng")))</f>
        <v/>
      </c>
    </row>
    <row r="209">
      <c r="A209" s="10" t="n"/>
      <c r="B209" s="10" t="n"/>
      <c r="C209" s="10" t="n"/>
      <c r="D209" s="11" t="n"/>
      <c r="E209" s="11" t="n"/>
      <c r="F209" s="12" t="n"/>
      <c r="G209" s="12" t="n"/>
      <c r="H209" s="13">
        <f>IF(A209="","",SUMIFS('Nhập kho'!$D$5:$D$2004,'Nhập kho'!$B$5:$B$2004,A209))</f>
        <v/>
      </c>
      <c r="I209" s="13">
        <f>IF(A209="","",SUMIFS('Bán hàng'!$F$5:$F$5004,'Bán hàng'!$D$5:$D$5004,A209))</f>
        <v/>
      </c>
      <c r="J209" s="13">
        <f>IF(A209="","",F209+H209-I209)</f>
        <v/>
      </c>
      <c r="K209" s="14">
        <f>IF(A209="","",IF(J209&lt;=0,"Hết hàng",IF(J209&lt;=G209,"Sắp hết","Còn hàng")))</f>
        <v/>
      </c>
    </row>
    <row r="210">
      <c r="A210" s="10" t="n"/>
      <c r="B210" s="10" t="n"/>
      <c r="C210" s="10" t="n"/>
      <c r="D210" s="11" t="n"/>
      <c r="E210" s="11" t="n"/>
      <c r="F210" s="12" t="n"/>
      <c r="G210" s="12" t="n"/>
      <c r="H210" s="13">
        <f>IF(A210="","",SUMIFS('Nhập kho'!$D$5:$D$2004,'Nhập kho'!$B$5:$B$2004,A210))</f>
        <v/>
      </c>
      <c r="I210" s="13">
        <f>IF(A210="","",SUMIFS('Bán hàng'!$F$5:$F$5004,'Bán hàng'!$D$5:$D$5004,A210))</f>
        <v/>
      </c>
      <c r="J210" s="13">
        <f>IF(A210="","",F210+H210-I210)</f>
        <v/>
      </c>
      <c r="K210" s="14">
        <f>IF(A210="","",IF(J210&lt;=0,"Hết hàng",IF(J210&lt;=G210,"Sắp hết","Còn hàng")))</f>
        <v/>
      </c>
    </row>
    <row r="211">
      <c r="A211" s="10" t="n"/>
      <c r="B211" s="10" t="n"/>
      <c r="C211" s="10" t="n"/>
      <c r="D211" s="11" t="n"/>
      <c r="E211" s="11" t="n"/>
      <c r="F211" s="12" t="n"/>
      <c r="G211" s="12" t="n"/>
      <c r="H211" s="13">
        <f>IF(A211="","",SUMIFS('Nhập kho'!$D$5:$D$2004,'Nhập kho'!$B$5:$B$2004,A211))</f>
        <v/>
      </c>
      <c r="I211" s="13">
        <f>IF(A211="","",SUMIFS('Bán hàng'!$F$5:$F$5004,'Bán hàng'!$D$5:$D$5004,A211))</f>
        <v/>
      </c>
      <c r="J211" s="13">
        <f>IF(A211="","",F211+H211-I211)</f>
        <v/>
      </c>
      <c r="K211" s="14">
        <f>IF(A211="","",IF(J211&lt;=0,"Hết hàng",IF(J211&lt;=G211,"Sắp hết","Còn hàng")))</f>
        <v/>
      </c>
    </row>
    <row r="212">
      <c r="A212" s="10" t="n"/>
      <c r="B212" s="10" t="n"/>
      <c r="C212" s="10" t="n"/>
      <c r="D212" s="11" t="n"/>
      <c r="E212" s="11" t="n"/>
      <c r="F212" s="12" t="n"/>
      <c r="G212" s="12" t="n"/>
      <c r="H212" s="13">
        <f>IF(A212="","",SUMIFS('Nhập kho'!$D$5:$D$2004,'Nhập kho'!$B$5:$B$2004,A212))</f>
        <v/>
      </c>
      <c r="I212" s="13">
        <f>IF(A212="","",SUMIFS('Bán hàng'!$F$5:$F$5004,'Bán hàng'!$D$5:$D$5004,A212))</f>
        <v/>
      </c>
      <c r="J212" s="13">
        <f>IF(A212="","",F212+H212-I212)</f>
        <v/>
      </c>
      <c r="K212" s="14">
        <f>IF(A212="","",IF(J212&lt;=0,"Hết hàng",IF(J212&lt;=G212,"Sắp hết","Còn hàng")))</f>
        <v/>
      </c>
    </row>
    <row r="213">
      <c r="A213" s="10" t="n"/>
      <c r="B213" s="10" t="n"/>
      <c r="C213" s="10" t="n"/>
      <c r="D213" s="11" t="n"/>
      <c r="E213" s="11" t="n"/>
      <c r="F213" s="12" t="n"/>
      <c r="G213" s="12" t="n"/>
      <c r="H213" s="13">
        <f>IF(A213="","",SUMIFS('Nhập kho'!$D$5:$D$2004,'Nhập kho'!$B$5:$B$2004,A213))</f>
        <v/>
      </c>
      <c r="I213" s="13">
        <f>IF(A213="","",SUMIFS('Bán hàng'!$F$5:$F$5004,'Bán hàng'!$D$5:$D$5004,A213))</f>
        <v/>
      </c>
      <c r="J213" s="13">
        <f>IF(A213="","",F213+H213-I213)</f>
        <v/>
      </c>
      <c r="K213" s="14">
        <f>IF(A213="","",IF(J213&lt;=0,"Hết hàng",IF(J213&lt;=G213,"Sắp hết","Còn hàng")))</f>
        <v/>
      </c>
    </row>
    <row r="214">
      <c r="A214" s="10" t="n"/>
      <c r="B214" s="10" t="n"/>
      <c r="C214" s="10" t="n"/>
      <c r="D214" s="11" t="n"/>
      <c r="E214" s="11" t="n"/>
      <c r="F214" s="12" t="n"/>
      <c r="G214" s="12" t="n"/>
      <c r="H214" s="13">
        <f>IF(A214="","",SUMIFS('Nhập kho'!$D$5:$D$2004,'Nhập kho'!$B$5:$B$2004,A214))</f>
        <v/>
      </c>
      <c r="I214" s="13">
        <f>IF(A214="","",SUMIFS('Bán hàng'!$F$5:$F$5004,'Bán hàng'!$D$5:$D$5004,A214))</f>
        <v/>
      </c>
      <c r="J214" s="13">
        <f>IF(A214="","",F214+H214-I214)</f>
        <v/>
      </c>
      <c r="K214" s="14">
        <f>IF(A214="","",IF(J214&lt;=0,"Hết hàng",IF(J214&lt;=G214,"Sắp hết","Còn hàng")))</f>
        <v/>
      </c>
    </row>
    <row r="215">
      <c r="A215" s="10" t="n"/>
      <c r="B215" s="10" t="n"/>
      <c r="C215" s="10" t="n"/>
      <c r="D215" s="11" t="n"/>
      <c r="E215" s="11" t="n"/>
      <c r="F215" s="12" t="n"/>
      <c r="G215" s="12" t="n"/>
      <c r="H215" s="13">
        <f>IF(A215="","",SUMIFS('Nhập kho'!$D$5:$D$2004,'Nhập kho'!$B$5:$B$2004,A215))</f>
        <v/>
      </c>
      <c r="I215" s="13">
        <f>IF(A215="","",SUMIFS('Bán hàng'!$F$5:$F$5004,'Bán hàng'!$D$5:$D$5004,A215))</f>
        <v/>
      </c>
      <c r="J215" s="13">
        <f>IF(A215="","",F215+H215-I215)</f>
        <v/>
      </c>
      <c r="K215" s="14">
        <f>IF(A215="","",IF(J215&lt;=0,"Hết hàng",IF(J215&lt;=G215,"Sắp hết","Còn hàng")))</f>
        <v/>
      </c>
    </row>
    <row r="216">
      <c r="A216" s="10" t="n"/>
      <c r="B216" s="10" t="n"/>
      <c r="C216" s="10" t="n"/>
      <c r="D216" s="11" t="n"/>
      <c r="E216" s="11" t="n"/>
      <c r="F216" s="12" t="n"/>
      <c r="G216" s="12" t="n"/>
      <c r="H216" s="13">
        <f>IF(A216="","",SUMIFS('Nhập kho'!$D$5:$D$2004,'Nhập kho'!$B$5:$B$2004,A216))</f>
        <v/>
      </c>
      <c r="I216" s="13">
        <f>IF(A216="","",SUMIFS('Bán hàng'!$F$5:$F$5004,'Bán hàng'!$D$5:$D$5004,A216))</f>
        <v/>
      </c>
      <c r="J216" s="13">
        <f>IF(A216="","",F216+H216-I216)</f>
        <v/>
      </c>
      <c r="K216" s="14">
        <f>IF(A216="","",IF(J216&lt;=0,"Hết hàng",IF(J216&lt;=G216,"Sắp hết","Còn hàng")))</f>
        <v/>
      </c>
    </row>
    <row r="217">
      <c r="A217" s="10" t="n"/>
      <c r="B217" s="10" t="n"/>
      <c r="C217" s="10" t="n"/>
      <c r="D217" s="11" t="n"/>
      <c r="E217" s="11" t="n"/>
      <c r="F217" s="12" t="n"/>
      <c r="G217" s="12" t="n"/>
      <c r="H217" s="13">
        <f>IF(A217="","",SUMIFS('Nhập kho'!$D$5:$D$2004,'Nhập kho'!$B$5:$B$2004,A217))</f>
        <v/>
      </c>
      <c r="I217" s="13">
        <f>IF(A217="","",SUMIFS('Bán hàng'!$F$5:$F$5004,'Bán hàng'!$D$5:$D$5004,A217))</f>
        <v/>
      </c>
      <c r="J217" s="13">
        <f>IF(A217="","",F217+H217-I217)</f>
        <v/>
      </c>
      <c r="K217" s="14">
        <f>IF(A217="","",IF(J217&lt;=0,"Hết hàng",IF(J217&lt;=G217,"Sắp hết","Còn hàng")))</f>
        <v/>
      </c>
    </row>
    <row r="218">
      <c r="A218" s="10" t="n"/>
      <c r="B218" s="10" t="n"/>
      <c r="C218" s="10" t="n"/>
      <c r="D218" s="11" t="n"/>
      <c r="E218" s="11" t="n"/>
      <c r="F218" s="12" t="n"/>
      <c r="G218" s="12" t="n"/>
      <c r="H218" s="13">
        <f>IF(A218="","",SUMIFS('Nhập kho'!$D$5:$D$2004,'Nhập kho'!$B$5:$B$2004,A218))</f>
        <v/>
      </c>
      <c r="I218" s="13">
        <f>IF(A218="","",SUMIFS('Bán hàng'!$F$5:$F$5004,'Bán hàng'!$D$5:$D$5004,A218))</f>
        <v/>
      </c>
      <c r="J218" s="13">
        <f>IF(A218="","",F218+H218-I218)</f>
        <v/>
      </c>
      <c r="K218" s="14">
        <f>IF(A218="","",IF(J218&lt;=0,"Hết hàng",IF(J218&lt;=G218,"Sắp hết","Còn hàng")))</f>
        <v/>
      </c>
    </row>
    <row r="219">
      <c r="A219" s="10" t="n"/>
      <c r="B219" s="10" t="n"/>
      <c r="C219" s="10" t="n"/>
      <c r="D219" s="11" t="n"/>
      <c r="E219" s="11" t="n"/>
      <c r="F219" s="12" t="n"/>
      <c r="G219" s="12" t="n"/>
      <c r="H219" s="13">
        <f>IF(A219="","",SUMIFS('Nhập kho'!$D$5:$D$2004,'Nhập kho'!$B$5:$B$2004,A219))</f>
        <v/>
      </c>
      <c r="I219" s="13">
        <f>IF(A219="","",SUMIFS('Bán hàng'!$F$5:$F$5004,'Bán hàng'!$D$5:$D$5004,A219))</f>
        <v/>
      </c>
      <c r="J219" s="13">
        <f>IF(A219="","",F219+H219-I219)</f>
        <v/>
      </c>
      <c r="K219" s="14">
        <f>IF(A219="","",IF(J219&lt;=0,"Hết hàng",IF(J219&lt;=G219,"Sắp hết","Còn hàng")))</f>
        <v/>
      </c>
    </row>
    <row r="220">
      <c r="A220" s="10" t="n"/>
      <c r="B220" s="10" t="n"/>
      <c r="C220" s="10" t="n"/>
      <c r="D220" s="11" t="n"/>
      <c r="E220" s="11" t="n"/>
      <c r="F220" s="12" t="n"/>
      <c r="G220" s="12" t="n"/>
      <c r="H220" s="13">
        <f>IF(A220="","",SUMIFS('Nhập kho'!$D$5:$D$2004,'Nhập kho'!$B$5:$B$2004,A220))</f>
        <v/>
      </c>
      <c r="I220" s="13">
        <f>IF(A220="","",SUMIFS('Bán hàng'!$F$5:$F$5004,'Bán hàng'!$D$5:$D$5004,A220))</f>
        <v/>
      </c>
      <c r="J220" s="13">
        <f>IF(A220="","",F220+H220-I220)</f>
        <v/>
      </c>
      <c r="K220" s="14">
        <f>IF(A220="","",IF(J220&lt;=0,"Hết hàng",IF(J220&lt;=G220,"Sắp hết","Còn hàng")))</f>
        <v/>
      </c>
    </row>
    <row r="221">
      <c r="A221" s="10" t="n"/>
      <c r="B221" s="10" t="n"/>
      <c r="C221" s="10" t="n"/>
      <c r="D221" s="11" t="n"/>
      <c r="E221" s="11" t="n"/>
      <c r="F221" s="12" t="n"/>
      <c r="G221" s="12" t="n"/>
      <c r="H221" s="13">
        <f>IF(A221="","",SUMIFS('Nhập kho'!$D$5:$D$2004,'Nhập kho'!$B$5:$B$2004,A221))</f>
        <v/>
      </c>
      <c r="I221" s="13">
        <f>IF(A221="","",SUMIFS('Bán hàng'!$F$5:$F$5004,'Bán hàng'!$D$5:$D$5004,A221))</f>
        <v/>
      </c>
      <c r="J221" s="13">
        <f>IF(A221="","",F221+H221-I221)</f>
        <v/>
      </c>
      <c r="K221" s="14">
        <f>IF(A221="","",IF(J221&lt;=0,"Hết hàng",IF(J221&lt;=G221,"Sắp hết","Còn hàng")))</f>
        <v/>
      </c>
    </row>
    <row r="222">
      <c r="A222" s="10" t="n"/>
      <c r="B222" s="10" t="n"/>
      <c r="C222" s="10" t="n"/>
      <c r="D222" s="11" t="n"/>
      <c r="E222" s="11" t="n"/>
      <c r="F222" s="12" t="n"/>
      <c r="G222" s="12" t="n"/>
      <c r="H222" s="13">
        <f>IF(A222="","",SUMIFS('Nhập kho'!$D$5:$D$2004,'Nhập kho'!$B$5:$B$2004,A222))</f>
        <v/>
      </c>
      <c r="I222" s="13">
        <f>IF(A222="","",SUMIFS('Bán hàng'!$F$5:$F$5004,'Bán hàng'!$D$5:$D$5004,A222))</f>
        <v/>
      </c>
      <c r="J222" s="13">
        <f>IF(A222="","",F222+H222-I222)</f>
        <v/>
      </c>
      <c r="K222" s="14">
        <f>IF(A222="","",IF(J222&lt;=0,"Hết hàng",IF(J222&lt;=G222,"Sắp hết","Còn hàng")))</f>
        <v/>
      </c>
    </row>
    <row r="223">
      <c r="A223" s="10" t="n"/>
      <c r="B223" s="10" t="n"/>
      <c r="C223" s="10" t="n"/>
      <c r="D223" s="11" t="n"/>
      <c r="E223" s="11" t="n"/>
      <c r="F223" s="12" t="n"/>
      <c r="G223" s="12" t="n"/>
      <c r="H223" s="13">
        <f>IF(A223="","",SUMIFS('Nhập kho'!$D$5:$D$2004,'Nhập kho'!$B$5:$B$2004,A223))</f>
        <v/>
      </c>
      <c r="I223" s="13">
        <f>IF(A223="","",SUMIFS('Bán hàng'!$F$5:$F$5004,'Bán hàng'!$D$5:$D$5004,A223))</f>
        <v/>
      </c>
      <c r="J223" s="13">
        <f>IF(A223="","",F223+H223-I223)</f>
        <v/>
      </c>
      <c r="K223" s="14">
        <f>IF(A223="","",IF(J223&lt;=0,"Hết hàng",IF(J223&lt;=G223,"Sắp hết","Còn hàng")))</f>
        <v/>
      </c>
    </row>
    <row r="224">
      <c r="A224" s="10" t="n"/>
      <c r="B224" s="10" t="n"/>
      <c r="C224" s="10" t="n"/>
      <c r="D224" s="11" t="n"/>
      <c r="E224" s="11" t="n"/>
      <c r="F224" s="12" t="n"/>
      <c r="G224" s="12" t="n"/>
      <c r="H224" s="13">
        <f>IF(A224="","",SUMIFS('Nhập kho'!$D$5:$D$2004,'Nhập kho'!$B$5:$B$2004,A224))</f>
        <v/>
      </c>
      <c r="I224" s="13">
        <f>IF(A224="","",SUMIFS('Bán hàng'!$F$5:$F$5004,'Bán hàng'!$D$5:$D$5004,A224))</f>
        <v/>
      </c>
      <c r="J224" s="13">
        <f>IF(A224="","",F224+H224-I224)</f>
        <v/>
      </c>
      <c r="K224" s="14">
        <f>IF(A224="","",IF(J224&lt;=0,"Hết hàng",IF(J224&lt;=G224,"Sắp hết","Còn hàng")))</f>
        <v/>
      </c>
    </row>
    <row r="225">
      <c r="A225" s="10" t="n"/>
      <c r="B225" s="10" t="n"/>
      <c r="C225" s="10" t="n"/>
      <c r="D225" s="11" t="n"/>
      <c r="E225" s="11" t="n"/>
      <c r="F225" s="12" t="n"/>
      <c r="G225" s="12" t="n"/>
      <c r="H225" s="13">
        <f>IF(A225="","",SUMIFS('Nhập kho'!$D$5:$D$2004,'Nhập kho'!$B$5:$B$2004,A225))</f>
        <v/>
      </c>
      <c r="I225" s="13">
        <f>IF(A225="","",SUMIFS('Bán hàng'!$F$5:$F$5004,'Bán hàng'!$D$5:$D$5004,A225))</f>
        <v/>
      </c>
      <c r="J225" s="13">
        <f>IF(A225="","",F225+H225-I225)</f>
        <v/>
      </c>
      <c r="K225" s="14">
        <f>IF(A225="","",IF(J225&lt;=0,"Hết hàng",IF(J225&lt;=G225,"Sắp hết","Còn hàng")))</f>
        <v/>
      </c>
    </row>
    <row r="226">
      <c r="A226" s="10" t="n"/>
      <c r="B226" s="10" t="n"/>
      <c r="C226" s="10" t="n"/>
      <c r="D226" s="11" t="n"/>
      <c r="E226" s="11" t="n"/>
      <c r="F226" s="12" t="n"/>
      <c r="G226" s="12" t="n"/>
      <c r="H226" s="13">
        <f>IF(A226="","",SUMIFS('Nhập kho'!$D$5:$D$2004,'Nhập kho'!$B$5:$B$2004,A226))</f>
        <v/>
      </c>
      <c r="I226" s="13">
        <f>IF(A226="","",SUMIFS('Bán hàng'!$F$5:$F$5004,'Bán hàng'!$D$5:$D$5004,A226))</f>
        <v/>
      </c>
      <c r="J226" s="13">
        <f>IF(A226="","",F226+H226-I226)</f>
        <v/>
      </c>
      <c r="K226" s="14">
        <f>IF(A226="","",IF(J226&lt;=0,"Hết hàng",IF(J226&lt;=G226,"Sắp hết","Còn hàng")))</f>
        <v/>
      </c>
    </row>
    <row r="227">
      <c r="A227" s="10" t="n"/>
      <c r="B227" s="10" t="n"/>
      <c r="C227" s="10" t="n"/>
      <c r="D227" s="11" t="n"/>
      <c r="E227" s="11" t="n"/>
      <c r="F227" s="12" t="n"/>
      <c r="G227" s="12" t="n"/>
      <c r="H227" s="13">
        <f>IF(A227="","",SUMIFS('Nhập kho'!$D$5:$D$2004,'Nhập kho'!$B$5:$B$2004,A227))</f>
        <v/>
      </c>
      <c r="I227" s="13">
        <f>IF(A227="","",SUMIFS('Bán hàng'!$F$5:$F$5004,'Bán hàng'!$D$5:$D$5004,A227))</f>
        <v/>
      </c>
      <c r="J227" s="13">
        <f>IF(A227="","",F227+H227-I227)</f>
        <v/>
      </c>
      <c r="K227" s="14">
        <f>IF(A227="","",IF(J227&lt;=0,"Hết hàng",IF(J227&lt;=G227,"Sắp hết","Còn hàng")))</f>
        <v/>
      </c>
    </row>
    <row r="228">
      <c r="A228" s="10" t="n"/>
      <c r="B228" s="10" t="n"/>
      <c r="C228" s="10" t="n"/>
      <c r="D228" s="11" t="n"/>
      <c r="E228" s="11" t="n"/>
      <c r="F228" s="12" t="n"/>
      <c r="G228" s="12" t="n"/>
      <c r="H228" s="13">
        <f>IF(A228="","",SUMIFS('Nhập kho'!$D$5:$D$2004,'Nhập kho'!$B$5:$B$2004,A228))</f>
        <v/>
      </c>
      <c r="I228" s="13">
        <f>IF(A228="","",SUMIFS('Bán hàng'!$F$5:$F$5004,'Bán hàng'!$D$5:$D$5004,A228))</f>
        <v/>
      </c>
      <c r="J228" s="13">
        <f>IF(A228="","",F228+H228-I228)</f>
        <v/>
      </c>
      <c r="K228" s="14">
        <f>IF(A228="","",IF(J228&lt;=0,"Hết hàng",IF(J228&lt;=G228,"Sắp hết","Còn hàng")))</f>
        <v/>
      </c>
    </row>
    <row r="229">
      <c r="A229" s="10" t="n"/>
      <c r="B229" s="10" t="n"/>
      <c r="C229" s="10" t="n"/>
      <c r="D229" s="11" t="n"/>
      <c r="E229" s="11" t="n"/>
      <c r="F229" s="12" t="n"/>
      <c r="G229" s="12" t="n"/>
      <c r="H229" s="13">
        <f>IF(A229="","",SUMIFS('Nhập kho'!$D$5:$D$2004,'Nhập kho'!$B$5:$B$2004,A229))</f>
        <v/>
      </c>
      <c r="I229" s="13">
        <f>IF(A229="","",SUMIFS('Bán hàng'!$F$5:$F$5004,'Bán hàng'!$D$5:$D$5004,A229))</f>
        <v/>
      </c>
      <c r="J229" s="13">
        <f>IF(A229="","",F229+H229-I229)</f>
        <v/>
      </c>
      <c r="K229" s="14">
        <f>IF(A229="","",IF(J229&lt;=0,"Hết hàng",IF(J229&lt;=G229,"Sắp hết","Còn hàng")))</f>
        <v/>
      </c>
    </row>
    <row r="230">
      <c r="A230" s="10" t="n"/>
      <c r="B230" s="10" t="n"/>
      <c r="C230" s="10" t="n"/>
      <c r="D230" s="11" t="n"/>
      <c r="E230" s="11" t="n"/>
      <c r="F230" s="12" t="n"/>
      <c r="G230" s="12" t="n"/>
      <c r="H230" s="13">
        <f>IF(A230="","",SUMIFS('Nhập kho'!$D$5:$D$2004,'Nhập kho'!$B$5:$B$2004,A230))</f>
        <v/>
      </c>
      <c r="I230" s="13">
        <f>IF(A230="","",SUMIFS('Bán hàng'!$F$5:$F$5004,'Bán hàng'!$D$5:$D$5004,A230))</f>
        <v/>
      </c>
      <c r="J230" s="13">
        <f>IF(A230="","",F230+H230-I230)</f>
        <v/>
      </c>
      <c r="K230" s="14">
        <f>IF(A230="","",IF(J230&lt;=0,"Hết hàng",IF(J230&lt;=G230,"Sắp hết","Còn hàng")))</f>
        <v/>
      </c>
    </row>
    <row r="231">
      <c r="A231" s="10" t="n"/>
      <c r="B231" s="10" t="n"/>
      <c r="C231" s="10" t="n"/>
      <c r="D231" s="11" t="n"/>
      <c r="E231" s="11" t="n"/>
      <c r="F231" s="12" t="n"/>
      <c r="G231" s="12" t="n"/>
      <c r="H231" s="13">
        <f>IF(A231="","",SUMIFS('Nhập kho'!$D$5:$D$2004,'Nhập kho'!$B$5:$B$2004,A231))</f>
        <v/>
      </c>
      <c r="I231" s="13">
        <f>IF(A231="","",SUMIFS('Bán hàng'!$F$5:$F$5004,'Bán hàng'!$D$5:$D$5004,A231))</f>
        <v/>
      </c>
      <c r="J231" s="13">
        <f>IF(A231="","",F231+H231-I231)</f>
        <v/>
      </c>
      <c r="K231" s="14">
        <f>IF(A231="","",IF(J231&lt;=0,"Hết hàng",IF(J231&lt;=G231,"Sắp hết","Còn hàng")))</f>
        <v/>
      </c>
    </row>
    <row r="232">
      <c r="A232" s="10" t="n"/>
      <c r="B232" s="10" t="n"/>
      <c r="C232" s="10" t="n"/>
      <c r="D232" s="11" t="n"/>
      <c r="E232" s="11" t="n"/>
      <c r="F232" s="12" t="n"/>
      <c r="G232" s="12" t="n"/>
      <c r="H232" s="13">
        <f>IF(A232="","",SUMIFS('Nhập kho'!$D$5:$D$2004,'Nhập kho'!$B$5:$B$2004,A232))</f>
        <v/>
      </c>
      <c r="I232" s="13">
        <f>IF(A232="","",SUMIFS('Bán hàng'!$F$5:$F$5004,'Bán hàng'!$D$5:$D$5004,A232))</f>
        <v/>
      </c>
      <c r="J232" s="13">
        <f>IF(A232="","",F232+H232-I232)</f>
        <v/>
      </c>
      <c r="K232" s="14">
        <f>IF(A232="","",IF(J232&lt;=0,"Hết hàng",IF(J232&lt;=G232,"Sắp hết","Còn hàng")))</f>
        <v/>
      </c>
    </row>
    <row r="233">
      <c r="A233" s="10" t="n"/>
      <c r="B233" s="10" t="n"/>
      <c r="C233" s="10" t="n"/>
      <c r="D233" s="11" t="n"/>
      <c r="E233" s="11" t="n"/>
      <c r="F233" s="12" t="n"/>
      <c r="G233" s="12" t="n"/>
      <c r="H233" s="13">
        <f>IF(A233="","",SUMIFS('Nhập kho'!$D$5:$D$2004,'Nhập kho'!$B$5:$B$2004,A233))</f>
        <v/>
      </c>
      <c r="I233" s="13">
        <f>IF(A233="","",SUMIFS('Bán hàng'!$F$5:$F$5004,'Bán hàng'!$D$5:$D$5004,A233))</f>
        <v/>
      </c>
      <c r="J233" s="13">
        <f>IF(A233="","",F233+H233-I233)</f>
        <v/>
      </c>
      <c r="K233" s="14">
        <f>IF(A233="","",IF(J233&lt;=0,"Hết hàng",IF(J233&lt;=G233,"Sắp hết","Còn hàng")))</f>
        <v/>
      </c>
    </row>
    <row r="234">
      <c r="A234" s="10" t="n"/>
      <c r="B234" s="10" t="n"/>
      <c r="C234" s="10" t="n"/>
      <c r="D234" s="11" t="n"/>
      <c r="E234" s="11" t="n"/>
      <c r="F234" s="12" t="n"/>
      <c r="G234" s="12" t="n"/>
      <c r="H234" s="13">
        <f>IF(A234="","",SUMIFS('Nhập kho'!$D$5:$D$2004,'Nhập kho'!$B$5:$B$2004,A234))</f>
        <v/>
      </c>
      <c r="I234" s="13">
        <f>IF(A234="","",SUMIFS('Bán hàng'!$F$5:$F$5004,'Bán hàng'!$D$5:$D$5004,A234))</f>
        <v/>
      </c>
      <c r="J234" s="13">
        <f>IF(A234="","",F234+H234-I234)</f>
        <v/>
      </c>
      <c r="K234" s="14">
        <f>IF(A234="","",IF(J234&lt;=0,"Hết hàng",IF(J234&lt;=G234,"Sắp hết","Còn hàng")))</f>
        <v/>
      </c>
    </row>
    <row r="235">
      <c r="A235" s="10" t="n"/>
      <c r="B235" s="10" t="n"/>
      <c r="C235" s="10" t="n"/>
      <c r="D235" s="11" t="n"/>
      <c r="E235" s="11" t="n"/>
      <c r="F235" s="12" t="n"/>
      <c r="G235" s="12" t="n"/>
      <c r="H235" s="13">
        <f>IF(A235="","",SUMIFS('Nhập kho'!$D$5:$D$2004,'Nhập kho'!$B$5:$B$2004,A235))</f>
        <v/>
      </c>
      <c r="I235" s="13">
        <f>IF(A235="","",SUMIFS('Bán hàng'!$F$5:$F$5004,'Bán hàng'!$D$5:$D$5004,A235))</f>
        <v/>
      </c>
      <c r="J235" s="13">
        <f>IF(A235="","",F235+H235-I235)</f>
        <v/>
      </c>
      <c r="K235" s="14">
        <f>IF(A235="","",IF(J235&lt;=0,"Hết hàng",IF(J235&lt;=G235,"Sắp hết","Còn hàng")))</f>
        <v/>
      </c>
    </row>
    <row r="236">
      <c r="A236" s="10" t="n"/>
      <c r="B236" s="10" t="n"/>
      <c r="C236" s="10" t="n"/>
      <c r="D236" s="11" t="n"/>
      <c r="E236" s="11" t="n"/>
      <c r="F236" s="12" t="n"/>
      <c r="G236" s="12" t="n"/>
      <c r="H236" s="13">
        <f>IF(A236="","",SUMIFS('Nhập kho'!$D$5:$D$2004,'Nhập kho'!$B$5:$B$2004,A236))</f>
        <v/>
      </c>
      <c r="I236" s="13">
        <f>IF(A236="","",SUMIFS('Bán hàng'!$F$5:$F$5004,'Bán hàng'!$D$5:$D$5004,A236))</f>
        <v/>
      </c>
      <c r="J236" s="13">
        <f>IF(A236="","",F236+H236-I236)</f>
        <v/>
      </c>
      <c r="K236" s="14">
        <f>IF(A236="","",IF(J236&lt;=0,"Hết hàng",IF(J236&lt;=G236,"Sắp hết","Còn hàng")))</f>
        <v/>
      </c>
    </row>
    <row r="237">
      <c r="A237" s="10" t="n"/>
      <c r="B237" s="10" t="n"/>
      <c r="C237" s="10" t="n"/>
      <c r="D237" s="11" t="n"/>
      <c r="E237" s="11" t="n"/>
      <c r="F237" s="12" t="n"/>
      <c r="G237" s="12" t="n"/>
      <c r="H237" s="13">
        <f>IF(A237="","",SUMIFS('Nhập kho'!$D$5:$D$2004,'Nhập kho'!$B$5:$B$2004,A237))</f>
        <v/>
      </c>
      <c r="I237" s="13">
        <f>IF(A237="","",SUMIFS('Bán hàng'!$F$5:$F$5004,'Bán hàng'!$D$5:$D$5004,A237))</f>
        <v/>
      </c>
      <c r="J237" s="13">
        <f>IF(A237="","",F237+H237-I237)</f>
        <v/>
      </c>
      <c r="K237" s="14">
        <f>IF(A237="","",IF(J237&lt;=0,"Hết hàng",IF(J237&lt;=G237,"Sắp hết","Còn hàng")))</f>
        <v/>
      </c>
    </row>
    <row r="238">
      <c r="A238" s="10" t="n"/>
      <c r="B238" s="10" t="n"/>
      <c r="C238" s="10" t="n"/>
      <c r="D238" s="11" t="n"/>
      <c r="E238" s="11" t="n"/>
      <c r="F238" s="12" t="n"/>
      <c r="G238" s="12" t="n"/>
      <c r="H238" s="13">
        <f>IF(A238="","",SUMIFS('Nhập kho'!$D$5:$D$2004,'Nhập kho'!$B$5:$B$2004,A238))</f>
        <v/>
      </c>
      <c r="I238" s="13">
        <f>IF(A238="","",SUMIFS('Bán hàng'!$F$5:$F$5004,'Bán hàng'!$D$5:$D$5004,A238))</f>
        <v/>
      </c>
      <c r="J238" s="13">
        <f>IF(A238="","",F238+H238-I238)</f>
        <v/>
      </c>
      <c r="K238" s="14">
        <f>IF(A238="","",IF(J238&lt;=0,"Hết hàng",IF(J238&lt;=G238,"Sắp hết","Còn hàng")))</f>
        <v/>
      </c>
    </row>
    <row r="239">
      <c r="A239" s="10" t="n"/>
      <c r="B239" s="10" t="n"/>
      <c r="C239" s="10" t="n"/>
      <c r="D239" s="11" t="n"/>
      <c r="E239" s="11" t="n"/>
      <c r="F239" s="12" t="n"/>
      <c r="G239" s="12" t="n"/>
      <c r="H239" s="13">
        <f>IF(A239="","",SUMIFS('Nhập kho'!$D$5:$D$2004,'Nhập kho'!$B$5:$B$2004,A239))</f>
        <v/>
      </c>
      <c r="I239" s="13">
        <f>IF(A239="","",SUMIFS('Bán hàng'!$F$5:$F$5004,'Bán hàng'!$D$5:$D$5004,A239))</f>
        <v/>
      </c>
      <c r="J239" s="13">
        <f>IF(A239="","",F239+H239-I239)</f>
        <v/>
      </c>
      <c r="K239" s="14">
        <f>IF(A239="","",IF(J239&lt;=0,"Hết hàng",IF(J239&lt;=G239,"Sắp hết","Còn hàng")))</f>
        <v/>
      </c>
    </row>
    <row r="240">
      <c r="A240" s="10" t="n"/>
      <c r="B240" s="10" t="n"/>
      <c r="C240" s="10" t="n"/>
      <c r="D240" s="11" t="n"/>
      <c r="E240" s="11" t="n"/>
      <c r="F240" s="12" t="n"/>
      <c r="G240" s="12" t="n"/>
      <c r="H240" s="13">
        <f>IF(A240="","",SUMIFS('Nhập kho'!$D$5:$D$2004,'Nhập kho'!$B$5:$B$2004,A240))</f>
        <v/>
      </c>
      <c r="I240" s="13">
        <f>IF(A240="","",SUMIFS('Bán hàng'!$F$5:$F$5004,'Bán hàng'!$D$5:$D$5004,A240))</f>
        <v/>
      </c>
      <c r="J240" s="13">
        <f>IF(A240="","",F240+H240-I240)</f>
        <v/>
      </c>
      <c r="K240" s="14">
        <f>IF(A240="","",IF(J240&lt;=0,"Hết hàng",IF(J240&lt;=G240,"Sắp hết","Còn hàng")))</f>
        <v/>
      </c>
    </row>
    <row r="241">
      <c r="A241" s="10" t="n"/>
      <c r="B241" s="10" t="n"/>
      <c r="C241" s="10" t="n"/>
      <c r="D241" s="11" t="n"/>
      <c r="E241" s="11" t="n"/>
      <c r="F241" s="12" t="n"/>
      <c r="G241" s="12" t="n"/>
      <c r="H241" s="13">
        <f>IF(A241="","",SUMIFS('Nhập kho'!$D$5:$D$2004,'Nhập kho'!$B$5:$B$2004,A241))</f>
        <v/>
      </c>
      <c r="I241" s="13">
        <f>IF(A241="","",SUMIFS('Bán hàng'!$F$5:$F$5004,'Bán hàng'!$D$5:$D$5004,A241))</f>
        <v/>
      </c>
      <c r="J241" s="13">
        <f>IF(A241="","",F241+H241-I241)</f>
        <v/>
      </c>
      <c r="K241" s="14">
        <f>IF(A241="","",IF(J241&lt;=0,"Hết hàng",IF(J241&lt;=G241,"Sắp hết","Còn hàng")))</f>
        <v/>
      </c>
    </row>
    <row r="242">
      <c r="A242" s="10" t="n"/>
      <c r="B242" s="10" t="n"/>
      <c r="C242" s="10" t="n"/>
      <c r="D242" s="11" t="n"/>
      <c r="E242" s="11" t="n"/>
      <c r="F242" s="12" t="n"/>
      <c r="G242" s="12" t="n"/>
      <c r="H242" s="13">
        <f>IF(A242="","",SUMIFS('Nhập kho'!$D$5:$D$2004,'Nhập kho'!$B$5:$B$2004,A242))</f>
        <v/>
      </c>
      <c r="I242" s="13">
        <f>IF(A242="","",SUMIFS('Bán hàng'!$F$5:$F$5004,'Bán hàng'!$D$5:$D$5004,A242))</f>
        <v/>
      </c>
      <c r="J242" s="13">
        <f>IF(A242="","",F242+H242-I242)</f>
        <v/>
      </c>
      <c r="K242" s="14">
        <f>IF(A242="","",IF(J242&lt;=0,"Hết hàng",IF(J242&lt;=G242,"Sắp hết","Còn hàng")))</f>
        <v/>
      </c>
    </row>
    <row r="243">
      <c r="A243" s="10" t="n"/>
      <c r="B243" s="10" t="n"/>
      <c r="C243" s="10" t="n"/>
      <c r="D243" s="11" t="n"/>
      <c r="E243" s="11" t="n"/>
      <c r="F243" s="12" t="n"/>
      <c r="G243" s="12" t="n"/>
      <c r="H243" s="13">
        <f>IF(A243="","",SUMIFS('Nhập kho'!$D$5:$D$2004,'Nhập kho'!$B$5:$B$2004,A243))</f>
        <v/>
      </c>
      <c r="I243" s="13">
        <f>IF(A243="","",SUMIFS('Bán hàng'!$F$5:$F$5004,'Bán hàng'!$D$5:$D$5004,A243))</f>
        <v/>
      </c>
      <c r="J243" s="13">
        <f>IF(A243="","",F243+H243-I243)</f>
        <v/>
      </c>
      <c r="K243" s="14">
        <f>IF(A243="","",IF(J243&lt;=0,"Hết hàng",IF(J243&lt;=G243,"Sắp hết","Còn hàng")))</f>
        <v/>
      </c>
    </row>
    <row r="244">
      <c r="A244" s="10" t="n"/>
      <c r="B244" s="10" t="n"/>
      <c r="C244" s="10" t="n"/>
      <c r="D244" s="11" t="n"/>
      <c r="E244" s="11" t="n"/>
      <c r="F244" s="12" t="n"/>
      <c r="G244" s="12" t="n"/>
      <c r="H244" s="13">
        <f>IF(A244="","",SUMIFS('Nhập kho'!$D$5:$D$2004,'Nhập kho'!$B$5:$B$2004,A244))</f>
        <v/>
      </c>
      <c r="I244" s="13">
        <f>IF(A244="","",SUMIFS('Bán hàng'!$F$5:$F$5004,'Bán hàng'!$D$5:$D$5004,A244))</f>
        <v/>
      </c>
      <c r="J244" s="13">
        <f>IF(A244="","",F244+H244-I244)</f>
        <v/>
      </c>
      <c r="K244" s="14">
        <f>IF(A244="","",IF(J244&lt;=0,"Hết hàng",IF(J244&lt;=G244,"Sắp hết","Còn hàng")))</f>
        <v/>
      </c>
    </row>
    <row r="245">
      <c r="A245" s="10" t="n"/>
      <c r="B245" s="10" t="n"/>
      <c r="C245" s="10" t="n"/>
      <c r="D245" s="11" t="n"/>
      <c r="E245" s="11" t="n"/>
      <c r="F245" s="12" t="n"/>
      <c r="G245" s="12" t="n"/>
      <c r="H245" s="13">
        <f>IF(A245="","",SUMIFS('Nhập kho'!$D$5:$D$2004,'Nhập kho'!$B$5:$B$2004,A245))</f>
        <v/>
      </c>
      <c r="I245" s="13">
        <f>IF(A245="","",SUMIFS('Bán hàng'!$F$5:$F$5004,'Bán hàng'!$D$5:$D$5004,A245))</f>
        <v/>
      </c>
      <c r="J245" s="13">
        <f>IF(A245="","",F245+H245-I245)</f>
        <v/>
      </c>
      <c r="K245" s="14">
        <f>IF(A245="","",IF(J245&lt;=0,"Hết hàng",IF(J245&lt;=G245,"Sắp hết","Còn hàng")))</f>
        <v/>
      </c>
    </row>
    <row r="246">
      <c r="A246" s="10" t="n"/>
      <c r="B246" s="10" t="n"/>
      <c r="C246" s="10" t="n"/>
      <c r="D246" s="11" t="n"/>
      <c r="E246" s="11" t="n"/>
      <c r="F246" s="12" t="n"/>
      <c r="G246" s="12" t="n"/>
      <c r="H246" s="13">
        <f>IF(A246="","",SUMIFS('Nhập kho'!$D$5:$D$2004,'Nhập kho'!$B$5:$B$2004,A246))</f>
        <v/>
      </c>
      <c r="I246" s="13">
        <f>IF(A246="","",SUMIFS('Bán hàng'!$F$5:$F$5004,'Bán hàng'!$D$5:$D$5004,A246))</f>
        <v/>
      </c>
      <c r="J246" s="13">
        <f>IF(A246="","",F246+H246-I246)</f>
        <v/>
      </c>
      <c r="K246" s="14">
        <f>IF(A246="","",IF(J246&lt;=0,"Hết hàng",IF(J246&lt;=G246,"Sắp hết","Còn hàng")))</f>
        <v/>
      </c>
    </row>
    <row r="247">
      <c r="A247" s="10" t="n"/>
      <c r="B247" s="10" t="n"/>
      <c r="C247" s="10" t="n"/>
      <c r="D247" s="11" t="n"/>
      <c r="E247" s="11" t="n"/>
      <c r="F247" s="12" t="n"/>
      <c r="G247" s="12" t="n"/>
      <c r="H247" s="13">
        <f>IF(A247="","",SUMIFS('Nhập kho'!$D$5:$D$2004,'Nhập kho'!$B$5:$B$2004,A247))</f>
        <v/>
      </c>
      <c r="I247" s="13">
        <f>IF(A247="","",SUMIFS('Bán hàng'!$F$5:$F$5004,'Bán hàng'!$D$5:$D$5004,A247))</f>
        <v/>
      </c>
      <c r="J247" s="13">
        <f>IF(A247="","",F247+H247-I247)</f>
        <v/>
      </c>
      <c r="K247" s="14">
        <f>IF(A247="","",IF(J247&lt;=0,"Hết hàng",IF(J247&lt;=G247,"Sắp hết","Còn hàng")))</f>
        <v/>
      </c>
    </row>
    <row r="248">
      <c r="A248" s="10" t="n"/>
      <c r="B248" s="10" t="n"/>
      <c r="C248" s="10" t="n"/>
      <c r="D248" s="11" t="n"/>
      <c r="E248" s="11" t="n"/>
      <c r="F248" s="12" t="n"/>
      <c r="G248" s="12" t="n"/>
      <c r="H248" s="13">
        <f>IF(A248="","",SUMIFS('Nhập kho'!$D$5:$D$2004,'Nhập kho'!$B$5:$B$2004,A248))</f>
        <v/>
      </c>
      <c r="I248" s="13">
        <f>IF(A248="","",SUMIFS('Bán hàng'!$F$5:$F$5004,'Bán hàng'!$D$5:$D$5004,A248))</f>
        <v/>
      </c>
      <c r="J248" s="13">
        <f>IF(A248="","",F248+H248-I248)</f>
        <v/>
      </c>
      <c r="K248" s="14">
        <f>IF(A248="","",IF(J248&lt;=0,"Hết hàng",IF(J248&lt;=G248,"Sắp hết","Còn hàng")))</f>
        <v/>
      </c>
    </row>
    <row r="249">
      <c r="A249" s="10" t="n"/>
      <c r="B249" s="10" t="n"/>
      <c r="C249" s="10" t="n"/>
      <c r="D249" s="11" t="n"/>
      <c r="E249" s="11" t="n"/>
      <c r="F249" s="12" t="n"/>
      <c r="G249" s="12" t="n"/>
      <c r="H249" s="13">
        <f>IF(A249="","",SUMIFS('Nhập kho'!$D$5:$D$2004,'Nhập kho'!$B$5:$B$2004,A249))</f>
        <v/>
      </c>
      <c r="I249" s="13">
        <f>IF(A249="","",SUMIFS('Bán hàng'!$F$5:$F$5004,'Bán hàng'!$D$5:$D$5004,A249))</f>
        <v/>
      </c>
      <c r="J249" s="13">
        <f>IF(A249="","",F249+H249-I249)</f>
        <v/>
      </c>
      <c r="K249" s="14">
        <f>IF(A249="","",IF(J249&lt;=0,"Hết hàng",IF(J249&lt;=G249,"Sắp hết","Còn hàng")))</f>
        <v/>
      </c>
    </row>
    <row r="250">
      <c r="A250" s="10" t="n"/>
      <c r="B250" s="10" t="n"/>
      <c r="C250" s="10" t="n"/>
      <c r="D250" s="11" t="n"/>
      <c r="E250" s="11" t="n"/>
      <c r="F250" s="12" t="n"/>
      <c r="G250" s="12" t="n"/>
      <c r="H250" s="13">
        <f>IF(A250="","",SUMIFS('Nhập kho'!$D$5:$D$2004,'Nhập kho'!$B$5:$B$2004,A250))</f>
        <v/>
      </c>
      <c r="I250" s="13">
        <f>IF(A250="","",SUMIFS('Bán hàng'!$F$5:$F$5004,'Bán hàng'!$D$5:$D$5004,A250))</f>
        <v/>
      </c>
      <c r="J250" s="13">
        <f>IF(A250="","",F250+H250-I250)</f>
        <v/>
      </c>
      <c r="K250" s="14">
        <f>IF(A250="","",IF(J250&lt;=0,"Hết hàng",IF(J250&lt;=G250,"Sắp hết","Còn hàng")))</f>
        <v/>
      </c>
    </row>
    <row r="251">
      <c r="A251" s="10" t="n"/>
      <c r="B251" s="10" t="n"/>
      <c r="C251" s="10" t="n"/>
      <c r="D251" s="11" t="n"/>
      <c r="E251" s="11" t="n"/>
      <c r="F251" s="12" t="n"/>
      <c r="G251" s="12" t="n"/>
      <c r="H251" s="13">
        <f>IF(A251="","",SUMIFS('Nhập kho'!$D$5:$D$2004,'Nhập kho'!$B$5:$B$2004,A251))</f>
        <v/>
      </c>
      <c r="I251" s="13">
        <f>IF(A251="","",SUMIFS('Bán hàng'!$F$5:$F$5004,'Bán hàng'!$D$5:$D$5004,A251))</f>
        <v/>
      </c>
      <c r="J251" s="13">
        <f>IF(A251="","",F251+H251-I251)</f>
        <v/>
      </c>
      <c r="K251" s="14">
        <f>IF(A251="","",IF(J251&lt;=0,"Hết hàng",IF(J251&lt;=G251,"Sắp hết","Còn hàng")))</f>
        <v/>
      </c>
    </row>
    <row r="252">
      <c r="A252" s="10" t="n"/>
      <c r="B252" s="10" t="n"/>
      <c r="C252" s="10" t="n"/>
      <c r="D252" s="11" t="n"/>
      <c r="E252" s="11" t="n"/>
      <c r="F252" s="12" t="n"/>
      <c r="G252" s="12" t="n"/>
      <c r="H252" s="13">
        <f>IF(A252="","",SUMIFS('Nhập kho'!$D$5:$D$2004,'Nhập kho'!$B$5:$B$2004,A252))</f>
        <v/>
      </c>
      <c r="I252" s="13">
        <f>IF(A252="","",SUMIFS('Bán hàng'!$F$5:$F$5004,'Bán hàng'!$D$5:$D$5004,A252))</f>
        <v/>
      </c>
      <c r="J252" s="13">
        <f>IF(A252="","",F252+H252-I252)</f>
        <v/>
      </c>
      <c r="K252" s="14">
        <f>IF(A252="","",IF(J252&lt;=0,"Hết hàng",IF(J252&lt;=G252,"Sắp hết","Còn hàng")))</f>
        <v/>
      </c>
    </row>
    <row r="253">
      <c r="A253" s="10" t="n"/>
      <c r="B253" s="10" t="n"/>
      <c r="C253" s="10" t="n"/>
      <c r="D253" s="11" t="n"/>
      <c r="E253" s="11" t="n"/>
      <c r="F253" s="12" t="n"/>
      <c r="G253" s="12" t="n"/>
      <c r="H253" s="13">
        <f>IF(A253="","",SUMIFS('Nhập kho'!$D$5:$D$2004,'Nhập kho'!$B$5:$B$2004,A253))</f>
        <v/>
      </c>
      <c r="I253" s="13">
        <f>IF(A253="","",SUMIFS('Bán hàng'!$F$5:$F$5004,'Bán hàng'!$D$5:$D$5004,A253))</f>
        <v/>
      </c>
      <c r="J253" s="13">
        <f>IF(A253="","",F253+H253-I253)</f>
        <v/>
      </c>
      <c r="K253" s="14">
        <f>IF(A253="","",IF(J253&lt;=0,"Hết hàng",IF(J253&lt;=G253,"Sắp hết","Còn hàng")))</f>
        <v/>
      </c>
    </row>
    <row r="254">
      <c r="A254" s="10" t="n"/>
      <c r="B254" s="10" t="n"/>
      <c r="C254" s="10" t="n"/>
      <c r="D254" s="11" t="n"/>
      <c r="E254" s="11" t="n"/>
      <c r="F254" s="12" t="n"/>
      <c r="G254" s="12" t="n"/>
      <c r="H254" s="13">
        <f>IF(A254="","",SUMIFS('Nhập kho'!$D$5:$D$2004,'Nhập kho'!$B$5:$B$2004,A254))</f>
        <v/>
      </c>
      <c r="I254" s="13">
        <f>IF(A254="","",SUMIFS('Bán hàng'!$F$5:$F$5004,'Bán hàng'!$D$5:$D$5004,A254))</f>
        <v/>
      </c>
      <c r="J254" s="13">
        <f>IF(A254="","",F254+H254-I254)</f>
        <v/>
      </c>
      <c r="K254" s="14">
        <f>IF(A254="","",IF(J254&lt;=0,"Hết hàng",IF(J254&lt;=G254,"Sắp hết","Còn hàng")))</f>
        <v/>
      </c>
    </row>
    <row r="255">
      <c r="A255" s="10" t="n"/>
      <c r="B255" s="10" t="n"/>
      <c r="C255" s="10" t="n"/>
      <c r="D255" s="11" t="n"/>
      <c r="E255" s="11" t="n"/>
      <c r="F255" s="12" t="n"/>
      <c r="G255" s="12" t="n"/>
      <c r="H255" s="13">
        <f>IF(A255="","",SUMIFS('Nhập kho'!$D$5:$D$2004,'Nhập kho'!$B$5:$B$2004,A255))</f>
        <v/>
      </c>
      <c r="I255" s="13">
        <f>IF(A255="","",SUMIFS('Bán hàng'!$F$5:$F$5004,'Bán hàng'!$D$5:$D$5004,A255))</f>
        <v/>
      </c>
      <c r="J255" s="13">
        <f>IF(A255="","",F255+H255-I255)</f>
        <v/>
      </c>
      <c r="K255" s="14">
        <f>IF(A255="","",IF(J255&lt;=0,"Hết hàng",IF(J255&lt;=G255,"Sắp hết","Còn hàng")))</f>
        <v/>
      </c>
    </row>
    <row r="256">
      <c r="A256" s="10" t="n"/>
      <c r="B256" s="10" t="n"/>
      <c r="C256" s="10" t="n"/>
      <c r="D256" s="11" t="n"/>
      <c r="E256" s="11" t="n"/>
      <c r="F256" s="12" t="n"/>
      <c r="G256" s="12" t="n"/>
      <c r="H256" s="13">
        <f>IF(A256="","",SUMIFS('Nhập kho'!$D$5:$D$2004,'Nhập kho'!$B$5:$B$2004,A256))</f>
        <v/>
      </c>
      <c r="I256" s="13">
        <f>IF(A256="","",SUMIFS('Bán hàng'!$F$5:$F$5004,'Bán hàng'!$D$5:$D$5004,A256))</f>
        <v/>
      </c>
      <c r="J256" s="13">
        <f>IF(A256="","",F256+H256-I256)</f>
        <v/>
      </c>
      <c r="K256" s="14">
        <f>IF(A256="","",IF(J256&lt;=0,"Hết hàng",IF(J256&lt;=G256,"Sắp hết","Còn hàng")))</f>
        <v/>
      </c>
    </row>
    <row r="257">
      <c r="A257" s="10" t="n"/>
      <c r="B257" s="10" t="n"/>
      <c r="C257" s="10" t="n"/>
      <c r="D257" s="11" t="n"/>
      <c r="E257" s="11" t="n"/>
      <c r="F257" s="12" t="n"/>
      <c r="G257" s="12" t="n"/>
      <c r="H257" s="13">
        <f>IF(A257="","",SUMIFS('Nhập kho'!$D$5:$D$2004,'Nhập kho'!$B$5:$B$2004,A257))</f>
        <v/>
      </c>
      <c r="I257" s="13">
        <f>IF(A257="","",SUMIFS('Bán hàng'!$F$5:$F$5004,'Bán hàng'!$D$5:$D$5004,A257))</f>
        <v/>
      </c>
      <c r="J257" s="13">
        <f>IF(A257="","",F257+H257-I257)</f>
        <v/>
      </c>
      <c r="K257" s="14">
        <f>IF(A257="","",IF(J257&lt;=0,"Hết hàng",IF(J257&lt;=G257,"Sắp hết","Còn hàng")))</f>
        <v/>
      </c>
    </row>
    <row r="258">
      <c r="A258" s="10" t="n"/>
      <c r="B258" s="10" t="n"/>
      <c r="C258" s="10" t="n"/>
      <c r="D258" s="11" t="n"/>
      <c r="E258" s="11" t="n"/>
      <c r="F258" s="12" t="n"/>
      <c r="G258" s="12" t="n"/>
      <c r="H258" s="13">
        <f>IF(A258="","",SUMIFS('Nhập kho'!$D$5:$D$2004,'Nhập kho'!$B$5:$B$2004,A258))</f>
        <v/>
      </c>
      <c r="I258" s="13">
        <f>IF(A258="","",SUMIFS('Bán hàng'!$F$5:$F$5004,'Bán hàng'!$D$5:$D$5004,A258))</f>
        <v/>
      </c>
      <c r="J258" s="13">
        <f>IF(A258="","",F258+H258-I258)</f>
        <v/>
      </c>
      <c r="K258" s="14">
        <f>IF(A258="","",IF(J258&lt;=0,"Hết hàng",IF(J258&lt;=G258,"Sắp hết","Còn hàng")))</f>
        <v/>
      </c>
    </row>
    <row r="259">
      <c r="A259" s="10" t="n"/>
      <c r="B259" s="10" t="n"/>
      <c r="C259" s="10" t="n"/>
      <c r="D259" s="11" t="n"/>
      <c r="E259" s="11" t="n"/>
      <c r="F259" s="12" t="n"/>
      <c r="G259" s="12" t="n"/>
      <c r="H259" s="13">
        <f>IF(A259="","",SUMIFS('Nhập kho'!$D$5:$D$2004,'Nhập kho'!$B$5:$B$2004,A259))</f>
        <v/>
      </c>
      <c r="I259" s="13">
        <f>IF(A259="","",SUMIFS('Bán hàng'!$F$5:$F$5004,'Bán hàng'!$D$5:$D$5004,A259))</f>
        <v/>
      </c>
      <c r="J259" s="13">
        <f>IF(A259="","",F259+H259-I259)</f>
        <v/>
      </c>
      <c r="K259" s="14">
        <f>IF(A259="","",IF(J259&lt;=0,"Hết hàng",IF(J259&lt;=G259,"Sắp hết","Còn hàng")))</f>
        <v/>
      </c>
    </row>
    <row r="260">
      <c r="A260" s="10" t="n"/>
      <c r="B260" s="10" t="n"/>
      <c r="C260" s="10" t="n"/>
      <c r="D260" s="11" t="n"/>
      <c r="E260" s="11" t="n"/>
      <c r="F260" s="12" t="n"/>
      <c r="G260" s="12" t="n"/>
      <c r="H260" s="13">
        <f>IF(A260="","",SUMIFS('Nhập kho'!$D$5:$D$2004,'Nhập kho'!$B$5:$B$2004,A260))</f>
        <v/>
      </c>
      <c r="I260" s="13">
        <f>IF(A260="","",SUMIFS('Bán hàng'!$F$5:$F$5004,'Bán hàng'!$D$5:$D$5004,A260))</f>
        <v/>
      </c>
      <c r="J260" s="13">
        <f>IF(A260="","",F260+H260-I260)</f>
        <v/>
      </c>
      <c r="K260" s="14">
        <f>IF(A260="","",IF(J260&lt;=0,"Hết hàng",IF(J260&lt;=G260,"Sắp hết","Còn hàng")))</f>
        <v/>
      </c>
    </row>
    <row r="261">
      <c r="A261" s="10" t="n"/>
      <c r="B261" s="10" t="n"/>
      <c r="C261" s="10" t="n"/>
      <c r="D261" s="11" t="n"/>
      <c r="E261" s="11" t="n"/>
      <c r="F261" s="12" t="n"/>
      <c r="G261" s="12" t="n"/>
      <c r="H261" s="13">
        <f>IF(A261="","",SUMIFS('Nhập kho'!$D$5:$D$2004,'Nhập kho'!$B$5:$B$2004,A261))</f>
        <v/>
      </c>
      <c r="I261" s="13">
        <f>IF(A261="","",SUMIFS('Bán hàng'!$F$5:$F$5004,'Bán hàng'!$D$5:$D$5004,A261))</f>
        <v/>
      </c>
      <c r="J261" s="13">
        <f>IF(A261="","",F261+H261-I261)</f>
        <v/>
      </c>
      <c r="K261" s="14">
        <f>IF(A261="","",IF(J261&lt;=0,"Hết hàng",IF(J261&lt;=G261,"Sắp hết","Còn hàng")))</f>
        <v/>
      </c>
    </row>
    <row r="262">
      <c r="A262" s="10" t="n"/>
      <c r="B262" s="10" t="n"/>
      <c r="C262" s="10" t="n"/>
      <c r="D262" s="11" t="n"/>
      <c r="E262" s="11" t="n"/>
      <c r="F262" s="12" t="n"/>
      <c r="G262" s="12" t="n"/>
      <c r="H262" s="13">
        <f>IF(A262="","",SUMIFS('Nhập kho'!$D$5:$D$2004,'Nhập kho'!$B$5:$B$2004,A262))</f>
        <v/>
      </c>
      <c r="I262" s="13">
        <f>IF(A262="","",SUMIFS('Bán hàng'!$F$5:$F$5004,'Bán hàng'!$D$5:$D$5004,A262))</f>
        <v/>
      </c>
      <c r="J262" s="13">
        <f>IF(A262="","",F262+H262-I262)</f>
        <v/>
      </c>
      <c r="K262" s="14">
        <f>IF(A262="","",IF(J262&lt;=0,"Hết hàng",IF(J262&lt;=G262,"Sắp hết","Còn hàng")))</f>
        <v/>
      </c>
    </row>
    <row r="263">
      <c r="A263" s="10" t="n"/>
      <c r="B263" s="10" t="n"/>
      <c r="C263" s="10" t="n"/>
      <c r="D263" s="11" t="n"/>
      <c r="E263" s="11" t="n"/>
      <c r="F263" s="12" t="n"/>
      <c r="G263" s="12" t="n"/>
      <c r="H263" s="13">
        <f>IF(A263="","",SUMIFS('Nhập kho'!$D$5:$D$2004,'Nhập kho'!$B$5:$B$2004,A263))</f>
        <v/>
      </c>
      <c r="I263" s="13">
        <f>IF(A263="","",SUMIFS('Bán hàng'!$F$5:$F$5004,'Bán hàng'!$D$5:$D$5004,A263))</f>
        <v/>
      </c>
      <c r="J263" s="13">
        <f>IF(A263="","",F263+H263-I263)</f>
        <v/>
      </c>
      <c r="K263" s="14">
        <f>IF(A263="","",IF(J263&lt;=0,"Hết hàng",IF(J263&lt;=G263,"Sắp hết","Còn hàng")))</f>
        <v/>
      </c>
    </row>
    <row r="264">
      <c r="A264" s="10" t="n"/>
      <c r="B264" s="10" t="n"/>
      <c r="C264" s="10" t="n"/>
      <c r="D264" s="11" t="n"/>
      <c r="E264" s="11" t="n"/>
      <c r="F264" s="12" t="n"/>
      <c r="G264" s="12" t="n"/>
      <c r="H264" s="13">
        <f>IF(A264="","",SUMIFS('Nhập kho'!$D$5:$D$2004,'Nhập kho'!$B$5:$B$2004,A264))</f>
        <v/>
      </c>
      <c r="I264" s="13">
        <f>IF(A264="","",SUMIFS('Bán hàng'!$F$5:$F$5004,'Bán hàng'!$D$5:$D$5004,A264))</f>
        <v/>
      </c>
      <c r="J264" s="13">
        <f>IF(A264="","",F264+H264-I264)</f>
        <v/>
      </c>
      <c r="K264" s="14">
        <f>IF(A264="","",IF(J264&lt;=0,"Hết hàng",IF(J264&lt;=G264,"Sắp hết","Còn hàng")))</f>
        <v/>
      </c>
    </row>
    <row r="265">
      <c r="A265" s="10" t="n"/>
      <c r="B265" s="10" t="n"/>
      <c r="C265" s="10" t="n"/>
      <c r="D265" s="11" t="n"/>
      <c r="E265" s="11" t="n"/>
      <c r="F265" s="12" t="n"/>
      <c r="G265" s="12" t="n"/>
      <c r="H265" s="13">
        <f>IF(A265="","",SUMIFS('Nhập kho'!$D$5:$D$2004,'Nhập kho'!$B$5:$B$2004,A265))</f>
        <v/>
      </c>
      <c r="I265" s="13">
        <f>IF(A265="","",SUMIFS('Bán hàng'!$F$5:$F$5004,'Bán hàng'!$D$5:$D$5004,A265))</f>
        <v/>
      </c>
      <c r="J265" s="13">
        <f>IF(A265="","",F265+H265-I265)</f>
        <v/>
      </c>
      <c r="K265" s="14">
        <f>IF(A265="","",IF(J265&lt;=0,"Hết hàng",IF(J265&lt;=G265,"Sắp hết","Còn hàng")))</f>
        <v/>
      </c>
    </row>
    <row r="266">
      <c r="A266" s="10" t="n"/>
      <c r="B266" s="10" t="n"/>
      <c r="C266" s="10" t="n"/>
      <c r="D266" s="11" t="n"/>
      <c r="E266" s="11" t="n"/>
      <c r="F266" s="12" t="n"/>
      <c r="G266" s="12" t="n"/>
      <c r="H266" s="13">
        <f>IF(A266="","",SUMIFS('Nhập kho'!$D$5:$D$2004,'Nhập kho'!$B$5:$B$2004,A266))</f>
        <v/>
      </c>
      <c r="I266" s="13">
        <f>IF(A266="","",SUMIFS('Bán hàng'!$F$5:$F$5004,'Bán hàng'!$D$5:$D$5004,A266))</f>
        <v/>
      </c>
      <c r="J266" s="13">
        <f>IF(A266="","",F266+H266-I266)</f>
        <v/>
      </c>
      <c r="K266" s="14">
        <f>IF(A266="","",IF(J266&lt;=0,"Hết hàng",IF(J266&lt;=G266,"Sắp hết","Còn hàng")))</f>
        <v/>
      </c>
    </row>
    <row r="267">
      <c r="A267" s="10" t="n"/>
      <c r="B267" s="10" t="n"/>
      <c r="C267" s="10" t="n"/>
      <c r="D267" s="11" t="n"/>
      <c r="E267" s="11" t="n"/>
      <c r="F267" s="12" t="n"/>
      <c r="G267" s="12" t="n"/>
      <c r="H267" s="13">
        <f>IF(A267="","",SUMIFS('Nhập kho'!$D$5:$D$2004,'Nhập kho'!$B$5:$B$2004,A267))</f>
        <v/>
      </c>
      <c r="I267" s="13">
        <f>IF(A267="","",SUMIFS('Bán hàng'!$F$5:$F$5004,'Bán hàng'!$D$5:$D$5004,A267))</f>
        <v/>
      </c>
      <c r="J267" s="13">
        <f>IF(A267="","",F267+H267-I267)</f>
        <v/>
      </c>
      <c r="K267" s="14">
        <f>IF(A267="","",IF(J267&lt;=0,"Hết hàng",IF(J267&lt;=G267,"Sắp hết","Còn hàng")))</f>
        <v/>
      </c>
    </row>
    <row r="268">
      <c r="A268" s="10" t="n"/>
      <c r="B268" s="10" t="n"/>
      <c r="C268" s="10" t="n"/>
      <c r="D268" s="11" t="n"/>
      <c r="E268" s="11" t="n"/>
      <c r="F268" s="12" t="n"/>
      <c r="G268" s="12" t="n"/>
      <c r="H268" s="13">
        <f>IF(A268="","",SUMIFS('Nhập kho'!$D$5:$D$2004,'Nhập kho'!$B$5:$B$2004,A268))</f>
        <v/>
      </c>
      <c r="I268" s="13">
        <f>IF(A268="","",SUMIFS('Bán hàng'!$F$5:$F$5004,'Bán hàng'!$D$5:$D$5004,A268))</f>
        <v/>
      </c>
      <c r="J268" s="13">
        <f>IF(A268="","",F268+H268-I268)</f>
        <v/>
      </c>
      <c r="K268" s="14">
        <f>IF(A268="","",IF(J268&lt;=0,"Hết hàng",IF(J268&lt;=G268,"Sắp hết","Còn hàng")))</f>
        <v/>
      </c>
    </row>
    <row r="269">
      <c r="A269" s="10" t="n"/>
      <c r="B269" s="10" t="n"/>
      <c r="C269" s="10" t="n"/>
      <c r="D269" s="11" t="n"/>
      <c r="E269" s="11" t="n"/>
      <c r="F269" s="12" t="n"/>
      <c r="G269" s="12" t="n"/>
      <c r="H269" s="13">
        <f>IF(A269="","",SUMIFS('Nhập kho'!$D$5:$D$2004,'Nhập kho'!$B$5:$B$2004,A269))</f>
        <v/>
      </c>
      <c r="I269" s="13">
        <f>IF(A269="","",SUMIFS('Bán hàng'!$F$5:$F$5004,'Bán hàng'!$D$5:$D$5004,A269))</f>
        <v/>
      </c>
      <c r="J269" s="13">
        <f>IF(A269="","",F269+H269-I269)</f>
        <v/>
      </c>
      <c r="K269" s="14">
        <f>IF(A269="","",IF(J269&lt;=0,"Hết hàng",IF(J269&lt;=G269,"Sắp hết","Còn hàng")))</f>
        <v/>
      </c>
    </row>
    <row r="270">
      <c r="A270" s="10" t="n"/>
      <c r="B270" s="10" t="n"/>
      <c r="C270" s="10" t="n"/>
      <c r="D270" s="11" t="n"/>
      <c r="E270" s="11" t="n"/>
      <c r="F270" s="12" t="n"/>
      <c r="G270" s="12" t="n"/>
      <c r="H270" s="13">
        <f>IF(A270="","",SUMIFS('Nhập kho'!$D$5:$D$2004,'Nhập kho'!$B$5:$B$2004,A270))</f>
        <v/>
      </c>
      <c r="I270" s="13">
        <f>IF(A270="","",SUMIFS('Bán hàng'!$F$5:$F$5004,'Bán hàng'!$D$5:$D$5004,A270))</f>
        <v/>
      </c>
      <c r="J270" s="13">
        <f>IF(A270="","",F270+H270-I270)</f>
        <v/>
      </c>
      <c r="K270" s="14">
        <f>IF(A270="","",IF(J270&lt;=0,"Hết hàng",IF(J270&lt;=G270,"Sắp hết","Còn hàng")))</f>
        <v/>
      </c>
    </row>
    <row r="271">
      <c r="A271" s="10" t="n"/>
      <c r="B271" s="10" t="n"/>
      <c r="C271" s="10" t="n"/>
      <c r="D271" s="11" t="n"/>
      <c r="E271" s="11" t="n"/>
      <c r="F271" s="12" t="n"/>
      <c r="G271" s="12" t="n"/>
      <c r="H271" s="13">
        <f>IF(A271="","",SUMIFS('Nhập kho'!$D$5:$D$2004,'Nhập kho'!$B$5:$B$2004,A271))</f>
        <v/>
      </c>
      <c r="I271" s="13">
        <f>IF(A271="","",SUMIFS('Bán hàng'!$F$5:$F$5004,'Bán hàng'!$D$5:$D$5004,A271))</f>
        <v/>
      </c>
      <c r="J271" s="13">
        <f>IF(A271="","",F271+H271-I271)</f>
        <v/>
      </c>
      <c r="K271" s="14">
        <f>IF(A271="","",IF(J271&lt;=0,"Hết hàng",IF(J271&lt;=G271,"Sắp hết","Còn hàng")))</f>
        <v/>
      </c>
    </row>
    <row r="272">
      <c r="A272" s="10" t="n"/>
      <c r="B272" s="10" t="n"/>
      <c r="C272" s="10" t="n"/>
      <c r="D272" s="11" t="n"/>
      <c r="E272" s="11" t="n"/>
      <c r="F272" s="12" t="n"/>
      <c r="G272" s="12" t="n"/>
      <c r="H272" s="13">
        <f>IF(A272="","",SUMIFS('Nhập kho'!$D$5:$D$2004,'Nhập kho'!$B$5:$B$2004,A272))</f>
        <v/>
      </c>
      <c r="I272" s="13">
        <f>IF(A272="","",SUMIFS('Bán hàng'!$F$5:$F$5004,'Bán hàng'!$D$5:$D$5004,A272))</f>
        <v/>
      </c>
      <c r="J272" s="13">
        <f>IF(A272="","",F272+H272-I272)</f>
        <v/>
      </c>
      <c r="K272" s="14">
        <f>IF(A272="","",IF(J272&lt;=0,"Hết hàng",IF(J272&lt;=G272,"Sắp hết","Còn hàng")))</f>
        <v/>
      </c>
    </row>
    <row r="273">
      <c r="A273" s="10" t="n"/>
      <c r="B273" s="10" t="n"/>
      <c r="C273" s="10" t="n"/>
      <c r="D273" s="11" t="n"/>
      <c r="E273" s="11" t="n"/>
      <c r="F273" s="12" t="n"/>
      <c r="G273" s="12" t="n"/>
      <c r="H273" s="13">
        <f>IF(A273="","",SUMIFS('Nhập kho'!$D$5:$D$2004,'Nhập kho'!$B$5:$B$2004,A273))</f>
        <v/>
      </c>
      <c r="I273" s="13">
        <f>IF(A273="","",SUMIFS('Bán hàng'!$F$5:$F$5004,'Bán hàng'!$D$5:$D$5004,A273))</f>
        <v/>
      </c>
      <c r="J273" s="13">
        <f>IF(A273="","",F273+H273-I273)</f>
        <v/>
      </c>
      <c r="K273" s="14">
        <f>IF(A273="","",IF(J273&lt;=0,"Hết hàng",IF(J273&lt;=G273,"Sắp hết","Còn hàng")))</f>
        <v/>
      </c>
    </row>
    <row r="274">
      <c r="A274" s="10" t="n"/>
      <c r="B274" s="10" t="n"/>
      <c r="C274" s="10" t="n"/>
      <c r="D274" s="11" t="n"/>
      <c r="E274" s="11" t="n"/>
      <c r="F274" s="12" t="n"/>
      <c r="G274" s="12" t="n"/>
      <c r="H274" s="13">
        <f>IF(A274="","",SUMIFS('Nhập kho'!$D$5:$D$2004,'Nhập kho'!$B$5:$B$2004,A274))</f>
        <v/>
      </c>
      <c r="I274" s="13">
        <f>IF(A274="","",SUMIFS('Bán hàng'!$F$5:$F$5004,'Bán hàng'!$D$5:$D$5004,A274))</f>
        <v/>
      </c>
      <c r="J274" s="13">
        <f>IF(A274="","",F274+H274-I274)</f>
        <v/>
      </c>
      <c r="K274" s="14">
        <f>IF(A274="","",IF(J274&lt;=0,"Hết hàng",IF(J274&lt;=G274,"Sắp hết","Còn hàng")))</f>
        <v/>
      </c>
    </row>
    <row r="275">
      <c r="A275" s="10" t="n"/>
      <c r="B275" s="10" t="n"/>
      <c r="C275" s="10" t="n"/>
      <c r="D275" s="11" t="n"/>
      <c r="E275" s="11" t="n"/>
      <c r="F275" s="12" t="n"/>
      <c r="G275" s="12" t="n"/>
      <c r="H275" s="13">
        <f>IF(A275="","",SUMIFS('Nhập kho'!$D$5:$D$2004,'Nhập kho'!$B$5:$B$2004,A275))</f>
        <v/>
      </c>
      <c r="I275" s="13">
        <f>IF(A275="","",SUMIFS('Bán hàng'!$F$5:$F$5004,'Bán hàng'!$D$5:$D$5004,A275))</f>
        <v/>
      </c>
      <c r="J275" s="13">
        <f>IF(A275="","",F275+H275-I275)</f>
        <v/>
      </c>
      <c r="K275" s="14">
        <f>IF(A275="","",IF(J275&lt;=0,"Hết hàng",IF(J275&lt;=G275,"Sắp hết","Còn hàng")))</f>
        <v/>
      </c>
    </row>
    <row r="276">
      <c r="A276" s="10" t="n"/>
      <c r="B276" s="10" t="n"/>
      <c r="C276" s="10" t="n"/>
      <c r="D276" s="11" t="n"/>
      <c r="E276" s="11" t="n"/>
      <c r="F276" s="12" t="n"/>
      <c r="G276" s="12" t="n"/>
      <c r="H276" s="13">
        <f>IF(A276="","",SUMIFS('Nhập kho'!$D$5:$D$2004,'Nhập kho'!$B$5:$B$2004,A276))</f>
        <v/>
      </c>
      <c r="I276" s="13">
        <f>IF(A276="","",SUMIFS('Bán hàng'!$F$5:$F$5004,'Bán hàng'!$D$5:$D$5004,A276))</f>
        <v/>
      </c>
      <c r="J276" s="13">
        <f>IF(A276="","",F276+H276-I276)</f>
        <v/>
      </c>
      <c r="K276" s="14">
        <f>IF(A276="","",IF(J276&lt;=0,"Hết hàng",IF(J276&lt;=G276,"Sắp hết","Còn hàng")))</f>
        <v/>
      </c>
    </row>
    <row r="277">
      <c r="A277" s="10" t="n"/>
      <c r="B277" s="10" t="n"/>
      <c r="C277" s="10" t="n"/>
      <c r="D277" s="11" t="n"/>
      <c r="E277" s="11" t="n"/>
      <c r="F277" s="12" t="n"/>
      <c r="G277" s="12" t="n"/>
      <c r="H277" s="13">
        <f>IF(A277="","",SUMIFS('Nhập kho'!$D$5:$D$2004,'Nhập kho'!$B$5:$B$2004,A277))</f>
        <v/>
      </c>
      <c r="I277" s="13">
        <f>IF(A277="","",SUMIFS('Bán hàng'!$F$5:$F$5004,'Bán hàng'!$D$5:$D$5004,A277))</f>
        <v/>
      </c>
      <c r="J277" s="13">
        <f>IF(A277="","",F277+H277-I277)</f>
        <v/>
      </c>
      <c r="K277" s="14">
        <f>IF(A277="","",IF(J277&lt;=0,"Hết hàng",IF(J277&lt;=G277,"Sắp hết","Còn hàng")))</f>
        <v/>
      </c>
    </row>
    <row r="278">
      <c r="A278" s="10" t="n"/>
      <c r="B278" s="10" t="n"/>
      <c r="C278" s="10" t="n"/>
      <c r="D278" s="11" t="n"/>
      <c r="E278" s="11" t="n"/>
      <c r="F278" s="12" t="n"/>
      <c r="G278" s="12" t="n"/>
      <c r="H278" s="13">
        <f>IF(A278="","",SUMIFS('Nhập kho'!$D$5:$D$2004,'Nhập kho'!$B$5:$B$2004,A278))</f>
        <v/>
      </c>
      <c r="I278" s="13">
        <f>IF(A278="","",SUMIFS('Bán hàng'!$F$5:$F$5004,'Bán hàng'!$D$5:$D$5004,A278))</f>
        <v/>
      </c>
      <c r="J278" s="13">
        <f>IF(A278="","",F278+H278-I278)</f>
        <v/>
      </c>
      <c r="K278" s="14">
        <f>IF(A278="","",IF(J278&lt;=0,"Hết hàng",IF(J278&lt;=G278,"Sắp hết","Còn hàng")))</f>
        <v/>
      </c>
    </row>
    <row r="279">
      <c r="A279" s="10" t="n"/>
      <c r="B279" s="10" t="n"/>
      <c r="C279" s="10" t="n"/>
      <c r="D279" s="11" t="n"/>
      <c r="E279" s="11" t="n"/>
      <c r="F279" s="12" t="n"/>
      <c r="G279" s="12" t="n"/>
      <c r="H279" s="13">
        <f>IF(A279="","",SUMIFS('Nhập kho'!$D$5:$D$2004,'Nhập kho'!$B$5:$B$2004,A279))</f>
        <v/>
      </c>
      <c r="I279" s="13">
        <f>IF(A279="","",SUMIFS('Bán hàng'!$F$5:$F$5004,'Bán hàng'!$D$5:$D$5004,A279))</f>
        <v/>
      </c>
      <c r="J279" s="13">
        <f>IF(A279="","",F279+H279-I279)</f>
        <v/>
      </c>
      <c r="K279" s="14">
        <f>IF(A279="","",IF(J279&lt;=0,"Hết hàng",IF(J279&lt;=G279,"Sắp hết","Còn hàng")))</f>
        <v/>
      </c>
    </row>
    <row r="280">
      <c r="A280" s="10" t="n"/>
      <c r="B280" s="10" t="n"/>
      <c r="C280" s="10" t="n"/>
      <c r="D280" s="11" t="n"/>
      <c r="E280" s="11" t="n"/>
      <c r="F280" s="12" t="n"/>
      <c r="G280" s="12" t="n"/>
      <c r="H280" s="13">
        <f>IF(A280="","",SUMIFS('Nhập kho'!$D$5:$D$2004,'Nhập kho'!$B$5:$B$2004,A280))</f>
        <v/>
      </c>
      <c r="I280" s="13">
        <f>IF(A280="","",SUMIFS('Bán hàng'!$F$5:$F$5004,'Bán hàng'!$D$5:$D$5004,A280))</f>
        <v/>
      </c>
      <c r="J280" s="13">
        <f>IF(A280="","",F280+H280-I280)</f>
        <v/>
      </c>
      <c r="K280" s="14">
        <f>IF(A280="","",IF(J280&lt;=0,"Hết hàng",IF(J280&lt;=G280,"Sắp hết","Còn hàng")))</f>
        <v/>
      </c>
    </row>
    <row r="281">
      <c r="A281" s="10" t="n"/>
      <c r="B281" s="10" t="n"/>
      <c r="C281" s="10" t="n"/>
      <c r="D281" s="11" t="n"/>
      <c r="E281" s="11" t="n"/>
      <c r="F281" s="12" t="n"/>
      <c r="G281" s="12" t="n"/>
      <c r="H281" s="13">
        <f>IF(A281="","",SUMIFS('Nhập kho'!$D$5:$D$2004,'Nhập kho'!$B$5:$B$2004,A281))</f>
        <v/>
      </c>
      <c r="I281" s="13">
        <f>IF(A281="","",SUMIFS('Bán hàng'!$F$5:$F$5004,'Bán hàng'!$D$5:$D$5004,A281))</f>
        <v/>
      </c>
      <c r="J281" s="13">
        <f>IF(A281="","",F281+H281-I281)</f>
        <v/>
      </c>
      <c r="K281" s="14">
        <f>IF(A281="","",IF(J281&lt;=0,"Hết hàng",IF(J281&lt;=G281,"Sắp hết","Còn hàng")))</f>
        <v/>
      </c>
    </row>
    <row r="282">
      <c r="A282" s="10" t="n"/>
      <c r="B282" s="10" t="n"/>
      <c r="C282" s="10" t="n"/>
      <c r="D282" s="11" t="n"/>
      <c r="E282" s="11" t="n"/>
      <c r="F282" s="12" t="n"/>
      <c r="G282" s="12" t="n"/>
      <c r="H282" s="13">
        <f>IF(A282="","",SUMIFS('Nhập kho'!$D$5:$D$2004,'Nhập kho'!$B$5:$B$2004,A282))</f>
        <v/>
      </c>
      <c r="I282" s="13">
        <f>IF(A282="","",SUMIFS('Bán hàng'!$F$5:$F$5004,'Bán hàng'!$D$5:$D$5004,A282))</f>
        <v/>
      </c>
      <c r="J282" s="13">
        <f>IF(A282="","",F282+H282-I282)</f>
        <v/>
      </c>
      <c r="K282" s="14">
        <f>IF(A282="","",IF(J282&lt;=0,"Hết hàng",IF(J282&lt;=G282,"Sắp hết","Còn hàng")))</f>
        <v/>
      </c>
    </row>
    <row r="283">
      <c r="A283" s="10" t="n"/>
      <c r="B283" s="10" t="n"/>
      <c r="C283" s="10" t="n"/>
      <c r="D283" s="11" t="n"/>
      <c r="E283" s="11" t="n"/>
      <c r="F283" s="12" t="n"/>
      <c r="G283" s="12" t="n"/>
      <c r="H283" s="13">
        <f>IF(A283="","",SUMIFS('Nhập kho'!$D$5:$D$2004,'Nhập kho'!$B$5:$B$2004,A283))</f>
        <v/>
      </c>
      <c r="I283" s="13">
        <f>IF(A283="","",SUMIFS('Bán hàng'!$F$5:$F$5004,'Bán hàng'!$D$5:$D$5004,A283))</f>
        <v/>
      </c>
      <c r="J283" s="13">
        <f>IF(A283="","",F283+H283-I283)</f>
        <v/>
      </c>
      <c r="K283" s="14">
        <f>IF(A283="","",IF(J283&lt;=0,"Hết hàng",IF(J283&lt;=G283,"Sắp hết","Còn hàng")))</f>
        <v/>
      </c>
    </row>
    <row r="284">
      <c r="A284" s="10" t="n"/>
      <c r="B284" s="10" t="n"/>
      <c r="C284" s="10" t="n"/>
      <c r="D284" s="11" t="n"/>
      <c r="E284" s="11" t="n"/>
      <c r="F284" s="12" t="n"/>
      <c r="G284" s="12" t="n"/>
      <c r="H284" s="13">
        <f>IF(A284="","",SUMIFS('Nhập kho'!$D$5:$D$2004,'Nhập kho'!$B$5:$B$2004,A284))</f>
        <v/>
      </c>
      <c r="I284" s="13">
        <f>IF(A284="","",SUMIFS('Bán hàng'!$F$5:$F$5004,'Bán hàng'!$D$5:$D$5004,A284))</f>
        <v/>
      </c>
      <c r="J284" s="13">
        <f>IF(A284="","",F284+H284-I284)</f>
        <v/>
      </c>
      <c r="K284" s="14">
        <f>IF(A284="","",IF(J284&lt;=0,"Hết hàng",IF(J284&lt;=G284,"Sắp hết","Còn hàng")))</f>
        <v/>
      </c>
    </row>
    <row r="285">
      <c r="A285" s="10" t="n"/>
      <c r="B285" s="10" t="n"/>
      <c r="C285" s="10" t="n"/>
      <c r="D285" s="11" t="n"/>
      <c r="E285" s="11" t="n"/>
      <c r="F285" s="12" t="n"/>
      <c r="G285" s="12" t="n"/>
      <c r="H285" s="13">
        <f>IF(A285="","",SUMIFS('Nhập kho'!$D$5:$D$2004,'Nhập kho'!$B$5:$B$2004,A285))</f>
        <v/>
      </c>
      <c r="I285" s="13">
        <f>IF(A285="","",SUMIFS('Bán hàng'!$F$5:$F$5004,'Bán hàng'!$D$5:$D$5004,A285))</f>
        <v/>
      </c>
      <c r="J285" s="13">
        <f>IF(A285="","",F285+H285-I285)</f>
        <v/>
      </c>
      <c r="K285" s="14">
        <f>IF(A285="","",IF(J285&lt;=0,"Hết hàng",IF(J285&lt;=G285,"Sắp hết","Còn hàng")))</f>
        <v/>
      </c>
    </row>
    <row r="286">
      <c r="A286" s="10" t="n"/>
      <c r="B286" s="10" t="n"/>
      <c r="C286" s="10" t="n"/>
      <c r="D286" s="11" t="n"/>
      <c r="E286" s="11" t="n"/>
      <c r="F286" s="12" t="n"/>
      <c r="G286" s="12" t="n"/>
      <c r="H286" s="13">
        <f>IF(A286="","",SUMIFS('Nhập kho'!$D$5:$D$2004,'Nhập kho'!$B$5:$B$2004,A286))</f>
        <v/>
      </c>
      <c r="I286" s="13">
        <f>IF(A286="","",SUMIFS('Bán hàng'!$F$5:$F$5004,'Bán hàng'!$D$5:$D$5004,A286))</f>
        <v/>
      </c>
      <c r="J286" s="13">
        <f>IF(A286="","",F286+H286-I286)</f>
        <v/>
      </c>
      <c r="K286" s="14">
        <f>IF(A286="","",IF(J286&lt;=0,"Hết hàng",IF(J286&lt;=G286,"Sắp hết","Còn hàng")))</f>
        <v/>
      </c>
    </row>
    <row r="287">
      <c r="A287" s="10" t="n"/>
      <c r="B287" s="10" t="n"/>
      <c r="C287" s="10" t="n"/>
      <c r="D287" s="11" t="n"/>
      <c r="E287" s="11" t="n"/>
      <c r="F287" s="12" t="n"/>
      <c r="G287" s="12" t="n"/>
      <c r="H287" s="13">
        <f>IF(A287="","",SUMIFS('Nhập kho'!$D$5:$D$2004,'Nhập kho'!$B$5:$B$2004,A287))</f>
        <v/>
      </c>
      <c r="I287" s="13">
        <f>IF(A287="","",SUMIFS('Bán hàng'!$F$5:$F$5004,'Bán hàng'!$D$5:$D$5004,A287))</f>
        <v/>
      </c>
      <c r="J287" s="13">
        <f>IF(A287="","",F287+H287-I287)</f>
        <v/>
      </c>
      <c r="K287" s="14">
        <f>IF(A287="","",IF(J287&lt;=0,"Hết hàng",IF(J287&lt;=G287,"Sắp hết","Còn hàng")))</f>
        <v/>
      </c>
    </row>
    <row r="288">
      <c r="A288" s="10" t="n"/>
      <c r="B288" s="10" t="n"/>
      <c r="C288" s="10" t="n"/>
      <c r="D288" s="11" t="n"/>
      <c r="E288" s="11" t="n"/>
      <c r="F288" s="12" t="n"/>
      <c r="G288" s="12" t="n"/>
      <c r="H288" s="13">
        <f>IF(A288="","",SUMIFS('Nhập kho'!$D$5:$D$2004,'Nhập kho'!$B$5:$B$2004,A288))</f>
        <v/>
      </c>
      <c r="I288" s="13">
        <f>IF(A288="","",SUMIFS('Bán hàng'!$F$5:$F$5004,'Bán hàng'!$D$5:$D$5004,A288))</f>
        <v/>
      </c>
      <c r="J288" s="13">
        <f>IF(A288="","",F288+H288-I288)</f>
        <v/>
      </c>
      <c r="K288" s="14">
        <f>IF(A288="","",IF(J288&lt;=0,"Hết hàng",IF(J288&lt;=G288,"Sắp hết","Còn hàng")))</f>
        <v/>
      </c>
    </row>
    <row r="289">
      <c r="A289" s="10" t="n"/>
      <c r="B289" s="10" t="n"/>
      <c r="C289" s="10" t="n"/>
      <c r="D289" s="11" t="n"/>
      <c r="E289" s="11" t="n"/>
      <c r="F289" s="12" t="n"/>
      <c r="G289" s="12" t="n"/>
      <c r="H289" s="13">
        <f>IF(A289="","",SUMIFS('Nhập kho'!$D$5:$D$2004,'Nhập kho'!$B$5:$B$2004,A289))</f>
        <v/>
      </c>
      <c r="I289" s="13">
        <f>IF(A289="","",SUMIFS('Bán hàng'!$F$5:$F$5004,'Bán hàng'!$D$5:$D$5004,A289))</f>
        <v/>
      </c>
      <c r="J289" s="13">
        <f>IF(A289="","",F289+H289-I289)</f>
        <v/>
      </c>
      <c r="K289" s="14">
        <f>IF(A289="","",IF(J289&lt;=0,"Hết hàng",IF(J289&lt;=G289,"Sắp hết","Còn hàng")))</f>
        <v/>
      </c>
    </row>
    <row r="290">
      <c r="A290" s="10" t="n"/>
      <c r="B290" s="10" t="n"/>
      <c r="C290" s="10" t="n"/>
      <c r="D290" s="11" t="n"/>
      <c r="E290" s="11" t="n"/>
      <c r="F290" s="12" t="n"/>
      <c r="G290" s="12" t="n"/>
      <c r="H290" s="13">
        <f>IF(A290="","",SUMIFS('Nhập kho'!$D$5:$D$2004,'Nhập kho'!$B$5:$B$2004,A290))</f>
        <v/>
      </c>
      <c r="I290" s="13">
        <f>IF(A290="","",SUMIFS('Bán hàng'!$F$5:$F$5004,'Bán hàng'!$D$5:$D$5004,A290))</f>
        <v/>
      </c>
      <c r="J290" s="13">
        <f>IF(A290="","",F290+H290-I290)</f>
        <v/>
      </c>
      <c r="K290" s="14">
        <f>IF(A290="","",IF(J290&lt;=0,"Hết hàng",IF(J290&lt;=G290,"Sắp hết","Còn hàng")))</f>
        <v/>
      </c>
    </row>
    <row r="291">
      <c r="A291" s="10" t="n"/>
      <c r="B291" s="10" t="n"/>
      <c r="C291" s="10" t="n"/>
      <c r="D291" s="11" t="n"/>
      <c r="E291" s="11" t="n"/>
      <c r="F291" s="12" t="n"/>
      <c r="G291" s="12" t="n"/>
      <c r="H291" s="13">
        <f>IF(A291="","",SUMIFS('Nhập kho'!$D$5:$D$2004,'Nhập kho'!$B$5:$B$2004,A291))</f>
        <v/>
      </c>
      <c r="I291" s="13">
        <f>IF(A291="","",SUMIFS('Bán hàng'!$F$5:$F$5004,'Bán hàng'!$D$5:$D$5004,A291))</f>
        <v/>
      </c>
      <c r="J291" s="13">
        <f>IF(A291="","",F291+H291-I291)</f>
        <v/>
      </c>
      <c r="K291" s="14">
        <f>IF(A291="","",IF(J291&lt;=0,"Hết hàng",IF(J291&lt;=G291,"Sắp hết","Còn hàng")))</f>
        <v/>
      </c>
    </row>
    <row r="292">
      <c r="A292" s="10" t="n"/>
      <c r="B292" s="10" t="n"/>
      <c r="C292" s="10" t="n"/>
      <c r="D292" s="11" t="n"/>
      <c r="E292" s="11" t="n"/>
      <c r="F292" s="12" t="n"/>
      <c r="G292" s="12" t="n"/>
      <c r="H292" s="13">
        <f>IF(A292="","",SUMIFS('Nhập kho'!$D$5:$D$2004,'Nhập kho'!$B$5:$B$2004,A292))</f>
        <v/>
      </c>
      <c r="I292" s="13">
        <f>IF(A292="","",SUMIFS('Bán hàng'!$F$5:$F$5004,'Bán hàng'!$D$5:$D$5004,A292))</f>
        <v/>
      </c>
      <c r="J292" s="13">
        <f>IF(A292="","",F292+H292-I292)</f>
        <v/>
      </c>
      <c r="K292" s="14">
        <f>IF(A292="","",IF(J292&lt;=0,"Hết hàng",IF(J292&lt;=G292,"Sắp hết","Còn hàng")))</f>
        <v/>
      </c>
    </row>
    <row r="293">
      <c r="A293" s="10" t="n"/>
      <c r="B293" s="10" t="n"/>
      <c r="C293" s="10" t="n"/>
      <c r="D293" s="11" t="n"/>
      <c r="E293" s="11" t="n"/>
      <c r="F293" s="12" t="n"/>
      <c r="G293" s="12" t="n"/>
      <c r="H293" s="13">
        <f>IF(A293="","",SUMIFS('Nhập kho'!$D$5:$D$2004,'Nhập kho'!$B$5:$B$2004,A293))</f>
        <v/>
      </c>
      <c r="I293" s="13">
        <f>IF(A293="","",SUMIFS('Bán hàng'!$F$5:$F$5004,'Bán hàng'!$D$5:$D$5004,A293))</f>
        <v/>
      </c>
      <c r="J293" s="13">
        <f>IF(A293="","",F293+H293-I293)</f>
        <v/>
      </c>
      <c r="K293" s="14">
        <f>IF(A293="","",IF(J293&lt;=0,"Hết hàng",IF(J293&lt;=G293,"Sắp hết","Còn hàng")))</f>
        <v/>
      </c>
    </row>
    <row r="294">
      <c r="A294" s="10" t="n"/>
      <c r="B294" s="10" t="n"/>
      <c r="C294" s="10" t="n"/>
      <c r="D294" s="11" t="n"/>
      <c r="E294" s="11" t="n"/>
      <c r="F294" s="12" t="n"/>
      <c r="G294" s="12" t="n"/>
      <c r="H294" s="13">
        <f>IF(A294="","",SUMIFS('Nhập kho'!$D$5:$D$2004,'Nhập kho'!$B$5:$B$2004,A294))</f>
        <v/>
      </c>
      <c r="I294" s="13">
        <f>IF(A294="","",SUMIFS('Bán hàng'!$F$5:$F$5004,'Bán hàng'!$D$5:$D$5004,A294))</f>
        <v/>
      </c>
      <c r="J294" s="13">
        <f>IF(A294="","",F294+H294-I294)</f>
        <v/>
      </c>
      <c r="K294" s="14">
        <f>IF(A294="","",IF(J294&lt;=0,"Hết hàng",IF(J294&lt;=G294,"Sắp hết","Còn hàng")))</f>
        <v/>
      </c>
    </row>
    <row r="295">
      <c r="A295" s="10" t="n"/>
      <c r="B295" s="10" t="n"/>
      <c r="C295" s="10" t="n"/>
      <c r="D295" s="11" t="n"/>
      <c r="E295" s="11" t="n"/>
      <c r="F295" s="12" t="n"/>
      <c r="G295" s="12" t="n"/>
      <c r="H295" s="13">
        <f>IF(A295="","",SUMIFS('Nhập kho'!$D$5:$D$2004,'Nhập kho'!$B$5:$B$2004,A295))</f>
        <v/>
      </c>
      <c r="I295" s="13">
        <f>IF(A295="","",SUMIFS('Bán hàng'!$F$5:$F$5004,'Bán hàng'!$D$5:$D$5004,A295))</f>
        <v/>
      </c>
      <c r="J295" s="13">
        <f>IF(A295="","",F295+H295-I295)</f>
        <v/>
      </c>
      <c r="K295" s="14">
        <f>IF(A295="","",IF(J295&lt;=0,"Hết hàng",IF(J295&lt;=G295,"Sắp hết","Còn hàng")))</f>
        <v/>
      </c>
    </row>
    <row r="296">
      <c r="A296" s="10" t="n"/>
      <c r="B296" s="10" t="n"/>
      <c r="C296" s="10" t="n"/>
      <c r="D296" s="11" t="n"/>
      <c r="E296" s="11" t="n"/>
      <c r="F296" s="12" t="n"/>
      <c r="G296" s="12" t="n"/>
      <c r="H296" s="13">
        <f>IF(A296="","",SUMIFS('Nhập kho'!$D$5:$D$2004,'Nhập kho'!$B$5:$B$2004,A296))</f>
        <v/>
      </c>
      <c r="I296" s="13">
        <f>IF(A296="","",SUMIFS('Bán hàng'!$F$5:$F$5004,'Bán hàng'!$D$5:$D$5004,A296))</f>
        <v/>
      </c>
      <c r="J296" s="13">
        <f>IF(A296="","",F296+H296-I296)</f>
        <v/>
      </c>
      <c r="K296" s="14">
        <f>IF(A296="","",IF(J296&lt;=0,"Hết hàng",IF(J296&lt;=G296,"Sắp hết","Còn hàng")))</f>
        <v/>
      </c>
    </row>
    <row r="297">
      <c r="A297" s="10" t="n"/>
      <c r="B297" s="10" t="n"/>
      <c r="C297" s="10" t="n"/>
      <c r="D297" s="11" t="n"/>
      <c r="E297" s="11" t="n"/>
      <c r="F297" s="12" t="n"/>
      <c r="G297" s="12" t="n"/>
      <c r="H297" s="13">
        <f>IF(A297="","",SUMIFS('Nhập kho'!$D$5:$D$2004,'Nhập kho'!$B$5:$B$2004,A297))</f>
        <v/>
      </c>
      <c r="I297" s="13">
        <f>IF(A297="","",SUMIFS('Bán hàng'!$F$5:$F$5004,'Bán hàng'!$D$5:$D$5004,A297))</f>
        <v/>
      </c>
      <c r="J297" s="13">
        <f>IF(A297="","",F297+H297-I297)</f>
        <v/>
      </c>
      <c r="K297" s="14">
        <f>IF(A297="","",IF(J297&lt;=0,"Hết hàng",IF(J297&lt;=G297,"Sắp hết","Còn hàng")))</f>
        <v/>
      </c>
    </row>
    <row r="298">
      <c r="A298" s="10" t="n"/>
      <c r="B298" s="10" t="n"/>
      <c r="C298" s="10" t="n"/>
      <c r="D298" s="11" t="n"/>
      <c r="E298" s="11" t="n"/>
      <c r="F298" s="12" t="n"/>
      <c r="G298" s="12" t="n"/>
      <c r="H298" s="13">
        <f>IF(A298="","",SUMIFS('Nhập kho'!$D$5:$D$2004,'Nhập kho'!$B$5:$B$2004,A298))</f>
        <v/>
      </c>
      <c r="I298" s="13">
        <f>IF(A298="","",SUMIFS('Bán hàng'!$F$5:$F$5004,'Bán hàng'!$D$5:$D$5004,A298))</f>
        <v/>
      </c>
      <c r="J298" s="13">
        <f>IF(A298="","",F298+H298-I298)</f>
        <v/>
      </c>
      <c r="K298" s="14">
        <f>IF(A298="","",IF(J298&lt;=0,"Hết hàng",IF(J298&lt;=G298,"Sắp hết","Còn hàng")))</f>
        <v/>
      </c>
    </row>
    <row r="299">
      <c r="A299" s="10" t="n"/>
      <c r="B299" s="10" t="n"/>
      <c r="C299" s="10" t="n"/>
      <c r="D299" s="11" t="n"/>
      <c r="E299" s="11" t="n"/>
      <c r="F299" s="12" t="n"/>
      <c r="G299" s="12" t="n"/>
      <c r="H299" s="13">
        <f>IF(A299="","",SUMIFS('Nhập kho'!$D$5:$D$2004,'Nhập kho'!$B$5:$B$2004,A299))</f>
        <v/>
      </c>
      <c r="I299" s="13">
        <f>IF(A299="","",SUMIFS('Bán hàng'!$F$5:$F$5004,'Bán hàng'!$D$5:$D$5004,A299))</f>
        <v/>
      </c>
      <c r="J299" s="13">
        <f>IF(A299="","",F299+H299-I299)</f>
        <v/>
      </c>
      <c r="K299" s="14">
        <f>IF(A299="","",IF(J299&lt;=0,"Hết hàng",IF(J299&lt;=G299,"Sắp hết","Còn hàng")))</f>
        <v/>
      </c>
    </row>
    <row r="300">
      <c r="A300" s="10" t="n"/>
      <c r="B300" s="10" t="n"/>
      <c r="C300" s="10" t="n"/>
      <c r="D300" s="11" t="n"/>
      <c r="E300" s="11" t="n"/>
      <c r="F300" s="12" t="n"/>
      <c r="G300" s="12" t="n"/>
      <c r="H300" s="13">
        <f>IF(A300="","",SUMIFS('Nhập kho'!$D$5:$D$2004,'Nhập kho'!$B$5:$B$2004,A300))</f>
        <v/>
      </c>
      <c r="I300" s="13">
        <f>IF(A300="","",SUMIFS('Bán hàng'!$F$5:$F$5004,'Bán hàng'!$D$5:$D$5004,A300))</f>
        <v/>
      </c>
      <c r="J300" s="13">
        <f>IF(A300="","",F300+H300-I300)</f>
        <v/>
      </c>
      <c r="K300" s="14">
        <f>IF(A300="","",IF(J300&lt;=0,"Hết hàng",IF(J300&lt;=G300,"Sắp hết","Còn hàng")))</f>
        <v/>
      </c>
    </row>
    <row r="301">
      <c r="A301" s="10" t="n"/>
      <c r="B301" s="10" t="n"/>
      <c r="C301" s="10" t="n"/>
      <c r="D301" s="11" t="n"/>
      <c r="E301" s="11" t="n"/>
      <c r="F301" s="12" t="n"/>
      <c r="G301" s="12" t="n"/>
      <c r="H301" s="13">
        <f>IF(A301="","",SUMIFS('Nhập kho'!$D$5:$D$2004,'Nhập kho'!$B$5:$B$2004,A301))</f>
        <v/>
      </c>
      <c r="I301" s="13">
        <f>IF(A301="","",SUMIFS('Bán hàng'!$F$5:$F$5004,'Bán hàng'!$D$5:$D$5004,A301))</f>
        <v/>
      </c>
      <c r="J301" s="13">
        <f>IF(A301="","",F301+H301-I301)</f>
        <v/>
      </c>
      <c r="K301" s="14">
        <f>IF(A301="","",IF(J301&lt;=0,"Hết hàng",IF(J301&lt;=G301,"Sắp hết","Còn hàng")))</f>
        <v/>
      </c>
    </row>
    <row r="302">
      <c r="A302" s="10" t="n"/>
      <c r="B302" s="10" t="n"/>
      <c r="C302" s="10" t="n"/>
      <c r="D302" s="11" t="n"/>
      <c r="E302" s="11" t="n"/>
      <c r="F302" s="12" t="n"/>
      <c r="G302" s="12" t="n"/>
      <c r="H302" s="13">
        <f>IF(A302="","",SUMIFS('Nhập kho'!$D$5:$D$2004,'Nhập kho'!$B$5:$B$2004,A302))</f>
        <v/>
      </c>
      <c r="I302" s="13">
        <f>IF(A302="","",SUMIFS('Bán hàng'!$F$5:$F$5004,'Bán hàng'!$D$5:$D$5004,A302))</f>
        <v/>
      </c>
      <c r="J302" s="13">
        <f>IF(A302="","",F302+H302-I302)</f>
        <v/>
      </c>
      <c r="K302" s="14">
        <f>IF(A302="","",IF(J302&lt;=0,"Hết hàng",IF(J302&lt;=G302,"Sắp hết","Còn hàng")))</f>
        <v/>
      </c>
    </row>
    <row r="303">
      <c r="A303" s="10" t="n"/>
      <c r="B303" s="10" t="n"/>
      <c r="C303" s="10" t="n"/>
      <c r="D303" s="11" t="n"/>
      <c r="E303" s="11" t="n"/>
      <c r="F303" s="12" t="n"/>
      <c r="G303" s="12" t="n"/>
      <c r="H303" s="13">
        <f>IF(A303="","",SUMIFS('Nhập kho'!$D$5:$D$2004,'Nhập kho'!$B$5:$B$2004,A303))</f>
        <v/>
      </c>
      <c r="I303" s="13">
        <f>IF(A303="","",SUMIFS('Bán hàng'!$F$5:$F$5004,'Bán hàng'!$D$5:$D$5004,A303))</f>
        <v/>
      </c>
      <c r="J303" s="13">
        <f>IF(A303="","",F303+H303-I303)</f>
        <v/>
      </c>
      <c r="K303" s="14">
        <f>IF(A303="","",IF(J303&lt;=0,"Hết hàng",IF(J303&lt;=G303,"Sắp hết","Còn hàng")))</f>
        <v/>
      </c>
    </row>
    <row r="304">
      <c r="A304" s="10" t="n"/>
      <c r="B304" s="10" t="n"/>
      <c r="C304" s="10" t="n"/>
      <c r="D304" s="11" t="n"/>
      <c r="E304" s="11" t="n"/>
      <c r="F304" s="12" t="n"/>
      <c r="G304" s="12" t="n"/>
      <c r="H304" s="13">
        <f>IF(A304="","",SUMIFS('Nhập kho'!$D$5:$D$2004,'Nhập kho'!$B$5:$B$2004,A304))</f>
        <v/>
      </c>
      <c r="I304" s="13">
        <f>IF(A304="","",SUMIFS('Bán hàng'!$F$5:$F$5004,'Bán hàng'!$D$5:$D$5004,A304))</f>
        <v/>
      </c>
      <c r="J304" s="13">
        <f>IF(A304="","",F304+H304-I304)</f>
        <v/>
      </c>
      <c r="K304" s="14">
        <f>IF(A304="","",IF(J304&lt;=0,"Hết hàng",IF(J304&lt;=G304,"Sắp hết","Còn hàng")))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0" customWidth="1" min="4" max="4"/>
    <col width="15" customWidth="1" min="5" max="5"/>
    <col width="16" customWidth="1" min="6" max="6"/>
    <col width="30" customWidth="1" min="7" max="7"/>
    <col width="8" customWidth="1" min="8" max="8"/>
    <col width="8" customWidth="1" min="9" max="9"/>
  </cols>
  <sheetData>
    <row r="1">
      <c r="A1" s="7" t="inlineStr">
        <is>
          <t>Phiếu nhập kho</t>
        </is>
      </c>
    </row>
    <row r="2">
      <c r="A2" s="8" t="inlineStr">
        <is>
          <t>Mỗi lần nhập một sản phẩm một dòng.</t>
        </is>
      </c>
    </row>
    <row r="4" ht="32" customHeight="1">
      <c r="A4" s="9" t="inlineStr">
        <is>
          <t>Ngày</t>
        </is>
      </c>
      <c r="B4" s="9" t="inlineStr">
        <is>
          <t>Mã SP</t>
        </is>
      </c>
      <c r="C4" s="9" t="inlineStr">
        <is>
          <t>Tên sản phẩm</t>
        </is>
      </c>
      <c r="D4" s="9" t="inlineStr">
        <is>
          <t>Số lượng</t>
        </is>
      </c>
      <c r="E4" s="9" t="inlineStr">
        <is>
          <t>Đơn giá nhập (đ)</t>
        </is>
      </c>
      <c r="F4" s="9" t="inlineStr">
        <is>
          <t>Thành tiền (đ)</t>
        </is>
      </c>
      <c r="G4" s="9" t="inlineStr">
        <is>
          <t>Nhà cung cấp / ghi chú</t>
        </is>
      </c>
      <c r="H4" s="9" t="inlineStr">
        <is>
          <t>Tháng</t>
        </is>
      </c>
      <c r="I4" s="9" t="inlineStr">
        <is>
          <t>Năm</t>
        </is>
      </c>
    </row>
    <row r="5">
      <c r="A5" s="15" t="n">
        <v>46296</v>
      </c>
      <c r="B5" s="10" t="inlineStr">
        <is>
          <t>SP01</t>
        </is>
      </c>
      <c r="C5" s="14">
        <f>IF(B5="","",IFERROR(INDEX('Sản phẩm'!$B$5:$B$304,MATCH(B5,'Sản phẩm'!$A$5:$A$304,0)),""))</f>
        <v/>
      </c>
      <c r="D5" s="12" t="n">
        <v>6</v>
      </c>
      <c r="E5" s="11" t="n">
        <v>150000</v>
      </c>
      <c r="F5" s="16">
        <f>IF(OR(D5="",E5=""),"",D5*E5)</f>
        <v/>
      </c>
      <c r="G5" s="10" t="inlineStr">
        <is>
          <t>Ví dụ — xóa dòng này</t>
        </is>
      </c>
      <c r="H5" s="14">
        <f>IF(A5="","",MONTH(A5))</f>
        <v/>
      </c>
      <c r="I5" s="14">
        <f>IF(A5="","",YEAR(A5))</f>
        <v/>
      </c>
    </row>
    <row r="6">
      <c r="A6" s="15" t="n"/>
      <c r="B6" s="10" t="n"/>
      <c r="C6" s="14">
        <f>IF(B6="","",IFERROR(INDEX('Sản phẩm'!$B$5:$B$304,MATCH(B6,'Sản phẩm'!$A$5:$A$304,0)),""))</f>
        <v/>
      </c>
      <c r="D6" s="12" t="n"/>
      <c r="E6" s="11" t="n"/>
      <c r="F6" s="16">
        <f>IF(OR(D6="",E6=""),"",D6*E6)</f>
        <v/>
      </c>
      <c r="G6" s="10" t="n"/>
      <c r="H6" s="14">
        <f>IF(A6="","",MONTH(A6))</f>
        <v/>
      </c>
      <c r="I6" s="14">
        <f>IF(A6="","",YEAR(A6))</f>
        <v/>
      </c>
    </row>
    <row r="7">
      <c r="A7" s="15" t="n"/>
      <c r="B7" s="10" t="n"/>
      <c r="C7" s="14">
        <f>IF(B7="","",IFERROR(INDEX('Sản phẩm'!$B$5:$B$304,MATCH(B7,'Sản phẩm'!$A$5:$A$304,0)),""))</f>
        <v/>
      </c>
      <c r="D7" s="12" t="n"/>
      <c r="E7" s="11" t="n"/>
      <c r="F7" s="16">
        <f>IF(OR(D7="",E7=""),"",D7*E7)</f>
        <v/>
      </c>
      <c r="G7" s="10" t="n"/>
      <c r="H7" s="14">
        <f>IF(A7="","",MONTH(A7))</f>
        <v/>
      </c>
      <c r="I7" s="14">
        <f>IF(A7="","",YEAR(A7))</f>
        <v/>
      </c>
    </row>
    <row r="8">
      <c r="A8" s="15" t="n"/>
      <c r="B8" s="10" t="n"/>
      <c r="C8" s="14">
        <f>IF(B8="","",IFERROR(INDEX('Sản phẩm'!$B$5:$B$304,MATCH(B8,'Sản phẩm'!$A$5:$A$304,0)),""))</f>
        <v/>
      </c>
      <c r="D8" s="12" t="n"/>
      <c r="E8" s="11" t="n"/>
      <c r="F8" s="16">
        <f>IF(OR(D8="",E8=""),"",D8*E8)</f>
        <v/>
      </c>
      <c r="G8" s="10" t="n"/>
      <c r="H8" s="14">
        <f>IF(A8="","",MONTH(A8))</f>
        <v/>
      </c>
      <c r="I8" s="14">
        <f>IF(A8="","",YEAR(A8))</f>
        <v/>
      </c>
    </row>
    <row r="9">
      <c r="A9" s="15" t="n"/>
      <c r="B9" s="10" t="n"/>
      <c r="C9" s="14">
        <f>IF(B9="","",IFERROR(INDEX('Sản phẩm'!$B$5:$B$304,MATCH(B9,'Sản phẩm'!$A$5:$A$304,0)),""))</f>
        <v/>
      </c>
      <c r="D9" s="12" t="n"/>
      <c r="E9" s="11" t="n"/>
      <c r="F9" s="16">
        <f>IF(OR(D9="",E9=""),"",D9*E9)</f>
        <v/>
      </c>
      <c r="G9" s="10" t="n"/>
      <c r="H9" s="14">
        <f>IF(A9="","",MONTH(A9))</f>
        <v/>
      </c>
      <c r="I9" s="14">
        <f>IF(A9="","",YEAR(A9))</f>
        <v/>
      </c>
    </row>
    <row r="10">
      <c r="A10" s="15" t="n"/>
      <c r="B10" s="10" t="n"/>
      <c r="C10" s="14">
        <f>IF(B10="","",IFERROR(INDEX('Sản phẩm'!$B$5:$B$304,MATCH(B10,'Sản phẩm'!$A$5:$A$304,0)),""))</f>
        <v/>
      </c>
      <c r="D10" s="12" t="n"/>
      <c r="E10" s="11" t="n"/>
      <c r="F10" s="16">
        <f>IF(OR(D10="",E10=""),"",D10*E10)</f>
        <v/>
      </c>
      <c r="G10" s="10" t="n"/>
      <c r="H10" s="14">
        <f>IF(A10="","",MONTH(A10))</f>
        <v/>
      </c>
      <c r="I10" s="14">
        <f>IF(A10="","",YEAR(A10))</f>
        <v/>
      </c>
    </row>
    <row r="11">
      <c r="A11" s="15" t="n"/>
      <c r="B11" s="10" t="n"/>
      <c r="C11" s="14">
        <f>IF(B11="","",IFERROR(INDEX('Sản phẩm'!$B$5:$B$304,MATCH(B11,'Sản phẩm'!$A$5:$A$304,0)),""))</f>
        <v/>
      </c>
      <c r="D11" s="12" t="n"/>
      <c r="E11" s="11" t="n"/>
      <c r="F11" s="16">
        <f>IF(OR(D11="",E11=""),"",D11*E11)</f>
        <v/>
      </c>
      <c r="G11" s="10" t="n"/>
      <c r="H11" s="14">
        <f>IF(A11="","",MONTH(A11))</f>
        <v/>
      </c>
      <c r="I11" s="14">
        <f>IF(A11="","",YEAR(A11))</f>
        <v/>
      </c>
    </row>
    <row r="12">
      <c r="A12" s="15" t="n"/>
      <c r="B12" s="10" t="n"/>
      <c r="C12" s="14">
        <f>IF(B12="","",IFERROR(INDEX('Sản phẩm'!$B$5:$B$304,MATCH(B12,'Sản phẩm'!$A$5:$A$304,0)),""))</f>
        <v/>
      </c>
      <c r="D12" s="12" t="n"/>
      <c r="E12" s="11" t="n"/>
      <c r="F12" s="16">
        <f>IF(OR(D12="",E12=""),"",D12*E12)</f>
        <v/>
      </c>
      <c r="G12" s="10" t="n"/>
      <c r="H12" s="14">
        <f>IF(A12="","",MONTH(A12))</f>
        <v/>
      </c>
      <c r="I12" s="14">
        <f>IF(A12="","",YEAR(A12))</f>
        <v/>
      </c>
    </row>
    <row r="13">
      <c r="A13" s="15" t="n"/>
      <c r="B13" s="10" t="n"/>
      <c r="C13" s="14">
        <f>IF(B13="","",IFERROR(INDEX('Sản phẩm'!$B$5:$B$304,MATCH(B13,'Sản phẩm'!$A$5:$A$304,0)),""))</f>
        <v/>
      </c>
      <c r="D13" s="12" t="n"/>
      <c r="E13" s="11" t="n"/>
      <c r="F13" s="16">
        <f>IF(OR(D13="",E13=""),"",D13*E13)</f>
        <v/>
      </c>
      <c r="G13" s="10" t="n"/>
      <c r="H13" s="14">
        <f>IF(A13="","",MONTH(A13))</f>
        <v/>
      </c>
      <c r="I13" s="14">
        <f>IF(A13="","",YEAR(A13))</f>
        <v/>
      </c>
    </row>
    <row r="14">
      <c r="A14" s="15" t="n"/>
      <c r="B14" s="10" t="n"/>
      <c r="C14" s="14">
        <f>IF(B14="","",IFERROR(INDEX('Sản phẩm'!$B$5:$B$304,MATCH(B14,'Sản phẩm'!$A$5:$A$304,0)),""))</f>
        <v/>
      </c>
      <c r="D14" s="12" t="n"/>
      <c r="E14" s="11" t="n"/>
      <c r="F14" s="16">
        <f>IF(OR(D14="",E14=""),"",D14*E14)</f>
        <v/>
      </c>
      <c r="G14" s="10" t="n"/>
      <c r="H14" s="14">
        <f>IF(A14="","",MONTH(A14))</f>
        <v/>
      </c>
      <c r="I14" s="14">
        <f>IF(A14="","",YEAR(A14))</f>
        <v/>
      </c>
    </row>
    <row r="15">
      <c r="A15" s="15" t="n"/>
      <c r="B15" s="10" t="n"/>
      <c r="C15" s="14">
        <f>IF(B15="","",IFERROR(INDEX('Sản phẩm'!$B$5:$B$304,MATCH(B15,'Sản phẩm'!$A$5:$A$304,0)),""))</f>
        <v/>
      </c>
      <c r="D15" s="12" t="n"/>
      <c r="E15" s="11" t="n"/>
      <c r="F15" s="16">
        <f>IF(OR(D15="",E15=""),"",D15*E15)</f>
        <v/>
      </c>
      <c r="G15" s="10" t="n"/>
      <c r="H15" s="14">
        <f>IF(A15="","",MONTH(A15))</f>
        <v/>
      </c>
      <c r="I15" s="14">
        <f>IF(A15="","",YEAR(A15))</f>
        <v/>
      </c>
    </row>
    <row r="16">
      <c r="A16" s="15" t="n"/>
      <c r="B16" s="10" t="n"/>
      <c r="C16" s="14">
        <f>IF(B16="","",IFERROR(INDEX('Sản phẩm'!$B$5:$B$304,MATCH(B16,'Sản phẩm'!$A$5:$A$304,0)),""))</f>
        <v/>
      </c>
      <c r="D16" s="12" t="n"/>
      <c r="E16" s="11" t="n"/>
      <c r="F16" s="16">
        <f>IF(OR(D16="",E16=""),"",D16*E16)</f>
        <v/>
      </c>
      <c r="G16" s="10" t="n"/>
      <c r="H16" s="14">
        <f>IF(A16="","",MONTH(A16))</f>
        <v/>
      </c>
      <c r="I16" s="14">
        <f>IF(A16="","",YEAR(A16))</f>
        <v/>
      </c>
    </row>
    <row r="17">
      <c r="A17" s="15" t="n"/>
      <c r="B17" s="10" t="n"/>
      <c r="C17" s="14">
        <f>IF(B17="","",IFERROR(INDEX('Sản phẩm'!$B$5:$B$304,MATCH(B17,'Sản phẩm'!$A$5:$A$304,0)),""))</f>
        <v/>
      </c>
      <c r="D17" s="12" t="n"/>
      <c r="E17" s="11" t="n"/>
      <c r="F17" s="16">
        <f>IF(OR(D17="",E17=""),"",D17*E17)</f>
        <v/>
      </c>
      <c r="G17" s="10" t="n"/>
      <c r="H17" s="14">
        <f>IF(A17="","",MONTH(A17))</f>
        <v/>
      </c>
      <c r="I17" s="14">
        <f>IF(A17="","",YEAR(A17))</f>
        <v/>
      </c>
    </row>
    <row r="18">
      <c r="A18" s="15" t="n"/>
      <c r="B18" s="10" t="n"/>
      <c r="C18" s="14">
        <f>IF(B18="","",IFERROR(INDEX('Sản phẩm'!$B$5:$B$304,MATCH(B18,'Sản phẩm'!$A$5:$A$304,0)),""))</f>
        <v/>
      </c>
      <c r="D18" s="12" t="n"/>
      <c r="E18" s="11" t="n"/>
      <c r="F18" s="16">
        <f>IF(OR(D18="",E18=""),"",D18*E18)</f>
        <v/>
      </c>
      <c r="G18" s="10" t="n"/>
      <c r="H18" s="14">
        <f>IF(A18="","",MONTH(A18))</f>
        <v/>
      </c>
      <c r="I18" s="14">
        <f>IF(A18="","",YEAR(A18))</f>
        <v/>
      </c>
    </row>
    <row r="19">
      <c r="A19" s="15" t="n"/>
      <c r="B19" s="10" t="n"/>
      <c r="C19" s="14">
        <f>IF(B19="","",IFERROR(INDEX('Sản phẩm'!$B$5:$B$304,MATCH(B19,'Sản phẩm'!$A$5:$A$304,0)),""))</f>
        <v/>
      </c>
      <c r="D19" s="12" t="n"/>
      <c r="E19" s="11" t="n"/>
      <c r="F19" s="16">
        <f>IF(OR(D19="",E19=""),"",D19*E19)</f>
        <v/>
      </c>
      <c r="G19" s="10" t="n"/>
      <c r="H19" s="14">
        <f>IF(A19="","",MONTH(A19))</f>
        <v/>
      </c>
      <c r="I19" s="14">
        <f>IF(A19="","",YEAR(A19))</f>
        <v/>
      </c>
    </row>
    <row r="20">
      <c r="A20" s="15" t="n"/>
      <c r="B20" s="10" t="n"/>
      <c r="C20" s="14">
        <f>IF(B20="","",IFERROR(INDEX('Sản phẩm'!$B$5:$B$304,MATCH(B20,'Sản phẩm'!$A$5:$A$304,0)),""))</f>
        <v/>
      </c>
      <c r="D20" s="12" t="n"/>
      <c r="E20" s="11" t="n"/>
      <c r="F20" s="16">
        <f>IF(OR(D20="",E20=""),"",D20*E20)</f>
        <v/>
      </c>
      <c r="G20" s="10" t="n"/>
      <c r="H20" s="14">
        <f>IF(A20="","",MONTH(A20))</f>
        <v/>
      </c>
      <c r="I20" s="14">
        <f>IF(A20="","",YEAR(A20))</f>
        <v/>
      </c>
    </row>
    <row r="21">
      <c r="A21" s="15" t="n"/>
      <c r="B21" s="10" t="n"/>
      <c r="C21" s="14">
        <f>IF(B21="","",IFERROR(INDEX('Sản phẩm'!$B$5:$B$304,MATCH(B21,'Sản phẩm'!$A$5:$A$304,0)),""))</f>
        <v/>
      </c>
      <c r="D21" s="12" t="n"/>
      <c r="E21" s="11" t="n"/>
      <c r="F21" s="16">
        <f>IF(OR(D21="",E21=""),"",D21*E21)</f>
        <v/>
      </c>
      <c r="G21" s="10" t="n"/>
      <c r="H21" s="14">
        <f>IF(A21="","",MONTH(A21))</f>
        <v/>
      </c>
      <c r="I21" s="14">
        <f>IF(A21="","",YEAR(A21))</f>
        <v/>
      </c>
    </row>
    <row r="22">
      <c r="A22" s="15" t="n"/>
      <c r="B22" s="10" t="n"/>
      <c r="C22" s="14">
        <f>IF(B22="","",IFERROR(INDEX('Sản phẩm'!$B$5:$B$304,MATCH(B22,'Sản phẩm'!$A$5:$A$304,0)),""))</f>
        <v/>
      </c>
      <c r="D22" s="12" t="n"/>
      <c r="E22" s="11" t="n"/>
      <c r="F22" s="16">
        <f>IF(OR(D22="",E22=""),"",D22*E22)</f>
        <v/>
      </c>
      <c r="G22" s="10" t="n"/>
      <c r="H22" s="14">
        <f>IF(A22="","",MONTH(A22))</f>
        <v/>
      </c>
      <c r="I22" s="14">
        <f>IF(A22="","",YEAR(A22))</f>
        <v/>
      </c>
    </row>
    <row r="23">
      <c r="A23" s="15" t="n"/>
      <c r="B23" s="10" t="n"/>
      <c r="C23" s="14">
        <f>IF(B23="","",IFERROR(INDEX('Sản phẩm'!$B$5:$B$304,MATCH(B23,'Sản phẩm'!$A$5:$A$304,0)),""))</f>
        <v/>
      </c>
      <c r="D23" s="12" t="n"/>
      <c r="E23" s="11" t="n"/>
      <c r="F23" s="16">
        <f>IF(OR(D23="",E23=""),"",D23*E23)</f>
        <v/>
      </c>
      <c r="G23" s="10" t="n"/>
      <c r="H23" s="14">
        <f>IF(A23="","",MONTH(A23))</f>
        <v/>
      </c>
      <c r="I23" s="14">
        <f>IF(A23="","",YEAR(A23))</f>
        <v/>
      </c>
    </row>
    <row r="24">
      <c r="A24" s="15" t="n"/>
      <c r="B24" s="10" t="n"/>
      <c r="C24" s="14">
        <f>IF(B24="","",IFERROR(INDEX('Sản phẩm'!$B$5:$B$304,MATCH(B24,'Sản phẩm'!$A$5:$A$304,0)),""))</f>
        <v/>
      </c>
      <c r="D24" s="12" t="n"/>
      <c r="E24" s="11" t="n"/>
      <c r="F24" s="16">
        <f>IF(OR(D24="",E24=""),"",D24*E24)</f>
        <v/>
      </c>
      <c r="G24" s="10" t="n"/>
      <c r="H24" s="14">
        <f>IF(A24="","",MONTH(A24))</f>
        <v/>
      </c>
      <c r="I24" s="14">
        <f>IF(A24="","",YEAR(A24))</f>
        <v/>
      </c>
    </row>
    <row r="25">
      <c r="A25" s="15" t="n"/>
      <c r="B25" s="10" t="n"/>
      <c r="C25" s="14">
        <f>IF(B25="","",IFERROR(INDEX('Sản phẩm'!$B$5:$B$304,MATCH(B25,'Sản phẩm'!$A$5:$A$304,0)),""))</f>
        <v/>
      </c>
      <c r="D25" s="12" t="n"/>
      <c r="E25" s="11" t="n"/>
      <c r="F25" s="16">
        <f>IF(OR(D25="",E25=""),"",D25*E25)</f>
        <v/>
      </c>
      <c r="G25" s="10" t="n"/>
      <c r="H25" s="14">
        <f>IF(A25="","",MONTH(A25))</f>
        <v/>
      </c>
      <c r="I25" s="14">
        <f>IF(A25="","",YEAR(A25))</f>
        <v/>
      </c>
    </row>
    <row r="26">
      <c r="A26" s="15" t="n"/>
      <c r="B26" s="10" t="n"/>
      <c r="C26" s="14">
        <f>IF(B26="","",IFERROR(INDEX('Sản phẩm'!$B$5:$B$304,MATCH(B26,'Sản phẩm'!$A$5:$A$304,0)),""))</f>
        <v/>
      </c>
      <c r="D26" s="12" t="n"/>
      <c r="E26" s="11" t="n"/>
      <c r="F26" s="16">
        <f>IF(OR(D26="",E26=""),"",D26*E26)</f>
        <v/>
      </c>
      <c r="G26" s="10" t="n"/>
      <c r="H26" s="14">
        <f>IF(A26="","",MONTH(A26))</f>
        <v/>
      </c>
      <c r="I26" s="14">
        <f>IF(A26="","",YEAR(A26))</f>
        <v/>
      </c>
    </row>
    <row r="27">
      <c r="A27" s="15" t="n"/>
      <c r="B27" s="10" t="n"/>
      <c r="C27" s="14">
        <f>IF(B27="","",IFERROR(INDEX('Sản phẩm'!$B$5:$B$304,MATCH(B27,'Sản phẩm'!$A$5:$A$304,0)),""))</f>
        <v/>
      </c>
      <c r="D27" s="12" t="n"/>
      <c r="E27" s="11" t="n"/>
      <c r="F27" s="16">
        <f>IF(OR(D27="",E27=""),"",D27*E27)</f>
        <v/>
      </c>
      <c r="G27" s="10" t="n"/>
      <c r="H27" s="14">
        <f>IF(A27="","",MONTH(A27))</f>
        <v/>
      </c>
      <c r="I27" s="14">
        <f>IF(A27="","",YEAR(A27))</f>
        <v/>
      </c>
    </row>
    <row r="28">
      <c r="A28" s="15" t="n"/>
      <c r="B28" s="10" t="n"/>
      <c r="C28" s="14">
        <f>IF(B28="","",IFERROR(INDEX('Sản phẩm'!$B$5:$B$304,MATCH(B28,'Sản phẩm'!$A$5:$A$304,0)),""))</f>
        <v/>
      </c>
      <c r="D28" s="12" t="n"/>
      <c r="E28" s="11" t="n"/>
      <c r="F28" s="16">
        <f>IF(OR(D28="",E28=""),"",D28*E28)</f>
        <v/>
      </c>
      <c r="G28" s="10" t="n"/>
      <c r="H28" s="14">
        <f>IF(A28="","",MONTH(A28))</f>
        <v/>
      </c>
      <c r="I28" s="14">
        <f>IF(A28="","",YEAR(A28))</f>
        <v/>
      </c>
    </row>
    <row r="29">
      <c r="A29" s="15" t="n"/>
      <c r="B29" s="10" t="n"/>
      <c r="C29" s="14">
        <f>IF(B29="","",IFERROR(INDEX('Sản phẩm'!$B$5:$B$304,MATCH(B29,'Sản phẩm'!$A$5:$A$304,0)),""))</f>
        <v/>
      </c>
      <c r="D29" s="12" t="n"/>
      <c r="E29" s="11" t="n"/>
      <c r="F29" s="16">
        <f>IF(OR(D29="",E29=""),"",D29*E29)</f>
        <v/>
      </c>
      <c r="G29" s="10" t="n"/>
      <c r="H29" s="14">
        <f>IF(A29="","",MONTH(A29))</f>
        <v/>
      </c>
      <c r="I29" s="14">
        <f>IF(A29="","",YEAR(A29))</f>
        <v/>
      </c>
    </row>
    <row r="30">
      <c r="A30" s="15" t="n"/>
      <c r="B30" s="10" t="n"/>
      <c r="C30" s="14">
        <f>IF(B30="","",IFERROR(INDEX('Sản phẩm'!$B$5:$B$304,MATCH(B30,'Sản phẩm'!$A$5:$A$304,0)),""))</f>
        <v/>
      </c>
      <c r="D30" s="12" t="n"/>
      <c r="E30" s="11" t="n"/>
      <c r="F30" s="16">
        <f>IF(OR(D30="",E30=""),"",D30*E30)</f>
        <v/>
      </c>
      <c r="G30" s="10" t="n"/>
      <c r="H30" s="14">
        <f>IF(A30="","",MONTH(A30))</f>
        <v/>
      </c>
      <c r="I30" s="14">
        <f>IF(A30="","",YEAR(A30))</f>
        <v/>
      </c>
    </row>
    <row r="31">
      <c r="A31" s="15" t="n"/>
      <c r="B31" s="10" t="n"/>
      <c r="C31" s="14">
        <f>IF(B31="","",IFERROR(INDEX('Sản phẩm'!$B$5:$B$304,MATCH(B31,'Sản phẩm'!$A$5:$A$304,0)),""))</f>
        <v/>
      </c>
      <c r="D31" s="12" t="n"/>
      <c r="E31" s="11" t="n"/>
      <c r="F31" s="16">
        <f>IF(OR(D31="",E31=""),"",D31*E31)</f>
        <v/>
      </c>
      <c r="G31" s="10" t="n"/>
      <c r="H31" s="14">
        <f>IF(A31="","",MONTH(A31))</f>
        <v/>
      </c>
      <c r="I31" s="14">
        <f>IF(A31="","",YEAR(A31))</f>
        <v/>
      </c>
    </row>
    <row r="32">
      <c r="A32" s="15" t="n"/>
      <c r="B32" s="10" t="n"/>
      <c r="C32" s="14">
        <f>IF(B32="","",IFERROR(INDEX('Sản phẩm'!$B$5:$B$304,MATCH(B32,'Sản phẩm'!$A$5:$A$304,0)),""))</f>
        <v/>
      </c>
      <c r="D32" s="12" t="n"/>
      <c r="E32" s="11" t="n"/>
      <c r="F32" s="16">
        <f>IF(OR(D32="",E32=""),"",D32*E32)</f>
        <v/>
      </c>
      <c r="G32" s="10" t="n"/>
      <c r="H32" s="14">
        <f>IF(A32="","",MONTH(A32))</f>
        <v/>
      </c>
      <c r="I32" s="14">
        <f>IF(A32="","",YEAR(A32))</f>
        <v/>
      </c>
    </row>
    <row r="33">
      <c r="A33" s="15" t="n"/>
      <c r="B33" s="10" t="n"/>
      <c r="C33" s="14">
        <f>IF(B33="","",IFERROR(INDEX('Sản phẩm'!$B$5:$B$304,MATCH(B33,'Sản phẩm'!$A$5:$A$304,0)),""))</f>
        <v/>
      </c>
      <c r="D33" s="12" t="n"/>
      <c r="E33" s="11" t="n"/>
      <c r="F33" s="16">
        <f>IF(OR(D33="",E33=""),"",D33*E33)</f>
        <v/>
      </c>
      <c r="G33" s="10" t="n"/>
      <c r="H33" s="14">
        <f>IF(A33="","",MONTH(A33))</f>
        <v/>
      </c>
      <c r="I33" s="14">
        <f>IF(A33="","",YEAR(A33))</f>
        <v/>
      </c>
    </row>
    <row r="34">
      <c r="A34" s="15" t="n"/>
      <c r="B34" s="10" t="n"/>
      <c r="C34" s="14">
        <f>IF(B34="","",IFERROR(INDEX('Sản phẩm'!$B$5:$B$304,MATCH(B34,'Sản phẩm'!$A$5:$A$304,0)),""))</f>
        <v/>
      </c>
      <c r="D34" s="12" t="n"/>
      <c r="E34" s="11" t="n"/>
      <c r="F34" s="16">
        <f>IF(OR(D34="",E34=""),"",D34*E34)</f>
        <v/>
      </c>
      <c r="G34" s="10" t="n"/>
      <c r="H34" s="14">
        <f>IF(A34="","",MONTH(A34))</f>
        <v/>
      </c>
      <c r="I34" s="14">
        <f>IF(A34="","",YEAR(A34))</f>
        <v/>
      </c>
    </row>
    <row r="35">
      <c r="A35" s="15" t="n"/>
      <c r="B35" s="10" t="n"/>
      <c r="C35" s="14">
        <f>IF(B35="","",IFERROR(INDEX('Sản phẩm'!$B$5:$B$304,MATCH(B35,'Sản phẩm'!$A$5:$A$304,0)),""))</f>
        <v/>
      </c>
      <c r="D35" s="12" t="n"/>
      <c r="E35" s="11" t="n"/>
      <c r="F35" s="16">
        <f>IF(OR(D35="",E35=""),"",D35*E35)</f>
        <v/>
      </c>
      <c r="G35" s="10" t="n"/>
      <c r="H35" s="14">
        <f>IF(A35="","",MONTH(A35))</f>
        <v/>
      </c>
      <c r="I35" s="14">
        <f>IF(A35="","",YEAR(A35))</f>
        <v/>
      </c>
    </row>
    <row r="36">
      <c r="A36" s="15" t="n"/>
      <c r="B36" s="10" t="n"/>
      <c r="C36" s="14">
        <f>IF(B36="","",IFERROR(INDEX('Sản phẩm'!$B$5:$B$304,MATCH(B36,'Sản phẩm'!$A$5:$A$304,0)),""))</f>
        <v/>
      </c>
      <c r="D36" s="12" t="n"/>
      <c r="E36" s="11" t="n"/>
      <c r="F36" s="16">
        <f>IF(OR(D36="",E36=""),"",D36*E36)</f>
        <v/>
      </c>
      <c r="G36" s="10" t="n"/>
      <c r="H36" s="14">
        <f>IF(A36="","",MONTH(A36))</f>
        <v/>
      </c>
      <c r="I36" s="14">
        <f>IF(A36="","",YEAR(A36))</f>
        <v/>
      </c>
    </row>
    <row r="37">
      <c r="A37" s="15" t="n"/>
      <c r="B37" s="10" t="n"/>
      <c r="C37" s="14">
        <f>IF(B37="","",IFERROR(INDEX('Sản phẩm'!$B$5:$B$304,MATCH(B37,'Sản phẩm'!$A$5:$A$304,0)),""))</f>
        <v/>
      </c>
      <c r="D37" s="12" t="n"/>
      <c r="E37" s="11" t="n"/>
      <c r="F37" s="16">
        <f>IF(OR(D37="",E37=""),"",D37*E37)</f>
        <v/>
      </c>
      <c r="G37" s="10" t="n"/>
      <c r="H37" s="14">
        <f>IF(A37="","",MONTH(A37))</f>
        <v/>
      </c>
      <c r="I37" s="14">
        <f>IF(A37="","",YEAR(A37))</f>
        <v/>
      </c>
    </row>
    <row r="38">
      <c r="A38" s="15" t="n"/>
      <c r="B38" s="10" t="n"/>
      <c r="C38" s="14">
        <f>IF(B38="","",IFERROR(INDEX('Sản phẩm'!$B$5:$B$304,MATCH(B38,'Sản phẩm'!$A$5:$A$304,0)),""))</f>
        <v/>
      </c>
      <c r="D38" s="12" t="n"/>
      <c r="E38" s="11" t="n"/>
      <c r="F38" s="16">
        <f>IF(OR(D38="",E38=""),"",D38*E38)</f>
        <v/>
      </c>
      <c r="G38" s="10" t="n"/>
      <c r="H38" s="14">
        <f>IF(A38="","",MONTH(A38))</f>
        <v/>
      </c>
      <c r="I38" s="14">
        <f>IF(A38="","",YEAR(A38))</f>
        <v/>
      </c>
    </row>
    <row r="39">
      <c r="A39" s="15" t="n"/>
      <c r="B39" s="10" t="n"/>
      <c r="C39" s="14">
        <f>IF(B39="","",IFERROR(INDEX('Sản phẩm'!$B$5:$B$304,MATCH(B39,'Sản phẩm'!$A$5:$A$304,0)),""))</f>
        <v/>
      </c>
      <c r="D39" s="12" t="n"/>
      <c r="E39" s="11" t="n"/>
      <c r="F39" s="16">
        <f>IF(OR(D39="",E39=""),"",D39*E39)</f>
        <v/>
      </c>
      <c r="G39" s="10" t="n"/>
      <c r="H39" s="14">
        <f>IF(A39="","",MONTH(A39))</f>
        <v/>
      </c>
      <c r="I39" s="14">
        <f>IF(A39="","",YEAR(A39))</f>
        <v/>
      </c>
    </row>
    <row r="40">
      <c r="A40" s="15" t="n"/>
      <c r="B40" s="10" t="n"/>
      <c r="C40" s="14">
        <f>IF(B40="","",IFERROR(INDEX('Sản phẩm'!$B$5:$B$304,MATCH(B40,'Sản phẩm'!$A$5:$A$304,0)),""))</f>
        <v/>
      </c>
      <c r="D40" s="12" t="n"/>
      <c r="E40" s="11" t="n"/>
      <c r="F40" s="16">
        <f>IF(OR(D40="",E40=""),"",D40*E40)</f>
        <v/>
      </c>
      <c r="G40" s="10" t="n"/>
      <c r="H40" s="14">
        <f>IF(A40="","",MONTH(A40))</f>
        <v/>
      </c>
      <c r="I40" s="14">
        <f>IF(A40="","",YEAR(A40))</f>
        <v/>
      </c>
    </row>
    <row r="41">
      <c r="A41" s="15" t="n"/>
      <c r="B41" s="10" t="n"/>
      <c r="C41" s="14">
        <f>IF(B41="","",IFERROR(INDEX('Sản phẩm'!$B$5:$B$304,MATCH(B41,'Sản phẩm'!$A$5:$A$304,0)),""))</f>
        <v/>
      </c>
      <c r="D41" s="12" t="n"/>
      <c r="E41" s="11" t="n"/>
      <c r="F41" s="16">
        <f>IF(OR(D41="",E41=""),"",D41*E41)</f>
        <v/>
      </c>
      <c r="G41" s="10" t="n"/>
      <c r="H41" s="14">
        <f>IF(A41="","",MONTH(A41))</f>
        <v/>
      </c>
      <c r="I41" s="14">
        <f>IF(A41="","",YEAR(A41))</f>
        <v/>
      </c>
    </row>
    <row r="42">
      <c r="A42" s="15" t="n"/>
      <c r="B42" s="10" t="n"/>
      <c r="C42" s="14">
        <f>IF(B42="","",IFERROR(INDEX('Sản phẩm'!$B$5:$B$304,MATCH(B42,'Sản phẩm'!$A$5:$A$304,0)),""))</f>
        <v/>
      </c>
      <c r="D42" s="12" t="n"/>
      <c r="E42" s="11" t="n"/>
      <c r="F42" s="16">
        <f>IF(OR(D42="",E42=""),"",D42*E42)</f>
        <v/>
      </c>
      <c r="G42" s="10" t="n"/>
      <c r="H42" s="14">
        <f>IF(A42="","",MONTH(A42))</f>
        <v/>
      </c>
      <c r="I42" s="14">
        <f>IF(A42="","",YEAR(A42))</f>
        <v/>
      </c>
    </row>
    <row r="43">
      <c r="A43" s="15" t="n"/>
      <c r="B43" s="10" t="n"/>
      <c r="C43" s="14">
        <f>IF(B43="","",IFERROR(INDEX('Sản phẩm'!$B$5:$B$304,MATCH(B43,'Sản phẩm'!$A$5:$A$304,0)),""))</f>
        <v/>
      </c>
      <c r="D43" s="12" t="n"/>
      <c r="E43" s="11" t="n"/>
      <c r="F43" s="16">
        <f>IF(OR(D43="",E43=""),"",D43*E43)</f>
        <v/>
      </c>
      <c r="G43" s="10" t="n"/>
      <c r="H43" s="14">
        <f>IF(A43="","",MONTH(A43))</f>
        <v/>
      </c>
      <c r="I43" s="14">
        <f>IF(A43="","",YEAR(A43))</f>
        <v/>
      </c>
    </row>
    <row r="44">
      <c r="A44" s="15" t="n"/>
      <c r="B44" s="10" t="n"/>
      <c r="C44" s="14">
        <f>IF(B44="","",IFERROR(INDEX('Sản phẩm'!$B$5:$B$304,MATCH(B44,'Sản phẩm'!$A$5:$A$304,0)),""))</f>
        <v/>
      </c>
      <c r="D44" s="12" t="n"/>
      <c r="E44" s="11" t="n"/>
      <c r="F44" s="16">
        <f>IF(OR(D44="",E44=""),"",D44*E44)</f>
        <v/>
      </c>
      <c r="G44" s="10" t="n"/>
      <c r="H44" s="14">
        <f>IF(A44="","",MONTH(A44))</f>
        <v/>
      </c>
      <c r="I44" s="14">
        <f>IF(A44="","",YEAR(A44))</f>
        <v/>
      </c>
    </row>
    <row r="45">
      <c r="A45" s="15" t="n"/>
      <c r="B45" s="10" t="n"/>
      <c r="C45" s="14">
        <f>IF(B45="","",IFERROR(INDEX('Sản phẩm'!$B$5:$B$304,MATCH(B45,'Sản phẩm'!$A$5:$A$304,0)),""))</f>
        <v/>
      </c>
      <c r="D45" s="12" t="n"/>
      <c r="E45" s="11" t="n"/>
      <c r="F45" s="16">
        <f>IF(OR(D45="",E45=""),"",D45*E45)</f>
        <v/>
      </c>
      <c r="G45" s="10" t="n"/>
      <c r="H45" s="14">
        <f>IF(A45="","",MONTH(A45))</f>
        <v/>
      </c>
      <c r="I45" s="14">
        <f>IF(A45="","",YEAR(A45))</f>
        <v/>
      </c>
    </row>
    <row r="46">
      <c r="A46" s="15" t="n"/>
      <c r="B46" s="10" t="n"/>
      <c r="C46" s="14">
        <f>IF(B46="","",IFERROR(INDEX('Sản phẩm'!$B$5:$B$304,MATCH(B46,'Sản phẩm'!$A$5:$A$304,0)),""))</f>
        <v/>
      </c>
      <c r="D46" s="12" t="n"/>
      <c r="E46" s="11" t="n"/>
      <c r="F46" s="16">
        <f>IF(OR(D46="",E46=""),"",D46*E46)</f>
        <v/>
      </c>
      <c r="G46" s="10" t="n"/>
      <c r="H46" s="14">
        <f>IF(A46="","",MONTH(A46))</f>
        <v/>
      </c>
      <c r="I46" s="14">
        <f>IF(A46="","",YEAR(A46))</f>
        <v/>
      </c>
    </row>
    <row r="47">
      <c r="A47" s="15" t="n"/>
      <c r="B47" s="10" t="n"/>
      <c r="C47" s="14">
        <f>IF(B47="","",IFERROR(INDEX('Sản phẩm'!$B$5:$B$304,MATCH(B47,'Sản phẩm'!$A$5:$A$304,0)),""))</f>
        <v/>
      </c>
      <c r="D47" s="12" t="n"/>
      <c r="E47" s="11" t="n"/>
      <c r="F47" s="16">
        <f>IF(OR(D47="",E47=""),"",D47*E47)</f>
        <v/>
      </c>
      <c r="G47" s="10" t="n"/>
      <c r="H47" s="14">
        <f>IF(A47="","",MONTH(A47))</f>
        <v/>
      </c>
      <c r="I47" s="14">
        <f>IF(A47="","",YEAR(A47))</f>
        <v/>
      </c>
    </row>
    <row r="48">
      <c r="A48" s="15" t="n"/>
      <c r="B48" s="10" t="n"/>
      <c r="C48" s="14">
        <f>IF(B48="","",IFERROR(INDEX('Sản phẩm'!$B$5:$B$304,MATCH(B48,'Sản phẩm'!$A$5:$A$304,0)),""))</f>
        <v/>
      </c>
      <c r="D48" s="12" t="n"/>
      <c r="E48" s="11" t="n"/>
      <c r="F48" s="16">
        <f>IF(OR(D48="",E48=""),"",D48*E48)</f>
        <v/>
      </c>
      <c r="G48" s="10" t="n"/>
      <c r="H48" s="14">
        <f>IF(A48="","",MONTH(A48))</f>
        <v/>
      </c>
      <c r="I48" s="14">
        <f>IF(A48="","",YEAR(A48))</f>
        <v/>
      </c>
    </row>
    <row r="49">
      <c r="A49" s="15" t="n"/>
      <c r="B49" s="10" t="n"/>
      <c r="C49" s="14">
        <f>IF(B49="","",IFERROR(INDEX('Sản phẩm'!$B$5:$B$304,MATCH(B49,'Sản phẩm'!$A$5:$A$304,0)),""))</f>
        <v/>
      </c>
      <c r="D49" s="12" t="n"/>
      <c r="E49" s="11" t="n"/>
      <c r="F49" s="16">
        <f>IF(OR(D49="",E49=""),"",D49*E49)</f>
        <v/>
      </c>
      <c r="G49" s="10" t="n"/>
      <c r="H49" s="14">
        <f>IF(A49="","",MONTH(A49))</f>
        <v/>
      </c>
      <c r="I49" s="14">
        <f>IF(A49="","",YEAR(A49))</f>
        <v/>
      </c>
    </row>
    <row r="50">
      <c r="A50" s="15" t="n"/>
      <c r="B50" s="10" t="n"/>
      <c r="C50" s="14">
        <f>IF(B50="","",IFERROR(INDEX('Sản phẩm'!$B$5:$B$304,MATCH(B50,'Sản phẩm'!$A$5:$A$304,0)),""))</f>
        <v/>
      </c>
      <c r="D50" s="12" t="n"/>
      <c r="E50" s="11" t="n"/>
      <c r="F50" s="16">
        <f>IF(OR(D50="",E50=""),"",D50*E50)</f>
        <v/>
      </c>
      <c r="G50" s="10" t="n"/>
      <c r="H50" s="14">
        <f>IF(A50="","",MONTH(A50))</f>
        <v/>
      </c>
      <c r="I50" s="14">
        <f>IF(A50="","",YEAR(A50))</f>
        <v/>
      </c>
    </row>
    <row r="51">
      <c r="A51" s="15" t="n"/>
      <c r="B51" s="10" t="n"/>
      <c r="C51" s="14">
        <f>IF(B51="","",IFERROR(INDEX('Sản phẩm'!$B$5:$B$304,MATCH(B51,'Sản phẩm'!$A$5:$A$304,0)),""))</f>
        <v/>
      </c>
      <c r="D51" s="12" t="n"/>
      <c r="E51" s="11" t="n"/>
      <c r="F51" s="16">
        <f>IF(OR(D51="",E51=""),"",D51*E51)</f>
        <v/>
      </c>
      <c r="G51" s="10" t="n"/>
      <c r="H51" s="14">
        <f>IF(A51="","",MONTH(A51))</f>
        <v/>
      </c>
      <c r="I51" s="14">
        <f>IF(A51="","",YEAR(A51))</f>
        <v/>
      </c>
    </row>
    <row r="52">
      <c r="A52" s="15" t="n"/>
      <c r="B52" s="10" t="n"/>
      <c r="C52" s="14">
        <f>IF(B52="","",IFERROR(INDEX('Sản phẩm'!$B$5:$B$304,MATCH(B52,'Sản phẩm'!$A$5:$A$304,0)),""))</f>
        <v/>
      </c>
      <c r="D52" s="12" t="n"/>
      <c r="E52" s="11" t="n"/>
      <c r="F52" s="16">
        <f>IF(OR(D52="",E52=""),"",D52*E52)</f>
        <v/>
      </c>
      <c r="G52" s="10" t="n"/>
      <c r="H52" s="14">
        <f>IF(A52="","",MONTH(A52))</f>
        <v/>
      </c>
      <c r="I52" s="14">
        <f>IF(A52="","",YEAR(A52))</f>
        <v/>
      </c>
    </row>
    <row r="53">
      <c r="A53" s="15" t="n"/>
      <c r="B53" s="10" t="n"/>
      <c r="C53" s="14">
        <f>IF(B53="","",IFERROR(INDEX('Sản phẩm'!$B$5:$B$304,MATCH(B53,'Sản phẩm'!$A$5:$A$304,0)),""))</f>
        <v/>
      </c>
      <c r="D53" s="12" t="n"/>
      <c r="E53" s="11" t="n"/>
      <c r="F53" s="16">
        <f>IF(OR(D53="",E53=""),"",D53*E53)</f>
        <v/>
      </c>
      <c r="G53" s="10" t="n"/>
      <c r="H53" s="14">
        <f>IF(A53="","",MONTH(A53))</f>
        <v/>
      </c>
      <c r="I53" s="14">
        <f>IF(A53="","",YEAR(A53))</f>
        <v/>
      </c>
    </row>
    <row r="54">
      <c r="A54" s="15" t="n"/>
      <c r="B54" s="10" t="n"/>
      <c r="C54" s="14">
        <f>IF(B54="","",IFERROR(INDEX('Sản phẩm'!$B$5:$B$304,MATCH(B54,'Sản phẩm'!$A$5:$A$304,0)),""))</f>
        <v/>
      </c>
      <c r="D54" s="12" t="n"/>
      <c r="E54" s="11" t="n"/>
      <c r="F54" s="16">
        <f>IF(OR(D54="",E54=""),"",D54*E54)</f>
        <v/>
      </c>
      <c r="G54" s="10" t="n"/>
      <c r="H54" s="14">
        <f>IF(A54="","",MONTH(A54))</f>
        <v/>
      </c>
      <c r="I54" s="14">
        <f>IF(A54="","",YEAR(A54))</f>
        <v/>
      </c>
    </row>
    <row r="55">
      <c r="A55" s="15" t="n"/>
      <c r="B55" s="10" t="n"/>
      <c r="C55" s="14">
        <f>IF(B55="","",IFERROR(INDEX('Sản phẩm'!$B$5:$B$304,MATCH(B55,'Sản phẩm'!$A$5:$A$304,0)),""))</f>
        <v/>
      </c>
      <c r="D55" s="12" t="n"/>
      <c r="E55" s="11" t="n"/>
      <c r="F55" s="16">
        <f>IF(OR(D55="",E55=""),"",D55*E55)</f>
        <v/>
      </c>
      <c r="G55" s="10" t="n"/>
      <c r="H55" s="14">
        <f>IF(A55="","",MONTH(A55))</f>
        <v/>
      </c>
      <c r="I55" s="14">
        <f>IF(A55="","",YEAR(A55))</f>
        <v/>
      </c>
    </row>
    <row r="56">
      <c r="A56" s="15" t="n"/>
      <c r="B56" s="10" t="n"/>
      <c r="C56" s="14">
        <f>IF(B56="","",IFERROR(INDEX('Sản phẩm'!$B$5:$B$304,MATCH(B56,'Sản phẩm'!$A$5:$A$304,0)),""))</f>
        <v/>
      </c>
      <c r="D56" s="12" t="n"/>
      <c r="E56" s="11" t="n"/>
      <c r="F56" s="16">
        <f>IF(OR(D56="",E56=""),"",D56*E56)</f>
        <v/>
      </c>
      <c r="G56" s="10" t="n"/>
      <c r="H56" s="14">
        <f>IF(A56="","",MONTH(A56))</f>
        <v/>
      </c>
      <c r="I56" s="14">
        <f>IF(A56="","",YEAR(A56))</f>
        <v/>
      </c>
    </row>
    <row r="57">
      <c r="A57" s="15" t="n"/>
      <c r="B57" s="10" t="n"/>
      <c r="C57" s="14">
        <f>IF(B57="","",IFERROR(INDEX('Sản phẩm'!$B$5:$B$304,MATCH(B57,'Sản phẩm'!$A$5:$A$304,0)),""))</f>
        <v/>
      </c>
      <c r="D57" s="12" t="n"/>
      <c r="E57" s="11" t="n"/>
      <c r="F57" s="16">
        <f>IF(OR(D57="",E57=""),"",D57*E57)</f>
        <v/>
      </c>
      <c r="G57" s="10" t="n"/>
      <c r="H57" s="14">
        <f>IF(A57="","",MONTH(A57))</f>
        <v/>
      </c>
      <c r="I57" s="14">
        <f>IF(A57="","",YEAR(A57))</f>
        <v/>
      </c>
    </row>
    <row r="58">
      <c r="A58" s="15" t="n"/>
      <c r="B58" s="10" t="n"/>
      <c r="C58" s="14">
        <f>IF(B58="","",IFERROR(INDEX('Sản phẩm'!$B$5:$B$304,MATCH(B58,'Sản phẩm'!$A$5:$A$304,0)),""))</f>
        <v/>
      </c>
      <c r="D58" s="12" t="n"/>
      <c r="E58" s="11" t="n"/>
      <c r="F58" s="16">
        <f>IF(OR(D58="",E58=""),"",D58*E58)</f>
        <v/>
      </c>
      <c r="G58" s="10" t="n"/>
      <c r="H58" s="14">
        <f>IF(A58="","",MONTH(A58))</f>
        <v/>
      </c>
      <c r="I58" s="14">
        <f>IF(A58="","",YEAR(A58))</f>
        <v/>
      </c>
    </row>
    <row r="59">
      <c r="A59" s="15" t="n"/>
      <c r="B59" s="10" t="n"/>
      <c r="C59" s="14">
        <f>IF(B59="","",IFERROR(INDEX('Sản phẩm'!$B$5:$B$304,MATCH(B59,'Sản phẩm'!$A$5:$A$304,0)),""))</f>
        <v/>
      </c>
      <c r="D59" s="12" t="n"/>
      <c r="E59" s="11" t="n"/>
      <c r="F59" s="16">
        <f>IF(OR(D59="",E59=""),"",D59*E59)</f>
        <v/>
      </c>
      <c r="G59" s="10" t="n"/>
      <c r="H59" s="14">
        <f>IF(A59="","",MONTH(A59))</f>
        <v/>
      </c>
      <c r="I59" s="14">
        <f>IF(A59="","",YEAR(A59))</f>
        <v/>
      </c>
    </row>
    <row r="60">
      <c r="A60" s="15" t="n"/>
      <c r="B60" s="10" t="n"/>
      <c r="C60" s="14">
        <f>IF(B60="","",IFERROR(INDEX('Sản phẩm'!$B$5:$B$304,MATCH(B60,'Sản phẩm'!$A$5:$A$304,0)),""))</f>
        <v/>
      </c>
      <c r="D60" s="12" t="n"/>
      <c r="E60" s="11" t="n"/>
      <c r="F60" s="16">
        <f>IF(OR(D60="",E60=""),"",D60*E60)</f>
        <v/>
      </c>
      <c r="G60" s="10" t="n"/>
      <c r="H60" s="14">
        <f>IF(A60="","",MONTH(A60))</f>
        <v/>
      </c>
      <c r="I60" s="14">
        <f>IF(A60="","",YEAR(A60))</f>
        <v/>
      </c>
    </row>
    <row r="61">
      <c r="A61" s="15" t="n"/>
      <c r="B61" s="10" t="n"/>
      <c r="C61" s="14">
        <f>IF(B61="","",IFERROR(INDEX('Sản phẩm'!$B$5:$B$304,MATCH(B61,'Sản phẩm'!$A$5:$A$304,0)),""))</f>
        <v/>
      </c>
      <c r="D61" s="12" t="n"/>
      <c r="E61" s="11" t="n"/>
      <c r="F61" s="16">
        <f>IF(OR(D61="",E61=""),"",D61*E61)</f>
        <v/>
      </c>
      <c r="G61" s="10" t="n"/>
      <c r="H61" s="14">
        <f>IF(A61="","",MONTH(A61))</f>
        <v/>
      </c>
      <c r="I61" s="14">
        <f>IF(A61="","",YEAR(A61))</f>
        <v/>
      </c>
    </row>
    <row r="62">
      <c r="A62" s="15" t="n"/>
      <c r="B62" s="10" t="n"/>
      <c r="C62" s="14">
        <f>IF(B62="","",IFERROR(INDEX('Sản phẩm'!$B$5:$B$304,MATCH(B62,'Sản phẩm'!$A$5:$A$304,0)),""))</f>
        <v/>
      </c>
      <c r="D62" s="12" t="n"/>
      <c r="E62" s="11" t="n"/>
      <c r="F62" s="16">
        <f>IF(OR(D62="",E62=""),"",D62*E62)</f>
        <v/>
      </c>
      <c r="G62" s="10" t="n"/>
      <c r="H62" s="14">
        <f>IF(A62="","",MONTH(A62))</f>
        <v/>
      </c>
      <c r="I62" s="14">
        <f>IF(A62="","",YEAR(A62))</f>
        <v/>
      </c>
    </row>
    <row r="63">
      <c r="A63" s="15" t="n"/>
      <c r="B63" s="10" t="n"/>
      <c r="C63" s="14">
        <f>IF(B63="","",IFERROR(INDEX('Sản phẩm'!$B$5:$B$304,MATCH(B63,'Sản phẩm'!$A$5:$A$304,0)),""))</f>
        <v/>
      </c>
      <c r="D63" s="12" t="n"/>
      <c r="E63" s="11" t="n"/>
      <c r="F63" s="16">
        <f>IF(OR(D63="",E63=""),"",D63*E63)</f>
        <v/>
      </c>
      <c r="G63" s="10" t="n"/>
      <c r="H63" s="14">
        <f>IF(A63="","",MONTH(A63))</f>
        <v/>
      </c>
      <c r="I63" s="14">
        <f>IF(A63="","",YEAR(A63))</f>
        <v/>
      </c>
    </row>
    <row r="64">
      <c r="A64" s="15" t="n"/>
      <c r="B64" s="10" t="n"/>
      <c r="C64" s="14">
        <f>IF(B64="","",IFERROR(INDEX('Sản phẩm'!$B$5:$B$304,MATCH(B64,'Sản phẩm'!$A$5:$A$304,0)),""))</f>
        <v/>
      </c>
      <c r="D64" s="12" t="n"/>
      <c r="E64" s="11" t="n"/>
      <c r="F64" s="16">
        <f>IF(OR(D64="",E64=""),"",D64*E64)</f>
        <v/>
      </c>
      <c r="G64" s="10" t="n"/>
      <c r="H64" s="14">
        <f>IF(A64="","",MONTH(A64))</f>
        <v/>
      </c>
      <c r="I64" s="14">
        <f>IF(A64="","",YEAR(A64))</f>
        <v/>
      </c>
    </row>
    <row r="65">
      <c r="A65" s="15" t="n"/>
      <c r="B65" s="10" t="n"/>
      <c r="C65" s="14">
        <f>IF(B65="","",IFERROR(INDEX('Sản phẩm'!$B$5:$B$304,MATCH(B65,'Sản phẩm'!$A$5:$A$304,0)),""))</f>
        <v/>
      </c>
      <c r="D65" s="12" t="n"/>
      <c r="E65" s="11" t="n"/>
      <c r="F65" s="16">
        <f>IF(OR(D65="",E65=""),"",D65*E65)</f>
        <v/>
      </c>
      <c r="G65" s="10" t="n"/>
      <c r="H65" s="14">
        <f>IF(A65="","",MONTH(A65))</f>
        <v/>
      </c>
      <c r="I65" s="14">
        <f>IF(A65="","",YEAR(A65))</f>
        <v/>
      </c>
    </row>
    <row r="66">
      <c r="A66" s="15" t="n"/>
      <c r="B66" s="10" t="n"/>
      <c r="C66" s="14">
        <f>IF(B66="","",IFERROR(INDEX('Sản phẩm'!$B$5:$B$304,MATCH(B66,'Sản phẩm'!$A$5:$A$304,0)),""))</f>
        <v/>
      </c>
      <c r="D66" s="12" t="n"/>
      <c r="E66" s="11" t="n"/>
      <c r="F66" s="16">
        <f>IF(OR(D66="",E66=""),"",D66*E66)</f>
        <v/>
      </c>
      <c r="G66" s="10" t="n"/>
      <c r="H66" s="14">
        <f>IF(A66="","",MONTH(A66))</f>
        <v/>
      </c>
      <c r="I66" s="14">
        <f>IF(A66="","",YEAR(A66))</f>
        <v/>
      </c>
    </row>
    <row r="67">
      <c r="A67" s="15" t="n"/>
      <c r="B67" s="10" t="n"/>
      <c r="C67" s="14">
        <f>IF(B67="","",IFERROR(INDEX('Sản phẩm'!$B$5:$B$304,MATCH(B67,'Sản phẩm'!$A$5:$A$304,0)),""))</f>
        <v/>
      </c>
      <c r="D67" s="12" t="n"/>
      <c r="E67" s="11" t="n"/>
      <c r="F67" s="16">
        <f>IF(OR(D67="",E67=""),"",D67*E67)</f>
        <v/>
      </c>
      <c r="G67" s="10" t="n"/>
      <c r="H67" s="14">
        <f>IF(A67="","",MONTH(A67))</f>
        <v/>
      </c>
      <c r="I67" s="14">
        <f>IF(A67="","",YEAR(A67))</f>
        <v/>
      </c>
    </row>
    <row r="68">
      <c r="A68" s="15" t="n"/>
      <c r="B68" s="10" t="n"/>
      <c r="C68" s="14">
        <f>IF(B68="","",IFERROR(INDEX('Sản phẩm'!$B$5:$B$304,MATCH(B68,'Sản phẩm'!$A$5:$A$304,0)),""))</f>
        <v/>
      </c>
      <c r="D68" s="12" t="n"/>
      <c r="E68" s="11" t="n"/>
      <c r="F68" s="16">
        <f>IF(OR(D68="",E68=""),"",D68*E68)</f>
        <v/>
      </c>
      <c r="G68" s="10" t="n"/>
      <c r="H68" s="14">
        <f>IF(A68="","",MONTH(A68))</f>
        <v/>
      </c>
      <c r="I68" s="14">
        <f>IF(A68="","",YEAR(A68))</f>
        <v/>
      </c>
    </row>
    <row r="69">
      <c r="A69" s="15" t="n"/>
      <c r="B69" s="10" t="n"/>
      <c r="C69" s="14">
        <f>IF(B69="","",IFERROR(INDEX('Sản phẩm'!$B$5:$B$304,MATCH(B69,'Sản phẩm'!$A$5:$A$304,0)),""))</f>
        <v/>
      </c>
      <c r="D69" s="12" t="n"/>
      <c r="E69" s="11" t="n"/>
      <c r="F69" s="16">
        <f>IF(OR(D69="",E69=""),"",D69*E69)</f>
        <v/>
      </c>
      <c r="G69" s="10" t="n"/>
      <c r="H69" s="14">
        <f>IF(A69="","",MONTH(A69))</f>
        <v/>
      </c>
      <c r="I69" s="14">
        <f>IF(A69="","",YEAR(A69))</f>
        <v/>
      </c>
    </row>
    <row r="70">
      <c r="A70" s="15" t="n"/>
      <c r="B70" s="10" t="n"/>
      <c r="C70" s="14">
        <f>IF(B70="","",IFERROR(INDEX('Sản phẩm'!$B$5:$B$304,MATCH(B70,'Sản phẩm'!$A$5:$A$304,0)),""))</f>
        <v/>
      </c>
      <c r="D70" s="12" t="n"/>
      <c r="E70" s="11" t="n"/>
      <c r="F70" s="16">
        <f>IF(OR(D70="",E70=""),"",D70*E70)</f>
        <v/>
      </c>
      <c r="G70" s="10" t="n"/>
      <c r="H70" s="14">
        <f>IF(A70="","",MONTH(A70))</f>
        <v/>
      </c>
      <c r="I70" s="14">
        <f>IF(A70="","",YEAR(A70))</f>
        <v/>
      </c>
    </row>
    <row r="71">
      <c r="A71" s="15" t="n"/>
      <c r="B71" s="10" t="n"/>
      <c r="C71" s="14">
        <f>IF(B71="","",IFERROR(INDEX('Sản phẩm'!$B$5:$B$304,MATCH(B71,'Sản phẩm'!$A$5:$A$304,0)),""))</f>
        <v/>
      </c>
      <c r="D71" s="12" t="n"/>
      <c r="E71" s="11" t="n"/>
      <c r="F71" s="16">
        <f>IF(OR(D71="",E71=""),"",D71*E71)</f>
        <v/>
      </c>
      <c r="G71" s="10" t="n"/>
      <c r="H71" s="14">
        <f>IF(A71="","",MONTH(A71))</f>
        <v/>
      </c>
      <c r="I71" s="14">
        <f>IF(A71="","",YEAR(A71))</f>
        <v/>
      </c>
    </row>
    <row r="72">
      <c r="A72" s="15" t="n"/>
      <c r="B72" s="10" t="n"/>
      <c r="C72" s="14">
        <f>IF(B72="","",IFERROR(INDEX('Sản phẩm'!$B$5:$B$304,MATCH(B72,'Sản phẩm'!$A$5:$A$304,0)),""))</f>
        <v/>
      </c>
      <c r="D72" s="12" t="n"/>
      <c r="E72" s="11" t="n"/>
      <c r="F72" s="16">
        <f>IF(OR(D72="",E72=""),"",D72*E72)</f>
        <v/>
      </c>
      <c r="G72" s="10" t="n"/>
      <c r="H72" s="14">
        <f>IF(A72="","",MONTH(A72))</f>
        <v/>
      </c>
      <c r="I72" s="14">
        <f>IF(A72="","",YEAR(A72))</f>
        <v/>
      </c>
    </row>
    <row r="73">
      <c r="A73" s="15" t="n"/>
      <c r="B73" s="10" t="n"/>
      <c r="C73" s="14">
        <f>IF(B73="","",IFERROR(INDEX('Sản phẩm'!$B$5:$B$304,MATCH(B73,'Sản phẩm'!$A$5:$A$304,0)),""))</f>
        <v/>
      </c>
      <c r="D73" s="12" t="n"/>
      <c r="E73" s="11" t="n"/>
      <c r="F73" s="16">
        <f>IF(OR(D73="",E73=""),"",D73*E73)</f>
        <v/>
      </c>
      <c r="G73" s="10" t="n"/>
      <c r="H73" s="14">
        <f>IF(A73="","",MONTH(A73))</f>
        <v/>
      </c>
      <c r="I73" s="14">
        <f>IF(A73="","",YEAR(A73))</f>
        <v/>
      </c>
    </row>
    <row r="74">
      <c r="A74" s="15" t="n"/>
      <c r="B74" s="10" t="n"/>
      <c r="C74" s="14">
        <f>IF(B74="","",IFERROR(INDEX('Sản phẩm'!$B$5:$B$304,MATCH(B74,'Sản phẩm'!$A$5:$A$304,0)),""))</f>
        <v/>
      </c>
      <c r="D74" s="12" t="n"/>
      <c r="E74" s="11" t="n"/>
      <c r="F74" s="16">
        <f>IF(OR(D74="",E74=""),"",D74*E74)</f>
        <v/>
      </c>
      <c r="G74" s="10" t="n"/>
      <c r="H74" s="14">
        <f>IF(A74="","",MONTH(A74))</f>
        <v/>
      </c>
      <c r="I74" s="14">
        <f>IF(A74="","",YEAR(A74))</f>
        <v/>
      </c>
    </row>
    <row r="75">
      <c r="A75" s="15" t="n"/>
      <c r="B75" s="10" t="n"/>
      <c r="C75" s="14">
        <f>IF(B75="","",IFERROR(INDEX('Sản phẩm'!$B$5:$B$304,MATCH(B75,'Sản phẩm'!$A$5:$A$304,0)),""))</f>
        <v/>
      </c>
      <c r="D75" s="12" t="n"/>
      <c r="E75" s="11" t="n"/>
      <c r="F75" s="16">
        <f>IF(OR(D75="",E75=""),"",D75*E75)</f>
        <v/>
      </c>
      <c r="G75" s="10" t="n"/>
      <c r="H75" s="14">
        <f>IF(A75="","",MONTH(A75))</f>
        <v/>
      </c>
      <c r="I75" s="14">
        <f>IF(A75="","",YEAR(A75))</f>
        <v/>
      </c>
    </row>
    <row r="76">
      <c r="A76" s="15" t="n"/>
      <c r="B76" s="10" t="n"/>
      <c r="C76" s="14">
        <f>IF(B76="","",IFERROR(INDEX('Sản phẩm'!$B$5:$B$304,MATCH(B76,'Sản phẩm'!$A$5:$A$304,0)),""))</f>
        <v/>
      </c>
      <c r="D76" s="12" t="n"/>
      <c r="E76" s="11" t="n"/>
      <c r="F76" s="16">
        <f>IF(OR(D76="",E76=""),"",D76*E76)</f>
        <v/>
      </c>
      <c r="G76" s="10" t="n"/>
      <c r="H76" s="14">
        <f>IF(A76="","",MONTH(A76))</f>
        <v/>
      </c>
      <c r="I76" s="14">
        <f>IF(A76="","",YEAR(A76))</f>
        <v/>
      </c>
    </row>
    <row r="77">
      <c r="A77" s="15" t="n"/>
      <c r="B77" s="10" t="n"/>
      <c r="C77" s="14">
        <f>IF(B77="","",IFERROR(INDEX('Sản phẩm'!$B$5:$B$304,MATCH(B77,'Sản phẩm'!$A$5:$A$304,0)),""))</f>
        <v/>
      </c>
      <c r="D77" s="12" t="n"/>
      <c r="E77" s="11" t="n"/>
      <c r="F77" s="16">
        <f>IF(OR(D77="",E77=""),"",D77*E77)</f>
        <v/>
      </c>
      <c r="G77" s="10" t="n"/>
      <c r="H77" s="14">
        <f>IF(A77="","",MONTH(A77))</f>
        <v/>
      </c>
      <c r="I77" s="14">
        <f>IF(A77="","",YEAR(A77))</f>
        <v/>
      </c>
    </row>
    <row r="78">
      <c r="A78" s="15" t="n"/>
      <c r="B78" s="10" t="n"/>
      <c r="C78" s="14">
        <f>IF(B78="","",IFERROR(INDEX('Sản phẩm'!$B$5:$B$304,MATCH(B78,'Sản phẩm'!$A$5:$A$304,0)),""))</f>
        <v/>
      </c>
      <c r="D78" s="12" t="n"/>
      <c r="E78" s="11" t="n"/>
      <c r="F78" s="16">
        <f>IF(OR(D78="",E78=""),"",D78*E78)</f>
        <v/>
      </c>
      <c r="G78" s="10" t="n"/>
      <c r="H78" s="14">
        <f>IF(A78="","",MONTH(A78))</f>
        <v/>
      </c>
      <c r="I78" s="14">
        <f>IF(A78="","",YEAR(A78))</f>
        <v/>
      </c>
    </row>
    <row r="79">
      <c r="A79" s="15" t="n"/>
      <c r="B79" s="10" t="n"/>
      <c r="C79" s="14">
        <f>IF(B79="","",IFERROR(INDEX('Sản phẩm'!$B$5:$B$304,MATCH(B79,'Sản phẩm'!$A$5:$A$304,0)),""))</f>
        <v/>
      </c>
      <c r="D79" s="12" t="n"/>
      <c r="E79" s="11" t="n"/>
      <c r="F79" s="16">
        <f>IF(OR(D79="",E79=""),"",D79*E79)</f>
        <v/>
      </c>
      <c r="G79" s="10" t="n"/>
      <c r="H79" s="14">
        <f>IF(A79="","",MONTH(A79))</f>
        <v/>
      </c>
      <c r="I79" s="14">
        <f>IF(A79="","",YEAR(A79))</f>
        <v/>
      </c>
    </row>
    <row r="80">
      <c r="A80" s="15" t="n"/>
      <c r="B80" s="10" t="n"/>
      <c r="C80" s="14">
        <f>IF(B80="","",IFERROR(INDEX('Sản phẩm'!$B$5:$B$304,MATCH(B80,'Sản phẩm'!$A$5:$A$304,0)),""))</f>
        <v/>
      </c>
      <c r="D80" s="12" t="n"/>
      <c r="E80" s="11" t="n"/>
      <c r="F80" s="16">
        <f>IF(OR(D80="",E80=""),"",D80*E80)</f>
        <v/>
      </c>
      <c r="G80" s="10" t="n"/>
      <c r="H80" s="14">
        <f>IF(A80="","",MONTH(A80))</f>
        <v/>
      </c>
      <c r="I80" s="14">
        <f>IF(A80="","",YEAR(A80))</f>
        <v/>
      </c>
    </row>
    <row r="81">
      <c r="A81" s="15" t="n"/>
      <c r="B81" s="10" t="n"/>
      <c r="C81" s="14">
        <f>IF(B81="","",IFERROR(INDEX('Sản phẩm'!$B$5:$B$304,MATCH(B81,'Sản phẩm'!$A$5:$A$304,0)),""))</f>
        <v/>
      </c>
      <c r="D81" s="12" t="n"/>
      <c r="E81" s="11" t="n"/>
      <c r="F81" s="16">
        <f>IF(OR(D81="",E81=""),"",D81*E81)</f>
        <v/>
      </c>
      <c r="G81" s="10" t="n"/>
      <c r="H81" s="14">
        <f>IF(A81="","",MONTH(A81))</f>
        <v/>
      </c>
      <c r="I81" s="14">
        <f>IF(A81="","",YEAR(A81))</f>
        <v/>
      </c>
    </row>
    <row r="82">
      <c r="A82" s="15" t="n"/>
      <c r="B82" s="10" t="n"/>
      <c r="C82" s="14">
        <f>IF(B82="","",IFERROR(INDEX('Sản phẩm'!$B$5:$B$304,MATCH(B82,'Sản phẩm'!$A$5:$A$304,0)),""))</f>
        <v/>
      </c>
      <c r="D82" s="12" t="n"/>
      <c r="E82" s="11" t="n"/>
      <c r="F82" s="16">
        <f>IF(OR(D82="",E82=""),"",D82*E82)</f>
        <v/>
      </c>
      <c r="G82" s="10" t="n"/>
      <c r="H82" s="14">
        <f>IF(A82="","",MONTH(A82))</f>
        <v/>
      </c>
      <c r="I82" s="14">
        <f>IF(A82="","",YEAR(A82))</f>
        <v/>
      </c>
    </row>
    <row r="83">
      <c r="A83" s="15" t="n"/>
      <c r="B83" s="10" t="n"/>
      <c r="C83" s="14">
        <f>IF(B83="","",IFERROR(INDEX('Sản phẩm'!$B$5:$B$304,MATCH(B83,'Sản phẩm'!$A$5:$A$304,0)),""))</f>
        <v/>
      </c>
      <c r="D83" s="12" t="n"/>
      <c r="E83" s="11" t="n"/>
      <c r="F83" s="16">
        <f>IF(OR(D83="",E83=""),"",D83*E83)</f>
        <v/>
      </c>
      <c r="G83" s="10" t="n"/>
      <c r="H83" s="14">
        <f>IF(A83="","",MONTH(A83))</f>
        <v/>
      </c>
      <c r="I83" s="14">
        <f>IF(A83="","",YEAR(A83))</f>
        <v/>
      </c>
    </row>
    <row r="84">
      <c r="A84" s="15" t="n"/>
      <c r="B84" s="10" t="n"/>
      <c r="C84" s="14">
        <f>IF(B84="","",IFERROR(INDEX('Sản phẩm'!$B$5:$B$304,MATCH(B84,'Sản phẩm'!$A$5:$A$304,0)),""))</f>
        <v/>
      </c>
      <c r="D84" s="12" t="n"/>
      <c r="E84" s="11" t="n"/>
      <c r="F84" s="16">
        <f>IF(OR(D84="",E84=""),"",D84*E84)</f>
        <v/>
      </c>
      <c r="G84" s="10" t="n"/>
      <c r="H84" s="14">
        <f>IF(A84="","",MONTH(A84))</f>
        <v/>
      </c>
      <c r="I84" s="14">
        <f>IF(A84="","",YEAR(A84))</f>
        <v/>
      </c>
    </row>
    <row r="85">
      <c r="A85" s="15" t="n"/>
      <c r="B85" s="10" t="n"/>
      <c r="C85" s="14">
        <f>IF(B85="","",IFERROR(INDEX('Sản phẩm'!$B$5:$B$304,MATCH(B85,'Sản phẩm'!$A$5:$A$304,0)),""))</f>
        <v/>
      </c>
      <c r="D85" s="12" t="n"/>
      <c r="E85" s="11" t="n"/>
      <c r="F85" s="16">
        <f>IF(OR(D85="",E85=""),"",D85*E85)</f>
        <v/>
      </c>
      <c r="G85" s="10" t="n"/>
      <c r="H85" s="14">
        <f>IF(A85="","",MONTH(A85))</f>
        <v/>
      </c>
      <c r="I85" s="14">
        <f>IF(A85="","",YEAR(A85))</f>
        <v/>
      </c>
    </row>
    <row r="86">
      <c r="A86" s="15" t="n"/>
      <c r="B86" s="10" t="n"/>
      <c r="C86" s="14">
        <f>IF(B86="","",IFERROR(INDEX('Sản phẩm'!$B$5:$B$304,MATCH(B86,'Sản phẩm'!$A$5:$A$304,0)),""))</f>
        <v/>
      </c>
      <c r="D86" s="12" t="n"/>
      <c r="E86" s="11" t="n"/>
      <c r="F86" s="16">
        <f>IF(OR(D86="",E86=""),"",D86*E86)</f>
        <v/>
      </c>
      <c r="G86" s="10" t="n"/>
      <c r="H86" s="14">
        <f>IF(A86="","",MONTH(A86))</f>
        <v/>
      </c>
      <c r="I86" s="14">
        <f>IF(A86="","",YEAR(A86))</f>
        <v/>
      </c>
    </row>
    <row r="87">
      <c r="A87" s="15" t="n"/>
      <c r="B87" s="10" t="n"/>
      <c r="C87" s="14">
        <f>IF(B87="","",IFERROR(INDEX('Sản phẩm'!$B$5:$B$304,MATCH(B87,'Sản phẩm'!$A$5:$A$304,0)),""))</f>
        <v/>
      </c>
      <c r="D87" s="12" t="n"/>
      <c r="E87" s="11" t="n"/>
      <c r="F87" s="16">
        <f>IF(OR(D87="",E87=""),"",D87*E87)</f>
        <v/>
      </c>
      <c r="G87" s="10" t="n"/>
      <c r="H87" s="14">
        <f>IF(A87="","",MONTH(A87))</f>
        <v/>
      </c>
      <c r="I87" s="14">
        <f>IF(A87="","",YEAR(A87))</f>
        <v/>
      </c>
    </row>
    <row r="88">
      <c r="A88" s="15" t="n"/>
      <c r="B88" s="10" t="n"/>
      <c r="C88" s="14">
        <f>IF(B88="","",IFERROR(INDEX('Sản phẩm'!$B$5:$B$304,MATCH(B88,'Sản phẩm'!$A$5:$A$304,0)),""))</f>
        <v/>
      </c>
      <c r="D88" s="12" t="n"/>
      <c r="E88" s="11" t="n"/>
      <c r="F88" s="16">
        <f>IF(OR(D88="",E88=""),"",D88*E88)</f>
        <v/>
      </c>
      <c r="G88" s="10" t="n"/>
      <c r="H88" s="14">
        <f>IF(A88="","",MONTH(A88))</f>
        <v/>
      </c>
      <c r="I88" s="14">
        <f>IF(A88="","",YEAR(A88))</f>
        <v/>
      </c>
    </row>
    <row r="89">
      <c r="A89" s="15" t="n"/>
      <c r="B89" s="10" t="n"/>
      <c r="C89" s="14">
        <f>IF(B89="","",IFERROR(INDEX('Sản phẩm'!$B$5:$B$304,MATCH(B89,'Sản phẩm'!$A$5:$A$304,0)),""))</f>
        <v/>
      </c>
      <c r="D89" s="12" t="n"/>
      <c r="E89" s="11" t="n"/>
      <c r="F89" s="16">
        <f>IF(OR(D89="",E89=""),"",D89*E89)</f>
        <v/>
      </c>
      <c r="G89" s="10" t="n"/>
      <c r="H89" s="14">
        <f>IF(A89="","",MONTH(A89))</f>
        <v/>
      </c>
      <c r="I89" s="14">
        <f>IF(A89="","",YEAR(A89))</f>
        <v/>
      </c>
    </row>
    <row r="90">
      <c r="A90" s="15" t="n"/>
      <c r="B90" s="10" t="n"/>
      <c r="C90" s="14">
        <f>IF(B90="","",IFERROR(INDEX('Sản phẩm'!$B$5:$B$304,MATCH(B90,'Sản phẩm'!$A$5:$A$304,0)),""))</f>
        <v/>
      </c>
      <c r="D90" s="12" t="n"/>
      <c r="E90" s="11" t="n"/>
      <c r="F90" s="16">
        <f>IF(OR(D90="",E90=""),"",D90*E90)</f>
        <v/>
      </c>
      <c r="G90" s="10" t="n"/>
      <c r="H90" s="14">
        <f>IF(A90="","",MONTH(A90))</f>
        <v/>
      </c>
      <c r="I90" s="14">
        <f>IF(A90="","",YEAR(A90))</f>
        <v/>
      </c>
    </row>
    <row r="91">
      <c r="A91" s="15" t="n"/>
      <c r="B91" s="10" t="n"/>
      <c r="C91" s="14">
        <f>IF(B91="","",IFERROR(INDEX('Sản phẩm'!$B$5:$B$304,MATCH(B91,'Sản phẩm'!$A$5:$A$304,0)),""))</f>
        <v/>
      </c>
      <c r="D91" s="12" t="n"/>
      <c r="E91" s="11" t="n"/>
      <c r="F91" s="16">
        <f>IF(OR(D91="",E91=""),"",D91*E91)</f>
        <v/>
      </c>
      <c r="G91" s="10" t="n"/>
      <c r="H91" s="14">
        <f>IF(A91="","",MONTH(A91))</f>
        <v/>
      </c>
      <c r="I91" s="14">
        <f>IF(A91="","",YEAR(A91))</f>
        <v/>
      </c>
    </row>
    <row r="92">
      <c r="A92" s="15" t="n"/>
      <c r="B92" s="10" t="n"/>
      <c r="C92" s="14">
        <f>IF(B92="","",IFERROR(INDEX('Sản phẩm'!$B$5:$B$304,MATCH(B92,'Sản phẩm'!$A$5:$A$304,0)),""))</f>
        <v/>
      </c>
      <c r="D92" s="12" t="n"/>
      <c r="E92" s="11" t="n"/>
      <c r="F92" s="16">
        <f>IF(OR(D92="",E92=""),"",D92*E92)</f>
        <v/>
      </c>
      <c r="G92" s="10" t="n"/>
      <c r="H92" s="14">
        <f>IF(A92="","",MONTH(A92))</f>
        <v/>
      </c>
      <c r="I92" s="14">
        <f>IF(A92="","",YEAR(A92))</f>
        <v/>
      </c>
    </row>
    <row r="93">
      <c r="A93" s="15" t="n"/>
      <c r="B93" s="10" t="n"/>
      <c r="C93" s="14">
        <f>IF(B93="","",IFERROR(INDEX('Sản phẩm'!$B$5:$B$304,MATCH(B93,'Sản phẩm'!$A$5:$A$304,0)),""))</f>
        <v/>
      </c>
      <c r="D93" s="12" t="n"/>
      <c r="E93" s="11" t="n"/>
      <c r="F93" s="16">
        <f>IF(OR(D93="",E93=""),"",D93*E93)</f>
        <v/>
      </c>
      <c r="G93" s="10" t="n"/>
      <c r="H93" s="14">
        <f>IF(A93="","",MONTH(A93))</f>
        <v/>
      </c>
      <c r="I93" s="14">
        <f>IF(A93="","",YEAR(A93))</f>
        <v/>
      </c>
    </row>
    <row r="94">
      <c r="A94" s="15" t="n"/>
      <c r="B94" s="10" t="n"/>
      <c r="C94" s="14">
        <f>IF(B94="","",IFERROR(INDEX('Sản phẩm'!$B$5:$B$304,MATCH(B94,'Sản phẩm'!$A$5:$A$304,0)),""))</f>
        <v/>
      </c>
      <c r="D94" s="12" t="n"/>
      <c r="E94" s="11" t="n"/>
      <c r="F94" s="16">
        <f>IF(OR(D94="",E94=""),"",D94*E94)</f>
        <v/>
      </c>
      <c r="G94" s="10" t="n"/>
      <c r="H94" s="14">
        <f>IF(A94="","",MONTH(A94))</f>
        <v/>
      </c>
      <c r="I94" s="14">
        <f>IF(A94="","",YEAR(A94))</f>
        <v/>
      </c>
    </row>
    <row r="95">
      <c r="A95" s="15" t="n"/>
      <c r="B95" s="10" t="n"/>
      <c r="C95" s="14">
        <f>IF(B95="","",IFERROR(INDEX('Sản phẩm'!$B$5:$B$304,MATCH(B95,'Sản phẩm'!$A$5:$A$304,0)),""))</f>
        <v/>
      </c>
      <c r="D95" s="12" t="n"/>
      <c r="E95" s="11" t="n"/>
      <c r="F95" s="16">
        <f>IF(OR(D95="",E95=""),"",D95*E95)</f>
        <v/>
      </c>
      <c r="G95" s="10" t="n"/>
      <c r="H95" s="14">
        <f>IF(A95="","",MONTH(A95))</f>
        <v/>
      </c>
      <c r="I95" s="14">
        <f>IF(A95="","",YEAR(A95))</f>
        <v/>
      </c>
    </row>
    <row r="96">
      <c r="A96" s="15" t="n"/>
      <c r="B96" s="10" t="n"/>
      <c r="C96" s="14">
        <f>IF(B96="","",IFERROR(INDEX('Sản phẩm'!$B$5:$B$304,MATCH(B96,'Sản phẩm'!$A$5:$A$304,0)),""))</f>
        <v/>
      </c>
      <c r="D96" s="12" t="n"/>
      <c r="E96" s="11" t="n"/>
      <c r="F96" s="16">
        <f>IF(OR(D96="",E96=""),"",D96*E96)</f>
        <v/>
      </c>
      <c r="G96" s="10" t="n"/>
      <c r="H96" s="14">
        <f>IF(A96="","",MONTH(A96))</f>
        <v/>
      </c>
      <c r="I96" s="14">
        <f>IF(A96="","",YEAR(A96))</f>
        <v/>
      </c>
    </row>
    <row r="97">
      <c r="A97" s="15" t="n"/>
      <c r="B97" s="10" t="n"/>
      <c r="C97" s="14">
        <f>IF(B97="","",IFERROR(INDEX('Sản phẩm'!$B$5:$B$304,MATCH(B97,'Sản phẩm'!$A$5:$A$304,0)),""))</f>
        <v/>
      </c>
      <c r="D97" s="12" t="n"/>
      <c r="E97" s="11" t="n"/>
      <c r="F97" s="16">
        <f>IF(OR(D97="",E97=""),"",D97*E97)</f>
        <v/>
      </c>
      <c r="G97" s="10" t="n"/>
      <c r="H97" s="14">
        <f>IF(A97="","",MONTH(A97))</f>
        <v/>
      </c>
      <c r="I97" s="14">
        <f>IF(A97="","",YEAR(A97))</f>
        <v/>
      </c>
    </row>
    <row r="98">
      <c r="A98" s="15" t="n"/>
      <c r="B98" s="10" t="n"/>
      <c r="C98" s="14">
        <f>IF(B98="","",IFERROR(INDEX('Sản phẩm'!$B$5:$B$304,MATCH(B98,'Sản phẩm'!$A$5:$A$304,0)),""))</f>
        <v/>
      </c>
      <c r="D98" s="12" t="n"/>
      <c r="E98" s="11" t="n"/>
      <c r="F98" s="16">
        <f>IF(OR(D98="",E98=""),"",D98*E98)</f>
        <v/>
      </c>
      <c r="G98" s="10" t="n"/>
      <c r="H98" s="14">
        <f>IF(A98="","",MONTH(A98))</f>
        <v/>
      </c>
      <c r="I98" s="14">
        <f>IF(A98="","",YEAR(A98))</f>
        <v/>
      </c>
    </row>
    <row r="99">
      <c r="A99" s="15" t="n"/>
      <c r="B99" s="10" t="n"/>
      <c r="C99" s="14">
        <f>IF(B99="","",IFERROR(INDEX('Sản phẩm'!$B$5:$B$304,MATCH(B99,'Sản phẩm'!$A$5:$A$304,0)),""))</f>
        <v/>
      </c>
      <c r="D99" s="12" t="n"/>
      <c r="E99" s="11" t="n"/>
      <c r="F99" s="16">
        <f>IF(OR(D99="",E99=""),"",D99*E99)</f>
        <v/>
      </c>
      <c r="G99" s="10" t="n"/>
      <c r="H99" s="14">
        <f>IF(A99="","",MONTH(A99))</f>
        <v/>
      </c>
      <c r="I99" s="14">
        <f>IF(A99="","",YEAR(A99))</f>
        <v/>
      </c>
    </row>
    <row r="100">
      <c r="A100" s="15" t="n"/>
      <c r="B100" s="10" t="n"/>
      <c r="C100" s="14">
        <f>IF(B100="","",IFERROR(INDEX('Sản phẩm'!$B$5:$B$304,MATCH(B100,'Sản phẩm'!$A$5:$A$304,0)),""))</f>
        <v/>
      </c>
      <c r="D100" s="12" t="n"/>
      <c r="E100" s="11" t="n"/>
      <c r="F100" s="16">
        <f>IF(OR(D100="",E100=""),"",D100*E100)</f>
        <v/>
      </c>
      <c r="G100" s="10" t="n"/>
      <c r="H100" s="14">
        <f>IF(A100="","",MONTH(A100))</f>
        <v/>
      </c>
      <c r="I100" s="14">
        <f>IF(A100="","",YEAR(A100))</f>
        <v/>
      </c>
    </row>
    <row r="101">
      <c r="A101" s="15" t="n"/>
      <c r="B101" s="10" t="n"/>
      <c r="C101" s="14">
        <f>IF(B101="","",IFERROR(INDEX('Sản phẩm'!$B$5:$B$304,MATCH(B101,'Sản phẩm'!$A$5:$A$304,0)),""))</f>
        <v/>
      </c>
      <c r="D101" s="12" t="n"/>
      <c r="E101" s="11" t="n"/>
      <c r="F101" s="16">
        <f>IF(OR(D101="",E101=""),"",D101*E101)</f>
        <v/>
      </c>
      <c r="G101" s="10" t="n"/>
      <c r="H101" s="14">
        <f>IF(A101="","",MONTH(A101))</f>
        <v/>
      </c>
      <c r="I101" s="14">
        <f>IF(A101="","",YEAR(A101))</f>
        <v/>
      </c>
    </row>
    <row r="102">
      <c r="A102" s="15" t="n"/>
      <c r="B102" s="10" t="n"/>
      <c r="C102" s="14">
        <f>IF(B102="","",IFERROR(INDEX('Sản phẩm'!$B$5:$B$304,MATCH(B102,'Sản phẩm'!$A$5:$A$304,0)),""))</f>
        <v/>
      </c>
      <c r="D102" s="12" t="n"/>
      <c r="E102" s="11" t="n"/>
      <c r="F102" s="16">
        <f>IF(OR(D102="",E102=""),"",D102*E102)</f>
        <v/>
      </c>
      <c r="G102" s="10" t="n"/>
      <c r="H102" s="14">
        <f>IF(A102="","",MONTH(A102))</f>
        <v/>
      </c>
      <c r="I102" s="14">
        <f>IF(A102="","",YEAR(A102))</f>
        <v/>
      </c>
    </row>
    <row r="103">
      <c r="A103" s="15" t="n"/>
      <c r="B103" s="10" t="n"/>
      <c r="C103" s="14">
        <f>IF(B103="","",IFERROR(INDEX('Sản phẩm'!$B$5:$B$304,MATCH(B103,'Sản phẩm'!$A$5:$A$304,0)),""))</f>
        <v/>
      </c>
      <c r="D103" s="12" t="n"/>
      <c r="E103" s="11" t="n"/>
      <c r="F103" s="16">
        <f>IF(OR(D103="",E103=""),"",D103*E103)</f>
        <v/>
      </c>
      <c r="G103" s="10" t="n"/>
      <c r="H103" s="14">
        <f>IF(A103="","",MONTH(A103))</f>
        <v/>
      </c>
      <c r="I103" s="14">
        <f>IF(A103="","",YEAR(A103))</f>
        <v/>
      </c>
    </row>
    <row r="104">
      <c r="A104" s="15" t="n"/>
      <c r="B104" s="10" t="n"/>
      <c r="C104" s="14">
        <f>IF(B104="","",IFERROR(INDEX('Sản phẩm'!$B$5:$B$304,MATCH(B104,'Sản phẩm'!$A$5:$A$304,0)),""))</f>
        <v/>
      </c>
      <c r="D104" s="12" t="n"/>
      <c r="E104" s="11" t="n"/>
      <c r="F104" s="16">
        <f>IF(OR(D104="",E104=""),"",D104*E104)</f>
        <v/>
      </c>
      <c r="G104" s="10" t="n"/>
      <c r="H104" s="14">
        <f>IF(A104="","",MONTH(A104))</f>
        <v/>
      </c>
      <c r="I104" s="14">
        <f>IF(A104="","",YEAR(A104))</f>
        <v/>
      </c>
    </row>
    <row r="105">
      <c r="A105" s="15" t="n"/>
      <c r="B105" s="10" t="n"/>
      <c r="C105" s="14">
        <f>IF(B105="","",IFERROR(INDEX('Sản phẩm'!$B$5:$B$304,MATCH(B105,'Sản phẩm'!$A$5:$A$304,0)),""))</f>
        <v/>
      </c>
      <c r="D105" s="12" t="n"/>
      <c r="E105" s="11" t="n"/>
      <c r="F105" s="16">
        <f>IF(OR(D105="",E105=""),"",D105*E105)</f>
        <v/>
      </c>
      <c r="G105" s="10" t="n"/>
      <c r="H105" s="14">
        <f>IF(A105="","",MONTH(A105))</f>
        <v/>
      </c>
      <c r="I105" s="14">
        <f>IF(A105="","",YEAR(A105))</f>
        <v/>
      </c>
    </row>
    <row r="106">
      <c r="A106" s="15" t="n"/>
      <c r="B106" s="10" t="n"/>
      <c r="C106" s="14">
        <f>IF(B106="","",IFERROR(INDEX('Sản phẩm'!$B$5:$B$304,MATCH(B106,'Sản phẩm'!$A$5:$A$304,0)),""))</f>
        <v/>
      </c>
      <c r="D106" s="12" t="n"/>
      <c r="E106" s="11" t="n"/>
      <c r="F106" s="16">
        <f>IF(OR(D106="",E106=""),"",D106*E106)</f>
        <v/>
      </c>
      <c r="G106" s="10" t="n"/>
      <c r="H106" s="14">
        <f>IF(A106="","",MONTH(A106))</f>
        <v/>
      </c>
      <c r="I106" s="14">
        <f>IF(A106="","",YEAR(A106))</f>
        <v/>
      </c>
    </row>
    <row r="107">
      <c r="A107" s="15" t="n"/>
      <c r="B107" s="10" t="n"/>
      <c r="C107" s="14">
        <f>IF(B107="","",IFERROR(INDEX('Sản phẩm'!$B$5:$B$304,MATCH(B107,'Sản phẩm'!$A$5:$A$304,0)),""))</f>
        <v/>
      </c>
      <c r="D107" s="12" t="n"/>
      <c r="E107" s="11" t="n"/>
      <c r="F107" s="16">
        <f>IF(OR(D107="",E107=""),"",D107*E107)</f>
        <v/>
      </c>
      <c r="G107" s="10" t="n"/>
      <c r="H107" s="14">
        <f>IF(A107="","",MONTH(A107))</f>
        <v/>
      </c>
      <c r="I107" s="14">
        <f>IF(A107="","",YEAR(A107))</f>
        <v/>
      </c>
    </row>
    <row r="108">
      <c r="A108" s="15" t="n"/>
      <c r="B108" s="10" t="n"/>
      <c r="C108" s="14">
        <f>IF(B108="","",IFERROR(INDEX('Sản phẩm'!$B$5:$B$304,MATCH(B108,'Sản phẩm'!$A$5:$A$304,0)),""))</f>
        <v/>
      </c>
      <c r="D108" s="12" t="n"/>
      <c r="E108" s="11" t="n"/>
      <c r="F108" s="16">
        <f>IF(OR(D108="",E108=""),"",D108*E108)</f>
        <v/>
      </c>
      <c r="G108" s="10" t="n"/>
      <c r="H108" s="14">
        <f>IF(A108="","",MONTH(A108))</f>
        <v/>
      </c>
      <c r="I108" s="14">
        <f>IF(A108="","",YEAR(A108))</f>
        <v/>
      </c>
    </row>
    <row r="109">
      <c r="A109" s="15" t="n"/>
      <c r="B109" s="10" t="n"/>
      <c r="C109" s="14">
        <f>IF(B109="","",IFERROR(INDEX('Sản phẩm'!$B$5:$B$304,MATCH(B109,'Sản phẩm'!$A$5:$A$304,0)),""))</f>
        <v/>
      </c>
      <c r="D109" s="12" t="n"/>
      <c r="E109" s="11" t="n"/>
      <c r="F109" s="16">
        <f>IF(OR(D109="",E109=""),"",D109*E109)</f>
        <v/>
      </c>
      <c r="G109" s="10" t="n"/>
      <c r="H109" s="14">
        <f>IF(A109="","",MONTH(A109))</f>
        <v/>
      </c>
      <c r="I109" s="14">
        <f>IF(A109="","",YEAR(A109))</f>
        <v/>
      </c>
    </row>
    <row r="110">
      <c r="A110" s="15" t="n"/>
      <c r="B110" s="10" t="n"/>
      <c r="C110" s="14">
        <f>IF(B110="","",IFERROR(INDEX('Sản phẩm'!$B$5:$B$304,MATCH(B110,'Sản phẩm'!$A$5:$A$304,0)),""))</f>
        <v/>
      </c>
      <c r="D110" s="12" t="n"/>
      <c r="E110" s="11" t="n"/>
      <c r="F110" s="16">
        <f>IF(OR(D110="",E110=""),"",D110*E110)</f>
        <v/>
      </c>
      <c r="G110" s="10" t="n"/>
      <c r="H110" s="14">
        <f>IF(A110="","",MONTH(A110))</f>
        <v/>
      </c>
      <c r="I110" s="14">
        <f>IF(A110="","",YEAR(A110))</f>
        <v/>
      </c>
    </row>
    <row r="111">
      <c r="A111" s="15" t="n"/>
      <c r="B111" s="10" t="n"/>
      <c r="C111" s="14">
        <f>IF(B111="","",IFERROR(INDEX('Sản phẩm'!$B$5:$B$304,MATCH(B111,'Sản phẩm'!$A$5:$A$304,0)),""))</f>
        <v/>
      </c>
      <c r="D111" s="12" t="n"/>
      <c r="E111" s="11" t="n"/>
      <c r="F111" s="16">
        <f>IF(OR(D111="",E111=""),"",D111*E111)</f>
        <v/>
      </c>
      <c r="G111" s="10" t="n"/>
      <c r="H111" s="14">
        <f>IF(A111="","",MONTH(A111))</f>
        <v/>
      </c>
      <c r="I111" s="14">
        <f>IF(A111="","",YEAR(A111))</f>
        <v/>
      </c>
    </row>
    <row r="112">
      <c r="A112" s="15" t="n"/>
      <c r="B112" s="10" t="n"/>
      <c r="C112" s="14">
        <f>IF(B112="","",IFERROR(INDEX('Sản phẩm'!$B$5:$B$304,MATCH(B112,'Sản phẩm'!$A$5:$A$304,0)),""))</f>
        <v/>
      </c>
      <c r="D112" s="12" t="n"/>
      <c r="E112" s="11" t="n"/>
      <c r="F112" s="16">
        <f>IF(OR(D112="",E112=""),"",D112*E112)</f>
        <v/>
      </c>
      <c r="G112" s="10" t="n"/>
      <c r="H112" s="14">
        <f>IF(A112="","",MONTH(A112))</f>
        <v/>
      </c>
      <c r="I112" s="14">
        <f>IF(A112="","",YEAR(A112))</f>
        <v/>
      </c>
    </row>
    <row r="113">
      <c r="A113" s="15" t="n"/>
      <c r="B113" s="10" t="n"/>
      <c r="C113" s="14">
        <f>IF(B113="","",IFERROR(INDEX('Sản phẩm'!$B$5:$B$304,MATCH(B113,'Sản phẩm'!$A$5:$A$304,0)),""))</f>
        <v/>
      </c>
      <c r="D113" s="12" t="n"/>
      <c r="E113" s="11" t="n"/>
      <c r="F113" s="16">
        <f>IF(OR(D113="",E113=""),"",D113*E113)</f>
        <v/>
      </c>
      <c r="G113" s="10" t="n"/>
      <c r="H113" s="14">
        <f>IF(A113="","",MONTH(A113))</f>
        <v/>
      </c>
      <c r="I113" s="14">
        <f>IF(A113="","",YEAR(A113))</f>
        <v/>
      </c>
    </row>
    <row r="114">
      <c r="A114" s="15" t="n"/>
      <c r="B114" s="10" t="n"/>
      <c r="C114" s="14">
        <f>IF(B114="","",IFERROR(INDEX('Sản phẩm'!$B$5:$B$304,MATCH(B114,'Sản phẩm'!$A$5:$A$304,0)),""))</f>
        <v/>
      </c>
      <c r="D114" s="12" t="n"/>
      <c r="E114" s="11" t="n"/>
      <c r="F114" s="16">
        <f>IF(OR(D114="",E114=""),"",D114*E114)</f>
        <v/>
      </c>
      <c r="G114" s="10" t="n"/>
      <c r="H114" s="14">
        <f>IF(A114="","",MONTH(A114))</f>
        <v/>
      </c>
      <c r="I114" s="14">
        <f>IF(A114="","",YEAR(A114))</f>
        <v/>
      </c>
    </row>
    <row r="115">
      <c r="A115" s="15" t="n"/>
      <c r="B115" s="10" t="n"/>
      <c r="C115" s="14">
        <f>IF(B115="","",IFERROR(INDEX('Sản phẩm'!$B$5:$B$304,MATCH(B115,'Sản phẩm'!$A$5:$A$304,0)),""))</f>
        <v/>
      </c>
      <c r="D115" s="12" t="n"/>
      <c r="E115" s="11" t="n"/>
      <c r="F115" s="16">
        <f>IF(OR(D115="",E115=""),"",D115*E115)</f>
        <v/>
      </c>
      <c r="G115" s="10" t="n"/>
      <c r="H115" s="14">
        <f>IF(A115="","",MONTH(A115))</f>
        <v/>
      </c>
      <c r="I115" s="14">
        <f>IF(A115="","",YEAR(A115))</f>
        <v/>
      </c>
    </row>
    <row r="116">
      <c r="A116" s="15" t="n"/>
      <c r="B116" s="10" t="n"/>
      <c r="C116" s="14">
        <f>IF(B116="","",IFERROR(INDEX('Sản phẩm'!$B$5:$B$304,MATCH(B116,'Sản phẩm'!$A$5:$A$304,0)),""))</f>
        <v/>
      </c>
      <c r="D116" s="12" t="n"/>
      <c r="E116" s="11" t="n"/>
      <c r="F116" s="16">
        <f>IF(OR(D116="",E116=""),"",D116*E116)</f>
        <v/>
      </c>
      <c r="G116" s="10" t="n"/>
      <c r="H116" s="14">
        <f>IF(A116="","",MONTH(A116))</f>
        <v/>
      </c>
      <c r="I116" s="14">
        <f>IF(A116="","",YEAR(A116))</f>
        <v/>
      </c>
    </row>
    <row r="117">
      <c r="A117" s="15" t="n"/>
      <c r="B117" s="10" t="n"/>
      <c r="C117" s="14">
        <f>IF(B117="","",IFERROR(INDEX('Sản phẩm'!$B$5:$B$304,MATCH(B117,'Sản phẩm'!$A$5:$A$304,0)),""))</f>
        <v/>
      </c>
      <c r="D117" s="12" t="n"/>
      <c r="E117" s="11" t="n"/>
      <c r="F117" s="16">
        <f>IF(OR(D117="",E117=""),"",D117*E117)</f>
        <v/>
      </c>
      <c r="G117" s="10" t="n"/>
      <c r="H117" s="14">
        <f>IF(A117="","",MONTH(A117))</f>
        <v/>
      </c>
      <c r="I117" s="14">
        <f>IF(A117="","",YEAR(A117))</f>
        <v/>
      </c>
    </row>
    <row r="118">
      <c r="A118" s="15" t="n"/>
      <c r="B118" s="10" t="n"/>
      <c r="C118" s="14">
        <f>IF(B118="","",IFERROR(INDEX('Sản phẩm'!$B$5:$B$304,MATCH(B118,'Sản phẩm'!$A$5:$A$304,0)),""))</f>
        <v/>
      </c>
      <c r="D118" s="12" t="n"/>
      <c r="E118" s="11" t="n"/>
      <c r="F118" s="16">
        <f>IF(OR(D118="",E118=""),"",D118*E118)</f>
        <v/>
      </c>
      <c r="G118" s="10" t="n"/>
      <c r="H118" s="14">
        <f>IF(A118="","",MONTH(A118))</f>
        <v/>
      </c>
      <c r="I118" s="14">
        <f>IF(A118="","",YEAR(A118))</f>
        <v/>
      </c>
    </row>
    <row r="119">
      <c r="A119" s="15" t="n"/>
      <c r="B119" s="10" t="n"/>
      <c r="C119" s="14">
        <f>IF(B119="","",IFERROR(INDEX('Sản phẩm'!$B$5:$B$304,MATCH(B119,'Sản phẩm'!$A$5:$A$304,0)),""))</f>
        <v/>
      </c>
      <c r="D119" s="12" t="n"/>
      <c r="E119" s="11" t="n"/>
      <c r="F119" s="16">
        <f>IF(OR(D119="",E119=""),"",D119*E119)</f>
        <v/>
      </c>
      <c r="G119" s="10" t="n"/>
      <c r="H119" s="14">
        <f>IF(A119="","",MONTH(A119))</f>
        <v/>
      </c>
      <c r="I119" s="14">
        <f>IF(A119="","",YEAR(A119))</f>
        <v/>
      </c>
    </row>
    <row r="120">
      <c r="A120" s="15" t="n"/>
      <c r="B120" s="10" t="n"/>
      <c r="C120" s="14">
        <f>IF(B120="","",IFERROR(INDEX('Sản phẩm'!$B$5:$B$304,MATCH(B120,'Sản phẩm'!$A$5:$A$304,0)),""))</f>
        <v/>
      </c>
      <c r="D120" s="12" t="n"/>
      <c r="E120" s="11" t="n"/>
      <c r="F120" s="16">
        <f>IF(OR(D120="",E120=""),"",D120*E120)</f>
        <v/>
      </c>
      <c r="G120" s="10" t="n"/>
      <c r="H120" s="14">
        <f>IF(A120="","",MONTH(A120))</f>
        <v/>
      </c>
      <c r="I120" s="14">
        <f>IF(A120="","",YEAR(A120))</f>
        <v/>
      </c>
    </row>
    <row r="121">
      <c r="A121" s="15" t="n"/>
      <c r="B121" s="10" t="n"/>
      <c r="C121" s="14">
        <f>IF(B121="","",IFERROR(INDEX('Sản phẩm'!$B$5:$B$304,MATCH(B121,'Sản phẩm'!$A$5:$A$304,0)),""))</f>
        <v/>
      </c>
      <c r="D121" s="12" t="n"/>
      <c r="E121" s="11" t="n"/>
      <c r="F121" s="16">
        <f>IF(OR(D121="",E121=""),"",D121*E121)</f>
        <v/>
      </c>
      <c r="G121" s="10" t="n"/>
      <c r="H121" s="14">
        <f>IF(A121="","",MONTH(A121))</f>
        <v/>
      </c>
      <c r="I121" s="14">
        <f>IF(A121="","",YEAR(A121))</f>
        <v/>
      </c>
    </row>
    <row r="122">
      <c r="A122" s="15" t="n"/>
      <c r="B122" s="10" t="n"/>
      <c r="C122" s="14">
        <f>IF(B122="","",IFERROR(INDEX('Sản phẩm'!$B$5:$B$304,MATCH(B122,'Sản phẩm'!$A$5:$A$304,0)),""))</f>
        <v/>
      </c>
      <c r="D122" s="12" t="n"/>
      <c r="E122" s="11" t="n"/>
      <c r="F122" s="16">
        <f>IF(OR(D122="",E122=""),"",D122*E122)</f>
        <v/>
      </c>
      <c r="G122" s="10" t="n"/>
      <c r="H122" s="14">
        <f>IF(A122="","",MONTH(A122))</f>
        <v/>
      </c>
      <c r="I122" s="14">
        <f>IF(A122="","",YEAR(A122))</f>
        <v/>
      </c>
    </row>
    <row r="123">
      <c r="A123" s="15" t="n"/>
      <c r="B123" s="10" t="n"/>
      <c r="C123" s="14">
        <f>IF(B123="","",IFERROR(INDEX('Sản phẩm'!$B$5:$B$304,MATCH(B123,'Sản phẩm'!$A$5:$A$304,0)),""))</f>
        <v/>
      </c>
      <c r="D123" s="12" t="n"/>
      <c r="E123" s="11" t="n"/>
      <c r="F123" s="16">
        <f>IF(OR(D123="",E123=""),"",D123*E123)</f>
        <v/>
      </c>
      <c r="G123" s="10" t="n"/>
      <c r="H123" s="14">
        <f>IF(A123="","",MONTH(A123))</f>
        <v/>
      </c>
      <c r="I123" s="14">
        <f>IF(A123="","",YEAR(A123))</f>
        <v/>
      </c>
    </row>
    <row r="124">
      <c r="A124" s="15" t="n"/>
      <c r="B124" s="10" t="n"/>
      <c r="C124" s="14">
        <f>IF(B124="","",IFERROR(INDEX('Sản phẩm'!$B$5:$B$304,MATCH(B124,'Sản phẩm'!$A$5:$A$304,0)),""))</f>
        <v/>
      </c>
      <c r="D124" s="12" t="n"/>
      <c r="E124" s="11" t="n"/>
      <c r="F124" s="16">
        <f>IF(OR(D124="",E124=""),"",D124*E124)</f>
        <v/>
      </c>
      <c r="G124" s="10" t="n"/>
      <c r="H124" s="14">
        <f>IF(A124="","",MONTH(A124))</f>
        <v/>
      </c>
      <c r="I124" s="14">
        <f>IF(A124="","",YEAR(A124))</f>
        <v/>
      </c>
    </row>
    <row r="125">
      <c r="A125" s="15" t="n"/>
      <c r="B125" s="10" t="n"/>
      <c r="C125" s="14">
        <f>IF(B125="","",IFERROR(INDEX('Sản phẩm'!$B$5:$B$304,MATCH(B125,'Sản phẩm'!$A$5:$A$304,0)),""))</f>
        <v/>
      </c>
      <c r="D125" s="12" t="n"/>
      <c r="E125" s="11" t="n"/>
      <c r="F125" s="16">
        <f>IF(OR(D125="",E125=""),"",D125*E125)</f>
        <v/>
      </c>
      <c r="G125" s="10" t="n"/>
      <c r="H125" s="14">
        <f>IF(A125="","",MONTH(A125))</f>
        <v/>
      </c>
      <c r="I125" s="14">
        <f>IF(A125="","",YEAR(A125))</f>
        <v/>
      </c>
    </row>
    <row r="126">
      <c r="A126" s="15" t="n"/>
      <c r="B126" s="10" t="n"/>
      <c r="C126" s="14">
        <f>IF(B126="","",IFERROR(INDEX('Sản phẩm'!$B$5:$B$304,MATCH(B126,'Sản phẩm'!$A$5:$A$304,0)),""))</f>
        <v/>
      </c>
      <c r="D126" s="12" t="n"/>
      <c r="E126" s="11" t="n"/>
      <c r="F126" s="16">
        <f>IF(OR(D126="",E126=""),"",D126*E126)</f>
        <v/>
      </c>
      <c r="G126" s="10" t="n"/>
      <c r="H126" s="14">
        <f>IF(A126="","",MONTH(A126))</f>
        <v/>
      </c>
      <c r="I126" s="14">
        <f>IF(A126="","",YEAR(A126))</f>
        <v/>
      </c>
    </row>
    <row r="127">
      <c r="A127" s="15" t="n"/>
      <c r="B127" s="10" t="n"/>
      <c r="C127" s="14">
        <f>IF(B127="","",IFERROR(INDEX('Sản phẩm'!$B$5:$B$304,MATCH(B127,'Sản phẩm'!$A$5:$A$304,0)),""))</f>
        <v/>
      </c>
      <c r="D127" s="12" t="n"/>
      <c r="E127" s="11" t="n"/>
      <c r="F127" s="16">
        <f>IF(OR(D127="",E127=""),"",D127*E127)</f>
        <v/>
      </c>
      <c r="G127" s="10" t="n"/>
      <c r="H127" s="14">
        <f>IF(A127="","",MONTH(A127))</f>
        <v/>
      </c>
      <c r="I127" s="14">
        <f>IF(A127="","",YEAR(A127))</f>
        <v/>
      </c>
    </row>
    <row r="128">
      <c r="A128" s="15" t="n"/>
      <c r="B128" s="10" t="n"/>
      <c r="C128" s="14">
        <f>IF(B128="","",IFERROR(INDEX('Sản phẩm'!$B$5:$B$304,MATCH(B128,'Sản phẩm'!$A$5:$A$304,0)),""))</f>
        <v/>
      </c>
      <c r="D128" s="12" t="n"/>
      <c r="E128" s="11" t="n"/>
      <c r="F128" s="16">
        <f>IF(OR(D128="",E128=""),"",D128*E128)</f>
        <v/>
      </c>
      <c r="G128" s="10" t="n"/>
      <c r="H128" s="14">
        <f>IF(A128="","",MONTH(A128))</f>
        <v/>
      </c>
      <c r="I128" s="14">
        <f>IF(A128="","",YEAR(A128))</f>
        <v/>
      </c>
    </row>
    <row r="129">
      <c r="A129" s="15" t="n"/>
      <c r="B129" s="10" t="n"/>
      <c r="C129" s="14">
        <f>IF(B129="","",IFERROR(INDEX('Sản phẩm'!$B$5:$B$304,MATCH(B129,'Sản phẩm'!$A$5:$A$304,0)),""))</f>
        <v/>
      </c>
      <c r="D129" s="12" t="n"/>
      <c r="E129" s="11" t="n"/>
      <c r="F129" s="16">
        <f>IF(OR(D129="",E129=""),"",D129*E129)</f>
        <v/>
      </c>
      <c r="G129" s="10" t="n"/>
      <c r="H129" s="14">
        <f>IF(A129="","",MONTH(A129))</f>
        <v/>
      </c>
      <c r="I129" s="14">
        <f>IF(A129="","",YEAR(A129))</f>
        <v/>
      </c>
    </row>
    <row r="130">
      <c r="A130" s="15" t="n"/>
      <c r="B130" s="10" t="n"/>
      <c r="C130" s="14">
        <f>IF(B130="","",IFERROR(INDEX('Sản phẩm'!$B$5:$B$304,MATCH(B130,'Sản phẩm'!$A$5:$A$304,0)),""))</f>
        <v/>
      </c>
      <c r="D130" s="12" t="n"/>
      <c r="E130" s="11" t="n"/>
      <c r="F130" s="16">
        <f>IF(OR(D130="",E130=""),"",D130*E130)</f>
        <v/>
      </c>
      <c r="G130" s="10" t="n"/>
      <c r="H130" s="14">
        <f>IF(A130="","",MONTH(A130))</f>
        <v/>
      </c>
      <c r="I130" s="14">
        <f>IF(A130="","",YEAR(A130))</f>
        <v/>
      </c>
    </row>
    <row r="131">
      <c r="A131" s="15" t="n"/>
      <c r="B131" s="10" t="n"/>
      <c r="C131" s="14">
        <f>IF(B131="","",IFERROR(INDEX('Sản phẩm'!$B$5:$B$304,MATCH(B131,'Sản phẩm'!$A$5:$A$304,0)),""))</f>
        <v/>
      </c>
      <c r="D131" s="12" t="n"/>
      <c r="E131" s="11" t="n"/>
      <c r="F131" s="16">
        <f>IF(OR(D131="",E131=""),"",D131*E131)</f>
        <v/>
      </c>
      <c r="G131" s="10" t="n"/>
      <c r="H131" s="14">
        <f>IF(A131="","",MONTH(A131))</f>
        <v/>
      </c>
      <c r="I131" s="14">
        <f>IF(A131="","",YEAR(A131))</f>
        <v/>
      </c>
    </row>
    <row r="132">
      <c r="A132" s="15" t="n"/>
      <c r="B132" s="10" t="n"/>
      <c r="C132" s="14">
        <f>IF(B132="","",IFERROR(INDEX('Sản phẩm'!$B$5:$B$304,MATCH(B132,'Sản phẩm'!$A$5:$A$304,0)),""))</f>
        <v/>
      </c>
      <c r="D132" s="12" t="n"/>
      <c r="E132" s="11" t="n"/>
      <c r="F132" s="16">
        <f>IF(OR(D132="",E132=""),"",D132*E132)</f>
        <v/>
      </c>
      <c r="G132" s="10" t="n"/>
      <c r="H132" s="14">
        <f>IF(A132="","",MONTH(A132))</f>
        <v/>
      </c>
      <c r="I132" s="14">
        <f>IF(A132="","",YEAR(A132))</f>
        <v/>
      </c>
    </row>
    <row r="133">
      <c r="A133" s="15" t="n"/>
      <c r="B133" s="10" t="n"/>
      <c r="C133" s="14">
        <f>IF(B133="","",IFERROR(INDEX('Sản phẩm'!$B$5:$B$304,MATCH(B133,'Sản phẩm'!$A$5:$A$304,0)),""))</f>
        <v/>
      </c>
      <c r="D133" s="12" t="n"/>
      <c r="E133" s="11" t="n"/>
      <c r="F133" s="16">
        <f>IF(OR(D133="",E133=""),"",D133*E133)</f>
        <v/>
      </c>
      <c r="G133" s="10" t="n"/>
      <c r="H133" s="14">
        <f>IF(A133="","",MONTH(A133))</f>
        <v/>
      </c>
      <c r="I133" s="14">
        <f>IF(A133="","",YEAR(A133))</f>
        <v/>
      </c>
    </row>
    <row r="134">
      <c r="A134" s="15" t="n"/>
      <c r="B134" s="10" t="n"/>
      <c r="C134" s="14">
        <f>IF(B134="","",IFERROR(INDEX('Sản phẩm'!$B$5:$B$304,MATCH(B134,'Sản phẩm'!$A$5:$A$304,0)),""))</f>
        <v/>
      </c>
      <c r="D134" s="12" t="n"/>
      <c r="E134" s="11" t="n"/>
      <c r="F134" s="16">
        <f>IF(OR(D134="",E134=""),"",D134*E134)</f>
        <v/>
      </c>
      <c r="G134" s="10" t="n"/>
      <c r="H134" s="14">
        <f>IF(A134="","",MONTH(A134))</f>
        <v/>
      </c>
      <c r="I134" s="14">
        <f>IF(A134="","",YEAR(A134))</f>
        <v/>
      </c>
    </row>
    <row r="135">
      <c r="A135" s="15" t="n"/>
      <c r="B135" s="10" t="n"/>
      <c r="C135" s="14">
        <f>IF(B135="","",IFERROR(INDEX('Sản phẩm'!$B$5:$B$304,MATCH(B135,'Sản phẩm'!$A$5:$A$304,0)),""))</f>
        <v/>
      </c>
      <c r="D135" s="12" t="n"/>
      <c r="E135" s="11" t="n"/>
      <c r="F135" s="16">
        <f>IF(OR(D135="",E135=""),"",D135*E135)</f>
        <v/>
      </c>
      <c r="G135" s="10" t="n"/>
      <c r="H135" s="14">
        <f>IF(A135="","",MONTH(A135))</f>
        <v/>
      </c>
      <c r="I135" s="14">
        <f>IF(A135="","",YEAR(A135))</f>
        <v/>
      </c>
    </row>
    <row r="136">
      <c r="A136" s="15" t="n"/>
      <c r="B136" s="10" t="n"/>
      <c r="C136" s="14">
        <f>IF(B136="","",IFERROR(INDEX('Sản phẩm'!$B$5:$B$304,MATCH(B136,'Sản phẩm'!$A$5:$A$304,0)),""))</f>
        <v/>
      </c>
      <c r="D136" s="12" t="n"/>
      <c r="E136" s="11" t="n"/>
      <c r="F136" s="16">
        <f>IF(OR(D136="",E136=""),"",D136*E136)</f>
        <v/>
      </c>
      <c r="G136" s="10" t="n"/>
      <c r="H136" s="14">
        <f>IF(A136="","",MONTH(A136))</f>
        <v/>
      </c>
      <c r="I136" s="14">
        <f>IF(A136="","",YEAR(A136))</f>
        <v/>
      </c>
    </row>
    <row r="137">
      <c r="A137" s="15" t="n"/>
      <c r="B137" s="10" t="n"/>
      <c r="C137" s="14">
        <f>IF(B137="","",IFERROR(INDEX('Sản phẩm'!$B$5:$B$304,MATCH(B137,'Sản phẩm'!$A$5:$A$304,0)),""))</f>
        <v/>
      </c>
      <c r="D137" s="12" t="n"/>
      <c r="E137" s="11" t="n"/>
      <c r="F137" s="16">
        <f>IF(OR(D137="",E137=""),"",D137*E137)</f>
        <v/>
      </c>
      <c r="G137" s="10" t="n"/>
      <c r="H137" s="14">
        <f>IF(A137="","",MONTH(A137))</f>
        <v/>
      </c>
      <c r="I137" s="14">
        <f>IF(A137="","",YEAR(A137))</f>
        <v/>
      </c>
    </row>
    <row r="138">
      <c r="A138" s="15" t="n"/>
      <c r="B138" s="10" t="n"/>
      <c r="C138" s="14">
        <f>IF(B138="","",IFERROR(INDEX('Sản phẩm'!$B$5:$B$304,MATCH(B138,'Sản phẩm'!$A$5:$A$304,0)),""))</f>
        <v/>
      </c>
      <c r="D138" s="12" t="n"/>
      <c r="E138" s="11" t="n"/>
      <c r="F138" s="16">
        <f>IF(OR(D138="",E138=""),"",D138*E138)</f>
        <v/>
      </c>
      <c r="G138" s="10" t="n"/>
      <c r="H138" s="14">
        <f>IF(A138="","",MONTH(A138))</f>
        <v/>
      </c>
      <c r="I138" s="14">
        <f>IF(A138="","",YEAR(A138))</f>
        <v/>
      </c>
    </row>
    <row r="139">
      <c r="A139" s="15" t="n"/>
      <c r="B139" s="10" t="n"/>
      <c r="C139" s="14">
        <f>IF(B139="","",IFERROR(INDEX('Sản phẩm'!$B$5:$B$304,MATCH(B139,'Sản phẩm'!$A$5:$A$304,0)),""))</f>
        <v/>
      </c>
      <c r="D139" s="12" t="n"/>
      <c r="E139" s="11" t="n"/>
      <c r="F139" s="16">
        <f>IF(OR(D139="",E139=""),"",D139*E139)</f>
        <v/>
      </c>
      <c r="G139" s="10" t="n"/>
      <c r="H139" s="14">
        <f>IF(A139="","",MONTH(A139))</f>
        <v/>
      </c>
      <c r="I139" s="14">
        <f>IF(A139="","",YEAR(A139))</f>
        <v/>
      </c>
    </row>
    <row r="140">
      <c r="A140" s="15" t="n"/>
      <c r="B140" s="10" t="n"/>
      <c r="C140" s="14">
        <f>IF(B140="","",IFERROR(INDEX('Sản phẩm'!$B$5:$B$304,MATCH(B140,'Sản phẩm'!$A$5:$A$304,0)),""))</f>
        <v/>
      </c>
      <c r="D140" s="12" t="n"/>
      <c r="E140" s="11" t="n"/>
      <c r="F140" s="16">
        <f>IF(OR(D140="",E140=""),"",D140*E140)</f>
        <v/>
      </c>
      <c r="G140" s="10" t="n"/>
      <c r="H140" s="14">
        <f>IF(A140="","",MONTH(A140))</f>
        <v/>
      </c>
      <c r="I140" s="14">
        <f>IF(A140="","",YEAR(A140))</f>
        <v/>
      </c>
    </row>
    <row r="141">
      <c r="A141" s="15" t="n"/>
      <c r="B141" s="10" t="n"/>
      <c r="C141" s="14">
        <f>IF(B141="","",IFERROR(INDEX('Sản phẩm'!$B$5:$B$304,MATCH(B141,'Sản phẩm'!$A$5:$A$304,0)),""))</f>
        <v/>
      </c>
      <c r="D141" s="12" t="n"/>
      <c r="E141" s="11" t="n"/>
      <c r="F141" s="16">
        <f>IF(OR(D141="",E141=""),"",D141*E141)</f>
        <v/>
      </c>
      <c r="G141" s="10" t="n"/>
      <c r="H141" s="14">
        <f>IF(A141="","",MONTH(A141))</f>
        <v/>
      </c>
      <c r="I141" s="14">
        <f>IF(A141="","",YEAR(A141))</f>
        <v/>
      </c>
    </row>
    <row r="142">
      <c r="A142" s="15" t="n"/>
      <c r="B142" s="10" t="n"/>
      <c r="C142" s="14">
        <f>IF(B142="","",IFERROR(INDEX('Sản phẩm'!$B$5:$B$304,MATCH(B142,'Sản phẩm'!$A$5:$A$304,0)),""))</f>
        <v/>
      </c>
      <c r="D142" s="12" t="n"/>
      <c r="E142" s="11" t="n"/>
      <c r="F142" s="16">
        <f>IF(OR(D142="",E142=""),"",D142*E142)</f>
        <v/>
      </c>
      <c r="G142" s="10" t="n"/>
      <c r="H142" s="14">
        <f>IF(A142="","",MONTH(A142))</f>
        <v/>
      </c>
      <c r="I142" s="14">
        <f>IF(A142="","",YEAR(A142))</f>
        <v/>
      </c>
    </row>
    <row r="143">
      <c r="A143" s="15" t="n"/>
      <c r="B143" s="10" t="n"/>
      <c r="C143" s="14">
        <f>IF(B143="","",IFERROR(INDEX('Sản phẩm'!$B$5:$B$304,MATCH(B143,'Sản phẩm'!$A$5:$A$304,0)),""))</f>
        <v/>
      </c>
      <c r="D143" s="12" t="n"/>
      <c r="E143" s="11" t="n"/>
      <c r="F143" s="16">
        <f>IF(OR(D143="",E143=""),"",D143*E143)</f>
        <v/>
      </c>
      <c r="G143" s="10" t="n"/>
      <c r="H143" s="14">
        <f>IF(A143="","",MONTH(A143))</f>
        <v/>
      </c>
      <c r="I143" s="14">
        <f>IF(A143="","",YEAR(A143))</f>
        <v/>
      </c>
    </row>
    <row r="144">
      <c r="A144" s="15" t="n"/>
      <c r="B144" s="10" t="n"/>
      <c r="C144" s="14">
        <f>IF(B144="","",IFERROR(INDEX('Sản phẩm'!$B$5:$B$304,MATCH(B144,'Sản phẩm'!$A$5:$A$304,0)),""))</f>
        <v/>
      </c>
      <c r="D144" s="12" t="n"/>
      <c r="E144" s="11" t="n"/>
      <c r="F144" s="16">
        <f>IF(OR(D144="",E144=""),"",D144*E144)</f>
        <v/>
      </c>
      <c r="G144" s="10" t="n"/>
      <c r="H144" s="14">
        <f>IF(A144="","",MONTH(A144))</f>
        <v/>
      </c>
      <c r="I144" s="14">
        <f>IF(A144="","",YEAR(A144))</f>
        <v/>
      </c>
    </row>
    <row r="145">
      <c r="A145" s="15" t="n"/>
      <c r="B145" s="10" t="n"/>
      <c r="C145" s="14">
        <f>IF(B145="","",IFERROR(INDEX('Sản phẩm'!$B$5:$B$304,MATCH(B145,'Sản phẩm'!$A$5:$A$304,0)),""))</f>
        <v/>
      </c>
      <c r="D145" s="12" t="n"/>
      <c r="E145" s="11" t="n"/>
      <c r="F145" s="16">
        <f>IF(OR(D145="",E145=""),"",D145*E145)</f>
        <v/>
      </c>
      <c r="G145" s="10" t="n"/>
      <c r="H145" s="14">
        <f>IF(A145="","",MONTH(A145))</f>
        <v/>
      </c>
      <c r="I145" s="14">
        <f>IF(A145="","",YEAR(A145))</f>
        <v/>
      </c>
    </row>
    <row r="146">
      <c r="A146" s="15" t="n"/>
      <c r="B146" s="10" t="n"/>
      <c r="C146" s="14">
        <f>IF(B146="","",IFERROR(INDEX('Sản phẩm'!$B$5:$B$304,MATCH(B146,'Sản phẩm'!$A$5:$A$304,0)),""))</f>
        <v/>
      </c>
      <c r="D146" s="12" t="n"/>
      <c r="E146" s="11" t="n"/>
      <c r="F146" s="16">
        <f>IF(OR(D146="",E146=""),"",D146*E146)</f>
        <v/>
      </c>
      <c r="G146" s="10" t="n"/>
      <c r="H146" s="14">
        <f>IF(A146="","",MONTH(A146))</f>
        <v/>
      </c>
      <c r="I146" s="14">
        <f>IF(A146="","",YEAR(A146))</f>
        <v/>
      </c>
    </row>
    <row r="147">
      <c r="A147" s="15" t="n"/>
      <c r="B147" s="10" t="n"/>
      <c r="C147" s="14">
        <f>IF(B147="","",IFERROR(INDEX('Sản phẩm'!$B$5:$B$304,MATCH(B147,'Sản phẩm'!$A$5:$A$304,0)),""))</f>
        <v/>
      </c>
      <c r="D147" s="12" t="n"/>
      <c r="E147" s="11" t="n"/>
      <c r="F147" s="16">
        <f>IF(OR(D147="",E147=""),"",D147*E147)</f>
        <v/>
      </c>
      <c r="G147" s="10" t="n"/>
      <c r="H147" s="14">
        <f>IF(A147="","",MONTH(A147))</f>
        <v/>
      </c>
      <c r="I147" s="14">
        <f>IF(A147="","",YEAR(A147))</f>
        <v/>
      </c>
    </row>
    <row r="148">
      <c r="A148" s="15" t="n"/>
      <c r="B148" s="10" t="n"/>
      <c r="C148" s="14">
        <f>IF(B148="","",IFERROR(INDEX('Sản phẩm'!$B$5:$B$304,MATCH(B148,'Sản phẩm'!$A$5:$A$304,0)),""))</f>
        <v/>
      </c>
      <c r="D148" s="12" t="n"/>
      <c r="E148" s="11" t="n"/>
      <c r="F148" s="16">
        <f>IF(OR(D148="",E148=""),"",D148*E148)</f>
        <v/>
      </c>
      <c r="G148" s="10" t="n"/>
      <c r="H148" s="14">
        <f>IF(A148="","",MONTH(A148))</f>
        <v/>
      </c>
      <c r="I148" s="14">
        <f>IF(A148="","",YEAR(A148))</f>
        <v/>
      </c>
    </row>
    <row r="149">
      <c r="A149" s="15" t="n"/>
      <c r="B149" s="10" t="n"/>
      <c r="C149" s="14">
        <f>IF(B149="","",IFERROR(INDEX('Sản phẩm'!$B$5:$B$304,MATCH(B149,'Sản phẩm'!$A$5:$A$304,0)),""))</f>
        <v/>
      </c>
      <c r="D149" s="12" t="n"/>
      <c r="E149" s="11" t="n"/>
      <c r="F149" s="16">
        <f>IF(OR(D149="",E149=""),"",D149*E149)</f>
        <v/>
      </c>
      <c r="G149" s="10" t="n"/>
      <c r="H149" s="14">
        <f>IF(A149="","",MONTH(A149))</f>
        <v/>
      </c>
      <c r="I149" s="14">
        <f>IF(A149="","",YEAR(A149))</f>
        <v/>
      </c>
    </row>
    <row r="150">
      <c r="A150" s="15" t="n"/>
      <c r="B150" s="10" t="n"/>
      <c r="C150" s="14">
        <f>IF(B150="","",IFERROR(INDEX('Sản phẩm'!$B$5:$B$304,MATCH(B150,'Sản phẩm'!$A$5:$A$304,0)),""))</f>
        <v/>
      </c>
      <c r="D150" s="12" t="n"/>
      <c r="E150" s="11" t="n"/>
      <c r="F150" s="16">
        <f>IF(OR(D150="",E150=""),"",D150*E150)</f>
        <v/>
      </c>
      <c r="G150" s="10" t="n"/>
      <c r="H150" s="14">
        <f>IF(A150="","",MONTH(A150))</f>
        <v/>
      </c>
      <c r="I150" s="14">
        <f>IF(A150="","",YEAR(A150))</f>
        <v/>
      </c>
    </row>
    <row r="151">
      <c r="A151" s="15" t="n"/>
      <c r="B151" s="10" t="n"/>
      <c r="C151" s="14">
        <f>IF(B151="","",IFERROR(INDEX('Sản phẩm'!$B$5:$B$304,MATCH(B151,'Sản phẩm'!$A$5:$A$304,0)),""))</f>
        <v/>
      </c>
      <c r="D151" s="12" t="n"/>
      <c r="E151" s="11" t="n"/>
      <c r="F151" s="16">
        <f>IF(OR(D151="",E151=""),"",D151*E151)</f>
        <v/>
      </c>
      <c r="G151" s="10" t="n"/>
      <c r="H151" s="14">
        <f>IF(A151="","",MONTH(A151))</f>
        <v/>
      </c>
      <c r="I151" s="14">
        <f>IF(A151="","",YEAR(A151))</f>
        <v/>
      </c>
    </row>
    <row r="152">
      <c r="A152" s="15" t="n"/>
      <c r="B152" s="10" t="n"/>
      <c r="C152" s="14">
        <f>IF(B152="","",IFERROR(INDEX('Sản phẩm'!$B$5:$B$304,MATCH(B152,'Sản phẩm'!$A$5:$A$304,0)),""))</f>
        <v/>
      </c>
      <c r="D152" s="12" t="n"/>
      <c r="E152" s="11" t="n"/>
      <c r="F152" s="16">
        <f>IF(OR(D152="",E152=""),"",D152*E152)</f>
        <v/>
      </c>
      <c r="G152" s="10" t="n"/>
      <c r="H152" s="14">
        <f>IF(A152="","",MONTH(A152))</f>
        <v/>
      </c>
      <c r="I152" s="14">
        <f>IF(A152="","",YEAR(A152))</f>
        <v/>
      </c>
    </row>
    <row r="153">
      <c r="A153" s="15" t="n"/>
      <c r="B153" s="10" t="n"/>
      <c r="C153" s="14">
        <f>IF(B153="","",IFERROR(INDEX('Sản phẩm'!$B$5:$B$304,MATCH(B153,'Sản phẩm'!$A$5:$A$304,0)),""))</f>
        <v/>
      </c>
      <c r="D153" s="12" t="n"/>
      <c r="E153" s="11" t="n"/>
      <c r="F153" s="16">
        <f>IF(OR(D153="",E153=""),"",D153*E153)</f>
        <v/>
      </c>
      <c r="G153" s="10" t="n"/>
      <c r="H153" s="14">
        <f>IF(A153="","",MONTH(A153))</f>
        <v/>
      </c>
      <c r="I153" s="14">
        <f>IF(A153="","",YEAR(A153))</f>
        <v/>
      </c>
    </row>
    <row r="154">
      <c r="A154" s="15" t="n"/>
      <c r="B154" s="10" t="n"/>
      <c r="C154" s="14">
        <f>IF(B154="","",IFERROR(INDEX('Sản phẩm'!$B$5:$B$304,MATCH(B154,'Sản phẩm'!$A$5:$A$304,0)),""))</f>
        <v/>
      </c>
      <c r="D154" s="12" t="n"/>
      <c r="E154" s="11" t="n"/>
      <c r="F154" s="16">
        <f>IF(OR(D154="",E154=""),"",D154*E154)</f>
        <v/>
      </c>
      <c r="G154" s="10" t="n"/>
      <c r="H154" s="14">
        <f>IF(A154="","",MONTH(A154))</f>
        <v/>
      </c>
      <c r="I154" s="14">
        <f>IF(A154="","",YEAR(A154))</f>
        <v/>
      </c>
    </row>
    <row r="155">
      <c r="A155" s="15" t="n"/>
      <c r="B155" s="10" t="n"/>
      <c r="C155" s="14">
        <f>IF(B155="","",IFERROR(INDEX('Sản phẩm'!$B$5:$B$304,MATCH(B155,'Sản phẩm'!$A$5:$A$304,0)),""))</f>
        <v/>
      </c>
      <c r="D155" s="12" t="n"/>
      <c r="E155" s="11" t="n"/>
      <c r="F155" s="16">
        <f>IF(OR(D155="",E155=""),"",D155*E155)</f>
        <v/>
      </c>
      <c r="G155" s="10" t="n"/>
      <c r="H155" s="14">
        <f>IF(A155="","",MONTH(A155))</f>
        <v/>
      </c>
      <c r="I155" s="14">
        <f>IF(A155="","",YEAR(A155))</f>
        <v/>
      </c>
    </row>
    <row r="156">
      <c r="A156" s="15" t="n"/>
      <c r="B156" s="10" t="n"/>
      <c r="C156" s="14">
        <f>IF(B156="","",IFERROR(INDEX('Sản phẩm'!$B$5:$B$304,MATCH(B156,'Sản phẩm'!$A$5:$A$304,0)),""))</f>
        <v/>
      </c>
      <c r="D156" s="12" t="n"/>
      <c r="E156" s="11" t="n"/>
      <c r="F156" s="16">
        <f>IF(OR(D156="",E156=""),"",D156*E156)</f>
        <v/>
      </c>
      <c r="G156" s="10" t="n"/>
      <c r="H156" s="14">
        <f>IF(A156="","",MONTH(A156))</f>
        <v/>
      </c>
      <c r="I156" s="14">
        <f>IF(A156="","",YEAR(A156))</f>
        <v/>
      </c>
    </row>
    <row r="157">
      <c r="A157" s="15" t="n"/>
      <c r="B157" s="10" t="n"/>
      <c r="C157" s="14">
        <f>IF(B157="","",IFERROR(INDEX('Sản phẩm'!$B$5:$B$304,MATCH(B157,'Sản phẩm'!$A$5:$A$304,0)),""))</f>
        <v/>
      </c>
      <c r="D157" s="12" t="n"/>
      <c r="E157" s="11" t="n"/>
      <c r="F157" s="16">
        <f>IF(OR(D157="",E157=""),"",D157*E157)</f>
        <v/>
      </c>
      <c r="G157" s="10" t="n"/>
      <c r="H157" s="14">
        <f>IF(A157="","",MONTH(A157))</f>
        <v/>
      </c>
      <c r="I157" s="14">
        <f>IF(A157="","",YEAR(A157))</f>
        <v/>
      </c>
    </row>
    <row r="158">
      <c r="A158" s="15" t="n"/>
      <c r="B158" s="10" t="n"/>
      <c r="C158" s="14">
        <f>IF(B158="","",IFERROR(INDEX('Sản phẩm'!$B$5:$B$304,MATCH(B158,'Sản phẩm'!$A$5:$A$304,0)),""))</f>
        <v/>
      </c>
      <c r="D158" s="12" t="n"/>
      <c r="E158" s="11" t="n"/>
      <c r="F158" s="16">
        <f>IF(OR(D158="",E158=""),"",D158*E158)</f>
        <v/>
      </c>
      <c r="G158" s="10" t="n"/>
      <c r="H158" s="14">
        <f>IF(A158="","",MONTH(A158))</f>
        <v/>
      </c>
      <c r="I158" s="14">
        <f>IF(A158="","",YEAR(A158))</f>
        <v/>
      </c>
    </row>
    <row r="159">
      <c r="A159" s="15" t="n"/>
      <c r="B159" s="10" t="n"/>
      <c r="C159" s="14">
        <f>IF(B159="","",IFERROR(INDEX('Sản phẩm'!$B$5:$B$304,MATCH(B159,'Sản phẩm'!$A$5:$A$304,0)),""))</f>
        <v/>
      </c>
      <c r="D159" s="12" t="n"/>
      <c r="E159" s="11" t="n"/>
      <c r="F159" s="16">
        <f>IF(OR(D159="",E159=""),"",D159*E159)</f>
        <v/>
      </c>
      <c r="G159" s="10" t="n"/>
      <c r="H159" s="14">
        <f>IF(A159="","",MONTH(A159))</f>
        <v/>
      </c>
      <c r="I159" s="14">
        <f>IF(A159="","",YEAR(A159))</f>
        <v/>
      </c>
    </row>
    <row r="160">
      <c r="A160" s="15" t="n"/>
      <c r="B160" s="10" t="n"/>
      <c r="C160" s="14">
        <f>IF(B160="","",IFERROR(INDEX('Sản phẩm'!$B$5:$B$304,MATCH(B160,'Sản phẩm'!$A$5:$A$304,0)),""))</f>
        <v/>
      </c>
      <c r="D160" s="12" t="n"/>
      <c r="E160" s="11" t="n"/>
      <c r="F160" s="16">
        <f>IF(OR(D160="",E160=""),"",D160*E160)</f>
        <v/>
      </c>
      <c r="G160" s="10" t="n"/>
      <c r="H160" s="14">
        <f>IF(A160="","",MONTH(A160))</f>
        <v/>
      </c>
      <c r="I160" s="14">
        <f>IF(A160="","",YEAR(A160))</f>
        <v/>
      </c>
    </row>
    <row r="161">
      <c r="A161" s="15" t="n"/>
      <c r="B161" s="10" t="n"/>
      <c r="C161" s="14">
        <f>IF(B161="","",IFERROR(INDEX('Sản phẩm'!$B$5:$B$304,MATCH(B161,'Sản phẩm'!$A$5:$A$304,0)),""))</f>
        <v/>
      </c>
      <c r="D161" s="12" t="n"/>
      <c r="E161" s="11" t="n"/>
      <c r="F161" s="16">
        <f>IF(OR(D161="",E161=""),"",D161*E161)</f>
        <v/>
      </c>
      <c r="G161" s="10" t="n"/>
      <c r="H161" s="14">
        <f>IF(A161="","",MONTH(A161))</f>
        <v/>
      </c>
      <c r="I161" s="14">
        <f>IF(A161="","",YEAR(A161))</f>
        <v/>
      </c>
    </row>
    <row r="162">
      <c r="A162" s="15" t="n"/>
      <c r="B162" s="10" t="n"/>
      <c r="C162" s="14">
        <f>IF(B162="","",IFERROR(INDEX('Sản phẩm'!$B$5:$B$304,MATCH(B162,'Sản phẩm'!$A$5:$A$304,0)),""))</f>
        <v/>
      </c>
      <c r="D162" s="12" t="n"/>
      <c r="E162" s="11" t="n"/>
      <c r="F162" s="16">
        <f>IF(OR(D162="",E162=""),"",D162*E162)</f>
        <v/>
      </c>
      <c r="G162" s="10" t="n"/>
      <c r="H162" s="14">
        <f>IF(A162="","",MONTH(A162))</f>
        <v/>
      </c>
      <c r="I162" s="14">
        <f>IF(A162="","",YEAR(A162))</f>
        <v/>
      </c>
    </row>
    <row r="163">
      <c r="A163" s="15" t="n"/>
      <c r="B163" s="10" t="n"/>
      <c r="C163" s="14">
        <f>IF(B163="","",IFERROR(INDEX('Sản phẩm'!$B$5:$B$304,MATCH(B163,'Sản phẩm'!$A$5:$A$304,0)),""))</f>
        <v/>
      </c>
      <c r="D163" s="12" t="n"/>
      <c r="E163" s="11" t="n"/>
      <c r="F163" s="16">
        <f>IF(OR(D163="",E163=""),"",D163*E163)</f>
        <v/>
      </c>
      <c r="G163" s="10" t="n"/>
      <c r="H163" s="14">
        <f>IF(A163="","",MONTH(A163))</f>
        <v/>
      </c>
      <c r="I163" s="14">
        <f>IF(A163="","",YEAR(A163))</f>
        <v/>
      </c>
    </row>
    <row r="164">
      <c r="A164" s="15" t="n"/>
      <c r="B164" s="10" t="n"/>
      <c r="C164" s="14">
        <f>IF(B164="","",IFERROR(INDEX('Sản phẩm'!$B$5:$B$304,MATCH(B164,'Sản phẩm'!$A$5:$A$304,0)),""))</f>
        <v/>
      </c>
      <c r="D164" s="12" t="n"/>
      <c r="E164" s="11" t="n"/>
      <c r="F164" s="16">
        <f>IF(OR(D164="",E164=""),"",D164*E164)</f>
        <v/>
      </c>
      <c r="G164" s="10" t="n"/>
      <c r="H164" s="14">
        <f>IF(A164="","",MONTH(A164))</f>
        <v/>
      </c>
      <c r="I164" s="14">
        <f>IF(A164="","",YEAR(A164))</f>
        <v/>
      </c>
    </row>
    <row r="165">
      <c r="A165" s="15" t="n"/>
      <c r="B165" s="10" t="n"/>
      <c r="C165" s="14">
        <f>IF(B165="","",IFERROR(INDEX('Sản phẩm'!$B$5:$B$304,MATCH(B165,'Sản phẩm'!$A$5:$A$304,0)),""))</f>
        <v/>
      </c>
      <c r="D165" s="12" t="n"/>
      <c r="E165" s="11" t="n"/>
      <c r="F165" s="16">
        <f>IF(OR(D165="",E165=""),"",D165*E165)</f>
        <v/>
      </c>
      <c r="G165" s="10" t="n"/>
      <c r="H165" s="14">
        <f>IF(A165="","",MONTH(A165))</f>
        <v/>
      </c>
      <c r="I165" s="14">
        <f>IF(A165="","",YEAR(A165))</f>
        <v/>
      </c>
    </row>
    <row r="166">
      <c r="A166" s="15" t="n"/>
      <c r="B166" s="10" t="n"/>
      <c r="C166" s="14">
        <f>IF(B166="","",IFERROR(INDEX('Sản phẩm'!$B$5:$B$304,MATCH(B166,'Sản phẩm'!$A$5:$A$304,0)),""))</f>
        <v/>
      </c>
      <c r="D166" s="12" t="n"/>
      <c r="E166" s="11" t="n"/>
      <c r="F166" s="16">
        <f>IF(OR(D166="",E166=""),"",D166*E166)</f>
        <v/>
      </c>
      <c r="G166" s="10" t="n"/>
      <c r="H166" s="14">
        <f>IF(A166="","",MONTH(A166))</f>
        <v/>
      </c>
      <c r="I166" s="14">
        <f>IF(A166="","",YEAR(A166))</f>
        <v/>
      </c>
    </row>
    <row r="167">
      <c r="A167" s="15" t="n"/>
      <c r="B167" s="10" t="n"/>
      <c r="C167" s="14">
        <f>IF(B167="","",IFERROR(INDEX('Sản phẩm'!$B$5:$B$304,MATCH(B167,'Sản phẩm'!$A$5:$A$304,0)),""))</f>
        <v/>
      </c>
      <c r="D167" s="12" t="n"/>
      <c r="E167" s="11" t="n"/>
      <c r="F167" s="16">
        <f>IF(OR(D167="",E167=""),"",D167*E167)</f>
        <v/>
      </c>
      <c r="G167" s="10" t="n"/>
      <c r="H167" s="14">
        <f>IF(A167="","",MONTH(A167))</f>
        <v/>
      </c>
      <c r="I167" s="14">
        <f>IF(A167="","",YEAR(A167))</f>
        <v/>
      </c>
    </row>
    <row r="168">
      <c r="A168" s="15" t="n"/>
      <c r="B168" s="10" t="n"/>
      <c r="C168" s="14">
        <f>IF(B168="","",IFERROR(INDEX('Sản phẩm'!$B$5:$B$304,MATCH(B168,'Sản phẩm'!$A$5:$A$304,0)),""))</f>
        <v/>
      </c>
      <c r="D168" s="12" t="n"/>
      <c r="E168" s="11" t="n"/>
      <c r="F168" s="16">
        <f>IF(OR(D168="",E168=""),"",D168*E168)</f>
        <v/>
      </c>
      <c r="G168" s="10" t="n"/>
      <c r="H168" s="14">
        <f>IF(A168="","",MONTH(A168))</f>
        <v/>
      </c>
      <c r="I168" s="14">
        <f>IF(A168="","",YEAR(A168))</f>
        <v/>
      </c>
    </row>
    <row r="169">
      <c r="A169" s="15" t="n"/>
      <c r="B169" s="10" t="n"/>
      <c r="C169" s="14">
        <f>IF(B169="","",IFERROR(INDEX('Sản phẩm'!$B$5:$B$304,MATCH(B169,'Sản phẩm'!$A$5:$A$304,0)),""))</f>
        <v/>
      </c>
      <c r="D169" s="12" t="n"/>
      <c r="E169" s="11" t="n"/>
      <c r="F169" s="16">
        <f>IF(OR(D169="",E169=""),"",D169*E169)</f>
        <v/>
      </c>
      <c r="G169" s="10" t="n"/>
      <c r="H169" s="14">
        <f>IF(A169="","",MONTH(A169))</f>
        <v/>
      </c>
      <c r="I169" s="14">
        <f>IF(A169="","",YEAR(A169))</f>
        <v/>
      </c>
    </row>
    <row r="170">
      <c r="A170" s="15" t="n"/>
      <c r="B170" s="10" t="n"/>
      <c r="C170" s="14">
        <f>IF(B170="","",IFERROR(INDEX('Sản phẩm'!$B$5:$B$304,MATCH(B170,'Sản phẩm'!$A$5:$A$304,0)),""))</f>
        <v/>
      </c>
      <c r="D170" s="12" t="n"/>
      <c r="E170" s="11" t="n"/>
      <c r="F170" s="16">
        <f>IF(OR(D170="",E170=""),"",D170*E170)</f>
        <v/>
      </c>
      <c r="G170" s="10" t="n"/>
      <c r="H170" s="14">
        <f>IF(A170="","",MONTH(A170))</f>
        <v/>
      </c>
      <c r="I170" s="14">
        <f>IF(A170="","",YEAR(A170))</f>
        <v/>
      </c>
    </row>
    <row r="171">
      <c r="A171" s="15" t="n"/>
      <c r="B171" s="10" t="n"/>
      <c r="C171" s="14">
        <f>IF(B171="","",IFERROR(INDEX('Sản phẩm'!$B$5:$B$304,MATCH(B171,'Sản phẩm'!$A$5:$A$304,0)),""))</f>
        <v/>
      </c>
      <c r="D171" s="12" t="n"/>
      <c r="E171" s="11" t="n"/>
      <c r="F171" s="16">
        <f>IF(OR(D171="",E171=""),"",D171*E171)</f>
        <v/>
      </c>
      <c r="G171" s="10" t="n"/>
      <c r="H171" s="14">
        <f>IF(A171="","",MONTH(A171))</f>
        <v/>
      </c>
      <c r="I171" s="14">
        <f>IF(A171="","",YEAR(A171))</f>
        <v/>
      </c>
    </row>
    <row r="172">
      <c r="A172" s="15" t="n"/>
      <c r="B172" s="10" t="n"/>
      <c r="C172" s="14">
        <f>IF(B172="","",IFERROR(INDEX('Sản phẩm'!$B$5:$B$304,MATCH(B172,'Sản phẩm'!$A$5:$A$304,0)),""))</f>
        <v/>
      </c>
      <c r="D172" s="12" t="n"/>
      <c r="E172" s="11" t="n"/>
      <c r="F172" s="16">
        <f>IF(OR(D172="",E172=""),"",D172*E172)</f>
        <v/>
      </c>
      <c r="G172" s="10" t="n"/>
      <c r="H172" s="14">
        <f>IF(A172="","",MONTH(A172))</f>
        <v/>
      </c>
      <c r="I172" s="14">
        <f>IF(A172="","",YEAR(A172))</f>
        <v/>
      </c>
    </row>
    <row r="173">
      <c r="A173" s="15" t="n"/>
      <c r="B173" s="10" t="n"/>
      <c r="C173" s="14">
        <f>IF(B173="","",IFERROR(INDEX('Sản phẩm'!$B$5:$B$304,MATCH(B173,'Sản phẩm'!$A$5:$A$304,0)),""))</f>
        <v/>
      </c>
      <c r="D173" s="12" t="n"/>
      <c r="E173" s="11" t="n"/>
      <c r="F173" s="16">
        <f>IF(OR(D173="",E173=""),"",D173*E173)</f>
        <v/>
      </c>
      <c r="G173" s="10" t="n"/>
      <c r="H173" s="14">
        <f>IF(A173="","",MONTH(A173))</f>
        <v/>
      </c>
      <c r="I173" s="14">
        <f>IF(A173="","",YEAR(A173))</f>
        <v/>
      </c>
    </row>
    <row r="174">
      <c r="A174" s="15" t="n"/>
      <c r="B174" s="10" t="n"/>
      <c r="C174" s="14">
        <f>IF(B174="","",IFERROR(INDEX('Sản phẩm'!$B$5:$B$304,MATCH(B174,'Sản phẩm'!$A$5:$A$304,0)),""))</f>
        <v/>
      </c>
      <c r="D174" s="12" t="n"/>
      <c r="E174" s="11" t="n"/>
      <c r="F174" s="16">
        <f>IF(OR(D174="",E174=""),"",D174*E174)</f>
        <v/>
      </c>
      <c r="G174" s="10" t="n"/>
      <c r="H174" s="14">
        <f>IF(A174="","",MONTH(A174))</f>
        <v/>
      </c>
      <c r="I174" s="14">
        <f>IF(A174="","",YEAR(A174))</f>
        <v/>
      </c>
    </row>
    <row r="175">
      <c r="A175" s="15" t="n"/>
      <c r="B175" s="10" t="n"/>
      <c r="C175" s="14">
        <f>IF(B175="","",IFERROR(INDEX('Sản phẩm'!$B$5:$B$304,MATCH(B175,'Sản phẩm'!$A$5:$A$304,0)),""))</f>
        <v/>
      </c>
      <c r="D175" s="12" t="n"/>
      <c r="E175" s="11" t="n"/>
      <c r="F175" s="16">
        <f>IF(OR(D175="",E175=""),"",D175*E175)</f>
        <v/>
      </c>
      <c r="G175" s="10" t="n"/>
      <c r="H175" s="14">
        <f>IF(A175="","",MONTH(A175))</f>
        <v/>
      </c>
      <c r="I175" s="14">
        <f>IF(A175="","",YEAR(A175))</f>
        <v/>
      </c>
    </row>
    <row r="176">
      <c r="A176" s="15" t="n"/>
      <c r="B176" s="10" t="n"/>
      <c r="C176" s="14">
        <f>IF(B176="","",IFERROR(INDEX('Sản phẩm'!$B$5:$B$304,MATCH(B176,'Sản phẩm'!$A$5:$A$304,0)),""))</f>
        <v/>
      </c>
      <c r="D176" s="12" t="n"/>
      <c r="E176" s="11" t="n"/>
      <c r="F176" s="16">
        <f>IF(OR(D176="",E176=""),"",D176*E176)</f>
        <v/>
      </c>
      <c r="G176" s="10" t="n"/>
      <c r="H176" s="14">
        <f>IF(A176="","",MONTH(A176))</f>
        <v/>
      </c>
      <c r="I176" s="14">
        <f>IF(A176="","",YEAR(A176))</f>
        <v/>
      </c>
    </row>
    <row r="177">
      <c r="A177" s="15" t="n"/>
      <c r="B177" s="10" t="n"/>
      <c r="C177" s="14">
        <f>IF(B177="","",IFERROR(INDEX('Sản phẩm'!$B$5:$B$304,MATCH(B177,'Sản phẩm'!$A$5:$A$304,0)),""))</f>
        <v/>
      </c>
      <c r="D177" s="12" t="n"/>
      <c r="E177" s="11" t="n"/>
      <c r="F177" s="16">
        <f>IF(OR(D177="",E177=""),"",D177*E177)</f>
        <v/>
      </c>
      <c r="G177" s="10" t="n"/>
      <c r="H177" s="14">
        <f>IF(A177="","",MONTH(A177))</f>
        <v/>
      </c>
      <c r="I177" s="14">
        <f>IF(A177="","",YEAR(A177))</f>
        <v/>
      </c>
    </row>
    <row r="178">
      <c r="A178" s="15" t="n"/>
      <c r="B178" s="10" t="n"/>
      <c r="C178" s="14">
        <f>IF(B178="","",IFERROR(INDEX('Sản phẩm'!$B$5:$B$304,MATCH(B178,'Sản phẩm'!$A$5:$A$304,0)),""))</f>
        <v/>
      </c>
      <c r="D178" s="12" t="n"/>
      <c r="E178" s="11" t="n"/>
      <c r="F178" s="16">
        <f>IF(OR(D178="",E178=""),"",D178*E178)</f>
        <v/>
      </c>
      <c r="G178" s="10" t="n"/>
      <c r="H178" s="14">
        <f>IF(A178="","",MONTH(A178))</f>
        <v/>
      </c>
      <c r="I178" s="14">
        <f>IF(A178="","",YEAR(A178))</f>
        <v/>
      </c>
    </row>
    <row r="179">
      <c r="A179" s="15" t="n"/>
      <c r="B179" s="10" t="n"/>
      <c r="C179" s="14">
        <f>IF(B179="","",IFERROR(INDEX('Sản phẩm'!$B$5:$B$304,MATCH(B179,'Sản phẩm'!$A$5:$A$304,0)),""))</f>
        <v/>
      </c>
      <c r="D179" s="12" t="n"/>
      <c r="E179" s="11" t="n"/>
      <c r="F179" s="16">
        <f>IF(OR(D179="",E179=""),"",D179*E179)</f>
        <v/>
      </c>
      <c r="G179" s="10" t="n"/>
      <c r="H179" s="14">
        <f>IF(A179="","",MONTH(A179))</f>
        <v/>
      </c>
      <c r="I179" s="14">
        <f>IF(A179="","",YEAR(A179))</f>
        <v/>
      </c>
    </row>
    <row r="180">
      <c r="A180" s="15" t="n"/>
      <c r="B180" s="10" t="n"/>
      <c r="C180" s="14">
        <f>IF(B180="","",IFERROR(INDEX('Sản phẩm'!$B$5:$B$304,MATCH(B180,'Sản phẩm'!$A$5:$A$304,0)),""))</f>
        <v/>
      </c>
      <c r="D180" s="12" t="n"/>
      <c r="E180" s="11" t="n"/>
      <c r="F180" s="16">
        <f>IF(OR(D180="",E180=""),"",D180*E180)</f>
        <v/>
      </c>
      <c r="G180" s="10" t="n"/>
      <c r="H180" s="14">
        <f>IF(A180="","",MONTH(A180))</f>
        <v/>
      </c>
      <c r="I180" s="14">
        <f>IF(A180="","",YEAR(A180))</f>
        <v/>
      </c>
    </row>
    <row r="181">
      <c r="A181" s="15" t="n"/>
      <c r="B181" s="10" t="n"/>
      <c r="C181" s="14">
        <f>IF(B181="","",IFERROR(INDEX('Sản phẩm'!$B$5:$B$304,MATCH(B181,'Sản phẩm'!$A$5:$A$304,0)),""))</f>
        <v/>
      </c>
      <c r="D181" s="12" t="n"/>
      <c r="E181" s="11" t="n"/>
      <c r="F181" s="16">
        <f>IF(OR(D181="",E181=""),"",D181*E181)</f>
        <v/>
      </c>
      <c r="G181" s="10" t="n"/>
      <c r="H181" s="14">
        <f>IF(A181="","",MONTH(A181))</f>
        <v/>
      </c>
      <c r="I181" s="14">
        <f>IF(A181="","",YEAR(A181))</f>
        <v/>
      </c>
    </row>
    <row r="182">
      <c r="A182" s="15" t="n"/>
      <c r="B182" s="10" t="n"/>
      <c r="C182" s="14">
        <f>IF(B182="","",IFERROR(INDEX('Sản phẩm'!$B$5:$B$304,MATCH(B182,'Sản phẩm'!$A$5:$A$304,0)),""))</f>
        <v/>
      </c>
      <c r="D182" s="12" t="n"/>
      <c r="E182" s="11" t="n"/>
      <c r="F182" s="16">
        <f>IF(OR(D182="",E182=""),"",D182*E182)</f>
        <v/>
      </c>
      <c r="G182" s="10" t="n"/>
      <c r="H182" s="14">
        <f>IF(A182="","",MONTH(A182))</f>
        <v/>
      </c>
      <c r="I182" s="14">
        <f>IF(A182="","",YEAR(A182))</f>
        <v/>
      </c>
    </row>
    <row r="183">
      <c r="A183" s="15" t="n"/>
      <c r="B183" s="10" t="n"/>
      <c r="C183" s="14">
        <f>IF(B183="","",IFERROR(INDEX('Sản phẩm'!$B$5:$B$304,MATCH(B183,'Sản phẩm'!$A$5:$A$304,0)),""))</f>
        <v/>
      </c>
      <c r="D183" s="12" t="n"/>
      <c r="E183" s="11" t="n"/>
      <c r="F183" s="16">
        <f>IF(OR(D183="",E183=""),"",D183*E183)</f>
        <v/>
      </c>
      <c r="G183" s="10" t="n"/>
      <c r="H183" s="14">
        <f>IF(A183="","",MONTH(A183))</f>
        <v/>
      </c>
      <c r="I183" s="14">
        <f>IF(A183="","",YEAR(A183))</f>
        <v/>
      </c>
    </row>
    <row r="184">
      <c r="A184" s="15" t="n"/>
      <c r="B184" s="10" t="n"/>
      <c r="C184" s="14">
        <f>IF(B184="","",IFERROR(INDEX('Sản phẩm'!$B$5:$B$304,MATCH(B184,'Sản phẩm'!$A$5:$A$304,0)),""))</f>
        <v/>
      </c>
      <c r="D184" s="12" t="n"/>
      <c r="E184" s="11" t="n"/>
      <c r="F184" s="16">
        <f>IF(OR(D184="",E184=""),"",D184*E184)</f>
        <v/>
      </c>
      <c r="G184" s="10" t="n"/>
      <c r="H184" s="14">
        <f>IF(A184="","",MONTH(A184))</f>
        <v/>
      </c>
      <c r="I184" s="14">
        <f>IF(A184="","",YEAR(A184))</f>
        <v/>
      </c>
    </row>
    <row r="185">
      <c r="A185" s="15" t="n"/>
      <c r="B185" s="10" t="n"/>
      <c r="C185" s="14">
        <f>IF(B185="","",IFERROR(INDEX('Sản phẩm'!$B$5:$B$304,MATCH(B185,'Sản phẩm'!$A$5:$A$304,0)),""))</f>
        <v/>
      </c>
      <c r="D185" s="12" t="n"/>
      <c r="E185" s="11" t="n"/>
      <c r="F185" s="16">
        <f>IF(OR(D185="",E185=""),"",D185*E185)</f>
        <v/>
      </c>
      <c r="G185" s="10" t="n"/>
      <c r="H185" s="14">
        <f>IF(A185="","",MONTH(A185))</f>
        <v/>
      </c>
      <c r="I185" s="14">
        <f>IF(A185="","",YEAR(A185))</f>
        <v/>
      </c>
    </row>
    <row r="186">
      <c r="A186" s="15" t="n"/>
      <c r="B186" s="10" t="n"/>
      <c r="C186" s="14">
        <f>IF(B186="","",IFERROR(INDEX('Sản phẩm'!$B$5:$B$304,MATCH(B186,'Sản phẩm'!$A$5:$A$304,0)),""))</f>
        <v/>
      </c>
      <c r="D186" s="12" t="n"/>
      <c r="E186" s="11" t="n"/>
      <c r="F186" s="16">
        <f>IF(OR(D186="",E186=""),"",D186*E186)</f>
        <v/>
      </c>
      <c r="G186" s="10" t="n"/>
      <c r="H186" s="14">
        <f>IF(A186="","",MONTH(A186))</f>
        <v/>
      </c>
      <c r="I186" s="14">
        <f>IF(A186="","",YEAR(A186))</f>
        <v/>
      </c>
    </row>
    <row r="187">
      <c r="A187" s="15" t="n"/>
      <c r="B187" s="10" t="n"/>
      <c r="C187" s="14">
        <f>IF(B187="","",IFERROR(INDEX('Sản phẩm'!$B$5:$B$304,MATCH(B187,'Sản phẩm'!$A$5:$A$304,0)),""))</f>
        <v/>
      </c>
      <c r="D187" s="12" t="n"/>
      <c r="E187" s="11" t="n"/>
      <c r="F187" s="16">
        <f>IF(OR(D187="",E187=""),"",D187*E187)</f>
        <v/>
      </c>
      <c r="G187" s="10" t="n"/>
      <c r="H187" s="14">
        <f>IF(A187="","",MONTH(A187))</f>
        <v/>
      </c>
      <c r="I187" s="14">
        <f>IF(A187="","",YEAR(A187))</f>
        <v/>
      </c>
    </row>
    <row r="188">
      <c r="A188" s="15" t="n"/>
      <c r="B188" s="10" t="n"/>
      <c r="C188" s="14">
        <f>IF(B188="","",IFERROR(INDEX('Sản phẩm'!$B$5:$B$304,MATCH(B188,'Sản phẩm'!$A$5:$A$304,0)),""))</f>
        <v/>
      </c>
      <c r="D188" s="12" t="n"/>
      <c r="E188" s="11" t="n"/>
      <c r="F188" s="16">
        <f>IF(OR(D188="",E188=""),"",D188*E188)</f>
        <v/>
      </c>
      <c r="G188" s="10" t="n"/>
      <c r="H188" s="14">
        <f>IF(A188="","",MONTH(A188))</f>
        <v/>
      </c>
      <c r="I188" s="14">
        <f>IF(A188="","",YEAR(A188))</f>
        <v/>
      </c>
    </row>
    <row r="189">
      <c r="A189" s="15" t="n"/>
      <c r="B189" s="10" t="n"/>
      <c r="C189" s="14">
        <f>IF(B189="","",IFERROR(INDEX('Sản phẩm'!$B$5:$B$304,MATCH(B189,'Sản phẩm'!$A$5:$A$304,0)),""))</f>
        <v/>
      </c>
      <c r="D189" s="12" t="n"/>
      <c r="E189" s="11" t="n"/>
      <c r="F189" s="16">
        <f>IF(OR(D189="",E189=""),"",D189*E189)</f>
        <v/>
      </c>
      <c r="G189" s="10" t="n"/>
      <c r="H189" s="14">
        <f>IF(A189="","",MONTH(A189))</f>
        <v/>
      </c>
      <c r="I189" s="14">
        <f>IF(A189="","",YEAR(A189))</f>
        <v/>
      </c>
    </row>
    <row r="190">
      <c r="A190" s="15" t="n"/>
      <c r="B190" s="10" t="n"/>
      <c r="C190" s="14">
        <f>IF(B190="","",IFERROR(INDEX('Sản phẩm'!$B$5:$B$304,MATCH(B190,'Sản phẩm'!$A$5:$A$304,0)),""))</f>
        <v/>
      </c>
      <c r="D190" s="12" t="n"/>
      <c r="E190" s="11" t="n"/>
      <c r="F190" s="16">
        <f>IF(OR(D190="",E190=""),"",D190*E190)</f>
        <v/>
      </c>
      <c r="G190" s="10" t="n"/>
      <c r="H190" s="14">
        <f>IF(A190="","",MONTH(A190))</f>
        <v/>
      </c>
      <c r="I190" s="14">
        <f>IF(A190="","",YEAR(A190))</f>
        <v/>
      </c>
    </row>
    <row r="191">
      <c r="A191" s="15" t="n"/>
      <c r="B191" s="10" t="n"/>
      <c r="C191" s="14">
        <f>IF(B191="","",IFERROR(INDEX('Sản phẩm'!$B$5:$B$304,MATCH(B191,'Sản phẩm'!$A$5:$A$304,0)),""))</f>
        <v/>
      </c>
      <c r="D191" s="12" t="n"/>
      <c r="E191" s="11" t="n"/>
      <c r="F191" s="16">
        <f>IF(OR(D191="",E191=""),"",D191*E191)</f>
        <v/>
      </c>
      <c r="G191" s="10" t="n"/>
      <c r="H191" s="14">
        <f>IF(A191="","",MONTH(A191))</f>
        <v/>
      </c>
      <c r="I191" s="14">
        <f>IF(A191="","",YEAR(A191))</f>
        <v/>
      </c>
    </row>
    <row r="192">
      <c r="A192" s="15" t="n"/>
      <c r="B192" s="10" t="n"/>
      <c r="C192" s="14">
        <f>IF(B192="","",IFERROR(INDEX('Sản phẩm'!$B$5:$B$304,MATCH(B192,'Sản phẩm'!$A$5:$A$304,0)),""))</f>
        <v/>
      </c>
      <c r="D192" s="12" t="n"/>
      <c r="E192" s="11" t="n"/>
      <c r="F192" s="16">
        <f>IF(OR(D192="",E192=""),"",D192*E192)</f>
        <v/>
      </c>
      <c r="G192" s="10" t="n"/>
      <c r="H192" s="14">
        <f>IF(A192="","",MONTH(A192))</f>
        <v/>
      </c>
      <c r="I192" s="14">
        <f>IF(A192="","",YEAR(A192))</f>
        <v/>
      </c>
    </row>
    <row r="193">
      <c r="A193" s="15" t="n"/>
      <c r="B193" s="10" t="n"/>
      <c r="C193" s="14">
        <f>IF(B193="","",IFERROR(INDEX('Sản phẩm'!$B$5:$B$304,MATCH(B193,'Sản phẩm'!$A$5:$A$304,0)),""))</f>
        <v/>
      </c>
      <c r="D193" s="12" t="n"/>
      <c r="E193" s="11" t="n"/>
      <c r="F193" s="16">
        <f>IF(OR(D193="",E193=""),"",D193*E193)</f>
        <v/>
      </c>
      <c r="G193" s="10" t="n"/>
      <c r="H193" s="14">
        <f>IF(A193="","",MONTH(A193))</f>
        <v/>
      </c>
      <c r="I193" s="14">
        <f>IF(A193="","",YEAR(A193))</f>
        <v/>
      </c>
    </row>
    <row r="194">
      <c r="A194" s="15" t="n"/>
      <c r="B194" s="10" t="n"/>
      <c r="C194" s="14">
        <f>IF(B194="","",IFERROR(INDEX('Sản phẩm'!$B$5:$B$304,MATCH(B194,'Sản phẩm'!$A$5:$A$304,0)),""))</f>
        <v/>
      </c>
      <c r="D194" s="12" t="n"/>
      <c r="E194" s="11" t="n"/>
      <c r="F194" s="16">
        <f>IF(OR(D194="",E194=""),"",D194*E194)</f>
        <v/>
      </c>
      <c r="G194" s="10" t="n"/>
      <c r="H194" s="14">
        <f>IF(A194="","",MONTH(A194))</f>
        <v/>
      </c>
      <c r="I194" s="14">
        <f>IF(A194="","",YEAR(A194))</f>
        <v/>
      </c>
    </row>
    <row r="195">
      <c r="A195" s="15" t="n"/>
      <c r="B195" s="10" t="n"/>
      <c r="C195" s="14">
        <f>IF(B195="","",IFERROR(INDEX('Sản phẩm'!$B$5:$B$304,MATCH(B195,'Sản phẩm'!$A$5:$A$304,0)),""))</f>
        <v/>
      </c>
      <c r="D195" s="12" t="n"/>
      <c r="E195" s="11" t="n"/>
      <c r="F195" s="16">
        <f>IF(OR(D195="",E195=""),"",D195*E195)</f>
        <v/>
      </c>
      <c r="G195" s="10" t="n"/>
      <c r="H195" s="14">
        <f>IF(A195="","",MONTH(A195))</f>
        <v/>
      </c>
      <c r="I195" s="14">
        <f>IF(A195="","",YEAR(A195))</f>
        <v/>
      </c>
    </row>
    <row r="196">
      <c r="A196" s="15" t="n"/>
      <c r="B196" s="10" t="n"/>
      <c r="C196" s="14">
        <f>IF(B196="","",IFERROR(INDEX('Sản phẩm'!$B$5:$B$304,MATCH(B196,'Sản phẩm'!$A$5:$A$304,0)),""))</f>
        <v/>
      </c>
      <c r="D196" s="12" t="n"/>
      <c r="E196" s="11" t="n"/>
      <c r="F196" s="16">
        <f>IF(OR(D196="",E196=""),"",D196*E196)</f>
        <v/>
      </c>
      <c r="G196" s="10" t="n"/>
      <c r="H196" s="14">
        <f>IF(A196="","",MONTH(A196))</f>
        <v/>
      </c>
      <c r="I196" s="14">
        <f>IF(A196="","",YEAR(A196))</f>
        <v/>
      </c>
    </row>
    <row r="197">
      <c r="A197" s="15" t="n"/>
      <c r="B197" s="10" t="n"/>
      <c r="C197" s="14">
        <f>IF(B197="","",IFERROR(INDEX('Sản phẩm'!$B$5:$B$304,MATCH(B197,'Sản phẩm'!$A$5:$A$304,0)),""))</f>
        <v/>
      </c>
      <c r="D197" s="12" t="n"/>
      <c r="E197" s="11" t="n"/>
      <c r="F197" s="16">
        <f>IF(OR(D197="",E197=""),"",D197*E197)</f>
        <v/>
      </c>
      <c r="G197" s="10" t="n"/>
      <c r="H197" s="14">
        <f>IF(A197="","",MONTH(A197))</f>
        <v/>
      </c>
      <c r="I197" s="14">
        <f>IF(A197="","",YEAR(A197))</f>
        <v/>
      </c>
    </row>
    <row r="198">
      <c r="A198" s="15" t="n"/>
      <c r="B198" s="10" t="n"/>
      <c r="C198" s="14">
        <f>IF(B198="","",IFERROR(INDEX('Sản phẩm'!$B$5:$B$304,MATCH(B198,'Sản phẩm'!$A$5:$A$304,0)),""))</f>
        <v/>
      </c>
      <c r="D198" s="12" t="n"/>
      <c r="E198" s="11" t="n"/>
      <c r="F198" s="16">
        <f>IF(OR(D198="",E198=""),"",D198*E198)</f>
        <v/>
      </c>
      <c r="G198" s="10" t="n"/>
      <c r="H198" s="14">
        <f>IF(A198="","",MONTH(A198))</f>
        <v/>
      </c>
      <c r="I198" s="14">
        <f>IF(A198="","",YEAR(A198))</f>
        <v/>
      </c>
    </row>
    <row r="199">
      <c r="A199" s="15" t="n"/>
      <c r="B199" s="10" t="n"/>
      <c r="C199" s="14">
        <f>IF(B199="","",IFERROR(INDEX('Sản phẩm'!$B$5:$B$304,MATCH(B199,'Sản phẩm'!$A$5:$A$304,0)),""))</f>
        <v/>
      </c>
      <c r="D199" s="12" t="n"/>
      <c r="E199" s="11" t="n"/>
      <c r="F199" s="16">
        <f>IF(OR(D199="",E199=""),"",D199*E199)</f>
        <v/>
      </c>
      <c r="G199" s="10" t="n"/>
      <c r="H199" s="14">
        <f>IF(A199="","",MONTH(A199))</f>
        <v/>
      </c>
      <c r="I199" s="14">
        <f>IF(A199="","",YEAR(A199))</f>
        <v/>
      </c>
    </row>
    <row r="200">
      <c r="A200" s="15" t="n"/>
      <c r="B200" s="10" t="n"/>
      <c r="C200" s="14">
        <f>IF(B200="","",IFERROR(INDEX('Sản phẩm'!$B$5:$B$304,MATCH(B200,'Sản phẩm'!$A$5:$A$304,0)),""))</f>
        <v/>
      </c>
      <c r="D200" s="12" t="n"/>
      <c r="E200" s="11" t="n"/>
      <c r="F200" s="16">
        <f>IF(OR(D200="",E200=""),"",D200*E200)</f>
        <v/>
      </c>
      <c r="G200" s="10" t="n"/>
      <c r="H200" s="14">
        <f>IF(A200="","",MONTH(A200))</f>
        <v/>
      </c>
      <c r="I200" s="14">
        <f>IF(A200="","",YEAR(A200))</f>
        <v/>
      </c>
    </row>
    <row r="201">
      <c r="A201" s="15" t="n"/>
      <c r="B201" s="10" t="n"/>
      <c r="C201" s="14">
        <f>IF(B201="","",IFERROR(INDEX('Sản phẩm'!$B$5:$B$304,MATCH(B201,'Sản phẩm'!$A$5:$A$304,0)),""))</f>
        <v/>
      </c>
      <c r="D201" s="12" t="n"/>
      <c r="E201" s="11" t="n"/>
      <c r="F201" s="16">
        <f>IF(OR(D201="",E201=""),"",D201*E201)</f>
        <v/>
      </c>
      <c r="G201" s="10" t="n"/>
      <c r="H201" s="14">
        <f>IF(A201="","",MONTH(A201))</f>
        <v/>
      </c>
      <c r="I201" s="14">
        <f>IF(A201="","",YEAR(A201))</f>
        <v/>
      </c>
    </row>
    <row r="202">
      <c r="A202" s="15" t="n"/>
      <c r="B202" s="10" t="n"/>
      <c r="C202" s="14">
        <f>IF(B202="","",IFERROR(INDEX('Sản phẩm'!$B$5:$B$304,MATCH(B202,'Sản phẩm'!$A$5:$A$304,0)),""))</f>
        <v/>
      </c>
      <c r="D202" s="12" t="n"/>
      <c r="E202" s="11" t="n"/>
      <c r="F202" s="16">
        <f>IF(OR(D202="",E202=""),"",D202*E202)</f>
        <v/>
      </c>
      <c r="G202" s="10" t="n"/>
      <c r="H202" s="14">
        <f>IF(A202="","",MONTH(A202))</f>
        <v/>
      </c>
      <c r="I202" s="14">
        <f>IF(A202="","",YEAR(A202))</f>
        <v/>
      </c>
    </row>
    <row r="203">
      <c r="A203" s="15" t="n"/>
      <c r="B203" s="10" t="n"/>
      <c r="C203" s="14">
        <f>IF(B203="","",IFERROR(INDEX('Sản phẩm'!$B$5:$B$304,MATCH(B203,'Sản phẩm'!$A$5:$A$304,0)),""))</f>
        <v/>
      </c>
      <c r="D203" s="12" t="n"/>
      <c r="E203" s="11" t="n"/>
      <c r="F203" s="16">
        <f>IF(OR(D203="",E203=""),"",D203*E203)</f>
        <v/>
      </c>
      <c r="G203" s="10" t="n"/>
      <c r="H203" s="14">
        <f>IF(A203="","",MONTH(A203))</f>
        <v/>
      </c>
      <c r="I203" s="14">
        <f>IF(A203="","",YEAR(A203))</f>
        <v/>
      </c>
    </row>
    <row r="204">
      <c r="A204" s="15" t="n"/>
      <c r="B204" s="10" t="n"/>
      <c r="C204" s="14">
        <f>IF(B204="","",IFERROR(INDEX('Sản phẩm'!$B$5:$B$304,MATCH(B204,'Sản phẩm'!$A$5:$A$304,0)),""))</f>
        <v/>
      </c>
      <c r="D204" s="12" t="n"/>
      <c r="E204" s="11" t="n"/>
      <c r="F204" s="16">
        <f>IF(OR(D204="",E204=""),"",D204*E204)</f>
        <v/>
      </c>
      <c r="G204" s="10" t="n"/>
      <c r="H204" s="14">
        <f>IF(A204="","",MONTH(A204))</f>
        <v/>
      </c>
      <c r="I204" s="14">
        <f>IF(A204="","",YEAR(A204))</f>
        <v/>
      </c>
    </row>
    <row r="205">
      <c r="A205" s="15" t="n"/>
      <c r="B205" s="10" t="n"/>
      <c r="C205" s="14">
        <f>IF(B205="","",IFERROR(INDEX('Sản phẩm'!$B$5:$B$304,MATCH(B205,'Sản phẩm'!$A$5:$A$304,0)),""))</f>
        <v/>
      </c>
      <c r="D205" s="12" t="n"/>
      <c r="E205" s="11" t="n"/>
      <c r="F205" s="16">
        <f>IF(OR(D205="",E205=""),"",D205*E205)</f>
        <v/>
      </c>
      <c r="G205" s="10" t="n"/>
      <c r="H205" s="14">
        <f>IF(A205="","",MONTH(A205))</f>
        <v/>
      </c>
      <c r="I205" s="14">
        <f>IF(A205="","",YEAR(A205))</f>
        <v/>
      </c>
    </row>
    <row r="206">
      <c r="A206" s="15" t="n"/>
      <c r="B206" s="10" t="n"/>
      <c r="C206" s="14">
        <f>IF(B206="","",IFERROR(INDEX('Sản phẩm'!$B$5:$B$304,MATCH(B206,'Sản phẩm'!$A$5:$A$304,0)),""))</f>
        <v/>
      </c>
      <c r="D206" s="12" t="n"/>
      <c r="E206" s="11" t="n"/>
      <c r="F206" s="16">
        <f>IF(OR(D206="",E206=""),"",D206*E206)</f>
        <v/>
      </c>
      <c r="G206" s="10" t="n"/>
      <c r="H206" s="14">
        <f>IF(A206="","",MONTH(A206))</f>
        <v/>
      </c>
      <c r="I206" s="14">
        <f>IF(A206="","",YEAR(A206))</f>
        <v/>
      </c>
    </row>
    <row r="207">
      <c r="A207" s="15" t="n"/>
      <c r="B207" s="10" t="n"/>
      <c r="C207" s="14">
        <f>IF(B207="","",IFERROR(INDEX('Sản phẩm'!$B$5:$B$304,MATCH(B207,'Sản phẩm'!$A$5:$A$304,0)),""))</f>
        <v/>
      </c>
      <c r="D207" s="12" t="n"/>
      <c r="E207" s="11" t="n"/>
      <c r="F207" s="16">
        <f>IF(OR(D207="",E207=""),"",D207*E207)</f>
        <v/>
      </c>
      <c r="G207" s="10" t="n"/>
      <c r="H207" s="14">
        <f>IF(A207="","",MONTH(A207))</f>
        <v/>
      </c>
      <c r="I207" s="14">
        <f>IF(A207="","",YEAR(A207))</f>
        <v/>
      </c>
    </row>
    <row r="208">
      <c r="A208" s="15" t="n"/>
      <c r="B208" s="10" t="n"/>
      <c r="C208" s="14">
        <f>IF(B208="","",IFERROR(INDEX('Sản phẩm'!$B$5:$B$304,MATCH(B208,'Sản phẩm'!$A$5:$A$304,0)),""))</f>
        <v/>
      </c>
      <c r="D208" s="12" t="n"/>
      <c r="E208" s="11" t="n"/>
      <c r="F208" s="16">
        <f>IF(OR(D208="",E208=""),"",D208*E208)</f>
        <v/>
      </c>
      <c r="G208" s="10" t="n"/>
      <c r="H208" s="14">
        <f>IF(A208="","",MONTH(A208))</f>
        <v/>
      </c>
      <c r="I208" s="14">
        <f>IF(A208="","",YEAR(A208))</f>
        <v/>
      </c>
    </row>
    <row r="209">
      <c r="A209" s="15" t="n"/>
      <c r="B209" s="10" t="n"/>
      <c r="C209" s="14">
        <f>IF(B209="","",IFERROR(INDEX('Sản phẩm'!$B$5:$B$304,MATCH(B209,'Sản phẩm'!$A$5:$A$304,0)),""))</f>
        <v/>
      </c>
      <c r="D209" s="12" t="n"/>
      <c r="E209" s="11" t="n"/>
      <c r="F209" s="16">
        <f>IF(OR(D209="",E209=""),"",D209*E209)</f>
        <v/>
      </c>
      <c r="G209" s="10" t="n"/>
      <c r="H209" s="14">
        <f>IF(A209="","",MONTH(A209))</f>
        <v/>
      </c>
      <c r="I209" s="14">
        <f>IF(A209="","",YEAR(A209))</f>
        <v/>
      </c>
    </row>
    <row r="210">
      <c r="A210" s="15" t="n"/>
      <c r="B210" s="10" t="n"/>
      <c r="C210" s="14">
        <f>IF(B210="","",IFERROR(INDEX('Sản phẩm'!$B$5:$B$304,MATCH(B210,'Sản phẩm'!$A$5:$A$304,0)),""))</f>
        <v/>
      </c>
      <c r="D210" s="12" t="n"/>
      <c r="E210" s="11" t="n"/>
      <c r="F210" s="16">
        <f>IF(OR(D210="",E210=""),"",D210*E210)</f>
        <v/>
      </c>
      <c r="G210" s="10" t="n"/>
      <c r="H210" s="14">
        <f>IF(A210="","",MONTH(A210))</f>
        <v/>
      </c>
      <c r="I210" s="14">
        <f>IF(A210="","",YEAR(A210))</f>
        <v/>
      </c>
    </row>
    <row r="211">
      <c r="A211" s="15" t="n"/>
      <c r="B211" s="10" t="n"/>
      <c r="C211" s="14">
        <f>IF(B211="","",IFERROR(INDEX('Sản phẩm'!$B$5:$B$304,MATCH(B211,'Sản phẩm'!$A$5:$A$304,0)),""))</f>
        <v/>
      </c>
      <c r="D211" s="12" t="n"/>
      <c r="E211" s="11" t="n"/>
      <c r="F211" s="16">
        <f>IF(OR(D211="",E211=""),"",D211*E211)</f>
        <v/>
      </c>
      <c r="G211" s="10" t="n"/>
      <c r="H211" s="14">
        <f>IF(A211="","",MONTH(A211))</f>
        <v/>
      </c>
      <c r="I211" s="14">
        <f>IF(A211="","",YEAR(A211))</f>
        <v/>
      </c>
    </row>
    <row r="212">
      <c r="A212" s="15" t="n"/>
      <c r="B212" s="10" t="n"/>
      <c r="C212" s="14">
        <f>IF(B212="","",IFERROR(INDEX('Sản phẩm'!$B$5:$B$304,MATCH(B212,'Sản phẩm'!$A$5:$A$304,0)),""))</f>
        <v/>
      </c>
      <c r="D212" s="12" t="n"/>
      <c r="E212" s="11" t="n"/>
      <c r="F212" s="16">
        <f>IF(OR(D212="",E212=""),"",D212*E212)</f>
        <v/>
      </c>
      <c r="G212" s="10" t="n"/>
      <c r="H212" s="14">
        <f>IF(A212="","",MONTH(A212))</f>
        <v/>
      </c>
      <c r="I212" s="14">
        <f>IF(A212="","",YEAR(A212))</f>
        <v/>
      </c>
    </row>
    <row r="213">
      <c r="A213" s="15" t="n"/>
      <c r="B213" s="10" t="n"/>
      <c r="C213" s="14">
        <f>IF(B213="","",IFERROR(INDEX('Sản phẩm'!$B$5:$B$304,MATCH(B213,'Sản phẩm'!$A$5:$A$304,0)),""))</f>
        <v/>
      </c>
      <c r="D213" s="12" t="n"/>
      <c r="E213" s="11" t="n"/>
      <c r="F213" s="16">
        <f>IF(OR(D213="",E213=""),"",D213*E213)</f>
        <v/>
      </c>
      <c r="G213" s="10" t="n"/>
      <c r="H213" s="14">
        <f>IF(A213="","",MONTH(A213))</f>
        <v/>
      </c>
      <c r="I213" s="14">
        <f>IF(A213="","",YEAR(A213))</f>
        <v/>
      </c>
    </row>
    <row r="214">
      <c r="A214" s="15" t="n"/>
      <c r="B214" s="10" t="n"/>
      <c r="C214" s="14">
        <f>IF(B214="","",IFERROR(INDEX('Sản phẩm'!$B$5:$B$304,MATCH(B214,'Sản phẩm'!$A$5:$A$304,0)),""))</f>
        <v/>
      </c>
      <c r="D214" s="12" t="n"/>
      <c r="E214" s="11" t="n"/>
      <c r="F214" s="16">
        <f>IF(OR(D214="",E214=""),"",D214*E214)</f>
        <v/>
      </c>
      <c r="G214" s="10" t="n"/>
      <c r="H214" s="14">
        <f>IF(A214="","",MONTH(A214))</f>
        <v/>
      </c>
      <c r="I214" s="14">
        <f>IF(A214="","",YEAR(A214))</f>
        <v/>
      </c>
    </row>
    <row r="215">
      <c r="A215" s="15" t="n"/>
      <c r="B215" s="10" t="n"/>
      <c r="C215" s="14">
        <f>IF(B215="","",IFERROR(INDEX('Sản phẩm'!$B$5:$B$304,MATCH(B215,'Sản phẩm'!$A$5:$A$304,0)),""))</f>
        <v/>
      </c>
      <c r="D215" s="12" t="n"/>
      <c r="E215" s="11" t="n"/>
      <c r="F215" s="16">
        <f>IF(OR(D215="",E215=""),"",D215*E215)</f>
        <v/>
      </c>
      <c r="G215" s="10" t="n"/>
      <c r="H215" s="14">
        <f>IF(A215="","",MONTH(A215))</f>
        <v/>
      </c>
      <c r="I215" s="14">
        <f>IF(A215="","",YEAR(A215))</f>
        <v/>
      </c>
    </row>
    <row r="216">
      <c r="A216" s="15" t="n"/>
      <c r="B216" s="10" t="n"/>
      <c r="C216" s="14">
        <f>IF(B216="","",IFERROR(INDEX('Sản phẩm'!$B$5:$B$304,MATCH(B216,'Sản phẩm'!$A$5:$A$304,0)),""))</f>
        <v/>
      </c>
      <c r="D216" s="12" t="n"/>
      <c r="E216" s="11" t="n"/>
      <c r="F216" s="16">
        <f>IF(OR(D216="",E216=""),"",D216*E216)</f>
        <v/>
      </c>
      <c r="G216" s="10" t="n"/>
      <c r="H216" s="14">
        <f>IF(A216="","",MONTH(A216))</f>
        <v/>
      </c>
      <c r="I216" s="14">
        <f>IF(A216="","",YEAR(A216))</f>
        <v/>
      </c>
    </row>
    <row r="217">
      <c r="A217" s="15" t="n"/>
      <c r="B217" s="10" t="n"/>
      <c r="C217" s="14">
        <f>IF(B217="","",IFERROR(INDEX('Sản phẩm'!$B$5:$B$304,MATCH(B217,'Sản phẩm'!$A$5:$A$304,0)),""))</f>
        <v/>
      </c>
      <c r="D217" s="12" t="n"/>
      <c r="E217" s="11" t="n"/>
      <c r="F217" s="16">
        <f>IF(OR(D217="",E217=""),"",D217*E217)</f>
        <v/>
      </c>
      <c r="G217" s="10" t="n"/>
      <c r="H217" s="14">
        <f>IF(A217="","",MONTH(A217))</f>
        <v/>
      </c>
      <c r="I217" s="14">
        <f>IF(A217="","",YEAR(A217))</f>
        <v/>
      </c>
    </row>
    <row r="218">
      <c r="A218" s="15" t="n"/>
      <c r="B218" s="10" t="n"/>
      <c r="C218" s="14">
        <f>IF(B218="","",IFERROR(INDEX('Sản phẩm'!$B$5:$B$304,MATCH(B218,'Sản phẩm'!$A$5:$A$304,0)),""))</f>
        <v/>
      </c>
      <c r="D218" s="12" t="n"/>
      <c r="E218" s="11" t="n"/>
      <c r="F218" s="16">
        <f>IF(OR(D218="",E218=""),"",D218*E218)</f>
        <v/>
      </c>
      <c r="G218" s="10" t="n"/>
      <c r="H218" s="14">
        <f>IF(A218="","",MONTH(A218))</f>
        <v/>
      </c>
      <c r="I218" s="14">
        <f>IF(A218="","",YEAR(A218))</f>
        <v/>
      </c>
    </row>
    <row r="219">
      <c r="A219" s="15" t="n"/>
      <c r="B219" s="10" t="n"/>
      <c r="C219" s="14">
        <f>IF(B219="","",IFERROR(INDEX('Sản phẩm'!$B$5:$B$304,MATCH(B219,'Sản phẩm'!$A$5:$A$304,0)),""))</f>
        <v/>
      </c>
      <c r="D219" s="12" t="n"/>
      <c r="E219" s="11" t="n"/>
      <c r="F219" s="16">
        <f>IF(OR(D219="",E219=""),"",D219*E219)</f>
        <v/>
      </c>
      <c r="G219" s="10" t="n"/>
      <c r="H219" s="14">
        <f>IF(A219="","",MONTH(A219))</f>
        <v/>
      </c>
      <c r="I219" s="14">
        <f>IF(A219="","",YEAR(A219))</f>
        <v/>
      </c>
    </row>
    <row r="220">
      <c r="A220" s="15" t="n"/>
      <c r="B220" s="10" t="n"/>
      <c r="C220" s="14">
        <f>IF(B220="","",IFERROR(INDEX('Sản phẩm'!$B$5:$B$304,MATCH(B220,'Sản phẩm'!$A$5:$A$304,0)),""))</f>
        <v/>
      </c>
      <c r="D220" s="12" t="n"/>
      <c r="E220" s="11" t="n"/>
      <c r="F220" s="16">
        <f>IF(OR(D220="",E220=""),"",D220*E220)</f>
        <v/>
      </c>
      <c r="G220" s="10" t="n"/>
      <c r="H220" s="14">
        <f>IF(A220="","",MONTH(A220))</f>
        <v/>
      </c>
      <c r="I220" s="14">
        <f>IF(A220="","",YEAR(A220))</f>
        <v/>
      </c>
    </row>
    <row r="221">
      <c r="A221" s="15" t="n"/>
      <c r="B221" s="10" t="n"/>
      <c r="C221" s="14">
        <f>IF(B221="","",IFERROR(INDEX('Sản phẩm'!$B$5:$B$304,MATCH(B221,'Sản phẩm'!$A$5:$A$304,0)),""))</f>
        <v/>
      </c>
      <c r="D221" s="12" t="n"/>
      <c r="E221" s="11" t="n"/>
      <c r="F221" s="16">
        <f>IF(OR(D221="",E221=""),"",D221*E221)</f>
        <v/>
      </c>
      <c r="G221" s="10" t="n"/>
      <c r="H221" s="14">
        <f>IF(A221="","",MONTH(A221))</f>
        <v/>
      </c>
      <c r="I221" s="14">
        <f>IF(A221="","",YEAR(A221))</f>
        <v/>
      </c>
    </row>
    <row r="222">
      <c r="A222" s="15" t="n"/>
      <c r="B222" s="10" t="n"/>
      <c r="C222" s="14">
        <f>IF(B222="","",IFERROR(INDEX('Sản phẩm'!$B$5:$B$304,MATCH(B222,'Sản phẩm'!$A$5:$A$304,0)),""))</f>
        <v/>
      </c>
      <c r="D222" s="12" t="n"/>
      <c r="E222" s="11" t="n"/>
      <c r="F222" s="16">
        <f>IF(OR(D222="",E222=""),"",D222*E222)</f>
        <v/>
      </c>
      <c r="G222" s="10" t="n"/>
      <c r="H222" s="14">
        <f>IF(A222="","",MONTH(A222))</f>
        <v/>
      </c>
      <c r="I222" s="14">
        <f>IF(A222="","",YEAR(A222))</f>
        <v/>
      </c>
    </row>
    <row r="223">
      <c r="A223" s="15" t="n"/>
      <c r="B223" s="10" t="n"/>
      <c r="C223" s="14">
        <f>IF(B223="","",IFERROR(INDEX('Sản phẩm'!$B$5:$B$304,MATCH(B223,'Sản phẩm'!$A$5:$A$304,0)),""))</f>
        <v/>
      </c>
      <c r="D223" s="12" t="n"/>
      <c r="E223" s="11" t="n"/>
      <c r="F223" s="16">
        <f>IF(OR(D223="",E223=""),"",D223*E223)</f>
        <v/>
      </c>
      <c r="G223" s="10" t="n"/>
      <c r="H223" s="14">
        <f>IF(A223="","",MONTH(A223))</f>
        <v/>
      </c>
      <c r="I223" s="14">
        <f>IF(A223="","",YEAR(A223))</f>
        <v/>
      </c>
    </row>
    <row r="224">
      <c r="A224" s="15" t="n"/>
      <c r="B224" s="10" t="n"/>
      <c r="C224" s="14">
        <f>IF(B224="","",IFERROR(INDEX('Sản phẩm'!$B$5:$B$304,MATCH(B224,'Sản phẩm'!$A$5:$A$304,0)),""))</f>
        <v/>
      </c>
      <c r="D224" s="12" t="n"/>
      <c r="E224" s="11" t="n"/>
      <c r="F224" s="16">
        <f>IF(OR(D224="",E224=""),"",D224*E224)</f>
        <v/>
      </c>
      <c r="G224" s="10" t="n"/>
      <c r="H224" s="14">
        <f>IF(A224="","",MONTH(A224))</f>
        <v/>
      </c>
      <c r="I224" s="14">
        <f>IF(A224="","",YEAR(A224))</f>
        <v/>
      </c>
    </row>
    <row r="225">
      <c r="A225" s="15" t="n"/>
      <c r="B225" s="10" t="n"/>
      <c r="C225" s="14">
        <f>IF(B225="","",IFERROR(INDEX('Sản phẩm'!$B$5:$B$304,MATCH(B225,'Sản phẩm'!$A$5:$A$304,0)),""))</f>
        <v/>
      </c>
      <c r="D225" s="12" t="n"/>
      <c r="E225" s="11" t="n"/>
      <c r="F225" s="16">
        <f>IF(OR(D225="",E225=""),"",D225*E225)</f>
        <v/>
      </c>
      <c r="G225" s="10" t="n"/>
      <c r="H225" s="14">
        <f>IF(A225="","",MONTH(A225))</f>
        <v/>
      </c>
      <c r="I225" s="14">
        <f>IF(A225="","",YEAR(A225))</f>
        <v/>
      </c>
    </row>
    <row r="226">
      <c r="A226" s="15" t="n"/>
      <c r="B226" s="10" t="n"/>
      <c r="C226" s="14">
        <f>IF(B226="","",IFERROR(INDEX('Sản phẩm'!$B$5:$B$304,MATCH(B226,'Sản phẩm'!$A$5:$A$304,0)),""))</f>
        <v/>
      </c>
      <c r="D226" s="12" t="n"/>
      <c r="E226" s="11" t="n"/>
      <c r="F226" s="16">
        <f>IF(OR(D226="",E226=""),"",D226*E226)</f>
        <v/>
      </c>
      <c r="G226" s="10" t="n"/>
      <c r="H226" s="14">
        <f>IF(A226="","",MONTH(A226))</f>
        <v/>
      </c>
      <c r="I226" s="14">
        <f>IF(A226="","",YEAR(A226))</f>
        <v/>
      </c>
    </row>
    <row r="227">
      <c r="A227" s="15" t="n"/>
      <c r="B227" s="10" t="n"/>
      <c r="C227" s="14">
        <f>IF(B227="","",IFERROR(INDEX('Sản phẩm'!$B$5:$B$304,MATCH(B227,'Sản phẩm'!$A$5:$A$304,0)),""))</f>
        <v/>
      </c>
      <c r="D227" s="12" t="n"/>
      <c r="E227" s="11" t="n"/>
      <c r="F227" s="16">
        <f>IF(OR(D227="",E227=""),"",D227*E227)</f>
        <v/>
      </c>
      <c r="G227" s="10" t="n"/>
      <c r="H227" s="14">
        <f>IF(A227="","",MONTH(A227))</f>
        <v/>
      </c>
      <c r="I227" s="14">
        <f>IF(A227="","",YEAR(A227))</f>
        <v/>
      </c>
    </row>
    <row r="228">
      <c r="A228" s="15" t="n"/>
      <c r="B228" s="10" t="n"/>
      <c r="C228" s="14">
        <f>IF(B228="","",IFERROR(INDEX('Sản phẩm'!$B$5:$B$304,MATCH(B228,'Sản phẩm'!$A$5:$A$304,0)),""))</f>
        <v/>
      </c>
      <c r="D228" s="12" t="n"/>
      <c r="E228" s="11" t="n"/>
      <c r="F228" s="16">
        <f>IF(OR(D228="",E228=""),"",D228*E228)</f>
        <v/>
      </c>
      <c r="G228" s="10" t="n"/>
      <c r="H228" s="14">
        <f>IF(A228="","",MONTH(A228))</f>
        <v/>
      </c>
      <c r="I228" s="14">
        <f>IF(A228="","",YEAR(A228))</f>
        <v/>
      </c>
    </row>
    <row r="229">
      <c r="A229" s="15" t="n"/>
      <c r="B229" s="10" t="n"/>
      <c r="C229" s="14">
        <f>IF(B229="","",IFERROR(INDEX('Sản phẩm'!$B$5:$B$304,MATCH(B229,'Sản phẩm'!$A$5:$A$304,0)),""))</f>
        <v/>
      </c>
      <c r="D229" s="12" t="n"/>
      <c r="E229" s="11" t="n"/>
      <c r="F229" s="16">
        <f>IF(OR(D229="",E229=""),"",D229*E229)</f>
        <v/>
      </c>
      <c r="G229" s="10" t="n"/>
      <c r="H229" s="14">
        <f>IF(A229="","",MONTH(A229))</f>
        <v/>
      </c>
      <c r="I229" s="14">
        <f>IF(A229="","",YEAR(A229))</f>
        <v/>
      </c>
    </row>
    <row r="230">
      <c r="A230" s="15" t="n"/>
      <c r="B230" s="10" t="n"/>
      <c r="C230" s="14">
        <f>IF(B230="","",IFERROR(INDEX('Sản phẩm'!$B$5:$B$304,MATCH(B230,'Sản phẩm'!$A$5:$A$304,0)),""))</f>
        <v/>
      </c>
      <c r="D230" s="12" t="n"/>
      <c r="E230" s="11" t="n"/>
      <c r="F230" s="16">
        <f>IF(OR(D230="",E230=""),"",D230*E230)</f>
        <v/>
      </c>
      <c r="G230" s="10" t="n"/>
      <c r="H230" s="14">
        <f>IF(A230="","",MONTH(A230))</f>
        <v/>
      </c>
      <c r="I230" s="14">
        <f>IF(A230="","",YEAR(A230))</f>
        <v/>
      </c>
    </row>
    <row r="231">
      <c r="A231" s="15" t="n"/>
      <c r="B231" s="10" t="n"/>
      <c r="C231" s="14">
        <f>IF(B231="","",IFERROR(INDEX('Sản phẩm'!$B$5:$B$304,MATCH(B231,'Sản phẩm'!$A$5:$A$304,0)),""))</f>
        <v/>
      </c>
      <c r="D231" s="12" t="n"/>
      <c r="E231" s="11" t="n"/>
      <c r="F231" s="16">
        <f>IF(OR(D231="",E231=""),"",D231*E231)</f>
        <v/>
      </c>
      <c r="G231" s="10" t="n"/>
      <c r="H231" s="14">
        <f>IF(A231="","",MONTH(A231))</f>
        <v/>
      </c>
      <c r="I231" s="14">
        <f>IF(A231="","",YEAR(A231))</f>
        <v/>
      </c>
    </row>
    <row r="232">
      <c r="A232" s="15" t="n"/>
      <c r="B232" s="10" t="n"/>
      <c r="C232" s="14">
        <f>IF(B232="","",IFERROR(INDEX('Sản phẩm'!$B$5:$B$304,MATCH(B232,'Sản phẩm'!$A$5:$A$304,0)),""))</f>
        <v/>
      </c>
      <c r="D232" s="12" t="n"/>
      <c r="E232" s="11" t="n"/>
      <c r="F232" s="16">
        <f>IF(OR(D232="",E232=""),"",D232*E232)</f>
        <v/>
      </c>
      <c r="G232" s="10" t="n"/>
      <c r="H232" s="14">
        <f>IF(A232="","",MONTH(A232))</f>
        <v/>
      </c>
      <c r="I232" s="14">
        <f>IF(A232="","",YEAR(A232))</f>
        <v/>
      </c>
    </row>
    <row r="233">
      <c r="A233" s="15" t="n"/>
      <c r="B233" s="10" t="n"/>
      <c r="C233" s="14">
        <f>IF(B233="","",IFERROR(INDEX('Sản phẩm'!$B$5:$B$304,MATCH(B233,'Sản phẩm'!$A$5:$A$304,0)),""))</f>
        <v/>
      </c>
      <c r="D233" s="12" t="n"/>
      <c r="E233" s="11" t="n"/>
      <c r="F233" s="16">
        <f>IF(OR(D233="",E233=""),"",D233*E233)</f>
        <v/>
      </c>
      <c r="G233" s="10" t="n"/>
      <c r="H233" s="14">
        <f>IF(A233="","",MONTH(A233))</f>
        <v/>
      </c>
      <c r="I233" s="14">
        <f>IF(A233="","",YEAR(A233))</f>
        <v/>
      </c>
    </row>
    <row r="234">
      <c r="A234" s="15" t="n"/>
      <c r="B234" s="10" t="n"/>
      <c r="C234" s="14">
        <f>IF(B234="","",IFERROR(INDEX('Sản phẩm'!$B$5:$B$304,MATCH(B234,'Sản phẩm'!$A$5:$A$304,0)),""))</f>
        <v/>
      </c>
      <c r="D234" s="12" t="n"/>
      <c r="E234" s="11" t="n"/>
      <c r="F234" s="16">
        <f>IF(OR(D234="",E234=""),"",D234*E234)</f>
        <v/>
      </c>
      <c r="G234" s="10" t="n"/>
      <c r="H234" s="14">
        <f>IF(A234="","",MONTH(A234))</f>
        <v/>
      </c>
      <c r="I234" s="14">
        <f>IF(A234="","",YEAR(A234))</f>
        <v/>
      </c>
    </row>
    <row r="235">
      <c r="A235" s="15" t="n"/>
      <c r="B235" s="10" t="n"/>
      <c r="C235" s="14">
        <f>IF(B235="","",IFERROR(INDEX('Sản phẩm'!$B$5:$B$304,MATCH(B235,'Sản phẩm'!$A$5:$A$304,0)),""))</f>
        <v/>
      </c>
      <c r="D235" s="12" t="n"/>
      <c r="E235" s="11" t="n"/>
      <c r="F235" s="16">
        <f>IF(OR(D235="",E235=""),"",D235*E235)</f>
        <v/>
      </c>
      <c r="G235" s="10" t="n"/>
      <c r="H235" s="14">
        <f>IF(A235="","",MONTH(A235))</f>
        <v/>
      </c>
      <c r="I235" s="14">
        <f>IF(A235="","",YEAR(A235))</f>
        <v/>
      </c>
    </row>
    <row r="236">
      <c r="A236" s="15" t="n"/>
      <c r="B236" s="10" t="n"/>
      <c r="C236" s="14">
        <f>IF(B236="","",IFERROR(INDEX('Sản phẩm'!$B$5:$B$304,MATCH(B236,'Sản phẩm'!$A$5:$A$304,0)),""))</f>
        <v/>
      </c>
      <c r="D236" s="12" t="n"/>
      <c r="E236" s="11" t="n"/>
      <c r="F236" s="16">
        <f>IF(OR(D236="",E236=""),"",D236*E236)</f>
        <v/>
      </c>
      <c r="G236" s="10" t="n"/>
      <c r="H236" s="14">
        <f>IF(A236="","",MONTH(A236))</f>
        <v/>
      </c>
      <c r="I236" s="14">
        <f>IF(A236="","",YEAR(A236))</f>
        <v/>
      </c>
    </row>
    <row r="237">
      <c r="A237" s="15" t="n"/>
      <c r="B237" s="10" t="n"/>
      <c r="C237" s="14">
        <f>IF(B237="","",IFERROR(INDEX('Sản phẩm'!$B$5:$B$304,MATCH(B237,'Sản phẩm'!$A$5:$A$304,0)),""))</f>
        <v/>
      </c>
      <c r="D237" s="12" t="n"/>
      <c r="E237" s="11" t="n"/>
      <c r="F237" s="16">
        <f>IF(OR(D237="",E237=""),"",D237*E237)</f>
        <v/>
      </c>
      <c r="G237" s="10" t="n"/>
      <c r="H237" s="14">
        <f>IF(A237="","",MONTH(A237))</f>
        <v/>
      </c>
      <c r="I237" s="14">
        <f>IF(A237="","",YEAR(A237))</f>
        <v/>
      </c>
    </row>
    <row r="238">
      <c r="A238" s="15" t="n"/>
      <c r="B238" s="10" t="n"/>
      <c r="C238" s="14">
        <f>IF(B238="","",IFERROR(INDEX('Sản phẩm'!$B$5:$B$304,MATCH(B238,'Sản phẩm'!$A$5:$A$304,0)),""))</f>
        <v/>
      </c>
      <c r="D238" s="12" t="n"/>
      <c r="E238" s="11" t="n"/>
      <c r="F238" s="16">
        <f>IF(OR(D238="",E238=""),"",D238*E238)</f>
        <v/>
      </c>
      <c r="G238" s="10" t="n"/>
      <c r="H238" s="14">
        <f>IF(A238="","",MONTH(A238))</f>
        <v/>
      </c>
      <c r="I238" s="14">
        <f>IF(A238="","",YEAR(A238))</f>
        <v/>
      </c>
    </row>
    <row r="239">
      <c r="A239" s="15" t="n"/>
      <c r="B239" s="10" t="n"/>
      <c r="C239" s="14">
        <f>IF(B239="","",IFERROR(INDEX('Sản phẩm'!$B$5:$B$304,MATCH(B239,'Sản phẩm'!$A$5:$A$304,0)),""))</f>
        <v/>
      </c>
      <c r="D239" s="12" t="n"/>
      <c r="E239" s="11" t="n"/>
      <c r="F239" s="16">
        <f>IF(OR(D239="",E239=""),"",D239*E239)</f>
        <v/>
      </c>
      <c r="G239" s="10" t="n"/>
      <c r="H239" s="14">
        <f>IF(A239="","",MONTH(A239))</f>
        <v/>
      </c>
      <c r="I239" s="14">
        <f>IF(A239="","",YEAR(A239))</f>
        <v/>
      </c>
    </row>
    <row r="240">
      <c r="A240" s="15" t="n"/>
      <c r="B240" s="10" t="n"/>
      <c r="C240" s="14">
        <f>IF(B240="","",IFERROR(INDEX('Sản phẩm'!$B$5:$B$304,MATCH(B240,'Sản phẩm'!$A$5:$A$304,0)),""))</f>
        <v/>
      </c>
      <c r="D240" s="12" t="n"/>
      <c r="E240" s="11" t="n"/>
      <c r="F240" s="16">
        <f>IF(OR(D240="",E240=""),"",D240*E240)</f>
        <v/>
      </c>
      <c r="G240" s="10" t="n"/>
      <c r="H240" s="14">
        <f>IF(A240="","",MONTH(A240))</f>
        <v/>
      </c>
      <c r="I240" s="14">
        <f>IF(A240="","",YEAR(A240))</f>
        <v/>
      </c>
    </row>
    <row r="241">
      <c r="A241" s="15" t="n"/>
      <c r="B241" s="10" t="n"/>
      <c r="C241" s="14">
        <f>IF(B241="","",IFERROR(INDEX('Sản phẩm'!$B$5:$B$304,MATCH(B241,'Sản phẩm'!$A$5:$A$304,0)),""))</f>
        <v/>
      </c>
      <c r="D241" s="12" t="n"/>
      <c r="E241" s="11" t="n"/>
      <c r="F241" s="16">
        <f>IF(OR(D241="",E241=""),"",D241*E241)</f>
        <v/>
      </c>
      <c r="G241" s="10" t="n"/>
      <c r="H241" s="14">
        <f>IF(A241="","",MONTH(A241))</f>
        <v/>
      </c>
      <c r="I241" s="14">
        <f>IF(A241="","",YEAR(A241))</f>
        <v/>
      </c>
    </row>
    <row r="242">
      <c r="A242" s="15" t="n"/>
      <c r="B242" s="10" t="n"/>
      <c r="C242" s="14">
        <f>IF(B242="","",IFERROR(INDEX('Sản phẩm'!$B$5:$B$304,MATCH(B242,'Sản phẩm'!$A$5:$A$304,0)),""))</f>
        <v/>
      </c>
      <c r="D242" s="12" t="n"/>
      <c r="E242" s="11" t="n"/>
      <c r="F242" s="16">
        <f>IF(OR(D242="",E242=""),"",D242*E242)</f>
        <v/>
      </c>
      <c r="G242" s="10" t="n"/>
      <c r="H242" s="14">
        <f>IF(A242="","",MONTH(A242))</f>
        <v/>
      </c>
      <c r="I242" s="14">
        <f>IF(A242="","",YEAR(A242))</f>
        <v/>
      </c>
    </row>
    <row r="243">
      <c r="A243" s="15" t="n"/>
      <c r="B243" s="10" t="n"/>
      <c r="C243" s="14">
        <f>IF(B243="","",IFERROR(INDEX('Sản phẩm'!$B$5:$B$304,MATCH(B243,'Sản phẩm'!$A$5:$A$304,0)),""))</f>
        <v/>
      </c>
      <c r="D243" s="12" t="n"/>
      <c r="E243" s="11" t="n"/>
      <c r="F243" s="16">
        <f>IF(OR(D243="",E243=""),"",D243*E243)</f>
        <v/>
      </c>
      <c r="G243" s="10" t="n"/>
      <c r="H243" s="14">
        <f>IF(A243="","",MONTH(A243))</f>
        <v/>
      </c>
      <c r="I243" s="14">
        <f>IF(A243="","",YEAR(A243))</f>
        <v/>
      </c>
    </row>
    <row r="244">
      <c r="A244" s="15" t="n"/>
      <c r="B244" s="10" t="n"/>
      <c r="C244" s="14">
        <f>IF(B244="","",IFERROR(INDEX('Sản phẩm'!$B$5:$B$304,MATCH(B244,'Sản phẩm'!$A$5:$A$304,0)),""))</f>
        <v/>
      </c>
      <c r="D244" s="12" t="n"/>
      <c r="E244" s="11" t="n"/>
      <c r="F244" s="16">
        <f>IF(OR(D244="",E244=""),"",D244*E244)</f>
        <v/>
      </c>
      <c r="G244" s="10" t="n"/>
      <c r="H244" s="14">
        <f>IF(A244="","",MONTH(A244))</f>
        <v/>
      </c>
      <c r="I244" s="14">
        <f>IF(A244="","",YEAR(A244))</f>
        <v/>
      </c>
    </row>
    <row r="245">
      <c r="A245" s="15" t="n"/>
      <c r="B245" s="10" t="n"/>
      <c r="C245" s="14">
        <f>IF(B245="","",IFERROR(INDEX('Sản phẩm'!$B$5:$B$304,MATCH(B245,'Sản phẩm'!$A$5:$A$304,0)),""))</f>
        <v/>
      </c>
      <c r="D245" s="12" t="n"/>
      <c r="E245" s="11" t="n"/>
      <c r="F245" s="16">
        <f>IF(OR(D245="",E245=""),"",D245*E245)</f>
        <v/>
      </c>
      <c r="G245" s="10" t="n"/>
      <c r="H245" s="14">
        <f>IF(A245="","",MONTH(A245))</f>
        <v/>
      </c>
      <c r="I245" s="14">
        <f>IF(A245="","",YEAR(A245))</f>
        <v/>
      </c>
    </row>
    <row r="246">
      <c r="A246" s="15" t="n"/>
      <c r="B246" s="10" t="n"/>
      <c r="C246" s="14">
        <f>IF(B246="","",IFERROR(INDEX('Sản phẩm'!$B$5:$B$304,MATCH(B246,'Sản phẩm'!$A$5:$A$304,0)),""))</f>
        <v/>
      </c>
      <c r="D246" s="12" t="n"/>
      <c r="E246" s="11" t="n"/>
      <c r="F246" s="16">
        <f>IF(OR(D246="",E246=""),"",D246*E246)</f>
        <v/>
      </c>
      <c r="G246" s="10" t="n"/>
      <c r="H246" s="14">
        <f>IF(A246="","",MONTH(A246))</f>
        <v/>
      </c>
      <c r="I246" s="14">
        <f>IF(A246="","",YEAR(A246))</f>
        <v/>
      </c>
    </row>
    <row r="247">
      <c r="A247" s="15" t="n"/>
      <c r="B247" s="10" t="n"/>
      <c r="C247" s="14">
        <f>IF(B247="","",IFERROR(INDEX('Sản phẩm'!$B$5:$B$304,MATCH(B247,'Sản phẩm'!$A$5:$A$304,0)),""))</f>
        <v/>
      </c>
      <c r="D247" s="12" t="n"/>
      <c r="E247" s="11" t="n"/>
      <c r="F247" s="16">
        <f>IF(OR(D247="",E247=""),"",D247*E247)</f>
        <v/>
      </c>
      <c r="G247" s="10" t="n"/>
      <c r="H247" s="14">
        <f>IF(A247="","",MONTH(A247))</f>
        <v/>
      </c>
      <c r="I247" s="14">
        <f>IF(A247="","",YEAR(A247))</f>
        <v/>
      </c>
    </row>
    <row r="248">
      <c r="A248" s="15" t="n"/>
      <c r="B248" s="10" t="n"/>
      <c r="C248" s="14">
        <f>IF(B248="","",IFERROR(INDEX('Sản phẩm'!$B$5:$B$304,MATCH(B248,'Sản phẩm'!$A$5:$A$304,0)),""))</f>
        <v/>
      </c>
      <c r="D248" s="12" t="n"/>
      <c r="E248" s="11" t="n"/>
      <c r="F248" s="16">
        <f>IF(OR(D248="",E248=""),"",D248*E248)</f>
        <v/>
      </c>
      <c r="G248" s="10" t="n"/>
      <c r="H248" s="14">
        <f>IF(A248="","",MONTH(A248))</f>
        <v/>
      </c>
      <c r="I248" s="14">
        <f>IF(A248="","",YEAR(A248))</f>
        <v/>
      </c>
    </row>
    <row r="249">
      <c r="A249" s="15" t="n"/>
      <c r="B249" s="10" t="n"/>
      <c r="C249" s="14">
        <f>IF(B249="","",IFERROR(INDEX('Sản phẩm'!$B$5:$B$304,MATCH(B249,'Sản phẩm'!$A$5:$A$304,0)),""))</f>
        <v/>
      </c>
      <c r="D249" s="12" t="n"/>
      <c r="E249" s="11" t="n"/>
      <c r="F249" s="16">
        <f>IF(OR(D249="",E249=""),"",D249*E249)</f>
        <v/>
      </c>
      <c r="G249" s="10" t="n"/>
      <c r="H249" s="14">
        <f>IF(A249="","",MONTH(A249))</f>
        <v/>
      </c>
      <c r="I249" s="14">
        <f>IF(A249="","",YEAR(A249))</f>
        <v/>
      </c>
    </row>
    <row r="250">
      <c r="A250" s="15" t="n"/>
      <c r="B250" s="10" t="n"/>
      <c r="C250" s="14">
        <f>IF(B250="","",IFERROR(INDEX('Sản phẩm'!$B$5:$B$304,MATCH(B250,'Sản phẩm'!$A$5:$A$304,0)),""))</f>
        <v/>
      </c>
      <c r="D250" s="12" t="n"/>
      <c r="E250" s="11" t="n"/>
      <c r="F250" s="16">
        <f>IF(OR(D250="",E250=""),"",D250*E250)</f>
        <v/>
      </c>
      <c r="G250" s="10" t="n"/>
      <c r="H250" s="14">
        <f>IF(A250="","",MONTH(A250))</f>
        <v/>
      </c>
      <c r="I250" s="14">
        <f>IF(A250="","",YEAR(A250))</f>
        <v/>
      </c>
    </row>
    <row r="251">
      <c r="A251" s="15" t="n"/>
      <c r="B251" s="10" t="n"/>
      <c r="C251" s="14">
        <f>IF(B251="","",IFERROR(INDEX('Sản phẩm'!$B$5:$B$304,MATCH(B251,'Sản phẩm'!$A$5:$A$304,0)),""))</f>
        <v/>
      </c>
      <c r="D251" s="12" t="n"/>
      <c r="E251" s="11" t="n"/>
      <c r="F251" s="16">
        <f>IF(OR(D251="",E251=""),"",D251*E251)</f>
        <v/>
      </c>
      <c r="G251" s="10" t="n"/>
      <c r="H251" s="14">
        <f>IF(A251="","",MONTH(A251))</f>
        <v/>
      </c>
      <c r="I251" s="14">
        <f>IF(A251="","",YEAR(A251))</f>
        <v/>
      </c>
    </row>
    <row r="252">
      <c r="A252" s="15" t="n"/>
      <c r="B252" s="10" t="n"/>
      <c r="C252" s="14">
        <f>IF(B252="","",IFERROR(INDEX('Sản phẩm'!$B$5:$B$304,MATCH(B252,'Sản phẩm'!$A$5:$A$304,0)),""))</f>
        <v/>
      </c>
      <c r="D252" s="12" t="n"/>
      <c r="E252" s="11" t="n"/>
      <c r="F252" s="16">
        <f>IF(OR(D252="",E252=""),"",D252*E252)</f>
        <v/>
      </c>
      <c r="G252" s="10" t="n"/>
      <c r="H252" s="14">
        <f>IF(A252="","",MONTH(A252))</f>
        <v/>
      </c>
      <c r="I252" s="14">
        <f>IF(A252="","",YEAR(A252))</f>
        <v/>
      </c>
    </row>
    <row r="253">
      <c r="A253" s="15" t="n"/>
      <c r="B253" s="10" t="n"/>
      <c r="C253" s="14">
        <f>IF(B253="","",IFERROR(INDEX('Sản phẩm'!$B$5:$B$304,MATCH(B253,'Sản phẩm'!$A$5:$A$304,0)),""))</f>
        <v/>
      </c>
      <c r="D253" s="12" t="n"/>
      <c r="E253" s="11" t="n"/>
      <c r="F253" s="16">
        <f>IF(OR(D253="",E253=""),"",D253*E253)</f>
        <v/>
      </c>
      <c r="G253" s="10" t="n"/>
      <c r="H253" s="14">
        <f>IF(A253="","",MONTH(A253))</f>
        <v/>
      </c>
      <c r="I253" s="14">
        <f>IF(A253="","",YEAR(A253))</f>
        <v/>
      </c>
    </row>
    <row r="254">
      <c r="A254" s="15" t="n"/>
      <c r="B254" s="10" t="n"/>
      <c r="C254" s="14">
        <f>IF(B254="","",IFERROR(INDEX('Sản phẩm'!$B$5:$B$304,MATCH(B254,'Sản phẩm'!$A$5:$A$304,0)),""))</f>
        <v/>
      </c>
      <c r="D254" s="12" t="n"/>
      <c r="E254" s="11" t="n"/>
      <c r="F254" s="16">
        <f>IF(OR(D254="",E254=""),"",D254*E254)</f>
        <v/>
      </c>
      <c r="G254" s="10" t="n"/>
      <c r="H254" s="14">
        <f>IF(A254="","",MONTH(A254))</f>
        <v/>
      </c>
      <c r="I254" s="14">
        <f>IF(A254="","",YEAR(A254))</f>
        <v/>
      </c>
    </row>
    <row r="255">
      <c r="A255" s="15" t="n"/>
      <c r="B255" s="10" t="n"/>
      <c r="C255" s="14">
        <f>IF(B255="","",IFERROR(INDEX('Sản phẩm'!$B$5:$B$304,MATCH(B255,'Sản phẩm'!$A$5:$A$304,0)),""))</f>
        <v/>
      </c>
      <c r="D255" s="12" t="n"/>
      <c r="E255" s="11" t="n"/>
      <c r="F255" s="16">
        <f>IF(OR(D255="",E255=""),"",D255*E255)</f>
        <v/>
      </c>
      <c r="G255" s="10" t="n"/>
      <c r="H255" s="14">
        <f>IF(A255="","",MONTH(A255))</f>
        <v/>
      </c>
      <c r="I255" s="14">
        <f>IF(A255="","",YEAR(A255))</f>
        <v/>
      </c>
    </row>
    <row r="256">
      <c r="A256" s="15" t="n"/>
      <c r="B256" s="10" t="n"/>
      <c r="C256" s="14">
        <f>IF(B256="","",IFERROR(INDEX('Sản phẩm'!$B$5:$B$304,MATCH(B256,'Sản phẩm'!$A$5:$A$304,0)),""))</f>
        <v/>
      </c>
      <c r="D256" s="12" t="n"/>
      <c r="E256" s="11" t="n"/>
      <c r="F256" s="16">
        <f>IF(OR(D256="",E256=""),"",D256*E256)</f>
        <v/>
      </c>
      <c r="G256" s="10" t="n"/>
      <c r="H256" s="14">
        <f>IF(A256="","",MONTH(A256))</f>
        <v/>
      </c>
      <c r="I256" s="14">
        <f>IF(A256="","",YEAR(A256))</f>
        <v/>
      </c>
    </row>
    <row r="257">
      <c r="A257" s="15" t="n"/>
      <c r="B257" s="10" t="n"/>
      <c r="C257" s="14">
        <f>IF(B257="","",IFERROR(INDEX('Sản phẩm'!$B$5:$B$304,MATCH(B257,'Sản phẩm'!$A$5:$A$304,0)),""))</f>
        <v/>
      </c>
      <c r="D257" s="12" t="n"/>
      <c r="E257" s="11" t="n"/>
      <c r="F257" s="16">
        <f>IF(OR(D257="",E257=""),"",D257*E257)</f>
        <v/>
      </c>
      <c r="G257" s="10" t="n"/>
      <c r="H257" s="14">
        <f>IF(A257="","",MONTH(A257))</f>
        <v/>
      </c>
      <c r="I257" s="14">
        <f>IF(A257="","",YEAR(A257))</f>
        <v/>
      </c>
    </row>
    <row r="258">
      <c r="A258" s="15" t="n"/>
      <c r="B258" s="10" t="n"/>
      <c r="C258" s="14">
        <f>IF(B258="","",IFERROR(INDEX('Sản phẩm'!$B$5:$B$304,MATCH(B258,'Sản phẩm'!$A$5:$A$304,0)),""))</f>
        <v/>
      </c>
      <c r="D258" s="12" t="n"/>
      <c r="E258" s="11" t="n"/>
      <c r="F258" s="16">
        <f>IF(OR(D258="",E258=""),"",D258*E258)</f>
        <v/>
      </c>
      <c r="G258" s="10" t="n"/>
      <c r="H258" s="14">
        <f>IF(A258="","",MONTH(A258))</f>
        <v/>
      </c>
      <c r="I258" s="14">
        <f>IF(A258="","",YEAR(A258))</f>
        <v/>
      </c>
    </row>
    <row r="259">
      <c r="A259" s="15" t="n"/>
      <c r="B259" s="10" t="n"/>
      <c r="C259" s="14">
        <f>IF(B259="","",IFERROR(INDEX('Sản phẩm'!$B$5:$B$304,MATCH(B259,'Sản phẩm'!$A$5:$A$304,0)),""))</f>
        <v/>
      </c>
      <c r="D259" s="12" t="n"/>
      <c r="E259" s="11" t="n"/>
      <c r="F259" s="16">
        <f>IF(OR(D259="",E259=""),"",D259*E259)</f>
        <v/>
      </c>
      <c r="G259" s="10" t="n"/>
      <c r="H259" s="14">
        <f>IF(A259="","",MONTH(A259))</f>
        <v/>
      </c>
      <c r="I259" s="14">
        <f>IF(A259="","",YEAR(A259))</f>
        <v/>
      </c>
    </row>
    <row r="260">
      <c r="A260" s="15" t="n"/>
      <c r="B260" s="10" t="n"/>
      <c r="C260" s="14">
        <f>IF(B260="","",IFERROR(INDEX('Sản phẩm'!$B$5:$B$304,MATCH(B260,'Sản phẩm'!$A$5:$A$304,0)),""))</f>
        <v/>
      </c>
      <c r="D260" s="12" t="n"/>
      <c r="E260" s="11" t="n"/>
      <c r="F260" s="16">
        <f>IF(OR(D260="",E260=""),"",D260*E260)</f>
        <v/>
      </c>
      <c r="G260" s="10" t="n"/>
      <c r="H260" s="14">
        <f>IF(A260="","",MONTH(A260))</f>
        <v/>
      </c>
      <c r="I260" s="14">
        <f>IF(A260="","",YEAR(A260))</f>
        <v/>
      </c>
    </row>
    <row r="261">
      <c r="A261" s="15" t="n"/>
      <c r="B261" s="10" t="n"/>
      <c r="C261" s="14">
        <f>IF(B261="","",IFERROR(INDEX('Sản phẩm'!$B$5:$B$304,MATCH(B261,'Sản phẩm'!$A$5:$A$304,0)),""))</f>
        <v/>
      </c>
      <c r="D261" s="12" t="n"/>
      <c r="E261" s="11" t="n"/>
      <c r="F261" s="16">
        <f>IF(OR(D261="",E261=""),"",D261*E261)</f>
        <v/>
      </c>
      <c r="G261" s="10" t="n"/>
      <c r="H261" s="14">
        <f>IF(A261="","",MONTH(A261))</f>
        <v/>
      </c>
      <c r="I261" s="14">
        <f>IF(A261="","",YEAR(A261))</f>
        <v/>
      </c>
    </row>
    <row r="262">
      <c r="A262" s="15" t="n"/>
      <c r="B262" s="10" t="n"/>
      <c r="C262" s="14">
        <f>IF(B262="","",IFERROR(INDEX('Sản phẩm'!$B$5:$B$304,MATCH(B262,'Sản phẩm'!$A$5:$A$304,0)),""))</f>
        <v/>
      </c>
      <c r="D262" s="12" t="n"/>
      <c r="E262" s="11" t="n"/>
      <c r="F262" s="16">
        <f>IF(OR(D262="",E262=""),"",D262*E262)</f>
        <v/>
      </c>
      <c r="G262" s="10" t="n"/>
      <c r="H262" s="14">
        <f>IF(A262="","",MONTH(A262))</f>
        <v/>
      </c>
      <c r="I262" s="14">
        <f>IF(A262="","",YEAR(A262))</f>
        <v/>
      </c>
    </row>
    <row r="263">
      <c r="A263" s="15" t="n"/>
      <c r="B263" s="10" t="n"/>
      <c r="C263" s="14">
        <f>IF(B263="","",IFERROR(INDEX('Sản phẩm'!$B$5:$B$304,MATCH(B263,'Sản phẩm'!$A$5:$A$304,0)),""))</f>
        <v/>
      </c>
      <c r="D263" s="12" t="n"/>
      <c r="E263" s="11" t="n"/>
      <c r="F263" s="16">
        <f>IF(OR(D263="",E263=""),"",D263*E263)</f>
        <v/>
      </c>
      <c r="G263" s="10" t="n"/>
      <c r="H263" s="14">
        <f>IF(A263="","",MONTH(A263))</f>
        <v/>
      </c>
      <c r="I263" s="14">
        <f>IF(A263="","",YEAR(A263))</f>
        <v/>
      </c>
    </row>
    <row r="264">
      <c r="A264" s="15" t="n"/>
      <c r="B264" s="10" t="n"/>
      <c r="C264" s="14">
        <f>IF(B264="","",IFERROR(INDEX('Sản phẩm'!$B$5:$B$304,MATCH(B264,'Sản phẩm'!$A$5:$A$304,0)),""))</f>
        <v/>
      </c>
      <c r="D264" s="12" t="n"/>
      <c r="E264" s="11" t="n"/>
      <c r="F264" s="16">
        <f>IF(OR(D264="",E264=""),"",D264*E264)</f>
        <v/>
      </c>
      <c r="G264" s="10" t="n"/>
      <c r="H264" s="14">
        <f>IF(A264="","",MONTH(A264))</f>
        <v/>
      </c>
      <c r="I264" s="14">
        <f>IF(A264="","",YEAR(A264))</f>
        <v/>
      </c>
    </row>
    <row r="265">
      <c r="A265" s="15" t="n"/>
      <c r="B265" s="10" t="n"/>
      <c r="C265" s="14">
        <f>IF(B265="","",IFERROR(INDEX('Sản phẩm'!$B$5:$B$304,MATCH(B265,'Sản phẩm'!$A$5:$A$304,0)),""))</f>
        <v/>
      </c>
      <c r="D265" s="12" t="n"/>
      <c r="E265" s="11" t="n"/>
      <c r="F265" s="16">
        <f>IF(OR(D265="",E265=""),"",D265*E265)</f>
        <v/>
      </c>
      <c r="G265" s="10" t="n"/>
      <c r="H265" s="14">
        <f>IF(A265="","",MONTH(A265))</f>
        <v/>
      </c>
      <c r="I265" s="14">
        <f>IF(A265="","",YEAR(A265))</f>
        <v/>
      </c>
    </row>
    <row r="266">
      <c r="A266" s="15" t="n"/>
      <c r="B266" s="10" t="n"/>
      <c r="C266" s="14">
        <f>IF(B266="","",IFERROR(INDEX('Sản phẩm'!$B$5:$B$304,MATCH(B266,'Sản phẩm'!$A$5:$A$304,0)),""))</f>
        <v/>
      </c>
      <c r="D266" s="12" t="n"/>
      <c r="E266" s="11" t="n"/>
      <c r="F266" s="16">
        <f>IF(OR(D266="",E266=""),"",D266*E266)</f>
        <v/>
      </c>
      <c r="G266" s="10" t="n"/>
      <c r="H266" s="14">
        <f>IF(A266="","",MONTH(A266))</f>
        <v/>
      </c>
      <c r="I266" s="14">
        <f>IF(A266="","",YEAR(A266))</f>
        <v/>
      </c>
    </row>
    <row r="267">
      <c r="A267" s="15" t="n"/>
      <c r="B267" s="10" t="n"/>
      <c r="C267" s="14">
        <f>IF(B267="","",IFERROR(INDEX('Sản phẩm'!$B$5:$B$304,MATCH(B267,'Sản phẩm'!$A$5:$A$304,0)),""))</f>
        <v/>
      </c>
      <c r="D267" s="12" t="n"/>
      <c r="E267" s="11" t="n"/>
      <c r="F267" s="16">
        <f>IF(OR(D267="",E267=""),"",D267*E267)</f>
        <v/>
      </c>
      <c r="G267" s="10" t="n"/>
      <c r="H267" s="14">
        <f>IF(A267="","",MONTH(A267))</f>
        <v/>
      </c>
      <c r="I267" s="14">
        <f>IF(A267="","",YEAR(A267))</f>
        <v/>
      </c>
    </row>
    <row r="268">
      <c r="A268" s="15" t="n"/>
      <c r="B268" s="10" t="n"/>
      <c r="C268" s="14">
        <f>IF(B268="","",IFERROR(INDEX('Sản phẩm'!$B$5:$B$304,MATCH(B268,'Sản phẩm'!$A$5:$A$304,0)),""))</f>
        <v/>
      </c>
      <c r="D268" s="12" t="n"/>
      <c r="E268" s="11" t="n"/>
      <c r="F268" s="16">
        <f>IF(OR(D268="",E268=""),"",D268*E268)</f>
        <v/>
      </c>
      <c r="G268" s="10" t="n"/>
      <c r="H268" s="14">
        <f>IF(A268="","",MONTH(A268))</f>
        <v/>
      </c>
      <c r="I268" s="14">
        <f>IF(A268="","",YEAR(A268))</f>
        <v/>
      </c>
    </row>
    <row r="269">
      <c r="A269" s="15" t="n"/>
      <c r="B269" s="10" t="n"/>
      <c r="C269" s="14">
        <f>IF(B269="","",IFERROR(INDEX('Sản phẩm'!$B$5:$B$304,MATCH(B269,'Sản phẩm'!$A$5:$A$304,0)),""))</f>
        <v/>
      </c>
      <c r="D269" s="12" t="n"/>
      <c r="E269" s="11" t="n"/>
      <c r="F269" s="16">
        <f>IF(OR(D269="",E269=""),"",D269*E269)</f>
        <v/>
      </c>
      <c r="G269" s="10" t="n"/>
      <c r="H269" s="14">
        <f>IF(A269="","",MONTH(A269))</f>
        <v/>
      </c>
      <c r="I269" s="14">
        <f>IF(A269="","",YEAR(A269))</f>
        <v/>
      </c>
    </row>
    <row r="270">
      <c r="A270" s="15" t="n"/>
      <c r="B270" s="10" t="n"/>
      <c r="C270" s="14">
        <f>IF(B270="","",IFERROR(INDEX('Sản phẩm'!$B$5:$B$304,MATCH(B270,'Sản phẩm'!$A$5:$A$304,0)),""))</f>
        <v/>
      </c>
      <c r="D270" s="12" t="n"/>
      <c r="E270" s="11" t="n"/>
      <c r="F270" s="16">
        <f>IF(OR(D270="",E270=""),"",D270*E270)</f>
        <v/>
      </c>
      <c r="G270" s="10" t="n"/>
      <c r="H270" s="14">
        <f>IF(A270="","",MONTH(A270))</f>
        <v/>
      </c>
      <c r="I270" s="14">
        <f>IF(A270="","",YEAR(A270))</f>
        <v/>
      </c>
    </row>
    <row r="271">
      <c r="A271" s="15" t="n"/>
      <c r="B271" s="10" t="n"/>
      <c r="C271" s="14">
        <f>IF(B271="","",IFERROR(INDEX('Sản phẩm'!$B$5:$B$304,MATCH(B271,'Sản phẩm'!$A$5:$A$304,0)),""))</f>
        <v/>
      </c>
      <c r="D271" s="12" t="n"/>
      <c r="E271" s="11" t="n"/>
      <c r="F271" s="16">
        <f>IF(OR(D271="",E271=""),"",D271*E271)</f>
        <v/>
      </c>
      <c r="G271" s="10" t="n"/>
      <c r="H271" s="14">
        <f>IF(A271="","",MONTH(A271))</f>
        <v/>
      </c>
      <c r="I271" s="14">
        <f>IF(A271="","",YEAR(A271))</f>
        <v/>
      </c>
    </row>
    <row r="272">
      <c r="A272" s="15" t="n"/>
      <c r="B272" s="10" t="n"/>
      <c r="C272" s="14">
        <f>IF(B272="","",IFERROR(INDEX('Sản phẩm'!$B$5:$B$304,MATCH(B272,'Sản phẩm'!$A$5:$A$304,0)),""))</f>
        <v/>
      </c>
      <c r="D272" s="12" t="n"/>
      <c r="E272" s="11" t="n"/>
      <c r="F272" s="16">
        <f>IF(OR(D272="",E272=""),"",D272*E272)</f>
        <v/>
      </c>
      <c r="G272" s="10" t="n"/>
      <c r="H272" s="14">
        <f>IF(A272="","",MONTH(A272))</f>
        <v/>
      </c>
      <c r="I272" s="14">
        <f>IF(A272="","",YEAR(A272))</f>
        <v/>
      </c>
    </row>
    <row r="273">
      <c r="A273" s="15" t="n"/>
      <c r="B273" s="10" t="n"/>
      <c r="C273" s="14">
        <f>IF(B273="","",IFERROR(INDEX('Sản phẩm'!$B$5:$B$304,MATCH(B273,'Sản phẩm'!$A$5:$A$304,0)),""))</f>
        <v/>
      </c>
      <c r="D273" s="12" t="n"/>
      <c r="E273" s="11" t="n"/>
      <c r="F273" s="16">
        <f>IF(OR(D273="",E273=""),"",D273*E273)</f>
        <v/>
      </c>
      <c r="G273" s="10" t="n"/>
      <c r="H273" s="14">
        <f>IF(A273="","",MONTH(A273))</f>
        <v/>
      </c>
      <c r="I273" s="14">
        <f>IF(A273="","",YEAR(A273))</f>
        <v/>
      </c>
    </row>
    <row r="274">
      <c r="A274" s="15" t="n"/>
      <c r="B274" s="10" t="n"/>
      <c r="C274" s="14">
        <f>IF(B274="","",IFERROR(INDEX('Sản phẩm'!$B$5:$B$304,MATCH(B274,'Sản phẩm'!$A$5:$A$304,0)),""))</f>
        <v/>
      </c>
      <c r="D274" s="12" t="n"/>
      <c r="E274" s="11" t="n"/>
      <c r="F274" s="16">
        <f>IF(OR(D274="",E274=""),"",D274*E274)</f>
        <v/>
      </c>
      <c r="G274" s="10" t="n"/>
      <c r="H274" s="14">
        <f>IF(A274="","",MONTH(A274))</f>
        <v/>
      </c>
      <c r="I274" s="14">
        <f>IF(A274="","",YEAR(A274))</f>
        <v/>
      </c>
    </row>
    <row r="275">
      <c r="A275" s="15" t="n"/>
      <c r="B275" s="10" t="n"/>
      <c r="C275" s="14">
        <f>IF(B275="","",IFERROR(INDEX('Sản phẩm'!$B$5:$B$304,MATCH(B275,'Sản phẩm'!$A$5:$A$304,0)),""))</f>
        <v/>
      </c>
      <c r="D275" s="12" t="n"/>
      <c r="E275" s="11" t="n"/>
      <c r="F275" s="16">
        <f>IF(OR(D275="",E275=""),"",D275*E275)</f>
        <v/>
      </c>
      <c r="G275" s="10" t="n"/>
      <c r="H275" s="14">
        <f>IF(A275="","",MONTH(A275))</f>
        <v/>
      </c>
      <c r="I275" s="14">
        <f>IF(A275="","",YEAR(A275))</f>
        <v/>
      </c>
    </row>
    <row r="276">
      <c r="A276" s="15" t="n"/>
      <c r="B276" s="10" t="n"/>
      <c r="C276" s="14">
        <f>IF(B276="","",IFERROR(INDEX('Sản phẩm'!$B$5:$B$304,MATCH(B276,'Sản phẩm'!$A$5:$A$304,0)),""))</f>
        <v/>
      </c>
      <c r="D276" s="12" t="n"/>
      <c r="E276" s="11" t="n"/>
      <c r="F276" s="16">
        <f>IF(OR(D276="",E276=""),"",D276*E276)</f>
        <v/>
      </c>
      <c r="G276" s="10" t="n"/>
      <c r="H276" s="14">
        <f>IF(A276="","",MONTH(A276))</f>
        <v/>
      </c>
      <c r="I276" s="14">
        <f>IF(A276="","",YEAR(A276))</f>
        <v/>
      </c>
    </row>
    <row r="277">
      <c r="A277" s="15" t="n"/>
      <c r="B277" s="10" t="n"/>
      <c r="C277" s="14">
        <f>IF(B277="","",IFERROR(INDEX('Sản phẩm'!$B$5:$B$304,MATCH(B277,'Sản phẩm'!$A$5:$A$304,0)),""))</f>
        <v/>
      </c>
      <c r="D277" s="12" t="n"/>
      <c r="E277" s="11" t="n"/>
      <c r="F277" s="16">
        <f>IF(OR(D277="",E277=""),"",D277*E277)</f>
        <v/>
      </c>
      <c r="G277" s="10" t="n"/>
      <c r="H277" s="14">
        <f>IF(A277="","",MONTH(A277))</f>
        <v/>
      </c>
      <c r="I277" s="14">
        <f>IF(A277="","",YEAR(A277))</f>
        <v/>
      </c>
    </row>
    <row r="278">
      <c r="A278" s="15" t="n"/>
      <c r="B278" s="10" t="n"/>
      <c r="C278" s="14">
        <f>IF(B278="","",IFERROR(INDEX('Sản phẩm'!$B$5:$B$304,MATCH(B278,'Sản phẩm'!$A$5:$A$304,0)),""))</f>
        <v/>
      </c>
      <c r="D278" s="12" t="n"/>
      <c r="E278" s="11" t="n"/>
      <c r="F278" s="16">
        <f>IF(OR(D278="",E278=""),"",D278*E278)</f>
        <v/>
      </c>
      <c r="G278" s="10" t="n"/>
      <c r="H278" s="14">
        <f>IF(A278="","",MONTH(A278))</f>
        <v/>
      </c>
      <c r="I278" s="14">
        <f>IF(A278="","",YEAR(A278))</f>
        <v/>
      </c>
    </row>
    <row r="279">
      <c r="A279" s="15" t="n"/>
      <c r="B279" s="10" t="n"/>
      <c r="C279" s="14">
        <f>IF(B279="","",IFERROR(INDEX('Sản phẩm'!$B$5:$B$304,MATCH(B279,'Sản phẩm'!$A$5:$A$304,0)),""))</f>
        <v/>
      </c>
      <c r="D279" s="12" t="n"/>
      <c r="E279" s="11" t="n"/>
      <c r="F279" s="16">
        <f>IF(OR(D279="",E279=""),"",D279*E279)</f>
        <v/>
      </c>
      <c r="G279" s="10" t="n"/>
      <c r="H279" s="14">
        <f>IF(A279="","",MONTH(A279))</f>
        <v/>
      </c>
      <c r="I279" s="14">
        <f>IF(A279="","",YEAR(A279))</f>
        <v/>
      </c>
    </row>
    <row r="280">
      <c r="A280" s="15" t="n"/>
      <c r="B280" s="10" t="n"/>
      <c r="C280" s="14">
        <f>IF(B280="","",IFERROR(INDEX('Sản phẩm'!$B$5:$B$304,MATCH(B280,'Sản phẩm'!$A$5:$A$304,0)),""))</f>
        <v/>
      </c>
      <c r="D280" s="12" t="n"/>
      <c r="E280" s="11" t="n"/>
      <c r="F280" s="16">
        <f>IF(OR(D280="",E280=""),"",D280*E280)</f>
        <v/>
      </c>
      <c r="G280" s="10" t="n"/>
      <c r="H280" s="14">
        <f>IF(A280="","",MONTH(A280))</f>
        <v/>
      </c>
      <c r="I280" s="14">
        <f>IF(A280="","",YEAR(A280))</f>
        <v/>
      </c>
    </row>
    <row r="281">
      <c r="A281" s="15" t="n"/>
      <c r="B281" s="10" t="n"/>
      <c r="C281" s="14">
        <f>IF(B281="","",IFERROR(INDEX('Sản phẩm'!$B$5:$B$304,MATCH(B281,'Sản phẩm'!$A$5:$A$304,0)),""))</f>
        <v/>
      </c>
      <c r="D281" s="12" t="n"/>
      <c r="E281" s="11" t="n"/>
      <c r="F281" s="16">
        <f>IF(OR(D281="",E281=""),"",D281*E281)</f>
        <v/>
      </c>
      <c r="G281" s="10" t="n"/>
      <c r="H281" s="14">
        <f>IF(A281="","",MONTH(A281))</f>
        <v/>
      </c>
      <c r="I281" s="14">
        <f>IF(A281="","",YEAR(A281))</f>
        <v/>
      </c>
    </row>
    <row r="282">
      <c r="A282" s="15" t="n"/>
      <c r="B282" s="10" t="n"/>
      <c r="C282" s="14">
        <f>IF(B282="","",IFERROR(INDEX('Sản phẩm'!$B$5:$B$304,MATCH(B282,'Sản phẩm'!$A$5:$A$304,0)),""))</f>
        <v/>
      </c>
      <c r="D282" s="12" t="n"/>
      <c r="E282" s="11" t="n"/>
      <c r="F282" s="16">
        <f>IF(OR(D282="",E282=""),"",D282*E282)</f>
        <v/>
      </c>
      <c r="G282" s="10" t="n"/>
      <c r="H282" s="14">
        <f>IF(A282="","",MONTH(A282))</f>
        <v/>
      </c>
      <c r="I282" s="14">
        <f>IF(A282="","",YEAR(A282))</f>
        <v/>
      </c>
    </row>
    <row r="283">
      <c r="A283" s="15" t="n"/>
      <c r="B283" s="10" t="n"/>
      <c r="C283" s="14">
        <f>IF(B283="","",IFERROR(INDEX('Sản phẩm'!$B$5:$B$304,MATCH(B283,'Sản phẩm'!$A$5:$A$304,0)),""))</f>
        <v/>
      </c>
      <c r="D283" s="12" t="n"/>
      <c r="E283" s="11" t="n"/>
      <c r="F283" s="16">
        <f>IF(OR(D283="",E283=""),"",D283*E283)</f>
        <v/>
      </c>
      <c r="G283" s="10" t="n"/>
      <c r="H283" s="14">
        <f>IF(A283="","",MONTH(A283))</f>
        <v/>
      </c>
      <c r="I283" s="14">
        <f>IF(A283="","",YEAR(A283))</f>
        <v/>
      </c>
    </row>
    <row r="284">
      <c r="A284" s="15" t="n"/>
      <c r="B284" s="10" t="n"/>
      <c r="C284" s="14">
        <f>IF(B284="","",IFERROR(INDEX('Sản phẩm'!$B$5:$B$304,MATCH(B284,'Sản phẩm'!$A$5:$A$304,0)),""))</f>
        <v/>
      </c>
      <c r="D284" s="12" t="n"/>
      <c r="E284" s="11" t="n"/>
      <c r="F284" s="16">
        <f>IF(OR(D284="",E284=""),"",D284*E284)</f>
        <v/>
      </c>
      <c r="G284" s="10" t="n"/>
      <c r="H284" s="14">
        <f>IF(A284="","",MONTH(A284))</f>
        <v/>
      </c>
      <c r="I284" s="14">
        <f>IF(A284="","",YEAR(A284))</f>
        <v/>
      </c>
    </row>
    <row r="285">
      <c r="A285" s="15" t="n"/>
      <c r="B285" s="10" t="n"/>
      <c r="C285" s="14">
        <f>IF(B285="","",IFERROR(INDEX('Sản phẩm'!$B$5:$B$304,MATCH(B285,'Sản phẩm'!$A$5:$A$304,0)),""))</f>
        <v/>
      </c>
      <c r="D285" s="12" t="n"/>
      <c r="E285" s="11" t="n"/>
      <c r="F285" s="16">
        <f>IF(OR(D285="",E285=""),"",D285*E285)</f>
        <v/>
      </c>
      <c r="G285" s="10" t="n"/>
      <c r="H285" s="14">
        <f>IF(A285="","",MONTH(A285))</f>
        <v/>
      </c>
      <c r="I285" s="14">
        <f>IF(A285="","",YEAR(A285))</f>
        <v/>
      </c>
    </row>
    <row r="286">
      <c r="A286" s="15" t="n"/>
      <c r="B286" s="10" t="n"/>
      <c r="C286" s="14">
        <f>IF(B286="","",IFERROR(INDEX('Sản phẩm'!$B$5:$B$304,MATCH(B286,'Sản phẩm'!$A$5:$A$304,0)),""))</f>
        <v/>
      </c>
      <c r="D286" s="12" t="n"/>
      <c r="E286" s="11" t="n"/>
      <c r="F286" s="16">
        <f>IF(OR(D286="",E286=""),"",D286*E286)</f>
        <v/>
      </c>
      <c r="G286" s="10" t="n"/>
      <c r="H286" s="14">
        <f>IF(A286="","",MONTH(A286))</f>
        <v/>
      </c>
      <c r="I286" s="14">
        <f>IF(A286="","",YEAR(A286))</f>
        <v/>
      </c>
    </row>
    <row r="287">
      <c r="A287" s="15" t="n"/>
      <c r="B287" s="10" t="n"/>
      <c r="C287" s="14">
        <f>IF(B287="","",IFERROR(INDEX('Sản phẩm'!$B$5:$B$304,MATCH(B287,'Sản phẩm'!$A$5:$A$304,0)),""))</f>
        <v/>
      </c>
      <c r="D287" s="12" t="n"/>
      <c r="E287" s="11" t="n"/>
      <c r="F287" s="16">
        <f>IF(OR(D287="",E287=""),"",D287*E287)</f>
        <v/>
      </c>
      <c r="G287" s="10" t="n"/>
      <c r="H287" s="14">
        <f>IF(A287="","",MONTH(A287))</f>
        <v/>
      </c>
      <c r="I287" s="14">
        <f>IF(A287="","",YEAR(A287))</f>
        <v/>
      </c>
    </row>
    <row r="288">
      <c r="A288" s="15" t="n"/>
      <c r="B288" s="10" t="n"/>
      <c r="C288" s="14">
        <f>IF(B288="","",IFERROR(INDEX('Sản phẩm'!$B$5:$B$304,MATCH(B288,'Sản phẩm'!$A$5:$A$304,0)),""))</f>
        <v/>
      </c>
      <c r="D288" s="12" t="n"/>
      <c r="E288" s="11" t="n"/>
      <c r="F288" s="16">
        <f>IF(OR(D288="",E288=""),"",D288*E288)</f>
        <v/>
      </c>
      <c r="G288" s="10" t="n"/>
      <c r="H288" s="14">
        <f>IF(A288="","",MONTH(A288))</f>
        <v/>
      </c>
      <c r="I288" s="14">
        <f>IF(A288="","",YEAR(A288))</f>
        <v/>
      </c>
    </row>
    <row r="289">
      <c r="A289" s="15" t="n"/>
      <c r="B289" s="10" t="n"/>
      <c r="C289" s="14">
        <f>IF(B289="","",IFERROR(INDEX('Sản phẩm'!$B$5:$B$304,MATCH(B289,'Sản phẩm'!$A$5:$A$304,0)),""))</f>
        <v/>
      </c>
      <c r="D289" s="12" t="n"/>
      <c r="E289" s="11" t="n"/>
      <c r="F289" s="16">
        <f>IF(OR(D289="",E289=""),"",D289*E289)</f>
        <v/>
      </c>
      <c r="G289" s="10" t="n"/>
      <c r="H289" s="14">
        <f>IF(A289="","",MONTH(A289))</f>
        <v/>
      </c>
      <c r="I289" s="14">
        <f>IF(A289="","",YEAR(A289))</f>
        <v/>
      </c>
    </row>
    <row r="290">
      <c r="A290" s="15" t="n"/>
      <c r="B290" s="10" t="n"/>
      <c r="C290" s="14">
        <f>IF(B290="","",IFERROR(INDEX('Sản phẩm'!$B$5:$B$304,MATCH(B290,'Sản phẩm'!$A$5:$A$304,0)),""))</f>
        <v/>
      </c>
      <c r="D290" s="12" t="n"/>
      <c r="E290" s="11" t="n"/>
      <c r="F290" s="16">
        <f>IF(OR(D290="",E290=""),"",D290*E290)</f>
        <v/>
      </c>
      <c r="G290" s="10" t="n"/>
      <c r="H290" s="14">
        <f>IF(A290="","",MONTH(A290))</f>
        <v/>
      </c>
      <c r="I290" s="14">
        <f>IF(A290="","",YEAR(A290))</f>
        <v/>
      </c>
    </row>
    <row r="291">
      <c r="A291" s="15" t="n"/>
      <c r="B291" s="10" t="n"/>
      <c r="C291" s="14">
        <f>IF(B291="","",IFERROR(INDEX('Sản phẩm'!$B$5:$B$304,MATCH(B291,'Sản phẩm'!$A$5:$A$304,0)),""))</f>
        <v/>
      </c>
      <c r="D291" s="12" t="n"/>
      <c r="E291" s="11" t="n"/>
      <c r="F291" s="16">
        <f>IF(OR(D291="",E291=""),"",D291*E291)</f>
        <v/>
      </c>
      <c r="G291" s="10" t="n"/>
      <c r="H291" s="14">
        <f>IF(A291="","",MONTH(A291))</f>
        <v/>
      </c>
      <c r="I291" s="14">
        <f>IF(A291="","",YEAR(A291))</f>
        <v/>
      </c>
    </row>
    <row r="292">
      <c r="A292" s="15" t="n"/>
      <c r="B292" s="10" t="n"/>
      <c r="C292" s="14">
        <f>IF(B292="","",IFERROR(INDEX('Sản phẩm'!$B$5:$B$304,MATCH(B292,'Sản phẩm'!$A$5:$A$304,0)),""))</f>
        <v/>
      </c>
      <c r="D292" s="12" t="n"/>
      <c r="E292" s="11" t="n"/>
      <c r="F292" s="16">
        <f>IF(OR(D292="",E292=""),"",D292*E292)</f>
        <v/>
      </c>
      <c r="G292" s="10" t="n"/>
      <c r="H292" s="14">
        <f>IF(A292="","",MONTH(A292))</f>
        <v/>
      </c>
      <c r="I292" s="14">
        <f>IF(A292="","",YEAR(A292))</f>
        <v/>
      </c>
    </row>
    <row r="293">
      <c r="A293" s="15" t="n"/>
      <c r="B293" s="10" t="n"/>
      <c r="C293" s="14">
        <f>IF(B293="","",IFERROR(INDEX('Sản phẩm'!$B$5:$B$304,MATCH(B293,'Sản phẩm'!$A$5:$A$304,0)),""))</f>
        <v/>
      </c>
      <c r="D293" s="12" t="n"/>
      <c r="E293" s="11" t="n"/>
      <c r="F293" s="16">
        <f>IF(OR(D293="",E293=""),"",D293*E293)</f>
        <v/>
      </c>
      <c r="G293" s="10" t="n"/>
      <c r="H293" s="14">
        <f>IF(A293="","",MONTH(A293))</f>
        <v/>
      </c>
      <c r="I293" s="14">
        <f>IF(A293="","",YEAR(A293))</f>
        <v/>
      </c>
    </row>
    <row r="294">
      <c r="A294" s="15" t="n"/>
      <c r="B294" s="10" t="n"/>
      <c r="C294" s="14">
        <f>IF(B294="","",IFERROR(INDEX('Sản phẩm'!$B$5:$B$304,MATCH(B294,'Sản phẩm'!$A$5:$A$304,0)),""))</f>
        <v/>
      </c>
      <c r="D294" s="12" t="n"/>
      <c r="E294" s="11" t="n"/>
      <c r="F294" s="16">
        <f>IF(OR(D294="",E294=""),"",D294*E294)</f>
        <v/>
      </c>
      <c r="G294" s="10" t="n"/>
      <c r="H294" s="14">
        <f>IF(A294="","",MONTH(A294))</f>
        <v/>
      </c>
      <c r="I294" s="14">
        <f>IF(A294="","",YEAR(A294))</f>
        <v/>
      </c>
    </row>
    <row r="295">
      <c r="A295" s="15" t="n"/>
      <c r="B295" s="10" t="n"/>
      <c r="C295" s="14">
        <f>IF(B295="","",IFERROR(INDEX('Sản phẩm'!$B$5:$B$304,MATCH(B295,'Sản phẩm'!$A$5:$A$304,0)),""))</f>
        <v/>
      </c>
      <c r="D295" s="12" t="n"/>
      <c r="E295" s="11" t="n"/>
      <c r="F295" s="16">
        <f>IF(OR(D295="",E295=""),"",D295*E295)</f>
        <v/>
      </c>
      <c r="G295" s="10" t="n"/>
      <c r="H295" s="14">
        <f>IF(A295="","",MONTH(A295))</f>
        <v/>
      </c>
      <c r="I295" s="14">
        <f>IF(A295="","",YEAR(A295))</f>
        <v/>
      </c>
    </row>
    <row r="296">
      <c r="A296" s="15" t="n"/>
      <c r="B296" s="10" t="n"/>
      <c r="C296" s="14">
        <f>IF(B296="","",IFERROR(INDEX('Sản phẩm'!$B$5:$B$304,MATCH(B296,'Sản phẩm'!$A$5:$A$304,0)),""))</f>
        <v/>
      </c>
      <c r="D296" s="12" t="n"/>
      <c r="E296" s="11" t="n"/>
      <c r="F296" s="16">
        <f>IF(OR(D296="",E296=""),"",D296*E296)</f>
        <v/>
      </c>
      <c r="G296" s="10" t="n"/>
      <c r="H296" s="14">
        <f>IF(A296="","",MONTH(A296))</f>
        <v/>
      </c>
      <c r="I296" s="14">
        <f>IF(A296="","",YEAR(A296))</f>
        <v/>
      </c>
    </row>
    <row r="297">
      <c r="A297" s="15" t="n"/>
      <c r="B297" s="10" t="n"/>
      <c r="C297" s="14">
        <f>IF(B297="","",IFERROR(INDEX('Sản phẩm'!$B$5:$B$304,MATCH(B297,'Sản phẩm'!$A$5:$A$304,0)),""))</f>
        <v/>
      </c>
      <c r="D297" s="12" t="n"/>
      <c r="E297" s="11" t="n"/>
      <c r="F297" s="16">
        <f>IF(OR(D297="",E297=""),"",D297*E297)</f>
        <v/>
      </c>
      <c r="G297" s="10" t="n"/>
      <c r="H297" s="14">
        <f>IF(A297="","",MONTH(A297))</f>
        <v/>
      </c>
      <c r="I297" s="14">
        <f>IF(A297="","",YEAR(A297))</f>
        <v/>
      </c>
    </row>
    <row r="298">
      <c r="A298" s="15" t="n"/>
      <c r="B298" s="10" t="n"/>
      <c r="C298" s="14">
        <f>IF(B298="","",IFERROR(INDEX('Sản phẩm'!$B$5:$B$304,MATCH(B298,'Sản phẩm'!$A$5:$A$304,0)),""))</f>
        <v/>
      </c>
      <c r="D298" s="12" t="n"/>
      <c r="E298" s="11" t="n"/>
      <c r="F298" s="16">
        <f>IF(OR(D298="",E298=""),"",D298*E298)</f>
        <v/>
      </c>
      <c r="G298" s="10" t="n"/>
      <c r="H298" s="14">
        <f>IF(A298="","",MONTH(A298))</f>
        <v/>
      </c>
      <c r="I298" s="14">
        <f>IF(A298="","",YEAR(A298))</f>
        <v/>
      </c>
    </row>
    <row r="299">
      <c r="A299" s="15" t="n"/>
      <c r="B299" s="10" t="n"/>
      <c r="C299" s="14">
        <f>IF(B299="","",IFERROR(INDEX('Sản phẩm'!$B$5:$B$304,MATCH(B299,'Sản phẩm'!$A$5:$A$304,0)),""))</f>
        <v/>
      </c>
      <c r="D299" s="12" t="n"/>
      <c r="E299" s="11" t="n"/>
      <c r="F299" s="16">
        <f>IF(OR(D299="",E299=""),"",D299*E299)</f>
        <v/>
      </c>
      <c r="G299" s="10" t="n"/>
      <c r="H299" s="14">
        <f>IF(A299="","",MONTH(A299))</f>
        <v/>
      </c>
      <c r="I299" s="14">
        <f>IF(A299="","",YEAR(A299))</f>
        <v/>
      </c>
    </row>
    <row r="300">
      <c r="A300" s="15" t="n"/>
      <c r="B300" s="10" t="n"/>
      <c r="C300" s="14">
        <f>IF(B300="","",IFERROR(INDEX('Sản phẩm'!$B$5:$B$304,MATCH(B300,'Sản phẩm'!$A$5:$A$304,0)),""))</f>
        <v/>
      </c>
      <c r="D300" s="12" t="n"/>
      <c r="E300" s="11" t="n"/>
      <c r="F300" s="16">
        <f>IF(OR(D300="",E300=""),"",D300*E300)</f>
        <v/>
      </c>
      <c r="G300" s="10" t="n"/>
      <c r="H300" s="14">
        <f>IF(A300="","",MONTH(A300))</f>
        <v/>
      </c>
      <c r="I300" s="14">
        <f>IF(A300="","",YEAR(A300))</f>
        <v/>
      </c>
    </row>
    <row r="301">
      <c r="A301" s="15" t="n"/>
      <c r="B301" s="10" t="n"/>
      <c r="C301" s="14">
        <f>IF(B301="","",IFERROR(INDEX('Sản phẩm'!$B$5:$B$304,MATCH(B301,'Sản phẩm'!$A$5:$A$304,0)),""))</f>
        <v/>
      </c>
      <c r="D301" s="12" t="n"/>
      <c r="E301" s="11" t="n"/>
      <c r="F301" s="16">
        <f>IF(OR(D301="",E301=""),"",D301*E301)</f>
        <v/>
      </c>
      <c r="G301" s="10" t="n"/>
      <c r="H301" s="14">
        <f>IF(A301="","",MONTH(A301))</f>
        <v/>
      </c>
      <c r="I301" s="14">
        <f>IF(A301="","",YEAR(A301))</f>
        <v/>
      </c>
    </row>
    <row r="302">
      <c r="A302" s="15" t="n"/>
      <c r="B302" s="10" t="n"/>
      <c r="C302" s="14">
        <f>IF(B302="","",IFERROR(INDEX('Sản phẩm'!$B$5:$B$304,MATCH(B302,'Sản phẩm'!$A$5:$A$304,0)),""))</f>
        <v/>
      </c>
      <c r="D302" s="12" t="n"/>
      <c r="E302" s="11" t="n"/>
      <c r="F302" s="16">
        <f>IF(OR(D302="",E302=""),"",D302*E302)</f>
        <v/>
      </c>
      <c r="G302" s="10" t="n"/>
      <c r="H302" s="14">
        <f>IF(A302="","",MONTH(A302))</f>
        <v/>
      </c>
      <c r="I302" s="14">
        <f>IF(A302="","",YEAR(A302))</f>
        <v/>
      </c>
    </row>
    <row r="303">
      <c r="A303" s="15" t="n"/>
      <c r="B303" s="10" t="n"/>
      <c r="C303" s="14">
        <f>IF(B303="","",IFERROR(INDEX('Sản phẩm'!$B$5:$B$304,MATCH(B303,'Sản phẩm'!$A$5:$A$304,0)),""))</f>
        <v/>
      </c>
      <c r="D303" s="12" t="n"/>
      <c r="E303" s="11" t="n"/>
      <c r="F303" s="16">
        <f>IF(OR(D303="",E303=""),"",D303*E303)</f>
        <v/>
      </c>
      <c r="G303" s="10" t="n"/>
      <c r="H303" s="14">
        <f>IF(A303="","",MONTH(A303))</f>
        <v/>
      </c>
      <c r="I303" s="14">
        <f>IF(A303="","",YEAR(A303))</f>
        <v/>
      </c>
    </row>
    <row r="304">
      <c r="A304" s="15" t="n"/>
      <c r="B304" s="10" t="n"/>
      <c r="C304" s="14">
        <f>IF(B304="","",IFERROR(INDEX('Sản phẩm'!$B$5:$B$304,MATCH(B304,'Sản phẩm'!$A$5:$A$304,0)),""))</f>
        <v/>
      </c>
      <c r="D304" s="12" t="n"/>
      <c r="E304" s="11" t="n"/>
      <c r="F304" s="16">
        <f>IF(OR(D304="",E304=""),"",D304*E304)</f>
        <v/>
      </c>
      <c r="G304" s="10" t="n"/>
      <c r="H304" s="14">
        <f>IF(A304="","",MONTH(A304))</f>
        <v/>
      </c>
      <c r="I304" s="14">
        <f>IF(A304="","",YEAR(A304))</f>
        <v/>
      </c>
    </row>
    <row r="305">
      <c r="A305" s="15" t="n"/>
      <c r="B305" s="10" t="n"/>
      <c r="C305" s="14">
        <f>IF(B305="","",IFERROR(INDEX('Sản phẩm'!$B$5:$B$304,MATCH(B305,'Sản phẩm'!$A$5:$A$304,0)),""))</f>
        <v/>
      </c>
      <c r="D305" s="12" t="n"/>
      <c r="E305" s="11" t="n"/>
      <c r="F305" s="16">
        <f>IF(OR(D305="",E305=""),"",D305*E305)</f>
        <v/>
      </c>
      <c r="G305" s="10" t="n"/>
      <c r="H305" s="14">
        <f>IF(A305="","",MONTH(A305))</f>
        <v/>
      </c>
      <c r="I305" s="14">
        <f>IF(A305="","",YEAR(A305))</f>
        <v/>
      </c>
    </row>
    <row r="306">
      <c r="A306" s="15" t="n"/>
      <c r="B306" s="10" t="n"/>
      <c r="C306" s="14">
        <f>IF(B306="","",IFERROR(INDEX('Sản phẩm'!$B$5:$B$304,MATCH(B306,'Sản phẩm'!$A$5:$A$304,0)),""))</f>
        <v/>
      </c>
      <c r="D306" s="12" t="n"/>
      <c r="E306" s="11" t="n"/>
      <c r="F306" s="16">
        <f>IF(OR(D306="",E306=""),"",D306*E306)</f>
        <v/>
      </c>
      <c r="G306" s="10" t="n"/>
      <c r="H306" s="14">
        <f>IF(A306="","",MONTH(A306))</f>
        <v/>
      </c>
      <c r="I306" s="14">
        <f>IF(A306="","",YEAR(A306))</f>
        <v/>
      </c>
    </row>
    <row r="307">
      <c r="A307" s="15" t="n"/>
      <c r="B307" s="10" t="n"/>
      <c r="C307" s="14">
        <f>IF(B307="","",IFERROR(INDEX('Sản phẩm'!$B$5:$B$304,MATCH(B307,'Sản phẩm'!$A$5:$A$304,0)),""))</f>
        <v/>
      </c>
      <c r="D307" s="12" t="n"/>
      <c r="E307" s="11" t="n"/>
      <c r="F307" s="16">
        <f>IF(OR(D307="",E307=""),"",D307*E307)</f>
        <v/>
      </c>
      <c r="G307" s="10" t="n"/>
      <c r="H307" s="14">
        <f>IF(A307="","",MONTH(A307))</f>
        <v/>
      </c>
      <c r="I307" s="14">
        <f>IF(A307="","",YEAR(A307))</f>
        <v/>
      </c>
    </row>
    <row r="308">
      <c r="A308" s="15" t="n"/>
      <c r="B308" s="10" t="n"/>
      <c r="C308" s="14">
        <f>IF(B308="","",IFERROR(INDEX('Sản phẩm'!$B$5:$B$304,MATCH(B308,'Sản phẩm'!$A$5:$A$304,0)),""))</f>
        <v/>
      </c>
      <c r="D308" s="12" t="n"/>
      <c r="E308" s="11" t="n"/>
      <c r="F308" s="16">
        <f>IF(OR(D308="",E308=""),"",D308*E308)</f>
        <v/>
      </c>
      <c r="G308" s="10" t="n"/>
      <c r="H308" s="14">
        <f>IF(A308="","",MONTH(A308))</f>
        <v/>
      </c>
      <c r="I308" s="14">
        <f>IF(A308="","",YEAR(A308))</f>
        <v/>
      </c>
    </row>
    <row r="309">
      <c r="A309" s="15" t="n"/>
      <c r="B309" s="10" t="n"/>
      <c r="C309" s="14">
        <f>IF(B309="","",IFERROR(INDEX('Sản phẩm'!$B$5:$B$304,MATCH(B309,'Sản phẩm'!$A$5:$A$304,0)),""))</f>
        <v/>
      </c>
      <c r="D309" s="12" t="n"/>
      <c r="E309" s="11" t="n"/>
      <c r="F309" s="16">
        <f>IF(OR(D309="",E309=""),"",D309*E309)</f>
        <v/>
      </c>
      <c r="G309" s="10" t="n"/>
      <c r="H309" s="14">
        <f>IF(A309="","",MONTH(A309))</f>
        <v/>
      </c>
      <c r="I309" s="14">
        <f>IF(A309="","",YEAR(A309))</f>
        <v/>
      </c>
    </row>
    <row r="310">
      <c r="A310" s="15" t="n"/>
      <c r="B310" s="10" t="n"/>
      <c r="C310" s="14">
        <f>IF(B310="","",IFERROR(INDEX('Sản phẩm'!$B$5:$B$304,MATCH(B310,'Sản phẩm'!$A$5:$A$304,0)),""))</f>
        <v/>
      </c>
      <c r="D310" s="12" t="n"/>
      <c r="E310" s="11" t="n"/>
      <c r="F310" s="16">
        <f>IF(OR(D310="",E310=""),"",D310*E310)</f>
        <v/>
      </c>
      <c r="G310" s="10" t="n"/>
      <c r="H310" s="14">
        <f>IF(A310="","",MONTH(A310))</f>
        <v/>
      </c>
      <c r="I310" s="14">
        <f>IF(A310="","",YEAR(A310))</f>
        <v/>
      </c>
    </row>
    <row r="311">
      <c r="A311" s="15" t="n"/>
      <c r="B311" s="10" t="n"/>
      <c r="C311" s="14">
        <f>IF(B311="","",IFERROR(INDEX('Sản phẩm'!$B$5:$B$304,MATCH(B311,'Sản phẩm'!$A$5:$A$304,0)),""))</f>
        <v/>
      </c>
      <c r="D311" s="12" t="n"/>
      <c r="E311" s="11" t="n"/>
      <c r="F311" s="16">
        <f>IF(OR(D311="",E311=""),"",D311*E311)</f>
        <v/>
      </c>
      <c r="G311" s="10" t="n"/>
      <c r="H311" s="14">
        <f>IF(A311="","",MONTH(A311))</f>
        <v/>
      </c>
      <c r="I311" s="14">
        <f>IF(A311="","",YEAR(A311))</f>
        <v/>
      </c>
    </row>
    <row r="312">
      <c r="A312" s="15" t="n"/>
      <c r="B312" s="10" t="n"/>
      <c r="C312" s="14">
        <f>IF(B312="","",IFERROR(INDEX('Sản phẩm'!$B$5:$B$304,MATCH(B312,'Sản phẩm'!$A$5:$A$304,0)),""))</f>
        <v/>
      </c>
      <c r="D312" s="12" t="n"/>
      <c r="E312" s="11" t="n"/>
      <c r="F312" s="16">
        <f>IF(OR(D312="",E312=""),"",D312*E312)</f>
        <v/>
      </c>
      <c r="G312" s="10" t="n"/>
      <c r="H312" s="14">
        <f>IF(A312="","",MONTH(A312))</f>
        <v/>
      </c>
      <c r="I312" s="14">
        <f>IF(A312="","",YEAR(A312))</f>
        <v/>
      </c>
    </row>
    <row r="313">
      <c r="A313" s="15" t="n"/>
      <c r="B313" s="10" t="n"/>
      <c r="C313" s="14">
        <f>IF(B313="","",IFERROR(INDEX('Sản phẩm'!$B$5:$B$304,MATCH(B313,'Sản phẩm'!$A$5:$A$304,0)),""))</f>
        <v/>
      </c>
      <c r="D313" s="12" t="n"/>
      <c r="E313" s="11" t="n"/>
      <c r="F313" s="16">
        <f>IF(OR(D313="",E313=""),"",D313*E313)</f>
        <v/>
      </c>
      <c r="G313" s="10" t="n"/>
      <c r="H313" s="14">
        <f>IF(A313="","",MONTH(A313))</f>
        <v/>
      </c>
      <c r="I313" s="14">
        <f>IF(A313="","",YEAR(A313))</f>
        <v/>
      </c>
    </row>
    <row r="314">
      <c r="A314" s="15" t="n"/>
      <c r="B314" s="10" t="n"/>
      <c r="C314" s="14">
        <f>IF(B314="","",IFERROR(INDEX('Sản phẩm'!$B$5:$B$304,MATCH(B314,'Sản phẩm'!$A$5:$A$304,0)),""))</f>
        <v/>
      </c>
      <c r="D314" s="12" t="n"/>
      <c r="E314" s="11" t="n"/>
      <c r="F314" s="16">
        <f>IF(OR(D314="",E314=""),"",D314*E314)</f>
        <v/>
      </c>
      <c r="G314" s="10" t="n"/>
      <c r="H314" s="14">
        <f>IF(A314="","",MONTH(A314))</f>
        <v/>
      </c>
      <c r="I314" s="14">
        <f>IF(A314="","",YEAR(A314))</f>
        <v/>
      </c>
    </row>
    <row r="315">
      <c r="A315" s="15" t="n"/>
      <c r="B315" s="10" t="n"/>
      <c r="C315" s="14">
        <f>IF(B315="","",IFERROR(INDEX('Sản phẩm'!$B$5:$B$304,MATCH(B315,'Sản phẩm'!$A$5:$A$304,0)),""))</f>
        <v/>
      </c>
      <c r="D315" s="12" t="n"/>
      <c r="E315" s="11" t="n"/>
      <c r="F315" s="16">
        <f>IF(OR(D315="",E315=""),"",D315*E315)</f>
        <v/>
      </c>
      <c r="G315" s="10" t="n"/>
      <c r="H315" s="14">
        <f>IF(A315="","",MONTH(A315))</f>
        <v/>
      </c>
      <c r="I315" s="14">
        <f>IF(A315="","",YEAR(A315))</f>
        <v/>
      </c>
    </row>
    <row r="316">
      <c r="A316" s="15" t="n"/>
      <c r="B316" s="10" t="n"/>
      <c r="C316" s="14">
        <f>IF(B316="","",IFERROR(INDEX('Sản phẩm'!$B$5:$B$304,MATCH(B316,'Sản phẩm'!$A$5:$A$304,0)),""))</f>
        <v/>
      </c>
      <c r="D316" s="12" t="n"/>
      <c r="E316" s="11" t="n"/>
      <c r="F316" s="16">
        <f>IF(OR(D316="",E316=""),"",D316*E316)</f>
        <v/>
      </c>
      <c r="G316" s="10" t="n"/>
      <c r="H316" s="14">
        <f>IF(A316="","",MONTH(A316))</f>
        <v/>
      </c>
      <c r="I316" s="14">
        <f>IF(A316="","",YEAR(A316))</f>
        <v/>
      </c>
    </row>
    <row r="317">
      <c r="A317" s="15" t="n"/>
      <c r="B317" s="10" t="n"/>
      <c r="C317" s="14">
        <f>IF(B317="","",IFERROR(INDEX('Sản phẩm'!$B$5:$B$304,MATCH(B317,'Sản phẩm'!$A$5:$A$304,0)),""))</f>
        <v/>
      </c>
      <c r="D317" s="12" t="n"/>
      <c r="E317" s="11" t="n"/>
      <c r="F317" s="16">
        <f>IF(OR(D317="",E317=""),"",D317*E317)</f>
        <v/>
      </c>
      <c r="G317" s="10" t="n"/>
      <c r="H317" s="14">
        <f>IF(A317="","",MONTH(A317))</f>
        <v/>
      </c>
      <c r="I317" s="14">
        <f>IF(A317="","",YEAR(A317))</f>
        <v/>
      </c>
    </row>
    <row r="318">
      <c r="A318" s="15" t="n"/>
      <c r="B318" s="10" t="n"/>
      <c r="C318" s="14">
        <f>IF(B318="","",IFERROR(INDEX('Sản phẩm'!$B$5:$B$304,MATCH(B318,'Sản phẩm'!$A$5:$A$304,0)),""))</f>
        <v/>
      </c>
      <c r="D318" s="12" t="n"/>
      <c r="E318" s="11" t="n"/>
      <c r="F318" s="16">
        <f>IF(OR(D318="",E318=""),"",D318*E318)</f>
        <v/>
      </c>
      <c r="G318" s="10" t="n"/>
      <c r="H318" s="14">
        <f>IF(A318="","",MONTH(A318))</f>
        <v/>
      </c>
      <c r="I318" s="14">
        <f>IF(A318="","",YEAR(A318))</f>
        <v/>
      </c>
    </row>
    <row r="319">
      <c r="A319" s="15" t="n"/>
      <c r="B319" s="10" t="n"/>
      <c r="C319" s="14">
        <f>IF(B319="","",IFERROR(INDEX('Sản phẩm'!$B$5:$B$304,MATCH(B319,'Sản phẩm'!$A$5:$A$304,0)),""))</f>
        <v/>
      </c>
      <c r="D319" s="12" t="n"/>
      <c r="E319" s="11" t="n"/>
      <c r="F319" s="16">
        <f>IF(OR(D319="",E319=""),"",D319*E319)</f>
        <v/>
      </c>
      <c r="G319" s="10" t="n"/>
      <c r="H319" s="14">
        <f>IF(A319="","",MONTH(A319))</f>
        <v/>
      </c>
      <c r="I319" s="14">
        <f>IF(A319="","",YEAR(A319))</f>
        <v/>
      </c>
    </row>
    <row r="320">
      <c r="A320" s="15" t="n"/>
      <c r="B320" s="10" t="n"/>
      <c r="C320" s="14">
        <f>IF(B320="","",IFERROR(INDEX('Sản phẩm'!$B$5:$B$304,MATCH(B320,'Sản phẩm'!$A$5:$A$304,0)),""))</f>
        <v/>
      </c>
      <c r="D320" s="12" t="n"/>
      <c r="E320" s="11" t="n"/>
      <c r="F320" s="16">
        <f>IF(OR(D320="",E320=""),"",D320*E320)</f>
        <v/>
      </c>
      <c r="G320" s="10" t="n"/>
      <c r="H320" s="14">
        <f>IF(A320="","",MONTH(A320))</f>
        <v/>
      </c>
      <c r="I320" s="14">
        <f>IF(A320="","",YEAR(A320))</f>
        <v/>
      </c>
    </row>
    <row r="321">
      <c r="A321" s="15" t="n"/>
      <c r="B321" s="10" t="n"/>
      <c r="C321" s="14">
        <f>IF(B321="","",IFERROR(INDEX('Sản phẩm'!$B$5:$B$304,MATCH(B321,'Sản phẩm'!$A$5:$A$304,0)),""))</f>
        <v/>
      </c>
      <c r="D321" s="12" t="n"/>
      <c r="E321" s="11" t="n"/>
      <c r="F321" s="16">
        <f>IF(OR(D321="",E321=""),"",D321*E321)</f>
        <v/>
      </c>
      <c r="G321" s="10" t="n"/>
      <c r="H321" s="14">
        <f>IF(A321="","",MONTH(A321))</f>
        <v/>
      </c>
      <c r="I321" s="14">
        <f>IF(A321="","",YEAR(A321))</f>
        <v/>
      </c>
    </row>
    <row r="322">
      <c r="A322" s="15" t="n"/>
      <c r="B322" s="10" t="n"/>
      <c r="C322" s="14">
        <f>IF(B322="","",IFERROR(INDEX('Sản phẩm'!$B$5:$B$304,MATCH(B322,'Sản phẩm'!$A$5:$A$304,0)),""))</f>
        <v/>
      </c>
      <c r="D322" s="12" t="n"/>
      <c r="E322" s="11" t="n"/>
      <c r="F322" s="16">
        <f>IF(OR(D322="",E322=""),"",D322*E322)</f>
        <v/>
      </c>
      <c r="G322" s="10" t="n"/>
      <c r="H322" s="14">
        <f>IF(A322="","",MONTH(A322))</f>
        <v/>
      </c>
      <c r="I322" s="14">
        <f>IF(A322="","",YEAR(A322))</f>
        <v/>
      </c>
    </row>
    <row r="323">
      <c r="A323" s="15" t="n"/>
      <c r="B323" s="10" t="n"/>
      <c r="C323" s="14">
        <f>IF(B323="","",IFERROR(INDEX('Sản phẩm'!$B$5:$B$304,MATCH(B323,'Sản phẩm'!$A$5:$A$304,0)),""))</f>
        <v/>
      </c>
      <c r="D323" s="12" t="n"/>
      <c r="E323" s="11" t="n"/>
      <c r="F323" s="16">
        <f>IF(OR(D323="",E323=""),"",D323*E323)</f>
        <v/>
      </c>
      <c r="G323" s="10" t="n"/>
      <c r="H323" s="14">
        <f>IF(A323="","",MONTH(A323))</f>
        <v/>
      </c>
      <c r="I323" s="14">
        <f>IF(A323="","",YEAR(A323))</f>
        <v/>
      </c>
    </row>
    <row r="324">
      <c r="A324" s="15" t="n"/>
      <c r="B324" s="10" t="n"/>
      <c r="C324" s="14">
        <f>IF(B324="","",IFERROR(INDEX('Sản phẩm'!$B$5:$B$304,MATCH(B324,'Sản phẩm'!$A$5:$A$304,0)),""))</f>
        <v/>
      </c>
      <c r="D324" s="12" t="n"/>
      <c r="E324" s="11" t="n"/>
      <c r="F324" s="16">
        <f>IF(OR(D324="",E324=""),"",D324*E324)</f>
        <v/>
      </c>
      <c r="G324" s="10" t="n"/>
      <c r="H324" s="14">
        <f>IF(A324="","",MONTH(A324))</f>
        <v/>
      </c>
      <c r="I324" s="14">
        <f>IF(A324="","",YEAR(A324))</f>
        <v/>
      </c>
    </row>
    <row r="325">
      <c r="A325" s="15" t="n"/>
      <c r="B325" s="10" t="n"/>
      <c r="C325" s="14">
        <f>IF(B325="","",IFERROR(INDEX('Sản phẩm'!$B$5:$B$304,MATCH(B325,'Sản phẩm'!$A$5:$A$304,0)),""))</f>
        <v/>
      </c>
      <c r="D325" s="12" t="n"/>
      <c r="E325" s="11" t="n"/>
      <c r="F325" s="16">
        <f>IF(OR(D325="",E325=""),"",D325*E325)</f>
        <v/>
      </c>
      <c r="G325" s="10" t="n"/>
      <c r="H325" s="14">
        <f>IF(A325="","",MONTH(A325))</f>
        <v/>
      </c>
      <c r="I325" s="14">
        <f>IF(A325="","",YEAR(A325))</f>
        <v/>
      </c>
    </row>
    <row r="326">
      <c r="A326" s="15" t="n"/>
      <c r="B326" s="10" t="n"/>
      <c r="C326" s="14">
        <f>IF(B326="","",IFERROR(INDEX('Sản phẩm'!$B$5:$B$304,MATCH(B326,'Sản phẩm'!$A$5:$A$304,0)),""))</f>
        <v/>
      </c>
      <c r="D326" s="12" t="n"/>
      <c r="E326" s="11" t="n"/>
      <c r="F326" s="16">
        <f>IF(OR(D326="",E326=""),"",D326*E326)</f>
        <v/>
      </c>
      <c r="G326" s="10" t="n"/>
      <c r="H326" s="14">
        <f>IF(A326="","",MONTH(A326))</f>
        <v/>
      </c>
      <c r="I326" s="14">
        <f>IF(A326="","",YEAR(A326))</f>
        <v/>
      </c>
    </row>
    <row r="327">
      <c r="A327" s="15" t="n"/>
      <c r="B327" s="10" t="n"/>
      <c r="C327" s="14">
        <f>IF(B327="","",IFERROR(INDEX('Sản phẩm'!$B$5:$B$304,MATCH(B327,'Sản phẩm'!$A$5:$A$304,0)),""))</f>
        <v/>
      </c>
      <c r="D327" s="12" t="n"/>
      <c r="E327" s="11" t="n"/>
      <c r="F327" s="16">
        <f>IF(OR(D327="",E327=""),"",D327*E327)</f>
        <v/>
      </c>
      <c r="G327" s="10" t="n"/>
      <c r="H327" s="14">
        <f>IF(A327="","",MONTH(A327))</f>
        <v/>
      </c>
      <c r="I327" s="14">
        <f>IF(A327="","",YEAR(A327))</f>
        <v/>
      </c>
    </row>
    <row r="328">
      <c r="A328" s="15" t="n"/>
      <c r="B328" s="10" t="n"/>
      <c r="C328" s="14">
        <f>IF(B328="","",IFERROR(INDEX('Sản phẩm'!$B$5:$B$304,MATCH(B328,'Sản phẩm'!$A$5:$A$304,0)),""))</f>
        <v/>
      </c>
      <c r="D328" s="12" t="n"/>
      <c r="E328" s="11" t="n"/>
      <c r="F328" s="16">
        <f>IF(OR(D328="",E328=""),"",D328*E328)</f>
        <v/>
      </c>
      <c r="G328" s="10" t="n"/>
      <c r="H328" s="14">
        <f>IF(A328="","",MONTH(A328))</f>
        <v/>
      </c>
      <c r="I328" s="14">
        <f>IF(A328="","",YEAR(A328))</f>
        <v/>
      </c>
    </row>
    <row r="329">
      <c r="A329" s="15" t="n"/>
      <c r="B329" s="10" t="n"/>
      <c r="C329" s="14">
        <f>IF(B329="","",IFERROR(INDEX('Sản phẩm'!$B$5:$B$304,MATCH(B329,'Sản phẩm'!$A$5:$A$304,0)),""))</f>
        <v/>
      </c>
      <c r="D329" s="12" t="n"/>
      <c r="E329" s="11" t="n"/>
      <c r="F329" s="16">
        <f>IF(OR(D329="",E329=""),"",D329*E329)</f>
        <v/>
      </c>
      <c r="G329" s="10" t="n"/>
      <c r="H329" s="14">
        <f>IF(A329="","",MONTH(A329))</f>
        <v/>
      </c>
      <c r="I329" s="14">
        <f>IF(A329="","",YEAR(A329))</f>
        <v/>
      </c>
    </row>
    <row r="330">
      <c r="A330" s="15" t="n"/>
      <c r="B330" s="10" t="n"/>
      <c r="C330" s="14">
        <f>IF(B330="","",IFERROR(INDEX('Sản phẩm'!$B$5:$B$304,MATCH(B330,'Sản phẩm'!$A$5:$A$304,0)),""))</f>
        <v/>
      </c>
      <c r="D330" s="12" t="n"/>
      <c r="E330" s="11" t="n"/>
      <c r="F330" s="16">
        <f>IF(OR(D330="",E330=""),"",D330*E330)</f>
        <v/>
      </c>
      <c r="G330" s="10" t="n"/>
      <c r="H330" s="14">
        <f>IF(A330="","",MONTH(A330))</f>
        <v/>
      </c>
      <c r="I330" s="14">
        <f>IF(A330="","",YEAR(A330))</f>
        <v/>
      </c>
    </row>
    <row r="331">
      <c r="A331" s="15" t="n"/>
      <c r="B331" s="10" t="n"/>
      <c r="C331" s="14">
        <f>IF(B331="","",IFERROR(INDEX('Sản phẩm'!$B$5:$B$304,MATCH(B331,'Sản phẩm'!$A$5:$A$304,0)),""))</f>
        <v/>
      </c>
      <c r="D331" s="12" t="n"/>
      <c r="E331" s="11" t="n"/>
      <c r="F331" s="16">
        <f>IF(OR(D331="",E331=""),"",D331*E331)</f>
        <v/>
      </c>
      <c r="G331" s="10" t="n"/>
      <c r="H331" s="14">
        <f>IF(A331="","",MONTH(A331))</f>
        <v/>
      </c>
      <c r="I331" s="14">
        <f>IF(A331="","",YEAR(A331))</f>
        <v/>
      </c>
    </row>
    <row r="332">
      <c r="A332" s="15" t="n"/>
      <c r="B332" s="10" t="n"/>
      <c r="C332" s="14">
        <f>IF(B332="","",IFERROR(INDEX('Sản phẩm'!$B$5:$B$304,MATCH(B332,'Sản phẩm'!$A$5:$A$304,0)),""))</f>
        <v/>
      </c>
      <c r="D332" s="12" t="n"/>
      <c r="E332" s="11" t="n"/>
      <c r="F332" s="16">
        <f>IF(OR(D332="",E332=""),"",D332*E332)</f>
        <v/>
      </c>
      <c r="G332" s="10" t="n"/>
      <c r="H332" s="14">
        <f>IF(A332="","",MONTH(A332))</f>
        <v/>
      </c>
      <c r="I332" s="14">
        <f>IF(A332="","",YEAR(A332))</f>
        <v/>
      </c>
    </row>
    <row r="333">
      <c r="A333" s="15" t="n"/>
      <c r="B333" s="10" t="n"/>
      <c r="C333" s="14">
        <f>IF(B333="","",IFERROR(INDEX('Sản phẩm'!$B$5:$B$304,MATCH(B333,'Sản phẩm'!$A$5:$A$304,0)),""))</f>
        <v/>
      </c>
      <c r="D333" s="12" t="n"/>
      <c r="E333" s="11" t="n"/>
      <c r="F333" s="16">
        <f>IF(OR(D333="",E333=""),"",D333*E333)</f>
        <v/>
      </c>
      <c r="G333" s="10" t="n"/>
      <c r="H333" s="14">
        <f>IF(A333="","",MONTH(A333))</f>
        <v/>
      </c>
      <c r="I333" s="14">
        <f>IF(A333="","",YEAR(A333))</f>
        <v/>
      </c>
    </row>
    <row r="334">
      <c r="A334" s="15" t="n"/>
      <c r="B334" s="10" t="n"/>
      <c r="C334" s="14">
        <f>IF(B334="","",IFERROR(INDEX('Sản phẩm'!$B$5:$B$304,MATCH(B334,'Sản phẩm'!$A$5:$A$304,0)),""))</f>
        <v/>
      </c>
      <c r="D334" s="12" t="n"/>
      <c r="E334" s="11" t="n"/>
      <c r="F334" s="16">
        <f>IF(OR(D334="",E334=""),"",D334*E334)</f>
        <v/>
      </c>
      <c r="G334" s="10" t="n"/>
      <c r="H334" s="14">
        <f>IF(A334="","",MONTH(A334))</f>
        <v/>
      </c>
      <c r="I334" s="14">
        <f>IF(A334="","",YEAR(A334))</f>
        <v/>
      </c>
    </row>
    <row r="335">
      <c r="A335" s="15" t="n"/>
      <c r="B335" s="10" t="n"/>
      <c r="C335" s="14">
        <f>IF(B335="","",IFERROR(INDEX('Sản phẩm'!$B$5:$B$304,MATCH(B335,'Sản phẩm'!$A$5:$A$304,0)),""))</f>
        <v/>
      </c>
      <c r="D335" s="12" t="n"/>
      <c r="E335" s="11" t="n"/>
      <c r="F335" s="16">
        <f>IF(OR(D335="",E335=""),"",D335*E335)</f>
        <v/>
      </c>
      <c r="G335" s="10" t="n"/>
      <c r="H335" s="14">
        <f>IF(A335="","",MONTH(A335))</f>
        <v/>
      </c>
      <c r="I335" s="14">
        <f>IF(A335="","",YEAR(A335))</f>
        <v/>
      </c>
    </row>
    <row r="336">
      <c r="A336" s="15" t="n"/>
      <c r="B336" s="10" t="n"/>
      <c r="C336" s="14">
        <f>IF(B336="","",IFERROR(INDEX('Sản phẩm'!$B$5:$B$304,MATCH(B336,'Sản phẩm'!$A$5:$A$304,0)),""))</f>
        <v/>
      </c>
      <c r="D336" s="12" t="n"/>
      <c r="E336" s="11" t="n"/>
      <c r="F336" s="16">
        <f>IF(OR(D336="",E336=""),"",D336*E336)</f>
        <v/>
      </c>
      <c r="G336" s="10" t="n"/>
      <c r="H336" s="14">
        <f>IF(A336="","",MONTH(A336))</f>
        <v/>
      </c>
      <c r="I336" s="14">
        <f>IF(A336="","",YEAR(A336))</f>
        <v/>
      </c>
    </row>
    <row r="337">
      <c r="A337" s="15" t="n"/>
      <c r="B337" s="10" t="n"/>
      <c r="C337" s="14">
        <f>IF(B337="","",IFERROR(INDEX('Sản phẩm'!$B$5:$B$304,MATCH(B337,'Sản phẩm'!$A$5:$A$304,0)),""))</f>
        <v/>
      </c>
      <c r="D337" s="12" t="n"/>
      <c r="E337" s="11" t="n"/>
      <c r="F337" s="16">
        <f>IF(OR(D337="",E337=""),"",D337*E337)</f>
        <v/>
      </c>
      <c r="G337" s="10" t="n"/>
      <c r="H337" s="14">
        <f>IF(A337="","",MONTH(A337))</f>
        <v/>
      </c>
      <c r="I337" s="14">
        <f>IF(A337="","",YEAR(A337))</f>
        <v/>
      </c>
    </row>
    <row r="338">
      <c r="A338" s="15" t="n"/>
      <c r="B338" s="10" t="n"/>
      <c r="C338" s="14">
        <f>IF(B338="","",IFERROR(INDEX('Sản phẩm'!$B$5:$B$304,MATCH(B338,'Sản phẩm'!$A$5:$A$304,0)),""))</f>
        <v/>
      </c>
      <c r="D338" s="12" t="n"/>
      <c r="E338" s="11" t="n"/>
      <c r="F338" s="16">
        <f>IF(OR(D338="",E338=""),"",D338*E338)</f>
        <v/>
      </c>
      <c r="G338" s="10" t="n"/>
      <c r="H338" s="14">
        <f>IF(A338="","",MONTH(A338))</f>
        <v/>
      </c>
      <c r="I338" s="14">
        <f>IF(A338="","",YEAR(A338))</f>
        <v/>
      </c>
    </row>
    <row r="339">
      <c r="A339" s="15" t="n"/>
      <c r="B339" s="10" t="n"/>
      <c r="C339" s="14">
        <f>IF(B339="","",IFERROR(INDEX('Sản phẩm'!$B$5:$B$304,MATCH(B339,'Sản phẩm'!$A$5:$A$304,0)),""))</f>
        <v/>
      </c>
      <c r="D339" s="12" t="n"/>
      <c r="E339" s="11" t="n"/>
      <c r="F339" s="16">
        <f>IF(OR(D339="",E339=""),"",D339*E339)</f>
        <v/>
      </c>
      <c r="G339" s="10" t="n"/>
      <c r="H339" s="14">
        <f>IF(A339="","",MONTH(A339))</f>
        <v/>
      </c>
      <c r="I339" s="14">
        <f>IF(A339="","",YEAR(A339))</f>
        <v/>
      </c>
    </row>
    <row r="340">
      <c r="A340" s="15" t="n"/>
      <c r="B340" s="10" t="n"/>
      <c r="C340" s="14">
        <f>IF(B340="","",IFERROR(INDEX('Sản phẩm'!$B$5:$B$304,MATCH(B340,'Sản phẩm'!$A$5:$A$304,0)),""))</f>
        <v/>
      </c>
      <c r="D340" s="12" t="n"/>
      <c r="E340" s="11" t="n"/>
      <c r="F340" s="16">
        <f>IF(OR(D340="",E340=""),"",D340*E340)</f>
        <v/>
      </c>
      <c r="G340" s="10" t="n"/>
      <c r="H340" s="14">
        <f>IF(A340="","",MONTH(A340))</f>
        <v/>
      </c>
      <c r="I340" s="14">
        <f>IF(A340="","",YEAR(A340))</f>
        <v/>
      </c>
    </row>
    <row r="341">
      <c r="A341" s="15" t="n"/>
      <c r="B341" s="10" t="n"/>
      <c r="C341" s="14">
        <f>IF(B341="","",IFERROR(INDEX('Sản phẩm'!$B$5:$B$304,MATCH(B341,'Sản phẩm'!$A$5:$A$304,0)),""))</f>
        <v/>
      </c>
      <c r="D341" s="12" t="n"/>
      <c r="E341" s="11" t="n"/>
      <c r="F341" s="16">
        <f>IF(OR(D341="",E341=""),"",D341*E341)</f>
        <v/>
      </c>
      <c r="G341" s="10" t="n"/>
      <c r="H341" s="14">
        <f>IF(A341="","",MONTH(A341))</f>
        <v/>
      </c>
      <c r="I341" s="14">
        <f>IF(A341="","",YEAR(A341))</f>
        <v/>
      </c>
    </row>
    <row r="342">
      <c r="A342" s="15" t="n"/>
      <c r="B342" s="10" t="n"/>
      <c r="C342" s="14">
        <f>IF(B342="","",IFERROR(INDEX('Sản phẩm'!$B$5:$B$304,MATCH(B342,'Sản phẩm'!$A$5:$A$304,0)),""))</f>
        <v/>
      </c>
      <c r="D342" s="12" t="n"/>
      <c r="E342" s="11" t="n"/>
      <c r="F342" s="16">
        <f>IF(OR(D342="",E342=""),"",D342*E342)</f>
        <v/>
      </c>
      <c r="G342" s="10" t="n"/>
      <c r="H342" s="14">
        <f>IF(A342="","",MONTH(A342))</f>
        <v/>
      </c>
      <c r="I342" s="14">
        <f>IF(A342="","",YEAR(A342))</f>
        <v/>
      </c>
    </row>
    <row r="343">
      <c r="A343" s="15" t="n"/>
      <c r="B343" s="10" t="n"/>
      <c r="C343" s="14">
        <f>IF(B343="","",IFERROR(INDEX('Sản phẩm'!$B$5:$B$304,MATCH(B343,'Sản phẩm'!$A$5:$A$304,0)),""))</f>
        <v/>
      </c>
      <c r="D343" s="12" t="n"/>
      <c r="E343" s="11" t="n"/>
      <c r="F343" s="16">
        <f>IF(OR(D343="",E343=""),"",D343*E343)</f>
        <v/>
      </c>
      <c r="G343" s="10" t="n"/>
      <c r="H343" s="14">
        <f>IF(A343="","",MONTH(A343))</f>
        <v/>
      </c>
      <c r="I343" s="14">
        <f>IF(A343="","",YEAR(A343))</f>
        <v/>
      </c>
    </row>
    <row r="344">
      <c r="A344" s="15" t="n"/>
      <c r="B344" s="10" t="n"/>
      <c r="C344" s="14">
        <f>IF(B344="","",IFERROR(INDEX('Sản phẩm'!$B$5:$B$304,MATCH(B344,'Sản phẩm'!$A$5:$A$304,0)),""))</f>
        <v/>
      </c>
      <c r="D344" s="12" t="n"/>
      <c r="E344" s="11" t="n"/>
      <c r="F344" s="16">
        <f>IF(OR(D344="",E344=""),"",D344*E344)</f>
        <v/>
      </c>
      <c r="G344" s="10" t="n"/>
      <c r="H344" s="14">
        <f>IF(A344="","",MONTH(A344))</f>
        <v/>
      </c>
      <c r="I344" s="14">
        <f>IF(A344="","",YEAR(A344))</f>
        <v/>
      </c>
    </row>
    <row r="345">
      <c r="A345" s="15" t="n"/>
      <c r="B345" s="10" t="n"/>
      <c r="C345" s="14">
        <f>IF(B345="","",IFERROR(INDEX('Sản phẩm'!$B$5:$B$304,MATCH(B345,'Sản phẩm'!$A$5:$A$304,0)),""))</f>
        <v/>
      </c>
      <c r="D345" s="12" t="n"/>
      <c r="E345" s="11" t="n"/>
      <c r="F345" s="16">
        <f>IF(OR(D345="",E345=""),"",D345*E345)</f>
        <v/>
      </c>
      <c r="G345" s="10" t="n"/>
      <c r="H345" s="14">
        <f>IF(A345="","",MONTH(A345))</f>
        <v/>
      </c>
      <c r="I345" s="14">
        <f>IF(A345="","",YEAR(A345))</f>
        <v/>
      </c>
    </row>
    <row r="346">
      <c r="A346" s="15" t="n"/>
      <c r="B346" s="10" t="n"/>
      <c r="C346" s="14">
        <f>IF(B346="","",IFERROR(INDEX('Sản phẩm'!$B$5:$B$304,MATCH(B346,'Sản phẩm'!$A$5:$A$304,0)),""))</f>
        <v/>
      </c>
      <c r="D346" s="12" t="n"/>
      <c r="E346" s="11" t="n"/>
      <c r="F346" s="16">
        <f>IF(OR(D346="",E346=""),"",D346*E346)</f>
        <v/>
      </c>
      <c r="G346" s="10" t="n"/>
      <c r="H346" s="14">
        <f>IF(A346="","",MONTH(A346))</f>
        <v/>
      </c>
      <c r="I346" s="14">
        <f>IF(A346="","",YEAR(A346))</f>
        <v/>
      </c>
    </row>
    <row r="347">
      <c r="A347" s="15" t="n"/>
      <c r="B347" s="10" t="n"/>
      <c r="C347" s="14">
        <f>IF(B347="","",IFERROR(INDEX('Sản phẩm'!$B$5:$B$304,MATCH(B347,'Sản phẩm'!$A$5:$A$304,0)),""))</f>
        <v/>
      </c>
      <c r="D347" s="12" t="n"/>
      <c r="E347" s="11" t="n"/>
      <c r="F347" s="16">
        <f>IF(OR(D347="",E347=""),"",D347*E347)</f>
        <v/>
      </c>
      <c r="G347" s="10" t="n"/>
      <c r="H347" s="14">
        <f>IF(A347="","",MONTH(A347))</f>
        <v/>
      </c>
      <c r="I347" s="14">
        <f>IF(A347="","",YEAR(A347))</f>
        <v/>
      </c>
    </row>
    <row r="348">
      <c r="A348" s="15" t="n"/>
      <c r="B348" s="10" t="n"/>
      <c r="C348" s="14">
        <f>IF(B348="","",IFERROR(INDEX('Sản phẩm'!$B$5:$B$304,MATCH(B348,'Sản phẩm'!$A$5:$A$304,0)),""))</f>
        <v/>
      </c>
      <c r="D348" s="12" t="n"/>
      <c r="E348" s="11" t="n"/>
      <c r="F348" s="16">
        <f>IF(OR(D348="",E348=""),"",D348*E348)</f>
        <v/>
      </c>
      <c r="G348" s="10" t="n"/>
      <c r="H348" s="14">
        <f>IF(A348="","",MONTH(A348))</f>
        <v/>
      </c>
      <c r="I348" s="14">
        <f>IF(A348="","",YEAR(A348))</f>
        <v/>
      </c>
    </row>
    <row r="349">
      <c r="A349" s="15" t="n"/>
      <c r="B349" s="10" t="n"/>
      <c r="C349" s="14">
        <f>IF(B349="","",IFERROR(INDEX('Sản phẩm'!$B$5:$B$304,MATCH(B349,'Sản phẩm'!$A$5:$A$304,0)),""))</f>
        <v/>
      </c>
      <c r="D349" s="12" t="n"/>
      <c r="E349" s="11" t="n"/>
      <c r="F349" s="16">
        <f>IF(OR(D349="",E349=""),"",D349*E349)</f>
        <v/>
      </c>
      <c r="G349" s="10" t="n"/>
      <c r="H349" s="14">
        <f>IF(A349="","",MONTH(A349))</f>
        <v/>
      </c>
      <c r="I349" s="14">
        <f>IF(A349="","",YEAR(A349))</f>
        <v/>
      </c>
    </row>
    <row r="350">
      <c r="A350" s="15" t="n"/>
      <c r="B350" s="10" t="n"/>
      <c r="C350" s="14">
        <f>IF(B350="","",IFERROR(INDEX('Sản phẩm'!$B$5:$B$304,MATCH(B350,'Sản phẩm'!$A$5:$A$304,0)),""))</f>
        <v/>
      </c>
      <c r="D350" s="12" t="n"/>
      <c r="E350" s="11" t="n"/>
      <c r="F350" s="16">
        <f>IF(OR(D350="",E350=""),"",D350*E350)</f>
        <v/>
      </c>
      <c r="G350" s="10" t="n"/>
      <c r="H350" s="14">
        <f>IF(A350="","",MONTH(A350))</f>
        <v/>
      </c>
      <c r="I350" s="14">
        <f>IF(A350="","",YEAR(A350))</f>
        <v/>
      </c>
    </row>
    <row r="351">
      <c r="A351" s="15" t="n"/>
      <c r="B351" s="10" t="n"/>
      <c r="C351" s="14">
        <f>IF(B351="","",IFERROR(INDEX('Sản phẩm'!$B$5:$B$304,MATCH(B351,'Sản phẩm'!$A$5:$A$304,0)),""))</f>
        <v/>
      </c>
      <c r="D351" s="12" t="n"/>
      <c r="E351" s="11" t="n"/>
      <c r="F351" s="16">
        <f>IF(OR(D351="",E351=""),"",D351*E351)</f>
        <v/>
      </c>
      <c r="G351" s="10" t="n"/>
      <c r="H351" s="14">
        <f>IF(A351="","",MONTH(A351))</f>
        <v/>
      </c>
      <c r="I351" s="14">
        <f>IF(A351="","",YEAR(A351))</f>
        <v/>
      </c>
    </row>
    <row r="352">
      <c r="A352" s="15" t="n"/>
      <c r="B352" s="10" t="n"/>
      <c r="C352" s="14">
        <f>IF(B352="","",IFERROR(INDEX('Sản phẩm'!$B$5:$B$304,MATCH(B352,'Sản phẩm'!$A$5:$A$304,0)),""))</f>
        <v/>
      </c>
      <c r="D352" s="12" t="n"/>
      <c r="E352" s="11" t="n"/>
      <c r="F352" s="16">
        <f>IF(OR(D352="",E352=""),"",D352*E352)</f>
        <v/>
      </c>
      <c r="G352" s="10" t="n"/>
      <c r="H352" s="14">
        <f>IF(A352="","",MONTH(A352))</f>
        <v/>
      </c>
      <c r="I352" s="14">
        <f>IF(A352="","",YEAR(A352))</f>
        <v/>
      </c>
    </row>
    <row r="353">
      <c r="A353" s="15" t="n"/>
      <c r="B353" s="10" t="n"/>
      <c r="C353" s="14">
        <f>IF(B353="","",IFERROR(INDEX('Sản phẩm'!$B$5:$B$304,MATCH(B353,'Sản phẩm'!$A$5:$A$304,0)),""))</f>
        <v/>
      </c>
      <c r="D353" s="12" t="n"/>
      <c r="E353" s="11" t="n"/>
      <c r="F353" s="16">
        <f>IF(OR(D353="",E353=""),"",D353*E353)</f>
        <v/>
      </c>
      <c r="G353" s="10" t="n"/>
      <c r="H353" s="14">
        <f>IF(A353="","",MONTH(A353))</f>
        <v/>
      </c>
      <c r="I353" s="14">
        <f>IF(A353="","",YEAR(A353))</f>
        <v/>
      </c>
    </row>
    <row r="354">
      <c r="A354" s="15" t="n"/>
      <c r="B354" s="10" t="n"/>
      <c r="C354" s="14">
        <f>IF(B354="","",IFERROR(INDEX('Sản phẩm'!$B$5:$B$304,MATCH(B354,'Sản phẩm'!$A$5:$A$304,0)),""))</f>
        <v/>
      </c>
      <c r="D354" s="12" t="n"/>
      <c r="E354" s="11" t="n"/>
      <c r="F354" s="16">
        <f>IF(OR(D354="",E354=""),"",D354*E354)</f>
        <v/>
      </c>
      <c r="G354" s="10" t="n"/>
      <c r="H354" s="14">
        <f>IF(A354="","",MONTH(A354))</f>
        <v/>
      </c>
      <c r="I354" s="14">
        <f>IF(A354="","",YEAR(A354))</f>
        <v/>
      </c>
    </row>
    <row r="355">
      <c r="A355" s="15" t="n"/>
      <c r="B355" s="10" t="n"/>
      <c r="C355" s="14">
        <f>IF(B355="","",IFERROR(INDEX('Sản phẩm'!$B$5:$B$304,MATCH(B355,'Sản phẩm'!$A$5:$A$304,0)),""))</f>
        <v/>
      </c>
      <c r="D355" s="12" t="n"/>
      <c r="E355" s="11" t="n"/>
      <c r="F355" s="16">
        <f>IF(OR(D355="",E355=""),"",D355*E355)</f>
        <v/>
      </c>
      <c r="G355" s="10" t="n"/>
      <c r="H355" s="14">
        <f>IF(A355="","",MONTH(A355))</f>
        <v/>
      </c>
      <c r="I355" s="14">
        <f>IF(A355="","",YEAR(A355))</f>
        <v/>
      </c>
    </row>
    <row r="356">
      <c r="A356" s="15" t="n"/>
      <c r="B356" s="10" t="n"/>
      <c r="C356" s="14">
        <f>IF(B356="","",IFERROR(INDEX('Sản phẩm'!$B$5:$B$304,MATCH(B356,'Sản phẩm'!$A$5:$A$304,0)),""))</f>
        <v/>
      </c>
      <c r="D356" s="12" t="n"/>
      <c r="E356" s="11" t="n"/>
      <c r="F356" s="16">
        <f>IF(OR(D356="",E356=""),"",D356*E356)</f>
        <v/>
      </c>
      <c r="G356" s="10" t="n"/>
      <c r="H356" s="14">
        <f>IF(A356="","",MONTH(A356))</f>
        <v/>
      </c>
      <c r="I356" s="14">
        <f>IF(A356="","",YEAR(A356))</f>
        <v/>
      </c>
    </row>
    <row r="357">
      <c r="A357" s="15" t="n"/>
      <c r="B357" s="10" t="n"/>
      <c r="C357" s="14">
        <f>IF(B357="","",IFERROR(INDEX('Sản phẩm'!$B$5:$B$304,MATCH(B357,'Sản phẩm'!$A$5:$A$304,0)),""))</f>
        <v/>
      </c>
      <c r="D357" s="12" t="n"/>
      <c r="E357" s="11" t="n"/>
      <c r="F357" s="16">
        <f>IF(OR(D357="",E357=""),"",D357*E357)</f>
        <v/>
      </c>
      <c r="G357" s="10" t="n"/>
      <c r="H357" s="14">
        <f>IF(A357="","",MONTH(A357))</f>
        <v/>
      </c>
      <c r="I357" s="14">
        <f>IF(A357="","",YEAR(A357))</f>
        <v/>
      </c>
    </row>
    <row r="358">
      <c r="A358" s="15" t="n"/>
      <c r="B358" s="10" t="n"/>
      <c r="C358" s="14">
        <f>IF(B358="","",IFERROR(INDEX('Sản phẩm'!$B$5:$B$304,MATCH(B358,'Sản phẩm'!$A$5:$A$304,0)),""))</f>
        <v/>
      </c>
      <c r="D358" s="12" t="n"/>
      <c r="E358" s="11" t="n"/>
      <c r="F358" s="16">
        <f>IF(OR(D358="",E358=""),"",D358*E358)</f>
        <v/>
      </c>
      <c r="G358" s="10" t="n"/>
      <c r="H358" s="14">
        <f>IF(A358="","",MONTH(A358))</f>
        <v/>
      </c>
      <c r="I358" s="14">
        <f>IF(A358="","",YEAR(A358))</f>
        <v/>
      </c>
    </row>
    <row r="359">
      <c r="A359" s="15" t="n"/>
      <c r="B359" s="10" t="n"/>
      <c r="C359" s="14">
        <f>IF(B359="","",IFERROR(INDEX('Sản phẩm'!$B$5:$B$304,MATCH(B359,'Sản phẩm'!$A$5:$A$304,0)),""))</f>
        <v/>
      </c>
      <c r="D359" s="12" t="n"/>
      <c r="E359" s="11" t="n"/>
      <c r="F359" s="16">
        <f>IF(OR(D359="",E359=""),"",D359*E359)</f>
        <v/>
      </c>
      <c r="G359" s="10" t="n"/>
      <c r="H359" s="14">
        <f>IF(A359="","",MONTH(A359))</f>
        <v/>
      </c>
      <c r="I359" s="14">
        <f>IF(A359="","",YEAR(A359))</f>
        <v/>
      </c>
    </row>
    <row r="360">
      <c r="A360" s="15" t="n"/>
      <c r="B360" s="10" t="n"/>
      <c r="C360" s="14">
        <f>IF(B360="","",IFERROR(INDEX('Sản phẩm'!$B$5:$B$304,MATCH(B360,'Sản phẩm'!$A$5:$A$304,0)),""))</f>
        <v/>
      </c>
      <c r="D360" s="12" t="n"/>
      <c r="E360" s="11" t="n"/>
      <c r="F360" s="16">
        <f>IF(OR(D360="",E360=""),"",D360*E360)</f>
        <v/>
      </c>
      <c r="G360" s="10" t="n"/>
      <c r="H360" s="14">
        <f>IF(A360="","",MONTH(A360))</f>
        <v/>
      </c>
      <c r="I360" s="14">
        <f>IF(A360="","",YEAR(A360))</f>
        <v/>
      </c>
    </row>
    <row r="361">
      <c r="A361" s="15" t="n"/>
      <c r="B361" s="10" t="n"/>
      <c r="C361" s="14">
        <f>IF(B361="","",IFERROR(INDEX('Sản phẩm'!$B$5:$B$304,MATCH(B361,'Sản phẩm'!$A$5:$A$304,0)),""))</f>
        <v/>
      </c>
      <c r="D361" s="12" t="n"/>
      <c r="E361" s="11" t="n"/>
      <c r="F361" s="16">
        <f>IF(OR(D361="",E361=""),"",D361*E361)</f>
        <v/>
      </c>
      <c r="G361" s="10" t="n"/>
      <c r="H361" s="14">
        <f>IF(A361="","",MONTH(A361))</f>
        <v/>
      </c>
      <c r="I361" s="14">
        <f>IF(A361="","",YEAR(A361))</f>
        <v/>
      </c>
    </row>
    <row r="362">
      <c r="A362" s="15" t="n"/>
      <c r="B362" s="10" t="n"/>
      <c r="C362" s="14">
        <f>IF(B362="","",IFERROR(INDEX('Sản phẩm'!$B$5:$B$304,MATCH(B362,'Sản phẩm'!$A$5:$A$304,0)),""))</f>
        <v/>
      </c>
      <c r="D362" s="12" t="n"/>
      <c r="E362" s="11" t="n"/>
      <c r="F362" s="16">
        <f>IF(OR(D362="",E362=""),"",D362*E362)</f>
        <v/>
      </c>
      <c r="G362" s="10" t="n"/>
      <c r="H362" s="14">
        <f>IF(A362="","",MONTH(A362))</f>
        <v/>
      </c>
      <c r="I362" s="14">
        <f>IF(A362="","",YEAR(A362))</f>
        <v/>
      </c>
    </row>
    <row r="363">
      <c r="A363" s="15" t="n"/>
      <c r="B363" s="10" t="n"/>
      <c r="C363" s="14">
        <f>IF(B363="","",IFERROR(INDEX('Sản phẩm'!$B$5:$B$304,MATCH(B363,'Sản phẩm'!$A$5:$A$304,0)),""))</f>
        <v/>
      </c>
      <c r="D363" s="12" t="n"/>
      <c r="E363" s="11" t="n"/>
      <c r="F363" s="16">
        <f>IF(OR(D363="",E363=""),"",D363*E363)</f>
        <v/>
      </c>
      <c r="G363" s="10" t="n"/>
      <c r="H363" s="14">
        <f>IF(A363="","",MONTH(A363))</f>
        <v/>
      </c>
      <c r="I363" s="14">
        <f>IF(A363="","",YEAR(A363))</f>
        <v/>
      </c>
    </row>
    <row r="364">
      <c r="A364" s="15" t="n"/>
      <c r="B364" s="10" t="n"/>
      <c r="C364" s="14">
        <f>IF(B364="","",IFERROR(INDEX('Sản phẩm'!$B$5:$B$304,MATCH(B364,'Sản phẩm'!$A$5:$A$304,0)),""))</f>
        <v/>
      </c>
      <c r="D364" s="12" t="n"/>
      <c r="E364" s="11" t="n"/>
      <c r="F364" s="16">
        <f>IF(OR(D364="",E364=""),"",D364*E364)</f>
        <v/>
      </c>
      <c r="G364" s="10" t="n"/>
      <c r="H364" s="14">
        <f>IF(A364="","",MONTH(A364))</f>
        <v/>
      </c>
      <c r="I364" s="14">
        <f>IF(A364="","",YEAR(A364))</f>
        <v/>
      </c>
    </row>
    <row r="365">
      <c r="A365" s="15" t="n"/>
      <c r="B365" s="10" t="n"/>
      <c r="C365" s="14">
        <f>IF(B365="","",IFERROR(INDEX('Sản phẩm'!$B$5:$B$304,MATCH(B365,'Sản phẩm'!$A$5:$A$304,0)),""))</f>
        <v/>
      </c>
      <c r="D365" s="12" t="n"/>
      <c r="E365" s="11" t="n"/>
      <c r="F365" s="16">
        <f>IF(OR(D365="",E365=""),"",D365*E365)</f>
        <v/>
      </c>
      <c r="G365" s="10" t="n"/>
      <c r="H365" s="14">
        <f>IF(A365="","",MONTH(A365))</f>
        <v/>
      </c>
      <c r="I365" s="14">
        <f>IF(A365="","",YEAR(A365))</f>
        <v/>
      </c>
    </row>
    <row r="366">
      <c r="A366" s="15" t="n"/>
      <c r="B366" s="10" t="n"/>
      <c r="C366" s="14">
        <f>IF(B366="","",IFERROR(INDEX('Sản phẩm'!$B$5:$B$304,MATCH(B366,'Sản phẩm'!$A$5:$A$304,0)),""))</f>
        <v/>
      </c>
      <c r="D366" s="12" t="n"/>
      <c r="E366" s="11" t="n"/>
      <c r="F366" s="16">
        <f>IF(OR(D366="",E366=""),"",D366*E366)</f>
        <v/>
      </c>
      <c r="G366" s="10" t="n"/>
      <c r="H366" s="14">
        <f>IF(A366="","",MONTH(A366))</f>
        <v/>
      </c>
      <c r="I366" s="14">
        <f>IF(A366="","",YEAR(A366))</f>
        <v/>
      </c>
    </row>
    <row r="367">
      <c r="A367" s="15" t="n"/>
      <c r="B367" s="10" t="n"/>
      <c r="C367" s="14">
        <f>IF(B367="","",IFERROR(INDEX('Sản phẩm'!$B$5:$B$304,MATCH(B367,'Sản phẩm'!$A$5:$A$304,0)),""))</f>
        <v/>
      </c>
      <c r="D367" s="12" t="n"/>
      <c r="E367" s="11" t="n"/>
      <c r="F367" s="16">
        <f>IF(OR(D367="",E367=""),"",D367*E367)</f>
        <v/>
      </c>
      <c r="G367" s="10" t="n"/>
      <c r="H367" s="14">
        <f>IF(A367="","",MONTH(A367))</f>
        <v/>
      </c>
      <c r="I367" s="14">
        <f>IF(A367="","",YEAR(A367))</f>
        <v/>
      </c>
    </row>
    <row r="368">
      <c r="A368" s="15" t="n"/>
      <c r="B368" s="10" t="n"/>
      <c r="C368" s="14">
        <f>IF(B368="","",IFERROR(INDEX('Sản phẩm'!$B$5:$B$304,MATCH(B368,'Sản phẩm'!$A$5:$A$304,0)),""))</f>
        <v/>
      </c>
      <c r="D368" s="12" t="n"/>
      <c r="E368" s="11" t="n"/>
      <c r="F368" s="16">
        <f>IF(OR(D368="",E368=""),"",D368*E368)</f>
        <v/>
      </c>
      <c r="G368" s="10" t="n"/>
      <c r="H368" s="14">
        <f>IF(A368="","",MONTH(A368))</f>
        <v/>
      </c>
      <c r="I368" s="14">
        <f>IF(A368="","",YEAR(A368))</f>
        <v/>
      </c>
    </row>
    <row r="369">
      <c r="A369" s="15" t="n"/>
      <c r="B369" s="10" t="n"/>
      <c r="C369" s="14">
        <f>IF(B369="","",IFERROR(INDEX('Sản phẩm'!$B$5:$B$304,MATCH(B369,'Sản phẩm'!$A$5:$A$304,0)),""))</f>
        <v/>
      </c>
      <c r="D369" s="12" t="n"/>
      <c r="E369" s="11" t="n"/>
      <c r="F369" s="16">
        <f>IF(OR(D369="",E369=""),"",D369*E369)</f>
        <v/>
      </c>
      <c r="G369" s="10" t="n"/>
      <c r="H369" s="14">
        <f>IF(A369="","",MONTH(A369))</f>
        <v/>
      </c>
      <c r="I369" s="14">
        <f>IF(A369="","",YEAR(A369))</f>
        <v/>
      </c>
    </row>
    <row r="370">
      <c r="A370" s="15" t="n"/>
      <c r="B370" s="10" t="n"/>
      <c r="C370" s="14">
        <f>IF(B370="","",IFERROR(INDEX('Sản phẩm'!$B$5:$B$304,MATCH(B370,'Sản phẩm'!$A$5:$A$304,0)),""))</f>
        <v/>
      </c>
      <c r="D370" s="12" t="n"/>
      <c r="E370" s="11" t="n"/>
      <c r="F370" s="16">
        <f>IF(OR(D370="",E370=""),"",D370*E370)</f>
        <v/>
      </c>
      <c r="G370" s="10" t="n"/>
      <c r="H370" s="14">
        <f>IF(A370="","",MONTH(A370))</f>
        <v/>
      </c>
      <c r="I370" s="14">
        <f>IF(A370="","",YEAR(A370))</f>
        <v/>
      </c>
    </row>
    <row r="371">
      <c r="A371" s="15" t="n"/>
      <c r="B371" s="10" t="n"/>
      <c r="C371" s="14">
        <f>IF(B371="","",IFERROR(INDEX('Sản phẩm'!$B$5:$B$304,MATCH(B371,'Sản phẩm'!$A$5:$A$304,0)),""))</f>
        <v/>
      </c>
      <c r="D371" s="12" t="n"/>
      <c r="E371" s="11" t="n"/>
      <c r="F371" s="16">
        <f>IF(OR(D371="",E371=""),"",D371*E371)</f>
        <v/>
      </c>
      <c r="G371" s="10" t="n"/>
      <c r="H371" s="14">
        <f>IF(A371="","",MONTH(A371))</f>
        <v/>
      </c>
      <c r="I371" s="14">
        <f>IF(A371="","",YEAR(A371))</f>
        <v/>
      </c>
    </row>
    <row r="372">
      <c r="A372" s="15" t="n"/>
      <c r="B372" s="10" t="n"/>
      <c r="C372" s="14">
        <f>IF(B372="","",IFERROR(INDEX('Sản phẩm'!$B$5:$B$304,MATCH(B372,'Sản phẩm'!$A$5:$A$304,0)),""))</f>
        <v/>
      </c>
      <c r="D372" s="12" t="n"/>
      <c r="E372" s="11" t="n"/>
      <c r="F372" s="16">
        <f>IF(OR(D372="",E372=""),"",D372*E372)</f>
        <v/>
      </c>
      <c r="G372" s="10" t="n"/>
      <c r="H372" s="14">
        <f>IF(A372="","",MONTH(A372))</f>
        <v/>
      </c>
      <c r="I372" s="14">
        <f>IF(A372="","",YEAR(A372))</f>
        <v/>
      </c>
    </row>
    <row r="373">
      <c r="A373" s="15" t="n"/>
      <c r="B373" s="10" t="n"/>
      <c r="C373" s="14">
        <f>IF(B373="","",IFERROR(INDEX('Sản phẩm'!$B$5:$B$304,MATCH(B373,'Sản phẩm'!$A$5:$A$304,0)),""))</f>
        <v/>
      </c>
      <c r="D373" s="12" t="n"/>
      <c r="E373" s="11" t="n"/>
      <c r="F373" s="16">
        <f>IF(OR(D373="",E373=""),"",D373*E373)</f>
        <v/>
      </c>
      <c r="G373" s="10" t="n"/>
      <c r="H373" s="14">
        <f>IF(A373="","",MONTH(A373))</f>
        <v/>
      </c>
      <c r="I373" s="14">
        <f>IF(A373="","",YEAR(A373))</f>
        <v/>
      </c>
    </row>
    <row r="374">
      <c r="A374" s="15" t="n"/>
      <c r="B374" s="10" t="n"/>
      <c r="C374" s="14">
        <f>IF(B374="","",IFERROR(INDEX('Sản phẩm'!$B$5:$B$304,MATCH(B374,'Sản phẩm'!$A$5:$A$304,0)),""))</f>
        <v/>
      </c>
      <c r="D374" s="12" t="n"/>
      <c r="E374" s="11" t="n"/>
      <c r="F374" s="16">
        <f>IF(OR(D374="",E374=""),"",D374*E374)</f>
        <v/>
      </c>
      <c r="G374" s="10" t="n"/>
      <c r="H374" s="14">
        <f>IF(A374="","",MONTH(A374))</f>
        <v/>
      </c>
      <c r="I374" s="14">
        <f>IF(A374="","",YEAR(A374))</f>
        <v/>
      </c>
    </row>
    <row r="375">
      <c r="A375" s="15" t="n"/>
      <c r="B375" s="10" t="n"/>
      <c r="C375" s="14">
        <f>IF(B375="","",IFERROR(INDEX('Sản phẩm'!$B$5:$B$304,MATCH(B375,'Sản phẩm'!$A$5:$A$304,0)),""))</f>
        <v/>
      </c>
      <c r="D375" s="12" t="n"/>
      <c r="E375" s="11" t="n"/>
      <c r="F375" s="16">
        <f>IF(OR(D375="",E375=""),"",D375*E375)</f>
        <v/>
      </c>
      <c r="G375" s="10" t="n"/>
      <c r="H375" s="14">
        <f>IF(A375="","",MONTH(A375))</f>
        <v/>
      </c>
      <c r="I375" s="14">
        <f>IF(A375="","",YEAR(A375))</f>
        <v/>
      </c>
    </row>
    <row r="376">
      <c r="A376" s="15" t="n"/>
      <c r="B376" s="10" t="n"/>
      <c r="C376" s="14">
        <f>IF(B376="","",IFERROR(INDEX('Sản phẩm'!$B$5:$B$304,MATCH(B376,'Sản phẩm'!$A$5:$A$304,0)),""))</f>
        <v/>
      </c>
      <c r="D376" s="12" t="n"/>
      <c r="E376" s="11" t="n"/>
      <c r="F376" s="16">
        <f>IF(OR(D376="",E376=""),"",D376*E376)</f>
        <v/>
      </c>
      <c r="G376" s="10" t="n"/>
      <c r="H376" s="14">
        <f>IF(A376="","",MONTH(A376))</f>
        <v/>
      </c>
      <c r="I376" s="14">
        <f>IF(A376="","",YEAR(A376))</f>
        <v/>
      </c>
    </row>
    <row r="377">
      <c r="A377" s="15" t="n"/>
      <c r="B377" s="10" t="n"/>
      <c r="C377" s="14">
        <f>IF(B377="","",IFERROR(INDEX('Sản phẩm'!$B$5:$B$304,MATCH(B377,'Sản phẩm'!$A$5:$A$304,0)),""))</f>
        <v/>
      </c>
      <c r="D377" s="12" t="n"/>
      <c r="E377" s="11" t="n"/>
      <c r="F377" s="16">
        <f>IF(OR(D377="",E377=""),"",D377*E377)</f>
        <v/>
      </c>
      <c r="G377" s="10" t="n"/>
      <c r="H377" s="14">
        <f>IF(A377="","",MONTH(A377))</f>
        <v/>
      </c>
      <c r="I377" s="14">
        <f>IF(A377="","",YEAR(A377))</f>
        <v/>
      </c>
    </row>
    <row r="378">
      <c r="A378" s="15" t="n"/>
      <c r="B378" s="10" t="n"/>
      <c r="C378" s="14">
        <f>IF(B378="","",IFERROR(INDEX('Sản phẩm'!$B$5:$B$304,MATCH(B378,'Sản phẩm'!$A$5:$A$304,0)),""))</f>
        <v/>
      </c>
      <c r="D378" s="12" t="n"/>
      <c r="E378" s="11" t="n"/>
      <c r="F378" s="16">
        <f>IF(OR(D378="",E378=""),"",D378*E378)</f>
        <v/>
      </c>
      <c r="G378" s="10" t="n"/>
      <c r="H378" s="14">
        <f>IF(A378="","",MONTH(A378))</f>
        <v/>
      </c>
      <c r="I378" s="14">
        <f>IF(A378="","",YEAR(A378))</f>
        <v/>
      </c>
    </row>
    <row r="379">
      <c r="A379" s="15" t="n"/>
      <c r="B379" s="10" t="n"/>
      <c r="C379" s="14">
        <f>IF(B379="","",IFERROR(INDEX('Sản phẩm'!$B$5:$B$304,MATCH(B379,'Sản phẩm'!$A$5:$A$304,0)),""))</f>
        <v/>
      </c>
      <c r="D379" s="12" t="n"/>
      <c r="E379" s="11" t="n"/>
      <c r="F379" s="16">
        <f>IF(OR(D379="",E379=""),"",D379*E379)</f>
        <v/>
      </c>
      <c r="G379" s="10" t="n"/>
      <c r="H379" s="14">
        <f>IF(A379="","",MONTH(A379))</f>
        <v/>
      </c>
      <c r="I379" s="14">
        <f>IF(A379="","",YEAR(A379))</f>
        <v/>
      </c>
    </row>
    <row r="380">
      <c r="A380" s="15" t="n"/>
      <c r="B380" s="10" t="n"/>
      <c r="C380" s="14">
        <f>IF(B380="","",IFERROR(INDEX('Sản phẩm'!$B$5:$B$304,MATCH(B380,'Sản phẩm'!$A$5:$A$304,0)),""))</f>
        <v/>
      </c>
      <c r="D380" s="12" t="n"/>
      <c r="E380" s="11" t="n"/>
      <c r="F380" s="16">
        <f>IF(OR(D380="",E380=""),"",D380*E380)</f>
        <v/>
      </c>
      <c r="G380" s="10" t="n"/>
      <c r="H380" s="14">
        <f>IF(A380="","",MONTH(A380))</f>
        <v/>
      </c>
      <c r="I380" s="14">
        <f>IF(A380="","",YEAR(A380))</f>
        <v/>
      </c>
    </row>
    <row r="381">
      <c r="A381" s="15" t="n"/>
      <c r="B381" s="10" t="n"/>
      <c r="C381" s="14">
        <f>IF(B381="","",IFERROR(INDEX('Sản phẩm'!$B$5:$B$304,MATCH(B381,'Sản phẩm'!$A$5:$A$304,0)),""))</f>
        <v/>
      </c>
      <c r="D381" s="12" t="n"/>
      <c r="E381" s="11" t="n"/>
      <c r="F381" s="16">
        <f>IF(OR(D381="",E381=""),"",D381*E381)</f>
        <v/>
      </c>
      <c r="G381" s="10" t="n"/>
      <c r="H381" s="14">
        <f>IF(A381="","",MONTH(A381))</f>
        <v/>
      </c>
      <c r="I381" s="14">
        <f>IF(A381="","",YEAR(A381))</f>
        <v/>
      </c>
    </row>
    <row r="382">
      <c r="A382" s="15" t="n"/>
      <c r="B382" s="10" t="n"/>
      <c r="C382" s="14">
        <f>IF(B382="","",IFERROR(INDEX('Sản phẩm'!$B$5:$B$304,MATCH(B382,'Sản phẩm'!$A$5:$A$304,0)),""))</f>
        <v/>
      </c>
      <c r="D382" s="12" t="n"/>
      <c r="E382" s="11" t="n"/>
      <c r="F382" s="16">
        <f>IF(OR(D382="",E382=""),"",D382*E382)</f>
        <v/>
      </c>
      <c r="G382" s="10" t="n"/>
      <c r="H382" s="14">
        <f>IF(A382="","",MONTH(A382))</f>
        <v/>
      </c>
      <c r="I382" s="14">
        <f>IF(A382="","",YEAR(A382))</f>
        <v/>
      </c>
    </row>
    <row r="383">
      <c r="A383" s="15" t="n"/>
      <c r="B383" s="10" t="n"/>
      <c r="C383" s="14">
        <f>IF(B383="","",IFERROR(INDEX('Sản phẩm'!$B$5:$B$304,MATCH(B383,'Sản phẩm'!$A$5:$A$304,0)),""))</f>
        <v/>
      </c>
      <c r="D383" s="12" t="n"/>
      <c r="E383" s="11" t="n"/>
      <c r="F383" s="16">
        <f>IF(OR(D383="",E383=""),"",D383*E383)</f>
        <v/>
      </c>
      <c r="G383" s="10" t="n"/>
      <c r="H383" s="14">
        <f>IF(A383="","",MONTH(A383))</f>
        <v/>
      </c>
      <c r="I383" s="14">
        <f>IF(A383="","",YEAR(A383))</f>
        <v/>
      </c>
    </row>
    <row r="384">
      <c r="A384" s="15" t="n"/>
      <c r="B384" s="10" t="n"/>
      <c r="C384" s="14">
        <f>IF(B384="","",IFERROR(INDEX('Sản phẩm'!$B$5:$B$304,MATCH(B384,'Sản phẩm'!$A$5:$A$304,0)),""))</f>
        <v/>
      </c>
      <c r="D384" s="12" t="n"/>
      <c r="E384" s="11" t="n"/>
      <c r="F384" s="16">
        <f>IF(OR(D384="",E384=""),"",D384*E384)</f>
        <v/>
      </c>
      <c r="G384" s="10" t="n"/>
      <c r="H384" s="14">
        <f>IF(A384="","",MONTH(A384))</f>
        <v/>
      </c>
      <c r="I384" s="14">
        <f>IF(A384="","",YEAR(A384))</f>
        <v/>
      </c>
    </row>
    <row r="385">
      <c r="A385" s="15" t="n"/>
      <c r="B385" s="10" t="n"/>
      <c r="C385" s="14">
        <f>IF(B385="","",IFERROR(INDEX('Sản phẩm'!$B$5:$B$304,MATCH(B385,'Sản phẩm'!$A$5:$A$304,0)),""))</f>
        <v/>
      </c>
      <c r="D385" s="12" t="n"/>
      <c r="E385" s="11" t="n"/>
      <c r="F385" s="16">
        <f>IF(OR(D385="",E385=""),"",D385*E385)</f>
        <v/>
      </c>
      <c r="G385" s="10" t="n"/>
      <c r="H385" s="14">
        <f>IF(A385="","",MONTH(A385))</f>
        <v/>
      </c>
      <c r="I385" s="14">
        <f>IF(A385="","",YEAR(A385))</f>
        <v/>
      </c>
    </row>
    <row r="386">
      <c r="A386" s="15" t="n"/>
      <c r="B386" s="10" t="n"/>
      <c r="C386" s="14">
        <f>IF(B386="","",IFERROR(INDEX('Sản phẩm'!$B$5:$B$304,MATCH(B386,'Sản phẩm'!$A$5:$A$304,0)),""))</f>
        <v/>
      </c>
      <c r="D386" s="12" t="n"/>
      <c r="E386" s="11" t="n"/>
      <c r="F386" s="16">
        <f>IF(OR(D386="",E386=""),"",D386*E386)</f>
        <v/>
      </c>
      <c r="G386" s="10" t="n"/>
      <c r="H386" s="14">
        <f>IF(A386="","",MONTH(A386))</f>
        <v/>
      </c>
      <c r="I386" s="14">
        <f>IF(A386="","",YEAR(A386))</f>
        <v/>
      </c>
    </row>
    <row r="387">
      <c r="A387" s="15" t="n"/>
      <c r="B387" s="10" t="n"/>
      <c r="C387" s="14">
        <f>IF(B387="","",IFERROR(INDEX('Sản phẩm'!$B$5:$B$304,MATCH(B387,'Sản phẩm'!$A$5:$A$304,0)),""))</f>
        <v/>
      </c>
      <c r="D387" s="12" t="n"/>
      <c r="E387" s="11" t="n"/>
      <c r="F387" s="16">
        <f>IF(OR(D387="",E387=""),"",D387*E387)</f>
        <v/>
      </c>
      <c r="G387" s="10" t="n"/>
      <c r="H387" s="14">
        <f>IF(A387="","",MONTH(A387))</f>
        <v/>
      </c>
      <c r="I387" s="14">
        <f>IF(A387="","",YEAR(A387))</f>
        <v/>
      </c>
    </row>
    <row r="388">
      <c r="A388" s="15" t="n"/>
      <c r="B388" s="10" t="n"/>
      <c r="C388" s="14">
        <f>IF(B388="","",IFERROR(INDEX('Sản phẩm'!$B$5:$B$304,MATCH(B388,'Sản phẩm'!$A$5:$A$304,0)),""))</f>
        <v/>
      </c>
      <c r="D388" s="12" t="n"/>
      <c r="E388" s="11" t="n"/>
      <c r="F388" s="16">
        <f>IF(OR(D388="",E388=""),"",D388*E388)</f>
        <v/>
      </c>
      <c r="G388" s="10" t="n"/>
      <c r="H388" s="14">
        <f>IF(A388="","",MONTH(A388))</f>
        <v/>
      </c>
      <c r="I388" s="14">
        <f>IF(A388="","",YEAR(A388))</f>
        <v/>
      </c>
    </row>
    <row r="389">
      <c r="A389" s="15" t="n"/>
      <c r="B389" s="10" t="n"/>
      <c r="C389" s="14">
        <f>IF(B389="","",IFERROR(INDEX('Sản phẩm'!$B$5:$B$304,MATCH(B389,'Sản phẩm'!$A$5:$A$304,0)),""))</f>
        <v/>
      </c>
      <c r="D389" s="12" t="n"/>
      <c r="E389" s="11" t="n"/>
      <c r="F389" s="16">
        <f>IF(OR(D389="",E389=""),"",D389*E389)</f>
        <v/>
      </c>
      <c r="G389" s="10" t="n"/>
      <c r="H389" s="14">
        <f>IF(A389="","",MONTH(A389))</f>
        <v/>
      </c>
      <c r="I389" s="14">
        <f>IF(A389="","",YEAR(A389))</f>
        <v/>
      </c>
    </row>
    <row r="390">
      <c r="A390" s="15" t="n"/>
      <c r="B390" s="10" t="n"/>
      <c r="C390" s="14">
        <f>IF(B390="","",IFERROR(INDEX('Sản phẩm'!$B$5:$B$304,MATCH(B390,'Sản phẩm'!$A$5:$A$304,0)),""))</f>
        <v/>
      </c>
      <c r="D390" s="12" t="n"/>
      <c r="E390" s="11" t="n"/>
      <c r="F390" s="16">
        <f>IF(OR(D390="",E390=""),"",D390*E390)</f>
        <v/>
      </c>
      <c r="G390" s="10" t="n"/>
      <c r="H390" s="14">
        <f>IF(A390="","",MONTH(A390))</f>
        <v/>
      </c>
      <c r="I390" s="14">
        <f>IF(A390="","",YEAR(A390))</f>
        <v/>
      </c>
    </row>
    <row r="391">
      <c r="A391" s="15" t="n"/>
      <c r="B391" s="10" t="n"/>
      <c r="C391" s="14">
        <f>IF(B391="","",IFERROR(INDEX('Sản phẩm'!$B$5:$B$304,MATCH(B391,'Sản phẩm'!$A$5:$A$304,0)),""))</f>
        <v/>
      </c>
      <c r="D391" s="12" t="n"/>
      <c r="E391" s="11" t="n"/>
      <c r="F391" s="16">
        <f>IF(OR(D391="",E391=""),"",D391*E391)</f>
        <v/>
      </c>
      <c r="G391" s="10" t="n"/>
      <c r="H391" s="14">
        <f>IF(A391="","",MONTH(A391))</f>
        <v/>
      </c>
      <c r="I391" s="14">
        <f>IF(A391="","",YEAR(A391))</f>
        <v/>
      </c>
    </row>
    <row r="392">
      <c r="A392" s="15" t="n"/>
      <c r="B392" s="10" t="n"/>
      <c r="C392" s="14">
        <f>IF(B392="","",IFERROR(INDEX('Sản phẩm'!$B$5:$B$304,MATCH(B392,'Sản phẩm'!$A$5:$A$304,0)),""))</f>
        <v/>
      </c>
      <c r="D392" s="12" t="n"/>
      <c r="E392" s="11" t="n"/>
      <c r="F392" s="16">
        <f>IF(OR(D392="",E392=""),"",D392*E392)</f>
        <v/>
      </c>
      <c r="G392" s="10" t="n"/>
      <c r="H392" s="14">
        <f>IF(A392="","",MONTH(A392))</f>
        <v/>
      </c>
      <c r="I392" s="14">
        <f>IF(A392="","",YEAR(A392))</f>
        <v/>
      </c>
    </row>
    <row r="393">
      <c r="A393" s="15" t="n"/>
      <c r="B393" s="10" t="n"/>
      <c r="C393" s="14">
        <f>IF(B393="","",IFERROR(INDEX('Sản phẩm'!$B$5:$B$304,MATCH(B393,'Sản phẩm'!$A$5:$A$304,0)),""))</f>
        <v/>
      </c>
      <c r="D393" s="12" t="n"/>
      <c r="E393" s="11" t="n"/>
      <c r="F393" s="16">
        <f>IF(OR(D393="",E393=""),"",D393*E393)</f>
        <v/>
      </c>
      <c r="G393" s="10" t="n"/>
      <c r="H393" s="14">
        <f>IF(A393="","",MONTH(A393))</f>
        <v/>
      </c>
      <c r="I393" s="14">
        <f>IF(A393="","",YEAR(A393))</f>
        <v/>
      </c>
    </row>
    <row r="394">
      <c r="A394" s="15" t="n"/>
      <c r="B394" s="10" t="n"/>
      <c r="C394" s="14">
        <f>IF(B394="","",IFERROR(INDEX('Sản phẩm'!$B$5:$B$304,MATCH(B394,'Sản phẩm'!$A$5:$A$304,0)),""))</f>
        <v/>
      </c>
      <c r="D394" s="12" t="n"/>
      <c r="E394" s="11" t="n"/>
      <c r="F394" s="16">
        <f>IF(OR(D394="",E394=""),"",D394*E394)</f>
        <v/>
      </c>
      <c r="G394" s="10" t="n"/>
      <c r="H394" s="14">
        <f>IF(A394="","",MONTH(A394))</f>
        <v/>
      </c>
      <c r="I394" s="14">
        <f>IF(A394="","",YEAR(A394))</f>
        <v/>
      </c>
    </row>
    <row r="395">
      <c r="A395" s="15" t="n"/>
      <c r="B395" s="10" t="n"/>
      <c r="C395" s="14">
        <f>IF(B395="","",IFERROR(INDEX('Sản phẩm'!$B$5:$B$304,MATCH(B395,'Sản phẩm'!$A$5:$A$304,0)),""))</f>
        <v/>
      </c>
      <c r="D395" s="12" t="n"/>
      <c r="E395" s="11" t="n"/>
      <c r="F395" s="16">
        <f>IF(OR(D395="",E395=""),"",D395*E395)</f>
        <v/>
      </c>
      <c r="G395" s="10" t="n"/>
      <c r="H395" s="14">
        <f>IF(A395="","",MONTH(A395))</f>
        <v/>
      </c>
      <c r="I395" s="14">
        <f>IF(A395="","",YEAR(A395))</f>
        <v/>
      </c>
    </row>
    <row r="396">
      <c r="A396" s="15" t="n"/>
      <c r="B396" s="10" t="n"/>
      <c r="C396" s="14">
        <f>IF(B396="","",IFERROR(INDEX('Sản phẩm'!$B$5:$B$304,MATCH(B396,'Sản phẩm'!$A$5:$A$304,0)),""))</f>
        <v/>
      </c>
      <c r="D396" s="12" t="n"/>
      <c r="E396" s="11" t="n"/>
      <c r="F396" s="16">
        <f>IF(OR(D396="",E396=""),"",D396*E396)</f>
        <v/>
      </c>
      <c r="G396" s="10" t="n"/>
      <c r="H396" s="14">
        <f>IF(A396="","",MONTH(A396))</f>
        <v/>
      </c>
      <c r="I396" s="14">
        <f>IF(A396="","",YEAR(A396))</f>
        <v/>
      </c>
    </row>
    <row r="397">
      <c r="A397" s="15" t="n"/>
      <c r="B397" s="10" t="n"/>
      <c r="C397" s="14">
        <f>IF(B397="","",IFERROR(INDEX('Sản phẩm'!$B$5:$B$304,MATCH(B397,'Sản phẩm'!$A$5:$A$304,0)),""))</f>
        <v/>
      </c>
      <c r="D397" s="12" t="n"/>
      <c r="E397" s="11" t="n"/>
      <c r="F397" s="16">
        <f>IF(OR(D397="",E397=""),"",D397*E397)</f>
        <v/>
      </c>
      <c r="G397" s="10" t="n"/>
      <c r="H397" s="14">
        <f>IF(A397="","",MONTH(A397))</f>
        <v/>
      </c>
      <c r="I397" s="14">
        <f>IF(A397="","",YEAR(A397))</f>
        <v/>
      </c>
    </row>
    <row r="398">
      <c r="A398" s="15" t="n"/>
      <c r="B398" s="10" t="n"/>
      <c r="C398" s="14">
        <f>IF(B398="","",IFERROR(INDEX('Sản phẩm'!$B$5:$B$304,MATCH(B398,'Sản phẩm'!$A$5:$A$304,0)),""))</f>
        <v/>
      </c>
      <c r="D398" s="12" t="n"/>
      <c r="E398" s="11" t="n"/>
      <c r="F398" s="16">
        <f>IF(OR(D398="",E398=""),"",D398*E398)</f>
        <v/>
      </c>
      <c r="G398" s="10" t="n"/>
      <c r="H398" s="14">
        <f>IF(A398="","",MONTH(A398))</f>
        <v/>
      </c>
      <c r="I398" s="14">
        <f>IF(A398="","",YEAR(A398))</f>
        <v/>
      </c>
    </row>
    <row r="399">
      <c r="A399" s="15" t="n"/>
      <c r="B399" s="10" t="n"/>
      <c r="C399" s="14">
        <f>IF(B399="","",IFERROR(INDEX('Sản phẩm'!$B$5:$B$304,MATCH(B399,'Sản phẩm'!$A$5:$A$304,0)),""))</f>
        <v/>
      </c>
      <c r="D399" s="12" t="n"/>
      <c r="E399" s="11" t="n"/>
      <c r="F399" s="16">
        <f>IF(OR(D399="",E399=""),"",D399*E399)</f>
        <v/>
      </c>
      <c r="G399" s="10" t="n"/>
      <c r="H399" s="14">
        <f>IF(A399="","",MONTH(A399))</f>
        <v/>
      </c>
      <c r="I399" s="14">
        <f>IF(A399="","",YEAR(A399))</f>
        <v/>
      </c>
    </row>
    <row r="400">
      <c r="A400" s="15" t="n"/>
      <c r="B400" s="10" t="n"/>
      <c r="C400" s="14">
        <f>IF(B400="","",IFERROR(INDEX('Sản phẩm'!$B$5:$B$304,MATCH(B400,'Sản phẩm'!$A$5:$A$304,0)),""))</f>
        <v/>
      </c>
      <c r="D400" s="12" t="n"/>
      <c r="E400" s="11" t="n"/>
      <c r="F400" s="16">
        <f>IF(OR(D400="",E400=""),"",D400*E400)</f>
        <v/>
      </c>
      <c r="G400" s="10" t="n"/>
      <c r="H400" s="14">
        <f>IF(A400="","",MONTH(A400))</f>
        <v/>
      </c>
      <c r="I400" s="14">
        <f>IF(A400="","",YEAR(A400))</f>
        <v/>
      </c>
    </row>
    <row r="401">
      <c r="A401" s="15" t="n"/>
      <c r="B401" s="10" t="n"/>
      <c r="C401" s="14">
        <f>IF(B401="","",IFERROR(INDEX('Sản phẩm'!$B$5:$B$304,MATCH(B401,'Sản phẩm'!$A$5:$A$304,0)),""))</f>
        <v/>
      </c>
      <c r="D401" s="12" t="n"/>
      <c r="E401" s="11" t="n"/>
      <c r="F401" s="16">
        <f>IF(OR(D401="",E401=""),"",D401*E401)</f>
        <v/>
      </c>
      <c r="G401" s="10" t="n"/>
      <c r="H401" s="14">
        <f>IF(A401="","",MONTH(A401))</f>
        <v/>
      </c>
      <c r="I401" s="14">
        <f>IF(A401="","",YEAR(A401))</f>
        <v/>
      </c>
    </row>
    <row r="402">
      <c r="A402" s="15" t="n"/>
      <c r="B402" s="10" t="n"/>
      <c r="C402" s="14">
        <f>IF(B402="","",IFERROR(INDEX('Sản phẩm'!$B$5:$B$304,MATCH(B402,'Sản phẩm'!$A$5:$A$304,0)),""))</f>
        <v/>
      </c>
      <c r="D402" s="12" t="n"/>
      <c r="E402" s="11" t="n"/>
      <c r="F402" s="16">
        <f>IF(OR(D402="",E402=""),"",D402*E402)</f>
        <v/>
      </c>
      <c r="G402" s="10" t="n"/>
      <c r="H402" s="14">
        <f>IF(A402="","",MONTH(A402))</f>
        <v/>
      </c>
      <c r="I402" s="14">
        <f>IF(A402="","",YEAR(A402))</f>
        <v/>
      </c>
    </row>
    <row r="403">
      <c r="A403" s="15" t="n"/>
      <c r="B403" s="10" t="n"/>
      <c r="C403" s="14">
        <f>IF(B403="","",IFERROR(INDEX('Sản phẩm'!$B$5:$B$304,MATCH(B403,'Sản phẩm'!$A$5:$A$304,0)),""))</f>
        <v/>
      </c>
      <c r="D403" s="12" t="n"/>
      <c r="E403" s="11" t="n"/>
      <c r="F403" s="16">
        <f>IF(OR(D403="",E403=""),"",D403*E403)</f>
        <v/>
      </c>
      <c r="G403" s="10" t="n"/>
      <c r="H403" s="14">
        <f>IF(A403="","",MONTH(A403))</f>
        <v/>
      </c>
      <c r="I403" s="14">
        <f>IF(A403="","",YEAR(A403))</f>
        <v/>
      </c>
    </row>
    <row r="404">
      <c r="A404" s="15" t="n"/>
      <c r="B404" s="10" t="n"/>
      <c r="C404" s="14">
        <f>IF(B404="","",IFERROR(INDEX('Sản phẩm'!$B$5:$B$304,MATCH(B404,'Sản phẩm'!$A$5:$A$304,0)),""))</f>
        <v/>
      </c>
      <c r="D404" s="12" t="n"/>
      <c r="E404" s="11" t="n"/>
      <c r="F404" s="16">
        <f>IF(OR(D404="",E404=""),"",D404*E404)</f>
        <v/>
      </c>
      <c r="G404" s="10" t="n"/>
      <c r="H404" s="14">
        <f>IF(A404="","",MONTH(A404))</f>
        <v/>
      </c>
      <c r="I404" s="14">
        <f>IF(A404="","",YEAR(A404))</f>
        <v/>
      </c>
    </row>
    <row r="405">
      <c r="A405" s="15" t="n"/>
      <c r="B405" s="10" t="n"/>
      <c r="C405" s="14">
        <f>IF(B405="","",IFERROR(INDEX('Sản phẩm'!$B$5:$B$304,MATCH(B405,'Sản phẩm'!$A$5:$A$304,0)),""))</f>
        <v/>
      </c>
      <c r="D405" s="12" t="n"/>
      <c r="E405" s="11" t="n"/>
      <c r="F405" s="16">
        <f>IF(OR(D405="",E405=""),"",D405*E405)</f>
        <v/>
      </c>
      <c r="G405" s="10" t="n"/>
      <c r="H405" s="14">
        <f>IF(A405="","",MONTH(A405))</f>
        <v/>
      </c>
      <c r="I405" s="14">
        <f>IF(A405="","",YEAR(A405))</f>
        <v/>
      </c>
    </row>
    <row r="406">
      <c r="A406" s="15" t="n"/>
      <c r="B406" s="10" t="n"/>
      <c r="C406" s="14">
        <f>IF(B406="","",IFERROR(INDEX('Sản phẩm'!$B$5:$B$304,MATCH(B406,'Sản phẩm'!$A$5:$A$304,0)),""))</f>
        <v/>
      </c>
      <c r="D406" s="12" t="n"/>
      <c r="E406" s="11" t="n"/>
      <c r="F406" s="16">
        <f>IF(OR(D406="",E406=""),"",D406*E406)</f>
        <v/>
      </c>
      <c r="G406" s="10" t="n"/>
      <c r="H406" s="14">
        <f>IF(A406="","",MONTH(A406))</f>
        <v/>
      </c>
      <c r="I406" s="14">
        <f>IF(A406="","",YEAR(A406))</f>
        <v/>
      </c>
    </row>
    <row r="407">
      <c r="A407" s="15" t="n"/>
      <c r="B407" s="10" t="n"/>
      <c r="C407" s="14">
        <f>IF(B407="","",IFERROR(INDEX('Sản phẩm'!$B$5:$B$304,MATCH(B407,'Sản phẩm'!$A$5:$A$304,0)),""))</f>
        <v/>
      </c>
      <c r="D407" s="12" t="n"/>
      <c r="E407" s="11" t="n"/>
      <c r="F407" s="16">
        <f>IF(OR(D407="",E407=""),"",D407*E407)</f>
        <v/>
      </c>
      <c r="G407" s="10" t="n"/>
      <c r="H407" s="14">
        <f>IF(A407="","",MONTH(A407))</f>
        <v/>
      </c>
      <c r="I407" s="14">
        <f>IF(A407="","",YEAR(A407))</f>
        <v/>
      </c>
    </row>
    <row r="408">
      <c r="A408" s="15" t="n"/>
      <c r="B408" s="10" t="n"/>
      <c r="C408" s="14">
        <f>IF(B408="","",IFERROR(INDEX('Sản phẩm'!$B$5:$B$304,MATCH(B408,'Sản phẩm'!$A$5:$A$304,0)),""))</f>
        <v/>
      </c>
      <c r="D408" s="12" t="n"/>
      <c r="E408" s="11" t="n"/>
      <c r="F408" s="16">
        <f>IF(OR(D408="",E408=""),"",D408*E408)</f>
        <v/>
      </c>
      <c r="G408" s="10" t="n"/>
      <c r="H408" s="14">
        <f>IF(A408="","",MONTH(A408))</f>
        <v/>
      </c>
      <c r="I408" s="14">
        <f>IF(A408="","",YEAR(A408))</f>
        <v/>
      </c>
    </row>
    <row r="409">
      <c r="A409" s="15" t="n"/>
      <c r="B409" s="10" t="n"/>
      <c r="C409" s="14">
        <f>IF(B409="","",IFERROR(INDEX('Sản phẩm'!$B$5:$B$304,MATCH(B409,'Sản phẩm'!$A$5:$A$304,0)),""))</f>
        <v/>
      </c>
      <c r="D409" s="12" t="n"/>
      <c r="E409" s="11" t="n"/>
      <c r="F409" s="16">
        <f>IF(OR(D409="",E409=""),"",D409*E409)</f>
        <v/>
      </c>
      <c r="G409" s="10" t="n"/>
      <c r="H409" s="14">
        <f>IF(A409="","",MONTH(A409))</f>
        <v/>
      </c>
      <c r="I409" s="14">
        <f>IF(A409="","",YEAR(A409))</f>
        <v/>
      </c>
    </row>
    <row r="410">
      <c r="A410" s="15" t="n"/>
      <c r="B410" s="10" t="n"/>
      <c r="C410" s="14">
        <f>IF(B410="","",IFERROR(INDEX('Sản phẩm'!$B$5:$B$304,MATCH(B410,'Sản phẩm'!$A$5:$A$304,0)),""))</f>
        <v/>
      </c>
      <c r="D410" s="12" t="n"/>
      <c r="E410" s="11" t="n"/>
      <c r="F410" s="16">
        <f>IF(OR(D410="",E410=""),"",D410*E410)</f>
        <v/>
      </c>
      <c r="G410" s="10" t="n"/>
      <c r="H410" s="14">
        <f>IF(A410="","",MONTH(A410))</f>
        <v/>
      </c>
      <c r="I410" s="14">
        <f>IF(A410="","",YEAR(A410))</f>
        <v/>
      </c>
    </row>
    <row r="411">
      <c r="A411" s="15" t="n"/>
      <c r="B411" s="10" t="n"/>
      <c r="C411" s="14">
        <f>IF(B411="","",IFERROR(INDEX('Sản phẩm'!$B$5:$B$304,MATCH(B411,'Sản phẩm'!$A$5:$A$304,0)),""))</f>
        <v/>
      </c>
      <c r="D411" s="12" t="n"/>
      <c r="E411" s="11" t="n"/>
      <c r="F411" s="16">
        <f>IF(OR(D411="",E411=""),"",D411*E411)</f>
        <v/>
      </c>
      <c r="G411" s="10" t="n"/>
      <c r="H411" s="14">
        <f>IF(A411="","",MONTH(A411))</f>
        <v/>
      </c>
      <c r="I411" s="14">
        <f>IF(A411="","",YEAR(A411))</f>
        <v/>
      </c>
    </row>
    <row r="412">
      <c r="A412" s="15" t="n"/>
      <c r="B412" s="10" t="n"/>
      <c r="C412" s="14">
        <f>IF(B412="","",IFERROR(INDEX('Sản phẩm'!$B$5:$B$304,MATCH(B412,'Sản phẩm'!$A$5:$A$304,0)),""))</f>
        <v/>
      </c>
      <c r="D412" s="12" t="n"/>
      <c r="E412" s="11" t="n"/>
      <c r="F412" s="16">
        <f>IF(OR(D412="",E412=""),"",D412*E412)</f>
        <v/>
      </c>
      <c r="G412" s="10" t="n"/>
      <c r="H412" s="14">
        <f>IF(A412="","",MONTH(A412))</f>
        <v/>
      </c>
      <c r="I412" s="14">
        <f>IF(A412="","",YEAR(A412))</f>
        <v/>
      </c>
    </row>
    <row r="413">
      <c r="A413" s="15" t="n"/>
      <c r="B413" s="10" t="n"/>
      <c r="C413" s="14">
        <f>IF(B413="","",IFERROR(INDEX('Sản phẩm'!$B$5:$B$304,MATCH(B413,'Sản phẩm'!$A$5:$A$304,0)),""))</f>
        <v/>
      </c>
      <c r="D413" s="12" t="n"/>
      <c r="E413" s="11" t="n"/>
      <c r="F413" s="16">
        <f>IF(OR(D413="",E413=""),"",D413*E413)</f>
        <v/>
      </c>
      <c r="G413" s="10" t="n"/>
      <c r="H413" s="14">
        <f>IF(A413="","",MONTH(A413))</f>
        <v/>
      </c>
      <c r="I413" s="14">
        <f>IF(A413="","",YEAR(A413))</f>
        <v/>
      </c>
    </row>
    <row r="414">
      <c r="A414" s="15" t="n"/>
      <c r="B414" s="10" t="n"/>
      <c r="C414" s="14">
        <f>IF(B414="","",IFERROR(INDEX('Sản phẩm'!$B$5:$B$304,MATCH(B414,'Sản phẩm'!$A$5:$A$304,0)),""))</f>
        <v/>
      </c>
      <c r="D414" s="12" t="n"/>
      <c r="E414" s="11" t="n"/>
      <c r="F414" s="16">
        <f>IF(OR(D414="",E414=""),"",D414*E414)</f>
        <v/>
      </c>
      <c r="G414" s="10" t="n"/>
      <c r="H414" s="14">
        <f>IF(A414="","",MONTH(A414))</f>
        <v/>
      </c>
      <c r="I414" s="14">
        <f>IF(A414="","",YEAR(A414))</f>
        <v/>
      </c>
    </row>
    <row r="415">
      <c r="A415" s="15" t="n"/>
      <c r="B415" s="10" t="n"/>
      <c r="C415" s="14">
        <f>IF(B415="","",IFERROR(INDEX('Sản phẩm'!$B$5:$B$304,MATCH(B415,'Sản phẩm'!$A$5:$A$304,0)),""))</f>
        <v/>
      </c>
      <c r="D415" s="12" t="n"/>
      <c r="E415" s="11" t="n"/>
      <c r="F415" s="16">
        <f>IF(OR(D415="",E415=""),"",D415*E415)</f>
        <v/>
      </c>
      <c r="G415" s="10" t="n"/>
      <c r="H415" s="14">
        <f>IF(A415="","",MONTH(A415))</f>
        <v/>
      </c>
      <c r="I415" s="14">
        <f>IF(A415="","",YEAR(A415))</f>
        <v/>
      </c>
    </row>
    <row r="416">
      <c r="A416" s="15" t="n"/>
      <c r="B416" s="10" t="n"/>
      <c r="C416" s="14">
        <f>IF(B416="","",IFERROR(INDEX('Sản phẩm'!$B$5:$B$304,MATCH(B416,'Sản phẩm'!$A$5:$A$304,0)),""))</f>
        <v/>
      </c>
      <c r="D416" s="12" t="n"/>
      <c r="E416" s="11" t="n"/>
      <c r="F416" s="16">
        <f>IF(OR(D416="",E416=""),"",D416*E416)</f>
        <v/>
      </c>
      <c r="G416" s="10" t="n"/>
      <c r="H416" s="14">
        <f>IF(A416="","",MONTH(A416))</f>
        <v/>
      </c>
      <c r="I416" s="14">
        <f>IF(A416="","",YEAR(A416))</f>
        <v/>
      </c>
    </row>
    <row r="417">
      <c r="A417" s="15" t="n"/>
      <c r="B417" s="10" t="n"/>
      <c r="C417" s="14">
        <f>IF(B417="","",IFERROR(INDEX('Sản phẩm'!$B$5:$B$304,MATCH(B417,'Sản phẩm'!$A$5:$A$304,0)),""))</f>
        <v/>
      </c>
      <c r="D417" s="12" t="n"/>
      <c r="E417" s="11" t="n"/>
      <c r="F417" s="16">
        <f>IF(OR(D417="",E417=""),"",D417*E417)</f>
        <v/>
      </c>
      <c r="G417" s="10" t="n"/>
      <c r="H417" s="14">
        <f>IF(A417="","",MONTH(A417))</f>
        <v/>
      </c>
      <c r="I417" s="14">
        <f>IF(A417="","",YEAR(A417))</f>
        <v/>
      </c>
    </row>
    <row r="418">
      <c r="A418" s="15" t="n"/>
      <c r="B418" s="10" t="n"/>
      <c r="C418" s="14">
        <f>IF(B418="","",IFERROR(INDEX('Sản phẩm'!$B$5:$B$304,MATCH(B418,'Sản phẩm'!$A$5:$A$304,0)),""))</f>
        <v/>
      </c>
      <c r="D418" s="12" t="n"/>
      <c r="E418" s="11" t="n"/>
      <c r="F418" s="16">
        <f>IF(OR(D418="",E418=""),"",D418*E418)</f>
        <v/>
      </c>
      <c r="G418" s="10" t="n"/>
      <c r="H418" s="14">
        <f>IF(A418="","",MONTH(A418))</f>
        <v/>
      </c>
      <c r="I418" s="14">
        <f>IF(A418="","",YEAR(A418))</f>
        <v/>
      </c>
    </row>
    <row r="419">
      <c r="A419" s="15" t="n"/>
      <c r="B419" s="10" t="n"/>
      <c r="C419" s="14">
        <f>IF(B419="","",IFERROR(INDEX('Sản phẩm'!$B$5:$B$304,MATCH(B419,'Sản phẩm'!$A$5:$A$304,0)),""))</f>
        <v/>
      </c>
      <c r="D419" s="12" t="n"/>
      <c r="E419" s="11" t="n"/>
      <c r="F419" s="16">
        <f>IF(OR(D419="",E419=""),"",D419*E419)</f>
        <v/>
      </c>
      <c r="G419" s="10" t="n"/>
      <c r="H419" s="14">
        <f>IF(A419="","",MONTH(A419))</f>
        <v/>
      </c>
      <c r="I419" s="14">
        <f>IF(A419="","",YEAR(A419))</f>
        <v/>
      </c>
    </row>
    <row r="420">
      <c r="A420" s="15" t="n"/>
      <c r="B420" s="10" t="n"/>
      <c r="C420" s="14">
        <f>IF(B420="","",IFERROR(INDEX('Sản phẩm'!$B$5:$B$304,MATCH(B420,'Sản phẩm'!$A$5:$A$304,0)),""))</f>
        <v/>
      </c>
      <c r="D420" s="12" t="n"/>
      <c r="E420" s="11" t="n"/>
      <c r="F420" s="16">
        <f>IF(OR(D420="",E420=""),"",D420*E420)</f>
        <v/>
      </c>
      <c r="G420" s="10" t="n"/>
      <c r="H420" s="14">
        <f>IF(A420="","",MONTH(A420))</f>
        <v/>
      </c>
      <c r="I420" s="14">
        <f>IF(A420="","",YEAR(A420))</f>
        <v/>
      </c>
    </row>
    <row r="421">
      <c r="A421" s="15" t="n"/>
      <c r="B421" s="10" t="n"/>
      <c r="C421" s="14">
        <f>IF(B421="","",IFERROR(INDEX('Sản phẩm'!$B$5:$B$304,MATCH(B421,'Sản phẩm'!$A$5:$A$304,0)),""))</f>
        <v/>
      </c>
      <c r="D421" s="12" t="n"/>
      <c r="E421" s="11" t="n"/>
      <c r="F421" s="16">
        <f>IF(OR(D421="",E421=""),"",D421*E421)</f>
        <v/>
      </c>
      <c r="G421" s="10" t="n"/>
      <c r="H421" s="14">
        <f>IF(A421="","",MONTH(A421))</f>
        <v/>
      </c>
      <c r="I421" s="14">
        <f>IF(A421="","",YEAR(A421))</f>
        <v/>
      </c>
    </row>
    <row r="422">
      <c r="A422" s="15" t="n"/>
      <c r="B422" s="10" t="n"/>
      <c r="C422" s="14">
        <f>IF(B422="","",IFERROR(INDEX('Sản phẩm'!$B$5:$B$304,MATCH(B422,'Sản phẩm'!$A$5:$A$304,0)),""))</f>
        <v/>
      </c>
      <c r="D422" s="12" t="n"/>
      <c r="E422" s="11" t="n"/>
      <c r="F422" s="16">
        <f>IF(OR(D422="",E422=""),"",D422*E422)</f>
        <v/>
      </c>
      <c r="G422" s="10" t="n"/>
      <c r="H422" s="14">
        <f>IF(A422="","",MONTH(A422))</f>
        <v/>
      </c>
      <c r="I422" s="14">
        <f>IF(A422="","",YEAR(A422))</f>
        <v/>
      </c>
    </row>
    <row r="423">
      <c r="A423" s="15" t="n"/>
      <c r="B423" s="10" t="n"/>
      <c r="C423" s="14">
        <f>IF(B423="","",IFERROR(INDEX('Sản phẩm'!$B$5:$B$304,MATCH(B423,'Sản phẩm'!$A$5:$A$304,0)),""))</f>
        <v/>
      </c>
      <c r="D423" s="12" t="n"/>
      <c r="E423" s="11" t="n"/>
      <c r="F423" s="16">
        <f>IF(OR(D423="",E423=""),"",D423*E423)</f>
        <v/>
      </c>
      <c r="G423" s="10" t="n"/>
      <c r="H423" s="14">
        <f>IF(A423="","",MONTH(A423))</f>
        <v/>
      </c>
      <c r="I423" s="14">
        <f>IF(A423="","",YEAR(A423))</f>
        <v/>
      </c>
    </row>
    <row r="424">
      <c r="A424" s="15" t="n"/>
      <c r="B424" s="10" t="n"/>
      <c r="C424" s="14">
        <f>IF(B424="","",IFERROR(INDEX('Sản phẩm'!$B$5:$B$304,MATCH(B424,'Sản phẩm'!$A$5:$A$304,0)),""))</f>
        <v/>
      </c>
      <c r="D424" s="12" t="n"/>
      <c r="E424" s="11" t="n"/>
      <c r="F424" s="16">
        <f>IF(OR(D424="",E424=""),"",D424*E424)</f>
        <v/>
      </c>
      <c r="G424" s="10" t="n"/>
      <c r="H424" s="14">
        <f>IF(A424="","",MONTH(A424))</f>
        <v/>
      </c>
      <c r="I424" s="14">
        <f>IF(A424="","",YEAR(A424))</f>
        <v/>
      </c>
    </row>
    <row r="425">
      <c r="A425" s="15" t="n"/>
      <c r="B425" s="10" t="n"/>
      <c r="C425" s="14">
        <f>IF(B425="","",IFERROR(INDEX('Sản phẩm'!$B$5:$B$304,MATCH(B425,'Sản phẩm'!$A$5:$A$304,0)),""))</f>
        <v/>
      </c>
      <c r="D425" s="12" t="n"/>
      <c r="E425" s="11" t="n"/>
      <c r="F425" s="16">
        <f>IF(OR(D425="",E425=""),"",D425*E425)</f>
        <v/>
      </c>
      <c r="G425" s="10" t="n"/>
      <c r="H425" s="14">
        <f>IF(A425="","",MONTH(A425))</f>
        <v/>
      </c>
      <c r="I425" s="14">
        <f>IF(A425="","",YEAR(A425))</f>
        <v/>
      </c>
    </row>
    <row r="426">
      <c r="A426" s="15" t="n"/>
      <c r="B426" s="10" t="n"/>
      <c r="C426" s="14">
        <f>IF(B426="","",IFERROR(INDEX('Sản phẩm'!$B$5:$B$304,MATCH(B426,'Sản phẩm'!$A$5:$A$304,0)),""))</f>
        <v/>
      </c>
      <c r="D426" s="12" t="n"/>
      <c r="E426" s="11" t="n"/>
      <c r="F426" s="16">
        <f>IF(OR(D426="",E426=""),"",D426*E426)</f>
        <v/>
      </c>
      <c r="G426" s="10" t="n"/>
      <c r="H426" s="14">
        <f>IF(A426="","",MONTH(A426))</f>
        <v/>
      </c>
      <c r="I426" s="14">
        <f>IF(A426="","",YEAR(A426))</f>
        <v/>
      </c>
    </row>
    <row r="427">
      <c r="A427" s="15" t="n"/>
      <c r="B427" s="10" t="n"/>
      <c r="C427" s="14">
        <f>IF(B427="","",IFERROR(INDEX('Sản phẩm'!$B$5:$B$304,MATCH(B427,'Sản phẩm'!$A$5:$A$304,0)),""))</f>
        <v/>
      </c>
      <c r="D427" s="12" t="n"/>
      <c r="E427" s="11" t="n"/>
      <c r="F427" s="16">
        <f>IF(OR(D427="",E427=""),"",D427*E427)</f>
        <v/>
      </c>
      <c r="G427" s="10" t="n"/>
      <c r="H427" s="14">
        <f>IF(A427="","",MONTH(A427))</f>
        <v/>
      </c>
      <c r="I427" s="14">
        <f>IF(A427="","",YEAR(A427))</f>
        <v/>
      </c>
    </row>
    <row r="428">
      <c r="A428" s="15" t="n"/>
      <c r="B428" s="10" t="n"/>
      <c r="C428" s="14">
        <f>IF(B428="","",IFERROR(INDEX('Sản phẩm'!$B$5:$B$304,MATCH(B428,'Sản phẩm'!$A$5:$A$304,0)),""))</f>
        <v/>
      </c>
      <c r="D428" s="12" t="n"/>
      <c r="E428" s="11" t="n"/>
      <c r="F428" s="16">
        <f>IF(OR(D428="",E428=""),"",D428*E428)</f>
        <v/>
      </c>
      <c r="G428" s="10" t="n"/>
      <c r="H428" s="14">
        <f>IF(A428="","",MONTH(A428))</f>
        <v/>
      </c>
      <c r="I428" s="14">
        <f>IF(A428="","",YEAR(A428))</f>
        <v/>
      </c>
    </row>
    <row r="429">
      <c r="A429" s="15" t="n"/>
      <c r="B429" s="10" t="n"/>
      <c r="C429" s="14">
        <f>IF(B429="","",IFERROR(INDEX('Sản phẩm'!$B$5:$B$304,MATCH(B429,'Sản phẩm'!$A$5:$A$304,0)),""))</f>
        <v/>
      </c>
      <c r="D429" s="12" t="n"/>
      <c r="E429" s="11" t="n"/>
      <c r="F429" s="16">
        <f>IF(OR(D429="",E429=""),"",D429*E429)</f>
        <v/>
      </c>
      <c r="G429" s="10" t="n"/>
      <c r="H429" s="14">
        <f>IF(A429="","",MONTH(A429))</f>
        <v/>
      </c>
      <c r="I429" s="14">
        <f>IF(A429="","",YEAR(A429))</f>
        <v/>
      </c>
    </row>
    <row r="430">
      <c r="A430" s="15" t="n"/>
      <c r="B430" s="10" t="n"/>
      <c r="C430" s="14">
        <f>IF(B430="","",IFERROR(INDEX('Sản phẩm'!$B$5:$B$304,MATCH(B430,'Sản phẩm'!$A$5:$A$304,0)),""))</f>
        <v/>
      </c>
      <c r="D430" s="12" t="n"/>
      <c r="E430" s="11" t="n"/>
      <c r="F430" s="16">
        <f>IF(OR(D430="",E430=""),"",D430*E430)</f>
        <v/>
      </c>
      <c r="G430" s="10" t="n"/>
      <c r="H430" s="14">
        <f>IF(A430="","",MONTH(A430))</f>
        <v/>
      </c>
      <c r="I430" s="14">
        <f>IF(A430="","",YEAR(A430))</f>
        <v/>
      </c>
    </row>
    <row r="431">
      <c r="A431" s="15" t="n"/>
      <c r="B431" s="10" t="n"/>
      <c r="C431" s="14">
        <f>IF(B431="","",IFERROR(INDEX('Sản phẩm'!$B$5:$B$304,MATCH(B431,'Sản phẩm'!$A$5:$A$304,0)),""))</f>
        <v/>
      </c>
      <c r="D431" s="12" t="n"/>
      <c r="E431" s="11" t="n"/>
      <c r="F431" s="16">
        <f>IF(OR(D431="",E431=""),"",D431*E431)</f>
        <v/>
      </c>
      <c r="G431" s="10" t="n"/>
      <c r="H431" s="14">
        <f>IF(A431="","",MONTH(A431))</f>
        <v/>
      </c>
      <c r="I431" s="14">
        <f>IF(A431="","",YEAR(A431))</f>
        <v/>
      </c>
    </row>
    <row r="432">
      <c r="A432" s="15" t="n"/>
      <c r="B432" s="10" t="n"/>
      <c r="C432" s="14">
        <f>IF(B432="","",IFERROR(INDEX('Sản phẩm'!$B$5:$B$304,MATCH(B432,'Sản phẩm'!$A$5:$A$304,0)),""))</f>
        <v/>
      </c>
      <c r="D432" s="12" t="n"/>
      <c r="E432" s="11" t="n"/>
      <c r="F432" s="16">
        <f>IF(OR(D432="",E432=""),"",D432*E432)</f>
        <v/>
      </c>
      <c r="G432" s="10" t="n"/>
      <c r="H432" s="14">
        <f>IF(A432="","",MONTH(A432))</f>
        <v/>
      </c>
      <c r="I432" s="14">
        <f>IF(A432="","",YEAR(A432))</f>
        <v/>
      </c>
    </row>
    <row r="433">
      <c r="A433" s="15" t="n"/>
      <c r="B433" s="10" t="n"/>
      <c r="C433" s="14">
        <f>IF(B433="","",IFERROR(INDEX('Sản phẩm'!$B$5:$B$304,MATCH(B433,'Sản phẩm'!$A$5:$A$304,0)),""))</f>
        <v/>
      </c>
      <c r="D433" s="12" t="n"/>
      <c r="E433" s="11" t="n"/>
      <c r="F433" s="16">
        <f>IF(OR(D433="",E433=""),"",D433*E433)</f>
        <v/>
      </c>
      <c r="G433" s="10" t="n"/>
      <c r="H433" s="14">
        <f>IF(A433="","",MONTH(A433))</f>
        <v/>
      </c>
      <c r="I433" s="14">
        <f>IF(A433="","",YEAR(A433))</f>
        <v/>
      </c>
    </row>
    <row r="434">
      <c r="A434" s="15" t="n"/>
      <c r="B434" s="10" t="n"/>
      <c r="C434" s="14">
        <f>IF(B434="","",IFERROR(INDEX('Sản phẩm'!$B$5:$B$304,MATCH(B434,'Sản phẩm'!$A$5:$A$304,0)),""))</f>
        <v/>
      </c>
      <c r="D434" s="12" t="n"/>
      <c r="E434" s="11" t="n"/>
      <c r="F434" s="16">
        <f>IF(OR(D434="",E434=""),"",D434*E434)</f>
        <v/>
      </c>
      <c r="G434" s="10" t="n"/>
      <c r="H434" s="14">
        <f>IF(A434="","",MONTH(A434))</f>
        <v/>
      </c>
      <c r="I434" s="14">
        <f>IF(A434="","",YEAR(A434))</f>
        <v/>
      </c>
    </row>
    <row r="435">
      <c r="A435" s="15" t="n"/>
      <c r="B435" s="10" t="n"/>
      <c r="C435" s="14">
        <f>IF(B435="","",IFERROR(INDEX('Sản phẩm'!$B$5:$B$304,MATCH(B435,'Sản phẩm'!$A$5:$A$304,0)),""))</f>
        <v/>
      </c>
      <c r="D435" s="12" t="n"/>
      <c r="E435" s="11" t="n"/>
      <c r="F435" s="16">
        <f>IF(OR(D435="",E435=""),"",D435*E435)</f>
        <v/>
      </c>
      <c r="G435" s="10" t="n"/>
      <c r="H435" s="14">
        <f>IF(A435="","",MONTH(A435))</f>
        <v/>
      </c>
      <c r="I435" s="14">
        <f>IF(A435="","",YEAR(A435))</f>
        <v/>
      </c>
    </row>
    <row r="436">
      <c r="A436" s="15" t="n"/>
      <c r="B436" s="10" t="n"/>
      <c r="C436" s="14">
        <f>IF(B436="","",IFERROR(INDEX('Sản phẩm'!$B$5:$B$304,MATCH(B436,'Sản phẩm'!$A$5:$A$304,0)),""))</f>
        <v/>
      </c>
      <c r="D436" s="12" t="n"/>
      <c r="E436" s="11" t="n"/>
      <c r="F436" s="16">
        <f>IF(OR(D436="",E436=""),"",D436*E436)</f>
        <v/>
      </c>
      <c r="G436" s="10" t="n"/>
      <c r="H436" s="14">
        <f>IF(A436="","",MONTH(A436))</f>
        <v/>
      </c>
      <c r="I436" s="14">
        <f>IF(A436="","",YEAR(A436))</f>
        <v/>
      </c>
    </row>
    <row r="437">
      <c r="A437" s="15" t="n"/>
      <c r="B437" s="10" t="n"/>
      <c r="C437" s="14">
        <f>IF(B437="","",IFERROR(INDEX('Sản phẩm'!$B$5:$B$304,MATCH(B437,'Sản phẩm'!$A$5:$A$304,0)),""))</f>
        <v/>
      </c>
      <c r="D437" s="12" t="n"/>
      <c r="E437" s="11" t="n"/>
      <c r="F437" s="16">
        <f>IF(OR(D437="",E437=""),"",D437*E437)</f>
        <v/>
      </c>
      <c r="G437" s="10" t="n"/>
      <c r="H437" s="14">
        <f>IF(A437="","",MONTH(A437))</f>
        <v/>
      </c>
      <c r="I437" s="14">
        <f>IF(A437="","",YEAR(A437))</f>
        <v/>
      </c>
    </row>
    <row r="438">
      <c r="A438" s="15" t="n"/>
      <c r="B438" s="10" t="n"/>
      <c r="C438" s="14">
        <f>IF(B438="","",IFERROR(INDEX('Sản phẩm'!$B$5:$B$304,MATCH(B438,'Sản phẩm'!$A$5:$A$304,0)),""))</f>
        <v/>
      </c>
      <c r="D438" s="12" t="n"/>
      <c r="E438" s="11" t="n"/>
      <c r="F438" s="16">
        <f>IF(OR(D438="",E438=""),"",D438*E438)</f>
        <v/>
      </c>
      <c r="G438" s="10" t="n"/>
      <c r="H438" s="14">
        <f>IF(A438="","",MONTH(A438))</f>
        <v/>
      </c>
      <c r="I438" s="14">
        <f>IF(A438="","",YEAR(A438))</f>
        <v/>
      </c>
    </row>
    <row r="439">
      <c r="A439" s="15" t="n"/>
      <c r="B439" s="10" t="n"/>
      <c r="C439" s="14">
        <f>IF(B439="","",IFERROR(INDEX('Sản phẩm'!$B$5:$B$304,MATCH(B439,'Sản phẩm'!$A$5:$A$304,0)),""))</f>
        <v/>
      </c>
      <c r="D439" s="12" t="n"/>
      <c r="E439" s="11" t="n"/>
      <c r="F439" s="16">
        <f>IF(OR(D439="",E439=""),"",D439*E439)</f>
        <v/>
      </c>
      <c r="G439" s="10" t="n"/>
      <c r="H439" s="14">
        <f>IF(A439="","",MONTH(A439))</f>
        <v/>
      </c>
      <c r="I439" s="14">
        <f>IF(A439="","",YEAR(A439))</f>
        <v/>
      </c>
    </row>
    <row r="440">
      <c r="A440" s="15" t="n"/>
      <c r="B440" s="10" t="n"/>
      <c r="C440" s="14">
        <f>IF(B440="","",IFERROR(INDEX('Sản phẩm'!$B$5:$B$304,MATCH(B440,'Sản phẩm'!$A$5:$A$304,0)),""))</f>
        <v/>
      </c>
      <c r="D440" s="12" t="n"/>
      <c r="E440" s="11" t="n"/>
      <c r="F440" s="16">
        <f>IF(OR(D440="",E440=""),"",D440*E440)</f>
        <v/>
      </c>
      <c r="G440" s="10" t="n"/>
      <c r="H440" s="14">
        <f>IF(A440="","",MONTH(A440))</f>
        <v/>
      </c>
      <c r="I440" s="14">
        <f>IF(A440="","",YEAR(A440))</f>
        <v/>
      </c>
    </row>
    <row r="441">
      <c r="A441" s="15" t="n"/>
      <c r="B441" s="10" t="n"/>
      <c r="C441" s="14">
        <f>IF(B441="","",IFERROR(INDEX('Sản phẩm'!$B$5:$B$304,MATCH(B441,'Sản phẩm'!$A$5:$A$304,0)),""))</f>
        <v/>
      </c>
      <c r="D441" s="12" t="n"/>
      <c r="E441" s="11" t="n"/>
      <c r="F441" s="16">
        <f>IF(OR(D441="",E441=""),"",D441*E441)</f>
        <v/>
      </c>
      <c r="G441" s="10" t="n"/>
      <c r="H441" s="14">
        <f>IF(A441="","",MONTH(A441))</f>
        <v/>
      </c>
      <c r="I441" s="14">
        <f>IF(A441="","",YEAR(A441))</f>
        <v/>
      </c>
    </row>
    <row r="442">
      <c r="A442" s="15" t="n"/>
      <c r="B442" s="10" t="n"/>
      <c r="C442" s="14">
        <f>IF(B442="","",IFERROR(INDEX('Sản phẩm'!$B$5:$B$304,MATCH(B442,'Sản phẩm'!$A$5:$A$304,0)),""))</f>
        <v/>
      </c>
      <c r="D442" s="12" t="n"/>
      <c r="E442" s="11" t="n"/>
      <c r="F442" s="16">
        <f>IF(OR(D442="",E442=""),"",D442*E442)</f>
        <v/>
      </c>
      <c r="G442" s="10" t="n"/>
      <c r="H442" s="14">
        <f>IF(A442="","",MONTH(A442))</f>
        <v/>
      </c>
      <c r="I442" s="14">
        <f>IF(A442="","",YEAR(A442))</f>
        <v/>
      </c>
    </row>
    <row r="443">
      <c r="A443" s="15" t="n"/>
      <c r="B443" s="10" t="n"/>
      <c r="C443" s="14">
        <f>IF(B443="","",IFERROR(INDEX('Sản phẩm'!$B$5:$B$304,MATCH(B443,'Sản phẩm'!$A$5:$A$304,0)),""))</f>
        <v/>
      </c>
      <c r="D443" s="12" t="n"/>
      <c r="E443" s="11" t="n"/>
      <c r="F443" s="16">
        <f>IF(OR(D443="",E443=""),"",D443*E443)</f>
        <v/>
      </c>
      <c r="G443" s="10" t="n"/>
      <c r="H443" s="14">
        <f>IF(A443="","",MONTH(A443))</f>
        <v/>
      </c>
      <c r="I443" s="14">
        <f>IF(A443="","",YEAR(A443))</f>
        <v/>
      </c>
    </row>
    <row r="444">
      <c r="A444" s="15" t="n"/>
      <c r="B444" s="10" t="n"/>
      <c r="C444" s="14">
        <f>IF(B444="","",IFERROR(INDEX('Sản phẩm'!$B$5:$B$304,MATCH(B444,'Sản phẩm'!$A$5:$A$304,0)),""))</f>
        <v/>
      </c>
      <c r="D444" s="12" t="n"/>
      <c r="E444" s="11" t="n"/>
      <c r="F444" s="16">
        <f>IF(OR(D444="",E444=""),"",D444*E444)</f>
        <v/>
      </c>
      <c r="G444" s="10" t="n"/>
      <c r="H444" s="14">
        <f>IF(A444="","",MONTH(A444))</f>
        <v/>
      </c>
      <c r="I444" s="14">
        <f>IF(A444="","",YEAR(A444))</f>
        <v/>
      </c>
    </row>
    <row r="445">
      <c r="A445" s="15" t="n"/>
      <c r="B445" s="10" t="n"/>
      <c r="C445" s="14">
        <f>IF(B445="","",IFERROR(INDEX('Sản phẩm'!$B$5:$B$304,MATCH(B445,'Sản phẩm'!$A$5:$A$304,0)),""))</f>
        <v/>
      </c>
      <c r="D445" s="12" t="n"/>
      <c r="E445" s="11" t="n"/>
      <c r="F445" s="16">
        <f>IF(OR(D445="",E445=""),"",D445*E445)</f>
        <v/>
      </c>
      <c r="G445" s="10" t="n"/>
      <c r="H445" s="14">
        <f>IF(A445="","",MONTH(A445))</f>
        <v/>
      </c>
      <c r="I445" s="14">
        <f>IF(A445="","",YEAR(A445))</f>
        <v/>
      </c>
    </row>
    <row r="446">
      <c r="A446" s="15" t="n"/>
      <c r="B446" s="10" t="n"/>
      <c r="C446" s="14">
        <f>IF(B446="","",IFERROR(INDEX('Sản phẩm'!$B$5:$B$304,MATCH(B446,'Sản phẩm'!$A$5:$A$304,0)),""))</f>
        <v/>
      </c>
      <c r="D446" s="12" t="n"/>
      <c r="E446" s="11" t="n"/>
      <c r="F446" s="16">
        <f>IF(OR(D446="",E446=""),"",D446*E446)</f>
        <v/>
      </c>
      <c r="G446" s="10" t="n"/>
      <c r="H446" s="14">
        <f>IF(A446="","",MONTH(A446))</f>
        <v/>
      </c>
      <c r="I446" s="14">
        <f>IF(A446="","",YEAR(A446))</f>
        <v/>
      </c>
    </row>
    <row r="447">
      <c r="A447" s="15" t="n"/>
      <c r="B447" s="10" t="n"/>
      <c r="C447" s="14">
        <f>IF(B447="","",IFERROR(INDEX('Sản phẩm'!$B$5:$B$304,MATCH(B447,'Sản phẩm'!$A$5:$A$304,0)),""))</f>
        <v/>
      </c>
      <c r="D447" s="12" t="n"/>
      <c r="E447" s="11" t="n"/>
      <c r="F447" s="16">
        <f>IF(OR(D447="",E447=""),"",D447*E447)</f>
        <v/>
      </c>
      <c r="G447" s="10" t="n"/>
      <c r="H447" s="14">
        <f>IF(A447="","",MONTH(A447))</f>
        <v/>
      </c>
      <c r="I447" s="14">
        <f>IF(A447="","",YEAR(A447))</f>
        <v/>
      </c>
    </row>
    <row r="448">
      <c r="A448" s="15" t="n"/>
      <c r="B448" s="10" t="n"/>
      <c r="C448" s="14">
        <f>IF(B448="","",IFERROR(INDEX('Sản phẩm'!$B$5:$B$304,MATCH(B448,'Sản phẩm'!$A$5:$A$304,0)),""))</f>
        <v/>
      </c>
      <c r="D448" s="12" t="n"/>
      <c r="E448" s="11" t="n"/>
      <c r="F448" s="16">
        <f>IF(OR(D448="",E448=""),"",D448*E448)</f>
        <v/>
      </c>
      <c r="G448" s="10" t="n"/>
      <c r="H448" s="14">
        <f>IF(A448="","",MONTH(A448))</f>
        <v/>
      </c>
      <c r="I448" s="14">
        <f>IF(A448="","",YEAR(A448))</f>
        <v/>
      </c>
    </row>
    <row r="449">
      <c r="A449" s="15" t="n"/>
      <c r="B449" s="10" t="n"/>
      <c r="C449" s="14">
        <f>IF(B449="","",IFERROR(INDEX('Sản phẩm'!$B$5:$B$304,MATCH(B449,'Sản phẩm'!$A$5:$A$304,0)),""))</f>
        <v/>
      </c>
      <c r="D449" s="12" t="n"/>
      <c r="E449" s="11" t="n"/>
      <c r="F449" s="16">
        <f>IF(OR(D449="",E449=""),"",D449*E449)</f>
        <v/>
      </c>
      <c r="G449" s="10" t="n"/>
      <c r="H449" s="14">
        <f>IF(A449="","",MONTH(A449))</f>
        <v/>
      </c>
      <c r="I449" s="14">
        <f>IF(A449="","",YEAR(A449))</f>
        <v/>
      </c>
    </row>
    <row r="450">
      <c r="A450" s="15" t="n"/>
      <c r="B450" s="10" t="n"/>
      <c r="C450" s="14">
        <f>IF(B450="","",IFERROR(INDEX('Sản phẩm'!$B$5:$B$304,MATCH(B450,'Sản phẩm'!$A$5:$A$304,0)),""))</f>
        <v/>
      </c>
      <c r="D450" s="12" t="n"/>
      <c r="E450" s="11" t="n"/>
      <c r="F450" s="16">
        <f>IF(OR(D450="",E450=""),"",D450*E450)</f>
        <v/>
      </c>
      <c r="G450" s="10" t="n"/>
      <c r="H450" s="14">
        <f>IF(A450="","",MONTH(A450))</f>
        <v/>
      </c>
      <c r="I450" s="14">
        <f>IF(A450="","",YEAR(A450))</f>
        <v/>
      </c>
    </row>
    <row r="451">
      <c r="A451" s="15" t="n"/>
      <c r="B451" s="10" t="n"/>
      <c r="C451" s="14">
        <f>IF(B451="","",IFERROR(INDEX('Sản phẩm'!$B$5:$B$304,MATCH(B451,'Sản phẩm'!$A$5:$A$304,0)),""))</f>
        <v/>
      </c>
      <c r="D451" s="12" t="n"/>
      <c r="E451" s="11" t="n"/>
      <c r="F451" s="16">
        <f>IF(OR(D451="",E451=""),"",D451*E451)</f>
        <v/>
      </c>
      <c r="G451" s="10" t="n"/>
      <c r="H451" s="14">
        <f>IF(A451="","",MONTH(A451))</f>
        <v/>
      </c>
      <c r="I451" s="14">
        <f>IF(A451="","",YEAR(A451))</f>
        <v/>
      </c>
    </row>
    <row r="452">
      <c r="A452" s="15" t="n"/>
      <c r="B452" s="10" t="n"/>
      <c r="C452" s="14">
        <f>IF(B452="","",IFERROR(INDEX('Sản phẩm'!$B$5:$B$304,MATCH(B452,'Sản phẩm'!$A$5:$A$304,0)),""))</f>
        <v/>
      </c>
      <c r="D452" s="12" t="n"/>
      <c r="E452" s="11" t="n"/>
      <c r="F452" s="16">
        <f>IF(OR(D452="",E452=""),"",D452*E452)</f>
        <v/>
      </c>
      <c r="G452" s="10" t="n"/>
      <c r="H452" s="14">
        <f>IF(A452="","",MONTH(A452))</f>
        <v/>
      </c>
      <c r="I452" s="14">
        <f>IF(A452="","",YEAR(A452))</f>
        <v/>
      </c>
    </row>
    <row r="453">
      <c r="A453" s="15" t="n"/>
      <c r="B453" s="10" t="n"/>
      <c r="C453" s="14">
        <f>IF(B453="","",IFERROR(INDEX('Sản phẩm'!$B$5:$B$304,MATCH(B453,'Sản phẩm'!$A$5:$A$304,0)),""))</f>
        <v/>
      </c>
      <c r="D453" s="12" t="n"/>
      <c r="E453" s="11" t="n"/>
      <c r="F453" s="16">
        <f>IF(OR(D453="",E453=""),"",D453*E453)</f>
        <v/>
      </c>
      <c r="G453" s="10" t="n"/>
      <c r="H453" s="14">
        <f>IF(A453="","",MONTH(A453))</f>
        <v/>
      </c>
      <c r="I453" s="14">
        <f>IF(A453="","",YEAR(A453))</f>
        <v/>
      </c>
    </row>
    <row r="454">
      <c r="A454" s="15" t="n"/>
      <c r="B454" s="10" t="n"/>
      <c r="C454" s="14">
        <f>IF(B454="","",IFERROR(INDEX('Sản phẩm'!$B$5:$B$304,MATCH(B454,'Sản phẩm'!$A$5:$A$304,0)),""))</f>
        <v/>
      </c>
      <c r="D454" s="12" t="n"/>
      <c r="E454" s="11" t="n"/>
      <c r="F454" s="16">
        <f>IF(OR(D454="",E454=""),"",D454*E454)</f>
        <v/>
      </c>
      <c r="G454" s="10" t="n"/>
      <c r="H454" s="14">
        <f>IF(A454="","",MONTH(A454))</f>
        <v/>
      </c>
      <c r="I454" s="14">
        <f>IF(A454="","",YEAR(A454))</f>
        <v/>
      </c>
    </row>
    <row r="455">
      <c r="A455" s="15" t="n"/>
      <c r="B455" s="10" t="n"/>
      <c r="C455" s="14">
        <f>IF(B455="","",IFERROR(INDEX('Sản phẩm'!$B$5:$B$304,MATCH(B455,'Sản phẩm'!$A$5:$A$304,0)),""))</f>
        <v/>
      </c>
      <c r="D455" s="12" t="n"/>
      <c r="E455" s="11" t="n"/>
      <c r="F455" s="16">
        <f>IF(OR(D455="",E455=""),"",D455*E455)</f>
        <v/>
      </c>
      <c r="G455" s="10" t="n"/>
      <c r="H455" s="14">
        <f>IF(A455="","",MONTH(A455))</f>
        <v/>
      </c>
      <c r="I455" s="14">
        <f>IF(A455="","",YEAR(A455))</f>
        <v/>
      </c>
    </row>
    <row r="456">
      <c r="A456" s="15" t="n"/>
      <c r="B456" s="10" t="n"/>
      <c r="C456" s="14">
        <f>IF(B456="","",IFERROR(INDEX('Sản phẩm'!$B$5:$B$304,MATCH(B456,'Sản phẩm'!$A$5:$A$304,0)),""))</f>
        <v/>
      </c>
      <c r="D456" s="12" t="n"/>
      <c r="E456" s="11" t="n"/>
      <c r="F456" s="16">
        <f>IF(OR(D456="",E456=""),"",D456*E456)</f>
        <v/>
      </c>
      <c r="G456" s="10" t="n"/>
      <c r="H456" s="14">
        <f>IF(A456="","",MONTH(A456))</f>
        <v/>
      </c>
      <c r="I456" s="14">
        <f>IF(A456="","",YEAR(A456))</f>
        <v/>
      </c>
    </row>
    <row r="457">
      <c r="A457" s="15" t="n"/>
      <c r="B457" s="10" t="n"/>
      <c r="C457" s="14">
        <f>IF(B457="","",IFERROR(INDEX('Sản phẩm'!$B$5:$B$304,MATCH(B457,'Sản phẩm'!$A$5:$A$304,0)),""))</f>
        <v/>
      </c>
      <c r="D457" s="12" t="n"/>
      <c r="E457" s="11" t="n"/>
      <c r="F457" s="16">
        <f>IF(OR(D457="",E457=""),"",D457*E457)</f>
        <v/>
      </c>
      <c r="G457" s="10" t="n"/>
      <c r="H457" s="14">
        <f>IF(A457="","",MONTH(A457))</f>
        <v/>
      </c>
      <c r="I457" s="14">
        <f>IF(A457="","",YEAR(A457))</f>
        <v/>
      </c>
    </row>
    <row r="458">
      <c r="A458" s="15" t="n"/>
      <c r="B458" s="10" t="n"/>
      <c r="C458" s="14">
        <f>IF(B458="","",IFERROR(INDEX('Sản phẩm'!$B$5:$B$304,MATCH(B458,'Sản phẩm'!$A$5:$A$304,0)),""))</f>
        <v/>
      </c>
      <c r="D458" s="12" t="n"/>
      <c r="E458" s="11" t="n"/>
      <c r="F458" s="16">
        <f>IF(OR(D458="",E458=""),"",D458*E458)</f>
        <v/>
      </c>
      <c r="G458" s="10" t="n"/>
      <c r="H458" s="14">
        <f>IF(A458="","",MONTH(A458))</f>
        <v/>
      </c>
      <c r="I458" s="14">
        <f>IF(A458="","",YEAR(A458))</f>
        <v/>
      </c>
    </row>
    <row r="459">
      <c r="A459" s="15" t="n"/>
      <c r="B459" s="10" t="n"/>
      <c r="C459" s="14">
        <f>IF(B459="","",IFERROR(INDEX('Sản phẩm'!$B$5:$B$304,MATCH(B459,'Sản phẩm'!$A$5:$A$304,0)),""))</f>
        <v/>
      </c>
      <c r="D459" s="12" t="n"/>
      <c r="E459" s="11" t="n"/>
      <c r="F459" s="16">
        <f>IF(OR(D459="",E459=""),"",D459*E459)</f>
        <v/>
      </c>
      <c r="G459" s="10" t="n"/>
      <c r="H459" s="14">
        <f>IF(A459="","",MONTH(A459))</f>
        <v/>
      </c>
      <c r="I459" s="14">
        <f>IF(A459="","",YEAR(A459))</f>
        <v/>
      </c>
    </row>
    <row r="460">
      <c r="A460" s="15" t="n"/>
      <c r="B460" s="10" t="n"/>
      <c r="C460" s="14">
        <f>IF(B460="","",IFERROR(INDEX('Sản phẩm'!$B$5:$B$304,MATCH(B460,'Sản phẩm'!$A$5:$A$304,0)),""))</f>
        <v/>
      </c>
      <c r="D460" s="12" t="n"/>
      <c r="E460" s="11" t="n"/>
      <c r="F460" s="16">
        <f>IF(OR(D460="",E460=""),"",D460*E460)</f>
        <v/>
      </c>
      <c r="G460" s="10" t="n"/>
      <c r="H460" s="14">
        <f>IF(A460="","",MONTH(A460))</f>
        <v/>
      </c>
      <c r="I460" s="14">
        <f>IF(A460="","",YEAR(A460))</f>
        <v/>
      </c>
    </row>
    <row r="461">
      <c r="A461" s="15" t="n"/>
      <c r="B461" s="10" t="n"/>
      <c r="C461" s="14">
        <f>IF(B461="","",IFERROR(INDEX('Sản phẩm'!$B$5:$B$304,MATCH(B461,'Sản phẩm'!$A$5:$A$304,0)),""))</f>
        <v/>
      </c>
      <c r="D461" s="12" t="n"/>
      <c r="E461" s="11" t="n"/>
      <c r="F461" s="16">
        <f>IF(OR(D461="",E461=""),"",D461*E461)</f>
        <v/>
      </c>
      <c r="G461" s="10" t="n"/>
      <c r="H461" s="14">
        <f>IF(A461="","",MONTH(A461))</f>
        <v/>
      </c>
      <c r="I461" s="14">
        <f>IF(A461="","",YEAR(A461))</f>
        <v/>
      </c>
    </row>
    <row r="462">
      <c r="A462" s="15" t="n"/>
      <c r="B462" s="10" t="n"/>
      <c r="C462" s="14">
        <f>IF(B462="","",IFERROR(INDEX('Sản phẩm'!$B$5:$B$304,MATCH(B462,'Sản phẩm'!$A$5:$A$304,0)),""))</f>
        <v/>
      </c>
      <c r="D462" s="12" t="n"/>
      <c r="E462" s="11" t="n"/>
      <c r="F462" s="16">
        <f>IF(OR(D462="",E462=""),"",D462*E462)</f>
        <v/>
      </c>
      <c r="G462" s="10" t="n"/>
      <c r="H462" s="14">
        <f>IF(A462="","",MONTH(A462))</f>
        <v/>
      </c>
      <c r="I462" s="14">
        <f>IF(A462="","",YEAR(A462))</f>
        <v/>
      </c>
    </row>
    <row r="463">
      <c r="A463" s="15" t="n"/>
      <c r="B463" s="10" t="n"/>
      <c r="C463" s="14">
        <f>IF(B463="","",IFERROR(INDEX('Sản phẩm'!$B$5:$B$304,MATCH(B463,'Sản phẩm'!$A$5:$A$304,0)),""))</f>
        <v/>
      </c>
      <c r="D463" s="12" t="n"/>
      <c r="E463" s="11" t="n"/>
      <c r="F463" s="16">
        <f>IF(OR(D463="",E463=""),"",D463*E463)</f>
        <v/>
      </c>
      <c r="G463" s="10" t="n"/>
      <c r="H463" s="14">
        <f>IF(A463="","",MONTH(A463))</f>
        <v/>
      </c>
      <c r="I463" s="14">
        <f>IF(A463="","",YEAR(A463))</f>
        <v/>
      </c>
    </row>
    <row r="464">
      <c r="A464" s="15" t="n"/>
      <c r="B464" s="10" t="n"/>
      <c r="C464" s="14">
        <f>IF(B464="","",IFERROR(INDEX('Sản phẩm'!$B$5:$B$304,MATCH(B464,'Sản phẩm'!$A$5:$A$304,0)),""))</f>
        <v/>
      </c>
      <c r="D464" s="12" t="n"/>
      <c r="E464" s="11" t="n"/>
      <c r="F464" s="16">
        <f>IF(OR(D464="",E464=""),"",D464*E464)</f>
        <v/>
      </c>
      <c r="G464" s="10" t="n"/>
      <c r="H464" s="14">
        <f>IF(A464="","",MONTH(A464))</f>
        <v/>
      </c>
      <c r="I464" s="14">
        <f>IF(A464="","",YEAR(A464))</f>
        <v/>
      </c>
    </row>
    <row r="465">
      <c r="A465" s="15" t="n"/>
      <c r="B465" s="10" t="n"/>
      <c r="C465" s="14">
        <f>IF(B465="","",IFERROR(INDEX('Sản phẩm'!$B$5:$B$304,MATCH(B465,'Sản phẩm'!$A$5:$A$304,0)),""))</f>
        <v/>
      </c>
      <c r="D465" s="12" t="n"/>
      <c r="E465" s="11" t="n"/>
      <c r="F465" s="16">
        <f>IF(OR(D465="",E465=""),"",D465*E465)</f>
        <v/>
      </c>
      <c r="G465" s="10" t="n"/>
      <c r="H465" s="14">
        <f>IF(A465="","",MONTH(A465))</f>
        <v/>
      </c>
      <c r="I465" s="14">
        <f>IF(A465="","",YEAR(A465))</f>
        <v/>
      </c>
    </row>
    <row r="466">
      <c r="A466" s="15" t="n"/>
      <c r="B466" s="10" t="n"/>
      <c r="C466" s="14">
        <f>IF(B466="","",IFERROR(INDEX('Sản phẩm'!$B$5:$B$304,MATCH(B466,'Sản phẩm'!$A$5:$A$304,0)),""))</f>
        <v/>
      </c>
      <c r="D466" s="12" t="n"/>
      <c r="E466" s="11" t="n"/>
      <c r="F466" s="16">
        <f>IF(OR(D466="",E466=""),"",D466*E466)</f>
        <v/>
      </c>
      <c r="G466" s="10" t="n"/>
      <c r="H466" s="14">
        <f>IF(A466="","",MONTH(A466))</f>
        <v/>
      </c>
      <c r="I466" s="14">
        <f>IF(A466="","",YEAR(A466))</f>
        <v/>
      </c>
    </row>
    <row r="467">
      <c r="A467" s="15" t="n"/>
      <c r="B467" s="10" t="n"/>
      <c r="C467" s="14">
        <f>IF(B467="","",IFERROR(INDEX('Sản phẩm'!$B$5:$B$304,MATCH(B467,'Sản phẩm'!$A$5:$A$304,0)),""))</f>
        <v/>
      </c>
      <c r="D467" s="12" t="n"/>
      <c r="E467" s="11" t="n"/>
      <c r="F467" s="16">
        <f>IF(OR(D467="",E467=""),"",D467*E467)</f>
        <v/>
      </c>
      <c r="G467" s="10" t="n"/>
      <c r="H467" s="14">
        <f>IF(A467="","",MONTH(A467))</f>
        <v/>
      </c>
      <c r="I467" s="14">
        <f>IF(A467="","",YEAR(A467))</f>
        <v/>
      </c>
    </row>
    <row r="468">
      <c r="A468" s="15" t="n"/>
      <c r="B468" s="10" t="n"/>
      <c r="C468" s="14">
        <f>IF(B468="","",IFERROR(INDEX('Sản phẩm'!$B$5:$B$304,MATCH(B468,'Sản phẩm'!$A$5:$A$304,0)),""))</f>
        <v/>
      </c>
      <c r="D468" s="12" t="n"/>
      <c r="E468" s="11" t="n"/>
      <c r="F468" s="16">
        <f>IF(OR(D468="",E468=""),"",D468*E468)</f>
        <v/>
      </c>
      <c r="G468" s="10" t="n"/>
      <c r="H468" s="14">
        <f>IF(A468="","",MONTH(A468))</f>
        <v/>
      </c>
      <c r="I468" s="14">
        <f>IF(A468="","",YEAR(A468))</f>
        <v/>
      </c>
    </row>
    <row r="469">
      <c r="A469" s="15" t="n"/>
      <c r="B469" s="10" t="n"/>
      <c r="C469" s="14">
        <f>IF(B469="","",IFERROR(INDEX('Sản phẩm'!$B$5:$B$304,MATCH(B469,'Sản phẩm'!$A$5:$A$304,0)),""))</f>
        <v/>
      </c>
      <c r="D469" s="12" t="n"/>
      <c r="E469" s="11" t="n"/>
      <c r="F469" s="16">
        <f>IF(OR(D469="",E469=""),"",D469*E469)</f>
        <v/>
      </c>
      <c r="G469" s="10" t="n"/>
      <c r="H469" s="14">
        <f>IF(A469="","",MONTH(A469))</f>
        <v/>
      </c>
      <c r="I469" s="14">
        <f>IF(A469="","",YEAR(A469))</f>
        <v/>
      </c>
    </row>
    <row r="470">
      <c r="A470" s="15" t="n"/>
      <c r="B470" s="10" t="n"/>
      <c r="C470" s="14">
        <f>IF(B470="","",IFERROR(INDEX('Sản phẩm'!$B$5:$B$304,MATCH(B470,'Sản phẩm'!$A$5:$A$304,0)),""))</f>
        <v/>
      </c>
      <c r="D470" s="12" t="n"/>
      <c r="E470" s="11" t="n"/>
      <c r="F470" s="16">
        <f>IF(OR(D470="",E470=""),"",D470*E470)</f>
        <v/>
      </c>
      <c r="G470" s="10" t="n"/>
      <c r="H470" s="14">
        <f>IF(A470="","",MONTH(A470))</f>
        <v/>
      </c>
      <c r="I470" s="14">
        <f>IF(A470="","",YEAR(A470))</f>
        <v/>
      </c>
    </row>
    <row r="471">
      <c r="A471" s="15" t="n"/>
      <c r="B471" s="10" t="n"/>
      <c r="C471" s="14">
        <f>IF(B471="","",IFERROR(INDEX('Sản phẩm'!$B$5:$B$304,MATCH(B471,'Sản phẩm'!$A$5:$A$304,0)),""))</f>
        <v/>
      </c>
      <c r="D471" s="12" t="n"/>
      <c r="E471" s="11" t="n"/>
      <c r="F471" s="16">
        <f>IF(OR(D471="",E471=""),"",D471*E471)</f>
        <v/>
      </c>
      <c r="G471" s="10" t="n"/>
      <c r="H471" s="14">
        <f>IF(A471="","",MONTH(A471))</f>
        <v/>
      </c>
      <c r="I471" s="14">
        <f>IF(A471="","",YEAR(A471))</f>
        <v/>
      </c>
    </row>
    <row r="472">
      <c r="A472" s="15" t="n"/>
      <c r="B472" s="10" t="n"/>
      <c r="C472" s="14">
        <f>IF(B472="","",IFERROR(INDEX('Sản phẩm'!$B$5:$B$304,MATCH(B472,'Sản phẩm'!$A$5:$A$304,0)),""))</f>
        <v/>
      </c>
      <c r="D472" s="12" t="n"/>
      <c r="E472" s="11" t="n"/>
      <c r="F472" s="16">
        <f>IF(OR(D472="",E472=""),"",D472*E472)</f>
        <v/>
      </c>
      <c r="G472" s="10" t="n"/>
      <c r="H472" s="14">
        <f>IF(A472="","",MONTH(A472))</f>
        <v/>
      </c>
      <c r="I472" s="14">
        <f>IF(A472="","",YEAR(A472))</f>
        <v/>
      </c>
    </row>
    <row r="473">
      <c r="A473" s="15" t="n"/>
      <c r="B473" s="10" t="n"/>
      <c r="C473" s="14">
        <f>IF(B473="","",IFERROR(INDEX('Sản phẩm'!$B$5:$B$304,MATCH(B473,'Sản phẩm'!$A$5:$A$304,0)),""))</f>
        <v/>
      </c>
      <c r="D473" s="12" t="n"/>
      <c r="E473" s="11" t="n"/>
      <c r="F473" s="16">
        <f>IF(OR(D473="",E473=""),"",D473*E473)</f>
        <v/>
      </c>
      <c r="G473" s="10" t="n"/>
      <c r="H473" s="14">
        <f>IF(A473="","",MONTH(A473))</f>
        <v/>
      </c>
      <c r="I473" s="14">
        <f>IF(A473="","",YEAR(A473))</f>
        <v/>
      </c>
    </row>
    <row r="474">
      <c r="A474" s="15" t="n"/>
      <c r="B474" s="10" t="n"/>
      <c r="C474" s="14">
        <f>IF(B474="","",IFERROR(INDEX('Sản phẩm'!$B$5:$B$304,MATCH(B474,'Sản phẩm'!$A$5:$A$304,0)),""))</f>
        <v/>
      </c>
      <c r="D474" s="12" t="n"/>
      <c r="E474" s="11" t="n"/>
      <c r="F474" s="16">
        <f>IF(OR(D474="",E474=""),"",D474*E474)</f>
        <v/>
      </c>
      <c r="G474" s="10" t="n"/>
      <c r="H474" s="14">
        <f>IF(A474="","",MONTH(A474))</f>
        <v/>
      </c>
      <c r="I474" s="14">
        <f>IF(A474="","",YEAR(A474))</f>
        <v/>
      </c>
    </row>
    <row r="475">
      <c r="A475" s="15" t="n"/>
      <c r="B475" s="10" t="n"/>
      <c r="C475" s="14">
        <f>IF(B475="","",IFERROR(INDEX('Sản phẩm'!$B$5:$B$304,MATCH(B475,'Sản phẩm'!$A$5:$A$304,0)),""))</f>
        <v/>
      </c>
      <c r="D475" s="12" t="n"/>
      <c r="E475" s="11" t="n"/>
      <c r="F475" s="16">
        <f>IF(OR(D475="",E475=""),"",D475*E475)</f>
        <v/>
      </c>
      <c r="G475" s="10" t="n"/>
      <c r="H475" s="14">
        <f>IF(A475="","",MONTH(A475))</f>
        <v/>
      </c>
      <c r="I475" s="14">
        <f>IF(A475="","",YEAR(A475))</f>
        <v/>
      </c>
    </row>
    <row r="476">
      <c r="A476" s="15" t="n"/>
      <c r="B476" s="10" t="n"/>
      <c r="C476" s="14">
        <f>IF(B476="","",IFERROR(INDEX('Sản phẩm'!$B$5:$B$304,MATCH(B476,'Sản phẩm'!$A$5:$A$304,0)),""))</f>
        <v/>
      </c>
      <c r="D476" s="12" t="n"/>
      <c r="E476" s="11" t="n"/>
      <c r="F476" s="16">
        <f>IF(OR(D476="",E476=""),"",D476*E476)</f>
        <v/>
      </c>
      <c r="G476" s="10" t="n"/>
      <c r="H476" s="14">
        <f>IF(A476="","",MONTH(A476))</f>
        <v/>
      </c>
      <c r="I476" s="14">
        <f>IF(A476="","",YEAR(A476))</f>
        <v/>
      </c>
    </row>
    <row r="477">
      <c r="A477" s="15" t="n"/>
      <c r="B477" s="10" t="n"/>
      <c r="C477" s="14">
        <f>IF(B477="","",IFERROR(INDEX('Sản phẩm'!$B$5:$B$304,MATCH(B477,'Sản phẩm'!$A$5:$A$304,0)),""))</f>
        <v/>
      </c>
      <c r="D477" s="12" t="n"/>
      <c r="E477" s="11" t="n"/>
      <c r="F477" s="16">
        <f>IF(OR(D477="",E477=""),"",D477*E477)</f>
        <v/>
      </c>
      <c r="G477" s="10" t="n"/>
      <c r="H477" s="14">
        <f>IF(A477="","",MONTH(A477))</f>
        <v/>
      </c>
      <c r="I477" s="14">
        <f>IF(A477="","",YEAR(A477))</f>
        <v/>
      </c>
    </row>
    <row r="478">
      <c r="A478" s="15" t="n"/>
      <c r="B478" s="10" t="n"/>
      <c r="C478" s="14">
        <f>IF(B478="","",IFERROR(INDEX('Sản phẩm'!$B$5:$B$304,MATCH(B478,'Sản phẩm'!$A$5:$A$304,0)),""))</f>
        <v/>
      </c>
      <c r="D478" s="12" t="n"/>
      <c r="E478" s="11" t="n"/>
      <c r="F478" s="16">
        <f>IF(OR(D478="",E478=""),"",D478*E478)</f>
        <v/>
      </c>
      <c r="G478" s="10" t="n"/>
      <c r="H478" s="14">
        <f>IF(A478="","",MONTH(A478))</f>
        <v/>
      </c>
      <c r="I478" s="14">
        <f>IF(A478="","",YEAR(A478))</f>
        <v/>
      </c>
    </row>
    <row r="479">
      <c r="A479" s="15" t="n"/>
      <c r="B479" s="10" t="n"/>
      <c r="C479" s="14">
        <f>IF(B479="","",IFERROR(INDEX('Sản phẩm'!$B$5:$B$304,MATCH(B479,'Sản phẩm'!$A$5:$A$304,0)),""))</f>
        <v/>
      </c>
      <c r="D479" s="12" t="n"/>
      <c r="E479" s="11" t="n"/>
      <c r="F479" s="16">
        <f>IF(OR(D479="",E479=""),"",D479*E479)</f>
        <v/>
      </c>
      <c r="G479" s="10" t="n"/>
      <c r="H479" s="14">
        <f>IF(A479="","",MONTH(A479))</f>
        <v/>
      </c>
      <c r="I479" s="14">
        <f>IF(A479="","",YEAR(A479))</f>
        <v/>
      </c>
    </row>
    <row r="480">
      <c r="A480" s="15" t="n"/>
      <c r="B480" s="10" t="n"/>
      <c r="C480" s="14">
        <f>IF(B480="","",IFERROR(INDEX('Sản phẩm'!$B$5:$B$304,MATCH(B480,'Sản phẩm'!$A$5:$A$304,0)),""))</f>
        <v/>
      </c>
      <c r="D480" s="12" t="n"/>
      <c r="E480" s="11" t="n"/>
      <c r="F480" s="16">
        <f>IF(OR(D480="",E480=""),"",D480*E480)</f>
        <v/>
      </c>
      <c r="G480" s="10" t="n"/>
      <c r="H480" s="14">
        <f>IF(A480="","",MONTH(A480))</f>
        <v/>
      </c>
      <c r="I480" s="14">
        <f>IF(A480="","",YEAR(A480))</f>
        <v/>
      </c>
    </row>
    <row r="481">
      <c r="A481" s="15" t="n"/>
      <c r="B481" s="10" t="n"/>
      <c r="C481" s="14">
        <f>IF(B481="","",IFERROR(INDEX('Sản phẩm'!$B$5:$B$304,MATCH(B481,'Sản phẩm'!$A$5:$A$304,0)),""))</f>
        <v/>
      </c>
      <c r="D481" s="12" t="n"/>
      <c r="E481" s="11" t="n"/>
      <c r="F481" s="16">
        <f>IF(OR(D481="",E481=""),"",D481*E481)</f>
        <v/>
      </c>
      <c r="G481" s="10" t="n"/>
      <c r="H481" s="14">
        <f>IF(A481="","",MONTH(A481))</f>
        <v/>
      </c>
      <c r="I481" s="14">
        <f>IF(A481="","",YEAR(A481))</f>
        <v/>
      </c>
    </row>
    <row r="482">
      <c r="A482" s="15" t="n"/>
      <c r="B482" s="10" t="n"/>
      <c r="C482" s="14">
        <f>IF(B482="","",IFERROR(INDEX('Sản phẩm'!$B$5:$B$304,MATCH(B482,'Sản phẩm'!$A$5:$A$304,0)),""))</f>
        <v/>
      </c>
      <c r="D482" s="12" t="n"/>
      <c r="E482" s="11" t="n"/>
      <c r="F482" s="16">
        <f>IF(OR(D482="",E482=""),"",D482*E482)</f>
        <v/>
      </c>
      <c r="G482" s="10" t="n"/>
      <c r="H482" s="14">
        <f>IF(A482="","",MONTH(A482))</f>
        <v/>
      </c>
      <c r="I482" s="14">
        <f>IF(A482="","",YEAR(A482))</f>
        <v/>
      </c>
    </row>
    <row r="483">
      <c r="A483" s="15" t="n"/>
      <c r="B483" s="10" t="n"/>
      <c r="C483" s="14">
        <f>IF(B483="","",IFERROR(INDEX('Sản phẩm'!$B$5:$B$304,MATCH(B483,'Sản phẩm'!$A$5:$A$304,0)),""))</f>
        <v/>
      </c>
      <c r="D483" s="12" t="n"/>
      <c r="E483" s="11" t="n"/>
      <c r="F483" s="16">
        <f>IF(OR(D483="",E483=""),"",D483*E483)</f>
        <v/>
      </c>
      <c r="G483" s="10" t="n"/>
      <c r="H483" s="14">
        <f>IF(A483="","",MONTH(A483))</f>
        <v/>
      </c>
      <c r="I483" s="14">
        <f>IF(A483="","",YEAR(A483))</f>
        <v/>
      </c>
    </row>
    <row r="484">
      <c r="A484" s="15" t="n"/>
      <c r="B484" s="10" t="n"/>
      <c r="C484" s="14">
        <f>IF(B484="","",IFERROR(INDEX('Sản phẩm'!$B$5:$B$304,MATCH(B484,'Sản phẩm'!$A$5:$A$304,0)),""))</f>
        <v/>
      </c>
      <c r="D484" s="12" t="n"/>
      <c r="E484" s="11" t="n"/>
      <c r="F484" s="16">
        <f>IF(OR(D484="",E484=""),"",D484*E484)</f>
        <v/>
      </c>
      <c r="G484" s="10" t="n"/>
      <c r="H484" s="14">
        <f>IF(A484="","",MONTH(A484))</f>
        <v/>
      </c>
      <c r="I484" s="14">
        <f>IF(A484="","",YEAR(A484))</f>
        <v/>
      </c>
    </row>
    <row r="485">
      <c r="A485" s="15" t="n"/>
      <c r="B485" s="10" t="n"/>
      <c r="C485" s="14">
        <f>IF(B485="","",IFERROR(INDEX('Sản phẩm'!$B$5:$B$304,MATCH(B485,'Sản phẩm'!$A$5:$A$304,0)),""))</f>
        <v/>
      </c>
      <c r="D485" s="12" t="n"/>
      <c r="E485" s="11" t="n"/>
      <c r="F485" s="16">
        <f>IF(OR(D485="",E485=""),"",D485*E485)</f>
        <v/>
      </c>
      <c r="G485" s="10" t="n"/>
      <c r="H485" s="14">
        <f>IF(A485="","",MONTH(A485))</f>
        <v/>
      </c>
      <c r="I485" s="14">
        <f>IF(A485="","",YEAR(A485))</f>
        <v/>
      </c>
    </row>
    <row r="486">
      <c r="A486" s="15" t="n"/>
      <c r="B486" s="10" t="n"/>
      <c r="C486" s="14">
        <f>IF(B486="","",IFERROR(INDEX('Sản phẩm'!$B$5:$B$304,MATCH(B486,'Sản phẩm'!$A$5:$A$304,0)),""))</f>
        <v/>
      </c>
      <c r="D486" s="12" t="n"/>
      <c r="E486" s="11" t="n"/>
      <c r="F486" s="16">
        <f>IF(OR(D486="",E486=""),"",D486*E486)</f>
        <v/>
      </c>
      <c r="G486" s="10" t="n"/>
      <c r="H486" s="14">
        <f>IF(A486="","",MONTH(A486))</f>
        <v/>
      </c>
      <c r="I486" s="14">
        <f>IF(A486="","",YEAR(A486))</f>
        <v/>
      </c>
    </row>
    <row r="487">
      <c r="A487" s="15" t="n"/>
      <c r="B487" s="10" t="n"/>
      <c r="C487" s="14">
        <f>IF(B487="","",IFERROR(INDEX('Sản phẩm'!$B$5:$B$304,MATCH(B487,'Sản phẩm'!$A$5:$A$304,0)),""))</f>
        <v/>
      </c>
      <c r="D487" s="12" t="n"/>
      <c r="E487" s="11" t="n"/>
      <c r="F487" s="16">
        <f>IF(OR(D487="",E487=""),"",D487*E487)</f>
        <v/>
      </c>
      <c r="G487" s="10" t="n"/>
      <c r="H487" s="14">
        <f>IF(A487="","",MONTH(A487))</f>
        <v/>
      </c>
      <c r="I487" s="14">
        <f>IF(A487="","",YEAR(A487))</f>
        <v/>
      </c>
    </row>
    <row r="488">
      <c r="A488" s="15" t="n"/>
      <c r="B488" s="10" t="n"/>
      <c r="C488" s="14">
        <f>IF(B488="","",IFERROR(INDEX('Sản phẩm'!$B$5:$B$304,MATCH(B488,'Sản phẩm'!$A$5:$A$304,0)),""))</f>
        <v/>
      </c>
      <c r="D488" s="12" t="n"/>
      <c r="E488" s="11" t="n"/>
      <c r="F488" s="16">
        <f>IF(OR(D488="",E488=""),"",D488*E488)</f>
        <v/>
      </c>
      <c r="G488" s="10" t="n"/>
      <c r="H488" s="14">
        <f>IF(A488="","",MONTH(A488))</f>
        <v/>
      </c>
      <c r="I488" s="14">
        <f>IF(A488="","",YEAR(A488))</f>
        <v/>
      </c>
    </row>
    <row r="489">
      <c r="A489" s="15" t="n"/>
      <c r="B489" s="10" t="n"/>
      <c r="C489" s="14">
        <f>IF(B489="","",IFERROR(INDEX('Sản phẩm'!$B$5:$B$304,MATCH(B489,'Sản phẩm'!$A$5:$A$304,0)),""))</f>
        <v/>
      </c>
      <c r="D489" s="12" t="n"/>
      <c r="E489" s="11" t="n"/>
      <c r="F489" s="16">
        <f>IF(OR(D489="",E489=""),"",D489*E489)</f>
        <v/>
      </c>
      <c r="G489" s="10" t="n"/>
      <c r="H489" s="14">
        <f>IF(A489="","",MONTH(A489))</f>
        <v/>
      </c>
      <c r="I489" s="14">
        <f>IF(A489="","",YEAR(A489))</f>
        <v/>
      </c>
    </row>
    <row r="490">
      <c r="A490" s="15" t="n"/>
      <c r="B490" s="10" t="n"/>
      <c r="C490" s="14">
        <f>IF(B490="","",IFERROR(INDEX('Sản phẩm'!$B$5:$B$304,MATCH(B490,'Sản phẩm'!$A$5:$A$304,0)),""))</f>
        <v/>
      </c>
      <c r="D490" s="12" t="n"/>
      <c r="E490" s="11" t="n"/>
      <c r="F490" s="16">
        <f>IF(OR(D490="",E490=""),"",D490*E490)</f>
        <v/>
      </c>
      <c r="G490" s="10" t="n"/>
      <c r="H490" s="14">
        <f>IF(A490="","",MONTH(A490))</f>
        <v/>
      </c>
      <c r="I490" s="14">
        <f>IF(A490="","",YEAR(A490))</f>
        <v/>
      </c>
    </row>
    <row r="491">
      <c r="A491" s="15" t="n"/>
      <c r="B491" s="10" t="n"/>
      <c r="C491" s="14">
        <f>IF(B491="","",IFERROR(INDEX('Sản phẩm'!$B$5:$B$304,MATCH(B491,'Sản phẩm'!$A$5:$A$304,0)),""))</f>
        <v/>
      </c>
      <c r="D491" s="12" t="n"/>
      <c r="E491" s="11" t="n"/>
      <c r="F491" s="16">
        <f>IF(OR(D491="",E491=""),"",D491*E491)</f>
        <v/>
      </c>
      <c r="G491" s="10" t="n"/>
      <c r="H491" s="14">
        <f>IF(A491="","",MONTH(A491))</f>
        <v/>
      </c>
      <c r="I491" s="14">
        <f>IF(A491="","",YEAR(A491))</f>
        <v/>
      </c>
    </row>
    <row r="492">
      <c r="A492" s="15" t="n"/>
      <c r="B492" s="10" t="n"/>
      <c r="C492" s="14">
        <f>IF(B492="","",IFERROR(INDEX('Sản phẩm'!$B$5:$B$304,MATCH(B492,'Sản phẩm'!$A$5:$A$304,0)),""))</f>
        <v/>
      </c>
      <c r="D492" s="12" t="n"/>
      <c r="E492" s="11" t="n"/>
      <c r="F492" s="16">
        <f>IF(OR(D492="",E492=""),"",D492*E492)</f>
        <v/>
      </c>
      <c r="G492" s="10" t="n"/>
      <c r="H492" s="14">
        <f>IF(A492="","",MONTH(A492))</f>
        <v/>
      </c>
      <c r="I492" s="14">
        <f>IF(A492="","",YEAR(A492))</f>
        <v/>
      </c>
    </row>
    <row r="493">
      <c r="A493" s="15" t="n"/>
      <c r="B493" s="10" t="n"/>
      <c r="C493" s="14">
        <f>IF(B493="","",IFERROR(INDEX('Sản phẩm'!$B$5:$B$304,MATCH(B493,'Sản phẩm'!$A$5:$A$304,0)),""))</f>
        <v/>
      </c>
      <c r="D493" s="12" t="n"/>
      <c r="E493" s="11" t="n"/>
      <c r="F493" s="16">
        <f>IF(OR(D493="",E493=""),"",D493*E493)</f>
        <v/>
      </c>
      <c r="G493" s="10" t="n"/>
      <c r="H493" s="14">
        <f>IF(A493="","",MONTH(A493))</f>
        <v/>
      </c>
      <c r="I493" s="14">
        <f>IF(A493="","",YEAR(A493))</f>
        <v/>
      </c>
    </row>
    <row r="494">
      <c r="A494" s="15" t="n"/>
      <c r="B494" s="10" t="n"/>
      <c r="C494" s="14">
        <f>IF(B494="","",IFERROR(INDEX('Sản phẩm'!$B$5:$B$304,MATCH(B494,'Sản phẩm'!$A$5:$A$304,0)),""))</f>
        <v/>
      </c>
      <c r="D494" s="12" t="n"/>
      <c r="E494" s="11" t="n"/>
      <c r="F494" s="16">
        <f>IF(OR(D494="",E494=""),"",D494*E494)</f>
        <v/>
      </c>
      <c r="G494" s="10" t="n"/>
      <c r="H494" s="14">
        <f>IF(A494="","",MONTH(A494))</f>
        <v/>
      </c>
      <c r="I494" s="14">
        <f>IF(A494="","",YEAR(A494))</f>
        <v/>
      </c>
    </row>
    <row r="495">
      <c r="A495" s="15" t="n"/>
      <c r="B495" s="10" t="n"/>
      <c r="C495" s="14">
        <f>IF(B495="","",IFERROR(INDEX('Sản phẩm'!$B$5:$B$304,MATCH(B495,'Sản phẩm'!$A$5:$A$304,0)),""))</f>
        <v/>
      </c>
      <c r="D495" s="12" t="n"/>
      <c r="E495" s="11" t="n"/>
      <c r="F495" s="16">
        <f>IF(OR(D495="",E495=""),"",D495*E495)</f>
        <v/>
      </c>
      <c r="G495" s="10" t="n"/>
      <c r="H495" s="14">
        <f>IF(A495="","",MONTH(A495))</f>
        <v/>
      </c>
      <c r="I495" s="14">
        <f>IF(A495="","",YEAR(A495))</f>
        <v/>
      </c>
    </row>
    <row r="496">
      <c r="A496" s="15" t="n"/>
      <c r="B496" s="10" t="n"/>
      <c r="C496" s="14">
        <f>IF(B496="","",IFERROR(INDEX('Sản phẩm'!$B$5:$B$304,MATCH(B496,'Sản phẩm'!$A$5:$A$304,0)),""))</f>
        <v/>
      </c>
      <c r="D496" s="12" t="n"/>
      <c r="E496" s="11" t="n"/>
      <c r="F496" s="16">
        <f>IF(OR(D496="",E496=""),"",D496*E496)</f>
        <v/>
      </c>
      <c r="G496" s="10" t="n"/>
      <c r="H496" s="14">
        <f>IF(A496="","",MONTH(A496))</f>
        <v/>
      </c>
      <c r="I496" s="14">
        <f>IF(A496="","",YEAR(A496))</f>
        <v/>
      </c>
    </row>
    <row r="497">
      <c r="A497" s="15" t="n"/>
      <c r="B497" s="10" t="n"/>
      <c r="C497" s="14">
        <f>IF(B497="","",IFERROR(INDEX('Sản phẩm'!$B$5:$B$304,MATCH(B497,'Sản phẩm'!$A$5:$A$304,0)),""))</f>
        <v/>
      </c>
      <c r="D497" s="12" t="n"/>
      <c r="E497" s="11" t="n"/>
      <c r="F497" s="16">
        <f>IF(OR(D497="",E497=""),"",D497*E497)</f>
        <v/>
      </c>
      <c r="G497" s="10" t="n"/>
      <c r="H497" s="14">
        <f>IF(A497="","",MONTH(A497))</f>
        <v/>
      </c>
      <c r="I497" s="14">
        <f>IF(A497="","",YEAR(A497))</f>
        <v/>
      </c>
    </row>
    <row r="498">
      <c r="A498" s="15" t="n"/>
      <c r="B498" s="10" t="n"/>
      <c r="C498" s="14">
        <f>IF(B498="","",IFERROR(INDEX('Sản phẩm'!$B$5:$B$304,MATCH(B498,'Sản phẩm'!$A$5:$A$304,0)),""))</f>
        <v/>
      </c>
      <c r="D498" s="12" t="n"/>
      <c r="E498" s="11" t="n"/>
      <c r="F498" s="16">
        <f>IF(OR(D498="",E498=""),"",D498*E498)</f>
        <v/>
      </c>
      <c r="G498" s="10" t="n"/>
      <c r="H498" s="14">
        <f>IF(A498="","",MONTH(A498))</f>
        <v/>
      </c>
      <c r="I498" s="14">
        <f>IF(A498="","",YEAR(A498))</f>
        <v/>
      </c>
    </row>
    <row r="499">
      <c r="A499" s="15" t="n"/>
      <c r="B499" s="10" t="n"/>
      <c r="C499" s="14">
        <f>IF(B499="","",IFERROR(INDEX('Sản phẩm'!$B$5:$B$304,MATCH(B499,'Sản phẩm'!$A$5:$A$304,0)),""))</f>
        <v/>
      </c>
      <c r="D499" s="12" t="n"/>
      <c r="E499" s="11" t="n"/>
      <c r="F499" s="16">
        <f>IF(OR(D499="",E499=""),"",D499*E499)</f>
        <v/>
      </c>
      <c r="G499" s="10" t="n"/>
      <c r="H499" s="14">
        <f>IF(A499="","",MONTH(A499))</f>
        <v/>
      </c>
      <c r="I499" s="14">
        <f>IF(A499="","",YEAR(A499))</f>
        <v/>
      </c>
    </row>
    <row r="500">
      <c r="A500" s="15" t="n"/>
      <c r="B500" s="10" t="n"/>
      <c r="C500" s="14">
        <f>IF(B500="","",IFERROR(INDEX('Sản phẩm'!$B$5:$B$304,MATCH(B500,'Sản phẩm'!$A$5:$A$304,0)),""))</f>
        <v/>
      </c>
      <c r="D500" s="12" t="n"/>
      <c r="E500" s="11" t="n"/>
      <c r="F500" s="16">
        <f>IF(OR(D500="",E500=""),"",D500*E500)</f>
        <v/>
      </c>
      <c r="G500" s="10" t="n"/>
      <c r="H500" s="14">
        <f>IF(A500="","",MONTH(A500))</f>
        <v/>
      </c>
      <c r="I500" s="14">
        <f>IF(A500="","",YEAR(A500))</f>
        <v/>
      </c>
    </row>
    <row r="501">
      <c r="A501" s="15" t="n"/>
      <c r="B501" s="10" t="n"/>
      <c r="C501" s="14">
        <f>IF(B501="","",IFERROR(INDEX('Sản phẩm'!$B$5:$B$304,MATCH(B501,'Sản phẩm'!$A$5:$A$304,0)),""))</f>
        <v/>
      </c>
      <c r="D501" s="12" t="n"/>
      <c r="E501" s="11" t="n"/>
      <c r="F501" s="16">
        <f>IF(OR(D501="",E501=""),"",D501*E501)</f>
        <v/>
      </c>
      <c r="G501" s="10" t="n"/>
      <c r="H501" s="14">
        <f>IF(A501="","",MONTH(A501))</f>
        <v/>
      </c>
      <c r="I501" s="14">
        <f>IF(A501="","",YEAR(A501))</f>
        <v/>
      </c>
    </row>
    <row r="502">
      <c r="A502" s="15" t="n"/>
      <c r="B502" s="10" t="n"/>
      <c r="C502" s="14">
        <f>IF(B502="","",IFERROR(INDEX('Sản phẩm'!$B$5:$B$304,MATCH(B502,'Sản phẩm'!$A$5:$A$304,0)),""))</f>
        <v/>
      </c>
      <c r="D502" s="12" t="n"/>
      <c r="E502" s="11" t="n"/>
      <c r="F502" s="16">
        <f>IF(OR(D502="",E502=""),"",D502*E502)</f>
        <v/>
      </c>
      <c r="G502" s="10" t="n"/>
      <c r="H502" s="14">
        <f>IF(A502="","",MONTH(A502))</f>
        <v/>
      </c>
      <c r="I502" s="14">
        <f>IF(A502="","",YEAR(A502))</f>
        <v/>
      </c>
    </row>
    <row r="503">
      <c r="A503" s="15" t="n"/>
      <c r="B503" s="10" t="n"/>
      <c r="C503" s="14">
        <f>IF(B503="","",IFERROR(INDEX('Sản phẩm'!$B$5:$B$304,MATCH(B503,'Sản phẩm'!$A$5:$A$304,0)),""))</f>
        <v/>
      </c>
      <c r="D503" s="12" t="n"/>
      <c r="E503" s="11" t="n"/>
      <c r="F503" s="16">
        <f>IF(OR(D503="",E503=""),"",D503*E503)</f>
        <v/>
      </c>
      <c r="G503" s="10" t="n"/>
      <c r="H503" s="14">
        <f>IF(A503="","",MONTH(A503))</f>
        <v/>
      </c>
      <c r="I503" s="14">
        <f>IF(A503="","",YEAR(A503))</f>
        <v/>
      </c>
    </row>
    <row r="504">
      <c r="A504" s="15" t="n"/>
      <c r="B504" s="10" t="n"/>
      <c r="C504" s="14">
        <f>IF(B504="","",IFERROR(INDEX('Sản phẩm'!$B$5:$B$304,MATCH(B504,'Sản phẩm'!$A$5:$A$304,0)),""))</f>
        <v/>
      </c>
      <c r="D504" s="12" t="n"/>
      <c r="E504" s="11" t="n"/>
      <c r="F504" s="16">
        <f>IF(OR(D504="",E504=""),"",D504*E504)</f>
        <v/>
      </c>
      <c r="G504" s="10" t="n"/>
      <c r="H504" s="14">
        <f>IF(A504="","",MONTH(A504))</f>
        <v/>
      </c>
      <c r="I504" s="14">
        <f>IF(A504="","",YEAR(A504))</f>
        <v/>
      </c>
    </row>
    <row r="505">
      <c r="A505" s="15" t="n"/>
      <c r="B505" s="10" t="n"/>
      <c r="C505" s="14">
        <f>IF(B505="","",IFERROR(INDEX('Sản phẩm'!$B$5:$B$304,MATCH(B505,'Sản phẩm'!$A$5:$A$304,0)),""))</f>
        <v/>
      </c>
      <c r="D505" s="12" t="n"/>
      <c r="E505" s="11" t="n"/>
      <c r="F505" s="16">
        <f>IF(OR(D505="",E505=""),"",D505*E505)</f>
        <v/>
      </c>
      <c r="G505" s="10" t="n"/>
      <c r="H505" s="14">
        <f>IF(A505="","",MONTH(A505))</f>
        <v/>
      </c>
      <c r="I505" s="14">
        <f>IF(A505="","",YEAR(A505))</f>
        <v/>
      </c>
    </row>
    <row r="506">
      <c r="A506" s="15" t="n"/>
      <c r="B506" s="10" t="n"/>
      <c r="C506" s="14">
        <f>IF(B506="","",IFERROR(INDEX('Sản phẩm'!$B$5:$B$304,MATCH(B506,'Sản phẩm'!$A$5:$A$304,0)),""))</f>
        <v/>
      </c>
      <c r="D506" s="12" t="n"/>
      <c r="E506" s="11" t="n"/>
      <c r="F506" s="16">
        <f>IF(OR(D506="",E506=""),"",D506*E506)</f>
        <v/>
      </c>
      <c r="G506" s="10" t="n"/>
      <c r="H506" s="14">
        <f>IF(A506="","",MONTH(A506))</f>
        <v/>
      </c>
      <c r="I506" s="14">
        <f>IF(A506="","",YEAR(A506))</f>
        <v/>
      </c>
    </row>
    <row r="507">
      <c r="A507" s="15" t="n"/>
      <c r="B507" s="10" t="n"/>
      <c r="C507" s="14">
        <f>IF(B507="","",IFERROR(INDEX('Sản phẩm'!$B$5:$B$304,MATCH(B507,'Sản phẩm'!$A$5:$A$304,0)),""))</f>
        <v/>
      </c>
      <c r="D507" s="12" t="n"/>
      <c r="E507" s="11" t="n"/>
      <c r="F507" s="16">
        <f>IF(OR(D507="",E507=""),"",D507*E507)</f>
        <v/>
      </c>
      <c r="G507" s="10" t="n"/>
      <c r="H507" s="14">
        <f>IF(A507="","",MONTH(A507))</f>
        <v/>
      </c>
      <c r="I507" s="14">
        <f>IF(A507="","",YEAR(A507))</f>
        <v/>
      </c>
    </row>
    <row r="508">
      <c r="A508" s="15" t="n"/>
      <c r="B508" s="10" t="n"/>
      <c r="C508" s="14">
        <f>IF(B508="","",IFERROR(INDEX('Sản phẩm'!$B$5:$B$304,MATCH(B508,'Sản phẩm'!$A$5:$A$304,0)),""))</f>
        <v/>
      </c>
      <c r="D508" s="12" t="n"/>
      <c r="E508" s="11" t="n"/>
      <c r="F508" s="16">
        <f>IF(OR(D508="",E508=""),"",D508*E508)</f>
        <v/>
      </c>
      <c r="G508" s="10" t="n"/>
      <c r="H508" s="14">
        <f>IF(A508="","",MONTH(A508))</f>
        <v/>
      </c>
      <c r="I508" s="14">
        <f>IF(A508="","",YEAR(A508))</f>
        <v/>
      </c>
    </row>
    <row r="509">
      <c r="A509" s="15" t="n"/>
      <c r="B509" s="10" t="n"/>
      <c r="C509" s="14">
        <f>IF(B509="","",IFERROR(INDEX('Sản phẩm'!$B$5:$B$304,MATCH(B509,'Sản phẩm'!$A$5:$A$304,0)),""))</f>
        <v/>
      </c>
      <c r="D509" s="12" t="n"/>
      <c r="E509" s="11" t="n"/>
      <c r="F509" s="16">
        <f>IF(OR(D509="",E509=""),"",D509*E509)</f>
        <v/>
      </c>
      <c r="G509" s="10" t="n"/>
      <c r="H509" s="14">
        <f>IF(A509="","",MONTH(A509))</f>
        <v/>
      </c>
      <c r="I509" s="14">
        <f>IF(A509="","",YEAR(A509))</f>
        <v/>
      </c>
    </row>
    <row r="510">
      <c r="A510" s="15" t="n"/>
      <c r="B510" s="10" t="n"/>
      <c r="C510" s="14">
        <f>IF(B510="","",IFERROR(INDEX('Sản phẩm'!$B$5:$B$304,MATCH(B510,'Sản phẩm'!$A$5:$A$304,0)),""))</f>
        <v/>
      </c>
      <c r="D510" s="12" t="n"/>
      <c r="E510" s="11" t="n"/>
      <c r="F510" s="16">
        <f>IF(OR(D510="",E510=""),"",D510*E510)</f>
        <v/>
      </c>
      <c r="G510" s="10" t="n"/>
      <c r="H510" s="14">
        <f>IF(A510="","",MONTH(A510))</f>
        <v/>
      </c>
      <c r="I510" s="14">
        <f>IF(A510="","",YEAR(A510))</f>
        <v/>
      </c>
    </row>
    <row r="511">
      <c r="A511" s="15" t="n"/>
      <c r="B511" s="10" t="n"/>
      <c r="C511" s="14">
        <f>IF(B511="","",IFERROR(INDEX('Sản phẩm'!$B$5:$B$304,MATCH(B511,'Sản phẩm'!$A$5:$A$304,0)),""))</f>
        <v/>
      </c>
      <c r="D511" s="12" t="n"/>
      <c r="E511" s="11" t="n"/>
      <c r="F511" s="16">
        <f>IF(OR(D511="",E511=""),"",D511*E511)</f>
        <v/>
      </c>
      <c r="G511" s="10" t="n"/>
      <c r="H511" s="14">
        <f>IF(A511="","",MONTH(A511))</f>
        <v/>
      </c>
      <c r="I511" s="14">
        <f>IF(A511="","",YEAR(A511))</f>
        <v/>
      </c>
    </row>
    <row r="512">
      <c r="A512" s="15" t="n"/>
      <c r="B512" s="10" t="n"/>
      <c r="C512" s="14">
        <f>IF(B512="","",IFERROR(INDEX('Sản phẩm'!$B$5:$B$304,MATCH(B512,'Sản phẩm'!$A$5:$A$304,0)),""))</f>
        <v/>
      </c>
      <c r="D512" s="12" t="n"/>
      <c r="E512" s="11" t="n"/>
      <c r="F512" s="16">
        <f>IF(OR(D512="",E512=""),"",D512*E512)</f>
        <v/>
      </c>
      <c r="G512" s="10" t="n"/>
      <c r="H512" s="14">
        <f>IF(A512="","",MONTH(A512))</f>
        <v/>
      </c>
      <c r="I512" s="14">
        <f>IF(A512="","",YEAR(A512))</f>
        <v/>
      </c>
    </row>
    <row r="513">
      <c r="A513" s="15" t="n"/>
      <c r="B513" s="10" t="n"/>
      <c r="C513" s="14">
        <f>IF(B513="","",IFERROR(INDEX('Sản phẩm'!$B$5:$B$304,MATCH(B513,'Sản phẩm'!$A$5:$A$304,0)),""))</f>
        <v/>
      </c>
      <c r="D513" s="12" t="n"/>
      <c r="E513" s="11" t="n"/>
      <c r="F513" s="16">
        <f>IF(OR(D513="",E513=""),"",D513*E513)</f>
        <v/>
      </c>
      <c r="G513" s="10" t="n"/>
      <c r="H513" s="14">
        <f>IF(A513="","",MONTH(A513))</f>
        <v/>
      </c>
      <c r="I513" s="14">
        <f>IF(A513="","",YEAR(A513))</f>
        <v/>
      </c>
    </row>
    <row r="514">
      <c r="A514" s="15" t="n"/>
      <c r="B514" s="10" t="n"/>
      <c r="C514" s="14">
        <f>IF(B514="","",IFERROR(INDEX('Sản phẩm'!$B$5:$B$304,MATCH(B514,'Sản phẩm'!$A$5:$A$304,0)),""))</f>
        <v/>
      </c>
      <c r="D514" s="12" t="n"/>
      <c r="E514" s="11" t="n"/>
      <c r="F514" s="16">
        <f>IF(OR(D514="",E514=""),"",D514*E514)</f>
        <v/>
      </c>
      <c r="G514" s="10" t="n"/>
      <c r="H514" s="14">
        <f>IF(A514="","",MONTH(A514))</f>
        <v/>
      </c>
      <c r="I514" s="14">
        <f>IF(A514="","",YEAR(A514))</f>
        <v/>
      </c>
    </row>
    <row r="515">
      <c r="A515" s="15" t="n"/>
      <c r="B515" s="10" t="n"/>
      <c r="C515" s="14">
        <f>IF(B515="","",IFERROR(INDEX('Sản phẩm'!$B$5:$B$304,MATCH(B515,'Sản phẩm'!$A$5:$A$304,0)),""))</f>
        <v/>
      </c>
      <c r="D515" s="12" t="n"/>
      <c r="E515" s="11" t="n"/>
      <c r="F515" s="16">
        <f>IF(OR(D515="",E515=""),"",D515*E515)</f>
        <v/>
      </c>
      <c r="G515" s="10" t="n"/>
      <c r="H515" s="14">
        <f>IF(A515="","",MONTH(A515))</f>
        <v/>
      </c>
      <c r="I515" s="14">
        <f>IF(A515="","",YEAR(A515))</f>
        <v/>
      </c>
    </row>
    <row r="516">
      <c r="A516" s="15" t="n"/>
      <c r="B516" s="10" t="n"/>
      <c r="C516" s="14">
        <f>IF(B516="","",IFERROR(INDEX('Sản phẩm'!$B$5:$B$304,MATCH(B516,'Sản phẩm'!$A$5:$A$304,0)),""))</f>
        <v/>
      </c>
      <c r="D516" s="12" t="n"/>
      <c r="E516" s="11" t="n"/>
      <c r="F516" s="16">
        <f>IF(OR(D516="",E516=""),"",D516*E516)</f>
        <v/>
      </c>
      <c r="G516" s="10" t="n"/>
      <c r="H516" s="14">
        <f>IF(A516="","",MONTH(A516))</f>
        <v/>
      </c>
      <c r="I516" s="14">
        <f>IF(A516="","",YEAR(A516))</f>
        <v/>
      </c>
    </row>
    <row r="517">
      <c r="A517" s="15" t="n"/>
      <c r="B517" s="10" t="n"/>
      <c r="C517" s="14">
        <f>IF(B517="","",IFERROR(INDEX('Sản phẩm'!$B$5:$B$304,MATCH(B517,'Sản phẩm'!$A$5:$A$304,0)),""))</f>
        <v/>
      </c>
      <c r="D517" s="12" t="n"/>
      <c r="E517" s="11" t="n"/>
      <c r="F517" s="16">
        <f>IF(OR(D517="",E517=""),"",D517*E517)</f>
        <v/>
      </c>
      <c r="G517" s="10" t="n"/>
      <c r="H517" s="14">
        <f>IF(A517="","",MONTH(A517))</f>
        <v/>
      </c>
      <c r="I517" s="14">
        <f>IF(A517="","",YEAR(A517))</f>
        <v/>
      </c>
    </row>
    <row r="518">
      <c r="A518" s="15" t="n"/>
      <c r="B518" s="10" t="n"/>
      <c r="C518" s="14">
        <f>IF(B518="","",IFERROR(INDEX('Sản phẩm'!$B$5:$B$304,MATCH(B518,'Sản phẩm'!$A$5:$A$304,0)),""))</f>
        <v/>
      </c>
      <c r="D518" s="12" t="n"/>
      <c r="E518" s="11" t="n"/>
      <c r="F518" s="16">
        <f>IF(OR(D518="",E518=""),"",D518*E518)</f>
        <v/>
      </c>
      <c r="G518" s="10" t="n"/>
      <c r="H518" s="14">
        <f>IF(A518="","",MONTH(A518))</f>
        <v/>
      </c>
      <c r="I518" s="14">
        <f>IF(A518="","",YEAR(A518))</f>
        <v/>
      </c>
    </row>
    <row r="519">
      <c r="A519" s="15" t="n"/>
      <c r="B519" s="10" t="n"/>
      <c r="C519" s="14">
        <f>IF(B519="","",IFERROR(INDEX('Sản phẩm'!$B$5:$B$304,MATCH(B519,'Sản phẩm'!$A$5:$A$304,0)),""))</f>
        <v/>
      </c>
      <c r="D519" s="12" t="n"/>
      <c r="E519" s="11" t="n"/>
      <c r="F519" s="16">
        <f>IF(OR(D519="",E519=""),"",D519*E519)</f>
        <v/>
      </c>
      <c r="G519" s="10" t="n"/>
      <c r="H519" s="14">
        <f>IF(A519="","",MONTH(A519))</f>
        <v/>
      </c>
      <c r="I519" s="14">
        <f>IF(A519="","",YEAR(A519))</f>
        <v/>
      </c>
    </row>
    <row r="520">
      <c r="A520" s="15" t="n"/>
      <c r="B520" s="10" t="n"/>
      <c r="C520" s="14">
        <f>IF(B520="","",IFERROR(INDEX('Sản phẩm'!$B$5:$B$304,MATCH(B520,'Sản phẩm'!$A$5:$A$304,0)),""))</f>
        <v/>
      </c>
      <c r="D520" s="12" t="n"/>
      <c r="E520" s="11" t="n"/>
      <c r="F520" s="16">
        <f>IF(OR(D520="",E520=""),"",D520*E520)</f>
        <v/>
      </c>
      <c r="G520" s="10" t="n"/>
      <c r="H520" s="14">
        <f>IF(A520="","",MONTH(A520))</f>
        <v/>
      </c>
      <c r="I520" s="14">
        <f>IF(A520="","",YEAR(A520))</f>
        <v/>
      </c>
    </row>
    <row r="521">
      <c r="A521" s="15" t="n"/>
      <c r="B521" s="10" t="n"/>
      <c r="C521" s="14">
        <f>IF(B521="","",IFERROR(INDEX('Sản phẩm'!$B$5:$B$304,MATCH(B521,'Sản phẩm'!$A$5:$A$304,0)),""))</f>
        <v/>
      </c>
      <c r="D521" s="12" t="n"/>
      <c r="E521" s="11" t="n"/>
      <c r="F521" s="16">
        <f>IF(OR(D521="",E521=""),"",D521*E521)</f>
        <v/>
      </c>
      <c r="G521" s="10" t="n"/>
      <c r="H521" s="14">
        <f>IF(A521="","",MONTH(A521))</f>
        <v/>
      </c>
      <c r="I521" s="14">
        <f>IF(A521="","",YEAR(A521))</f>
        <v/>
      </c>
    </row>
    <row r="522">
      <c r="A522" s="15" t="n"/>
      <c r="B522" s="10" t="n"/>
      <c r="C522" s="14">
        <f>IF(B522="","",IFERROR(INDEX('Sản phẩm'!$B$5:$B$304,MATCH(B522,'Sản phẩm'!$A$5:$A$304,0)),""))</f>
        <v/>
      </c>
      <c r="D522" s="12" t="n"/>
      <c r="E522" s="11" t="n"/>
      <c r="F522" s="16">
        <f>IF(OR(D522="",E522=""),"",D522*E522)</f>
        <v/>
      </c>
      <c r="G522" s="10" t="n"/>
      <c r="H522" s="14">
        <f>IF(A522="","",MONTH(A522))</f>
        <v/>
      </c>
      <c r="I522" s="14">
        <f>IF(A522="","",YEAR(A522))</f>
        <v/>
      </c>
    </row>
    <row r="523">
      <c r="A523" s="15" t="n"/>
      <c r="B523" s="10" t="n"/>
      <c r="C523" s="14">
        <f>IF(B523="","",IFERROR(INDEX('Sản phẩm'!$B$5:$B$304,MATCH(B523,'Sản phẩm'!$A$5:$A$304,0)),""))</f>
        <v/>
      </c>
      <c r="D523" s="12" t="n"/>
      <c r="E523" s="11" t="n"/>
      <c r="F523" s="16">
        <f>IF(OR(D523="",E523=""),"",D523*E523)</f>
        <v/>
      </c>
      <c r="G523" s="10" t="n"/>
      <c r="H523" s="14">
        <f>IF(A523="","",MONTH(A523))</f>
        <v/>
      </c>
      <c r="I523" s="14">
        <f>IF(A523="","",YEAR(A523))</f>
        <v/>
      </c>
    </row>
    <row r="524">
      <c r="A524" s="15" t="n"/>
      <c r="B524" s="10" t="n"/>
      <c r="C524" s="14">
        <f>IF(B524="","",IFERROR(INDEX('Sản phẩm'!$B$5:$B$304,MATCH(B524,'Sản phẩm'!$A$5:$A$304,0)),""))</f>
        <v/>
      </c>
      <c r="D524" s="12" t="n"/>
      <c r="E524" s="11" t="n"/>
      <c r="F524" s="16">
        <f>IF(OR(D524="",E524=""),"",D524*E524)</f>
        <v/>
      </c>
      <c r="G524" s="10" t="n"/>
      <c r="H524" s="14">
        <f>IF(A524="","",MONTH(A524))</f>
        <v/>
      </c>
      <c r="I524" s="14">
        <f>IF(A524="","",YEAR(A524))</f>
        <v/>
      </c>
    </row>
    <row r="525">
      <c r="A525" s="15" t="n"/>
      <c r="B525" s="10" t="n"/>
      <c r="C525" s="14">
        <f>IF(B525="","",IFERROR(INDEX('Sản phẩm'!$B$5:$B$304,MATCH(B525,'Sản phẩm'!$A$5:$A$304,0)),""))</f>
        <v/>
      </c>
      <c r="D525" s="12" t="n"/>
      <c r="E525" s="11" t="n"/>
      <c r="F525" s="16">
        <f>IF(OR(D525="",E525=""),"",D525*E525)</f>
        <v/>
      </c>
      <c r="G525" s="10" t="n"/>
      <c r="H525" s="14">
        <f>IF(A525="","",MONTH(A525))</f>
        <v/>
      </c>
      <c r="I525" s="14">
        <f>IF(A525="","",YEAR(A525))</f>
        <v/>
      </c>
    </row>
    <row r="526">
      <c r="A526" s="15" t="n"/>
      <c r="B526" s="10" t="n"/>
      <c r="C526" s="14">
        <f>IF(B526="","",IFERROR(INDEX('Sản phẩm'!$B$5:$B$304,MATCH(B526,'Sản phẩm'!$A$5:$A$304,0)),""))</f>
        <v/>
      </c>
      <c r="D526" s="12" t="n"/>
      <c r="E526" s="11" t="n"/>
      <c r="F526" s="16">
        <f>IF(OR(D526="",E526=""),"",D526*E526)</f>
        <v/>
      </c>
      <c r="G526" s="10" t="n"/>
      <c r="H526" s="14">
        <f>IF(A526="","",MONTH(A526))</f>
        <v/>
      </c>
      <c r="I526" s="14">
        <f>IF(A526="","",YEAR(A526))</f>
        <v/>
      </c>
    </row>
    <row r="527">
      <c r="A527" s="15" t="n"/>
      <c r="B527" s="10" t="n"/>
      <c r="C527" s="14">
        <f>IF(B527="","",IFERROR(INDEX('Sản phẩm'!$B$5:$B$304,MATCH(B527,'Sản phẩm'!$A$5:$A$304,0)),""))</f>
        <v/>
      </c>
      <c r="D527" s="12" t="n"/>
      <c r="E527" s="11" t="n"/>
      <c r="F527" s="16">
        <f>IF(OR(D527="",E527=""),"",D527*E527)</f>
        <v/>
      </c>
      <c r="G527" s="10" t="n"/>
      <c r="H527" s="14">
        <f>IF(A527="","",MONTH(A527))</f>
        <v/>
      </c>
      <c r="I527" s="14">
        <f>IF(A527="","",YEAR(A527))</f>
        <v/>
      </c>
    </row>
    <row r="528">
      <c r="A528" s="15" t="n"/>
      <c r="B528" s="10" t="n"/>
      <c r="C528" s="14">
        <f>IF(B528="","",IFERROR(INDEX('Sản phẩm'!$B$5:$B$304,MATCH(B528,'Sản phẩm'!$A$5:$A$304,0)),""))</f>
        <v/>
      </c>
      <c r="D528" s="12" t="n"/>
      <c r="E528" s="11" t="n"/>
      <c r="F528" s="16">
        <f>IF(OR(D528="",E528=""),"",D528*E528)</f>
        <v/>
      </c>
      <c r="G528" s="10" t="n"/>
      <c r="H528" s="14">
        <f>IF(A528="","",MONTH(A528))</f>
        <v/>
      </c>
      <c r="I528" s="14">
        <f>IF(A528="","",YEAR(A528))</f>
        <v/>
      </c>
    </row>
    <row r="529">
      <c r="A529" s="15" t="n"/>
      <c r="B529" s="10" t="n"/>
      <c r="C529" s="14">
        <f>IF(B529="","",IFERROR(INDEX('Sản phẩm'!$B$5:$B$304,MATCH(B529,'Sản phẩm'!$A$5:$A$304,0)),""))</f>
        <v/>
      </c>
      <c r="D529" s="12" t="n"/>
      <c r="E529" s="11" t="n"/>
      <c r="F529" s="16">
        <f>IF(OR(D529="",E529=""),"",D529*E529)</f>
        <v/>
      </c>
      <c r="G529" s="10" t="n"/>
      <c r="H529" s="14">
        <f>IF(A529="","",MONTH(A529))</f>
        <v/>
      </c>
      <c r="I529" s="14">
        <f>IF(A529="","",YEAR(A529))</f>
        <v/>
      </c>
    </row>
    <row r="530">
      <c r="A530" s="15" t="n"/>
      <c r="B530" s="10" t="n"/>
      <c r="C530" s="14">
        <f>IF(B530="","",IFERROR(INDEX('Sản phẩm'!$B$5:$B$304,MATCH(B530,'Sản phẩm'!$A$5:$A$304,0)),""))</f>
        <v/>
      </c>
      <c r="D530" s="12" t="n"/>
      <c r="E530" s="11" t="n"/>
      <c r="F530" s="16">
        <f>IF(OR(D530="",E530=""),"",D530*E530)</f>
        <v/>
      </c>
      <c r="G530" s="10" t="n"/>
      <c r="H530" s="14">
        <f>IF(A530="","",MONTH(A530))</f>
        <v/>
      </c>
      <c r="I530" s="14">
        <f>IF(A530="","",YEAR(A530))</f>
        <v/>
      </c>
    </row>
    <row r="531">
      <c r="A531" s="15" t="n"/>
      <c r="B531" s="10" t="n"/>
      <c r="C531" s="14">
        <f>IF(B531="","",IFERROR(INDEX('Sản phẩm'!$B$5:$B$304,MATCH(B531,'Sản phẩm'!$A$5:$A$304,0)),""))</f>
        <v/>
      </c>
      <c r="D531" s="12" t="n"/>
      <c r="E531" s="11" t="n"/>
      <c r="F531" s="16">
        <f>IF(OR(D531="",E531=""),"",D531*E531)</f>
        <v/>
      </c>
      <c r="G531" s="10" t="n"/>
      <c r="H531" s="14">
        <f>IF(A531="","",MONTH(A531))</f>
        <v/>
      </c>
      <c r="I531" s="14">
        <f>IF(A531="","",YEAR(A531))</f>
        <v/>
      </c>
    </row>
    <row r="532">
      <c r="A532" s="15" t="n"/>
      <c r="B532" s="10" t="n"/>
      <c r="C532" s="14">
        <f>IF(B532="","",IFERROR(INDEX('Sản phẩm'!$B$5:$B$304,MATCH(B532,'Sản phẩm'!$A$5:$A$304,0)),""))</f>
        <v/>
      </c>
      <c r="D532" s="12" t="n"/>
      <c r="E532" s="11" t="n"/>
      <c r="F532" s="16">
        <f>IF(OR(D532="",E532=""),"",D532*E532)</f>
        <v/>
      </c>
      <c r="G532" s="10" t="n"/>
      <c r="H532" s="14">
        <f>IF(A532="","",MONTH(A532))</f>
        <v/>
      </c>
      <c r="I532" s="14">
        <f>IF(A532="","",YEAR(A532))</f>
        <v/>
      </c>
    </row>
    <row r="533">
      <c r="A533" s="15" t="n"/>
      <c r="B533" s="10" t="n"/>
      <c r="C533" s="14">
        <f>IF(B533="","",IFERROR(INDEX('Sản phẩm'!$B$5:$B$304,MATCH(B533,'Sản phẩm'!$A$5:$A$304,0)),""))</f>
        <v/>
      </c>
      <c r="D533" s="12" t="n"/>
      <c r="E533" s="11" t="n"/>
      <c r="F533" s="16">
        <f>IF(OR(D533="",E533=""),"",D533*E533)</f>
        <v/>
      </c>
      <c r="G533" s="10" t="n"/>
      <c r="H533" s="14">
        <f>IF(A533="","",MONTH(A533))</f>
        <v/>
      </c>
      <c r="I533" s="14">
        <f>IF(A533="","",YEAR(A533))</f>
        <v/>
      </c>
    </row>
    <row r="534">
      <c r="A534" s="15" t="n"/>
      <c r="B534" s="10" t="n"/>
      <c r="C534" s="14">
        <f>IF(B534="","",IFERROR(INDEX('Sản phẩm'!$B$5:$B$304,MATCH(B534,'Sản phẩm'!$A$5:$A$304,0)),""))</f>
        <v/>
      </c>
      <c r="D534" s="12" t="n"/>
      <c r="E534" s="11" t="n"/>
      <c r="F534" s="16">
        <f>IF(OR(D534="",E534=""),"",D534*E534)</f>
        <v/>
      </c>
      <c r="G534" s="10" t="n"/>
      <c r="H534" s="14">
        <f>IF(A534="","",MONTH(A534))</f>
        <v/>
      </c>
      <c r="I534" s="14">
        <f>IF(A534="","",YEAR(A534))</f>
        <v/>
      </c>
    </row>
    <row r="535">
      <c r="A535" s="15" t="n"/>
      <c r="B535" s="10" t="n"/>
      <c r="C535" s="14">
        <f>IF(B535="","",IFERROR(INDEX('Sản phẩm'!$B$5:$B$304,MATCH(B535,'Sản phẩm'!$A$5:$A$304,0)),""))</f>
        <v/>
      </c>
      <c r="D535" s="12" t="n"/>
      <c r="E535" s="11" t="n"/>
      <c r="F535" s="16">
        <f>IF(OR(D535="",E535=""),"",D535*E535)</f>
        <v/>
      </c>
      <c r="G535" s="10" t="n"/>
      <c r="H535" s="14">
        <f>IF(A535="","",MONTH(A535))</f>
        <v/>
      </c>
      <c r="I535" s="14">
        <f>IF(A535="","",YEAR(A535))</f>
        <v/>
      </c>
    </row>
    <row r="536">
      <c r="A536" s="15" t="n"/>
      <c r="B536" s="10" t="n"/>
      <c r="C536" s="14">
        <f>IF(B536="","",IFERROR(INDEX('Sản phẩm'!$B$5:$B$304,MATCH(B536,'Sản phẩm'!$A$5:$A$304,0)),""))</f>
        <v/>
      </c>
      <c r="D536" s="12" t="n"/>
      <c r="E536" s="11" t="n"/>
      <c r="F536" s="16">
        <f>IF(OR(D536="",E536=""),"",D536*E536)</f>
        <v/>
      </c>
      <c r="G536" s="10" t="n"/>
      <c r="H536" s="14">
        <f>IF(A536="","",MONTH(A536))</f>
        <v/>
      </c>
      <c r="I536" s="14">
        <f>IF(A536="","",YEAR(A536))</f>
        <v/>
      </c>
    </row>
    <row r="537">
      <c r="A537" s="15" t="n"/>
      <c r="B537" s="10" t="n"/>
      <c r="C537" s="14">
        <f>IF(B537="","",IFERROR(INDEX('Sản phẩm'!$B$5:$B$304,MATCH(B537,'Sản phẩm'!$A$5:$A$304,0)),""))</f>
        <v/>
      </c>
      <c r="D537" s="12" t="n"/>
      <c r="E537" s="11" t="n"/>
      <c r="F537" s="16">
        <f>IF(OR(D537="",E537=""),"",D537*E537)</f>
        <v/>
      </c>
      <c r="G537" s="10" t="n"/>
      <c r="H537" s="14">
        <f>IF(A537="","",MONTH(A537))</f>
        <v/>
      </c>
      <c r="I537" s="14">
        <f>IF(A537="","",YEAR(A537))</f>
        <v/>
      </c>
    </row>
    <row r="538">
      <c r="A538" s="15" t="n"/>
      <c r="B538" s="10" t="n"/>
      <c r="C538" s="14">
        <f>IF(B538="","",IFERROR(INDEX('Sản phẩm'!$B$5:$B$304,MATCH(B538,'Sản phẩm'!$A$5:$A$304,0)),""))</f>
        <v/>
      </c>
      <c r="D538" s="12" t="n"/>
      <c r="E538" s="11" t="n"/>
      <c r="F538" s="16">
        <f>IF(OR(D538="",E538=""),"",D538*E538)</f>
        <v/>
      </c>
      <c r="G538" s="10" t="n"/>
      <c r="H538" s="14">
        <f>IF(A538="","",MONTH(A538))</f>
        <v/>
      </c>
      <c r="I538" s="14">
        <f>IF(A538="","",YEAR(A538))</f>
        <v/>
      </c>
    </row>
    <row r="539">
      <c r="A539" s="15" t="n"/>
      <c r="B539" s="10" t="n"/>
      <c r="C539" s="14">
        <f>IF(B539="","",IFERROR(INDEX('Sản phẩm'!$B$5:$B$304,MATCH(B539,'Sản phẩm'!$A$5:$A$304,0)),""))</f>
        <v/>
      </c>
      <c r="D539" s="12" t="n"/>
      <c r="E539" s="11" t="n"/>
      <c r="F539" s="16">
        <f>IF(OR(D539="",E539=""),"",D539*E539)</f>
        <v/>
      </c>
      <c r="G539" s="10" t="n"/>
      <c r="H539" s="14">
        <f>IF(A539="","",MONTH(A539))</f>
        <v/>
      </c>
      <c r="I539" s="14">
        <f>IF(A539="","",YEAR(A539))</f>
        <v/>
      </c>
    </row>
    <row r="540">
      <c r="A540" s="15" t="n"/>
      <c r="B540" s="10" t="n"/>
      <c r="C540" s="14">
        <f>IF(B540="","",IFERROR(INDEX('Sản phẩm'!$B$5:$B$304,MATCH(B540,'Sản phẩm'!$A$5:$A$304,0)),""))</f>
        <v/>
      </c>
      <c r="D540" s="12" t="n"/>
      <c r="E540" s="11" t="n"/>
      <c r="F540" s="16">
        <f>IF(OR(D540="",E540=""),"",D540*E540)</f>
        <v/>
      </c>
      <c r="G540" s="10" t="n"/>
      <c r="H540" s="14">
        <f>IF(A540="","",MONTH(A540))</f>
        <v/>
      </c>
      <c r="I540" s="14">
        <f>IF(A540="","",YEAR(A540))</f>
        <v/>
      </c>
    </row>
    <row r="541">
      <c r="A541" s="15" t="n"/>
      <c r="B541" s="10" t="n"/>
      <c r="C541" s="14">
        <f>IF(B541="","",IFERROR(INDEX('Sản phẩm'!$B$5:$B$304,MATCH(B541,'Sản phẩm'!$A$5:$A$304,0)),""))</f>
        <v/>
      </c>
      <c r="D541" s="12" t="n"/>
      <c r="E541" s="11" t="n"/>
      <c r="F541" s="16">
        <f>IF(OR(D541="",E541=""),"",D541*E541)</f>
        <v/>
      </c>
      <c r="G541" s="10" t="n"/>
      <c r="H541" s="14">
        <f>IF(A541="","",MONTH(A541))</f>
        <v/>
      </c>
      <c r="I541" s="14">
        <f>IF(A541="","",YEAR(A541))</f>
        <v/>
      </c>
    </row>
    <row r="542">
      <c r="A542" s="15" t="n"/>
      <c r="B542" s="10" t="n"/>
      <c r="C542" s="14">
        <f>IF(B542="","",IFERROR(INDEX('Sản phẩm'!$B$5:$B$304,MATCH(B542,'Sản phẩm'!$A$5:$A$304,0)),""))</f>
        <v/>
      </c>
      <c r="D542" s="12" t="n"/>
      <c r="E542" s="11" t="n"/>
      <c r="F542" s="16">
        <f>IF(OR(D542="",E542=""),"",D542*E542)</f>
        <v/>
      </c>
      <c r="G542" s="10" t="n"/>
      <c r="H542" s="14">
        <f>IF(A542="","",MONTH(A542))</f>
        <v/>
      </c>
      <c r="I542" s="14">
        <f>IF(A542="","",YEAR(A542))</f>
        <v/>
      </c>
    </row>
    <row r="543">
      <c r="A543" s="15" t="n"/>
      <c r="B543" s="10" t="n"/>
      <c r="C543" s="14">
        <f>IF(B543="","",IFERROR(INDEX('Sản phẩm'!$B$5:$B$304,MATCH(B543,'Sản phẩm'!$A$5:$A$304,0)),""))</f>
        <v/>
      </c>
      <c r="D543" s="12" t="n"/>
      <c r="E543" s="11" t="n"/>
      <c r="F543" s="16">
        <f>IF(OR(D543="",E543=""),"",D543*E543)</f>
        <v/>
      </c>
      <c r="G543" s="10" t="n"/>
      <c r="H543" s="14">
        <f>IF(A543="","",MONTH(A543))</f>
        <v/>
      </c>
      <c r="I543" s="14">
        <f>IF(A543="","",YEAR(A543))</f>
        <v/>
      </c>
    </row>
    <row r="544">
      <c r="A544" s="15" t="n"/>
      <c r="B544" s="10" t="n"/>
      <c r="C544" s="14">
        <f>IF(B544="","",IFERROR(INDEX('Sản phẩm'!$B$5:$B$304,MATCH(B544,'Sản phẩm'!$A$5:$A$304,0)),""))</f>
        <v/>
      </c>
      <c r="D544" s="12" t="n"/>
      <c r="E544" s="11" t="n"/>
      <c r="F544" s="16">
        <f>IF(OR(D544="",E544=""),"",D544*E544)</f>
        <v/>
      </c>
      <c r="G544" s="10" t="n"/>
      <c r="H544" s="14">
        <f>IF(A544="","",MONTH(A544))</f>
        <v/>
      </c>
      <c r="I544" s="14">
        <f>IF(A544="","",YEAR(A544))</f>
        <v/>
      </c>
    </row>
    <row r="545">
      <c r="A545" s="15" t="n"/>
      <c r="B545" s="10" t="n"/>
      <c r="C545" s="14">
        <f>IF(B545="","",IFERROR(INDEX('Sản phẩm'!$B$5:$B$304,MATCH(B545,'Sản phẩm'!$A$5:$A$304,0)),""))</f>
        <v/>
      </c>
      <c r="D545" s="12" t="n"/>
      <c r="E545" s="11" t="n"/>
      <c r="F545" s="16">
        <f>IF(OR(D545="",E545=""),"",D545*E545)</f>
        <v/>
      </c>
      <c r="G545" s="10" t="n"/>
      <c r="H545" s="14">
        <f>IF(A545="","",MONTH(A545))</f>
        <v/>
      </c>
      <c r="I545" s="14">
        <f>IF(A545="","",YEAR(A545))</f>
        <v/>
      </c>
    </row>
    <row r="546">
      <c r="A546" s="15" t="n"/>
      <c r="B546" s="10" t="n"/>
      <c r="C546" s="14">
        <f>IF(B546="","",IFERROR(INDEX('Sản phẩm'!$B$5:$B$304,MATCH(B546,'Sản phẩm'!$A$5:$A$304,0)),""))</f>
        <v/>
      </c>
      <c r="D546" s="12" t="n"/>
      <c r="E546" s="11" t="n"/>
      <c r="F546" s="16">
        <f>IF(OR(D546="",E546=""),"",D546*E546)</f>
        <v/>
      </c>
      <c r="G546" s="10" t="n"/>
      <c r="H546" s="14">
        <f>IF(A546="","",MONTH(A546))</f>
        <v/>
      </c>
      <c r="I546" s="14">
        <f>IF(A546="","",YEAR(A546))</f>
        <v/>
      </c>
    </row>
    <row r="547">
      <c r="A547" s="15" t="n"/>
      <c r="B547" s="10" t="n"/>
      <c r="C547" s="14">
        <f>IF(B547="","",IFERROR(INDEX('Sản phẩm'!$B$5:$B$304,MATCH(B547,'Sản phẩm'!$A$5:$A$304,0)),""))</f>
        <v/>
      </c>
      <c r="D547" s="12" t="n"/>
      <c r="E547" s="11" t="n"/>
      <c r="F547" s="16">
        <f>IF(OR(D547="",E547=""),"",D547*E547)</f>
        <v/>
      </c>
      <c r="G547" s="10" t="n"/>
      <c r="H547" s="14">
        <f>IF(A547="","",MONTH(A547))</f>
        <v/>
      </c>
      <c r="I547" s="14">
        <f>IF(A547="","",YEAR(A547))</f>
        <v/>
      </c>
    </row>
    <row r="548">
      <c r="A548" s="15" t="n"/>
      <c r="B548" s="10" t="n"/>
      <c r="C548" s="14">
        <f>IF(B548="","",IFERROR(INDEX('Sản phẩm'!$B$5:$B$304,MATCH(B548,'Sản phẩm'!$A$5:$A$304,0)),""))</f>
        <v/>
      </c>
      <c r="D548" s="12" t="n"/>
      <c r="E548" s="11" t="n"/>
      <c r="F548" s="16">
        <f>IF(OR(D548="",E548=""),"",D548*E548)</f>
        <v/>
      </c>
      <c r="G548" s="10" t="n"/>
      <c r="H548" s="14">
        <f>IF(A548="","",MONTH(A548))</f>
        <v/>
      </c>
      <c r="I548" s="14">
        <f>IF(A548="","",YEAR(A548))</f>
        <v/>
      </c>
    </row>
    <row r="549">
      <c r="A549" s="15" t="n"/>
      <c r="B549" s="10" t="n"/>
      <c r="C549" s="14">
        <f>IF(B549="","",IFERROR(INDEX('Sản phẩm'!$B$5:$B$304,MATCH(B549,'Sản phẩm'!$A$5:$A$304,0)),""))</f>
        <v/>
      </c>
      <c r="D549" s="12" t="n"/>
      <c r="E549" s="11" t="n"/>
      <c r="F549" s="16">
        <f>IF(OR(D549="",E549=""),"",D549*E549)</f>
        <v/>
      </c>
      <c r="G549" s="10" t="n"/>
      <c r="H549" s="14">
        <f>IF(A549="","",MONTH(A549))</f>
        <v/>
      </c>
      <c r="I549" s="14">
        <f>IF(A549="","",YEAR(A549))</f>
        <v/>
      </c>
    </row>
    <row r="550">
      <c r="A550" s="15" t="n"/>
      <c r="B550" s="10" t="n"/>
      <c r="C550" s="14">
        <f>IF(B550="","",IFERROR(INDEX('Sản phẩm'!$B$5:$B$304,MATCH(B550,'Sản phẩm'!$A$5:$A$304,0)),""))</f>
        <v/>
      </c>
      <c r="D550" s="12" t="n"/>
      <c r="E550" s="11" t="n"/>
      <c r="F550" s="16">
        <f>IF(OR(D550="",E550=""),"",D550*E550)</f>
        <v/>
      </c>
      <c r="G550" s="10" t="n"/>
      <c r="H550" s="14">
        <f>IF(A550="","",MONTH(A550))</f>
        <v/>
      </c>
      <c r="I550" s="14">
        <f>IF(A550="","",YEAR(A550))</f>
        <v/>
      </c>
    </row>
    <row r="551">
      <c r="A551" s="15" t="n"/>
      <c r="B551" s="10" t="n"/>
      <c r="C551" s="14">
        <f>IF(B551="","",IFERROR(INDEX('Sản phẩm'!$B$5:$B$304,MATCH(B551,'Sản phẩm'!$A$5:$A$304,0)),""))</f>
        <v/>
      </c>
      <c r="D551" s="12" t="n"/>
      <c r="E551" s="11" t="n"/>
      <c r="F551" s="16">
        <f>IF(OR(D551="",E551=""),"",D551*E551)</f>
        <v/>
      </c>
      <c r="G551" s="10" t="n"/>
      <c r="H551" s="14">
        <f>IF(A551="","",MONTH(A551))</f>
        <v/>
      </c>
      <c r="I551" s="14">
        <f>IF(A551="","",YEAR(A551))</f>
        <v/>
      </c>
    </row>
    <row r="552">
      <c r="A552" s="15" t="n"/>
      <c r="B552" s="10" t="n"/>
      <c r="C552" s="14">
        <f>IF(B552="","",IFERROR(INDEX('Sản phẩm'!$B$5:$B$304,MATCH(B552,'Sản phẩm'!$A$5:$A$304,0)),""))</f>
        <v/>
      </c>
      <c r="D552" s="12" t="n"/>
      <c r="E552" s="11" t="n"/>
      <c r="F552" s="16">
        <f>IF(OR(D552="",E552=""),"",D552*E552)</f>
        <v/>
      </c>
      <c r="G552" s="10" t="n"/>
      <c r="H552" s="14">
        <f>IF(A552="","",MONTH(A552))</f>
        <v/>
      </c>
      <c r="I552" s="14">
        <f>IF(A552="","",YEAR(A552))</f>
        <v/>
      </c>
    </row>
    <row r="553">
      <c r="A553" s="15" t="n"/>
      <c r="B553" s="10" t="n"/>
      <c r="C553" s="14">
        <f>IF(B553="","",IFERROR(INDEX('Sản phẩm'!$B$5:$B$304,MATCH(B553,'Sản phẩm'!$A$5:$A$304,0)),""))</f>
        <v/>
      </c>
      <c r="D553" s="12" t="n"/>
      <c r="E553" s="11" t="n"/>
      <c r="F553" s="16">
        <f>IF(OR(D553="",E553=""),"",D553*E553)</f>
        <v/>
      </c>
      <c r="G553" s="10" t="n"/>
      <c r="H553" s="14">
        <f>IF(A553="","",MONTH(A553))</f>
        <v/>
      </c>
      <c r="I553" s="14">
        <f>IF(A553="","",YEAR(A553))</f>
        <v/>
      </c>
    </row>
    <row r="554">
      <c r="A554" s="15" t="n"/>
      <c r="B554" s="10" t="n"/>
      <c r="C554" s="14">
        <f>IF(B554="","",IFERROR(INDEX('Sản phẩm'!$B$5:$B$304,MATCH(B554,'Sản phẩm'!$A$5:$A$304,0)),""))</f>
        <v/>
      </c>
      <c r="D554" s="12" t="n"/>
      <c r="E554" s="11" t="n"/>
      <c r="F554" s="16">
        <f>IF(OR(D554="",E554=""),"",D554*E554)</f>
        <v/>
      </c>
      <c r="G554" s="10" t="n"/>
      <c r="H554" s="14">
        <f>IF(A554="","",MONTH(A554))</f>
        <v/>
      </c>
      <c r="I554" s="14">
        <f>IF(A554="","",YEAR(A554))</f>
        <v/>
      </c>
    </row>
    <row r="555">
      <c r="A555" s="15" t="n"/>
      <c r="B555" s="10" t="n"/>
      <c r="C555" s="14">
        <f>IF(B555="","",IFERROR(INDEX('Sản phẩm'!$B$5:$B$304,MATCH(B555,'Sản phẩm'!$A$5:$A$304,0)),""))</f>
        <v/>
      </c>
      <c r="D555" s="12" t="n"/>
      <c r="E555" s="11" t="n"/>
      <c r="F555" s="16">
        <f>IF(OR(D555="",E555=""),"",D555*E555)</f>
        <v/>
      </c>
      <c r="G555" s="10" t="n"/>
      <c r="H555" s="14">
        <f>IF(A555="","",MONTH(A555))</f>
        <v/>
      </c>
      <c r="I555" s="14">
        <f>IF(A555="","",YEAR(A555))</f>
        <v/>
      </c>
    </row>
    <row r="556">
      <c r="A556" s="15" t="n"/>
      <c r="B556" s="10" t="n"/>
      <c r="C556" s="14">
        <f>IF(B556="","",IFERROR(INDEX('Sản phẩm'!$B$5:$B$304,MATCH(B556,'Sản phẩm'!$A$5:$A$304,0)),""))</f>
        <v/>
      </c>
      <c r="D556" s="12" t="n"/>
      <c r="E556" s="11" t="n"/>
      <c r="F556" s="16">
        <f>IF(OR(D556="",E556=""),"",D556*E556)</f>
        <v/>
      </c>
      <c r="G556" s="10" t="n"/>
      <c r="H556" s="14">
        <f>IF(A556="","",MONTH(A556))</f>
        <v/>
      </c>
      <c r="I556" s="14">
        <f>IF(A556="","",YEAR(A556))</f>
        <v/>
      </c>
    </row>
    <row r="557">
      <c r="A557" s="15" t="n"/>
      <c r="B557" s="10" t="n"/>
      <c r="C557" s="14">
        <f>IF(B557="","",IFERROR(INDEX('Sản phẩm'!$B$5:$B$304,MATCH(B557,'Sản phẩm'!$A$5:$A$304,0)),""))</f>
        <v/>
      </c>
      <c r="D557" s="12" t="n"/>
      <c r="E557" s="11" t="n"/>
      <c r="F557" s="16">
        <f>IF(OR(D557="",E557=""),"",D557*E557)</f>
        <v/>
      </c>
      <c r="G557" s="10" t="n"/>
      <c r="H557" s="14">
        <f>IF(A557="","",MONTH(A557))</f>
        <v/>
      </c>
      <c r="I557" s="14">
        <f>IF(A557="","",YEAR(A557))</f>
        <v/>
      </c>
    </row>
    <row r="558">
      <c r="A558" s="15" t="n"/>
      <c r="B558" s="10" t="n"/>
      <c r="C558" s="14">
        <f>IF(B558="","",IFERROR(INDEX('Sản phẩm'!$B$5:$B$304,MATCH(B558,'Sản phẩm'!$A$5:$A$304,0)),""))</f>
        <v/>
      </c>
      <c r="D558" s="12" t="n"/>
      <c r="E558" s="11" t="n"/>
      <c r="F558" s="16">
        <f>IF(OR(D558="",E558=""),"",D558*E558)</f>
        <v/>
      </c>
      <c r="G558" s="10" t="n"/>
      <c r="H558" s="14">
        <f>IF(A558="","",MONTH(A558))</f>
        <v/>
      </c>
      <c r="I558" s="14">
        <f>IF(A558="","",YEAR(A558))</f>
        <v/>
      </c>
    </row>
    <row r="559">
      <c r="A559" s="15" t="n"/>
      <c r="B559" s="10" t="n"/>
      <c r="C559" s="14">
        <f>IF(B559="","",IFERROR(INDEX('Sản phẩm'!$B$5:$B$304,MATCH(B559,'Sản phẩm'!$A$5:$A$304,0)),""))</f>
        <v/>
      </c>
      <c r="D559" s="12" t="n"/>
      <c r="E559" s="11" t="n"/>
      <c r="F559" s="16">
        <f>IF(OR(D559="",E559=""),"",D559*E559)</f>
        <v/>
      </c>
      <c r="G559" s="10" t="n"/>
      <c r="H559" s="14">
        <f>IF(A559="","",MONTH(A559))</f>
        <v/>
      </c>
      <c r="I559" s="14">
        <f>IF(A559="","",YEAR(A559))</f>
        <v/>
      </c>
    </row>
    <row r="560">
      <c r="A560" s="15" t="n"/>
      <c r="B560" s="10" t="n"/>
      <c r="C560" s="14">
        <f>IF(B560="","",IFERROR(INDEX('Sản phẩm'!$B$5:$B$304,MATCH(B560,'Sản phẩm'!$A$5:$A$304,0)),""))</f>
        <v/>
      </c>
      <c r="D560" s="12" t="n"/>
      <c r="E560" s="11" t="n"/>
      <c r="F560" s="16">
        <f>IF(OR(D560="",E560=""),"",D560*E560)</f>
        <v/>
      </c>
      <c r="G560" s="10" t="n"/>
      <c r="H560" s="14">
        <f>IF(A560="","",MONTH(A560))</f>
        <v/>
      </c>
      <c r="I560" s="14">
        <f>IF(A560="","",YEAR(A560))</f>
        <v/>
      </c>
    </row>
    <row r="561">
      <c r="A561" s="15" t="n"/>
      <c r="B561" s="10" t="n"/>
      <c r="C561" s="14">
        <f>IF(B561="","",IFERROR(INDEX('Sản phẩm'!$B$5:$B$304,MATCH(B561,'Sản phẩm'!$A$5:$A$304,0)),""))</f>
        <v/>
      </c>
      <c r="D561" s="12" t="n"/>
      <c r="E561" s="11" t="n"/>
      <c r="F561" s="16">
        <f>IF(OR(D561="",E561=""),"",D561*E561)</f>
        <v/>
      </c>
      <c r="G561" s="10" t="n"/>
      <c r="H561" s="14">
        <f>IF(A561="","",MONTH(A561))</f>
        <v/>
      </c>
      <c r="I561" s="14">
        <f>IF(A561="","",YEAR(A561))</f>
        <v/>
      </c>
    </row>
    <row r="562">
      <c r="A562" s="15" t="n"/>
      <c r="B562" s="10" t="n"/>
      <c r="C562" s="14">
        <f>IF(B562="","",IFERROR(INDEX('Sản phẩm'!$B$5:$B$304,MATCH(B562,'Sản phẩm'!$A$5:$A$304,0)),""))</f>
        <v/>
      </c>
      <c r="D562" s="12" t="n"/>
      <c r="E562" s="11" t="n"/>
      <c r="F562" s="16">
        <f>IF(OR(D562="",E562=""),"",D562*E562)</f>
        <v/>
      </c>
      <c r="G562" s="10" t="n"/>
      <c r="H562" s="14">
        <f>IF(A562="","",MONTH(A562))</f>
        <v/>
      </c>
      <c r="I562" s="14">
        <f>IF(A562="","",YEAR(A562))</f>
        <v/>
      </c>
    </row>
    <row r="563">
      <c r="A563" s="15" t="n"/>
      <c r="B563" s="10" t="n"/>
      <c r="C563" s="14">
        <f>IF(B563="","",IFERROR(INDEX('Sản phẩm'!$B$5:$B$304,MATCH(B563,'Sản phẩm'!$A$5:$A$304,0)),""))</f>
        <v/>
      </c>
      <c r="D563" s="12" t="n"/>
      <c r="E563" s="11" t="n"/>
      <c r="F563" s="16">
        <f>IF(OR(D563="",E563=""),"",D563*E563)</f>
        <v/>
      </c>
      <c r="G563" s="10" t="n"/>
      <c r="H563" s="14">
        <f>IF(A563="","",MONTH(A563))</f>
        <v/>
      </c>
      <c r="I563" s="14">
        <f>IF(A563="","",YEAR(A563))</f>
        <v/>
      </c>
    </row>
    <row r="564">
      <c r="A564" s="15" t="n"/>
      <c r="B564" s="10" t="n"/>
      <c r="C564" s="14">
        <f>IF(B564="","",IFERROR(INDEX('Sản phẩm'!$B$5:$B$304,MATCH(B564,'Sản phẩm'!$A$5:$A$304,0)),""))</f>
        <v/>
      </c>
      <c r="D564" s="12" t="n"/>
      <c r="E564" s="11" t="n"/>
      <c r="F564" s="16">
        <f>IF(OR(D564="",E564=""),"",D564*E564)</f>
        <v/>
      </c>
      <c r="G564" s="10" t="n"/>
      <c r="H564" s="14">
        <f>IF(A564="","",MONTH(A564))</f>
        <v/>
      </c>
      <c r="I564" s="14">
        <f>IF(A564="","",YEAR(A564))</f>
        <v/>
      </c>
    </row>
    <row r="565">
      <c r="A565" s="15" t="n"/>
      <c r="B565" s="10" t="n"/>
      <c r="C565" s="14">
        <f>IF(B565="","",IFERROR(INDEX('Sản phẩm'!$B$5:$B$304,MATCH(B565,'Sản phẩm'!$A$5:$A$304,0)),""))</f>
        <v/>
      </c>
      <c r="D565" s="12" t="n"/>
      <c r="E565" s="11" t="n"/>
      <c r="F565" s="16">
        <f>IF(OR(D565="",E565=""),"",D565*E565)</f>
        <v/>
      </c>
      <c r="G565" s="10" t="n"/>
      <c r="H565" s="14">
        <f>IF(A565="","",MONTH(A565))</f>
        <v/>
      </c>
      <c r="I565" s="14">
        <f>IF(A565="","",YEAR(A565))</f>
        <v/>
      </c>
    </row>
    <row r="566">
      <c r="A566" s="15" t="n"/>
      <c r="B566" s="10" t="n"/>
      <c r="C566" s="14">
        <f>IF(B566="","",IFERROR(INDEX('Sản phẩm'!$B$5:$B$304,MATCH(B566,'Sản phẩm'!$A$5:$A$304,0)),""))</f>
        <v/>
      </c>
      <c r="D566" s="12" t="n"/>
      <c r="E566" s="11" t="n"/>
      <c r="F566" s="16">
        <f>IF(OR(D566="",E566=""),"",D566*E566)</f>
        <v/>
      </c>
      <c r="G566" s="10" t="n"/>
      <c r="H566" s="14">
        <f>IF(A566="","",MONTH(A566))</f>
        <v/>
      </c>
      <c r="I566" s="14">
        <f>IF(A566="","",YEAR(A566))</f>
        <v/>
      </c>
    </row>
    <row r="567">
      <c r="A567" s="15" t="n"/>
      <c r="B567" s="10" t="n"/>
      <c r="C567" s="14">
        <f>IF(B567="","",IFERROR(INDEX('Sản phẩm'!$B$5:$B$304,MATCH(B567,'Sản phẩm'!$A$5:$A$304,0)),""))</f>
        <v/>
      </c>
      <c r="D567" s="12" t="n"/>
      <c r="E567" s="11" t="n"/>
      <c r="F567" s="16">
        <f>IF(OR(D567="",E567=""),"",D567*E567)</f>
        <v/>
      </c>
      <c r="G567" s="10" t="n"/>
      <c r="H567" s="14">
        <f>IF(A567="","",MONTH(A567))</f>
        <v/>
      </c>
      <c r="I567" s="14">
        <f>IF(A567="","",YEAR(A567))</f>
        <v/>
      </c>
    </row>
    <row r="568">
      <c r="A568" s="15" t="n"/>
      <c r="B568" s="10" t="n"/>
      <c r="C568" s="14">
        <f>IF(B568="","",IFERROR(INDEX('Sản phẩm'!$B$5:$B$304,MATCH(B568,'Sản phẩm'!$A$5:$A$304,0)),""))</f>
        <v/>
      </c>
      <c r="D568" s="12" t="n"/>
      <c r="E568" s="11" t="n"/>
      <c r="F568" s="16">
        <f>IF(OR(D568="",E568=""),"",D568*E568)</f>
        <v/>
      </c>
      <c r="G568" s="10" t="n"/>
      <c r="H568" s="14">
        <f>IF(A568="","",MONTH(A568))</f>
        <v/>
      </c>
      <c r="I568" s="14">
        <f>IF(A568="","",YEAR(A568))</f>
        <v/>
      </c>
    </row>
    <row r="569">
      <c r="A569" s="15" t="n"/>
      <c r="B569" s="10" t="n"/>
      <c r="C569" s="14">
        <f>IF(B569="","",IFERROR(INDEX('Sản phẩm'!$B$5:$B$304,MATCH(B569,'Sản phẩm'!$A$5:$A$304,0)),""))</f>
        <v/>
      </c>
      <c r="D569" s="12" t="n"/>
      <c r="E569" s="11" t="n"/>
      <c r="F569" s="16">
        <f>IF(OR(D569="",E569=""),"",D569*E569)</f>
        <v/>
      </c>
      <c r="G569" s="10" t="n"/>
      <c r="H569" s="14">
        <f>IF(A569="","",MONTH(A569))</f>
        <v/>
      </c>
      <c r="I569" s="14">
        <f>IF(A569="","",YEAR(A569))</f>
        <v/>
      </c>
    </row>
    <row r="570">
      <c r="A570" s="15" t="n"/>
      <c r="B570" s="10" t="n"/>
      <c r="C570" s="14">
        <f>IF(B570="","",IFERROR(INDEX('Sản phẩm'!$B$5:$B$304,MATCH(B570,'Sản phẩm'!$A$5:$A$304,0)),""))</f>
        <v/>
      </c>
      <c r="D570" s="12" t="n"/>
      <c r="E570" s="11" t="n"/>
      <c r="F570" s="16">
        <f>IF(OR(D570="",E570=""),"",D570*E570)</f>
        <v/>
      </c>
      <c r="G570" s="10" t="n"/>
      <c r="H570" s="14">
        <f>IF(A570="","",MONTH(A570))</f>
        <v/>
      </c>
      <c r="I570" s="14">
        <f>IF(A570="","",YEAR(A570))</f>
        <v/>
      </c>
    </row>
    <row r="571">
      <c r="A571" s="15" t="n"/>
      <c r="B571" s="10" t="n"/>
      <c r="C571" s="14">
        <f>IF(B571="","",IFERROR(INDEX('Sản phẩm'!$B$5:$B$304,MATCH(B571,'Sản phẩm'!$A$5:$A$304,0)),""))</f>
        <v/>
      </c>
      <c r="D571" s="12" t="n"/>
      <c r="E571" s="11" t="n"/>
      <c r="F571" s="16">
        <f>IF(OR(D571="",E571=""),"",D571*E571)</f>
        <v/>
      </c>
      <c r="G571" s="10" t="n"/>
      <c r="H571" s="14">
        <f>IF(A571="","",MONTH(A571))</f>
        <v/>
      </c>
      <c r="I571" s="14">
        <f>IF(A571="","",YEAR(A571))</f>
        <v/>
      </c>
    </row>
    <row r="572">
      <c r="A572" s="15" t="n"/>
      <c r="B572" s="10" t="n"/>
      <c r="C572" s="14">
        <f>IF(B572="","",IFERROR(INDEX('Sản phẩm'!$B$5:$B$304,MATCH(B572,'Sản phẩm'!$A$5:$A$304,0)),""))</f>
        <v/>
      </c>
      <c r="D572" s="12" t="n"/>
      <c r="E572" s="11" t="n"/>
      <c r="F572" s="16">
        <f>IF(OR(D572="",E572=""),"",D572*E572)</f>
        <v/>
      </c>
      <c r="G572" s="10" t="n"/>
      <c r="H572" s="14">
        <f>IF(A572="","",MONTH(A572))</f>
        <v/>
      </c>
      <c r="I572" s="14">
        <f>IF(A572="","",YEAR(A572))</f>
        <v/>
      </c>
    </row>
    <row r="573">
      <c r="A573" s="15" t="n"/>
      <c r="B573" s="10" t="n"/>
      <c r="C573" s="14">
        <f>IF(B573="","",IFERROR(INDEX('Sản phẩm'!$B$5:$B$304,MATCH(B573,'Sản phẩm'!$A$5:$A$304,0)),""))</f>
        <v/>
      </c>
      <c r="D573" s="12" t="n"/>
      <c r="E573" s="11" t="n"/>
      <c r="F573" s="16">
        <f>IF(OR(D573="",E573=""),"",D573*E573)</f>
        <v/>
      </c>
      <c r="G573" s="10" t="n"/>
      <c r="H573" s="14">
        <f>IF(A573="","",MONTH(A573))</f>
        <v/>
      </c>
      <c r="I573" s="14">
        <f>IF(A573="","",YEAR(A573))</f>
        <v/>
      </c>
    </row>
    <row r="574">
      <c r="A574" s="15" t="n"/>
      <c r="B574" s="10" t="n"/>
      <c r="C574" s="14">
        <f>IF(B574="","",IFERROR(INDEX('Sản phẩm'!$B$5:$B$304,MATCH(B574,'Sản phẩm'!$A$5:$A$304,0)),""))</f>
        <v/>
      </c>
      <c r="D574" s="12" t="n"/>
      <c r="E574" s="11" t="n"/>
      <c r="F574" s="16">
        <f>IF(OR(D574="",E574=""),"",D574*E574)</f>
        <v/>
      </c>
      <c r="G574" s="10" t="n"/>
      <c r="H574" s="14">
        <f>IF(A574="","",MONTH(A574))</f>
        <v/>
      </c>
      <c r="I574" s="14">
        <f>IF(A574="","",YEAR(A574))</f>
        <v/>
      </c>
    </row>
    <row r="575">
      <c r="A575" s="15" t="n"/>
      <c r="B575" s="10" t="n"/>
      <c r="C575" s="14">
        <f>IF(B575="","",IFERROR(INDEX('Sản phẩm'!$B$5:$B$304,MATCH(B575,'Sản phẩm'!$A$5:$A$304,0)),""))</f>
        <v/>
      </c>
      <c r="D575" s="12" t="n"/>
      <c r="E575" s="11" t="n"/>
      <c r="F575" s="16">
        <f>IF(OR(D575="",E575=""),"",D575*E575)</f>
        <v/>
      </c>
      <c r="G575" s="10" t="n"/>
      <c r="H575" s="14">
        <f>IF(A575="","",MONTH(A575))</f>
        <v/>
      </c>
      <c r="I575" s="14">
        <f>IF(A575="","",YEAR(A575))</f>
        <v/>
      </c>
    </row>
    <row r="576">
      <c r="A576" s="15" t="n"/>
      <c r="B576" s="10" t="n"/>
      <c r="C576" s="14">
        <f>IF(B576="","",IFERROR(INDEX('Sản phẩm'!$B$5:$B$304,MATCH(B576,'Sản phẩm'!$A$5:$A$304,0)),""))</f>
        <v/>
      </c>
      <c r="D576" s="12" t="n"/>
      <c r="E576" s="11" t="n"/>
      <c r="F576" s="16">
        <f>IF(OR(D576="",E576=""),"",D576*E576)</f>
        <v/>
      </c>
      <c r="G576" s="10" t="n"/>
      <c r="H576" s="14">
        <f>IF(A576="","",MONTH(A576))</f>
        <v/>
      </c>
      <c r="I576" s="14">
        <f>IF(A576="","",YEAR(A576))</f>
        <v/>
      </c>
    </row>
    <row r="577">
      <c r="A577" s="15" t="n"/>
      <c r="B577" s="10" t="n"/>
      <c r="C577" s="14">
        <f>IF(B577="","",IFERROR(INDEX('Sản phẩm'!$B$5:$B$304,MATCH(B577,'Sản phẩm'!$A$5:$A$304,0)),""))</f>
        <v/>
      </c>
      <c r="D577" s="12" t="n"/>
      <c r="E577" s="11" t="n"/>
      <c r="F577" s="16">
        <f>IF(OR(D577="",E577=""),"",D577*E577)</f>
        <v/>
      </c>
      <c r="G577" s="10" t="n"/>
      <c r="H577" s="14">
        <f>IF(A577="","",MONTH(A577))</f>
        <v/>
      </c>
      <c r="I577" s="14">
        <f>IF(A577="","",YEAR(A577))</f>
        <v/>
      </c>
    </row>
    <row r="578">
      <c r="A578" s="15" t="n"/>
      <c r="B578" s="10" t="n"/>
      <c r="C578" s="14">
        <f>IF(B578="","",IFERROR(INDEX('Sản phẩm'!$B$5:$B$304,MATCH(B578,'Sản phẩm'!$A$5:$A$304,0)),""))</f>
        <v/>
      </c>
      <c r="D578" s="12" t="n"/>
      <c r="E578" s="11" t="n"/>
      <c r="F578" s="16">
        <f>IF(OR(D578="",E578=""),"",D578*E578)</f>
        <v/>
      </c>
      <c r="G578" s="10" t="n"/>
      <c r="H578" s="14">
        <f>IF(A578="","",MONTH(A578))</f>
        <v/>
      </c>
      <c r="I578" s="14">
        <f>IF(A578="","",YEAR(A578))</f>
        <v/>
      </c>
    </row>
    <row r="579">
      <c r="A579" s="15" t="n"/>
      <c r="B579" s="10" t="n"/>
      <c r="C579" s="14">
        <f>IF(B579="","",IFERROR(INDEX('Sản phẩm'!$B$5:$B$304,MATCH(B579,'Sản phẩm'!$A$5:$A$304,0)),""))</f>
        <v/>
      </c>
      <c r="D579" s="12" t="n"/>
      <c r="E579" s="11" t="n"/>
      <c r="F579" s="16">
        <f>IF(OR(D579="",E579=""),"",D579*E579)</f>
        <v/>
      </c>
      <c r="G579" s="10" t="n"/>
      <c r="H579" s="14">
        <f>IF(A579="","",MONTH(A579))</f>
        <v/>
      </c>
      <c r="I579" s="14">
        <f>IF(A579="","",YEAR(A579))</f>
        <v/>
      </c>
    </row>
    <row r="580">
      <c r="A580" s="15" t="n"/>
      <c r="B580" s="10" t="n"/>
      <c r="C580" s="14">
        <f>IF(B580="","",IFERROR(INDEX('Sản phẩm'!$B$5:$B$304,MATCH(B580,'Sản phẩm'!$A$5:$A$304,0)),""))</f>
        <v/>
      </c>
      <c r="D580" s="12" t="n"/>
      <c r="E580" s="11" t="n"/>
      <c r="F580" s="16">
        <f>IF(OR(D580="",E580=""),"",D580*E580)</f>
        <v/>
      </c>
      <c r="G580" s="10" t="n"/>
      <c r="H580" s="14">
        <f>IF(A580="","",MONTH(A580))</f>
        <v/>
      </c>
      <c r="I580" s="14">
        <f>IF(A580="","",YEAR(A580))</f>
        <v/>
      </c>
    </row>
    <row r="581">
      <c r="A581" s="15" t="n"/>
      <c r="B581" s="10" t="n"/>
      <c r="C581" s="14">
        <f>IF(B581="","",IFERROR(INDEX('Sản phẩm'!$B$5:$B$304,MATCH(B581,'Sản phẩm'!$A$5:$A$304,0)),""))</f>
        <v/>
      </c>
      <c r="D581" s="12" t="n"/>
      <c r="E581" s="11" t="n"/>
      <c r="F581" s="16">
        <f>IF(OR(D581="",E581=""),"",D581*E581)</f>
        <v/>
      </c>
      <c r="G581" s="10" t="n"/>
      <c r="H581" s="14">
        <f>IF(A581="","",MONTH(A581))</f>
        <v/>
      </c>
      <c r="I581" s="14">
        <f>IF(A581="","",YEAR(A581))</f>
        <v/>
      </c>
    </row>
    <row r="582">
      <c r="A582" s="15" t="n"/>
      <c r="B582" s="10" t="n"/>
      <c r="C582" s="14">
        <f>IF(B582="","",IFERROR(INDEX('Sản phẩm'!$B$5:$B$304,MATCH(B582,'Sản phẩm'!$A$5:$A$304,0)),""))</f>
        <v/>
      </c>
      <c r="D582" s="12" t="n"/>
      <c r="E582" s="11" t="n"/>
      <c r="F582" s="16">
        <f>IF(OR(D582="",E582=""),"",D582*E582)</f>
        <v/>
      </c>
      <c r="G582" s="10" t="n"/>
      <c r="H582" s="14">
        <f>IF(A582="","",MONTH(A582))</f>
        <v/>
      </c>
      <c r="I582" s="14">
        <f>IF(A582="","",YEAR(A582))</f>
        <v/>
      </c>
    </row>
    <row r="583">
      <c r="A583" s="15" t="n"/>
      <c r="B583" s="10" t="n"/>
      <c r="C583" s="14">
        <f>IF(B583="","",IFERROR(INDEX('Sản phẩm'!$B$5:$B$304,MATCH(B583,'Sản phẩm'!$A$5:$A$304,0)),""))</f>
        <v/>
      </c>
      <c r="D583" s="12" t="n"/>
      <c r="E583" s="11" t="n"/>
      <c r="F583" s="16">
        <f>IF(OR(D583="",E583=""),"",D583*E583)</f>
        <v/>
      </c>
      <c r="G583" s="10" t="n"/>
      <c r="H583" s="14">
        <f>IF(A583="","",MONTH(A583))</f>
        <v/>
      </c>
      <c r="I583" s="14">
        <f>IF(A583="","",YEAR(A583))</f>
        <v/>
      </c>
    </row>
    <row r="584">
      <c r="A584" s="15" t="n"/>
      <c r="B584" s="10" t="n"/>
      <c r="C584" s="14">
        <f>IF(B584="","",IFERROR(INDEX('Sản phẩm'!$B$5:$B$304,MATCH(B584,'Sản phẩm'!$A$5:$A$304,0)),""))</f>
        <v/>
      </c>
      <c r="D584" s="12" t="n"/>
      <c r="E584" s="11" t="n"/>
      <c r="F584" s="16">
        <f>IF(OR(D584="",E584=""),"",D584*E584)</f>
        <v/>
      </c>
      <c r="G584" s="10" t="n"/>
      <c r="H584" s="14">
        <f>IF(A584="","",MONTH(A584))</f>
        <v/>
      </c>
      <c r="I584" s="14">
        <f>IF(A584="","",YEAR(A584))</f>
        <v/>
      </c>
    </row>
    <row r="585">
      <c r="A585" s="15" t="n"/>
      <c r="B585" s="10" t="n"/>
      <c r="C585" s="14">
        <f>IF(B585="","",IFERROR(INDEX('Sản phẩm'!$B$5:$B$304,MATCH(B585,'Sản phẩm'!$A$5:$A$304,0)),""))</f>
        <v/>
      </c>
      <c r="D585" s="12" t="n"/>
      <c r="E585" s="11" t="n"/>
      <c r="F585" s="16">
        <f>IF(OR(D585="",E585=""),"",D585*E585)</f>
        <v/>
      </c>
      <c r="G585" s="10" t="n"/>
      <c r="H585" s="14">
        <f>IF(A585="","",MONTH(A585))</f>
        <v/>
      </c>
      <c r="I585" s="14">
        <f>IF(A585="","",YEAR(A585))</f>
        <v/>
      </c>
    </row>
    <row r="586">
      <c r="A586" s="15" t="n"/>
      <c r="B586" s="10" t="n"/>
      <c r="C586" s="14">
        <f>IF(B586="","",IFERROR(INDEX('Sản phẩm'!$B$5:$B$304,MATCH(B586,'Sản phẩm'!$A$5:$A$304,0)),""))</f>
        <v/>
      </c>
      <c r="D586" s="12" t="n"/>
      <c r="E586" s="11" t="n"/>
      <c r="F586" s="16">
        <f>IF(OR(D586="",E586=""),"",D586*E586)</f>
        <v/>
      </c>
      <c r="G586" s="10" t="n"/>
      <c r="H586" s="14">
        <f>IF(A586="","",MONTH(A586))</f>
        <v/>
      </c>
      <c r="I586" s="14">
        <f>IF(A586="","",YEAR(A586))</f>
        <v/>
      </c>
    </row>
    <row r="587">
      <c r="A587" s="15" t="n"/>
      <c r="B587" s="10" t="n"/>
      <c r="C587" s="14">
        <f>IF(B587="","",IFERROR(INDEX('Sản phẩm'!$B$5:$B$304,MATCH(B587,'Sản phẩm'!$A$5:$A$304,0)),""))</f>
        <v/>
      </c>
      <c r="D587" s="12" t="n"/>
      <c r="E587" s="11" t="n"/>
      <c r="F587" s="16">
        <f>IF(OR(D587="",E587=""),"",D587*E587)</f>
        <v/>
      </c>
      <c r="G587" s="10" t="n"/>
      <c r="H587" s="14">
        <f>IF(A587="","",MONTH(A587))</f>
        <v/>
      </c>
      <c r="I587" s="14">
        <f>IF(A587="","",YEAR(A587))</f>
        <v/>
      </c>
    </row>
    <row r="588">
      <c r="A588" s="15" t="n"/>
      <c r="B588" s="10" t="n"/>
      <c r="C588" s="14">
        <f>IF(B588="","",IFERROR(INDEX('Sản phẩm'!$B$5:$B$304,MATCH(B588,'Sản phẩm'!$A$5:$A$304,0)),""))</f>
        <v/>
      </c>
      <c r="D588" s="12" t="n"/>
      <c r="E588" s="11" t="n"/>
      <c r="F588" s="16">
        <f>IF(OR(D588="",E588=""),"",D588*E588)</f>
        <v/>
      </c>
      <c r="G588" s="10" t="n"/>
      <c r="H588" s="14">
        <f>IF(A588="","",MONTH(A588))</f>
        <v/>
      </c>
      <c r="I588" s="14">
        <f>IF(A588="","",YEAR(A588))</f>
        <v/>
      </c>
    </row>
    <row r="589">
      <c r="A589" s="15" t="n"/>
      <c r="B589" s="10" t="n"/>
      <c r="C589" s="14">
        <f>IF(B589="","",IFERROR(INDEX('Sản phẩm'!$B$5:$B$304,MATCH(B589,'Sản phẩm'!$A$5:$A$304,0)),""))</f>
        <v/>
      </c>
      <c r="D589" s="12" t="n"/>
      <c r="E589" s="11" t="n"/>
      <c r="F589" s="16">
        <f>IF(OR(D589="",E589=""),"",D589*E589)</f>
        <v/>
      </c>
      <c r="G589" s="10" t="n"/>
      <c r="H589" s="14">
        <f>IF(A589="","",MONTH(A589))</f>
        <v/>
      </c>
      <c r="I589" s="14">
        <f>IF(A589="","",YEAR(A589))</f>
        <v/>
      </c>
    </row>
    <row r="590">
      <c r="A590" s="15" t="n"/>
      <c r="B590" s="10" t="n"/>
      <c r="C590" s="14">
        <f>IF(B590="","",IFERROR(INDEX('Sản phẩm'!$B$5:$B$304,MATCH(B590,'Sản phẩm'!$A$5:$A$304,0)),""))</f>
        <v/>
      </c>
      <c r="D590" s="12" t="n"/>
      <c r="E590" s="11" t="n"/>
      <c r="F590" s="16">
        <f>IF(OR(D590="",E590=""),"",D590*E590)</f>
        <v/>
      </c>
      <c r="G590" s="10" t="n"/>
      <c r="H590" s="14">
        <f>IF(A590="","",MONTH(A590))</f>
        <v/>
      </c>
      <c r="I590" s="14">
        <f>IF(A590="","",YEAR(A590))</f>
        <v/>
      </c>
    </row>
    <row r="591">
      <c r="A591" s="15" t="n"/>
      <c r="B591" s="10" t="n"/>
      <c r="C591" s="14">
        <f>IF(B591="","",IFERROR(INDEX('Sản phẩm'!$B$5:$B$304,MATCH(B591,'Sản phẩm'!$A$5:$A$304,0)),""))</f>
        <v/>
      </c>
      <c r="D591" s="12" t="n"/>
      <c r="E591" s="11" t="n"/>
      <c r="F591" s="16">
        <f>IF(OR(D591="",E591=""),"",D591*E591)</f>
        <v/>
      </c>
      <c r="G591" s="10" t="n"/>
      <c r="H591" s="14">
        <f>IF(A591="","",MONTH(A591))</f>
        <v/>
      </c>
      <c r="I591" s="14">
        <f>IF(A591="","",YEAR(A591))</f>
        <v/>
      </c>
    </row>
    <row r="592">
      <c r="A592" s="15" t="n"/>
      <c r="B592" s="10" t="n"/>
      <c r="C592" s="14">
        <f>IF(B592="","",IFERROR(INDEX('Sản phẩm'!$B$5:$B$304,MATCH(B592,'Sản phẩm'!$A$5:$A$304,0)),""))</f>
        <v/>
      </c>
      <c r="D592" s="12" t="n"/>
      <c r="E592" s="11" t="n"/>
      <c r="F592" s="16">
        <f>IF(OR(D592="",E592=""),"",D592*E592)</f>
        <v/>
      </c>
      <c r="G592" s="10" t="n"/>
      <c r="H592" s="14">
        <f>IF(A592="","",MONTH(A592))</f>
        <v/>
      </c>
      <c r="I592" s="14">
        <f>IF(A592="","",YEAR(A592))</f>
        <v/>
      </c>
    </row>
    <row r="593">
      <c r="A593" s="15" t="n"/>
      <c r="B593" s="10" t="n"/>
      <c r="C593" s="14">
        <f>IF(B593="","",IFERROR(INDEX('Sản phẩm'!$B$5:$B$304,MATCH(B593,'Sản phẩm'!$A$5:$A$304,0)),""))</f>
        <v/>
      </c>
      <c r="D593" s="12" t="n"/>
      <c r="E593" s="11" t="n"/>
      <c r="F593" s="16">
        <f>IF(OR(D593="",E593=""),"",D593*E593)</f>
        <v/>
      </c>
      <c r="G593" s="10" t="n"/>
      <c r="H593" s="14">
        <f>IF(A593="","",MONTH(A593))</f>
        <v/>
      </c>
      <c r="I593" s="14">
        <f>IF(A593="","",YEAR(A593))</f>
        <v/>
      </c>
    </row>
    <row r="594">
      <c r="A594" s="15" t="n"/>
      <c r="B594" s="10" t="n"/>
      <c r="C594" s="14">
        <f>IF(B594="","",IFERROR(INDEX('Sản phẩm'!$B$5:$B$304,MATCH(B594,'Sản phẩm'!$A$5:$A$304,0)),""))</f>
        <v/>
      </c>
      <c r="D594" s="12" t="n"/>
      <c r="E594" s="11" t="n"/>
      <c r="F594" s="16">
        <f>IF(OR(D594="",E594=""),"",D594*E594)</f>
        <v/>
      </c>
      <c r="G594" s="10" t="n"/>
      <c r="H594" s="14">
        <f>IF(A594="","",MONTH(A594))</f>
        <v/>
      </c>
      <c r="I594" s="14">
        <f>IF(A594="","",YEAR(A594))</f>
        <v/>
      </c>
    </row>
    <row r="595">
      <c r="A595" s="15" t="n"/>
      <c r="B595" s="10" t="n"/>
      <c r="C595" s="14">
        <f>IF(B595="","",IFERROR(INDEX('Sản phẩm'!$B$5:$B$304,MATCH(B595,'Sản phẩm'!$A$5:$A$304,0)),""))</f>
        <v/>
      </c>
      <c r="D595" s="12" t="n"/>
      <c r="E595" s="11" t="n"/>
      <c r="F595" s="16">
        <f>IF(OR(D595="",E595=""),"",D595*E595)</f>
        <v/>
      </c>
      <c r="G595" s="10" t="n"/>
      <c r="H595" s="14">
        <f>IF(A595="","",MONTH(A595))</f>
        <v/>
      </c>
      <c r="I595" s="14">
        <f>IF(A595="","",YEAR(A595))</f>
        <v/>
      </c>
    </row>
    <row r="596">
      <c r="A596" s="15" t="n"/>
      <c r="B596" s="10" t="n"/>
      <c r="C596" s="14">
        <f>IF(B596="","",IFERROR(INDEX('Sản phẩm'!$B$5:$B$304,MATCH(B596,'Sản phẩm'!$A$5:$A$304,0)),""))</f>
        <v/>
      </c>
      <c r="D596" s="12" t="n"/>
      <c r="E596" s="11" t="n"/>
      <c r="F596" s="16">
        <f>IF(OR(D596="",E596=""),"",D596*E596)</f>
        <v/>
      </c>
      <c r="G596" s="10" t="n"/>
      <c r="H596" s="14">
        <f>IF(A596="","",MONTH(A596))</f>
        <v/>
      </c>
      <c r="I596" s="14">
        <f>IF(A596="","",YEAR(A596))</f>
        <v/>
      </c>
    </row>
    <row r="597">
      <c r="A597" s="15" t="n"/>
      <c r="B597" s="10" t="n"/>
      <c r="C597" s="14">
        <f>IF(B597="","",IFERROR(INDEX('Sản phẩm'!$B$5:$B$304,MATCH(B597,'Sản phẩm'!$A$5:$A$304,0)),""))</f>
        <v/>
      </c>
      <c r="D597" s="12" t="n"/>
      <c r="E597" s="11" t="n"/>
      <c r="F597" s="16">
        <f>IF(OR(D597="",E597=""),"",D597*E597)</f>
        <v/>
      </c>
      <c r="G597" s="10" t="n"/>
      <c r="H597" s="14">
        <f>IF(A597="","",MONTH(A597))</f>
        <v/>
      </c>
      <c r="I597" s="14">
        <f>IF(A597="","",YEAR(A597))</f>
        <v/>
      </c>
    </row>
    <row r="598">
      <c r="A598" s="15" t="n"/>
      <c r="B598" s="10" t="n"/>
      <c r="C598" s="14">
        <f>IF(B598="","",IFERROR(INDEX('Sản phẩm'!$B$5:$B$304,MATCH(B598,'Sản phẩm'!$A$5:$A$304,0)),""))</f>
        <v/>
      </c>
      <c r="D598" s="12" t="n"/>
      <c r="E598" s="11" t="n"/>
      <c r="F598" s="16">
        <f>IF(OR(D598="",E598=""),"",D598*E598)</f>
        <v/>
      </c>
      <c r="G598" s="10" t="n"/>
      <c r="H598" s="14">
        <f>IF(A598="","",MONTH(A598))</f>
        <v/>
      </c>
      <c r="I598" s="14">
        <f>IF(A598="","",YEAR(A598))</f>
        <v/>
      </c>
    </row>
    <row r="599">
      <c r="A599" s="15" t="n"/>
      <c r="B599" s="10" t="n"/>
      <c r="C599" s="14">
        <f>IF(B599="","",IFERROR(INDEX('Sản phẩm'!$B$5:$B$304,MATCH(B599,'Sản phẩm'!$A$5:$A$304,0)),""))</f>
        <v/>
      </c>
      <c r="D599" s="12" t="n"/>
      <c r="E599" s="11" t="n"/>
      <c r="F599" s="16">
        <f>IF(OR(D599="",E599=""),"",D599*E599)</f>
        <v/>
      </c>
      <c r="G599" s="10" t="n"/>
      <c r="H599" s="14">
        <f>IF(A599="","",MONTH(A599))</f>
        <v/>
      </c>
      <c r="I599" s="14">
        <f>IF(A599="","",YEAR(A599))</f>
        <v/>
      </c>
    </row>
    <row r="600">
      <c r="A600" s="15" t="n"/>
      <c r="B600" s="10" t="n"/>
      <c r="C600" s="14">
        <f>IF(B600="","",IFERROR(INDEX('Sản phẩm'!$B$5:$B$304,MATCH(B600,'Sản phẩm'!$A$5:$A$304,0)),""))</f>
        <v/>
      </c>
      <c r="D600" s="12" t="n"/>
      <c r="E600" s="11" t="n"/>
      <c r="F600" s="16">
        <f>IF(OR(D600="",E600=""),"",D600*E600)</f>
        <v/>
      </c>
      <c r="G600" s="10" t="n"/>
      <c r="H600" s="14">
        <f>IF(A600="","",MONTH(A600))</f>
        <v/>
      </c>
      <c r="I600" s="14">
        <f>IF(A600="","",YEAR(A600))</f>
        <v/>
      </c>
    </row>
    <row r="601">
      <c r="A601" s="15" t="n"/>
      <c r="B601" s="10" t="n"/>
      <c r="C601" s="14">
        <f>IF(B601="","",IFERROR(INDEX('Sản phẩm'!$B$5:$B$304,MATCH(B601,'Sản phẩm'!$A$5:$A$304,0)),""))</f>
        <v/>
      </c>
      <c r="D601" s="12" t="n"/>
      <c r="E601" s="11" t="n"/>
      <c r="F601" s="16">
        <f>IF(OR(D601="",E601=""),"",D601*E601)</f>
        <v/>
      </c>
      <c r="G601" s="10" t="n"/>
      <c r="H601" s="14">
        <f>IF(A601="","",MONTH(A601))</f>
        <v/>
      </c>
      <c r="I601" s="14">
        <f>IF(A601="","",YEAR(A601))</f>
        <v/>
      </c>
    </row>
    <row r="602">
      <c r="A602" s="15" t="n"/>
      <c r="B602" s="10" t="n"/>
      <c r="C602" s="14">
        <f>IF(B602="","",IFERROR(INDEX('Sản phẩm'!$B$5:$B$304,MATCH(B602,'Sản phẩm'!$A$5:$A$304,0)),""))</f>
        <v/>
      </c>
      <c r="D602" s="12" t="n"/>
      <c r="E602" s="11" t="n"/>
      <c r="F602" s="16">
        <f>IF(OR(D602="",E602=""),"",D602*E602)</f>
        <v/>
      </c>
      <c r="G602" s="10" t="n"/>
      <c r="H602" s="14">
        <f>IF(A602="","",MONTH(A602))</f>
        <v/>
      </c>
      <c r="I602" s="14">
        <f>IF(A602="","",YEAR(A602))</f>
        <v/>
      </c>
    </row>
    <row r="603">
      <c r="A603" s="15" t="n"/>
      <c r="B603" s="10" t="n"/>
      <c r="C603" s="14">
        <f>IF(B603="","",IFERROR(INDEX('Sản phẩm'!$B$5:$B$304,MATCH(B603,'Sản phẩm'!$A$5:$A$304,0)),""))</f>
        <v/>
      </c>
      <c r="D603" s="12" t="n"/>
      <c r="E603" s="11" t="n"/>
      <c r="F603" s="16">
        <f>IF(OR(D603="",E603=""),"",D603*E603)</f>
        <v/>
      </c>
      <c r="G603" s="10" t="n"/>
      <c r="H603" s="14">
        <f>IF(A603="","",MONTH(A603))</f>
        <v/>
      </c>
      <c r="I603" s="14">
        <f>IF(A603="","",YEAR(A603))</f>
        <v/>
      </c>
    </row>
    <row r="604">
      <c r="A604" s="15" t="n"/>
      <c r="B604" s="10" t="n"/>
      <c r="C604" s="14">
        <f>IF(B604="","",IFERROR(INDEX('Sản phẩm'!$B$5:$B$304,MATCH(B604,'Sản phẩm'!$A$5:$A$304,0)),""))</f>
        <v/>
      </c>
      <c r="D604" s="12" t="n"/>
      <c r="E604" s="11" t="n"/>
      <c r="F604" s="16">
        <f>IF(OR(D604="",E604=""),"",D604*E604)</f>
        <v/>
      </c>
      <c r="G604" s="10" t="n"/>
      <c r="H604" s="14">
        <f>IF(A604="","",MONTH(A604))</f>
        <v/>
      </c>
      <c r="I604" s="14">
        <f>IF(A604="","",YEAR(A604))</f>
        <v/>
      </c>
    </row>
    <row r="605">
      <c r="A605" s="15" t="n"/>
      <c r="B605" s="10" t="n"/>
      <c r="C605" s="14">
        <f>IF(B605="","",IFERROR(INDEX('Sản phẩm'!$B$5:$B$304,MATCH(B605,'Sản phẩm'!$A$5:$A$304,0)),""))</f>
        <v/>
      </c>
      <c r="D605" s="12" t="n"/>
      <c r="E605" s="11" t="n"/>
      <c r="F605" s="16">
        <f>IF(OR(D605="",E605=""),"",D605*E605)</f>
        <v/>
      </c>
      <c r="G605" s="10" t="n"/>
      <c r="H605" s="14">
        <f>IF(A605="","",MONTH(A605))</f>
        <v/>
      </c>
      <c r="I605" s="14">
        <f>IF(A605="","",YEAR(A605))</f>
        <v/>
      </c>
    </row>
    <row r="606">
      <c r="A606" s="15" t="n"/>
      <c r="B606" s="10" t="n"/>
      <c r="C606" s="14">
        <f>IF(B606="","",IFERROR(INDEX('Sản phẩm'!$B$5:$B$304,MATCH(B606,'Sản phẩm'!$A$5:$A$304,0)),""))</f>
        <v/>
      </c>
      <c r="D606" s="12" t="n"/>
      <c r="E606" s="11" t="n"/>
      <c r="F606" s="16">
        <f>IF(OR(D606="",E606=""),"",D606*E606)</f>
        <v/>
      </c>
      <c r="G606" s="10" t="n"/>
      <c r="H606" s="14">
        <f>IF(A606="","",MONTH(A606))</f>
        <v/>
      </c>
      <c r="I606" s="14">
        <f>IF(A606="","",YEAR(A606))</f>
        <v/>
      </c>
    </row>
    <row r="607">
      <c r="A607" s="15" t="n"/>
      <c r="B607" s="10" t="n"/>
      <c r="C607" s="14">
        <f>IF(B607="","",IFERROR(INDEX('Sản phẩm'!$B$5:$B$304,MATCH(B607,'Sản phẩm'!$A$5:$A$304,0)),""))</f>
        <v/>
      </c>
      <c r="D607" s="12" t="n"/>
      <c r="E607" s="11" t="n"/>
      <c r="F607" s="16">
        <f>IF(OR(D607="",E607=""),"",D607*E607)</f>
        <v/>
      </c>
      <c r="G607" s="10" t="n"/>
      <c r="H607" s="14">
        <f>IF(A607="","",MONTH(A607))</f>
        <v/>
      </c>
      <c r="I607" s="14">
        <f>IF(A607="","",YEAR(A607))</f>
        <v/>
      </c>
    </row>
    <row r="608">
      <c r="A608" s="15" t="n"/>
      <c r="B608" s="10" t="n"/>
      <c r="C608" s="14">
        <f>IF(B608="","",IFERROR(INDEX('Sản phẩm'!$B$5:$B$304,MATCH(B608,'Sản phẩm'!$A$5:$A$304,0)),""))</f>
        <v/>
      </c>
      <c r="D608" s="12" t="n"/>
      <c r="E608" s="11" t="n"/>
      <c r="F608" s="16">
        <f>IF(OR(D608="",E608=""),"",D608*E608)</f>
        <v/>
      </c>
      <c r="G608" s="10" t="n"/>
      <c r="H608" s="14">
        <f>IF(A608="","",MONTH(A608))</f>
        <v/>
      </c>
      <c r="I608" s="14">
        <f>IF(A608="","",YEAR(A608))</f>
        <v/>
      </c>
    </row>
    <row r="609">
      <c r="A609" s="15" t="n"/>
      <c r="B609" s="10" t="n"/>
      <c r="C609" s="14">
        <f>IF(B609="","",IFERROR(INDEX('Sản phẩm'!$B$5:$B$304,MATCH(B609,'Sản phẩm'!$A$5:$A$304,0)),""))</f>
        <v/>
      </c>
      <c r="D609" s="12" t="n"/>
      <c r="E609" s="11" t="n"/>
      <c r="F609" s="16">
        <f>IF(OR(D609="",E609=""),"",D609*E609)</f>
        <v/>
      </c>
      <c r="G609" s="10" t="n"/>
      <c r="H609" s="14">
        <f>IF(A609="","",MONTH(A609))</f>
        <v/>
      </c>
      <c r="I609" s="14">
        <f>IF(A609="","",YEAR(A609))</f>
        <v/>
      </c>
    </row>
    <row r="610">
      <c r="A610" s="15" t="n"/>
      <c r="B610" s="10" t="n"/>
      <c r="C610" s="14">
        <f>IF(B610="","",IFERROR(INDEX('Sản phẩm'!$B$5:$B$304,MATCH(B610,'Sản phẩm'!$A$5:$A$304,0)),""))</f>
        <v/>
      </c>
      <c r="D610" s="12" t="n"/>
      <c r="E610" s="11" t="n"/>
      <c r="F610" s="16">
        <f>IF(OR(D610="",E610=""),"",D610*E610)</f>
        <v/>
      </c>
      <c r="G610" s="10" t="n"/>
      <c r="H610" s="14">
        <f>IF(A610="","",MONTH(A610))</f>
        <v/>
      </c>
      <c r="I610" s="14">
        <f>IF(A610="","",YEAR(A610))</f>
        <v/>
      </c>
    </row>
    <row r="611">
      <c r="A611" s="15" t="n"/>
      <c r="B611" s="10" t="n"/>
      <c r="C611" s="14">
        <f>IF(B611="","",IFERROR(INDEX('Sản phẩm'!$B$5:$B$304,MATCH(B611,'Sản phẩm'!$A$5:$A$304,0)),""))</f>
        <v/>
      </c>
      <c r="D611" s="12" t="n"/>
      <c r="E611" s="11" t="n"/>
      <c r="F611" s="16">
        <f>IF(OR(D611="",E611=""),"",D611*E611)</f>
        <v/>
      </c>
      <c r="G611" s="10" t="n"/>
      <c r="H611" s="14">
        <f>IF(A611="","",MONTH(A611))</f>
        <v/>
      </c>
      <c r="I611" s="14">
        <f>IF(A611="","",YEAR(A611))</f>
        <v/>
      </c>
    </row>
    <row r="612">
      <c r="A612" s="15" t="n"/>
      <c r="B612" s="10" t="n"/>
      <c r="C612" s="14">
        <f>IF(B612="","",IFERROR(INDEX('Sản phẩm'!$B$5:$B$304,MATCH(B612,'Sản phẩm'!$A$5:$A$304,0)),""))</f>
        <v/>
      </c>
      <c r="D612" s="12" t="n"/>
      <c r="E612" s="11" t="n"/>
      <c r="F612" s="16">
        <f>IF(OR(D612="",E612=""),"",D612*E612)</f>
        <v/>
      </c>
      <c r="G612" s="10" t="n"/>
      <c r="H612" s="14">
        <f>IF(A612="","",MONTH(A612))</f>
        <v/>
      </c>
      <c r="I612" s="14">
        <f>IF(A612="","",YEAR(A612))</f>
        <v/>
      </c>
    </row>
    <row r="613">
      <c r="A613" s="15" t="n"/>
      <c r="B613" s="10" t="n"/>
      <c r="C613" s="14">
        <f>IF(B613="","",IFERROR(INDEX('Sản phẩm'!$B$5:$B$304,MATCH(B613,'Sản phẩm'!$A$5:$A$304,0)),""))</f>
        <v/>
      </c>
      <c r="D613" s="12" t="n"/>
      <c r="E613" s="11" t="n"/>
      <c r="F613" s="16">
        <f>IF(OR(D613="",E613=""),"",D613*E613)</f>
        <v/>
      </c>
      <c r="G613" s="10" t="n"/>
      <c r="H613" s="14">
        <f>IF(A613="","",MONTH(A613))</f>
        <v/>
      </c>
      <c r="I613" s="14">
        <f>IF(A613="","",YEAR(A613))</f>
        <v/>
      </c>
    </row>
    <row r="614">
      <c r="A614" s="15" t="n"/>
      <c r="B614" s="10" t="n"/>
      <c r="C614" s="14">
        <f>IF(B614="","",IFERROR(INDEX('Sản phẩm'!$B$5:$B$304,MATCH(B614,'Sản phẩm'!$A$5:$A$304,0)),""))</f>
        <v/>
      </c>
      <c r="D614" s="12" t="n"/>
      <c r="E614" s="11" t="n"/>
      <c r="F614" s="16">
        <f>IF(OR(D614="",E614=""),"",D614*E614)</f>
        <v/>
      </c>
      <c r="G614" s="10" t="n"/>
      <c r="H614" s="14">
        <f>IF(A614="","",MONTH(A614))</f>
        <v/>
      </c>
      <c r="I614" s="14">
        <f>IF(A614="","",YEAR(A614))</f>
        <v/>
      </c>
    </row>
    <row r="615">
      <c r="A615" s="15" t="n"/>
      <c r="B615" s="10" t="n"/>
      <c r="C615" s="14">
        <f>IF(B615="","",IFERROR(INDEX('Sản phẩm'!$B$5:$B$304,MATCH(B615,'Sản phẩm'!$A$5:$A$304,0)),""))</f>
        <v/>
      </c>
      <c r="D615" s="12" t="n"/>
      <c r="E615" s="11" t="n"/>
      <c r="F615" s="16">
        <f>IF(OR(D615="",E615=""),"",D615*E615)</f>
        <v/>
      </c>
      <c r="G615" s="10" t="n"/>
      <c r="H615" s="14">
        <f>IF(A615="","",MONTH(A615))</f>
        <v/>
      </c>
      <c r="I615" s="14">
        <f>IF(A615="","",YEAR(A615))</f>
        <v/>
      </c>
    </row>
    <row r="616">
      <c r="A616" s="15" t="n"/>
      <c r="B616" s="10" t="n"/>
      <c r="C616" s="14">
        <f>IF(B616="","",IFERROR(INDEX('Sản phẩm'!$B$5:$B$304,MATCH(B616,'Sản phẩm'!$A$5:$A$304,0)),""))</f>
        <v/>
      </c>
      <c r="D616" s="12" t="n"/>
      <c r="E616" s="11" t="n"/>
      <c r="F616" s="16">
        <f>IF(OR(D616="",E616=""),"",D616*E616)</f>
        <v/>
      </c>
      <c r="G616" s="10" t="n"/>
      <c r="H616" s="14">
        <f>IF(A616="","",MONTH(A616))</f>
        <v/>
      </c>
      <c r="I616" s="14">
        <f>IF(A616="","",YEAR(A616))</f>
        <v/>
      </c>
    </row>
    <row r="617">
      <c r="A617" s="15" t="n"/>
      <c r="B617" s="10" t="n"/>
      <c r="C617" s="14">
        <f>IF(B617="","",IFERROR(INDEX('Sản phẩm'!$B$5:$B$304,MATCH(B617,'Sản phẩm'!$A$5:$A$304,0)),""))</f>
        <v/>
      </c>
      <c r="D617" s="12" t="n"/>
      <c r="E617" s="11" t="n"/>
      <c r="F617" s="16">
        <f>IF(OR(D617="",E617=""),"",D617*E617)</f>
        <v/>
      </c>
      <c r="G617" s="10" t="n"/>
      <c r="H617" s="14">
        <f>IF(A617="","",MONTH(A617))</f>
        <v/>
      </c>
      <c r="I617" s="14">
        <f>IF(A617="","",YEAR(A617))</f>
        <v/>
      </c>
    </row>
    <row r="618">
      <c r="A618" s="15" t="n"/>
      <c r="B618" s="10" t="n"/>
      <c r="C618" s="14">
        <f>IF(B618="","",IFERROR(INDEX('Sản phẩm'!$B$5:$B$304,MATCH(B618,'Sản phẩm'!$A$5:$A$304,0)),""))</f>
        <v/>
      </c>
      <c r="D618" s="12" t="n"/>
      <c r="E618" s="11" t="n"/>
      <c r="F618" s="16">
        <f>IF(OR(D618="",E618=""),"",D618*E618)</f>
        <v/>
      </c>
      <c r="G618" s="10" t="n"/>
      <c r="H618" s="14">
        <f>IF(A618="","",MONTH(A618))</f>
        <v/>
      </c>
      <c r="I618" s="14">
        <f>IF(A618="","",YEAR(A618))</f>
        <v/>
      </c>
    </row>
    <row r="619">
      <c r="A619" s="15" t="n"/>
      <c r="B619" s="10" t="n"/>
      <c r="C619" s="14">
        <f>IF(B619="","",IFERROR(INDEX('Sản phẩm'!$B$5:$B$304,MATCH(B619,'Sản phẩm'!$A$5:$A$304,0)),""))</f>
        <v/>
      </c>
      <c r="D619" s="12" t="n"/>
      <c r="E619" s="11" t="n"/>
      <c r="F619" s="16">
        <f>IF(OR(D619="",E619=""),"",D619*E619)</f>
        <v/>
      </c>
      <c r="G619" s="10" t="n"/>
      <c r="H619" s="14">
        <f>IF(A619="","",MONTH(A619))</f>
        <v/>
      </c>
      <c r="I619" s="14">
        <f>IF(A619="","",YEAR(A619))</f>
        <v/>
      </c>
    </row>
    <row r="620">
      <c r="A620" s="15" t="n"/>
      <c r="B620" s="10" t="n"/>
      <c r="C620" s="14">
        <f>IF(B620="","",IFERROR(INDEX('Sản phẩm'!$B$5:$B$304,MATCH(B620,'Sản phẩm'!$A$5:$A$304,0)),""))</f>
        <v/>
      </c>
      <c r="D620" s="12" t="n"/>
      <c r="E620" s="11" t="n"/>
      <c r="F620" s="16">
        <f>IF(OR(D620="",E620=""),"",D620*E620)</f>
        <v/>
      </c>
      <c r="G620" s="10" t="n"/>
      <c r="H620" s="14">
        <f>IF(A620="","",MONTH(A620))</f>
        <v/>
      </c>
      <c r="I620" s="14">
        <f>IF(A620="","",YEAR(A620))</f>
        <v/>
      </c>
    </row>
    <row r="621">
      <c r="A621" s="15" t="n"/>
      <c r="B621" s="10" t="n"/>
      <c r="C621" s="14">
        <f>IF(B621="","",IFERROR(INDEX('Sản phẩm'!$B$5:$B$304,MATCH(B621,'Sản phẩm'!$A$5:$A$304,0)),""))</f>
        <v/>
      </c>
      <c r="D621" s="12" t="n"/>
      <c r="E621" s="11" t="n"/>
      <c r="F621" s="16">
        <f>IF(OR(D621="",E621=""),"",D621*E621)</f>
        <v/>
      </c>
      <c r="G621" s="10" t="n"/>
      <c r="H621" s="14">
        <f>IF(A621="","",MONTH(A621))</f>
        <v/>
      </c>
      <c r="I621" s="14">
        <f>IF(A621="","",YEAR(A621))</f>
        <v/>
      </c>
    </row>
    <row r="622">
      <c r="A622" s="15" t="n"/>
      <c r="B622" s="10" t="n"/>
      <c r="C622" s="14">
        <f>IF(B622="","",IFERROR(INDEX('Sản phẩm'!$B$5:$B$304,MATCH(B622,'Sản phẩm'!$A$5:$A$304,0)),""))</f>
        <v/>
      </c>
      <c r="D622" s="12" t="n"/>
      <c r="E622" s="11" t="n"/>
      <c r="F622" s="16">
        <f>IF(OR(D622="",E622=""),"",D622*E622)</f>
        <v/>
      </c>
      <c r="G622" s="10" t="n"/>
      <c r="H622" s="14">
        <f>IF(A622="","",MONTH(A622))</f>
        <v/>
      </c>
      <c r="I622" s="14">
        <f>IF(A622="","",YEAR(A622))</f>
        <v/>
      </c>
    </row>
    <row r="623">
      <c r="A623" s="15" t="n"/>
      <c r="B623" s="10" t="n"/>
      <c r="C623" s="14">
        <f>IF(B623="","",IFERROR(INDEX('Sản phẩm'!$B$5:$B$304,MATCH(B623,'Sản phẩm'!$A$5:$A$304,0)),""))</f>
        <v/>
      </c>
      <c r="D623" s="12" t="n"/>
      <c r="E623" s="11" t="n"/>
      <c r="F623" s="16">
        <f>IF(OR(D623="",E623=""),"",D623*E623)</f>
        <v/>
      </c>
      <c r="G623" s="10" t="n"/>
      <c r="H623" s="14">
        <f>IF(A623="","",MONTH(A623))</f>
        <v/>
      </c>
      <c r="I623" s="14">
        <f>IF(A623="","",YEAR(A623))</f>
        <v/>
      </c>
    </row>
    <row r="624">
      <c r="A624" s="15" t="n"/>
      <c r="B624" s="10" t="n"/>
      <c r="C624" s="14">
        <f>IF(B624="","",IFERROR(INDEX('Sản phẩm'!$B$5:$B$304,MATCH(B624,'Sản phẩm'!$A$5:$A$304,0)),""))</f>
        <v/>
      </c>
      <c r="D624" s="12" t="n"/>
      <c r="E624" s="11" t="n"/>
      <c r="F624" s="16">
        <f>IF(OR(D624="",E624=""),"",D624*E624)</f>
        <v/>
      </c>
      <c r="G624" s="10" t="n"/>
      <c r="H624" s="14">
        <f>IF(A624="","",MONTH(A624))</f>
        <v/>
      </c>
      <c r="I624" s="14">
        <f>IF(A624="","",YEAR(A624))</f>
        <v/>
      </c>
    </row>
    <row r="625">
      <c r="A625" s="15" t="n"/>
      <c r="B625" s="10" t="n"/>
      <c r="C625" s="14">
        <f>IF(B625="","",IFERROR(INDEX('Sản phẩm'!$B$5:$B$304,MATCH(B625,'Sản phẩm'!$A$5:$A$304,0)),""))</f>
        <v/>
      </c>
      <c r="D625" s="12" t="n"/>
      <c r="E625" s="11" t="n"/>
      <c r="F625" s="16">
        <f>IF(OR(D625="",E625=""),"",D625*E625)</f>
        <v/>
      </c>
      <c r="G625" s="10" t="n"/>
      <c r="H625" s="14">
        <f>IF(A625="","",MONTH(A625))</f>
        <v/>
      </c>
      <c r="I625" s="14">
        <f>IF(A625="","",YEAR(A625))</f>
        <v/>
      </c>
    </row>
    <row r="626">
      <c r="A626" s="15" t="n"/>
      <c r="B626" s="10" t="n"/>
      <c r="C626" s="14">
        <f>IF(B626="","",IFERROR(INDEX('Sản phẩm'!$B$5:$B$304,MATCH(B626,'Sản phẩm'!$A$5:$A$304,0)),""))</f>
        <v/>
      </c>
      <c r="D626" s="12" t="n"/>
      <c r="E626" s="11" t="n"/>
      <c r="F626" s="16">
        <f>IF(OR(D626="",E626=""),"",D626*E626)</f>
        <v/>
      </c>
      <c r="G626" s="10" t="n"/>
      <c r="H626" s="14">
        <f>IF(A626="","",MONTH(A626))</f>
        <v/>
      </c>
      <c r="I626" s="14">
        <f>IF(A626="","",YEAR(A626))</f>
        <v/>
      </c>
    </row>
    <row r="627">
      <c r="A627" s="15" t="n"/>
      <c r="B627" s="10" t="n"/>
      <c r="C627" s="14">
        <f>IF(B627="","",IFERROR(INDEX('Sản phẩm'!$B$5:$B$304,MATCH(B627,'Sản phẩm'!$A$5:$A$304,0)),""))</f>
        <v/>
      </c>
      <c r="D627" s="12" t="n"/>
      <c r="E627" s="11" t="n"/>
      <c r="F627" s="16">
        <f>IF(OR(D627="",E627=""),"",D627*E627)</f>
        <v/>
      </c>
      <c r="G627" s="10" t="n"/>
      <c r="H627" s="14">
        <f>IF(A627="","",MONTH(A627))</f>
        <v/>
      </c>
      <c r="I627" s="14">
        <f>IF(A627="","",YEAR(A627))</f>
        <v/>
      </c>
    </row>
    <row r="628">
      <c r="A628" s="15" t="n"/>
      <c r="B628" s="10" t="n"/>
      <c r="C628" s="14">
        <f>IF(B628="","",IFERROR(INDEX('Sản phẩm'!$B$5:$B$304,MATCH(B628,'Sản phẩm'!$A$5:$A$304,0)),""))</f>
        <v/>
      </c>
      <c r="D628" s="12" t="n"/>
      <c r="E628" s="11" t="n"/>
      <c r="F628" s="16">
        <f>IF(OR(D628="",E628=""),"",D628*E628)</f>
        <v/>
      </c>
      <c r="G628" s="10" t="n"/>
      <c r="H628" s="14">
        <f>IF(A628="","",MONTH(A628))</f>
        <v/>
      </c>
      <c r="I628" s="14">
        <f>IF(A628="","",YEAR(A628))</f>
        <v/>
      </c>
    </row>
    <row r="629">
      <c r="A629" s="15" t="n"/>
      <c r="B629" s="10" t="n"/>
      <c r="C629" s="14">
        <f>IF(B629="","",IFERROR(INDEX('Sản phẩm'!$B$5:$B$304,MATCH(B629,'Sản phẩm'!$A$5:$A$304,0)),""))</f>
        <v/>
      </c>
      <c r="D629" s="12" t="n"/>
      <c r="E629" s="11" t="n"/>
      <c r="F629" s="16">
        <f>IF(OR(D629="",E629=""),"",D629*E629)</f>
        <v/>
      </c>
      <c r="G629" s="10" t="n"/>
      <c r="H629" s="14">
        <f>IF(A629="","",MONTH(A629))</f>
        <v/>
      </c>
      <c r="I629" s="14">
        <f>IF(A629="","",YEAR(A629))</f>
        <v/>
      </c>
    </row>
    <row r="630">
      <c r="A630" s="15" t="n"/>
      <c r="B630" s="10" t="n"/>
      <c r="C630" s="14">
        <f>IF(B630="","",IFERROR(INDEX('Sản phẩm'!$B$5:$B$304,MATCH(B630,'Sản phẩm'!$A$5:$A$304,0)),""))</f>
        <v/>
      </c>
      <c r="D630" s="12" t="n"/>
      <c r="E630" s="11" t="n"/>
      <c r="F630" s="16">
        <f>IF(OR(D630="",E630=""),"",D630*E630)</f>
        <v/>
      </c>
      <c r="G630" s="10" t="n"/>
      <c r="H630" s="14">
        <f>IF(A630="","",MONTH(A630))</f>
        <v/>
      </c>
      <c r="I630" s="14">
        <f>IF(A630="","",YEAR(A630))</f>
        <v/>
      </c>
    </row>
    <row r="631">
      <c r="A631" s="15" t="n"/>
      <c r="B631" s="10" t="n"/>
      <c r="C631" s="14">
        <f>IF(B631="","",IFERROR(INDEX('Sản phẩm'!$B$5:$B$304,MATCH(B631,'Sản phẩm'!$A$5:$A$304,0)),""))</f>
        <v/>
      </c>
      <c r="D631" s="12" t="n"/>
      <c r="E631" s="11" t="n"/>
      <c r="F631" s="16">
        <f>IF(OR(D631="",E631=""),"",D631*E631)</f>
        <v/>
      </c>
      <c r="G631" s="10" t="n"/>
      <c r="H631" s="14">
        <f>IF(A631="","",MONTH(A631))</f>
        <v/>
      </c>
      <c r="I631" s="14">
        <f>IF(A631="","",YEAR(A631))</f>
        <v/>
      </c>
    </row>
    <row r="632">
      <c r="A632" s="15" t="n"/>
      <c r="B632" s="10" t="n"/>
      <c r="C632" s="14">
        <f>IF(B632="","",IFERROR(INDEX('Sản phẩm'!$B$5:$B$304,MATCH(B632,'Sản phẩm'!$A$5:$A$304,0)),""))</f>
        <v/>
      </c>
      <c r="D632" s="12" t="n"/>
      <c r="E632" s="11" t="n"/>
      <c r="F632" s="16">
        <f>IF(OR(D632="",E632=""),"",D632*E632)</f>
        <v/>
      </c>
      <c r="G632" s="10" t="n"/>
      <c r="H632" s="14">
        <f>IF(A632="","",MONTH(A632))</f>
        <v/>
      </c>
      <c r="I632" s="14">
        <f>IF(A632="","",YEAR(A632))</f>
        <v/>
      </c>
    </row>
    <row r="633">
      <c r="A633" s="15" t="n"/>
      <c r="B633" s="10" t="n"/>
      <c r="C633" s="14">
        <f>IF(B633="","",IFERROR(INDEX('Sản phẩm'!$B$5:$B$304,MATCH(B633,'Sản phẩm'!$A$5:$A$304,0)),""))</f>
        <v/>
      </c>
      <c r="D633" s="12" t="n"/>
      <c r="E633" s="11" t="n"/>
      <c r="F633" s="16">
        <f>IF(OR(D633="",E633=""),"",D633*E633)</f>
        <v/>
      </c>
      <c r="G633" s="10" t="n"/>
      <c r="H633" s="14">
        <f>IF(A633="","",MONTH(A633))</f>
        <v/>
      </c>
      <c r="I633" s="14">
        <f>IF(A633="","",YEAR(A633))</f>
        <v/>
      </c>
    </row>
    <row r="634">
      <c r="A634" s="15" t="n"/>
      <c r="B634" s="10" t="n"/>
      <c r="C634" s="14">
        <f>IF(B634="","",IFERROR(INDEX('Sản phẩm'!$B$5:$B$304,MATCH(B634,'Sản phẩm'!$A$5:$A$304,0)),""))</f>
        <v/>
      </c>
      <c r="D634" s="12" t="n"/>
      <c r="E634" s="11" t="n"/>
      <c r="F634" s="16">
        <f>IF(OR(D634="",E634=""),"",D634*E634)</f>
        <v/>
      </c>
      <c r="G634" s="10" t="n"/>
      <c r="H634" s="14">
        <f>IF(A634="","",MONTH(A634))</f>
        <v/>
      </c>
      <c r="I634" s="14">
        <f>IF(A634="","",YEAR(A634))</f>
        <v/>
      </c>
    </row>
    <row r="635">
      <c r="A635" s="15" t="n"/>
      <c r="B635" s="10" t="n"/>
      <c r="C635" s="14">
        <f>IF(B635="","",IFERROR(INDEX('Sản phẩm'!$B$5:$B$304,MATCH(B635,'Sản phẩm'!$A$5:$A$304,0)),""))</f>
        <v/>
      </c>
      <c r="D635" s="12" t="n"/>
      <c r="E635" s="11" t="n"/>
      <c r="F635" s="16">
        <f>IF(OR(D635="",E635=""),"",D635*E635)</f>
        <v/>
      </c>
      <c r="G635" s="10" t="n"/>
      <c r="H635" s="14">
        <f>IF(A635="","",MONTH(A635))</f>
        <v/>
      </c>
      <c r="I635" s="14">
        <f>IF(A635="","",YEAR(A635))</f>
        <v/>
      </c>
    </row>
    <row r="636">
      <c r="A636" s="15" t="n"/>
      <c r="B636" s="10" t="n"/>
      <c r="C636" s="14">
        <f>IF(B636="","",IFERROR(INDEX('Sản phẩm'!$B$5:$B$304,MATCH(B636,'Sản phẩm'!$A$5:$A$304,0)),""))</f>
        <v/>
      </c>
      <c r="D636" s="12" t="n"/>
      <c r="E636" s="11" t="n"/>
      <c r="F636" s="16">
        <f>IF(OR(D636="",E636=""),"",D636*E636)</f>
        <v/>
      </c>
      <c r="G636" s="10" t="n"/>
      <c r="H636" s="14">
        <f>IF(A636="","",MONTH(A636))</f>
        <v/>
      </c>
      <c r="I636" s="14">
        <f>IF(A636="","",YEAR(A636))</f>
        <v/>
      </c>
    </row>
    <row r="637">
      <c r="A637" s="15" t="n"/>
      <c r="B637" s="10" t="n"/>
      <c r="C637" s="14">
        <f>IF(B637="","",IFERROR(INDEX('Sản phẩm'!$B$5:$B$304,MATCH(B637,'Sản phẩm'!$A$5:$A$304,0)),""))</f>
        <v/>
      </c>
      <c r="D637" s="12" t="n"/>
      <c r="E637" s="11" t="n"/>
      <c r="F637" s="16">
        <f>IF(OR(D637="",E637=""),"",D637*E637)</f>
        <v/>
      </c>
      <c r="G637" s="10" t="n"/>
      <c r="H637" s="14">
        <f>IF(A637="","",MONTH(A637))</f>
        <v/>
      </c>
      <c r="I637" s="14">
        <f>IF(A637="","",YEAR(A637))</f>
        <v/>
      </c>
    </row>
    <row r="638">
      <c r="A638" s="15" t="n"/>
      <c r="B638" s="10" t="n"/>
      <c r="C638" s="14">
        <f>IF(B638="","",IFERROR(INDEX('Sản phẩm'!$B$5:$B$304,MATCH(B638,'Sản phẩm'!$A$5:$A$304,0)),""))</f>
        <v/>
      </c>
      <c r="D638" s="12" t="n"/>
      <c r="E638" s="11" t="n"/>
      <c r="F638" s="16">
        <f>IF(OR(D638="",E638=""),"",D638*E638)</f>
        <v/>
      </c>
      <c r="G638" s="10" t="n"/>
      <c r="H638" s="14">
        <f>IF(A638="","",MONTH(A638))</f>
        <v/>
      </c>
      <c r="I638" s="14">
        <f>IF(A638="","",YEAR(A638))</f>
        <v/>
      </c>
    </row>
    <row r="639">
      <c r="A639" s="15" t="n"/>
      <c r="B639" s="10" t="n"/>
      <c r="C639" s="14">
        <f>IF(B639="","",IFERROR(INDEX('Sản phẩm'!$B$5:$B$304,MATCH(B639,'Sản phẩm'!$A$5:$A$304,0)),""))</f>
        <v/>
      </c>
      <c r="D639" s="12" t="n"/>
      <c r="E639" s="11" t="n"/>
      <c r="F639" s="16">
        <f>IF(OR(D639="",E639=""),"",D639*E639)</f>
        <v/>
      </c>
      <c r="G639" s="10" t="n"/>
      <c r="H639" s="14">
        <f>IF(A639="","",MONTH(A639))</f>
        <v/>
      </c>
      <c r="I639" s="14">
        <f>IF(A639="","",YEAR(A639))</f>
        <v/>
      </c>
    </row>
    <row r="640">
      <c r="A640" s="15" t="n"/>
      <c r="B640" s="10" t="n"/>
      <c r="C640" s="14">
        <f>IF(B640="","",IFERROR(INDEX('Sản phẩm'!$B$5:$B$304,MATCH(B640,'Sản phẩm'!$A$5:$A$304,0)),""))</f>
        <v/>
      </c>
      <c r="D640" s="12" t="n"/>
      <c r="E640" s="11" t="n"/>
      <c r="F640" s="16">
        <f>IF(OR(D640="",E640=""),"",D640*E640)</f>
        <v/>
      </c>
      <c r="G640" s="10" t="n"/>
      <c r="H640" s="14">
        <f>IF(A640="","",MONTH(A640))</f>
        <v/>
      </c>
      <c r="I640" s="14">
        <f>IF(A640="","",YEAR(A640))</f>
        <v/>
      </c>
    </row>
    <row r="641">
      <c r="A641" s="15" t="n"/>
      <c r="B641" s="10" t="n"/>
      <c r="C641" s="14">
        <f>IF(B641="","",IFERROR(INDEX('Sản phẩm'!$B$5:$B$304,MATCH(B641,'Sản phẩm'!$A$5:$A$304,0)),""))</f>
        <v/>
      </c>
      <c r="D641" s="12" t="n"/>
      <c r="E641" s="11" t="n"/>
      <c r="F641" s="16">
        <f>IF(OR(D641="",E641=""),"",D641*E641)</f>
        <v/>
      </c>
      <c r="G641" s="10" t="n"/>
      <c r="H641" s="14">
        <f>IF(A641="","",MONTH(A641))</f>
        <v/>
      </c>
      <c r="I641" s="14">
        <f>IF(A641="","",YEAR(A641))</f>
        <v/>
      </c>
    </row>
    <row r="642">
      <c r="A642" s="15" t="n"/>
      <c r="B642" s="10" t="n"/>
      <c r="C642" s="14">
        <f>IF(B642="","",IFERROR(INDEX('Sản phẩm'!$B$5:$B$304,MATCH(B642,'Sản phẩm'!$A$5:$A$304,0)),""))</f>
        <v/>
      </c>
      <c r="D642" s="12" t="n"/>
      <c r="E642" s="11" t="n"/>
      <c r="F642" s="16">
        <f>IF(OR(D642="",E642=""),"",D642*E642)</f>
        <v/>
      </c>
      <c r="G642" s="10" t="n"/>
      <c r="H642" s="14">
        <f>IF(A642="","",MONTH(A642))</f>
        <v/>
      </c>
      <c r="I642" s="14">
        <f>IF(A642="","",YEAR(A642))</f>
        <v/>
      </c>
    </row>
    <row r="643">
      <c r="A643" s="15" t="n"/>
      <c r="B643" s="10" t="n"/>
      <c r="C643" s="14">
        <f>IF(B643="","",IFERROR(INDEX('Sản phẩm'!$B$5:$B$304,MATCH(B643,'Sản phẩm'!$A$5:$A$304,0)),""))</f>
        <v/>
      </c>
      <c r="D643" s="12" t="n"/>
      <c r="E643" s="11" t="n"/>
      <c r="F643" s="16">
        <f>IF(OR(D643="",E643=""),"",D643*E643)</f>
        <v/>
      </c>
      <c r="G643" s="10" t="n"/>
      <c r="H643" s="14">
        <f>IF(A643="","",MONTH(A643))</f>
        <v/>
      </c>
      <c r="I643" s="14">
        <f>IF(A643="","",YEAR(A643))</f>
        <v/>
      </c>
    </row>
    <row r="644">
      <c r="A644" s="15" t="n"/>
      <c r="B644" s="10" t="n"/>
      <c r="C644" s="14">
        <f>IF(B644="","",IFERROR(INDEX('Sản phẩm'!$B$5:$B$304,MATCH(B644,'Sản phẩm'!$A$5:$A$304,0)),""))</f>
        <v/>
      </c>
      <c r="D644" s="12" t="n"/>
      <c r="E644" s="11" t="n"/>
      <c r="F644" s="16">
        <f>IF(OR(D644="",E644=""),"",D644*E644)</f>
        <v/>
      </c>
      <c r="G644" s="10" t="n"/>
      <c r="H644" s="14">
        <f>IF(A644="","",MONTH(A644))</f>
        <v/>
      </c>
      <c r="I644" s="14">
        <f>IF(A644="","",YEAR(A644))</f>
        <v/>
      </c>
    </row>
    <row r="645">
      <c r="A645" s="15" t="n"/>
      <c r="B645" s="10" t="n"/>
      <c r="C645" s="14">
        <f>IF(B645="","",IFERROR(INDEX('Sản phẩm'!$B$5:$B$304,MATCH(B645,'Sản phẩm'!$A$5:$A$304,0)),""))</f>
        <v/>
      </c>
      <c r="D645" s="12" t="n"/>
      <c r="E645" s="11" t="n"/>
      <c r="F645" s="16">
        <f>IF(OR(D645="",E645=""),"",D645*E645)</f>
        <v/>
      </c>
      <c r="G645" s="10" t="n"/>
      <c r="H645" s="14">
        <f>IF(A645="","",MONTH(A645))</f>
        <v/>
      </c>
      <c r="I645" s="14">
        <f>IF(A645="","",YEAR(A645))</f>
        <v/>
      </c>
    </row>
    <row r="646">
      <c r="A646" s="15" t="n"/>
      <c r="B646" s="10" t="n"/>
      <c r="C646" s="14">
        <f>IF(B646="","",IFERROR(INDEX('Sản phẩm'!$B$5:$B$304,MATCH(B646,'Sản phẩm'!$A$5:$A$304,0)),""))</f>
        <v/>
      </c>
      <c r="D646" s="12" t="n"/>
      <c r="E646" s="11" t="n"/>
      <c r="F646" s="16">
        <f>IF(OR(D646="",E646=""),"",D646*E646)</f>
        <v/>
      </c>
      <c r="G646" s="10" t="n"/>
      <c r="H646" s="14">
        <f>IF(A646="","",MONTH(A646))</f>
        <v/>
      </c>
      <c r="I646" s="14">
        <f>IF(A646="","",YEAR(A646))</f>
        <v/>
      </c>
    </row>
    <row r="647">
      <c r="A647" s="15" t="n"/>
      <c r="B647" s="10" t="n"/>
      <c r="C647" s="14">
        <f>IF(B647="","",IFERROR(INDEX('Sản phẩm'!$B$5:$B$304,MATCH(B647,'Sản phẩm'!$A$5:$A$304,0)),""))</f>
        <v/>
      </c>
      <c r="D647" s="12" t="n"/>
      <c r="E647" s="11" t="n"/>
      <c r="F647" s="16">
        <f>IF(OR(D647="",E647=""),"",D647*E647)</f>
        <v/>
      </c>
      <c r="G647" s="10" t="n"/>
      <c r="H647" s="14">
        <f>IF(A647="","",MONTH(A647))</f>
        <v/>
      </c>
      <c r="I647" s="14">
        <f>IF(A647="","",YEAR(A647))</f>
        <v/>
      </c>
    </row>
    <row r="648">
      <c r="A648" s="15" t="n"/>
      <c r="B648" s="10" t="n"/>
      <c r="C648" s="14">
        <f>IF(B648="","",IFERROR(INDEX('Sản phẩm'!$B$5:$B$304,MATCH(B648,'Sản phẩm'!$A$5:$A$304,0)),""))</f>
        <v/>
      </c>
      <c r="D648" s="12" t="n"/>
      <c r="E648" s="11" t="n"/>
      <c r="F648" s="16">
        <f>IF(OR(D648="",E648=""),"",D648*E648)</f>
        <v/>
      </c>
      <c r="G648" s="10" t="n"/>
      <c r="H648" s="14">
        <f>IF(A648="","",MONTH(A648))</f>
        <v/>
      </c>
      <c r="I648" s="14">
        <f>IF(A648="","",YEAR(A648))</f>
        <v/>
      </c>
    </row>
    <row r="649">
      <c r="A649" s="15" t="n"/>
      <c r="B649" s="10" t="n"/>
      <c r="C649" s="14">
        <f>IF(B649="","",IFERROR(INDEX('Sản phẩm'!$B$5:$B$304,MATCH(B649,'Sản phẩm'!$A$5:$A$304,0)),""))</f>
        <v/>
      </c>
      <c r="D649" s="12" t="n"/>
      <c r="E649" s="11" t="n"/>
      <c r="F649" s="16">
        <f>IF(OR(D649="",E649=""),"",D649*E649)</f>
        <v/>
      </c>
      <c r="G649" s="10" t="n"/>
      <c r="H649" s="14">
        <f>IF(A649="","",MONTH(A649))</f>
        <v/>
      </c>
      <c r="I649" s="14">
        <f>IF(A649="","",YEAR(A649))</f>
        <v/>
      </c>
    </row>
    <row r="650">
      <c r="A650" s="15" t="n"/>
      <c r="B650" s="10" t="n"/>
      <c r="C650" s="14">
        <f>IF(B650="","",IFERROR(INDEX('Sản phẩm'!$B$5:$B$304,MATCH(B650,'Sản phẩm'!$A$5:$A$304,0)),""))</f>
        <v/>
      </c>
      <c r="D650" s="12" t="n"/>
      <c r="E650" s="11" t="n"/>
      <c r="F650" s="16">
        <f>IF(OR(D650="",E650=""),"",D650*E650)</f>
        <v/>
      </c>
      <c r="G650" s="10" t="n"/>
      <c r="H650" s="14">
        <f>IF(A650="","",MONTH(A650))</f>
        <v/>
      </c>
      <c r="I650" s="14">
        <f>IF(A650="","",YEAR(A650))</f>
        <v/>
      </c>
    </row>
    <row r="651">
      <c r="A651" s="15" t="n"/>
      <c r="B651" s="10" t="n"/>
      <c r="C651" s="14">
        <f>IF(B651="","",IFERROR(INDEX('Sản phẩm'!$B$5:$B$304,MATCH(B651,'Sản phẩm'!$A$5:$A$304,0)),""))</f>
        <v/>
      </c>
      <c r="D651" s="12" t="n"/>
      <c r="E651" s="11" t="n"/>
      <c r="F651" s="16">
        <f>IF(OR(D651="",E651=""),"",D651*E651)</f>
        <v/>
      </c>
      <c r="G651" s="10" t="n"/>
      <c r="H651" s="14">
        <f>IF(A651="","",MONTH(A651))</f>
        <v/>
      </c>
      <c r="I651" s="14">
        <f>IF(A651="","",YEAR(A651))</f>
        <v/>
      </c>
    </row>
    <row r="652">
      <c r="A652" s="15" t="n"/>
      <c r="B652" s="10" t="n"/>
      <c r="C652" s="14">
        <f>IF(B652="","",IFERROR(INDEX('Sản phẩm'!$B$5:$B$304,MATCH(B652,'Sản phẩm'!$A$5:$A$304,0)),""))</f>
        <v/>
      </c>
      <c r="D652" s="12" t="n"/>
      <c r="E652" s="11" t="n"/>
      <c r="F652" s="16">
        <f>IF(OR(D652="",E652=""),"",D652*E652)</f>
        <v/>
      </c>
      <c r="G652" s="10" t="n"/>
      <c r="H652" s="14">
        <f>IF(A652="","",MONTH(A652))</f>
        <v/>
      </c>
      <c r="I652" s="14">
        <f>IF(A652="","",YEAR(A652))</f>
        <v/>
      </c>
    </row>
    <row r="653">
      <c r="A653" s="15" t="n"/>
      <c r="B653" s="10" t="n"/>
      <c r="C653" s="14">
        <f>IF(B653="","",IFERROR(INDEX('Sản phẩm'!$B$5:$B$304,MATCH(B653,'Sản phẩm'!$A$5:$A$304,0)),""))</f>
        <v/>
      </c>
      <c r="D653" s="12" t="n"/>
      <c r="E653" s="11" t="n"/>
      <c r="F653" s="16">
        <f>IF(OR(D653="",E653=""),"",D653*E653)</f>
        <v/>
      </c>
      <c r="G653" s="10" t="n"/>
      <c r="H653" s="14">
        <f>IF(A653="","",MONTH(A653))</f>
        <v/>
      </c>
      <c r="I653" s="14">
        <f>IF(A653="","",YEAR(A653))</f>
        <v/>
      </c>
    </row>
    <row r="654">
      <c r="A654" s="15" t="n"/>
      <c r="B654" s="10" t="n"/>
      <c r="C654" s="14">
        <f>IF(B654="","",IFERROR(INDEX('Sản phẩm'!$B$5:$B$304,MATCH(B654,'Sản phẩm'!$A$5:$A$304,0)),""))</f>
        <v/>
      </c>
      <c r="D654" s="12" t="n"/>
      <c r="E654" s="11" t="n"/>
      <c r="F654" s="16">
        <f>IF(OR(D654="",E654=""),"",D654*E654)</f>
        <v/>
      </c>
      <c r="G654" s="10" t="n"/>
      <c r="H654" s="14">
        <f>IF(A654="","",MONTH(A654))</f>
        <v/>
      </c>
      <c r="I654" s="14">
        <f>IF(A654="","",YEAR(A654))</f>
        <v/>
      </c>
    </row>
    <row r="655">
      <c r="A655" s="15" t="n"/>
      <c r="B655" s="10" t="n"/>
      <c r="C655" s="14">
        <f>IF(B655="","",IFERROR(INDEX('Sản phẩm'!$B$5:$B$304,MATCH(B655,'Sản phẩm'!$A$5:$A$304,0)),""))</f>
        <v/>
      </c>
      <c r="D655" s="12" t="n"/>
      <c r="E655" s="11" t="n"/>
      <c r="F655" s="16">
        <f>IF(OR(D655="",E655=""),"",D655*E655)</f>
        <v/>
      </c>
      <c r="G655" s="10" t="n"/>
      <c r="H655" s="14">
        <f>IF(A655="","",MONTH(A655))</f>
        <v/>
      </c>
      <c r="I655" s="14">
        <f>IF(A655="","",YEAR(A655))</f>
        <v/>
      </c>
    </row>
    <row r="656">
      <c r="A656" s="15" t="n"/>
      <c r="B656" s="10" t="n"/>
      <c r="C656" s="14">
        <f>IF(B656="","",IFERROR(INDEX('Sản phẩm'!$B$5:$B$304,MATCH(B656,'Sản phẩm'!$A$5:$A$304,0)),""))</f>
        <v/>
      </c>
      <c r="D656" s="12" t="n"/>
      <c r="E656" s="11" t="n"/>
      <c r="F656" s="16">
        <f>IF(OR(D656="",E656=""),"",D656*E656)</f>
        <v/>
      </c>
      <c r="G656" s="10" t="n"/>
      <c r="H656" s="14">
        <f>IF(A656="","",MONTH(A656))</f>
        <v/>
      </c>
      <c r="I656" s="14">
        <f>IF(A656="","",YEAR(A656))</f>
        <v/>
      </c>
    </row>
    <row r="657">
      <c r="A657" s="15" t="n"/>
      <c r="B657" s="10" t="n"/>
      <c r="C657" s="14">
        <f>IF(B657="","",IFERROR(INDEX('Sản phẩm'!$B$5:$B$304,MATCH(B657,'Sản phẩm'!$A$5:$A$304,0)),""))</f>
        <v/>
      </c>
      <c r="D657" s="12" t="n"/>
      <c r="E657" s="11" t="n"/>
      <c r="F657" s="16">
        <f>IF(OR(D657="",E657=""),"",D657*E657)</f>
        <v/>
      </c>
      <c r="G657" s="10" t="n"/>
      <c r="H657" s="14">
        <f>IF(A657="","",MONTH(A657))</f>
        <v/>
      </c>
      <c r="I657" s="14">
        <f>IF(A657="","",YEAR(A657))</f>
        <v/>
      </c>
    </row>
    <row r="658">
      <c r="A658" s="15" t="n"/>
      <c r="B658" s="10" t="n"/>
      <c r="C658" s="14">
        <f>IF(B658="","",IFERROR(INDEX('Sản phẩm'!$B$5:$B$304,MATCH(B658,'Sản phẩm'!$A$5:$A$304,0)),""))</f>
        <v/>
      </c>
      <c r="D658" s="12" t="n"/>
      <c r="E658" s="11" t="n"/>
      <c r="F658" s="16">
        <f>IF(OR(D658="",E658=""),"",D658*E658)</f>
        <v/>
      </c>
      <c r="G658" s="10" t="n"/>
      <c r="H658" s="14">
        <f>IF(A658="","",MONTH(A658))</f>
        <v/>
      </c>
      <c r="I658" s="14">
        <f>IF(A658="","",YEAR(A658))</f>
        <v/>
      </c>
    </row>
    <row r="659">
      <c r="A659" s="15" t="n"/>
      <c r="B659" s="10" t="n"/>
      <c r="C659" s="14">
        <f>IF(B659="","",IFERROR(INDEX('Sản phẩm'!$B$5:$B$304,MATCH(B659,'Sản phẩm'!$A$5:$A$304,0)),""))</f>
        <v/>
      </c>
      <c r="D659" s="12" t="n"/>
      <c r="E659" s="11" t="n"/>
      <c r="F659" s="16">
        <f>IF(OR(D659="",E659=""),"",D659*E659)</f>
        <v/>
      </c>
      <c r="G659" s="10" t="n"/>
      <c r="H659" s="14">
        <f>IF(A659="","",MONTH(A659))</f>
        <v/>
      </c>
      <c r="I659" s="14">
        <f>IF(A659="","",YEAR(A659))</f>
        <v/>
      </c>
    </row>
    <row r="660">
      <c r="A660" s="15" t="n"/>
      <c r="B660" s="10" t="n"/>
      <c r="C660" s="14">
        <f>IF(B660="","",IFERROR(INDEX('Sản phẩm'!$B$5:$B$304,MATCH(B660,'Sản phẩm'!$A$5:$A$304,0)),""))</f>
        <v/>
      </c>
      <c r="D660" s="12" t="n"/>
      <c r="E660" s="11" t="n"/>
      <c r="F660" s="16">
        <f>IF(OR(D660="",E660=""),"",D660*E660)</f>
        <v/>
      </c>
      <c r="G660" s="10" t="n"/>
      <c r="H660" s="14">
        <f>IF(A660="","",MONTH(A660))</f>
        <v/>
      </c>
      <c r="I660" s="14">
        <f>IF(A660="","",YEAR(A660))</f>
        <v/>
      </c>
    </row>
    <row r="661">
      <c r="A661" s="15" t="n"/>
      <c r="B661" s="10" t="n"/>
      <c r="C661" s="14">
        <f>IF(B661="","",IFERROR(INDEX('Sản phẩm'!$B$5:$B$304,MATCH(B661,'Sản phẩm'!$A$5:$A$304,0)),""))</f>
        <v/>
      </c>
      <c r="D661" s="12" t="n"/>
      <c r="E661" s="11" t="n"/>
      <c r="F661" s="16">
        <f>IF(OR(D661="",E661=""),"",D661*E661)</f>
        <v/>
      </c>
      <c r="G661" s="10" t="n"/>
      <c r="H661" s="14">
        <f>IF(A661="","",MONTH(A661))</f>
        <v/>
      </c>
      <c r="I661" s="14">
        <f>IF(A661="","",YEAR(A661))</f>
        <v/>
      </c>
    </row>
    <row r="662">
      <c r="A662" s="15" t="n"/>
      <c r="B662" s="10" t="n"/>
      <c r="C662" s="14">
        <f>IF(B662="","",IFERROR(INDEX('Sản phẩm'!$B$5:$B$304,MATCH(B662,'Sản phẩm'!$A$5:$A$304,0)),""))</f>
        <v/>
      </c>
      <c r="D662" s="12" t="n"/>
      <c r="E662" s="11" t="n"/>
      <c r="F662" s="16">
        <f>IF(OR(D662="",E662=""),"",D662*E662)</f>
        <v/>
      </c>
      <c r="G662" s="10" t="n"/>
      <c r="H662" s="14">
        <f>IF(A662="","",MONTH(A662))</f>
        <v/>
      </c>
      <c r="I662" s="14">
        <f>IF(A662="","",YEAR(A662))</f>
        <v/>
      </c>
    </row>
    <row r="663">
      <c r="A663" s="15" t="n"/>
      <c r="B663" s="10" t="n"/>
      <c r="C663" s="14">
        <f>IF(B663="","",IFERROR(INDEX('Sản phẩm'!$B$5:$B$304,MATCH(B663,'Sản phẩm'!$A$5:$A$304,0)),""))</f>
        <v/>
      </c>
      <c r="D663" s="12" t="n"/>
      <c r="E663" s="11" t="n"/>
      <c r="F663" s="16">
        <f>IF(OR(D663="",E663=""),"",D663*E663)</f>
        <v/>
      </c>
      <c r="G663" s="10" t="n"/>
      <c r="H663" s="14">
        <f>IF(A663="","",MONTH(A663))</f>
        <v/>
      </c>
      <c r="I663" s="14">
        <f>IF(A663="","",YEAR(A663))</f>
        <v/>
      </c>
    </row>
    <row r="664">
      <c r="A664" s="15" t="n"/>
      <c r="B664" s="10" t="n"/>
      <c r="C664" s="14">
        <f>IF(B664="","",IFERROR(INDEX('Sản phẩm'!$B$5:$B$304,MATCH(B664,'Sản phẩm'!$A$5:$A$304,0)),""))</f>
        <v/>
      </c>
      <c r="D664" s="12" t="n"/>
      <c r="E664" s="11" t="n"/>
      <c r="F664" s="16">
        <f>IF(OR(D664="",E664=""),"",D664*E664)</f>
        <v/>
      </c>
      <c r="G664" s="10" t="n"/>
      <c r="H664" s="14">
        <f>IF(A664="","",MONTH(A664))</f>
        <v/>
      </c>
      <c r="I664" s="14">
        <f>IF(A664="","",YEAR(A664))</f>
        <v/>
      </c>
    </row>
    <row r="665">
      <c r="A665" s="15" t="n"/>
      <c r="B665" s="10" t="n"/>
      <c r="C665" s="14">
        <f>IF(B665="","",IFERROR(INDEX('Sản phẩm'!$B$5:$B$304,MATCH(B665,'Sản phẩm'!$A$5:$A$304,0)),""))</f>
        <v/>
      </c>
      <c r="D665" s="12" t="n"/>
      <c r="E665" s="11" t="n"/>
      <c r="F665" s="16">
        <f>IF(OR(D665="",E665=""),"",D665*E665)</f>
        <v/>
      </c>
      <c r="G665" s="10" t="n"/>
      <c r="H665" s="14">
        <f>IF(A665="","",MONTH(A665))</f>
        <v/>
      </c>
      <c r="I665" s="14">
        <f>IF(A665="","",YEAR(A665))</f>
        <v/>
      </c>
    </row>
    <row r="666">
      <c r="A666" s="15" t="n"/>
      <c r="B666" s="10" t="n"/>
      <c r="C666" s="14">
        <f>IF(B666="","",IFERROR(INDEX('Sản phẩm'!$B$5:$B$304,MATCH(B666,'Sản phẩm'!$A$5:$A$304,0)),""))</f>
        <v/>
      </c>
      <c r="D666" s="12" t="n"/>
      <c r="E666" s="11" t="n"/>
      <c r="F666" s="16">
        <f>IF(OR(D666="",E666=""),"",D666*E666)</f>
        <v/>
      </c>
      <c r="G666" s="10" t="n"/>
      <c r="H666" s="14">
        <f>IF(A666="","",MONTH(A666))</f>
        <v/>
      </c>
      <c r="I666" s="14">
        <f>IF(A666="","",YEAR(A666))</f>
        <v/>
      </c>
    </row>
    <row r="667">
      <c r="A667" s="15" t="n"/>
      <c r="B667" s="10" t="n"/>
      <c r="C667" s="14">
        <f>IF(B667="","",IFERROR(INDEX('Sản phẩm'!$B$5:$B$304,MATCH(B667,'Sản phẩm'!$A$5:$A$304,0)),""))</f>
        <v/>
      </c>
      <c r="D667" s="12" t="n"/>
      <c r="E667" s="11" t="n"/>
      <c r="F667" s="16">
        <f>IF(OR(D667="",E667=""),"",D667*E667)</f>
        <v/>
      </c>
      <c r="G667" s="10" t="n"/>
      <c r="H667" s="14">
        <f>IF(A667="","",MONTH(A667))</f>
        <v/>
      </c>
      <c r="I667" s="14">
        <f>IF(A667="","",YEAR(A667))</f>
        <v/>
      </c>
    </row>
    <row r="668">
      <c r="A668" s="15" t="n"/>
      <c r="B668" s="10" t="n"/>
      <c r="C668" s="14">
        <f>IF(B668="","",IFERROR(INDEX('Sản phẩm'!$B$5:$B$304,MATCH(B668,'Sản phẩm'!$A$5:$A$304,0)),""))</f>
        <v/>
      </c>
      <c r="D668" s="12" t="n"/>
      <c r="E668" s="11" t="n"/>
      <c r="F668" s="16">
        <f>IF(OR(D668="",E668=""),"",D668*E668)</f>
        <v/>
      </c>
      <c r="G668" s="10" t="n"/>
      <c r="H668" s="14">
        <f>IF(A668="","",MONTH(A668))</f>
        <v/>
      </c>
      <c r="I668" s="14">
        <f>IF(A668="","",YEAR(A668))</f>
        <v/>
      </c>
    </row>
    <row r="669">
      <c r="A669" s="15" t="n"/>
      <c r="B669" s="10" t="n"/>
      <c r="C669" s="14">
        <f>IF(B669="","",IFERROR(INDEX('Sản phẩm'!$B$5:$B$304,MATCH(B669,'Sản phẩm'!$A$5:$A$304,0)),""))</f>
        <v/>
      </c>
      <c r="D669" s="12" t="n"/>
      <c r="E669" s="11" t="n"/>
      <c r="F669" s="16">
        <f>IF(OR(D669="",E669=""),"",D669*E669)</f>
        <v/>
      </c>
      <c r="G669" s="10" t="n"/>
      <c r="H669" s="14">
        <f>IF(A669="","",MONTH(A669))</f>
        <v/>
      </c>
      <c r="I669" s="14">
        <f>IF(A669="","",YEAR(A669))</f>
        <v/>
      </c>
    </row>
    <row r="670">
      <c r="A670" s="15" t="n"/>
      <c r="B670" s="10" t="n"/>
      <c r="C670" s="14">
        <f>IF(B670="","",IFERROR(INDEX('Sản phẩm'!$B$5:$B$304,MATCH(B670,'Sản phẩm'!$A$5:$A$304,0)),""))</f>
        <v/>
      </c>
      <c r="D670" s="12" t="n"/>
      <c r="E670" s="11" t="n"/>
      <c r="F670" s="16">
        <f>IF(OR(D670="",E670=""),"",D670*E670)</f>
        <v/>
      </c>
      <c r="G670" s="10" t="n"/>
      <c r="H670" s="14">
        <f>IF(A670="","",MONTH(A670))</f>
        <v/>
      </c>
      <c r="I670" s="14">
        <f>IF(A670="","",YEAR(A670))</f>
        <v/>
      </c>
    </row>
    <row r="671">
      <c r="A671" s="15" t="n"/>
      <c r="B671" s="10" t="n"/>
      <c r="C671" s="14">
        <f>IF(B671="","",IFERROR(INDEX('Sản phẩm'!$B$5:$B$304,MATCH(B671,'Sản phẩm'!$A$5:$A$304,0)),""))</f>
        <v/>
      </c>
      <c r="D671" s="12" t="n"/>
      <c r="E671" s="11" t="n"/>
      <c r="F671" s="16">
        <f>IF(OR(D671="",E671=""),"",D671*E671)</f>
        <v/>
      </c>
      <c r="G671" s="10" t="n"/>
      <c r="H671" s="14">
        <f>IF(A671="","",MONTH(A671))</f>
        <v/>
      </c>
      <c r="I671" s="14">
        <f>IF(A671="","",YEAR(A671))</f>
        <v/>
      </c>
    </row>
    <row r="672">
      <c r="A672" s="15" t="n"/>
      <c r="B672" s="10" t="n"/>
      <c r="C672" s="14">
        <f>IF(B672="","",IFERROR(INDEX('Sản phẩm'!$B$5:$B$304,MATCH(B672,'Sản phẩm'!$A$5:$A$304,0)),""))</f>
        <v/>
      </c>
      <c r="D672" s="12" t="n"/>
      <c r="E672" s="11" t="n"/>
      <c r="F672" s="16">
        <f>IF(OR(D672="",E672=""),"",D672*E672)</f>
        <v/>
      </c>
      <c r="G672" s="10" t="n"/>
      <c r="H672" s="14">
        <f>IF(A672="","",MONTH(A672))</f>
        <v/>
      </c>
      <c r="I672" s="14">
        <f>IF(A672="","",YEAR(A672))</f>
        <v/>
      </c>
    </row>
    <row r="673">
      <c r="A673" s="15" t="n"/>
      <c r="B673" s="10" t="n"/>
      <c r="C673" s="14">
        <f>IF(B673="","",IFERROR(INDEX('Sản phẩm'!$B$5:$B$304,MATCH(B673,'Sản phẩm'!$A$5:$A$304,0)),""))</f>
        <v/>
      </c>
      <c r="D673" s="12" t="n"/>
      <c r="E673" s="11" t="n"/>
      <c r="F673" s="16">
        <f>IF(OR(D673="",E673=""),"",D673*E673)</f>
        <v/>
      </c>
      <c r="G673" s="10" t="n"/>
      <c r="H673" s="14">
        <f>IF(A673="","",MONTH(A673))</f>
        <v/>
      </c>
      <c r="I673" s="14">
        <f>IF(A673="","",YEAR(A673))</f>
        <v/>
      </c>
    </row>
    <row r="674">
      <c r="A674" s="15" t="n"/>
      <c r="B674" s="10" t="n"/>
      <c r="C674" s="14">
        <f>IF(B674="","",IFERROR(INDEX('Sản phẩm'!$B$5:$B$304,MATCH(B674,'Sản phẩm'!$A$5:$A$304,0)),""))</f>
        <v/>
      </c>
      <c r="D674" s="12" t="n"/>
      <c r="E674" s="11" t="n"/>
      <c r="F674" s="16">
        <f>IF(OR(D674="",E674=""),"",D674*E674)</f>
        <v/>
      </c>
      <c r="G674" s="10" t="n"/>
      <c r="H674" s="14">
        <f>IF(A674="","",MONTH(A674))</f>
        <v/>
      </c>
      <c r="I674" s="14">
        <f>IF(A674="","",YEAR(A674))</f>
        <v/>
      </c>
    </row>
    <row r="675">
      <c r="A675" s="15" t="n"/>
      <c r="B675" s="10" t="n"/>
      <c r="C675" s="14">
        <f>IF(B675="","",IFERROR(INDEX('Sản phẩm'!$B$5:$B$304,MATCH(B675,'Sản phẩm'!$A$5:$A$304,0)),""))</f>
        <v/>
      </c>
      <c r="D675" s="12" t="n"/>
      <c r="E675" s="11" t="n"/>
      <c r="F675" s="16">
        <f>IF(OR(D675="",E675=""),"",D675*E675)</f>
        <v/>
      </c>
      <c r="G675" s="10" t="n"/>
      <c r="H675" s="14">
        <f>IF(A675="","",MONTH(A675))</f>
        <v/>
      </c>
      <c r="I675" s="14">
        <f>IF(A675="","",YEAR(A675))</f>
        <v/>
      </c>
    </row>
    <row r="676">
      <c r="A676" s="15" t="n"/>
      <c r="B676" s="10" t="n"/>
      <c r="C676" s="14">
        <f>IF(B676="","",IFERROR(INDEX('Sản phẩm'!$B$5:$B$304,MATCH(B676,'Sản phẩm'!$A$5:$A$304,0)),""))</f>
        <v/>
      </c>
      <c r="D676" s="12" t="n"/>
      <c r="E676" s="11" t="n"/>
      <c r="F676" s="16">
        <f>IF(OR(D676="",E676=""),"",D676*E676)</f>
        <v/>
      </c>
      <c r="G676" s="10" t="n"/>
      <c r="H676" s="14">
        <f>IF(A676="","",MONTH(A676))</f>
        <v/>
      </c>
      <c r="I676" s="14">
        <f>IF(A676="","",YEAR(A676))</f>
        <v/>
      </c>
    </row>
    <row r="677">
      <c r="A677" s="15" t="n"/>
      <c r="B677" s="10" t="n"/>
      <c r="C677" s="14">
        <f>IF(B677="","",IFERROR(INDEX('Sản phẩm'!$B$5:$B$304,MATCH(B677,'Sản phẩm'!$A$5:$A$304,0)),""))</f>
        <v/>
      </c>
      <c r="D677" s="12" t="n"/>
      <c r="E677" s="11" t="n"/>
      <c r="F677" s="16">
        <f>IF(OR(D677="",E677=""),"",D677*E677)</f>
        <v/>
      </c>
      <c r="G677" s="10" t="n"/>
      <c r="H677" s="14">
        <f>IF(A677="","",MONTH(A677))</f>
        <v/>
      </c>
      <c r="I677" s="14">
        <f>IF(A677="","",YEAR(A677))</f>
        <v/>
      </c>
    </row>
    <row r="678">
      <c r="A678" s="15" t="n"/>
      <c r="B678" s="10" t="n"/>
      <c r="C678" s="14">
        <f>IF(B678="","",IFERROR(INDEX('Sản phẩm'!$B$5:$B$304,MATCH(B678,'Sản phẩm'!$A$5:$A$304,0)),""))</f>
        <v/>
      </c>
      <c r="D678" s="12" t="n"/>
      <c r="E678" s="11" t="n"/>
      <c r="F678" s="16">
        <f>IF(OR(D678="",E678=""),"",D678*E678)</f>
        <v/>
      </c>
      <c r="G678" s="10" t="n"/>
      <c r="H678" s="14">
        <f>IF(A678="","",MONTH(A678))</f>
        <v/>
      </c>
      <c r="I678" s="14">
        <f>IF(A678="","",YEAR(A678))</f>
        <v/>
      </c>
    </row>
    <row r="679">
      <c r="A679" s="15" t="n"/>
      <c r="B679" s="10" t="n"/>
      <c r="C679" s="14">
        <f>IF(B679="","",IFERROR(INDEX('Sản phẩm'!$B$5:$B$304,MATCH(B679,'Sản phẩm'!$A$5:$A$304,0)),""))</f>
        <v/>
      </c>
      <c r="D679" s="12" t="n"/>
      <c r="E679" s="11" t="n"/>
      <c r="F679" s="16">
        <f>IF(OR(D679="",E679=""),"",D679*E679)</f>
        <v/>
      </c>
      <c r="G679" s="10" t="n"/>
      <c r="H679" s="14">
        <f>IF(A679="","",MONTH(A679))</f>
        <v/>
      </c>
      <c r="I679" s="14">
        <f>IF(A679="","",YEAR(A679))</f>
        <v/>
      </c>
    </row>
    <row r="680">
      <c r="A680" s="15" t="n"/>
      <c r="B680" s="10" t="n"/>
      <c r="C680" s="14">
        <f>IF(B680="","",IFERROR(INDEX('Sản phẩm'!$B$5:$B$304,MATCH(B680,'Sản phẩm'!$A$5:$A$304,0)),""))</f>
        <v/>
      </c>
      <c r="D680" s="12" t="n"/>
      <c r="E680" s="11" t="n"/>
      <c r="F680" s="16">
        <f>IF(OR(D680="",E680=""),"",D680*E680)</f>
        <v/>
      </c>
      <c r="G680" s="10" t="n"/>
      <c r="H680" s="14">
        <f>IF(A680="","",MONTH(A680))</f>
        <v/>
      </c>
      <c r="I680" s="14">
        <f>IF(A680="","",YEAR(A680))</f>
        <v/>
      </c>
    </row>
    <row r="681">
      <c r="A681" s="15" t="n"/>
      <c r="B681" s="10" t="n"/>
      <c r="C681" s="14">
        <f>IF(B681="","",IFERROR(INDEX('Sản phẩm'!$B$5:$B$304,MATCH(B681,'Sản phẩm'!$A$5:$A$304,0)),""))</f>
        <v/>
      </c>
      <c r="D681" s="12" t="n"/>
      <c r="E681" s="11" t="n"/>
      <c r="F681" s="16">
        <f>IF(OR(D681="",E681=""),"",D681*E681)</f>
        <v/>
      </c>
      <c r="G681" s="10" t="n"/>
      <c r="H681" s="14">
        <f>IF(A681="","",MONTH(A681))</f>
        <v/>
      </c>
      <c r="I681" s="14">
        <f>IF(A681="","",YEAR(A681))</f>
        <v/>
      </c>
    </row>
    <row r="682">
      <c r="A682" s="15" t="n"/>
      <c r="B682" s="10" t="n"/>
      <c r="C682" s="14">
        <f>IF(B682="","",IFERROR(INDEX('Sản phẩm'!$B$5:$B$304,MATCH(B682,'Sản phẩm'!$A$5:$A$304,0)),""))</f>
        <v/>
      </c>
      <c r="D682" s="12" t="n"/>
      <c r="E682" s="11" t="n"/>
      <c r="F682" s="16">
        <f>IF(OR(D682="",E682=""),"",D682*E682)</f>
        <v/>
      </c>
      <c r="G682" s="10" t="n"/>
      <c r="H682" s="14">
        <f>IF(A682="","",MONTH(A682))</f>
        <v/>
      </c>
      <c r="I682" s="14">
        <f>IF(A682="","",YEAR(A682))</f>
        <v/>
      </c>
    </row>
    <row r="683">
      <c r="A683" s="15" t="n"/>
      <c r="B683" s="10" t="n"/>
      <c r="C683" s="14">
        <f>IF(B683="","",IFERROR(INDEX('Sản phẩm'!$B$5:$B$304,MATCH(B683,'Sản phẩm'!$A$5:$A$304,0)),""))</f>
        <v/>
      </c>
      <c r="D683" s="12" t="n"/>
      <c r="E683" s="11" t="n"/>
      <c r="F683" s="16">
        <f>IF(OR(D683="",E683=""),"",D683*E683)</f>
        <v/>
      </c>
      <c r="G683" s="10" t="n"/>
      <c r="H683" s="14">
        <f>IF(A683="","",MONTH(A683))</f>
        <v/>
      </c>
      <c r="I683" s="14">
        <f>IF(A683="","",YEAR(A683))</f>
        <v/>
      </c>
    </row>
    <row r="684">
      <c r="A684" s="15" t="n"/>
      <c r="B684" s="10" t="n"/>
      <c r="C684" s="14">
        <f>IF(B684="","",IFERROR(INDEX('Sản phẩm'!$B$5:$B$304,MATCH(B684,'Sản phẩm'!$A$5:$A$304,0)),""))</f>
        <v/>
      </c>
      <c r="D684" s="12" t="n"/>
      <c r="E684" s="11" t="n"/>
      <c r="F684" s="16">
        <f>IF(OR(D684="",E684=""),"",D684*E684)</f>
        <v/>
      </c>
      <c r="G684" s="10" t="n"/>
      <c r="H684" s="14">
        <f>IF(A684="","",MONTH(A684))</f>
        <v/>
      </c>
      <c r="I684" s="14">
        <f>IF(A684="","",YEAR(A684))</f>
        <v/>
      </c>
    </row>
    <row r="685">
      <c r="A685" s="15" t="n"/>
      <c r="B685" s="10" t="n"/>
      <c r="C685" s="14">
        <f>IF(B685="","",IFERROR(INDEX('Sản phẩm'!$B$5:$B$304,MATCH(B685,'Sản phẩm'!$A$5:$A$304,0)),""))</f>
        <v/>
      </c>
      <c r="D685" s="12" t="n"/>
      <c r="E685" s="11" t="n"/>
      <c r="F685" s="16">
        <f>IF(OR(D685="",E685=""),"",D685*E685)</f>
        <v/>
      </c>
      <c r="G685" s="10" t="n"/>
      <c r="H685" s="14">
        <f>IF(A685="","",MONTH(A685))</f>
        <v/>
      </c>
      <c r="I685" s="14">
        <f>IF(A685="","",YEAR(A685))</f>
        <v/>
      </c>
    </row>
    <row r="686">
      <c r="A686" s="15" t="n"/>
      <c r="B686" s="10" t="n"/>
      <c r="C686" s="14">
        <f>IF(B686="","",IFERROR(INDEX('Sản phẩm'!$B$5:$B$304,MATCH(B686,'Sản phẩm'!$A$5:$A$304,0)),""))</f>
        <v/>
      </c>
      <c r="D686" s="12" t="n"/>
      <c r="E686" s="11" t="n"/>
      <c r="F686" s="16">
        <f>IF(OR(D686="",E686=""),"",D686*E686)</f>
        <v/>
      </c>
      <c r="G686" s="10" t="n"/>
      <c r="H686" s="14">
        <f>IF(A686="","",MONTH(A686))</f>
        <v/>
      </c>
      <c r="I686" s="14">
        <f>IF(A686="","",YEAR(A686))</f>
        <v/>
      </c>
    </row>
    <row r="687">
      <c r="A687" s="15" t="n"/>
      <c r="B687" s="10" t="n"/>
      <c r="C687" s="14">
        <f>IF(B687="","",IFERROR(INDEX('Sản phẩm'!$B$5:$B$304,MATCH(B687,'Sản phẩm'!$A$5:$A$304,0)),""))</f>
        <v/>
      </c>
      <c r="D687" s="12" t="n"/>
      <c r="E687" s="11" t="n"/>
      <c r="F687" s="16">
        <f>IF(OR(D687="",E687=""),"",D687*E687)</f>
        <v/>
      </c>
      <c r="G687" s="10" t="n"/>
      <c r="H687" s="14">
        <f>IF(A687="","",MONTH(A687))</f>
        <v/>
      </c>
      <c r="I687" s="14">
        <f>IF(A687="","",YEAR(A687))</f>
        <v/>
      </c>
    </row>
    <row r="688">
      <c r="A688" s="15" t="n"/>
      <c r="B688" s="10" t="n"/>
      <c r="C688" s="14">
        <f>IF(B688="","",IFERROR(INDEX('Sản phẩm'!$B$5:$B$304,MATCH(B688,'Sản phẩm'!$A$5:$A$304,0)),""))</f>
        <v/>
      </c>
      <c r="D688" s="12" t="n"/>
      <c r="E688" s="11" t="n"/>
      <c r="F688" s="16">
        <f>IF(OR(D688="",E688=""),"",D688*E688)</f>
        <v/>
      </c>
      <c r="G688" s="10" t="n"/>
      <c r="H688" s="14">
        <f>IF(A688="","",MONTH(A688))</f>
        <v/>
      </c>
      <c r="I688" s="14">
        <f>IF(A688="","",YEAR(A688))</f>
        <v/>
      </c>
    </row>
    <row r="689">
      <c r="A689" s="15" t="n"/>
      <c r="B689" s="10" t="n"/>
      <c r="C689" s="14">
        <f>IF(B689="","",IFERROR(INDEX('Sản phẩm'!$B$5:$B$304,MATCH(B689,'Sản phẩm'!$A$5:$A$304,0)),""))</f>
        <v/>
      </c>
      <c r="D689" s="12" t="n"/>
      <c r="E689" s="11" t="n"/>
      <c r="F689" s="16">
        <f>IF(OR(D689="",E689=""),"",D689*E689)</f>
        <v/>
      </c>
      <c r="G689" s="10" t="n"/>
      <c r="H689" s="14">
        <f>IF(A689="","",MONTH(A689))</f>
        <v/>
      </c>
      <c r="I689" s="14">
        <f>IF(A689="","",YEAR(A689))</f>
        <v/>
      </c>
    </row>
    <row r="690">
      <c r="A690" s="15" t="n"/>
      <c r="B690" s="10" t="n"/>
      <c r="C690" s="14">
        <f>IF(B690="","",IFERROR(INDEX('Sản phẩm'!$B$5:$B$304,MATCH(B690,'Sản phẩm'!$A$5:$A$304,0)),""))</f>
        <v/>
      </c>
      <c r="D690" s="12" t="n"/>
      <c r="E690" s="11" t="n"/>
      <c r="F690" s="16">
        <f>IF(OR(D690="",E690=""),"",D690*E690)</f>
        <v/>
      </c>
      <c r="G690" s="10" t="n"/>
      <c r="H690" s="14">
        <f>IF(A690="","",MONTH(A690))</f>
        <v/>
      </c>
      <c r="I690" s="14">
        <f>IF(A690="","",YEAR(A690))</f>
        <v/>
      </c>
    </row>
    <row r="691">
      <c r="A691" s="15" t="n"/>
      <c r="B691" s="10" t="n"/>
      <c r="C691" s="14">
        <f>IF(B691="","",IFERROR(INDEX('Sản phẩm'!$B$5:$B$304,MATCH(B691,'Sản phẩm'!$A$5:$A$304,0)),""))</f>
        <v/>
      </c>
      <c r="D691" s="12" t="n"/>
      <c r="E691" s="11" t="n"/>
      <c r="F691" s="16">
        <f>IF(OR(D691="",E691=""),"",D691*E691)</f>
        <v/>
      </c>
      <c r="G691" s="10" t="n"/>
      <c r="H691" s="14">
        <f>IF(A691="","",MONTH(A691))</f>
        <v/>
      </c>
      <c r="I691" s="14">
        <f>IF(A691="","",YEAR(A691))</f>
        <v/>
      </c>
    </row>
    <row r="692">
      <c r="A692" s="15" t="n"/>
      <c r="B692" s="10" t="n"/>
      <c r="C692" s="14">
        <f>IF(B692="","",IFERROR(INDEX('Sản phẩm'!$B$5:$B$304,MATCH(B692,'Sản phẩm'!$A$5:$A$304,0)),""))</f>
        <v/>
      </c>
      <c r="D692" s="12" t="n"/>
      <c r="E692" s="11" t="n"/>
      <c r="F692" s="16">
        <f>IF(OR(D692="",E692=""),"",D692*E692)</f>
        <v/>
      </c>
      <c r="G692" s="10" t="n"/>
      <c r="H692" s="14">
        <f>IF(A692="","",MONTH(A692))</f>
        <v/>
      </c>
      <c r="I692" s="14">
        <f>IF(A692="","",YEAR(A692))</f>
        <v/>
      </c>
    </row>
    <row r="693">
      <c r="A693" s="15" t="n"/>
      <c r="B693" s="10" t="n"/>
      <c r="C693" s="14">
        <f>IF(B693="","",IFERROR(INDEX('Sản phẩm'!$B$5:$B$304,MATCH(B693,'Sản phẩm'!$A$5:$A$304,0)),""))</f>
        <v/>
      </c>
      <c r="D693" s="12" t="n"/>
      <c r="E693" s="11" t="n"/>
      <c r="F693" s="16">
        <f>IF(OR(D693="",E693=""),"",D693*E693)</f>
        <v/>
      </c>
      <c r="G693" s="10" t="n"/>
      <c r="H693" s="14">
        <f>IF(A693="","",MONTH(A693))</f>
        <v/>
      </c>
      <c r="I693" s="14">
        <f>IF(A693="","",YEAR(A693))</f>
        <v/>
      </c>
    </row>
    <row r="694">
      <c r="A694" s="15" t="n"/>
      <c r="B694" s="10" t="n"/>
      <c r="C694" s="14">
        <f>IF(B694="","",IFERROR(INDEX('Sản phẩm'!$B$5:$B$304,MATCH(B694,'Sản phẩm'!$A$5:$A$304,0)),""))</f>
        <v/>
      </c>
      <c r="D694" s="12" t="n"/>
      <c r="E694" s="11" t="n"/>
      <c r="F694" s="16">
        <f>IF(OR(D694="",E694=""),"",D694*E694)</f>
        <v/>
      </c>
      <c r="G694" s="10" t="n"/>
      <c r="H694" s="14">
        <f>IF(A694="","",MONTH(A694))</f>
        <v/>
      </c>
      <c r="I694" s="14">
        <f>IF(A694="","",YEAR(A694))</f>
        <v/>
      </c>
    </row>
    <row r="695">
      <c r="A695" s="15" t="n"/>
      <c r="B695" s="10" t="n"/>
      <c r="C695" s="14">
        <f>IF(B695="","",IFERROR(INDEX('Sản phẩm'!$B$5:$B$304,MATCH(B695,'Sản phẩm'!$A$5:$A$304,0)),""))</f>
        <v/>
      </c>
      <c r="D695" s="12" t="n"/>
      <c r="E695" s="11" t="n"/>
      <c r="F695" s="16">
        <f>IF(OR(D695="",E695=""),"",D695*E695)</f>
        <v/>
      </c>
      <c r="G695" s="10" t="n"/>
      <c r="H695" s="14">
        <f>IF(A695="","",MONTH(A695))</f>
        <v/>
      </c>
      <c r="I695" s="14">
        <f>IF(A695="","",YEAR(A695))</f>
        <v/>
      </c>
    </row>
    <row r="696">
      <c r="A696" s="15" t="n"/>
      <c r="B696" s="10" t="n"/>
      <c r="C696" s="14">
        <f>IF(B696="","",IFERROR(INDEX('Sản phẩm'!$B$5:$B$304,MATCH(B696,'Sản phẩm'!$A$5:$A$304,0)),""))</f>
        <v/>
      </c>
      <c r="D696" s="12" t="n"/>
      <c r="E696" s="11" t="n"/>
      <c r="F696" s="16">
        <f>IF(OR(D696="",E696=""),"",D696*E696)</f>
        <v/>
      </c>
      <c r="G696" s="10" t="n"/>
      <c r="H696" s="14">
        <f>IF(A696="","",MONTH(A696))</f>
        <v/>
      </c>
      <c r="I696" s="14">
        <f>IF(A696="","",YEAR(A696))</f>
        <v/>
      </c>
    </row>
    <row r="697">
      <c r="A697" s="15" t="n"/>
      <c r="B697" s="10" t="n"/>
      <c r="C697" s="14">
        <f>IF(B697="","",IFERROR(INDEX('Sản phẩm'!$B$5:$B$304,MATCH(B697,'Sản phẩm'!$A$5:$A$304,0)),""))</f>
        <v/>
      </c>
      <c r="D697" s="12" t="n"/>
      <c r="E697" s="11" t="n"/>
      <c r="F697" s="16">
        <f>IF(OR(D697="",E697=""),"",D697*E697)</f>
        <v/>
      </c>
      <c r="G697" s="10" t="n"/>
      <c r="H697" s="14">
        <f>IF(A697="","",MONTH(A697))</f>
        <v/>
      </c>
      <c r="I697" s="14">
        <f>IF(A697="","",YEAR(A697))</f>
        <v/>
      </c>
    </row>
    <row r="698">
      <c r="A698" s="15" t="n"/>
      <c r="B698" s="10" t="n"/>
      <c r="C698" s="14">
        <f>IF(B698="","",IFERROR(INDEX('Sản phẩm'!$B$5:$B$304,MATCH(B698,'Sản phẩm'!$A$5:$A$304,0)),""))</f>
        <v/>
      </c>
      <c r="D698" s="12" t="n"/>
      <c r="E698" s="11" t="n"/>
      <c r="F698" s="16">
        <f>IF(OR(D698="",E698=""),"",D698*E698)</f>
        <v/>
      </c>
      <c r="G698" s="10" t="n"/>
      <c r="H698" s="14">
        <f>IF(A698="","",MONTH(A698))</f>
        <v/>
      </c>
      <c r="I698" s="14">
        <f>IF(A698="","",YEAR(A698))</f>
        <v/>
      </c>
    </row>
    <row r="699">
      <c r="A699" s="15" t="n"/>
      <c r="B699" s="10" t="n"/>
      <c r="C699" s="14">
        <f>IF(B699="","",IFERROR(INDEX('Sản phẩm'!$B$5:$B$304,MATCH(B699,'Sản phẩm'!$A$5:$A$304,0)),""))</f>
        <v/>
      </c>
      <c r="D699" s="12" t="n"/>
      <c r="E699" s="11" t="n"/>
      <c r="F699" s="16">
        <f>IF(OR(D699="",E699=""),"",D699*E699)</f>
        <v/>
      </c>
      <c r="G699" s="10" t="n"/>
      <c r="H699" s="14">
        <f>IF(A699="","",MONTH(A699))</f>
        <v/>
      </c>
      <c r="I699" s="14">
        <f>IF(A699="","",YEAR(A699))</f>
        <v/>
      </c>
    </row>
    <row r="700">
      <c r="A700" s="15" t="n"/>
      <c r="B700" s="10" t="n"/>
      <c r="C700" s="14">
        <f>IF(B700="","",IFERROR(INDEX('Sản phẩm'!$B$5:$B$304,MATCH(B700,'Sản phẩm'!$A$5:$A$304,0)),""))</f>
        <v/>
      </c>
      <c r="D700" s="12" t="n"/>
      <c r="E700" s="11" t="n"/>
      <c r="F700" s="16">
        <f>IF(OR(D700="",E700=""),"",D700*E700)</f>
        <v/>
      </c>
      <c r="G700" s="10" t="n"/>
      <c r="H700" s="14">
        <f>IF(A700="","",MONTH(A700))</f>
        <v/>
      </c>
      <c r="I700" s="14">
        <f>IF(A700="","",YEAR(A700))</f>
        <v/>
      </c>
    </row>
    <row r="701">
      <c r="A701" s="15" t="n"/>
      <c r="B701" s="10" t="n"/>
      <c r="C701" s="14">
        <f>IF(B701="","",IFERROR(INDEX('Sản phẩm'!$B$5:$B$304,MATCH(B701,'Sản phẩm'!$A$5:$A$304,0)),""))</f>
        <v/>
      </c>
      <c r="D701" s="12" t="n"/>
      <c r="E701" s="11" t="n"/>
      <c r="F701" s="16">
        <f>IF(OR(D701="",E701=""),"",D701*E701)</f>
        <v/>
      </c>
      <c r="G701" s="10" t="n"/>
      <c r="H701" s="14">
        <f>IF(A701="","",MONTH(A701))</f>
        <v/>
      </c>
      <c r="I701" s="14">
        <f>IF(A701="","",YEAR(A701))</f>
        <v/>
      </c>
    </row>
    <row r="702">
      <c r="A702" s="15" t="n"/>
      <c r="B702" s="10" t="n"/>
      <c r="C702" s="14">
        <f>IF(B702="","",IFERROR(INDEX('Sản phẩm'!$B$5:$B$304,MATCH(B702,'Sản phẩm'!$A$5:$A$304,0)),""))</f>
        <v/>
      </c>
      <c r="D702" s="12" t="n"/>
      <c r="E702" s="11" t="n"/>
      <c r="F702" s="16">
        <f>IF(OR(D702="",E702=""),"",D702*E702)</f>
        <v/>
      </c>
      <c r="G702" s="10" t="n"/>
      <c r="H702" s="14">
        <f>IF(A702="","",MONTH(A702))</f>
        <v/>
      </c>
      <c r="I702" s="14">
        <f>IF(A702="","",YEAR(A702))</f>
        <v/>
      </c>
    </row>
    <row r="703">
      <c r="A703" s="15" t="n"/>
      <c r="B703" s="10" t="n"/>
      <c r="C703" s="14">
        <f>IF(B703="","",IFERROR(INDEX('Sản phẩm'!$B$5:$B$304,MATCH(B703,'Sản phẩm'!$A$5:$A$304,0)),""))</f>
        <v/>
      </c>
      <c r="D703" s="12" t="n"/>
      <c r="E703" s="11" t="n"/>
      <c r="F703" s="16">
        <f>IF(OR(D703="",E703=""),"",D703*E703)</f>
        <v/>
      </c>
      <c r="G703" s="10" t="n"/>
      <c r="H703" s="14">
        <f>IF(A703="","",MONTH(A703))</f>
        <v/>
      </c>
      <c r="I703" s="14">
        <f>IF(A703="","",YEAR(A703))</f>
        <v/>
      </c>
    </row>
    <row r="704">
      <c r="A704" s="15" t="n"/>
      <c r="B704" s="10" t="n"/>
      <c r="C704" s="14">
        <f>IF(B704="","",IFERROR(INDEX('Sản phẩm'!$B$5:$B$304,MATCH(B704,'Sản phẩm'!$A$5:$A$304,0)),""))</f>
        <v/>
      </c>
      <c r="D704" s="12" t="n"/>
      <c r="E704" s="11" t="n"/>
      <c r="F704" s="16">
        <f>IF(OR(D704="",E704=""),"",D704*E704)</f>
        <v/>
      </c>
      <c r="G704" s="10" t="n"/>
      <c r="H704" s="14">
        <f>IF(A704="","",MONTH(A704))</f>
        <v/>
      </c>
      <c r="I704" s="14">
        <f>IF(A704="","",YEAR(A704))</f>
        <v/>
      </c>
    </row>
    <row r="705">
      <c r="A705" s="15" t="n"/>
      <c r="B705" s="10" t="n"/>
      <c r="C705" s="14">
        <f>IF(B705="","",IFERROR(INDEX('Sản phẩm'!$B$5:$B$304,MATCH(B705,'Sản phẩm'!$A$5:$A$304,0)),""))</f>
        <v/>
      </c>
      <c r="D705" s="12" t="n"/>
      <c r="E705" s="11" t="n"/>
      <c r="F705" s="16">
        <f>IF(OR(D705="",E705=""),"",D705*E705)</f>
        <v/>
      </c>
      <c r="G705" s="10" t="n"/>
      <c r="H705" s="14">
        <f>IF(A705="","",MONTH(A705))</f>
        <v/>
      </c>
      <c r="I705" s="14">
        <f>IF(A705="","",YEAR(A705))</f>
        <v/>
      </c>
    </row>
    <row r="706">
      <c r="A706" s="15" t="n"/>
      <c r="B706" s="10" t="n"/>
      <c r="C706" s="14">
        <f>IF(B706="","",IFERROR(INDEX('Sản phẩm'!$B$5:$B$304,MATCH(B706,'Sản phẩm'!$A$5:$A$304,0)),""))</f>
        <v/>
      </c>
      <c r="D706" s="12" t="n"/>
      <c r="E706" s="11" t="n"/>
      <c r="F706" s="16">
        <f>IF(OR(D706="",E706=""),"",D706*E706)</f>
        <v/>
      </c>
      <c r="G706" s="10" t="n"/>
      <c r="H706" s="14">
        <f>IF(A706="","",MONTH(A706))</f>
        <v/>
      </c>
      <c r="I706" s="14">
        <f>IF(A706="","",YEAR(A706))</f>
        <v/>
      </c>
    </row>
    <row r="707">
      <c r="A707" s="15" t="n"/>
      <c r="B707" s="10" t="n"/>
      <c r="C707" s="14">
        <f>IF(B707="","",IFERROR(INDEX('Sản phẩm'!$B$5:$B$304,MATCH(B707,'Sản phẩm'!$A$5:$A$304,0)),""))</f>
        <v/>
      </c>
      <c r="D707" s="12" t="n"/>
      <c r="E707" s="11" t="n"/>
      <c r="F707" s="16">
        <f>IF(OR(D707="",E707=""),"",D707*E707)</f>
        <v/>
      </c>
      <c r="G707" s="10" t="n"/>
      <c r="H707" s="14">
        <f>IF(A707="","",MONTH(A707))</f>
        <v/>
      </c>
      <c r="I707" s="14">
        <f>IF(A707="","",YEAR(A707))</f>
        <v/>
      </c>
    </row>
    <row r="708">
      <c r="A708" s="15" t="n"/>
      <c r="B708" s="10" t="n"/>
      <c r="C708" s="14">
        <f>IF(B708="","",IFERROR(INDEX('Sản phẩm'!$B$5:$B$304,MATCH(B708,'Sản phẩm'!$A$5:$A$304,0)),""))</f>
        <v/>
      </c>
      <c r="D708" s="12" t="n"/>
      <c r="E708" s="11" t="n"/>
      <c r="F708" s="16">
        <f>IF(OR(D708="",E708=""),"",D708*E708)</f>
        <v/>
      </c>
      <c r="G708" s="10" t="n"/>
      <c r="H708" s="14">
        <f>IF(A708="","",MONTH(A708))</f>
        <v/>
      </c>
      <c r="I708" s="14">
        <f>IF(A708="","",YEAR(A708))</f>
        <v/>
      </c>
    </row>
    <row r="709">
      <c r="A709" s="15" t="n"/>
      <c r="B709" s="10" t="n"/>
      <c r="C709" s="14">
        <f>IF(B709="","",IFERROR(INDEX('Sản phẩm'!$B$5:$B$304,MATCH(B709,'Sản phẩm'!$A$5:$A$304,0)),""))</f>
        <v/>
      </c>
      <c r="D709" s="12" t="n"/>
      <c r="E709" s="11" t="n"/>
      <c r="F709" s="16">
        <f>IF(OR(D709="",E709=""),"",D709*E709)</f>
        <v/>
      </c>
      <c r="G709" s="10" t="n"/>
      <c r="H709" s="14">
        <f>IF(A709="","",MONTH(A709))</f>
        <v/>
      </c>
      <c r="I709" s="14">
        <f>IF(A709="","",YEAR(A709))</f>
        <v/>
      </c>
    </row>
    <row r="710">
      <c r="A710" s="15" t="n"/>
      <c r="B710" s="10" t="n"/>
      <c r="C710" s="14">
        <f>IF(B710="","",IFERROR(INDEX('Sản phẩm'!$B$5:$B$304,MATCH(B710,'Sản phẩm'!$A$5:$A$304,0)),""))</f>
        <v/>
      </c>
      <c r="D710" s="12" t="n"/>
      <c r="E710" s="11" t="n"/>
      <c r="F710" s="16">
        <f>IF(OR(D710="",E710=""),"",D710*E710)</f>
        <v/>
      </c>
      <c r="G710" s="10" t="n"/>
      <c r="H710" s="14">
        <f>IF(A710="","",MONTH(A710))</f>
        <v/>
      </c>
      <c r="I710" s="14">
        <f>IF(A710="","",YEAR(A710))</f>
        <v/>
      </c>
    </row>
    <row r="711">
      <c r="A711" s="15" t="n"/>
      <c r="B711" s="10" t="n"/>
      <c r="C711" s="14">
        <f>IF(B711="","",IFERROR(INDEX('Sản phẩm'!$B$5:$B$304,MATCH(B711,'Sản phẩm'!$A$5:$A$304,0)),""))</f>
        <v/>
      </c>
      <c r="D711" s="12" t="n"/>
      <c r="E711" s="11" t="n"/>
      <c r="F711" s="16">
        <f>IF(OR(D711="",E711=""),"",D711*E711)</f>
        <v/>
      </c>
      <c r="G711" s="10" t="n"/>
      <c r="H711" s="14">
        <f>IF(A711="","",MONTH(A711))</f>
        <v/>
      </c>
      <c r="I711" s="14">
        <f>IF(A711="","",YEAR(A711))</f>
        <v/>
      </c>
    </row>
    <row r="712">
      <c r="A712" s="15" t="n"/>
      <c r="B712" s="10" t="n"/>
      <c r="C712" s="14">
        <f>IF(B712="","",IFERROR(INDEX('Sản phẩm'!$B$5:$B$304,MATCH(B712,'Sản phẩm'!$A$5:$A$304,0)),""))</f>
        <v/>
      </c>
      <c r="D712" s="12" t="n"/>
      <c r="E712" s="11" t="n"/>
      <c r="F712" s="16">
        <f>IF(OR(D712="",E712=""),"",D712*E712)</f>
        <v/>
      </c>
      <c r="G712" s="10" t="n"/>
      <c r="H712" s="14">
        <f>IF(A712="","",MONTH(A712))</f>
        <v/>
      </c>
      <c r="I712" s="14">
        <f>IF(A712="","",YEAR(A712))</f>
        <v/>
      </c>
    </row>
    <row r="713">
      <c r="A713" s="15" t="n"/>
      <c r="B713" s="10" t="n"/>
      <c r="C713" s="14">
        <f>IF(B713="","",IFERROR(INDEX('Sản phẩm'!$B$5:$B$304,MATCH(B713,'Sản phẩm'!$A$5:$A$304,0)),""))</f>
        <v/>
      </c>
      <c r="D713" s="12" t="n"/>
      <c r="E713" s="11" t="n"/>
      <c r="F713" s="16">
        <f>IF(OR(D713="",E713=""),"",D713*E713)</f>
        <v/>
      </c>
      <c r="G713" s="10" t="n"/>
      <c r="H713" s="14">
        <f>IF(A713="","",MONTH(A713))</f>
        <v/>
      </c>
      <c r="I713" s="14">
        <f>IF(A713="","",YEAR(A713))</f>
        <v/>
      </c>
    </row>
    <row r="714">
      <c r="A714" s="15" t="n"/>
      <c r="B714" s="10" t="n"/>
      <c r="C714" s="14">
        <f>IF(B714="","",IFERROR(INDEX('Sản phẩm'!$B$5:$B$304,MATCH(B714,'Sản phẩm'!$A$5:$A$304,0)),""))</f>
        <v/>
      </c>
      <c r="D714" s="12" t="n"/>
      <c r="E714" s="11" t="n"/>
      <c r="F714" s="16">
        <f>IF(OR(D714="",E714=""),"",D714*E714)</f>
        <v/>
      </c>
      <c r="G714" s="10" t="n"/>
      <c r="H714" s="14">
        <f>IF(A714="","",MONTH(A714))</f>
        <v/>
      </c>
      <c r="I714" s="14">
        <f>IF(A714="","",YEAR(A714))</f>
        <v/>
      </c>
    </row>
    <row r="715">
      <c r="A715" s="15" t="n"/>
      <c r="B715" s="10" t="n"/>
      <c r="C715" s="14">
        <f>IF(B715="","",IFERROR(INDEX('Sản phẩm'!$B$5:$B$304,MATCH(B715,'Sản phẩm'!$A$5:$A$304,0)),""))</f>
        <v/>
      </c>
      <c r="D715" s="12" t="n"/>
      <c r="E715" s="11" t="n"/>
      <c r="F715" s="16">
        <f>IF(OR(D715="",E715=""),"",D715*E715)</f>
        <v/>
      </c>
      <c r="G715" s="10" t="n"/>
      <c r="H715" s="14">
        <f>IF(A715="","",MONTH(A715))</f>
        <v/>
      </c>
      <c r="I715" s="14">
        <f>IF(A715="","",YEAR(A715))</f>
        <v/>
      </c>
    </row>
    <row r="716">
      <c r="A716" s="15" t="n"/>
      <c r="B716" s="10" t="n"/>
      <c r="C716" s="14">
        <f>IF(B716="","",IFERROR(INDEX('Sản phẩm'!$B$5:$B$304,MATCH(B716,'Sản phẩm'!$A$5:$A$304,0)),""))</f>
        <v/>
      </c>
      <c r="D716" s="12" t="n"/>
      <c r="E716" s="11" t="n"/>
      <c r="F716" s="16">
        <f>IF(OR(D716="",E716=""),"",D716*E716)</f>
        <v/>
      </c>
      <c r="G716" s="10" t="n"/>
      <c r="H716" s="14">
        <f>IF(A716="","",MONTH(A716))</f>
        <v/>
      </c>
      <c r="I716" s="14">
        <f>IF(A716="","",YEAR(A716))</f>
        <v/>
      </c>
    </row>
    <row r="717">
      <c r="A717" s="15" t="n"/>
      <c r="B717" s="10" t="n"/>
      <c r="C717" s="14">
        <f>IF(B717="","",IFERROR(INDEX('Sản phẩm'!$B$5:$B$304,MATCH(B717,'Sản phẩm'!$A$5:$A$304,0)),""))</f>
        <v/>
      </c>
      <c r="D717" s="12" t="n"/>
      <c r="E717" s="11" t="n"/>
      <c r="F717" s="16">
        <f>IF(OR(D717="",E717=""),"",D717*E717)</f>
        <v/>
      </c>
      <c r="G717" s="10" t="n"/>
      <c r="H717" s="14">
        <f>IF(A717="","",MONTH(A717))</f>
        <v/>
      </c>
      <c r="I717" s="14">
        <f>IF(A717="","",YEAR(A717))</f>
        <v/>
      </c>
    </row>
    <row r="718">
      <c r="A718" s="15" t="n"/>
      <c r="B718" s="10" t="n"/>
      <c r="C718" s="14">
        <f>IF(B718="","",IFERROR(INDEX('Sản phẩm'!$B$5:$B$304,MATCH(B718,'Sản phẩm'!$A$5:$A$304,0)),""))</f>
        <v/>
      </c>
      <c r="D718" s="12" t="n"/>
      <c r="E718" s="11" t="n"/>
      <c r="F718" s="16">
        <f>IF(OR(D718="",E718=""),"",D718*E718)</f>
        <v/>
      </c>
      <c r="G718" s="10" t="n"/>
      <c r="H718" s="14">
        <f>IF(A718="","",MONTH(A718))</f>
        <v/>
      </c>
      <c r="I718" s="14">
        <f>IF(A718="","",YEAR(A718))</f>
        <v/>
      </c>
    </row>
    <row r="719">
      <c r="A719" s="15" t="n"/>
      <c r="B719" s="10" t="n"/>
      <c r="C719" s="14">
        <f>IF(B719="","",IFERROR(INDEX('Sản phẩm'!$B$5:$B$304,MATCH(B719,'Sản phẩm'!$A$5:$A$304,0)),""))</f>
        <v/>
      </c>
      <c r="D719" s="12" t="n"/>
      <c r="E719" s="11" t="n"/>
      <c r="F719" s="16">
        <f>IF(OR(D719="",E719=""),"",D719*E719)</f>
        <v/>
      </c>
      <c r="G719" s="10" t="n"/>
      <c r="H719" s="14">
        <f>IF(A719="","",MONTH(A719))</f>
        <v/>
      </c>
      <c r="I719" s="14">
        <f>IF(A719="","",YEAR(A719))</f>
        <v/>
      </c>
    </row>
    <row r="720">
      <c r="A720" s="15" t="n"/>
      <c r="B720" s="10" t="n"/>
      <c r="C720" s="14">
        <f>IF(B720="","",IFERROR(INDEX('Sản phẩm'!$B$5:$B$304,MATCH(B720,'Sản phẩm'!$A$5:$A$304,0)),""))</f>
        <v/>
      </c>
      <c r="D720" s="12" t="n"/>
      <c r="E720" s="11" t="n"/>
      <c r="F720" s="16">
        <f>IF(OR(D720="",E720=""),"",D720*E720)</f>
        <v/>
      </c>
      <c r="G720" s="10" t="n"/>
      <c r="H720" s="14">
        <f>IF(A720="","",MONTH(A720))</f>
        <v/>
      </c>
      <c r="I720" s="14">
        <f>IF(A720="","",YEAR(A720))</f>
        <v/>
      </c>
    </row>
    <row r="721">
      <c r="A721" s="15" t="n"/>
      <c r="B721" s="10" t="n"/>
      <c r="C721" s="14">
        <f>IF(B721="","",IFERROR(INDEX('Sản phẩm'!$B$5:$B$304,MATCH(B721,'Sản phẩm'!$A$5:$A$304,0)),""))</f>
        <v/>
      </c>
      <c r="D721" s="12" t="n"/>
      <c r="E721" s="11" t="n"/>
      <c r="F721" s="16">
        <f>IF(OR(D721="",E721=""),"",D721*E721)</f>
        <v/>
      </c>
      <c r="G721" s="10" t="n"/>
      <c r="H721" s="14">
        <f>IF(A721="","",MONTH(A721))</f>
        <v/>
      </c>
      <c r="I721" s="14">
        <f>IF(A721="","",YEAR(A721))</f>
        <v/>
      </c>
    </row>
    <row r="722">
      <c r="A722" s="15" t="n"/>
      <c r="B722" s="10" t="n"/>
      <c r="C722" s="14">
        <f>IF(B722="","",IFERROR(INDEX('Sản phẩm'!$B$5:$B$304,MATCH(B722,'Sản phẩm'!$A$5:$A$304,0)),""))</f>
        <v/>
      </c>
      <c r="D722" s="12" t="n"/>
      <c r="E722" s="11" t="n"/>
      <c r="F722" s="16">
        <f>IF(OR(D722="",E722=""),"",D722*E722)</f>
        <v/>
      </c>
      <c r="G722" s="10" t="n"/>
      <c r="H722" s="14">
        <f>IF(A722="","",MONTH(A722))</f>
        <v/>
      </c>
      <c r="I722" s="14">
        <f>IF(A722="","",YEAR(A722))</f>
        <v/>
      </c>
    </row>
    <row r="723">
      <c r="A723" s="15" t="n"/>
      <c r="B723" s="10" t="n"/>
      <c r="C723" s="14">
        <f>IF(B723="","",IFERROR(INDEX('Sản phẩm'!$B$5:$B$304,MATCH(B723,'Sản phẩm'!$A$5:$A$304,0)),""))</f>
        <v/>
      </c>
      <c r="D723" s="12" t="n"/>
      <c r="E723" s="11" t="n"/>
      <c r="F723" s="16">
        <f>IF(OR(D723="",E723=""),"",D723*E723)</f>
        <v/>
      </c>
      <c r="G723" s="10" t="n"/>
      <c r="H723" s="14">
        <f>IF(A723="","",MONTH(A723))</f>
        <v/>
      </c>
      <c r="I723" s="14">
        <f>IF(A723="","",YEAR(A723))</f>
        <v/>
      </c>
    </row>
    <row r="724">
      <c r="A724" s="15" t="n"/>
      <c r="B724" s="10" t="n"/>
      <c r="C724" s="14">
        <f>IF(B724="","",IFERROR(INDEX('Sản phẩm'!$B$5:$B$304,MATCH(B724,'Sản phẩm'!$A$5:$A$304,0)),""))</f>
        <v/>
      </c>
      <c r="D724" s="12" t="n"/>
      <c r="E724" s="11" t="n"/>
      <c r="F724" s="16">
        <f>IF(OR(D724="",E724=""),"",D724*E724)</f>
        <v/>
      </c>
      <c r="G724" s="10" t="n"/>
      <c r="H724" s="14">
        <f>IF(A724="","",MONTH(A724))</f>
        <v/>
      </c>
      <c r="I724" s="14">
        <f>IF(A724="","",YEAR(A724))</f>
        <v/>
      </c>
    </row>
    <row r="725">
      <c r="A725" s="15" t="n"/>
      <c r="B725" s="10" t="n"/>
      <c r="C725" s="14">
        <f>IF(B725="","",IFERROR(INDEX('Sản phẩm'!$B$5:$B$304,MATCH(B725,'Sản phẩm'!$A$5:$A$304,0)),""))</f>
        <v/>
      </c>
      <c r="D725" s="12" t="n"/>
      <c r="E725" s="11" t="n"/>
      <c r="F725" s="16">
        <f>IF(OR(D725="",E725=""),"",D725*E725)</f>
        <v/>
      </c>
      <c r="G725" s="10" t="n"/>
      <c r="H725" s="14">
        <f>IF(A725="","",MONTH(A725))</f>
        <v/>
      </c>
      <c r="I725" s="14">
        <f>IF(A725="","",YEAR(A725))</f>
        <v/>
      </c>
    </row>
    <row r="726">
      <c r="A726" s="15" t="n"/>
      <c r="B726" s="10" t="n"/>
      <c r="C726" s="14">
        <f>IF(B726="","",IFERROR(INDEX('Sản phẩm'!$B$5:$B$304,MATCH(B726,'Sản phẩm'!$A$5:$A$304,0)),""))</f>
        <v/>
      </c>
      <c r="D726" s="12" t="n"/>
      <c r="E726" s="11" t="n"/>
      <c r="F726" s="16">
        <f>IF(OR(D726="",E726=""),"",D726*E726)</f>
        <v/>
      </c>
      <c r="G726" s="10" t="n"/>
      <c r="H726" s="14">
        <f>IF(A726="","",MONTH(A726))</f>
        <v/>
      </c>
      <c r="I726" s="14">
        <f>IF(A726="","",YEAR(A726))</f>
        <v/>
      </c>
    </row>
    <row r="727">
      <c r="A727" s="15" t="n"/>
      <c r="B727" s="10" t="n"/>
      <c r="C727" s="14">
        <f>IF(B727="","",IFERROR(INDEX('Sản phẩm'!$B$5:$B$304,MATCH(B727,'Sản phẩm'!$A$5:$A$304,0)),""))</f>
        <v/>
      </c>
      <c r="D727" s="12" t="n"/>
      <c r="E727" s="11" t="n"/>
      <c r="F727" s="16">
        <f>IF(OR(D727="",E727=""),"",D727*E727)</f>
        <v/>
      </c>
      <c r="G727" s="10" t="n"/>
      <c r="H727" s="14">
        <f>IF(A727="","",MONTH(A727))</f>
        <v/>
      </c>
      <c r="I727" s="14">
        <f>IF(A727="","",YEAR(A727))</f>
        <v/>
      </c>
    </row>
    <row r="728">
      <c r="A728" s="15" t="n"/>
      <c r="B728" s="10" t="n"/>
      <c r="C728" s="14">
        <f>IF(B728="","",IFERROR(INDEX('Sản phẩm'!$B$5:$B$304,MATCH(B728,'Sản phẩm'!$A$5:$A$304,0)),""))</f>
        <v/>
      </c>
      <c r="D728" s="12" t="n"/>
      <c r="E728" s="11" t="n"/>
      <c r="F728" s="16">
        <f>IF(OR(D728="",E728=""),"",D728*E728)</f>
        <v/>
      </c>
      <c r="G728" s="10" t="n"/>
      <c r="H728" s="14">
        <f>IF(A728="","",MONTH(A728))</f>
        <v/>
      </c>
      <c r="I728" s="14">
        <f>IF(A728="","",YEAR(A728))</f>
        <v/>
      </c>
    </row>
    <row r="729">
      <c r="A729" s="15" t="n"/>
      <c r="B729" s="10" t="n"/>
      <c r="C729" s="14">
        <f>IF(B729="","",IFERROR(INDEX('Sản phẩm'!$B$5:$B$304,MATCH(B729,'Sản phẩm'!$A$5:$A$304,0)),""))</f>
        <v/>
      </c>
      <c r="D729" s="12" t="n"/>
      <c r="E729" s="11" t="n"/>
      <c r="F729" s="16">
        <f>IF(OR(D729="",E729=""),"",D729*E729)</f>
        <v/>
      </c>
      <c r="G729" s="10" t="n"/>
      <c r="H729" s="14">
        <f>IF(A729="","",MONTH(A729))</f>
        <v/>
      </c>
      <c r="I729" s="14">
        <f>IF(A729="","",YEAR(A729))</f>
        <v/>
      </c>
    </row>
    <row r="730">
      <c r="A730" s="15" t="n"/>
      <c r="B730" s="10" t="n"/>
      <c r="C730" s="14">
        <f>IF(B730="","",IFERROR(INDEX('Sản phẩm'!$B$5:$B$304,MATCH(B730,'Sản phẩm'!$A$5:$A$304,0)),""))</f>
        <v/>
      </c>
      <c r="D730" s="12" t="n"/>
      <c r="E730" s="11" t="n"/>
      <c r="F730" s="16">
        <f>IF(OR(D730="",E730=""),"",D730*E730)</f>
        <v/>
      </c>
      <c r="G730" s="10" t="n"/>
      <c r="H730" s="14">
        <f>IF(A730="","",MONTH(A730))</f>
        <v/>
      </c>
      <c r="I730" s="14">
        <f>IF(A730="","",YEAR(A730))</f>
        <v/>
      </c>
    </row>
    <row r="731">
      <c r="A731" s="15" t="n"/>
      <c r="B731" s="10" t="n"/>
      <c r="C731" s="14">
        <f>IF(B731="","",IFERROR(INDEX('Sản phẩm'!$B$5:$B$304,MATCH(B731,'Sản phẩm'!$A$5:$A$304,0)),""))</f>
        <v/>
      </c>
      <c r="D731" s="12" t="n"/>
      <c r="E731" s="11" t="n"/>
      <c r="F731" s="16">
        <f>IF(OR(D731="",E731=""),"",D731*E731)</f>
        <v/>
      </c>
      <c r="G731" s="10" t="n"/>
      <c r="H731" s="14">
        <f>IF(A731="","",MONTH(A731))</f>
        <v/>
      </c>
      <c r="I731" s="14">
        <f>IF(A731="","",YEAR(A731))</f>
        <v/>
      </c>
    </row>
    <row r="732">
      <c r="A732" s="15" t="n"/>
      <c r="B732" s="10" t="n"/>
      <c r="C732" s="14">
        <f>IF(B732="","",IFERROR(INDEX('Sản phẩm'!$B$5:$B$304,MATCH(B732,'Sản phẩm'!$A$5:$A$304,0)),""))</f>
        <v/>
      </c>
      <c r="D732" s="12" t="n"/>
      <c r="E732" s="11" t="n"/>
      <c r="F732" s="16">
        <f>IF(OR(D732="",E732=""),"",D732*E732)</f>
        <v/>
      </c>
      <c r="G732" s="10" t="n"/>
      <c r="H732" s="14">
        <f>IF(A732="","",MONTH(A732))</f>
        <v/>
      </c>
      <c r="I732" s="14">
        <f>IF(A732="","",YEAR(A732))</f>
        <v/>
      </c>
    </row>
    <row r="733">
      <c r="A733" s="15" t="n"/>
      <c r="B733" s="10" t="n"/>
      <c r="C733" s="14">
        <f>IF(B733="","",IFERROR(INDEX('Sản phẩm'!$B$5:$B$304,MATCH(B733,'Sản phẩm'!$A$5:$A$304,0)),""))</f>
        <v/>
      </c>
      <c r="D733" s="12" t="n"/>
      <c r="E733" s="11" t="n"/>
      <c r="F733" s="16">
        <f>IF(OR(D733="",E733=""),"",D733*E733)</f>
        <v/>
      </c>
      <c r="G733" s="10" t="n"/>
      <c r="H733" s="14">
        <f>IF(A733="","",MONTH(A733))</f>
        <v/>
      </c>
      <c r="I733" s="14">
        <f>IF(A733="","",YEAR(A733))</f>
        <v/>
      </c>
    </row>
    <row r="734">
      <c r="A734" s="15" t="n"/>
      <c r="B734" s="10" t="n"/>
      <c r="C734" s="14">
        <f>IF(B734="","",IFERROR(INDEX('Sản phẩm'!$B$5:$B$304,MATCH(B734,'Sản phẩm'!$A$5:$A$304,0)),""))</f>
        <v/>
      </c>
      <c r="D734" s="12" t="n"/>
      <c r="E734" s="11" t="n"/>
      <c r="F734" s="16">
        <f>IF(OR(D734="",E734=""),"",D734*E734)</f>
        <v/>
      </c>
      <c r="G734" s="10" t="n"/>
      <c r="H734" s="14">
        <f>IF(A734="","",MONTH(A734))</f>
        <v/>
      </c>
      <c r="I734" s="14">
        <f>IF(A734="","",YEAR(A734))</f>
        <v/>
      </c>
    </row>
    <row r="735">
      <c r="A735" s="15" t="n"/>
      <c r="B735" s="10" t="n"/>
      <c r="C735" s="14">
        <f>IF(B735="","",IFERROR(INDEX('Sản phẩm'!$B$5:$B$304,MATCH(B735,'Sản phẩm'!$A$5:$A$304,0)),""))</f>
        <v/>
      </c>
      <c r="D735" s="12" t="n"/>
      <c r="E735" s="11" t="n"/>
      <c r="F735" s="16">
        <f>IF(OR(D735="",E735=""),"",D735*E735)</f>
        <v/>
      </c>
      <c r="G735" s="10" t="n"/>
      <c r="H735" s="14">
        <f>IF(A735="","",MONTH(A735))</f>
        <v/>
      </c>
      <c r="I735" s="14">
        <f>IF(A735="","",YEAR(A735))</f>
        <v/>
      </c>
    </row>
    <row r="736">
      <c r="A736" s="15" t="n"/>
      <c r="B736" s="10" t="n"/>
      <c r="C736" s="14">
        <f>IF(B736="","",IFERROR(INDEX('Sản phẩm'!$B$5:$B$304,MATCH(B736,'Sản phẩm'!$A$5:$A$304,0)),""))</f>
        <v/>
      </c>
      <c r="D736" s="12" t="n"/>
      <c r="E736" s="11" t="n"/>
      <c r="F736" s="16">
        <f>IF(OR(D736="",E736=""),"",D736*E736)</f>
        <v/>
      </c>
      <c r="G736" s="10" t="n"/>
      <c r="H736" s="14">
        <f>IF(A736="","",MONTH(A736))</f>
        <v/>
      </c>
      <c r="I736" s="14">
        <f>IF(A736="","",YEAR(A736))</f>
        <v/>
      </c>
    </row>
    <row r="737">
      <c r="A737" s="15" t="n"/>
      <c r="B737" s="10" t="n"/>
      <c r="C737" s="14">
        <f>IF(B737="","",IFERROR(INDEX('Sản phẩm'!$B$5:$B$304,MATCH(B737,'Sản phẩm'!$A$5:$A$304,0)),""))</f>
        <v/>
      </c>
      <c r="D737" s="12" t="n"/>
      <c r="E737" s="11" t="n"/>
      <c r="F737" s="16">
        <f>IF(OR(D737="",E737=""),"",D737*E737)</f>
        <v/>
      </c>
      <c r="G737" s="10" t="n"/>
      <c r="H737" s="14">
        <f>IF(A737="","",MONTH(A737))</f>
        <v/>
      </c>
      <c r="I737" s="14">
        <f>IF(A737="","",YEAR(A737))</f>
        <v/>
      </c>
    </row>
    <row r="738">
      <c r="A738" s="15" t="n"/>
      <c r="B738" s="10" t="n"/>
      <c r="C738" s="14">
        <f>IF(B738="","",IFERROR(INDEX('Sản phẩm'!$B$5:$B$304,MATCH(B738,'Sản phẩm'!$A$5:$A$304,0)),""))</f>
        <v/>
      </c>
      <c r="D738" s="12" t="n"/>
      <c r="E738" s="11" t="n"/>
      <c r="F738" s="16">
        <f>IF(OR(D738="",E738=""),"",D738*E738)</f>
        <v/>
      </c>
      <c r="G738" s="10" t="n"/>
      <c r="H738" s="14">
        <f>IF(A738="","",MONTH(A738))</f>
        <v/>
      </c>
      <c r="I738" s="14">
        <f>IF(A738="","",YEAR(A738))</f>
        <v/>
      </c>
    </row>
    <row r="739">
      <c r="A739" s="15" t="n"/>
      <c r="B739" s="10" t="n"/>
      <c r="C739" s="14">
        <f>IF(B739="","",IFERROR(INDEX('Sản phẩm'!$B$5:$B$304,MATCH(B739,'Sản phẩm'!$A$5:$A$304,0)),""))</f>
        <v/>
      </c>
      <c r="D739" s="12" t="n"/>
      <c r="E739" s="11" t="n"/>
      <c r="F739" s="16">
        <f>IF(OR(D739="",E739=""),"",D739*E739)</f>
        <v/>
      </c>
      <c r="G739" s="10" t="n"/>
      <c r="H739" s="14">
        <f>IF(A739="","",MONTH(A739))</f>
        <v/>
      </c>
      <c r="I739" s="14">
        <f>IF(A739="","",YEAR(A739))</f>
        <v/>
      </c>
    </row>
    <row r="740">
      <c r="A740" s="15" t="n"/>
      <c r="B740" s="10" t="n"/>
      <c r="C740" s="14">
        <f>IF(B740="","",IFERROR(INDEX('Sản phẩm'!$B$5:$B$304,MATCH(B740,'Sản phẩm'!$A$5:$A$304,0)),""))</f>
        <v/>
      </c>
      <c r="D740" s="12" t="n"/>
      <c r="E740" s="11" t="n"/>
      <c r="F740" s="16">
        <f>IF(OR(D740="",E740=""),"",D740*E740)</f>
        <v/>
      </c>
      <c r="G740" s="10" t="n"/>
      <c r="H740" s="14">
        <f>IF(A740="","",MONTH(A740))</f>
        <v/>
      </c>
      <c r="I740" s="14">
        <f>IF(A740="","",YEAR(A740))</f>
        <v/>
      </c>
    </row>
    <row r="741">
      <c r="A741" s="15" t="n"/>
      <c r="B741" s="10" t="n"/>
      <c r="C741" s="14">
        <f>IF(B741="","",IFERROR(INDEX('Sản phẩm'!$B$5:$B$304,MATCH(B741,'Sản phẩm'!$A$5:$A$304,0)),""))</f>
        <v/>
      </c>
      <c r="D741" s="12" t="n"/>
      <c r="E741" s="11" t="n"/>
      <c r="F741" s="16">
        <f>IF(OR(D741="",E741=""),"",D741*E741)</f>
        <v/>
      </c>
      <c r="G741" s="10" t="n"/>
      <c r="H741" s="14">
        <f>IF(A741="","",MONTH(A741))</f>
        <v/>
      </c>
      <c r="I741" s="14">
        <f>IF(A741="","",YEAR(A741))</f>
        <v/>
      </c>
    </row>
    <row r="742">
      <c r="A742" s="15" t="n"/>
      <c r="B742" s="10" t="n"/>
      <c r="C742" s="14">
        <f>IF(B742="","",IFERROR(INDEX('Sản phẩm'!$B$5:$B$304,MATCH(B742,'Sản phẩm'!$A$5:$A$304,0)),""))</f>
        <v/>
      </c>
      <c r="D742" s="12" t="n"/>
      <c r="E742" s="11" t="n"/>
      <c r="F742" s="16">
        <f>IF(OR(D742="",E742=""),"",D742*E742)</f>
        <v/>
      </c>
      <c r="G742" s="10" t="n"/>
      <c r="H742" s="14">
        <f>IF(A742="","",MONTH(A742))</f>
        <v/>
      </c>
      <c r="I742" s="14">
        <f>IF(A742="","",YEAR(A742))</f>
        <v/>
      </c>
    </row>
    <row r="743">
      <c r="A743" s="15" t="n"/>
      <c r="B743" s="10" t="n"/>
      <c r="C743" s="14">
        <f>IF(B743="","",IFERROR(INDEX('Sản phẩm'!$B$5:$B$304,MATCH(B743,'Sản phẩm'!$A$5:$A$304,0)),""))</f>
        <v/>
      </c>
      <c r="D743" s="12" t="n"/>
      <c r="E743" s="11" t="n"/>
      <c r="F743" s="16">
        <f>IF(OR(D743="",E743=""),"",D743*E743)</f>
        <v/>
      </c>
      <c r="G743" s="10" t="n"/>
      <c r="H743" s="14">
        <f>IF(A743="","",MONTH(A743))</f>
        <v/>
      </c>
      <c r="I743" s="14">
        <f>IF(A743="","",YEAR(A743))</f>
        <v/>
      </c>
    </row>
    <row r="744">
      <c r="A744" s="15" t="n"/>
      <c r="B744" s="10" t="n"/>
      <c r="C744" s="14">
        <f>IF(B744="","",IFERROR(INDEX('Sản phẩm'!$B$5:$B$304,MATCH(B744,'Sản phẩm'!$A$5:$A$304,0)),""))</f>
        <v/>
      </c>
      <c r="D744" s="12" t="n"/>
      <c r="E744" s="11" t="n"/>
      <c r="F744" s="16">
        <f>IF(OR(D744="",E744=""),"",D744*E744)</f>
        <v/>
      </c>
      <c r="G744" s="10" t="n"/>
      <c r="H744" s="14">
        <f>IF(A744="","",MONTH(A744))</f>
        <v/>
      </c>
      <c r="I744" s="14">
        <f>IF(A744="","",YEAR(A744))</f>
        <v/>
      </c>
    </row>
    <row r="745">
      <c r="A745" s="15" t="n"/>
      <c r="B745" s="10" t="n"/>
      <c r="C745" s="14">
        <f>IF(B745="","",IFERROR(INDEX('Sản phẩm'!$B$5:$B$304,MATCH(B745,'Sản phẩm'!$A$5:$A$304,0)),""))</f>
        <v/>
      </c>
      <c r="D745" s="12" t="n"/>
      <c r="E745" s="11" t="n"/>
      <c r="F745" s="16">
        <f>IF(OR(D745="",E745=""),"",D745*E745)</f>
        <v/>
      </c>
      <c r="G745" s="10" t="n"/>
      <c r="H745" s="14">
        <f>IF(A745="","",MONTH(A745))</f>
        <v/>
      </c>
      <c r="I745" s="14">
        <f>IF(A745="","",YEAR(A745))</f>
        <v/>
      </c>
    </row>
    <row r="746">
      <c r="A746" s="15" t="n"/>
      <c r="B746" s="10" t="n"/>
      <c r="C746" s="14">
        <f>IF(B746="","",IFERROR(INDEX('Sản phẩm'!$B$5:$B$304,MATCH(B746,'Sản phẩm'!$A$5:$A$304,0)),""))</f>
        <v/>
      </c>
      <c r="D746" s="12" t="n"/>
      <c r="E746" s="11" t="n"/>
      <c r="F746" s="16">
        <f>IF(OR(D746="",E746=""),"",D746*E746)</f>
        <v/>
      </c>
      <c r="G746" s="10" t="n"/>
      <c r="H746" s="14">
        <f>IF(A746="","",MONTH(A746))</f>
        <v/>
      </c>
      <c r="I746" s="14">
        <f>IF(A746="","",YEAR(A746))</f>
        <v/>
      </c>
    </row>
    <row r="747">
      <c r="A747" s="15" t="n"/>
      <c r="B747" s="10" t="n"/>
      <c r="C747" s="14">
        <f>IF(B747="","",IFERROR(INDEX('Sản phẩm'!$B$5:$B$304,MATCH(B747,'Sản phẩm'!$A$5:$A$304,0)),""))</f>
        <v/>
      </c>
      <c r="D747" s="12" t="n"/>
      <c r="E747" s="11" t="n"/>
      <c r="F747" s="16">
        <f>IF(OR(D747="",E747=""),"",D747*E747)</f>
        <v/>
      </c>
      <c r="G747" s="10" t="n"/>
      <c r="H747" s="14">
        <f>IF(A747="","",MONTH(A747))</f>
        <v/>
      </c>
      <c r="I747" s="14">
        <f>IF(A747="","",YEAR(A747))</f>
        <v/>
      </c>
    </row>
    <row r="748">
      <c r="A748" s="15" t="n"/>
      <c r="B748" s="10" t="n"/>
      <c r="C748" s="14">
        <f>IF(B748="","",IFERROR(INDEX('Sản phẩm'!$B$5:$B$304,MATCH(B748,'Sản phẩm'!$A$5:$A$304,0)),""))</f>
        <v/>
      </c>
      <c r="D748" s="12" t="n"/>
      <c r="E748" s="11" t="n"/>
      <c r="F748" s="16">
        <f>IF(OR(D748="",E748=""),"",D748*E748)</f>
        <v/>
      </c>
      <c r="G748" s="10" t="n"/>
      <c r="H748" s="14">
        <f>IF(A748="","",MONTH(A748))</f>
        <v/>
      </c>
      <c r="I748" s="14">
        <f>IF(A748="","",YEAR(A748))</f>
        <v/>
      </c>
    </row>
    <row r="749">
      <c r="A749" s="15" t="n"/>
      <c r="B749" s="10" t="n"/>
      <c r="C749" s="14">
        <f>IF(B749="","",IFERROR(INDEX('Sản phẩm'!$B$5:$B$304,MATCH(B749,'Sản phẩm'!$A$5:$A$304,0)),""))</f>
        <v/>
      </c>
      <c r="D749" s="12" t="n"/>
      <c r="E749" s="11" t="n"/>
      <c r="F749" s="16">
        <f>IF(OR(D749="",E749=""),"",D749*E749)</f>
        <v/>
      </c>
      <c r="G749" s="10" t="n"/>
      <c r="H749" s="14">
        <f>IF(A749="","",MONTH(A749))</f>
        <v/>
      </c>
      <c r="I749" s="14">
        <f>IF(A749="","",YEAR(A749))</f>
        <v/>
      </c>
    </row>
    <row r="750">
      <c r="A750" s="15" t="n"/>
      <c r="B750" s="10" t="n"/>
      <c r="C750" s="14">
        <f>IF(B750="","",IFERROR(INDEX('Sản phẩm'!$B$5:$B$304,MATCH(B750,'Sản phẩm'!$A$5:$A$304,0)),""))</f>
        <v/>
      </c>
      <c r="D750" s="12" t="n"/>
      <c r="E750" s="11" t="n"/>
      <c r="F750" s="16">
        <f>IF(OR(D750="",E750=""),"",D750*E750)</f>
        <v/>
      </c>
      <c r="G750" s="10" t="n"/>
      <c r="H750" s="14">
        <f>IF(A750="","",MONTH(A750))</f>
        <v/>
      </c>
      <c r="I750" s="14">
        <f>IF(A750="","",YEAR(A750))</f>
        <v/>
      </c>
    </row>
    <row r="751">
      <c r="A751" s="15" t="n"/>
      <c r="B751" s="10" t="n"/>
      <c r="C751" s="14">
        <f>IF(B751="","",IFERROR(INDEX('Sản phẩm'!$B$5:$B$304,MATCH(B751,'Sản phẩm'!$A$5:$A$304,0)),""))</f>
        <v/>
      </c>
      <c r="D751" s="12" t="n"/>
      <c r="E751" s="11" t="n"/>
      <c r="F751" s="16">
        <f>IF(OR(D751="",E751=""),"",D751*E751)</f>
        <v/>
      </c>
      <c r="G751" s="10" t="n"/>
      <c r="H751" s="14">
        <f>IF(A751="","",MONTH(A751))</f>
        <v/>
      </c>
      <c r="I751" s="14">
        <f>IF(A751="","",YEAR(A751))</f>
        <v/>
      </c>
    </row>
    <row r="752">
      <c r="A752" s="15" t="n"/>
      <c r="B752" s="10" t="n"/>
      <c r="C752" s="14">
        <f>IF(B752="","",IFERROR(INDEX('Sản phẩm'!$B$5:$B$304,MATCH(B752,'Sản phẩm'!$A$5:$A$304,0)),""))</f>
        <v/>
      </c>
      <c r="D752" s="12" t="n"/>
      <c r="E752" s="11" t="n"/>
      <c r="F752" s="16">
        <f>IF(OR(D752="",E752=""),"",D752*E752)</f>
        <v/>
      </c>
      <c r="G752" s="10" t="n"/>
      <c r="H752" s="14">
        <f>IF(A752="","",MONTH(A752))</f>
        <v/>
      </c>
      <c r="I752" s="14">
        <f>IF(A752="","",YEAR(A752))</f>
        <v/>
      </c>
    </row>
    <row r="753">
      <c r="A753" s="15" t="n"/>
      <c r="B753" s="10" t="n"/>
      <c r="C753" s="14">
        <f>IF(B753="","",IFERROR(INDEX('Sản phẩm'!$B$5:$B$304,MATCH(B753,'Sản phẩm'!$A$5:$A$304,0)),""))</f>
        <v/>
      </c>
      <c r="D753" s="12" t="n"/>
      <c r="E753" s="11" t="n"/>
      <c r="F753" s="16">
        <f>IF(OR(D753="",E753=""),"",D753*E753)</f>
        <v/>
      </c>
      <c r="G753" s="10" t="n"/>
      <c r="H753" s="14">
        <f>IF(A753="","",MONTH(A753))</f>
        <v/>
      </c>
      <c r="I753" s="14">
        <f>IF(A753="","",YEAR(A753))</f>
        <v/>
      </c>
    </row>
    <row r="754">
      <c r="A754" s="15" t="n"/>
      <c r="B754" s="10" t="n"/>
      <c r="C754" s="14">
        <f>IF(B754="","",IFERROR(INDEX('Sản phẩm'!$B$5:$B$304,MATCH(B754,'Sản phẩm'!$A$5:$A$304,0)),""))</f>
        <v/>
      </c>
      <c r="D754" s="12" t="n"/>
      <c r="E754" s="11" t="n"/>
      <c r="F754" s="16">
        <f>IF(OR(D754="",E754=""),"",D754*E754)</f>
        <v/>
      </c>
      <c r="G754" s="10" t="n"/>
      <c r="H754" s="14">
        <f>IF(A754="","",MONTH(A754))</f>
        <v/>
      </c>
      <c r="I754" s="14">
        <f>IF(A754="","",YEAR(A754))</f>
        <v/>
      </c>
    </row>
    <row r="755">
      <c r="A755" s="15" t="n"/>
      <c r="B755" s="10" t="n"/>
      <c r="C755" s="14">
        <f>IF(B755="","",IFERROR(INDEX('Sản phẩm'!$B$5:$B$304,MATCH(B755,'Sản phẩm'!$A$5:$A$304,0)),""))</f>
        <v/>
      </c>
      <c r="D755" s="12" t="n"/>
      <c r="E755" s="11" t="n"/>
      <c r="F755" s="16">
        <f>IF(OR(D755="",E755=""),"",D755*E755)</f>
        <v/>
      </c>
      <c r="G755" s="10" t="n"/>
      <c r="H755" s="14">
        <f>IF(A755="","",MONTH(A755))</f>
        <v/>
      </c>
      <c r="I755" s="14">
        <f>IF(A755="","",YEAR(A755))</f>
        <v/>
      </c>
    </row>
    <row r="756">
      <c r="A756" s="15" t="n"/>
      <c r="B756" s="10" t="n"/>
      <c r="C756" s="14">
        <f>IF(B756="","",IFERROR(INDEX('Sản phẩm'!$B$5:$B$304,MATCH(B756,'Sản phẩm'!$A$5:$A$304,0)),""))</f>
        <v/>
      </c>
      <c r="D756" s="12" t="n"/>
      <c r="E756" s="11" t="n"/>
      <c r="F756" s="16">
        <f>IF(OR(D756="",E756=""),"",D756*E756)</f>
        <v/>
      </c>
      <c r="G756" s="10" t="n"/>
      <c r="H756" s="14">
        <f>IF(A756="","",MONTH(A756))</f>
        <v/>
      </c>
      <c r="I756" s="14">
        <f>IF(A756="","",YEAR(A756))</f>
        <v/>
      </c>
    </row>
    <row r="757">
      <c r="A757" s="15" t="n"/>
      <c r="B757" s="10" t="n"/>
      <c r="C757" s="14">
        <f>IF(B757="","",IFERROR(INDEX('Sản phẩm'!$B$5:$B$304,MATCH(B757,'Sản phẩm'!$A$5:$A$304,0)),""))</f>
        <v/>
      </c>
      <c r="D757" s="12" t="n"/>
      <c r="E757" s="11" t="n"/>
      <c r="F757" s="16">
        <f>IF(OR(D757="",E757=""),"",D757*E757)</f>
        <v/>
      </c>
      <c r="G757" s="10" t="n"/>
      <c r="H757" s="14">
        <f>IF(A757="","",MONTH(A757))</f>
        <v/>
      </c>
      <c r="I757" s="14">
        <f>IF(A757="","",YEAR(A757))</f>
        <v/>
      </c>
    </row>
    <row r="758">
      <c r="A758" s="15" t="n"/>
      <c r="B758" s="10" t="n"/>
      <c r="C758" s="14">
        <f>IF(B758="","",IFERROR(INDEX('Sản phẩm'!$B$5:$B$304,MATCH(B758,'Sản phẩm'!$A$5:$A$304,0)),""))</f>
        <v/>
      </c>
      <c r="D758" s="12" t="n"/>
      <c r="E758" s="11" t="n"/>
      <c r="F758" s="16">
        <f>IF(OR(D758="",E758=""),"",D758*E758)</f>
        <v/>
      </c>
      <c r="G758" s="10" t="n"/>
      <c r="H758" s="14">
        <f>IF(A758="","",MONTH(A758))</f>
        <v/>
      </c>
      <c r="I758" s="14">
        <f>IF(A758="","",YEAR(A758))</f>
        <v/>
      </c>
    </row>
    <row r="759">
      <c r="A759" s="15" t="n"/>
      <c r="B759" s="10" t="n"/>
      <c r="C759" s="14">
        <f>IF(B759="","",IFERROR(INDEX('Sản phẩm'!$B$5:$B$304,MATCH(B759,'Sản phẩm'!$A$5:$A$304,0)),""))</f>
        <v/>
      </c>
      <c r="D759" s="12" t="n"/>
      <c r="E759" s="11" t="n"/>
      <c r="F759" s="16">
        <f>IF(OR(D759="",E759=""),"",D759*E759)</f>
        <v/>
      </c>
      <c r="G759" s="10" t="n"/>
      <c r="H759" s="14">
        <f>IF(A759="","",MONTH(A759))</f>
        <v/>
      </c>
      <c r="I759" s="14">
        <f>IF(A759="","",YEAR(A759))</f>
        <v/>
      </c>
    </row>
    <row r="760">
      <c r="A760" s="15" t="n"/>
      <c r="B760" s="10" t="n"/>
      <c r="C760" s="14">
        <f>IF(B760="","",IFERROR(INDEX('Sản phẩm'!$B$5:$B$304,MATCH(B760,'Sản phẩm'!$A$5:$A$304,0)),""))</f>
        <v/>
      </c>
      <c r="D760" s="12" t="n"/>
      <c r="E760" s="11" t="n"/>
      <c r="F760" s="16">
        <f>IF(OR(D760="",E760=""),"",D760*E760)</f>
        <v/>
      </c>
      <c r="G760" s="10" t="n"/>
      <c r="H760" s="14">
        <f>IF(A760="","",MONTH(A760))</f>
        <v/>
      </c>
      <c r="I760" s="14">
        <f>IF(A760="","",YEAR(A760))</f>
        <v/>
      </c>
    </row>
    <row r="761">
      <c r="A761" s="15" t="n"/>
      <c r="B761" s="10" t="n"/>
      <c r="C761" s="14">
        <f>IF(B761="","",IFERROR(INDEX('Sản phẩm'!$B$5:$B$304,MATCH(B761,'Sản phẩm'!$A$5:$A$304,0)),""))</f>
        <v/>
      </c>
      <c r="D761" s="12" t="n"/>
      <c r="E761" s="11" t="n"/>
      <c r="F761" s="16">
        <f>IF(OR(D761="",E761=""),"",D761*E761)</f>
        <v/>
      </c>
      <c r="G761" s="10" t="n"/>
      <c r="H761" s="14">
        <f>IF(A761="","",MONTH(A761))</f>
        <v/>
      </c>
      <c r="I761" s="14">
        <f>IF(A761="","",YEAR(A761))</f>
        <v/>
      </c>
    </row>
    <row r="762">
      <c r="A762" s="15" t="n"/>
      <c r="B762" s="10" t="n"/>
      <c r="C762" s="14">
        <f>IF(B762="","",IFERROR(INDEX('Sản phẩm'!$B$5:$B$304,MATCH(B762,'Sản phẩm'!$A$5:$A$304,0)),""))</f>
        <v/>
      </c>
      <c r="D762" s="12" t="n"/>
      <c r="E762" s="11" t="n"/>
      <c r="F762" s="16">
        <f>IF(OR(D762="",E762=""),"",D762*E762)</f>
        <v/>
      </c>
      <c r="G762" s="10" t="n"/>
      <c r="H762" s="14">
        <f>IF(A762="","",MONTH(A762))</f>
        <v/>
      </c>
      <c r="I762" s="14">
        <f>IF(A762="","",YEAR(A762))</f>
        <v/>
      </c>
    </row>
    <row r="763">
      <c r="A763" s="15" t="n"/>
      <c r="B763" s="10" t="n"/>
      <c r="C763" s="14">
        <f>IF(B763="","",IFERROR(INDEX('Sản phẩm'!$B$5:$B$304,MATCH(B763,'Sản phẩm'!$A$5:$A$304,0)),""))</f>
        <v/>
      </c>
      <c r="D763" s="12" t="n"/>
      <c r="E763" s="11" t="n"/>
      <c r="F763" s="16">
        <f>IF(OR(D763="",E763=""),"",D763*E763)</f>
        <v/>
      </c>
      <c r="G763" s="10" t="n"/>
      <c r="H763" s="14">
        <f>IF(A763="","",MONTH(A763))</f>
        <v/>
      </c>
      <c r="I763" s="14">
        <f>IF(A763="","",YEAR(A763))</f>
        <v/>
      </c>
    </row>
    <row r="764">
      <c r="A764" s="15" t="n"/>
      <c r="B764" s="10" t="n"/>
      <c r="C764" s="14">
        <f>IF(B764="","",IFERROR(INDEX('Sản phẩm'!$B$5:$B$304,MATCH(B764,'Sản phẩm'!$A$5:$A$304,0)),""))</f>
        <v/>
      </c>
      <c r="D764" s="12" t="n"/>
      <c r="E764" s="11" t="n"/>
      <c r="F764" s="16">
        <f>IF(OR(D764="",E764=""),"",D764*E764)</f>
        <v/>
      </c>
      <c r="G764" s="10" t="n"/>
      <c r="H764" s="14">
        <f>IF(A764="","",MONTH(A764))</f>
        <v/>
      </c>
      <c r="I764" s="14">
        <f>IF(A764="","",YEAR(A764))</f>
        <v/>
      </c>
    </row>
    <row r="765">
      <c r="A765" s="15" t="n"/>
      <c r="B765" s="10" t="n"/>
      <c r="C765" s="14">
        <f>IF(B765="","",IFERROR(INDEX('Sản phẩm'!$B$5:$B$304,MATCH(B765,'Sản phẩm'!$A$5:$A$304,0)),""))</f>
        <v/>
      </c>
      <c r="D765" s="12" t="n"/>
      <c r="E765" s="11" t="n"/>
      <c r="F765" s="16">
        <f>IF(OR(D765="",E765=""),"",D765*E765)</f>
        <v/>
      </c>
      <c r="G765" s="10" t="n"/>
      <c r="H765" s="14">
        <f>IF(A765="","",MONTH(A765))</f>
        <v/>
      </c>
      <c r="I765" s="14">
        <f>IF(A765="","",YEAR(A765))</f>
        <v/>
      </c>
    </row>
    <row r="766">
      <c r="A766" s="15" t="n"/>
      <c r="B766" s="10" t="n"/>
      <c r="C766" s="14">
        <f>IF(B766="","",IFERROR(INDEX('Sản phẩm'!$B$5:$B$304,MATCH(B766,'Sản phẩm'!$A$5:$A$304,0)),""))</f>
        <v/>
      </c>
      <c r="D766" s="12" t="n"/>
      <c r="E766" s="11" t="n"/>
      <c r="F766" s="16">
        <f>IF(OR(D766="",E766=""),"",D766*E766)</f>
        <v/>
      </c>
      <c r="G766" s="10" t="n"/>
      <c r="H766" s="14">
        <f>IF(A766="","",MONTH(A766))</f>
        <v/>
      </c>
      <c r="I766" s="14">
        <f>IF(A766="","",YEAR(A766))</f>
        <v/>
      </c>
    </row>
    <row r="767">
      <c r="A767" s="15" t="n"/>
      <c r="B767" s="10" t="n"/>
      <c r="C767" s="14">
        <f>IF(B767="","",IFERROR(INDEX('Sản phẩm'!$B$5:$B$304,MATCH(B767,'Sản phẩm'!$A$5:$A$304,0)),""))</f>
        <v/>
      </c>
      <c r="D767" s="12" t="n"/>
      <c r="E767" s="11" t="n"/>
      <c r="F767" s="16">
        <f>IF(OR(D767="",E767=""),"",D767*E767)</f>
        <v/>
      </c>
      <c r="G767" s="10" t="n"/>
      <c r="H767" s="14">
        <f>IF(A767="","",MONTH(A767))</f>
        <v/>
      </c>
      <c r="I767" s="14">
        <f>IF(A767="","",YEAR(A767))</f>
        <v/>
      </c>
    </row>
    <row r="768">
      <c r="A768" s="15" t="n"/>
      <c r="B768" s="10" t="n"/>
      <c r="C768" s="14">
        <f>IF(B768="","",IFERROR(INDEX('Sản phẩm'!$B$5:$B$304,MATCH(B768,'Sản phẩm'!$A$5:$A$304,0)),""))</f>
        <v/>
      </c>
      <c r="D768" s="12" t="n"/>
      <c r="E768" s="11" t="n"/>
      <c r="F768" s="16">
        <f>IF(OR(D768="",E768=""),"",D768*E768)</f>
        <v/>
      </c>
      <c r="G768" s="10" t="n"/>
      <c r="H768" s="14">
        <f>IF(A768="","",MONTH(A768))</f>
        <v/>
      </c>
      <c r="I768" s="14">
        <f>IF(A768="","",YEAR(A768))</f>
        <v/>
      </c>
    </row>
    <row r="769">
      <c r="A769" s="15" t="n"/>
      <c r="B769" s="10" t="n"/>
      <c r="C769" s="14">
        <f>IF(B769="","",IFERROR(INDEX('Sản phẩm'!$B$5:$B$304,MATCH(B769,'Sản phẩm'!$A$5:$A$304,0)),""))</f>
        <v/>
      </c>
      <c r="D769" s="12" t="n"/>
      <c r="E769" s="11" t="n"/>
      <c r="F769" s="16">
        <f>IF(OR(D769="",E769=""),"",D769*E769)</f>
        <v/>
      </c>
      <c r="G769" s="10" t="n"/>
      <c r="H769" s="14">
        <f>IF(A769="","",MONTH(A769))</f>
        <v/>
      </c>
      <c r="I769" s="14">
        <f>IF(A769="","",YEAR(A769))</f>
        <v/>
      </c>
    </row>
    <row r="770">
      <c r="A770" s="15" t="n"/>
      <c r="B770" s="10" t="n"/>
      <c r="C770" s="14">
        <f>IF(B770="","",IFERROR(INDEX('Sản phẩm'!$B$5:$B$304,MATCH(B770,'Sản phẩm'!$A$5:$A$304,0)),""))</f>
        <v/>
      </c>
      <c r="D770" s="12" t="n"/>
      <c r="E770" s="11" t="n"/>
      <c r="F770" s="16">
        <f>IF(OR(D770="",E770=""),"",D770*E770)</f>
        <v/>
      </c>
      <c r="G770" s="10" t="n"/>
      <c r="H770" s="14">
        <f>IF(A770="","",MONTH(A770))</f>
        <v/>
      </c>
      <c r="I770" s="14">
        <f>IF(A770="","",YEAR(A770))</f>
        <v/>
      </c>
    </row>
    <row r="771">
      <c r="A771" s="15" t="n"/>
      <c r="B771" s="10" t="n"/>
      <c r="C771" s="14">
        <f>IF(B771="","",IFERROR(INDEX('Sản phẩm'!$B$5:$B$304,MATCH(B771,'Sản phẩm'!$A$5:$A$304,0)),""))</f>
        <v/>
      </c>
      <c r="D771" s="12" t="n"/>
      <c r="E771" s="11" t="n"/>
      <c r="F771" s="16">
        <f>IF(OR(D771="",E771=""),"",D771*E771)</f>
        <v/>
      </c>
      <c r="G771" s="10" t="n"/>
      <c r="H771" s="14">
        <f>IF(A771="","",MONTH(A771))</f>
        <v/>
      </c>
      <c r="I771" s="14">
        <f>IF(A771="","",YEAR(A771))</f>
        <v/>
      </c>
    </row>
    <row r="772">
      <c r="A772" s="15" t="n"/>
      <c r="B772" s="10" t="n"/>
      <c r="C772" s="14">
        <f>IF(B772="","",IFERROR(INDEX('Sản phẩm'!$B$5:$B$304,MATCH(B772,'Sản phẩm'!$A$5:$A$304,0)),""))</f>
        <v/>
      </c>
      <c r="D772" s="12" t="n"/>
      <c r="E772" s="11" t="n"/>
      <c r="F772" s="16">
        <f>IF(OR(D772="",E772=""),"",D772*E772)</f>
        <v/>
      </c>
      <c r="G772" s="10" t="n"/>
      <c r="H772" s="14">
        <f>IF(A772="","",MONTH(A772))</f>
        <v/>
      </c>
      <c r="I772" s="14">
        <f>IF(A772="","",YEAR(A772))</f>
        <v/>
      </c>
    </row>
    <row r="773">
      <c r="A773" s="15" t="n"/>
      <c r="B773" s="10" t="n"/>
      <c r="C773" s="14">
        <f>IF(B773="","",IFERROR(INDEX('Sản phẩm'!$B$5:$B$304,MATCH(B773,'Sản phẩm'!$A$5:$A$304,0)),""))</f>
        <v/>
      </c>
      <c r="D773" s="12" t="n"/>
      <c r="E773" s="11" t="n"/>
      <c r="F773" s="16">
        <f>IF(OR(D773="",E773=""),"",D773*E773)</f>
        <v/>
      </c>
      <c r="G773" s="10" t="n"/>
      <c r="H773" s="14">
        <f>IF(A773="","",MONTH(A773))</f>
        <v/>
      </c>
      <c r="I773" s="14">
        <f>IF(A773="","",YEAR(A773))</f>
        <v/>
      </c>
    </row>
    <row r="774">
      <c r="A774" s="15" t="n"/>
      <c r="B774" s="10" t="n"/>
      <c r="C774" s="14">
        <f>IF(B774="","",IFERROR(INDEX('Sản phẩm'!$B$5:$B$304,MATCH(B774,'Sản phẩm'!$A$5:$A$304,0)),""))</f>
        <v/>
      </c>
      <c r="D774" s="12" t="n"/>
      <c r="E774" s="11" t="n"/>
      <c r="F774" s="16">
        <f>IF(OR(D774="",E774=""),"",D774*E774)</f>
        <v/>
      </c>
      <c r="G774" s="10" t="n"/>
      <c r="H774" s="14">
        <f>IF(A774="","",MONTH(A774))</f>
        <v/>
      </c>
      <c r="I774" s="14">
        <f>IF(A774="","",YEAR(A774))</f>
        <v/>
      </c>
    </row>
    <row r="775">
      <c r="A775" s="15" t="n"/>
      <c r="B775" s="10" t="n"/>
      <c r="C775" s="14">
        <f>IF(B775="","",IFERROR(INDEX('Sản phẩm'!$B$5:$B$304,MATCH(B775,'Sản phẩm'!$A$5:$A$304,0)),""))</f>
        <v/>
      </c>
      <c r="D775" s="12" t="n"/>
      <c r="E775" s="11" t="n"/>
      <c r="F775" s="16">
        <f>IF(OR(D775="",E775=""),"",D775*E775)</f>
        <v/>
      </c>
      <c r="G775" s="10" t="n"/>
      <c r="H775" s="14">
        <f>IF(A775="","",MONTH(A775))</f>
        <v/>
      </c>
      <c r="I775" s="14">
        <f>IF(A775="","",YEAR(A775))</f>
        <v/>
      </c>
    </row>
    <row r="776">
      <c r="A776" s="15" t="n"/>
      <c r="B776" s="10" t="n"/>
      <c r="C776" s="14">
        <f>IF(B776="","",IFERROR(INDEX('Sản phẩm'!$B$5:$B$304,MATCH(B776,'Sản phẩm'!$A$5:$A$304,0)),""))</f>
        <v/>
      </c>
      <c r="D776" s="12" t="n"/>
      <c r="E776" s="11" t="n"/>
      <c r="F776" s="16">
        <f>IF(OR(D776="",E776=""),"",D776*E776)</f>
        <v/>
      </c>
      <c r="G776" s="10" t="n"/>
      <c r="H776" s="14">
        <f>IF(A776="","",MONTH(A776))</f>
        <v/>
      </c>
      <c r="I776" s="14">
        <f>IF(A776="","",YEAR(A776))</f>
        <v/>
      </c>
    </row>
    <row r="777">
      <c r="A777" s="15" t="n"/>
      <c r="B777" s="10" t="n"/>
      <c r="C777" s="14">
        <f>IF(B777="","",IFERROR(INDEX('Sản phẩm'!$B$5:$B$304,MATCH(B777,'Sản phẩm'!$A$5:$A$304,0)),""))</f>
        <v/>
      </c>
      <c r="D777" s="12" t="n"/>
      <c r="E777" s="11" t="n"/>
      <c r="F777" s="16">
        <f>IF(OR(D777="",E777=""),"",D777*E777)</f>
        <v/>
      </c>
      <c r="G777" s="10" t="n"/>
      <c r="H777" s="14">
        <f>IF(A777="","",MONTH(A777))</f>
        <v/>
      </c>
      <c r="I777" s="14">
        <f>IF(A777="","",YEAR(A777))</f>
        <v/>
      </c>
    </row>
    <row r="778">
      <c r="A778" s="15" t="n"/>
      <c r="B778" s="10" t="n"/>
      <c r="C778" s="14">
        <f>IF(B778="","",IFERROR(INDEX('Sản phẩm'!$B$5:$B$304,MATCH(B778,'Sản phẩm'!$A$5:$A$304,0)),""))</f>
        <v/>
      </c>
      <c r="D778" s="12" t="n"/>
      <c r="E778" s="11" t="n"/>
      <c r="F778" s="16">
        <f>IF(OR(D778="",E778=""),"",D778*E778)</f>
        <v/>
      </c>
      <c r="G778" s="10" t="n"/>
      <c r="H778" s="14">
        <f>IF(A778="","",MONTH(A778))</f>
        <v/>
      </c>
      <c r="I778" s="14">
        <f>IF(A778="","",YEAR(A778))</f>
        <v/>
      </c>
    </row>
    <row r="779">
      <c r="A779" s="15" t="n"/>
      <c r="B779" s="10" t="n"/>
      <c r="C779" s="14">
        <f>IF(B779="","",IFERROR(INDEX('Sản phẩm'!$B$5:$B$304,MATCH(B779,'Sản phẩm'!$A$5:$A$304,0)),""))</f>
        <v/>
      </c>
      <c r="D779" s="12" t="n"/>
      <c r="E779" s="11" t="n"/>
      <c r="F779" s="16">
        <f>IF(OR(D779="",E779=""),"",D779*E779)</f>
        <v/>
      </c>
      <c r="G779" s="10" t="n"/>
      <c r="H779" s="14">
        <f>IF(A779="","",MONTH(A779))</f>
        <v/>
      </c>
      <c r="I779" s="14">
        <f>IF(A779="","",YEAR(A779))</f>
        <v/>
      </c>
    </row>
    <row r="780">
      <c r="A780" s="15" t="n"/>
      <c r="B780" s="10" t="n"/>
      <c r="C780" s="14">
        <f>IF(B780="","",IFERROR(INDEX('Sản phẩm'!$B$5:$B$304,MATCH(B780,'Sản phẩm'!$A$5:$A$304,0)),""))</f>
        <v/>
      </c>
      <c r="D780" s="12" t="n"/>
      <c r="E780" s="11" t="n"/>
      <c r="F780" s="16">
        <f>IF(OR(D780="",E780=""),"",D780*E780)</f>
        <v/>
      </c>
      <c r="G780" s="10" t="n"/>
      <c r="H780" s="14">
        <f>IF(A780="","",MONTH(A780))</f>
        <v/>
      </c>
      <c r="I780" s="14">
        <f>IF(A780="","",YEAR(A780))</f>
        <v/>
      </c>
    </row>
    <row r="781">
      <c r="A781" s="15" t="n"/>
      <c r="B781" s="10" t="n"/>
      <c r="C781" s="14">
        <f>IF(B781="","",IFERROR(INDEX('Sản phẩm'!$B$5:$B$304,MATCH(B781,'Sản phẩm'!$A$5:$A$304,0)),""))</f>
        <v/>
      </c>
      <c r="D781" s="12" t="n"/>
      <c r="E781" s="11" t="n"/>
      <c r="F781" s="16">
        <f>IF(OR(D781="",E781=""),"",D781*E781)</f>
        <v/>
      </c>
      <c r="G781" s="10" t="n"/>
      <c r="H781" s="14">
        <f>IF(A781="","",MONTH(A781))</f>
        <v/>
      </c>
      <c r="I781" s="14">
        <f>IF(A781="","",YEAR(A781))</f>
        <v/>
      </c>
    </row>
    <row r="782">
      <c r="A782" s="15" t="n"/>
      <c r="B782" s="10" t="n"/>
      <c r="C782" s="14">
        <f>IF(B782="","",IFERROR(INDEX('Sản phẩm'!$B$5:$B$304,MATCH(B782,'Sản phẩm'!$A$5:$A$304,0)),""))</f>
        <v/>
      </c>
      <c r="D782" s="12" t="n"/>
      <c r="E782" s="11" t="n"/>
      <c r="F782" s="16">
        <f>IF(OR(D782="",E782=""),"",D782*E782)</f>
        <v/>
      </c>
      <c r="G782" s="10" t="n"/>
      <c r="H782" s="14">
        <f>IF(A782="","",MONTH(A782))</f>
        <v/>
      </c>
      <c r="I782" s="14">
        <f>IF(A782="","",YEAR(A782))</f>
        <v/>
      </c>
    </row>
    <row r="783">
      <c r="A783" s="15" t="n"/>
      <c r="B783" s="10" t="n"/>
      <c r="C783" s="14">
        <f>IF(B783="","",IFERROR(INDEX('Sản phẩm'!$B$5:$B$304,MATCH(B783,'Sản phẩm'!$A$5:$A$304,0)),""))</f>
        <v/>
      </c>
      <c r="D783" s="12" t="n"/>
      <c r="E783" s="11" t="n"/>
      <c r="F783" s="16">
        <f>IF(OR(D783="",E783=""),"",D783*E783)</f>
        <v/>
      </c>
      <c r="G783" s="10" t="n"/>
      <c r="H783" s="14">
        <f>IF(A783="","",MONTH(A783))</f>
        <v/>
      </c>
      <c r="I783" s="14">
        <f>IF(A783="","",YEAR(A783))</f>
        <v/>
      </c>
    </row>
    <row r="784">
      <c r="A784" s="15" t="n"/>
      <c r="B784" s="10" t="n"/>
      <c r="C784" s="14">
        <f>IF(B784="","",IFERROR(INDEX('Sản phẩm'!$B$5:$B$304,MATCH(B784,'Sản phẩm'!$A$5:$A$304,0)),""))</f>
        <v/>
      </c>
      <c r="D784" s="12" t="n"/>
      <c r="E784" s="11" t="n"/>
      <c r="F784" s="16">
        <f>IF(OR(D784="",E784=""),"",D784*E784)</f>
        <v/>
      </c>
      <c r="G784" s="10" t="n"/>
      <c r="H784" s="14">
        <f>IF(A784="","",MONTH(A784))</f>
        <v/>
      </c>
      <c r="I784" s="14">
        <f>IF(A784="","",YEAR(A784))</f>
        <v/>
      </c>
    </row>
    <row r="785">
      <c r="A785" s="15" t="n"/>
      <c r="B785" s="10" t="n"/>
      <c r="C785" s="14">
        <f>IF(B785="","",IFERROR(INDEX('Sản phẩm'!$B$5:$B$304,MATCH(B785,'Sản phẩm'!$A$5:$A$304,0)),""))</f>
        <v/>
      </c>
      <c r="D785" s="12" t="n"/>
      <c r="E785" s="11" t="n"/>
      <c r="F785" s="16">
        <f>IF(OR(D785="",E785=""),"",D785*E785)</f>
        <v/>
      </c>
      <c r="G785" s="10" t="n"/>
      <c r="H785" s="14">
        <f>IF(A785="","",MONTH(A785))</f>
        <v/>
      </c>
      <c r="I785" s="14">
        <f>IF(A785="","",YEAR(A785))</f>
        <v/>
      </c>
    </row>
    <row r="786">
      <c r="A786" s="15" t="n"/>
      <c r="B786" s="10" t="n"/>
      <c r="C786" s="14">
        <f>IF(B786="","",IFERROR(INDEX('Sản phẩm'!$B$5:$B$304,MATCH(B786,'Sản phẩm'!$A$5:$A$304,0)),""))</f>
        <v/>
      </c>
      <c r="D786" s="12" t="n"/>
      <c r="E786" s="11" t="n"/>
      <c r="F786" s="16">
        <f>IF(OR(D786="",E786=""),"",D786*E786)</f>
        <v/>
      </c>
      <c r="G786" s="10" t="n"/>
      <c r="H786" s="14">
        <f>IF(A786="","",MONTH(A786))</f>
        <v/>
      </c>
      <c r="I786" s="14">
        <f>IF(A786="","",YEAR(A786))</f>
        <v/>
      </c>
    </row>
    <row r="787">
      <c r="A787" s="15" t="n"/>
      <c r="B787" s="10" t="n"/>
      <c r="C787" s="14">
        <f>IF(B787="","",IFERROR(INDEX('Sản phẩm'!$B$5:$B$304,MATCH(B787,'Sản phẩm'!$A$5:$A$304,0)),""))</f>
        <v/>
      </c>
      <c r="D787" s="12" t="n"/>
      <c r="E787" s="11" t="n"/>
      <c r="F787" s="16">
        <f>IF(OR(D787="",E787=""),"",D787*E787)</f>
        <v/>
      </c>
      <c r="G787" s="10" t="n"/>
      <c r="H787" s="14">
        <f>IF(A787="","",MONTH(A787))</f>
        <v/>
      </c>
      <c r="I787" s="14">
        <f>IF(A787="","",YEAR(A787))</f>
        <v/>
      </c>
    </row>
    <row r="788">
      <c r="A788" s="15" t="n"/>
      <c r="B788" s="10" t="n"/>
      <c r="C788" s="14">
        <f>IF(B788="","",IFERROR(INDEX('Sản phẩm'!$B$5:$B$304,MATCH(B788,'Sản phẩm'!$A$5:$A$304,0)),""))</f>
        <v/>
      </c>
      <c r="D788" s="12" t="n"/>
      <c r="E788" s="11" t="n"/>
      <c r="F788" s="16">
        <f>IF(OR(D788="",E788=""),"",D788*E788)</f>
        <v/>
      </c>
      <c r="G788" s="10" t="n"/>
      <c r="H788" s="14">
        <f>IF(A788="","",MONTH(A788))</f>
        <v/>
      </c>
      <c r="I788" s="14">
        <f>IF(A788="","",YEAR(A788))</f>
        <v/>
      </c>
    </row>
    <row r="789">
      <c r="A789" s="15" t="n"/>
      <c r="B789" s="10" t="n"/>
      <c r="C789" s="14">
        <f>IF(B789="","",IFERROR(INDEX('Sản phẩm'!$B$5:$B$304,MATCH(B789,'Sản phẩm'!$A$5:$A$304,0)),""))</f>
        <v/>
      </c>
      <c r="D789" s="12" t="n"/>
      <c r="E789" s="11" t="n"/>
      <c r="F789" s="16">
        <f>IF(OR(D789="",E789=""),"",D789*E789)</f>
        <v/>
      </c>
      <c r="G789" s="10" t="n"/>
      <c r="H789" s="14">
        <f>IF(A789="","",MONTH(A789))</f>
        <v/>
      </c>
      <c r="I789" s="14">
        <f>IF(A789="","",YEAR(A789))</f>
        <v/>
      </c>
    </row>
    <row r="790">
      <c r="A790" s="15" t="n"/>
      <c r="B790" s="10" t="n"/>
      <c r="C790" s="14">
        <f>IF(B790="","",IFERROR(INDEX('Sản phẩm'!$B$5:$B$304,MATCH(B790,'Sản phẩm'!$A$5:$A$304,0)),""))</f>
        <v/>
      </c>
      <c r="D790" s="12" t="n"/>
      <c r="E790" s="11" t="n"/>
      <c r="F790" s="16">
        <f>IF(OR(D790="",E790=""),"",D790*E790)</f>
        <v/>
      </c>
      <c r="G790" s="10" t="n"/>
      <c r="H790" s="14">
        <f>IF(A790="","",MONTH(A790))</f>
        <v/>
      </c>
      <c r="I790" s="14">
        <f>IF(A790="","",YEAR(A790))</f>
        <v/>
      </c>
    </row>
    <row r="791">
      <c r="A791" s="15" t="n"/>
      <c r="B791" s="10" t="n"/>
      <c r="C791" s="14">
        <f>IF(B791="","",IFERROR(INDEX('Sản phẩm'!$B$5:$B$304,MATCH(B791,'Sản phẩm'!$A$5:$A$304,0)),""))</f>
        <v/>
      </c>
      <c r="D791" s="12" t="n"/>
      <c r="E791" s="11" t="n"/>
      <c r="F791" s="16">
        <f>IF(OR(D791="",E791=""),"",D791*E791)</f>
        <v/>
      </c>
      <c r="G791" s="10" t="n"/>
      <c r="H791" s="14">
        <f>IF(A791="","",MONTH(A791))</f>
        <v/>
      </c>
      <c r="I791" s="14">
        <f>IF(A791="","",YEAR(A791))</f>
        <v/>
      </c>
    </row>
    <row r="792">
      <c r="A792" s="15" t="n"/>
      <c r="B792" s="10" t="n"/>
      <c r="C792" s="14">
        <f>IF(B792="","",IFERROR(INDEX('Sản phẩm'!$B$5:$B$304,MATCH(B792,'Sản phẩm'!$A$5:$A$304,0)),""))</f>
        <v/>
      </c>
      <c r="D792" s="12" t="n"/>
      <c r="E792" s="11" t="n"/>
      <c r="F792" s="16">
        <f>IF(OR(D792="",E792=""),"",D792*E792)</f>
        <v/>
      </c>
      <c r="G792" s="10" t="n"/>
      <c r="H792" s="14">
        <f>IF(A792="","",MONTH(A792))</f>
        <v/>
      </c>
      <c r="I792" s="14">
        <f>IF(A792="","",YEAR(A792))</f>
        <v/>
      </c>
    </row>
    <row r="793">
      <c r="A793" s="15" t="n"/>
      <c r="B793" s="10" t="n"/>
      <c r="C793" s="14">
        <f>IF(B793="","",IFERROR(INDEX('Sản phẩm'!$B$5:$B$304,MATCH(B793,'Sản phẩm'!$A$5:$A$304,0)),""))</f>
        <v/>
      </c>
      <c r="D793" s="12" t="n"/>
      <c r="E793" s="11" t="n"/>
      <c r="F793" s="16">
        <f>IF(OR(D793="",E793=""),"",D793*E793)</f>
        <v/>
      </c>
      <c r="G793" s="10" t="n"/>
      <c r="H793" s="14">
        <f>IF(A793="","",MONTH(A793))</f>
        <v/>
      </c>
      <c r="I793" s="14">
        <f>IF(A793="","",YEAR(A793))</f>
        <v/>
      </c>
    </row>
    <row r="794">
      <c r="A794" s="15" t="n"/>
      <c r="B794" s="10" t="n"/>
      <c r="C794" s="14">
        <f>IF(B794="","",IFERROR(INDEX('Sản phẩm'!$B$5:$B$304,MATCH(B794,'Sản phẩm'!$A$5:$A$304,0)),""))</f>
        <v/>
      </c>
      <c r="D794" s="12" t="n"/>
      <c r="E794" s="11" t="n"/>
      <c r="F794" s="16">
        <f>IF(OR(D794="",E794=""),"",D794*E794)</f>
        <v/>
      </c>
      <c r="G794" s="10" t="n"/>
      <c r="H794" s="14">
        <f>IF(A794="","",MONTH(A794))</f>
        <v/>
      </c>
      <c r="I794" s="14">
        <f>IF(A794="","",YEAR(A794))</f>
        <v/>
      </c>
    </row>
    <row r="795">
      <c r="A795" s="15" t="n"/>
      <c r="B795" s="10" t="n"/>
      <c r="C795" s="14">
        <f>IF(B795="","",IFERROR(INDEX('Sản phẩm'!$B$5:$B$304,MATCH(B795,'Sản phẩm'!$A$5:$A$304,0)),""))</f>
        <v/>
      </c>
      <c r="D795" s="12" t="n"/>
      <c r="E795" s="11" t="n"/>
      <c r="F795" s="16">
        <f>IF(OR(D795="",E795=""),"",D795*E795)</f>
        <v/>
      </c>
      <c r="G795" s="10" t="n"/>
      <c r="H795" s="14">
        <f>IF(A795="","",MONTH(A795))</f>
        <v/>
      </c>
      <c r="I795" s="14">
        <f>IF(A795="","",YEAR(A795))</f>
        <v/>
      </c>
    </row>
    <row r="796">
      <c r="A796" s="15" t="n"/>
      <c r="B796" s="10" t="n"/>
      <c r="C796" s="14">
        <f>IF(B796="","",IFERROR(INDEX('Sản phẩm'!$B$5:$B$304,MATCH(B796,'Sản phẩm'!$A$5:$A$304,0)),""))</f>
        <v/>
      </c>
      <c r="D796" s="12" t="n"/>
      <c r="E796" s="11" t="n"/>
      <c r="F796" s="16">
        <f>IF(OR(D796="",E796=""),"",D796*E796)</f>
        <v/>
      </c>
      <c r="G796" s="10" t="n"/>
      <c r="H796" s="14">
        <f>IF(A796="","",MONTH(A796))</f>
        <v/>
      </c>
      <c r="I796" s="14">
        <f>IF(A796="","",YEAR(A796))</f>
        <v/>
      </c>
    </row>
    <row r="797">
      <c r="A797" s="15" t="n"/>
      <c r="B797" s="10" t="n"/>
      <c r="C797" s="14">
        <f>IF(B797="","",IFERROR(INDEX('Sản phẩm'!$B$5:$B$304,MATCH(B797,'Sản phẩm'!$A$5:$A$304,0)),""))</f>
        <v/>
      </c>
      <c r="D797" s="12" t="n"/>
      <c r="E797" s="11" t="n"/>
      <c r="F797" s="16">
        <f>IF(OR(D797="",E797=""),"",D797*E797)</f>
        <v/>
      </c>
      <c r="G797" s="10" t="n"/>
      <c r="H797" s="14">
        <f>IF(A797="","",MONTH(A797))</f>
        <v/>
      </c>
      <c r="I797" s="14">
        <f>IF(A797="","",YEAR(A797))</f>
        <v/>
      </c>
    </row>
    <row r="798">
      <c r="A798" s="15" t="n"/>
      <c r="B798" s="10" t="n"/>
      <c r="C798" s="14">
        <f>IF(B798="","",IFERROR(INDEX('Sản phẩm'!$B$5:$B$304,MATCH(B798,'Sản phẩm'!$A$5:$A$304,0)),""))</f>
        <v/>
      </c>
      <c r="D798" s="12" t="n"/>
      <c r="E798" s="11" t="n"/>
      <c r="F798" s="16">
        <f>IF(OR(D798="",E798=""),"",D798*E798)</f>
        <v/>
      </c>
      <c r="G798" s="10" t="n"/>
      <c r="H798" s="14">
        <f>IF(A798="","",MONTH(A798))</f>
        <v/>
      </c>
      <c r="I798" s="14">
        <f>IF(A798="","",YEAR(A798))</f>
        <v/>
      </c>
    </row>
    <row r="799">
      <c r="A799" s="15" t="n"/>
      <c r="B799" s="10" t="n"/>
      <c r="C799" s="14">
        <f>IF(B799="","",IFERROR(INDEX('Sản phẩm'!$B$5:$B$304,MATCH(B799,'Sản phẩm'!$A$5:$A$304,0)),""))</f>
        <v/>
      </c>
      <c r="D799" s="12" t="n"/>
      <c r="E799" s="11" t="n"/>
      <c r="F799" s="16">
        <f>IF(OR(D799="",E799=""),"",D799*E799)</f>
        <v/>
      </c>
      <c r="G799" s="10" t="n"/>
      <c r="H799" s="14">
        <f>IF(A799="","",MONTH(A799))</f>
        <v/>
      </c>
      <c r="I799" s="14">
        <f>IF(A799="","",YEAR(A799))</f>
        <v/>
      </c>
    </row>
    <row r="800">
      <c r="A800" s="15" t="n"/>
      <c r="B800" s="10" t="n"/>
      <c r="C800" s="14">
        <f>IF(B800="","",IFERROR(INDEX('Sản phẩm'!$B$5:$B$304,MATCH(B800,'Sản phẩm'!$A$5:$A$304,0)),""))</f>
        <v/>
      </c>
      <c r="D800" s="12" t="n"/>
      <c r="E800" s="11" t="n"/>
      <c r="F800" s="16">
        <f>IF(OR(D800="",E800=""),"",D800*E800)</f>
        <v/>
      </c>
      <c r="G800" s="10" t="n"/>
      <c r="H800" s="14">
        <f>IF(A800="","",MONTH(A800))</f>
        <v/>
      </c>
      <c r="I800" s="14">
        <f>IF(A800="","",YEAR(A800))</f>
        <v/>
      </c>
    </row>
    <row r="801">
      <c r="A801" s="15" t="n"/>
      <c r="B801" s="10" t="n"/>
      <c r="C801" s="14">
        <f>IF(B801="","",IFERROR(INDEX('Sản phẩm'!$B$5:$B$304,MATCH(B801,'Sản phẩm'!$A$5:$A$304,0)),""))</f>
        <v/>
      </c>
      <c r="D801" s="12" t="n"/>
      <c r="E801" s="11" t="n"/>
      <c r="F801" s="16">
        <f>IF(OR(D801="",E801=""),"",D801*E801)</f>
        <v/>
      </c>
      <c r="G801" s="10" t="n"/>
      <c r="H801" s="14">
        <f>IF(A801="","",MONTH(A801))</f>
        <v/>
      </c>
      <c r="I801" s="14">
        <f>IF(A801="","",YEAR(A801))</f>
        <v/>
      </c>
    </row>
    <row r="802">
      <c r="A802" s="15" t="n"/>
      <c r="B802" s="10" t="n"/>
      <c r="C802" s="14">
        <f>IF(B802="","",IFERROR(INDEX('Sản phẩm'!$B$5:$B$304,MATCH(B802,'Sản phẩm'!$A$5:$A$304,0)),""))</f>
        <v/>
      </c>
      <c r="D802" s="12" t="n"/>
      <c r="E802" s="11" t="n"/>
      <c r="F802" s="16">
        <f>IF(OR(D802="",E802=""),"",D802*E802)</f>
        <v/>
      </c>
      <c r="G802" s="10" t="n"/>
      <c r="H802" s="14">
        <f>IF(A802="","",MONTH(A802))</f>
        <v/>
      </c>
      <c r="I802" s="14">
        <f>IF(A802="","",YEAR(A802))</f>
        <v/>
      </c>
    </row>
    <row r="803">
      <c r="A803" s="15" t="n"/>
      <c r="B803" s="10" t="n"/>
      <c r="C803" s="14">
        <f>IF(B803="","",IFERROR(INDEX('Sản phẩm'!$B$5:$B$304,MATCH(B803,'Sản phẩm'!$A$5:$A$304,0)),""))</f>
        <v/>
      </c>
      <c r="D803" s="12" t="n"/>
      <c r="E803" s="11" t="n"/>
      <c r="F803" s="16">
        <f>IF(OR(D803="",E803=""),"",D803*E803)</f>
        <v/>
      </c>
      <c r="G803" s="10" t="n"/>
      <c r="H803" s="14">
        <f>IF(A803="","",MONTH(A803))</f>
        <v/>
      </c>
      <c r="I803" s="14">
        <f>IF(A803="","",YEAR(A803))</f>
        <v/>
      </c>
    </row>
    <row r="804">
      <c r="A804" s="15" t="n"/>
      <c r="B804" s="10" t="n"/>
      <c r="C804" s="14">
        <f>IF(B804="","",IFERROR(INDEX('Sản phẩm'!$B$5:$B$304,MATCH(B804,'Sản phẩm'!$A$5:$A$304,0)),""))</f>
        <v/>
      </c>
      <c r="D804" s="12" t="n"/>
      <c r="E804" s="11" t="n"/>
      <c r="F804" s="16">
        <f>IF(OR(D804="",E804=""),"",D804*E804)</f>
        <v/>
      </c>
      <c r="G804" s="10" t="n"/>
      <c r="H804" s="14">
        <f>IF(A804="","",MONTH(A804))</f>
        <v/>
      </c>
      <c r="I804" s="14">
        <f>IF(A804="","",YEAR(A804))</f>
        <v/>
      </c>
    </row>
    <row r="805">
      <c r="A805" s="15" t="n"/>
      <c r="B805" s="10" t="n"/>
      <c r="C805" s="14">
        <f>IF(B805="","",IFERROR(INDEX('Sản phẩm'!$B$5:$B$304,MATCH(B805,'Sản phẩm'!$A$5:$A$304,0)),""))</f>
        <v/>
      </c>
      <c r="D805" s="12" t="n"/>
      <c r="E805" s="11" t="n"/>
      <c r="F805" s="16">
        <f>IF(OR(D805="",E805=""),"",D805*E805)</f>
        <v/>
      </c>
      <c r="G805" s="10" t="n"/>
      <c r="H805" s="14">
        <f>IF(A805="","",MONTH(A805))</f>
        <v/>
      </c>
      <c r="I805" s="14">
        <f>IF(A805="","",YEAR(A805))</f>
        <v/>
      </c>
    </row>
    <row r="806">
      <c r="A806" s="15" t="n"/>
      <c r="B806" s="10" t="n"/>
      <c r="C806" s="14">
        <f>IF(B806="","",IFERROR(INDEX('Sản phẩm'!$B$5:$B$304,MATCH(B806,'Sản phẩm'!$A$5:$A$304,0)),""))</f>
        <v/>
      </c>
      <c r="D806" s="12" t="n"/>
      <c r="E806" s="11" t="n"/>
      <c r="F806" s="16">
        <f>IF(OR(D806="",E806=""),"",D806*E806)</f>
        <v/>
      </c>
      <c r="G806" s="10" t="n"/>
      <c r="H806" s="14">
        <f>IF(A806="","",MONTH(A806))</f>
        <v/>
      </c>
      <c r="I806" s="14">
        <f>IF(A806="","",YEAR(A806))</f>
        <v/>
      </c>
    </row>
    <row r="807">
      <c r="A807" s="15" t="n"/>
      <c r="B807" s="10" t="n"/>
      <c r="C807" s="14">
        <f>IF(B807="","",IFERROR(INDEX('Sản phẩm'!$B$5:$B$304,MATCH(B807,'Sản phẩm'!$A$5:$A$304,0)),""))</f>
        <v/>
      </c>
      <c r="D807" s="12" t="n"/>
      <c r="E807" s="11" t="n"/>
      <c r="F807" s="16">
        <f>IF(OR(D807="",E807=""),"",D807*E807)</f>
        <v/>
      </c>
      <c r="G807" s="10" t="n"/>
      <c r="H807" s="14">
        <f>IF(A807="","",MONTH(A807))</f>
        <v/>
      </c>
      <c r="I807" s="14">
        <f>IF(A807="","",YEAR(A807))</f>
        <v/>
      </c>
    </row>
    <row r="808">
      <c r="A808" s="15" t="n"/>
      <c r="B808" s="10" t="n"/>
      <c r="C808" s="14">
        <f>IF(B808="","",IFERROR(INDEX('Sản phẩm'!$B$5:$B$304,MATCH(B808,'Sản phẩm'!$A$5:$A$304,0)),""))</f>
        <v/>
      </c>
      <c r="D808" s="12" t="n"/>
      <c r="E808" s="11" t="n"/>
      <c r="F808" s="16">
        <f>IF(OR(D808="",E808=""),"",D808*E808)</f>
        <v/>
      </c>
      <c r="G808" s="10" t="n"/>
      <c r="H808" s="14">
        <f>IF(A808="","",MONTH(A808))</f>
        <v/>
      </c>
      <c r="I808" s="14">
        <f>IF(A808="","",YEAR(A808))</f>
        <v/>
      </c>
    </row>
    <row r="809">
      <c r="A809" s="15" t="n"/>
      <c r="B809" s="10" t="n"/>
      <c r="C809" s="14">
        <f>IF(B809="","",IFERROR(INDEX('Sản phẩm'!$B$5:$B$304,MATCH(B809,'Sản phẩm'!$A$5:$A$304,0)),""))</f>
        <v/>
      </c>
      <c r="D809" s="12" t="n"/>
      <c r="E809" s="11" t="n"/>
      <c r="F809" s="16">
        <f>IF(OR(D809="",E809=""),"",D809*E809)</f>
        <v/>
      </c>
      <c r="G809" s="10" t="n"/>
      <c r="H809" s="14">
        <f>IF(A809="","",MONTH(A809))</f>
        <v/>
      </c>
      <c r="I809" s="14">
        <f>IF(A809="","",YEAR(A809))</f>
        <v/>
      </c>
    </row>
    <row r="810">
      <c r="A810" s="15" t="n"/>
      <c r="B810" s="10" t="n"/>
      <c r="C810" s="14">
        <f>IF(B810="","",IFERROR(INDEX('Sản phẩm'!$B$5:$B$304,MATCH(B810,'Sản phẩm'!$A$5:$A$304,0)),""))</f>
        <v/>
      </c>
      <c r="D810" s="12" t="n"/>
      <c r="E810" s="11" t="n"/>
      <c r="F810" s="16">
        <f>IF(OR(D810="",E810=""),"",D810*E810)</f>
        <v/>
      </c>
      <c r="G810" s="10" t="n"/>
      <c r="H810" s="14">
        <f>IF(A810="","",MONTH(A810))</f>
        <v/>
      </c>
      <c r="I810" s="14">
        <f>IF(A810="","",YEAR(A810))</f>
        <v/>
      </c>
    </row>
    <row r="811">
      <c r="A811" s="15" t="n"/>
      <c r="B811" s="10" t="n"/>
      <c r="C811" s="14">
        <f>IF(B811="","",IFERROR(INDEX('Sản phẩm'!$B$5:$B$304,MATCH(B811,'Sản phẩm'!$A$5:$A$304,0)),""))</f>
        <v/>
      </c>
      <c r="D811" s="12" t="n"/>
      <c r="E811" s="11" t="n"/>
      <c r="F811" s="16">
        <f>IF(OR(D811="",E811=""),"",D811*E811)</f>
        <v/>
      </c>
      <c r="G811" s="10" t="n"/>
      <c r="H811" s="14">
        <f>IF(A811="","",MONTH(A811))</f>
        <v/>
      </c>
      <c r="I811" s="14">
        <f>IF(A811="","",YEAR(A811))</f>
        <v/>
      </c>
    </row>
    <row r="812">
      <c r="A812" s="15" t="n"/>
      <c r="B812" s="10" t="n"/>
      <c r="C812" s="14">
        <f>IF(B812="","",IFERROR(INDEX('Sản phẩm'!$B$5:$B$304,MATCH(B812,'Sản phẩm'!$A$5:$A$304,0)),""))</f>
        <v/>
      </c>
      <c r="D812" s="12" t="n"/>
      <c r="E812" s="11" t="n"/>
      <c r="F812" s="16">
        <f>IF(OR(D812="",E812=""),"",D812*E812)</f>
        <v/>
      </c>
      <c r="G812" s="10" t="n"/>
      <c r="H812" s="14">
        <f>IF(A812="","",MONTH(A812))</f>
        <v/>
      </c>
      <c r="I812" s="14">
        <f>IF(A812="","",YEAR(A812))</f>
        <v/>
      </c>
    </row>
    <row r="813">
      <c r="A813" s="15" t="n"/>
      <c r="B813" s="10" t="n"/>
      <c r="C813" s="14">
        <f>IF(B813="","",IFERROR(INDEX('Sản phẩm'!$B$5:$B$304,MATCH(B813,'Sản phẩm'!$A$5:$A$304,0)),""))</f>
        <v/>
      </c>
      <c r="D813" s="12" t="n"/>
      <c r="E813" s="11" t="n"/>
      <c r="F813" s="16">
        <f>IF(OR(D813="",E813=""),"",D813*E813)</f>
        <v/>
      </c>
      <c r="G813" s="10" t="n"/>
      <c r="H813" s="14">
        <f>IF(A813="","",MONTH(A813))</f>
        <v/>
      </c>
      <c r="I813" s="14">
        <f>IF(A813="","",YEAR(A813))</f>
        <v/>
      </c>
    </row>
    <row r="814">
      <c r="A814" s="15" t="n"/>
      <c r="B814" s="10" t="n"/>
      <c r="C814" s="14">
        <f>IF(B814="","",IFERROR(INDEX('Sản phẩm'!$B$5:$B$304,MATCH(B814,'Sản phẩm'!$A$5:$A$304,0)),""))</f>
        <v/>
      </c>
      <c r="D814" s="12" t="n"/>
      <c r="E814" s="11" t="n"/>
      <c r="F814" s="16">
        <f>IF(OR(D814="",E814=""),"",D814*E814)</f>
        <v/>
      </c>
      <c r="G814" s="10" t="n"/>
      <c r="H814" s="14">
        <f>IF(A814="","",MONTH(A814))</f>
        <v/>
      </c>
      <c r="I814" s="14">
        <f>IF(A814="","",YEAR(A814))</f>
        <v/>
      </c>
    </row>
    <row r="815">
      <c r="A815" s="15" t="n"/>
      <c r="B815" s="10" t="n"/>
      <c r="C815" s="14">
        <f>IF(B815="","",IFERROR(INDEX('Sản phẩm'!$B$5:$B$304,MATCH(B815,'Sản phẩm'!$A$5:$A$304,0)),""))</f>
        <v/>
      </c>
      <c r="D815" s="12" t="n"/>
      <c r="E815" s="11" t="n"/>
      <c r="F815" s="16">
        <f>IF(OR(D815="",E815=""),"",D815*E815)</f>
        <v/>
      </c>
      <c r="G815" s="10" t="n"/>
      <c r="H815" s="14">
        <f>IF(A815="","",MONTH(A815))</f>
        <v/>
      </c>
      <c r="I815" s="14">
        <f>IF(A815="","",YEAR(A815))</f>
        <v/>
      </c>
    </row>
    <row r="816">
      <c r="A816" s="15" t="n"/>
      <c r="B816" s="10" t="n"/>
      <c r="C816" s="14">
        <f>IF(B816="","",IFERROR(INDEX('Sản phẩm'!$B$5:$B$304,MATCH(B816,'Sản phẩm'!$A$5:$A$304,0)),""))</f>
        <v/>
      </c>
      <c r="D816" s="12" t="n"/>
      <c r="E816" s="11" t="n"/>
      <c r="F816" s="16">
        <f>IF(OR(D816="",E816=""),"",D816*E816)</f>
        <v/>
      </c>
      <c r="G816" s="10" t="n"/>
      <c r="H816" s="14">
        <f>IF(A816="","",MONTH(A816))</f>
        <v/>
      </c>
      <c r="I816" s="14">
        <f>IF(A816="","",YEAR(A816))</f>
        <v/>
      </c>
    </row>
    <row r="817">
      <c r="A817" s="15" t="n"/>
      <c r="B817" s="10" t="n"/>
      <c r="C817" s="14">
        <f>IF(B817="","",IFERROR(INDEX('Sản phẩm'!$B$5:$B$304,MATCH(B817,'Sản phẩm'!$A$5:$A$304,0)),""))</f>
        <v/>
      </c>
      <c r="D817" s="12" t="n"/>
      <c r="E817" s="11" t="n"/>
      <c r="F817" s="16">
        <f>IF(OR(D817="",E817=""),"",D817*E817)</f>
        <v/>
      </c>
      <c r="G817" s="10" t="n"/>
      <c r="H817" s="14">
        <f>IF(A817="","",MONTH(A817))</f>
        <v/>
      </c>
      <c r="I817" s="14">
        <f>IF(A817="","",YEAR(A817))</f>
        <v/>
      </c>
    </row>
    <row r="818">
      <c r="A818" s="15" t="n"/>
      <c r="B818" s="10" t="n"/>
      <c r="C818" s="14">
        <f>IF(B818="","",IFERROR(INDEX('Sản phẩm'!$B$5:$B$304,MATCH(B818,'Sản phẩm'!$A$5:$A$304,0)),""))</f>
        <v/>
      </c>
      <c r="D818" s="12" t="n"/>
      <c r="E818" s="11" t="n"/>
      <c r="F818" s="16">
        <f>IF(OR(D818="",E818=""),"",D818*E818)</f>
        <v/>
      </c>
      <c r="G818" s="10" t="n"/>
      <c r="H818" s="14">
        <f>IF(A818="","",MONTH(A818))</f>
        <v/>
      </c>
      <c r="I818" s="14">
        <f>IF(A818="","",YEAR(A818))</f>
        <v/>
      </c>
    </row>
    <row r="819">
      <c r="A819" s="15" t="n"/>
      <c r="B819" s="10" t="n"/>
      <c r="C819" s="14">
        <f>IF(B819="","",IFERROR(INDEX('Sản phẩm'!$B$5:$B$304,MATCH(B819,'Sản phẩm'!$A$5:$A$304,0)),""))</f>
        <v/>
      </c>
      <c r="D819" s="12" t="n"/>
      <c r="E819" s="11" t="n"/>
      <c r="F819" s="16">
        <f>IF(OR(D819="",E819=""),"",D819*E819)</f>
        <v/>
      </c>
      <c r="G819" s="10" t="n"/>
      <c r="H819" s="14">
        <f>IF(A819="","",MONTH(A819))</f>
        <v/>
      </c>
      <c r="I819" s="14">
        <f>IF(A819="","",YEAR(A819))</f>
        <v/>
      </c>
    </row>
    <row r="820">
      <c r="A820" s="15" t="n"/>
      <c r="B820" s="10" t="n"/>
      <c r="C820" s="14">
        <f>IF(B820="","",IFERROR(INDEX('Sản phẩm'!$B$5:$B$304,MATCH(B820,'Sản phẩm'!$A$5:$A$304,0)),""))</f>
        <v/>
      </c>
      <c r="D820" s="12" t="n"/>
      <c r="E820" s="11" t="n"/>
      <c r="F820" s="16">
        <f>IF(OR(D820="",E820=""),"",D820*E820)</f>
        <v/>
      </c>
      <c r="G820" s="10" t="n"/>
      <c r="H820" s="14">
        <f>IF(A820="","",MONTH(A820))</f>
        <v/>
      </c>
      <c r="I820" s="14">
        <f>IF(A820="","",YEAR(A820))</f>
        <v/>
      </c>
    </row>
    <row r="821">
      <c r="A821" s="15" t="n"/>
      <c r="B821" s="10" t="n"/>
      <c r="C821" s="14">
        <f>IF(B821="","",IFERROR(INDEX('Sản phẩm'!$B$5:$B$304,MATCH(B821,'Sản phẩm'!$A$5:$A$304,0)),""))</f>
        <v/>
      </c>
      <c r="D821" s="12" t="n"/>
      <c r="E821" s="11" t="n"/>
      <c r="F821" s="16">
        <f>IF(OR(D821="",E821=""),"",D821*E821)</f>
        <v/>
      </c>
      <c r="G821" s="10" t="n"/>
      <c r="H821" s="14">
        <f>IF(A821="","",MONTH(A821))</f>
        <v/>
      </c>
      <c r="I821" s="14">
        <f>IF(A821="","",YEAR(A821))</f>
        <v/>
      </c>
    </row>
    <row r="822">
      <c r="A822" s="15" t="n"/>
      <c r="B822" s="10" t="n"/>
      <c r="C822" s="14">
        <f>IF(B822="","",IFERROR(INDEX('Sản phẩm'!$B$5:$B$304,MATCH(B822,'Sản phẩm'!$A$5:$A$304,0)),""))</f>
        <v/>
      </c>
      <c r="D822" s="12" t="n"/>
      <c r="E822" s="11" t="n"/>
      <c r="F822" s="16">
        <f>IF(OR(D822="",E822=""),"",D822*E822)</f>
        <v/>
      </c>
      <c r="G822" s="10" t="n"/>
      <c r="H822" s="14">
        <f>IF(A822="","",MONTH(A822))</f>
        <v/>
      </c>
      <c r="I822" s="14">
        <f>IF(A822="","",YEAR(A822))</f>
        <v/>
      </c>
    </row>
    <row r="823">
      <c r="A823" s="15" t="n"/>
      <c r="B823" s="10" t="n"/>
      <c r="C823" s="14">
        <f>IF(B823="","",IFERROR(INDEX('Sản phẩm'!$B$5:$B$304,MATCH(B823,'Sản phẩm'!$A$5:$A$304,0)),""))</f>
        <v/>
      </c>
      <c r="D823" s="12" t="n"/>
      <c r="E823" s="11" t="n"/>
      <c r="F823" s="16">
        <f>IF(OR(D823="",E823=""),"",D823*E823)</f>
        <v/>
      </c>
      <c r="G823" s="10" t="n"/>
      <c r="H823" s="14">
        <f>IF(A823="","",MONTH(A823))</f>
        <v/>
      </c>
      <c r="I823" s="14">
        <f>IF(A823="","",YEAR(A823))</f>
        <v/>
      </c>
    </row>
    <row r="824">
      <c r="A824" s="15" t="n"/>
      <c r="B824" s="10" t="n"/>
      <c r="C824" s="14">
        <f>IF(B824="","",IFERROR(INDEX('Sản phẩm'!$B$5:$B$304,MATCH(B824,'Sản phẩm'!$A$5:$A$304,0)),""))</f>
        <v/>
      </c>
      <c r="D824" s="12" t="n"/>
      <c r="E824" s="11" t="n"/>
      <c r="F824" s="16">
        <f>IF(OR(D824="",E824=""),"",D824*E824)</f>
        <v/>
      </c>
      <c r="G824" s="10" t="n"/>
      <c r="H824" s="14">
        <f>IF(A824="","",MONTH(A824))</f>
        <v/>
      </c>
      <c r="I824" s="14">
        <f>IF(A824="","",YEAR(A824))</f>
        <v/>
      </c>
    </row>
    <row r="825">
      <c r="A825" s="15" t="n"/>
      <c r="B825" s="10" t="n"/>
      <c r="C825" s="14">
        <f>IF(B825="","",IFERROR(INDEX('Sản phẩm'!$B$5:$B$304,MATCH(B825,'Sản phẩm'!$A$5:$A$304,0)),""))</f>
        <v/>
      </c>
      <c r="D825" s="12" t="n"/>
      <c r="E825" s="11" t="n"/>
      <c r="F825" s="16">
        <f>IF(OR(D825="",E825=""),"",D825*E825)</f>
        <v/>
      </c>
      <c r="G825" s="10" t="n"/>
      <c r="H825" s="14">
        <f>IF(A825="","",MONTH(A825))</f>
        <v/>
      </c>
      <c r="I825" s="14">
        <f>IF(A825="","",YEAR(A825))</f>
        <v/>
      </c>
    </row>
    <row r="826">
      <c r="A826" s="15" t="n"/>
      <c r="B826" s="10" t="n"/>
      <c r="C826" s="14">
        <f>IF(B826="","",IFERROR(INDEX('Sản phẩm'!$B$5:$B$304,MATCH(B826,'Sản phẩm'!$A$5:$A$304,0)),""))</f>
        <v/>
      </c>
      <c r="D826" s="12" t="n"/>
      <c r="E826" s="11" t="n"/>
      <c r="F826" s="16">
        <f>IF(OR(D826="",E826=""),"",D826*E826)</f>
        <v/>
      </c>
      <c r="G826" s="10" t="n"/>
      <c r="H826" s="14">
        <f>IF(A826="","",MONTH(A826))</f>
        <v/>
      </c>
      <c r="I826" s="14">
        <f>IF(A826="","",YEAR(A826))</f>
        <v/>
      </c>
    </row>
    <row r="827">
      <c r="A827" s="15" t="n"/>
      <c r="B827" s="10" t="n"/>
      <c r="C827" s="14">
        <f>IF(B827="","",IFERROR(INDEX('Sản phẩm'!$B$5:$B$304,MATCH(B827,'Sản phẩm'!$A$5:$A$304,0)),""))</f>
        <v/>
      </c>
      <c r="D827" s="12" t="n"/>
      <c r="E827" s="11" t="n"/>
      <c r="F827" s="16">
        <f>IF(OR(D827="",E827=""),"",D827*E827)</f>
        <v/>
      </c>
      <c r="G827" s="10" t="n"/>
      <c r="H827" s="14">
        <f>IF(A827="","",MONTH(A827))</f>
        <v/>
      </c>
      <c r="I827" s="14">
        <f>IF(A827="","",YEAR(A827))</f>
        <v/>
      </c>
    </row>
    <row r="828">
      <c r="A828" s="15" t="n"/>
      <c r="B828" s="10" t="n"/>
      <c r="C828" s="14">
        <f>IF(B828="","",IFERROR(INDEX('Sản phẩm'!$B$5:$B$304,MATCH(B828,'Sản phẩm'!$A$5:$A$304,0)),""))</f>
        <v/>
      </c>
      <c r="D828" s="12" t="n"/>
      <c r="E828" s="11" t="n"/>
      <c r="F828" s="16">
        <f>IF(OR(D828="",E828=""),"",D828*E828)</f>
        <v/>
      </c>
      <c r="G828" s="10" t="n"/>
      <c r="H828" s="14">
        <f>IF(A828="","",MONTH(A828))</f>
        <v/>
      </c>
      <c r="I828" s="14">
        <f>IF(A828="","",YEAR(A828))</f>
        <v/>
      </c>
    </row>
    <row r="829">
      <c r="A829" s="15" t="n"/>
      <c r="B829" s="10" t="n"/>
      <c r="C829" s="14">
        <f>IF(B829="","",IFERROR(INDEX('Sản phẩm'!$B$5:$B$304,MATCH(B829,'Sản phẩm'!$A$5:$A$304,0)),""))</f>
        <v/>
      </c>
      <c r="D829" s="12" t="n"/>
      <c r="E829" s="11" t="n"/>
      <c r="F829" s="16">
        <f>IF(OR(D829="",E829=""),"",D829*E829)</f>
        <v/>
      </c>
      <c r="G829" s="10" t="n"/>
      <c r="H829" s="14">
        <f>IF(A829="","",MONTH(A829))</f>
        <v/>
      </c>
      <c r="I829" s="14">
        <f>IF(A829="","",YEAR(A829))</f>
        <v/>
      </c>
    </row>
    <row r="830">
      <c r="A830" s="15" t="n"/>
      <c r="B830" s="10" t="n"/>
      <c r="C830" s="14">
        <f>IF(B830="","",IFERROR(INDEX('Sản phẩm'!$B$5:$B$304,MATCH(B830,'Sản phẩm'!$A$5:$A$304,0)),""))</f>
        <v/>
      </c>
      <c r="D830" s="12" t="n"/>
      <c r="E830" s="11" t="n"/>
      <c r="F830" s="16">
        <f>IF(OR(D830="",E830=""),"",D830*E830)</f>
        <v/>
      </c>
      <c r="G830" s="10" t="n"/>
      <c r="H830" s="14">
        <f>IF(A830="","",MONTH(A830))</f>
        <v/>
      </c>
      <c r="I830" s="14">
        <f>IF(A830="","",YEAR(A830))</f>
        <v/>
      </c>
    </row>
    <row r="831">
      <c r="A831" s="15" t="n"/>
      <c r="B831" s="10" t="n"/>
      <c r="C831" s="14">
        <f>IF(B831="","",IFERROR(INDEX('Sản phẩm'!$B$5:$B$304,MATCH(B831,'Sản phẩm'!$A$5:$A$304,0)),""))</f>
        <v/>
      </c>
      <c r="D831" s="12" t="n"/>
      <c r="E831" s="11" t="n"/>
      <c r="F831" s="16">
        <f>IF(OR(D831="",E831=""),"",D831*E831)</f>
        <v/>
      </c>
      <c r="G831" s="10" t="n"/>
      <c r="H831" s="14">
        <f>IF(A831="","",MONTH(A831))</f>
        <v/>
      </c>
      <c r="I831" s="14">
        <f>IF(A831="","",YEAR(A831))</f>
        <v/>
      </c>
    </row>
    <row r="832">
      <c r="A832" s="15" t="n"/>
      <c r="B832" s="10" t="n"/>
      <c r="C832" s="14">
        <f>IF(B832="","",IFERROR(INDEX('Sản phẩm'!$B$5:$B$304,MATCH(B832,'Sản phẩm'!$A$5:$A$304,0)),""))</f>
        <v/>
      </c>
      <c r="D832" s="12" t="n"/>
      <c r="E832" s="11" t="n"/>
      <c r="F832" s="16">
        <f>IF(OR(D832="",E832=""),"",D832*E832)</f>
        <v/>
      </c>
      <c r="G832" s="10" t="n"/>
      <c r="H832" s="14">
        <f>IF(A832="","",MONTH(A832))</f>
        <v/>
      </c>
      <c r="I832" s="14">
        <f>IF(A832="","",YEAR(A832))</f>
        <v/>
      </c>
    </row>
    <row r="833">
      <c r="A833" s="15" t="n"/>
      <c r="B833" s="10" t="n"/>
      <c r="C833" s="14">
        <f>IF(B833="","",IFERROR(INDEX('Sản phẩm'!$B$5:$B$304,MATCH(B833,'Sản phẩm'!$A$5:$A$304,0)),""))</f>
        <v/>
      </c>
      <c r="D833" s="12" t="n"/>
      <c r="E833" s="11" t="n"/>
      <c r="F833" s="16">
        <f>IF(OR(D833="",E833=""),"",D833*E833)</f>
        <v/>
      </c>
      <c r="G833" s="10" t="n"/>
      <c r="H833" s="14">
        <f>IF(A833="","",MONTH(A833))</f>
        <v/>
      </c>
      <c r="I833" s="14">
        <f>IF(A833="","",YEAR(A833))</f>
        <v/>
      </c>
    </row>
    <row r="834">
      <c r="A834" s="15" t="n"/>
      <c r="B834" s="10" t="n"/>
      <c r="C834" s="14">
        <f>IF(B834="","",IFERROR(INDEX('Sản phẩm'!$B$5:$B$304,MATCH(B834,'Sản phẩm'!$A$5:$A$304,0)),""))</f>
        <v/>
      </c>
      <c r="D834" s="12" t="n"/>
      <c r="E834" s="11" t="n"/>
      <c r="F834" s="16">
        <f>IF(OR(D834="",E834=""),"",D834*E834)</f>
        <v/>
      </c>
      <c r="G834" s="10" t="n"/>
      <c r="H834" s="14">
        <f>IF(A834="","",MONTH(A834))</f>
        <v/>
      </c>
      <c r="I834" s="14">
        <f>IF(A834="","",YEAR(A834))</f>
        <v/>
      </c>
    </row>
    <row r="835">
      <c r="A835" s="15" t="n"/>
      <c r="B835" s="10" t="n"/>
      <c r="C835" s="14">
        <f>IF(B835="","",IFERROR(INDEX('Sản phẩm'!$B$5:$B$304,MATCH(B835,'Sản phẩm'!$A$5:$A$304,0)),""))</f>
        <v/>
      </c>
      <c r="D835" s="12" t="n"/>
      <c r="E835" s="11" t="n"/>
      <c r="F835" s="16">
        <f>IF(OR(D835="",E835=""),"",D835*E835)</f>
        <v/>
      </c>
      <c r="G835" s="10" t="n"/>
      <c r="H835" s="14">
        <f>IF(A835="","",MONTH(A835))</f>
        <v/>
      </c>
      <c r="I835" s="14">
        <f>IF(A835="","",YEAR(A835))</f>
        <v/>
      </c>
    </row>
    <row r="836">
      <c r="A836" s="15" t="n"/>
      <c r="B836" s="10" t="n"/>
      <c r="C836" s="14">
        <f>IF(B836="","",IFERROR(INDEX('Sản phẩm'!$B$5:$B$304,MATCH(B836,'Sản phẩm'!$A$5:$A$304,0)),""))</f>
        <v/>
      </c>
      <c r="D836" s="12" t="n"/>
      <c r="E836" s="11" t="n"/>
      <c r="F836" s="16">
        <f>IF(OR(D836="",E836=""),"",D836*E836)</f>
        <v/>
      </c>
      <c r="G836" s="10" t="n"/>
      <c r="H836" s="14">
        <f>IF(A836="","",MONTH(A836))</f>
        <v/>
      </c>
      <c r="I836" s="14">
        <f>IF(A836="","",YEAR(A836))</f>
        <v/>
      </c>
    </row>
    <row r="837">
      <c r="A837" s="15" t="n"/>
      <c r="B837" s="10" t="n"/>
      <c r="C837" s="14">
        <f>IF(B837="","",IFERROR(INDEX('Sản phẩm'!$B$5:$B$304,MATCH(B837,'Sản phẩm'!$A$5:$A$304,0)),""))</f>
        <v/>
      </c>
      <c r="D837" s="12" t="n"/>
      <c r="E837" s="11" t="n"/>
      <c r="F837" s="16">
        <f>IF(OR(D837="",E837=""),"",D837*E837)</f>
        <v/>
      </c>
      <c r="G837" s="10" t="n"/>
      <c r="H837" s="14">
        <f>IF(A837="","",MONTH(A837))</f>
        <v/>
      </c>
      <c r="I837" s="14">
        <f>IF(A837="","",YEAR(A837))</f>
        <v/>
      </c>
    </row>
    <row r="838">
      <c r="A838" s="15" t="n"/>
      <c r="B838" s="10" t="n"/>
      <c r="C838" s="14">
        <f>IF(B838="","",IFERROR(INDEX('Sản phẩm'!$B$5:$B$304,MATCH(B838,'Sản phẩm'!$A$5:$A$304,0)),""))</f>
        <v/>
      </c>
      <c r="D838" s="12" t="n"/>
      <c r="E838" s="11" t="n"/>
      <c r="F838" s="16">
        <f>IF(OR(D838="",E838=""),"",D838*E838)</f>
        <v/>
      </c>
      <c r="G838" s="10" t="n"/>
      <c r="H838" s="14">
        <f>IF(A838="","",MONTH(A838))</f>
        <v/>
      </c>
      <c r="I838" s="14">
        <f>IF(A838="","",YEAR(A838))</f>
        <v/>
      </c>
    </row>
    <row r="839">
      <c r="A839" s="15" t="n"/>
      <c r="B839" s="10" t="n"/>
      <c r="C839" s="14">
        <f>IF(B839="","",IFERROR(INDEX('Sản phẩm'!$B$5:$B$304,MATCH(B839,'Sản phẩm'!$A$5:$A$304,0)),""))</f>
        <v/>
      </c>
      <c r="D839" s="12" t="n"/>
      <c r="E839" s="11" t="n"/>
      <c r="F839" s="16">
        <f>IF(OR(D839="",E839=""),"",D839*E839)</f>
        <v/>
      </c>
      <c r="G839" s="10" t="n"/>
      <c r="H839" s="14">
        <f>IF(A839="","",MONTH(A839))</f>
        <v/>
      </c>
      <c r="I839" s="14">
        <f>IF(A839="","",YEAR(A839))</f>
        <v/>
      </c>
    </row>
    <row r="840">
      <c r="A840" s="15" t="n"/>
      <c r="B840" s="10" t="n"/>
      <c r="C840" s="14">
        <f>IF(B840="","",IFERROR(INDEX('Sản phẩm'!$B$5:$B$304,MATCH(B840,'Sản phẩm'!$A$5:$A$304,0)),""))</f>
        <v/>
      </c>
      <c r="D840" s="12" t="n"/>
      <c r="E840" s="11" t="n"/>
      <c r="F840" s="16">
        <f>IF(OR(D840="",E840=""),"",D840*E840)</f>
        <v/>
      </c>
      <c r="G840" s="10" t="n"/>
      <c r="H840" s="14">
        <f>IF(A840="","",MONTH(A840))</f>
        <v/>
      </c>
      <c r="I840" s="14">
        <f>IF(A840="","",YEAR(A840))</f>
        <v/>
      </c>
    </row>
    <row r="841">
      <c r="A841" s="15" t="n"/>
      <c r="B841" s="10" t="n"/>
      <c r="C841" s="14">
        <f>IF(B841="","",IFERROR(INDEX('Sản phẩm'!$B$5:$B$304,MATCH(B841,'Sản phẩm'!$A$5:$A$304,0)),""))</f>
        <v/>
      </c>
      <c r="D841" s="12" t="n"/>
      <c r="E841" s="11" t="n"/>
      <c r="F841" s="16">
        <f>IF(OR(D841="",E841=""),"",D841*E841)</f>
        <v/>
      </c>
      <c r="G841" s="10" t="n"/>
      <c r="H841" s="14">
        <f>IF(A841="","",MONTH(A841))</f>
        <v/>
      </c>
      <c r="I841" s="14">
        <f>IF(A841="","",YEAR(A841))</f>
        <v/>
      </c>
    </row>
    <row r="842">
      <c r="A842" s="15" t="n"/>
      <c r="B842" s="10" t="n"/>
      <c r="C842" s="14">
        <f>IF(B842="","",IFERROR(INDEX('Sản phẩm'!$B$5:$B$304,MATCH(B842,'Sản phẩm'!$A$5:$A$304,0)),""))</f>
        <v/>
      </c>
      <c r="D842" s="12" t="n"/>
      <c r="E842" s="11" t="n"/>
      <c r="F842" s="16">
        <f>IF(OR(D842="",E842=""),"",D842*E842)</f>
        <v/>
      </c>
      <c r="G842" s="10" t="n"/>
      <c r="H842" s="14">
        <f>IF(A842="","",MONTH(A842))</f>
        <v/>
      </c>
      <c r="I842" s="14">
        <f>IF(A842="","",YEAR(A842))</f>
        <v/>
      </c>
    </row>
    <row r="843">
      <c r="A843" s="15" t="n"/>
      <c r="B843" s="10" t="n"/>
      <c r="C843" s="14">
        <f>IF(B843="","",IFERROR(INDEX('Sản phẩm'!$B$5:$B$304,MATCH(B843,'Sản phẩm'!$A$5:$A$304,0)),""))</f>
        <v/>
      </c>
      <c r="D843" s="12" t="n"/>
      <c r="E843" s="11" t="n"/>
      <c r="F843" s="16">
        <f>IF(OR(D843="",E843=""),"",D843*E843)</f>
        <v/>
      </c>
      <c r="G843" s="10" t="n"/>
      <c r="H843" s="14">
        <f>IF(A843="","",MONTH(A843))</f>
        <v/>
      </c>
      <c r="I843" s="14">
        <f>IF(A843="","",YEAR(A843))</f>
        <v/>
      </c>
    </row>
    <row r="844">
      <c r="A844" s="15" t="n"/>
      <c r="B844" s="10" t="n"/>
      <c r="C844" s="14">
        <f>IF(B844="","",IFERROR(INDEX('Sản phẩm'!$B$5:$B$304,MATCH(B844,'Sản phẩm'!$A$5:$A$304,0)),""))</f>
        <v/>
      </c>
      <c r="D844" s="12" t="n"/>
      <c r="E844" s="11" t="n"/>
      <c r="F844" s="16">
        <f>IF(OR(D844="",E844=""),"",D844*E844)</f>
        <v/>
      </c>
      <c r="G844" s="10" t="n"/>
      <c r="H844" s="14">
        <f>IF(A844="","",MONTH(A844))</f>
        <v/>
      </c>
      <c r="I844" s="14">
        <f>IF(A844="","",YEAR(A844))</f>
        <v/>
      </c>
    </row>
    <row r="845">
      <c r="A845" s="15" t="n"/>
      <c r="B845" s="10" t="n"/>
      <c r="C845" s="14">
        <f>IF(B845="","",IFERROR(INDEX('Sản phẩm'!$B$5:$B$304,MATCH(B845,'Sản phẩm'!$A$5:$A$304,0)),""))</f>
        <v/>
      </c>
      <c r="D845" s="12" t="n"/>
      <c r="E845" s="11" t="n"/>
      <c r="F845" s="16">
        <f>IF(OR(D845="",E845=""),"",D845*E845)</f>
        <v/>
      </c>
      <c r="G845" s="10" t="n"/>
      <c r="H845" s="14">
        <f>IF(A845="","",MONTH(A845))</f>
        <v/>
      </c>
      <c r="I845" s="14">
        <f>IF(A845="","",YEAR(A845))</f>
        <v/>
      </c>
    </row>
    <row r="846">
      <c r="A846" s="15" t="n"/>
      <c r="B846" s="10" t="n"/>
      <c r="C846" s="14">
        <f>IF(B846="","",IFERROR(INDEX('Sản phẩm'!$B$5:$B$304,MATCH(B846,'Sản phẩm'!$A$5:$A$304,0)),""))</f>
        <v/>
      </c>
      <c r="D846" s="12" t="n"/>
      <c r="E846" s="11" t="n"/>
      <c r="F846" s="16">
        <f>IF(OR(D846="",E846=""),"",D846*E846)</f>
        <v/>
      </c>
      <c r="G846" s="10" t="n"/>
      <c r="H846" s="14">
        <f>IF(A846="","",MONTH(A846))</f>
        <v/>
      </c>
      <c r="I846" s="14">
        <f>IF(A846="","",YEAR(A846))</f>
        <v/>
      </c>
    </row>
    <row r="847">
      <c r="A847" s="15" t="n"/>
      <c r="B847" s="10" t="n"/>
      <c r="C847" s="14">
        <f>IF(B847="","",IFERROR(INDEX('Sản phẩm'!$B$5:$B$304,MATCH(B847,'Sản phẩm'!$A$5:$A$304,0)),""))</f>
        <v/>
      </c>
      <c r="D847" s="12" t="n"/>
      <c r="E847" s="11" t="n"/>
      <c r="F847" s="16">
        <f>IF(OR(D847="",E847=""),"",D847*E847)</f>
        <v/>
      </c>
      <c r="G847" s="10" t="n"/>
      <c r="H847" s="14">
        <f>IF(A847="","",MONTH(A847))</f>
        <v/>
      </c>
      <c r="I847" s="14">
        <f>IF(A847="","",YEAR(A847))</f>
        <v/>
      </c>
    </row>
    <row r="848">
      <c r="A848" s="15" t="n"/>
      <c r="B848" s="10" t="n"/>
      <c r="C848" s="14">
        <f>IF(B848="","",IFERROR(INDEX('Sản phẩm'!$B$5:$B$304,MATCH(B848,'Sản phẩm'!$A$5:$A$304,0)),""))</f>
        <v/>
      </c>
      <c r="D848" s="12" t="n"/>
      <c r="E848" s="11" t="n"/>
      <c r="F848" s="16">
        <f>IF(OR(D848="",E848=""),"",D848*E848)</f>
        <v/>
      </c>
      <c r="G848" s="10" t="n"/>
      <c r="H848" s="14">
        <f>IF(A848="","",MONTH(A848))</f>
        <v/>
      </c>
      <c r="I848" s="14">
        <f>IF(A848="","",YEAR(A848))</f>
        <v/>
      </c>
    </row>
    <row r="849">
      <c r="A849" s="15" t="n"/>
      <c r="B849" s="10" t="n"/>
      <c r="C849" s="14">
        <f>IF(B849="","",IFERROR(INDEX('Sản phẩm'!$B$5:$B$304,MATCH(B849,'Sản phẩm'!$A$5:$A$304,0)),""))</f>
        <v/>
      </c>
      <c r="D849" s="12" t="n"/>
      <c r="E849" s="11" t="n"/>
      <c r="F849" s="16">
        <f>IF(OR(D849="",E849=""),"",D849*E849)</f>
        <v/>
      </c>
      <c r="G849" s="10" t="n"/>
      <c r="H849" s="14">
        <f>IF(A849="","",MONTH(A849))</f>
        <v/>
      </c>
      <c r="I849" s="14">
        <f>IF(A849="","",YEAR(A849))</f>
        <v/>
      </c>
    </row>
    <row r="850">
      <c r="A850" s="15" t="n"/>
      <c r="B850" s="10" t="n"/>
      <c r="C850" s="14">
        <f>IF(B850="","",IFERROR(INDEX('Sản phẩm'!$B$5:$B$304,MATCH(B850,'Sản phẩm'!$A$5:$A$304,0)),""))</f>
        <v/>
      </c>
      <c r="D850" s="12" t="n"/>
      <c r="E850" s="11" t="n"/>
      <c r="F850" s="16">
        <f>IF(OR(D850="",E850=""),"",D850*E850)</f>
        <v/>
      </c>
      <c r="G850" s="10" t="n"/>
      <c r="H850" s="14">
        <f>IF(A850="","",MONTH(A850))</f>
        <v/>
      </c>
      <c r="I850" s="14">
        <f>IF(A850="","",YEAR(A850))</f>
        <v/>
      </c>
    </row>
    <row r="851">
      <c r="A851" s="15" t="n"/>
      <c r="B851" s="10" t="n"/>
      <c r="C851" s="14">
        <f>IF(B851="","",IFERROR(INDEX('Sản phẩm'!$B$5:$B$304,MATCH(B851,'Sản phẩm'!$A$5:$A$304,0)),""))</f>
        <v/>
      </c>
      <c r="D851" s="12" t="n"/>
      <c r="E851" s="11" t="n"/>
      <c r="F851" s="16">
        <f>IF(OR(D851="",E851=""),"",D851*E851)</f>
        <v/>
      </c>
      <c r="G851" s="10" t="n"/>
      <c r="H851" s="14">
        <f>IF(A851="","",MONTH(A851))</f>
        <v/>
      </c>
      <c r="I851" s="14">
        <f>IF(A851="","",YEAR(A851))</f>
        <v/>
      </c>
    </row>
    <row r="852">
      <c r="A852" s="15" t="n"/>
      <c r="B852" s="10" t="n"/>
      <c r="C852" s="14">
        <f>IF(B852="","",IFERROR(INDEX('Sản phẩm'!$B$5:$B$304,MATCH(B852,'Sản phẩm'!$A$5:$A$304,0)),""))</f>
        <v/>
      </c>
      <c r="D852" s="12" t="n"/>
      <c r="E852" s="11" t="n"/>
      <c r="F852" s="16">
        <f>IF(OR(D852="",E852=""),"",D852*E852)</f>
        <v/>
      </c>
      <c r="G852" s="10" t="n"/>
      <c r="H852" s="14">
        <f>IF(A852="","",MONTH(A852))</f>
        <v/>
      </c>
      <c r="I852" s="14">
        <f>IF(A852="","",YEAR(A852))</f>
        <v/>
      </c>
    </row>
    <row r="853">
      <c r="A853" s="15" t="n"/>
      <c r="B853" s="10" t="n"/>
      <c r="C853" s="14">
        <f>IF(B853="","",IFERROR(INDEX('Sản phẩm'!$B$5:$B$304,MATCH(B853,'Sản phẩm'!$A$5:$A$304,0)),""))</f>
        <v/>
      </c>
      <c r="D853" s="12" t="n"/>
      <c r="E853" s="11" t="n"/>
      <c r="F853" s="16">
        <f>IF(OR(D853="",E853=""),"",D853*E853)</f>
        <v/>
      </c>
      <c r="G853" s="10" t="n"/>
      <c r="H853" s="14">
        <f>IF(A853="","",MONTH(A853))</f>
        <v/>
      </c>
      <c r="I853" s="14">
        <f>IF(A853="","",YEAR(A853))</f>
        <v/>
      </c>
    </row>
    <row r="854">
      <c r="A854" s="15" t="n"/>
      <c r="B854" s="10" t="n"/>
      <c r="C854" s="14">
        <f>IF(B854="","",IFERROR(INDEX('Sản phẩm'!$B$5:$B$304,MATCH(B854,'Sản phẩm'!$A$5:$A$304,0)),""))</f>
        <v/>
      </c>
      <c r="D854" s="12" t="n"/>
      <c r="E854" s="11" t="n"/>
      <c r="F854" s="16">
        <f>IF(OR(D854="",E854=""),"",D854*E854)</f>
        <v/>
      </c>
      <c r="G854" s="10" t="n"/>
      <c r="H854" s="14">
        <f>IF(A854="","",MONTH(A854))</f>
        <v/>
      </c>
      <c r="I854" s="14">
        <f>IF(A854="","",YEAR(A854))</f>
        <v/>
      </c>
    </row>
    <row r="855">
      <c r="A855" s="15" t="n"/>
      <c r="B855" s="10" t="n"/>
      <c r="C855" s="14">
        <f>IF(B855="","",IFERROR(INDEX('Sản phẩm'!$B$5:$B$304,MATCH(B855,'Sản phẩm'!$A$5:$A$304,0)),""))</f>
        <v/>
      </c>
      <c r="D855" s="12" t="n"/>
      <c r="E855" s="11" t="n"/>
      <c r="F855" s="16">
        <f>IF(OR(D855="",E855=""),"",D855*E855)</f>
        <v/>
      </c>
      <c r="G855" s="10" t="n"/>
      <c r="H855" s="14">
        <f>IF(A855="","",MONTH(A855))</f>
        <v/>
      </c>
      <c r="I855" s="14">
        <f>IF(A855="","",YEAR(A855))</f>
        <v/>
      </c>
    </row>
    <row r="856">
      <c r="A856" s="15" t="n"/>
      <c r="B856" s="10" t="n"/>
      <c r="C856" s="14">
        <f>IF(B856="","",IFERROR(INDEX('Sản phẩm'!$B$5:$B$304,MATCH(B856,'Sản phẩm'!$A$5:$A$304,0)),""))</f>
        <v/>
      </c>
      <c r="D856" s="12" t="n"/>
      <c r="E856" s="11" t="n"/>
      <c r="F856" s="16">
        <f>IF(OR(D856="",E856=""),"",D856*E856)</f>
        <v/>
      </c>
      <c r="G856" s="10" t="n"/>
      <c r="H856" s="14">
        <f>IF(A856="","",MONTH(A856))</f>
        <v/>
      </c>
      <c r="I856" s="14">
        <f>IF(A856="","",YEAR(A856))</f>
        <v/>
      </c>
    </row>
    <row r="857">
      <c r="A857" s="15" t="n"/>
      <c r="B857" s="10" t="n"/>
      <c r="C857" s="14">
        <f>IF(B857="","",IFERROR(INDEX('Sản phẩm'!$B$5:$B$304,MATCH(B857,'Sản phẩm'!$A$5:$A$304,0)),""))</f>
        <v/>
      </c>
      <c r="D857" s="12" t="n"/>
      <c r="E857" s="11" t="n"/>
      <c r="F857" s="16">
        <f>IF(OR(D857="",E857=""),"",D857*E857)</f>
        <v/>
      </c>
      <c r="G857" s="10" t="n"/>
      <c r="H857" s="14">
        <f>IF(A857="","",MONTH(A857))</f>
        <v/>
      </c>
      <c r="I857" s="14">
        <f>IF(A857="","",YEAR(A857))</f>
        <v/>
      </c>
    </row>
    <row r="858">
      <c r="A858" s="15" t="n"/>
      <c r="B858" s="10" t="n"/>
      <c r="C858" s="14">
        <f>IF(B858="","",IFERROR(INDEX('Sản phẩm'!$B$5:$B$304,MATCH(B858,'Sản phẩm'!$A$5:$A$304,0)),""))</f>
        <v/>
      </c>
      <c r="D858" s="12" t="n"/>
      <c r="E858" s="11" t="n"/>
      <c r="F858" s="16">
        <f>IF(OR(D858="",E858=""),"",D858*E858)</f>
        <v/>
      </c>
      <c r="G858" s="10" t="n"/>
      <c r="H858" s="14">
        <f>IF(A858="","",MONTH(A858))</f>
        <v/>
      </c>
      <c r="I858" s="14">
        <f>IF(A858="","",YEAR(A858))</f>
        <v/>
      </c>
    </row>
    <row r="859">
      <c r="A859" s="15" t="n"/>
      <c r="B859" s="10" t="n"/>
      <c r="C859" s="14">
        <f>IF(B859="","",IFERROR(INDEX('Sản phẩm'!$B$5:$B$304,MATCH(B859,'Sản phẩm'!$A$5:$A$304,0)),""))</f>
        <v/>
      </c>
      <c r="D859" s="12" t="n"/>
      <c r="E859" s="11" t="n"/>
      <c r="F859" s="16">
        <f>IF(OR(D859="",E859=""),"",D859*E859)</f>
        <v/>
      </c>
      <c r="G859" s="10" t="n"/>
      <c r="H859" s="14">
        <f>IF(A859="","",MONTH(A859))</f>
        <v/>
      </c>
      <c r="I859" s="14">
        <f>IF(A859="","",YEAR(A859))</f>
        <v/>
      </c>
    </row>
    <row r="860">
      <c r="A860" s="15" t="n"/>
      <c r="B860" s="10" t="n"/>
      <c r="C860" s="14">
        <f>IF(B860="","",IFERROR(INDEX('Sản phẩm'!$B$5:$B$304,MATCH(B860,'Sản phẩm'!$A$5:$A$304,0)),""))</f>
        <v/>
      </c>
      <c r="D860" s="12" t="n"/>
      <c r="E860" s="11" t="n"/>
      <c r="F860" s="16">
        <f>IF(OR(D860="",E860=""),"",D860*E860)</f>
        <v/>
      </c>
      <c r="G860" s="10" t="n"/>
      <c r="H860" s="14">
        <f>IF(A860="","",MONTH(A860))</f>
        <v/>
      </c>
      <c r="I860" s="14">
        <f>IF(A860="","",YEAR(A860))</f>
        <v/>
      </c>
    </row>
    <row r="861">
      <c r="A861" s="15" t="n"/>
      <c r="B861" s="10" t="n"/>
      <c r="C861" s="14">
        <f>IF(B861="","",IFERROR(INDEX('Sản phẩm'!$B$5:$B$304,MATCH(B861,'Sản phẩm'!$A$5:$A$304,0)),""))</f>
        <v/>
      </c>
      <c r="D861" s="12" t="n"/>
      <c r="E861" s="11" t="n"/>
      <c r="F861" s="16">
        <f>IF(OR(D861="",E861=""),"",D861*E861)</f>
        <v/>
      </c>
      <c r="G861" s="10" t="n"/>
      <c r="H861" s="14">
        <f>IF(A861="","",MONTH(A861))</f>
        <v/>
      </c>
      <c r="I861" s="14">
        <f>IF(A861="","",YEAR(A861))</f>
        <v/>
      </c>
    </row>
    <row r="862">
      <c r="A862" s="15" t="n"/>
      <c r="B862" s="10" t="n"/>
      <c r="C862" s="14">
        <f>IF(B862="","",IFERROR(INDEX('Sản phẩm'!$B$5:$B$304,MATCH(B862,'Sản phẩm'!$A$5:$A$304,0)),""))</f>
        <v/>
      </c>
      <c r="D862" s="12" t="n"/>
      <c r="E862" s="11" t="n"/>
      <c r="F862" s="16">
        <f>IF(OR(D862="",E862=""),"",D862*E862)</f>
        <v/>
      </c>
      <c r="G862" s="10" t="n"/>
      <c r="H862" s="14">
        <f>IF(A862="","",MONTH(A862))</f>
        <v/>
      </c>
      <c r="I862" s="14">
        <f>IF(A862="","",YEAR(A862))</f>
        <v/>
      </c>
    </row>
    <row r="863">
      <c r="A863" s="15" t="n"/>
      <c r="B863" s="10" t="n"/>
      <c r="C863" s="14">
        <f>IF(B863="","",IFERROR(INDEX('Sản phẩm'!$B$5:$B$304,MATCH(B863,'Sản phẩm'!$A$5:$A$304,0)),""))</f>
        <v/>
      </c>
      <c r="D863" s="12" t="n"/>
      <c r="E863" s="11" t="n"/>
      <c r="F863" s="16">
        <f>IF(OR(D863="",E863=""),"",D863*E863)</f>
        <v/>
      </c>
      <c r="G863" s="10" t="n"/>
      <c r="H863" s="14">
        <f>IF(A863="","",MONTH(A863))</f>
        <v/>
      </c>
      <c r="I863" s="14">
        <f>IF(A863="","",YEAR(A863))</f>
        <v/>
      </c>
    </row>
    <row r="864">
      <c r="A864" s="15" t="n"/>
      <c r="B864" s="10" t="n"/>
      <c r="C864" s="14">
        <f>IF(B864="","",IFERROR(INDEX('Sản phẩm'!$B$5:$B$304,MATCH(B864,'Sản phẩm'!$A$5:$A$304,0)),""))</f>
        <v/>
      </c>
      <c r="D864" s="12" t="n"/>
      <c r="E864" s="11" t="n"/>
      <c r="F864" s="16">
        <f>IF(OR(D864="",E864=""),"",D864*E864)</f>
        <v/>
      </c>
      <c r="G864" s="10" t="n"/>
      <c r="H864" s="14">
        <f>IF(A864="","",MONTH(A864))</f>
        <v/>
      </c>
      <c r="I864" s="14">
        <f>IF(A864="","",YEAR(A864))</f>
        <v/>
      </c>
    </row>
    <row r="865">
      <c r="A865" s="15" t="n"/>
      <c r="B865" s="10" t="n"/>
      <c r="C865" s="14">
        <f>IF(B865="","",IFERROR(INDEX('Sản phẩm'!$B$5:$B$304,MATCH(B865,'Sản phẩm'!$A$5:$A$304,0)),""))</f>
        <v/>
      </c>
      <c r="D865" s="12" t="n"/>
      <c r="E865" s="11" t="n"/>
      <c r="F865" s="16">
        <f>IF(OR(D865="",E865=""),"",D865*E865)</f>
        <v/>
      </c>
      <c r="G865" s="10" t="n"/>
      <c r="H865" s="14">
        <f>IF(A865="","",MONTH(A865))</f>
        <v/>
      </c>
      <c r="I865" s="14">
        <f>IF(A865="","",YEAR(A865))</f>
        <v/>
      </c>
    </row>
    <row r="866">
      <c r="A866" s="15" t="n"/>
      <c r="B866" s="10" t="n"/>
      <c r="C866" s="14">
        <f>IF(B866="","",IFERROR(INDEX('Sản phẩm'!$B$5:$B$304,MATCH(B866,'Sản phẩm'!$A$5:$A$304,0)),""))</f>
        <v/>
      </c>
      <c r="D866" s="12" t="n"/>
      <c r="E866" s="11" t="n"/>
      <c r="F866" s="16">
        <f>IF(OR(D866="",E866=""),"",D866*E866)</f>
        <v/>
      </c>
      <c r="G866" s="10" t="n"/>
      <c r="H866" s="14">
        <f>IF(A866="","",MONTH(A866))</f>
        <v/>
      </c>
      <c r="I866" s="14">
        <f>IF(A866="","",YEAR(A866))</f>
        <v/>
      </c>
    </row>
    <row r="867">
      <c r="A867" s="15" t="n"/>
      <c r="B867" s="10" t="n"/>
      <c r="C867" s="14">
        <f>IF(B867="","",IFERROR(INDEX('Sản phẩm'!$B$5:$B$304,MATCH(B867,'Sản phẩm'!$A$5:$A$304,0)),""))</f>
        <v/>
      </c>
      <c r="D867" s="12" t="n"/>
      <c r="E867" s="11" t="n"/>
      <c r="F867" s="16">
        <f>IF(OR(D867="",E867=""),"",D867*E867)</f>
        <v/>
      </c>
      <c r="G867" s="10" t="n"/>
      <c r="H867" s="14">
        <f>IF(A867="","",MONTH(A867))</f>
        <v/>
      </c>
      <c r="I867" s="14">
        <f>IF(A867="","",YEAR(A867))</f>
        <v/>
      </c>
    </row>
    <row r="868">
      <c r="A868" s="15" t="n"/>
      <c r="B868" s="10" t="n"/>
      <c r="C868" s="14">
        <f>IF(B868="","",IFERROR(INDEX('Sản phẩm'!$B$5:$B$304,MATCH(B868,'Sản phẩm'!$A$5:$A$304,0)),""))</f>
        <v/>
      </c>
      <c r="D868" s="12" t="n"/>
      <c r="E868" s="11" t="n"/>
      <c r="F868" s="16">
        <f>IF(OR(D868="",E868=""),"",D868*E868)</f>
        <v/>
      </c>
      <c r="G868" s="10" t="n"/>
      <c r="H868" s="14">
        <f>IF(A868="","",MONTH(A868))</f>
        <v/>
      </c>
      <c r="I868" s="14">
        <f>IF(A868="","",YEAR(A868))</f>
        <v/>
      </c>
    </row>
    <row r="869">
      <c r="A869" s="15" t="n"/>
      <c r="B869" s="10" t="n"/>
      <c r="C869" s="14">
        <f>IF(B869="","",IFERROR(INDEX('Sản phẩm'!$B$5:$B$304,MATCH(B869,'Sản phẩm'!$A$5:$A$304,0)),""))</f>
        <v/>
      </c>
      <c r="D869" s="12" t="n"/>
      <c r="E869" s="11" t="n"/>
      <c r="F869" s="16">
        <f>IF(OR(D869="",E869=""),"",D869*E869)</f>
        <v/>
      </c>
      <c r="G869" s="10" t="n"/>
      <c r="H869" s="14">
        <f>IF(A869="","",MONTH(A869))</f>
        <v/>
      </c>
      <c r="I869" s="14">
        <f>IF(A869="","",YEAR(A869))</f>
        <v/>
      </c>
    </row>
    <row r="870">
      <c r="A870" s="15" t="n"/>
      <c r="B870" s="10" t="n"/>
      <c r="C870" s="14">
        <f>IF(B870="","",IFERROR(INDEX('Sản phẩm'!$B$5:$B$304,MATCH(B870,'Sản phẩm'!$A$5:$A$304,0)),""))</f>
        <v/>
      </c>
      <c r="D870" s="12" t="n"/>
      <c r="E870" s="11" t="n"/>
      <c r="F870" s="16">
        <f>IF(OR(D870="",E870=""),"",D870*E870)</f>
        <v/>
      </c>
      <c r="G870" s="10" t="n"/>
      <c r="H870" s="14">
        <f>IF(A870="","",MONTH(A870))</f>
        <v/>
      </c>
      <c r="I870" s="14">
        <f>IF(A870="","",YEAR(A870))</f>
        <v/>
      </c>
    </row>
    <row r="871">
      <c r="A871" s="15" t="n"/>
      <c r="B871" s="10" t="n"/>
      <c r="C871" s="14">
        <f>IF(B871="","",IFERROR(INDEX('Sản phẩm'!$B$5:$B$304,MATCH(B871,'Sản phẩm'!$A$5:$A$304,0)),""))</f>
        <v/>
      </c>
      <c r="D871" s="12" t="n"/>
      <c r="E871" s="11" t="n"/>
      <c r="F871" s="16">
        <f>IF(OR(D871="",E871=""),"",D871*E871)</f>
        <v/>
      </c>
      <c r="G871" s="10" t="n"/>
      <c r="H871" s="14">
        <f>IF(A871="","",MONTH(A871))</f>
        <v/>
      </c>
      <c r="I871" s="14">
        <f>IF(A871="","",YEAR(A871))</f>
        <v/>
      </c>
    </row>
    <row r="872">
      <c r="A872" s="15" t="n"/>
      <c r="B872" s="10" t="n"/>
      <c r="C872" s="14">
        <f>IF(B872="","",IFERROR(INDEX('Sản phẩm'!$B$5:$B$304,MATCH(B872,'Sản phẩm'!$A$5:$A$304,0)),""))</f>
        <v/>
      </c>
      <c r="D872" s="12" t="n"/>
      <c r="E872" s="11" t="n"/>
      <c r="F872" s="16">
        <f>IF(OR(D872="",E872=""),"",D872*E872)</f>
        <v/>
      </c>
      <c r="G872" s="10" t="n"/>
      <c r="H872" s="14">
        <f>IF(A872="","",MONTH(A872))</f>
        <v/>
      </c>
      <c r="I872" s="14">
        <f>IF(A872="","",YEAR(A872))</f>
        <v/>
      </c>
    </row>
    <row r="873">
      <c r="A873" s="15" t="n"/>
      <c r="B873" s="10" t="n"/>
      <c r="C873" s="14">
        <f>IF(B873="","",IFERROR(INDEX('Sản phẩm'!$B$5:$B$304,MATCH(B873,'Sản phẩm'!$A$5:$A$304,0)),""))</f>
        <v/>
      </c>
      <c r="D873" s="12" t="n"/>
      <c r="E873" s="11" t="n"/>
      <c r="F873" s="16">
        <f>IF(OR(D873="",E873=""),"",D873*E873)</f>
        <v/>
      </c>
      <c r="G873" s="10" t="n"/>
      <c r="H873" s="14">
        <f>IF(A873="","",MONTH(A873))</f>
        <v/>
      </c>
      <c r="I873" s="14">
        <f>IF(A873="","",YEAR(A873))</f>
        <v/>
      </c>
    </row>
    <row r="874">
      <c r="A874" s="15" t="n"/>
      <c r="B874" s="10" t="n"/>
      <c r="C874" s="14">
        <f>IF(B874="","",IFERROR(INDEX('Sản phẩm'!$B$5:$B$304,MATCH(B874,'Sản phẩm'!$A$5:$A$304,0)),""))</f>
        <v/>
      </c>
      <c r="D874" s="12" t="n"/>
      <c r="E874" s="11" t="n"/>
      <c r="F874" s="16">
        <f>IF(OR(D874="",E874=""),"",D874*E874)</f>
        <v/>
      </c>
      <c r="G874" s="10" t="n"/>
      <c r="H874" s="14">
        <f>IF(A874="","",MONTH(A874))</f>
        <v/>
      </c>
      <c r="I874" s="14">
        <f>IF(A874="","",YEAR(A874))</f>
        <v/>
      </c>
    </row>
    <row r="875">
      <c r="A875" s="15" t="n"/>
      <c r="B875" s="10" t="n"/>
      <c r="C875" s="14">
        <f>IF(B875="","",IFERROR(INDEX('Sản phẩm'!$B$5:$B$304,MATCH(B875,'Sản phẩm'!$A$5:$A$304,0)),""))</f>
        <v/>
      </c>
      <c r="D875" s="12" t="n"/>
      <c r="E875" s="11" t="n"/>
      <c r="F875" s="16">
        <f>IF(OR(D875="",E875=""),"",D875*E875)</f>
        <v/>
      </c>
      <c r="G875" s="10" t="n"/>
      <c r="H875" s="14">
        <f>IF(A875="","",MONTH(A875))</f>
        <v/>
      </c>
      <c r="I875" s="14">
        <f>IF(A875="","",YEAR(A875))</f>
        <v/>
      </c>
    </row>
    <row r="876">
      <c r="A876" s="15" t="n"/>
      <c r="B876" s="10" t="n"/>
      <c r="C876" s="14">
        <f>IF(B876="","",IFERROR(INDEX('Sản phẩm'!$B$5:$B$304,MATCH(B876,'Sản phẩm'!$A$5:$A$304,0)),""))</f>
        <v/>
      </c>
      <c r="D876" s="12" t="n"/>
      <c r="E876" s="11" t="n"/>
      <c r="F876" s="16">
        <f>IF(OR(D876="",E876=""),"",D876*E876)</f>
        <v/>
      </c>
      <c r="G876" s="10" t="n"/>
      <c r="H876" s="14">
        <f>IF(A876="","",MONTH(A876))</f>
        <v/>
      </c>
      <c r="I876" s="14">
        <f>IF(A876="","",YEAR(A876))</f>
        <v/>
      </c>
    </row>
    <row r="877">
      <c r="A877" s="15" t="n"/>
      <c r="B877" s="10" t="n"/>
      <c r="C877" s="14">
        <f>IF(B877="","",IFERROR(INDEX('Sản phẩm'!$B$5:$B$304,MATCH(B877,'Sản phẩm'!$A$5:$A$304,0)),""))</f>
        <v/>
      </c>
      <c r="D877" s="12" t="n"/>
      <c r="E877" s="11" t="n"/>
      <c r="F877" s="16">
        <f>IF(OR(D877="",E877=""),"",D877*E877)</f>
        <v/>
      </c>
      <c r="G877" s="10" t="n"/>
      <c r="H877" s="14">
        <f>IF(A877="","",MONTH(A877))</f>
        <v/>
      </c>
      <c r="I877" s="14">
        <f>IF(A877="","",YEAR(A877))</f>
        <v/>
      </c>
    </row>
    <row r="878">
      <c r="A878" s="15" t="n"/>
      <c r="B878" s="10" t="n"/>
      <c r="C878" s="14">
        <f>IF(B878="","",IFERROR(INDEX('Sản phẩm'!$B$5:$B$304,MATCH(B878,'Sản phẩm'!$A$5:$A$304,0)),""))</f>
        <v/>
      </c>
      <c r="D878" s="12" t="n"/>
      <c r="E878" s="11" t="n"/>
      <c r="F878" s="16">
        <f>IF(OR(D878="",E878=""),"",D878*E878)</f>
        <v/>
      </c>
      <c r="G878" s="10" t="n"/>
      <c r="H878" s="14">
        <f>IF(A878="","",MONTH(A878))</f>
        <v/>
      </c>
      <c r="I878" s="14">
        <f>IF(A878="","",YEAR(A878))</f>
        <v/>
      </c>
    </row>
    <row r="879">
      <c r="A879" s="15" t="n"/>
      <c r="B879" s="10" t="n"/>
      <c r="C879" s="14">
        <f>IF(B879="","",IFERROR(INDEX('Sản phẩm'!$B$5:$B$304,MATCH(B879,'Sản phẩm'!$A$5:$A$304,0)),""))</f>
        <v/>
      </c>
      <c r="D879" s="12" t="n"/>
      <c r="E879" s="11" t="n"/>
      <c r="F879" s="16">
        <f>IF(OR(D879="",E879=""),"",D879*E879)</f>
        <v/>
      </c>
      <c r="G879" s="10" t="n"/>
      <c r="H879" s="14">
        <f>IF(A879="","",MONTH(A879))</f>
        <v/>
      </c>
      <c r="I879" s="14">
        <f>IF(A879="","",YEAR(A879))</f>
        <v/>
      </c>
    </row>
    <row r="880">
      <c r="A880" s="15" t="n"/>
      <c r="B880" s="10" t="n"/>
      <c r="C880" s="14">
        <f>IF(B880="","",IFERROR(INDEX('Sản phẩm'!$B$5:$B$304,MATCH(B880,'Sản phẩm'!$A$5:$A$304,0)),""))</f>
        <v/>
      </c>
      <c r="D880" s="12" t="n"/>
      <c r="E880" s="11" t="n"/>
      <c r="F880" s="16">
        <f>IF(OR(D880="",E880=""),"",D880*E880)</f>
        <v/>
      </c>
      <c r="G880" s="10" t="n"/>
      <c r="H880" s="14">
        <f>IF(A880="","",MONTH(A880))</f>
        <v/>
      </c>
      <c r="I880" s="14">
        <f>IF(A880="","",YEAR(A880))</f>
        <v/>
      </c>
    </row>
    <row r="881">
      <c r="A881" s="15" t="n"/>
      <c r="B881" s="10" t="n"/>
      <c r="C881" s="14">
        <f>IF(B881="","",IFERROR(INDEX('Sản phẩm'!$B$5:$B$304,MATCH(B881,'Sản phẩm'!$A$5:$A$304,0)),""))</f>
        <v/>
      </c>
      <c r="D881" s="12" t="n"/>
      <c r="E881" s="11" t="n"/>
      <c r="F881" s="16">
        <f>IF(OR(D881="",E881=""),"",D881*E881)</f>
        <v/>
      </c>
      <c r="G881" s="10" t="n"/>
      <c r="H881" s="14">
        <f>IF(A881="","",MONTH(A881))</f>
        <v/>
      </c>
      <c r="I881" s="14">
        <f>IF(A881="","",YEAR(A881))</f>
        <v/>
      </c>
    </row>
    <row r="882">
      <c r="A882" s="15" t="n"/>
      <c r="B882" s="10" t="n"/>
      <c r="C882" s="14">
        <f>IF(B882="","",IFERROR(INDEX('Sản phẩm'!$B$5:$B$304,MATCH(B882,'Sản phẩm'!$A$5:$A$304,0)),""))</f>
        <v/>
      </c>
      <c r="D882" s="12" t="n"/>
      <c r="E882" s="11" t="n"/>
      <c r="F882" s="16">
        <f>IF(OR(D882="",E882=""),"",D882*E882)</f>
        <v/>
      </c>
      <c r="G882" s="10" t="n"/>
      <c r="H882" s="14">
        <f>IF(A882="","",MONTH(A882))</f>
        <v/>
      </c>
      <c r="I882" s="14">
        <f>IF(A882="","",YEAR(A882))</f>
        <v/>
      </c>
    </row>
    <row r="883">
      <c r="A883" s="15" t="n"/>
      <c r="B883" s="10" t="n"/>
      <c r="C883" s="14">
        <f>IF(B883="","",IFERROR(INDEX('Sản phẩm'!$B$5:$B$304,MATCH(B883,'Sản phẩm'!$A$5:$A$304,0)),""))</f>
        <v/>
      </c>
      <c r="D883" s="12" t="n"/>
      <c r="E883" s="11" t="n"/>
      <c r="F883" s="16">
        <f>IF(OR(D883="",E883=""),"",D883*E883)</f>
        <v/>
      </c>
      <c r="G883" s="10" t="n"/>
      <c r="H883" s="14">
        <f>IF(A883="","",MONTH(A883))</f>
        <v/>
      </c>
      <c r="I883" s="14">
        <f>IF(A883="","",YEAR(A883))</f>
        <v/>
      </c>
    </row>
    <row r="884">
      <c r="A884" s="15" t="n"/>
      <c r="B884" s="10" t="n"/>
      <c r="C884" s="14">
        <f>IF(B884="","",IFERROR(INDEX('Sản phẩm'!$B$5:$B$304,MATCH(B884,'Sản phẩm'!$A$5:$A$304,0)),""))</f>
        <v/>
      </c>
      <c r="D884" s="12" t="n"/>
      <c r="E884" s="11" t="n"/>
      <c r="F884" s="16">
        <f>IF(OR(D884="",E884=""),"",D884*E884)</f>
        <v/>
      </c>
      <c r="G884" s="10" t="n"/>
      <c r="H884" s="14">
        <f>IF(A884="","",MONTH(A884))</f>
        <v/>
      </c>
      <c r="I884" s="14">
        <f>IF(A884="","",YEAR(A884))</f>
        <v/>
      </c>
    </row>
    <row r="885">
      <c r="A885" s="15" t="n"/>
      <c r="B885" s="10" t="n"/>
      <c r="C885" s="14">
        <f>IF(B885="","",IFERROR(INDEX('Sản phẩm'!$B$5:$B$304,MATCH(B885,'Sản phẩm'!$A$5:$A$304,0)),""))</f>
        <v/>
      </c>
      <c r="D885" s="12" t="n"/>
      <c r="E885" s="11" t="n"/>
      <c r="F885" s="16">
        <f>IF(OR(D885="",E885=""),"",D885*E885)</f>
        <v/>
      </c>
      <c r="G885" s="10" t="n"/>
      <c r="H885" s="14">
        <f>IF(A885="","",MONTH(A885))</f>
        <v/>
      </c>
      <c r="I885" s="14">
        <f>IF(A885="","",YEAR(A885))</f>
        <v/>
      </c>
    </row>
    <row r="886">
      <c r="A886" s="15" t="n"/>
      <c r="B886" s="10" t="n"/>
      <c r="C886" s="14">
        <f>IF(B886="","",IFERROR(INDEX('Sản phẩm'!$B$5:$B$304,MATCH(B886,'Sản phẩm'!$A$5:$A$304,0)),""))</f>
        <v/>
      </c>
      <c r="D886" s="12" t="n"/>
      <c r="E886" s="11" t="n"/>
      <c r="F886" s="16">
        <f>IF(OR(D886="",E886=""),"",D886*E886)</f>
        <v/>
      </c>
      <c r="G886" s="10" t="n"/>
      <c r="H886" s="14">
        <f>IF(A886="","",MONTH(A886))</f>
        <v/>
      </c>
      <c r="I886" s="14">
        <f>IF(A886="","",YEAR(A886))</f>
        <v/>
      </c>
    </row>
    <row r="887">
      <c r="A887" s="15" t="n"/>
      <c r="B887" s="10" t="n"/>
      <c r="C887" s="14">
        <f>IF(B887="","",IFERROR(INDEX('Sản phẩm'!$B$5:$B$304,MATCH(B887,'Sản phẩm'!$A$5:$A$304,0)),""))</f>
        <v/>
      </c>
      <c r="D887" s="12" t="n"/>
      <c r="E887" s="11" t="n"/>
      <c r="F887" s="16">
        <f>IF(OR(D887="",E887=""),"",D887*E887)</f>
        <v/>
      </c>
      <c r="G887" s="10" t="n"/>
      <c r="H887" s="14">
        <f>IF(A887="","",MONTH(A887))</f>
        <v/>
      </c>
      <c r="I887" s="14">
        <f>IF(A887="","",YEAR(A887))</f>
        <v/>
      </c>
    </row>
    <row r="888">
      <c r="A888" s="15" t="n"/>
      <c r="B888" s="10" t="n"/>
      <c r="C888" s="14">
        <f>IF(B888="","",IFERROR(INDEX('Sản phẩm'!$B$5:$B$304,MATCH(B888,'Sản phẩm'!$A$5:$A$304,0)),""))</f>
        <v/>
      </c>
      <c r="D888" s="12" t="n"/>
      <c r="E888" s="11" t="n"/>
      <c r="F888" s="16">
        <f>IF(OR(D888="",E888=""),"",D888*E888)</f>
        <v/>
      </c>
      <c r="G888" s="10" t="n"/>
      <c r="H888" s="14">
        <f>IF(A888="","",MONTH(A888))</f>
        <v/>
      </c>
      <c r="I888" s="14">
        <f>IF(A888="","",YEAR(A888))</f>
        <v/>
      </c>
    </row>
    <row r="889">
      <c r="A889" s="15" t="n"/>
      <c r="B889" s="10" t="n"/>
      <c r="C889" s="14">
        <f>IF(B889="","",IFERROR(INDEX('Sản phẩm'!$B$5:$B$304,MATCH(B889,'Sản phẩm'!$A$5:$A$304,0)),""))</f>
        <v/>
      </c>
      <c r="D889" s="12" t="n"/>
      <c r="E889" s="11" t="n"/>
      <c r="F889" s="16">
        <f>IF(OR(D889="",E889=""),"",D889*E889)</f>
        <v/>
      </c>
      <c r="G889" s="10" t="n"/>
      <c r="H889" s="14">
        <f>IF(A889="","",MONTH(A889))</f>
        <v/>
      </c>
      <c r="I889" s="14">
        <f>IF(A889="","",YEAR(A889))</f>
        <v/>
      </c>
    </row>
    <row r="890">
      <c r="A890" s="15" t="n"/>
      <c r="B890" s="10" t="n"/>
      <c r="C890" s="14">
        <f>IF(B890="","",IFERROR(INDEX('Sản phẩm'!$B$5:$B$304,MATCH(B890,'Sản phẩm'!$A$5:$A$304,0)),""))</f>
        <v/>
      </c>
      <c r="D890" s="12" t="n"/>
      <c r="E890" s="11" t="n"/>
      <c r="F890" s="16">
        <f>IF(OR(D890="",E890=""),"",D890*E890)</f>
        <v/>
      </c>
      <c r="G890" s="10" t="n"/>
      <c r="H890" s="14">
        <f>IF(A890="","",MONTH(A890))</f>
        <v/>
      </c>
      <c r="I890" s="14">
        <f>IF(A890="","",YEAR(A890))</f>
        <v/>
      </c>
    </row>
    <row r="891">
      <c r="A891" s="15" t="n"/>
      <c r="B891" s="10" t="n"/>
      <c r="C891" s="14">
        <f>IF(B891="","",IFERROR(INDEX('Sản phẩm'!$B$5:$B$304,MATCH(B891,'Sản phẩm'!$A$5:$A$304,0)),""))</f>
        <v/>
      </c>
      <c r="D891" s="12" t="n"/>
      <c r="E891" s="11" t="n"/>
      <c r="F891" s="16">
        <f>IF(OR(D891="",E891=""),"",D891*E891)</f>
        <v/>
      </c>
      <c r="G891" s="10" t="n"/>
      <c r="H891" s="14">
        <f>IF(A891="","",MONTH(A891))</f>
        <v/>
      </c>
      <c r="I891" s="14">
        <f>IF(A891="","",YEAR(A891))</f>
        <v/>
      </c>
    </row>
    <row r="892">
      <c r="A892" s="15" t="n"/>
      <c r="B892" s="10" t="n"/>
      <c r="C892" s="14">
        <f>IF(B892="","",IFERROR(INDEX('Sản phẩm'!$B$5:$B$304,MATCH(B892,'Sản phẩm'!$A$5:$A$304,0)),""))</f>
        <v/>
      </c>
      <c r="D892" s="12" t="n"/>
      <c r="E892" s="11" t="n"/>
      <c r="F892" s="16">
        <f>IF(OR(D892="",E892=""),"",D892*E892)</f>
        <v/>
      </c>
      <c r="G892" s="10" t="n"/>
      <c r="H892" s="14">
        <f>IF(A892="","",MONTH(A892))</f>
        <v/>
      </c>
      <c r="I892" s="14">
        <f>IF(A892="","",YEAR(A892))</f>
        <v/>
      </c>
    </row>
    <row r="893">
      <c r="A893" s="15" t="n"/>
      <c r="B893" s="10" t="n"/>
      <c r="C893" s="14">
        <f>IF(B893="","",IFERROR(INDEX('Sản phẩm'!$B$5:$B$304,MATCH(B893,'Sản phẩm'!$A$5:$A$304,0)),""))</f>
        <v/>
      </c>
      <c r="D893" s="12" t="n"/>
      <c r="E893" s="11" t="n"/>
      <c r="F893" s="16">
        <f>IF(OR(D893="",E893=""),"",D893*E893)</f>
        <v/>
      </c>
      <c r="G893" s="10" t="n"/>
      <c r="H893" s="14">
        <f>IF(A893="","",MONTH(A893))</f>
        <v/>
      </c>
      <c r="I893" s="14">
        <f>IF(A893="","",YEAR(A893))</f>
        <v/>
      </c>
    </row>
    <row r="894">
      <c r="A894" s="15" t="n"/>
      <c r="B894" s="10" t="n"/>
      <c r="C894" s="14">
        <f>IF(B894="","",IFERROR(INDEX('Sản phẩm'!$B$5:$B$304,MATCH(B894,'Sản phẩm'!$A$5:$A$304,0)),""))</f>
        <v/>
      </c>
      <c r="D894" s="12" t="n"/>
      <c r="E894" s="11" t="n"/>
      <c r="F894" s="16">
        <f>IF(OR(D894="",E894=""),"",D894*E894)</f>
        <v/>
      </c>
      <c r="G894" s="10" t="n"/>
      <c r="H894" s="14">
        <f>IF(A894="","",MONTH(A894))</f>
        <v/>
      </c>
      <c r="I894" s="14">
        <f>IF(A894="","",YEAR(A894))</f>
        <v/>
      </c>
    </row>
    <row r="895">
      <c r="A895" s="15" t="n"/>
      <c r="B895" s="10" t="n"/>
      <c r="C895" s="14">
        <f>IF(B895="","",IFERROR(INDEX('Sản phẩm'!$B$5:$B$304,MATCH(B895,'Sản phẩm'!$A$5:$A$304,0)),""))</f>
        <v/>
      </c>
      <c r="D895" s="12" t="n"/>
      <c r="E895" s="11" t="n"/>
      <c r="F895" s="16">
        <f>IF(OR(D895="",E895=""),"",D895*E895)</f>
        <v/>
      </c>
      <c r="G895" s="10" t="n"/>
      <c r="H895" s="14">
        <f>IF(A895="","",MONTH(A895))</f>
        <v/>
      </c>
      <c r="I895" s="14">
        <f>IF(A895="","",YEAR(A895))</f>
        <v/>
      </c>
    </row>
    <row r="896">
      <c r="A896" s="15" t="n"/>
      <c r="B896" s="10" t="n"/>
      <c r="C896" s="14">
        <f>IF(B896="","",IFERROR(INDEX('Sản phẩm'!$B$5:$B$304,MATCH(B896,'Sản phẩm'!$A$5:$A$304,0)),""))</f>
        <v/>
      </c>
      <c r="D896" s="12" t="n"/>
      <c r="E896" s="11" t="n"/>
      <c r="F896" s="16">
        <f>IF(OR(D896="",E896=""),"",D896*E896)</f>
        <v/>
      </c>
      <c r="G896" s="10" t="n"/>
      <c r="H896" s="14">
        <f>IF(A896="","",MONTH(A896))</f>
        <v/>
      </c>
      <c r="I896" s="14">
        <f>IF(A896="","",YEAR(A896))</f>
        <v/>
      </c>
    </row>
    <row r="897">
      <c r="A897" s="15" t="n"/>
      <c r="B897" s="10" t="n"/>
      <c r="C897" s="14">
        <f>IF(B897="","",IFERROR(INDEX('Sản phẩm'!$B$5:$B$304,MATCH(B897,'Sản phẩm'!$A$5:$A$304,0)),""))</f>
        <v/>
      </c>
      <c r="D897" s="12" t="n"/>
      <c r="E897" s="11" t="n"/>
      <c r="F897" s="16">
        <f>IF(OR(D897="",E897=""),"",D897*E897)</f>
        <v/>
      </c>
      <c r="G897" s="10" t="n"/>
      <c r="H897" s="14">
        <f>IF(A897="","",MONTH(A897))</f>
        <v/>
      </c>
      <c r="I897" s="14">
        <f>IF(A897="","",YEAR(A897))</f>
        <v/>
      </c>
    </row>
    <row r="898">
      <c r="A898" s="15" t="n"/>
      <c r="B898" s="10" t="n"/>
      <c r="C898" s="14">
        <f>IF(B898="","",IFERROR(INDEX('Sản phẩm'!$B$5:$B$304,MATCH(B898,'Sản phẩm'!$A$5:$A$304,0)),""))</f>
        <v/>
      </c>
      <c r="D898" s="12" t="n"/>
      <c r="E898" s="11" t="n"/>
      <c r="F898" s="16">
        <f>IF(OR(D898="",E898=""),"",D898*E898)</f>
        <v/>
      </c>
      <c r="G898" s="10" t="n"/>
      <c r="H898" s="14">
        <f>IF(A898="","",MONTH(A898))</f>
        <v/>
      </c>
      <c r="I898" s="14">
        <f>IF(A898="","",YEAR(A898))</f>
        <v/>
      </c>
    </row>
    <row r="899">
      <c r="A899" s="15" t="n"/>
      <c r="B899" s="10" t="n"/>
      <c r="C899" s="14">
        <f>IF(B899="","",IFERROR(INDEX('Sản phẩm'!$B$5:$B$304,MATCH(B899,'Sản phẩm'!$A$5:$A$304,0)),""))</f>
        <v/>
      </c>
      <c r="D899" s="12" t="n"/>
      <c r="E899" s="11" t="n"/>
      <c r="F899" s="16">
        <f>IF(OR(D899="",E899=""),"",D899*E899)</f>
        <v/>
      </c>
      <c r="G899" s="10" t="n"/>
      <c r="H899" s="14">
        <f>IF(A899="","",MONTH(A899))</f>
        <v/>
      </c>
      <c r="I899" s="14">
        <f>IF(A899="","",YEAR(A899))</f>
        <v/>
      </c>
    </row>
    <row r="900">
      <c r="A900" s="15" t="n"/>
      <c r="B900" s="10" t="n"/>
      <c r="C900" s="14">
        <f>IF(B900="","",IFERROR(INDEX('Sản phẩm'!$B$5:$B$304,MATCH(B900,'Sản phẩm'!$A$5:$A$304,0)),""))</f>
        <v/>
      </c>
      <c r="D900" s="12" t="n"/>
      <c r="E900" s="11" t="n"/>
      <c r="F900" s="16">
        <f>IF(OR(D900="",E900=""),"",D900*E900)</f>
        <v/>
      </c>
      <c r="G900" s="10" t="n"/>
      <c r="H900" s="14">
        <f>IF(A900="","",MONTH(A900))</f>
        <v/>
      </c>
      <c r="I900" s="14">
        <f>IF(A900="","",YEAR(A900))</f>
        <v/>
      </c>
    </row>
    <row r="901">
      <c r="A901" s="15" t="n"/>
      <c r="B901" s="10" t="n"/>
      <c r="C901" s="14">
        <f>IF(B901="","",IFERROR(INDEX('Sản phẩm'!$B$5:$B$304,MATCH(B901,'Sản phẩm'!$A$5:$A$304,0)),""))</f>
        <v/>
      </c>
      <c r="D901" s="12" t="n"/>
      <c r="E901" s="11" t="n"/>
      <c r="F901" s="16">
        <f>IF(OR(D901="",E901=""),"",D901*E901)</f>
        <v/>
      </c>
      <c r="G901" s="10" t="n"/>
      <c r="H901" s="14">
        <f>IF(A901="","",MONTH(A901))</f>
        <v/>
      </c>
      <c r="I901" s="14">
        <f>IF(A901="","",YEAR(A901))</f>
        <v/>
      </c>
    </row>
    <row r="902">
      <c r="A902" s="15" t="n"/>
      <c r="B902" s="10" t="n"/>
      <c r="C902" s="14">
        <f>IF(B902="","",IFERROR(INDEX('Sản phẩm'!$B$5:$B$304,MATCH(B902,'Sản phẩm'!$A$5:$A$304,0)),""))</f>
        <v/>
      </c>
      <c r="D902" s="12" t="n"/>
      <c r="E902" s="11" t="n"/>
      <c r="F902" s="16">
        <f>IF(OR(D902="",E902=""),"",D902*E902)</f>
        <v/>
      </c>
      <c r="G902" s="10" t="n"/>
      <c r="H902" s="14">
        <f>IF(A902="","",MONTH(A902))</f>
        <v/>
      </c>
      <c r="I902" s="14">
        <f>IF(A902="","",YEAR(A902))</f>
        <v/>
      </c>
    </row>
    <row r="903">
      <c r="A903" s="15" t="n"/>
      <c r="B903" s="10" t="n"/>
      <c r="C903" s="14">
        <f>IF(B903="","",IFERROR(INDEX('Sản phẩm'!$B$5:$B$304,MATCH(B903,'Sản phẩm'!$A$5:$A$304,0)),""))</f>
        <v/>
      </c>
      <c r="D903" s="12" t="n"/>
      <c r="E903" s="11" t="n"/>
      <c r="F903" s="16">
        <f>IF(OR(D903="",E903=""),"",D903*E903)</f>
        <v/>
      </c>
      <c r="G903" s="10" t="n"/>
      <c r="H903" s="14">
        <f>IF(A903="","",MONTH(A903))</f>
        <v/>
      </c>
      <c r="I903" s="14">
        <f>IF(A903="","",YEAR(A903))</f>
        <v/>
      </c>
    </row>
    <row r="904">
      <c r="A904" s="15" t="n"/>
      <c r="B904" s="10" t="n"/>
      <c r="C904" s="14">
        <f>IF(B904="","",IFERROR(INDEX('Sản phẩm'!$B$5:$B$304,MATCH(B904,'Sản phẩm'!$A$5:$A$304,0)),""))</f>
        <v/>
      </c>
      <c r="D904" s="12" t="n"/>
      <c r="E904" s="11" t="n"/>
      <c r="F904" s="16">
        <f>IF(OR(D904="",E904=""),"",D904*E904)</f>
        <v/>
      </c>
      <c r="G904" s="10" t="n"/>
      <c r="H904" s="14">
        <f>IF(A904="","",MONTH(A904))</f>
        <v/>
      </c>
      <c r="I904" s="14">
        <f>IF(A904="","",YEAR(A904))</f>
        <v/>
      </c>
    </row>
    <row r="905">
      <c r="A905" s="15" t="n"/>
      <c r="B905" s="10" t="n"/>
      <c r="C905" s="14">
        <f>IF(B905="","",IFERROR(INDEX('Sản phẩm'!$B$5:$B$304,MATCH(B905,'Sản phẩm'!$A$5:$A$304,0)),""))</f>
        <v/>
      </c>
      <c r="D905" s="12" t="n"/>
      <c r="E905" s="11" t="n"/>
      <c r="F905" s="16">
        <f>IF(OR(D905="",E905=""),"",D905*E905)</f>
        <v/>
      </c>
      <c r="G905" s="10" t="n"/>
      <c r="H905" s="14">
        <f>IF(A905="","",MONTH(A905))</f>
        <v/>
      </c>
      <c r="I905" s="14">
        <f>IF(A905="","",YEAR(A905))</f>
        <v/>
      </c>
    </row>
    <row r="906">
      <c r="A906" s="15" t="n"/>
      <c r="B906" s="10" t="n"/>
      <c r="C906" s="14">
        <f>IF(B906="","",IFERROR(INDEX('Sản phẩm'!$B$5:$B$304,MATCH(B906,'Sản phẩm'!$A$5:$A$304,0)),""))</f>
        <v/>
      </c>
      <c r="D906" s="12" t="n"/>
      <c r="E906" s="11" t="n"/>
      <c r="F906" s="16">
        <f>IF(OR(D906="",E906=""),"",D906*E906)</f>
        <v/>
      </c>
      <c r="G906" s="10" t="n"/>
      <c r="H906" s="14">
        <f>IF(A906="","",MONTH(A906))</f>
        <v/>
      </c>
      <c r="I906" s="14">
        <f>IF(A906="","",YEAR(A906))</f>
        <v/>
      </c>
    </row>
    <row r="907">
      <c r="A907" s="15" t="n"/>
      <c r="B907" s="10" t="n"/>
      <c r="C907" s="14">
        <f>IF(B907="","",IFERROR(INDEX('Sản phẩm'!$B$5:$B$304,MATCH(B907,'Sản phẩm'!$A$5:$A$304,0)),""))</f>
        <v/>
      </c>
      <c r="D907" s="12" t="n"/>
      <c r="E907" s="11" t="n"/>
      <c r="F907" s="16">
        <f>IF(OR(D907="",E907=""),"",D907*E907)</f>
        <v/>
      </c>
      <c r="G907" s="10" t="n"/>
      <c r="H907" s="14">
        <f>IF(A907="","",MONTH(A907))</f>
        <v/>
      </c>
      <c r="I907" s="14">
        <f>IF(A907="","",YEAR(A907))</f>
        <v/>
      </c>
    </row>
    <row r="908">
      <c r="A908" s="15" t="n"/>
      <c r="B908" s="10" t="n"/>
      <c r="C908" s="14">
        <f>IF(B908="","",IFERROR(INDEX('Sản phẩm'!$B$5:$B$304,MATCH(B908,'Sản phẩm'!$A$5:$A$304,0)),""))</f>
        <v/>
      </c>
      <c r="D908" s="12" t="n"/>
      <c r="E908" s="11" t="n"/>
      <c r="F908" s="16">
        <f>IF(OR(D908="",E908=""),"",D908*E908)</f>
        <v/>
      </c>
      <c r="G908" s="10" t="n"/>
      <c r="H908" s="14">
        <f>IF(A908="","",MONTH(A908))</f>
        <v/>
      </c>
      <c r="I908" s="14">
        <f>IF(A908="","",YEAR(A908))</f>
        <v/>
      </c>
    </row>
    <row r="909">
      <c r="A909" s="15" t="n"/>
      <c r="B909" s="10" t="n"/>
      <c r="C909" s="14">
        <f>IF(B909="","",IFERROR(INDEX('Sản phẩm'!$B$5:$B$304,MATCH(B909,'Sản phẩm'!$A$5:$A$304,0)),""))</f>
        <v/>
      </c>
      <c r="D909" s="12" t="n"/>
      <c r="E909" s="11" t="n"/>
      <c r="F909" s="16">
        <f>IF(OR(D909="",E909=""),"",D909*E909)</f>
        <v/>
      </c>
      <c r="G909" s="10" t="n"/>
      <c r="H909" s="14">
        <f>IF(A909="","",MONTH(A909))</f>
        <v/>
      </c>
      <c r="I909" s="14">
        <f>IF(A909="","",YEAR(A909))</f>
        <v/>
      </c>
    </row>
    <row r="910">
      <c r="A910" s="15" t="n"/>
      <c r="B910" s="10" t="n"/>
      <c r="C910" s="14">
        <f>IF(B910="","",IFERROR(INDEX('Sản phẩm'!$B$5:$B$304,MATCH(B910,'Sản phẩm'!$A$5:$A$304,0)),""))</f>
        <v/>
      </c>
      <c r="D910" s="12" t="n"/>
      <c r="E910" s="11" t="n"/>
      <c r="F910" s="16">
        <f>IF(OR(D910="",E910=""),"",D910*E910)</f>
        <v/>
      </c>
      <c r="G910" s="10" t="n"/>
      <c r="H910" s="14">
        <f>IF(A910="","",MONTH(A910))</f>
        <v/>
      </c>
      <c r="I910" s="14">
        <f>IF(A910="","",YEAR(A910))</f>
        <v/>
      </c>
    </row>
    <row r="911">
      <c r="A911" s="15" t="n"/>
      <c r="B911" s="10" t="n"/>
      <c r="C911" s="14">
        <f>IF(B911="","",IFERROR(INDEX('Sản phẩm'!$B$5:$B$304,MATCH(B911,'Sản phẩm'!$A$5:$A$304,0)),""))</f>
        <v/>
      </c>
      <c r="D911" s="12" t="n"/>
      <c r="E911" s="11" t="n"/>
      <c r="F911" s="16">
        <f>IF(OR(D911="",E911=""),"",D911*E911)</f>
        <v/>
      </c>
      <c r="G911" s="10" t="n"/>
      <c r="H911" s="14">
        <f>IF(A911="","",MONTH(A911))</f>
        <v/>
      </c>
      <c r="I911" s="14">
        <f>IF(A911="","",YEAR(A911))</f>
        <v/>
      </c>
    </row>
    <row r="912">
      <c r="A912" s="15" t="n"/>
      <c r="B912" s="10" t="n"/>
      <c r="C912" s="14">
        <f>IF(B912="","",IFERROR(INDEX('Sản phẩm'!$B$5:$B$304,MATCH(B912,'Sản phẩm'!$A$5:$A$304,0)),""))</f>
        <v/>
      </c>
      <c r="D912" s="12" t="n"/>
      <c r="E912" s="11" t="n"/>
      <c r="F912" s="16">
        <f>IF(OR(D912="",E912=""),"",D912*E912)</f>
        <v/>
      </c>
      <c r="G912" s="10" t="n"/>
      <c r="H912" s="14">
        <f>IF(A912="","",MONTH(A912))</f>
        <v/>
      </c>
      <c r="I912" s="14">
        <f>IF(A912="","",YEAR(A912))</f>
        <v/>
      </c>
    </row>
    <row r="913">
      <c r="A913" s="15" t="n"/>
      <c r="B913" s="10" t="n"/>
      <c r="C913" s="14">
        <f>IF(B913="","",IFERROR(INDEX('Sản phẩm'!$B$5:$B$304,MATCH(B913,'Sản phẩm'!$A$5:$A$304,0)),""))</f>
        <v/>
      </c>
      <c r="D913" s="12" t="n"/>
      <c r="E913" s="11" t="n"/>
      <c r="F913" s="16">
        <f>IF(OR(D913="",E913=""),"",D913*E913)</f>
        <v/>
      </c>
      <c r="G913" s="10" t="n"/>
      <c r="H913" s="14">
        <f>IF(A913="","",MONTH(A913))</f>
        <v/>
      </c>
      <c r="I913" s="14">
        <f>IF(A913="","",YEAR(A913))</f>
        <v/>
      </c>
    </row>
    <row r="914">
      <c r="A914" s="15" t="n"/>
      <c r="B914" s="10" t="n"/>
      <c r="C914" s="14">
        <f>IF(B914="","",IFERROR(INDEX('Sản phẩm'!$B$5:$B$304,MATCH(B914,'Sản phẩm'!$A$5:$A$304,0)),""))</f>
        <v/>
      </c>
      <c r="D914" s="12" t="n"/>
      <c r="E914" s="11" t="n"/>
      <c r="F914" s="16">
        <f>IF(OR(D914="",E914=""),"",D914*E914)</f>
        <v/>
      </c>
      <c r="G914" s="10" t="n"/>
      <c r="H914" s="14">
        <f>IF(A914="","",MONTH(A914))</f>
        <v/>
      </c>
      <c r="I914" s="14">
        <f>IF(A914="","",YEAR(A914))</f>
        <v/>
      </c>
    </row>
    <row r="915">
      <c r="A915" s="15" t="n"/>
      <c r="B915" s="10" t="n"/>
      <c r="C915" s="14">
        <f>IF(B915="","",IFERROR(INDEX('Sản phẩm'!$B$5:$B$304,MATCH(B915,'Sản phẩm'!$A$5:$A$304,0)),""))</f>
        <v/>
      </c>
      <c r="D915" s="12" t="n"/>
      <c r="E915" s="11" t="n"/>
      <c r="F915" s="16">
        <f>IF(OR(D915="",E915=""),"",D915*E915)</f>
        <v/>
      </c>
      <c r="G915" s="10" t="n"/>
      <c r="H915" s="14">
        <f>IF(A915="","",MONTH(A915))</f>
        <v/>
      </c>
      <c r="I915" s="14">
        <f>IF(A915="","",YEAR(A915))</f>
        <v/>
      </c>
    </row>
    <row r="916">
      <c r="A916" s="15" t="n"/>
      <c r="B916" s="10" t="n"/>
      <c r="C916" s="14">
        <f>IF(B916="","",IFERROR(INDEX('Sản phẩm'!$B$5:$B$304,MATCH(B916,'Sản phẩm'!$A$5:$A$304,0)),""))</f>
        <v/>
      </c>
      <c r="D916" s="12" t="n"/>
      <c r="E916" s="11" t="n"/>
      <c r="F916" s="16">
        <f>IF(OR(D916="",E916=""),"",D916*E916)</f>
        <v/>
      </c>
      <c r="G916" s="10" t="n"/>
      <c r="H916" s="14">
        <f>IF(A916="","",MONTH(A916))</f>
        <v/>
      </c>
      <c r="I916" s="14">
        <f>IF(A916="","",YEAR(A916))</f>
        <v/>
      </c>
    </row>
    <row r="917">
      <c r="A917" s="15" t="n"/>
      <c r="B917" s="10" t="n"/>
      <c r="C917" s="14">
        <f>IF(B917="","",IFERROR(INDEX('Sản phẩm'!$B$5:$B$304,MATCH(B917,'Sản phẩm'!$A$5:$A$304,0)),""))</f>
        <v/>
      </c>
      <c r="D917" s="12" t="n"/>
      <c r="E917" s="11" t="n"/>
      <c r="F917" s="16">
        <f>IF(OR(D917="",E917=""),"",D917*E917)</f>
        <v/>
      </c>
      <c r="G917" s="10" t="n"/>
      <c r="H917" s="14">
        <f>IF(A917="","",MONTH(A917))</f>
        <v/>
      </c>
      <c r="I917" s="14">
        <f>IF(A917="","",YEAR(A917))</f>
        <v/>
      </c>
    </row>
    <row r="918">
      <c r="A918" s="15" t="n"/>
      <c r="B918" s="10" t="n"/>
      <c r="C918" s="14">
        <f>IF(B918="","",IFERROR(INDEX('Sản phẩm'!$B$5:$B$304,MATCH(B918,'Sản phẩm'!$A$5:$A$304,0)),""))</f>
        <v/>
      </c>
      <c r="D918" s="12" t="n"/>
      <c r="E918" s="11" t="n"/>
      <c r="F918" s="16">
        <f>IF(OR(D918="",E918=""),"",D918*E918)</f>
        <v/>
      </c>
      <c r="G918" s="10" t="n"/>
      <c r="H918" s="14">
        <f>IF(A918="","",MONTH(A918))</f>
        <v/>
      </c>
      <c r="I918" s="14">
        <f>IF(A918="","",YEAR(A918))</f>
        <v/>
      </c>
    </row>
    <row r="919">
      <c r="A919" s="15" t="n"/>
      <c r="B919" s="10" t="n"/>
      <c r="C919" s="14">
        <f>IF(B919="","",IFERROR(INDEX('Sản phẩm'!$B$5:$B$304,MATCH(B919,'Sản phẩm'!$A$5:$A$304,0)),""))</f>
        <v/>
      </c>
      <c r="D919" s="12" t="n"/>
      <c r="E919" s="11" t="n"/>
      <c r="F919" s="16">
        <f>IF(OR(D919="",E919=""),"",D919*E919)</f>
        <v/>
      </c>
      <c r="G919" s="10" t="n"/>
      <c r="H919" s="14">
        <f>IF(A919="","",MONTH(A919))</f>
        <v/>
      </c>
      <c r="I919" s="14">
        <f>IF(A919="","",YEAR(A919))</f>
        <v/>
      </c>
    </row>
    <row r="920">
      <c r="A920" s="15" t="n"/>
      <c r="B920" s="10" t="n"/>
      <c r="C920" s="14">
        <f>IF(B920="","",IFERROR(INDEX('Sản phẩm'!$B$5:$B$304,MATCH(B920,'Sản phẩm'!$A$5:$A$304,0)),""))</f>
        <v/>
      </c>
      <c r="D920" s="12" t="n"/>
      <c r="E920" s="11" t="n"/>
      <c r="F920" s="16">
        <f>IF(OR(D920="",E920=""),"",D920*E920)</f>
        <v/>
      </c>
      <c r="G920" s="10" t="n"/>
      <c r="H920" s="14">
        <f>IF(A920="","",MONTH(A920))</f>
        <v/>
      </c>
      <c r="I920" s="14">
        <f>IF(A920="","",YEAR(A920))</f>
        <v/>
      </c>
    </row>
    <row r="921">
      <c r="A921" s="15" t="n"/>
      <c r="B921" s="10" t="n"/>
      <c r="C921" s="14">
        <f>IF(B921="","",IFERROR(INDEX('Sản phẩm'!$B$5:$B$304,MATCH(B921,'Sản phẩm'!$A$5:$A$304,0)),""))</f>
        <v/>
      </c>
      <c r="D921" s="12" t="n"/>
      <c r="E921" s="11" t="n"/>
      <c r="F921" s="16">
        <f>IF(OR(D921="",E921=""),"",D921*E921)</f>
        <v/>
      </c>
      <c r="G921" s="10" t="n"/>
      <c r="H921" s="14">
        <f>IF(A921="","",MONTH(A921))</f>
        <v/>
      </c>
      <c r="I921" s="14">
        <f>IF(A921="","",YEAR(A921))</f>
        <v/>
      </c>
    </row>
    <row r="922">
      <c r="A922" s="15" t="n"/>
      <c r="B922" s="10" t="n"/>
      <c r="C922" s="14">
        <f>IF(B922="","",IFERROR(INDEX('Sản phẩm'!$B$5:$B$304,MATCH(B922,'Sản phẩm'!$A$5:$A$304,0)),""))</f>
        <v/>
      </c>
      <c r="D922" s="12" t="n"/>
      <c r="E922" s="11" t="n"/>
      <c r="F922" s="16">
        <f>IF(OR(D922="",E922=""),"",D922*E922)</f>
        <v/>
      </c>
      <c r="G922" s="10" t="n"/>
      <c r="H922" s="14">
        <f>IF(A922="","",MONTH(A922))</f>
        <v/>
      </c>
      <c r="I922" s="14">
        <f>IF(A922="","",YEAR(A922))</f>
        <v/>
      </c>
    </row>
    <row r="923">
      <c r="A923" s="15" t="n"/>
      <c r="B923" s="10" t="n"/>
      <c r="C923" s="14">
        <f>IF(B923="","",IFERROR(INDEX('Sản phẩm'!$B$5:$B$304,MATCH(B923,'Sản phẩm'!$A$5:$A$304,0)),""))</f>
        <v/>
      </c>
      <c r="D923" s="12" t="n"/>
      <c r="E923" s="11" t="n"/>
      <c r="F923" s="16">
        <f>IF(OR(D923="",E923=""),"",D923*E923)</f>
        <v/>
      </c>
      <c r="G923" s="10" t="n"/>
      <c r="H923" s="14">
        <f>IF(A923="","",MONTH(A923))</f>
        <v/>
      </c>
      <c r="I923" s="14">
        <f>IF(A923="","",YEAR(A923))</f>
        <v/>
      </c>
    </row>
    <row r="924">
      <c r="A924" s="15" t="n"/>
      <c r="B924" s="10" t="n"/>
      <c r="C924" s="14">
        <f>IF(B924="","",IFERROR(INDEX('Sản phẩm'!$B$5:$B$304,MATCH(B924,'Sản phẩm'!$A$5:$A$304,0)),""))</f>
        <v/>
      </c>
      <c r="D924" s="12" t="n"/>
      <c r="E924" s="11" t="n"/>
      <c r="F924" s="16">
        <f>IF(OR(D924="",E924=""),"",D924*E924)</f>
        <v/>
      </c>
      <c r="G924" s="10" t="n"/>
      <c r="H924" s="14">
        <f>IF(A924="","",MONTH(A924))</f>
        <v/>
      </c>
      <c r="I924" s="14">
        <f>IF(A924="","",YEAR(A924))</f>
        <v/>
      </c>
    </row>
    <row r="925">
      <c r="A925" s="15" t="n"/>
      <c r="B925" s="10" t="n"/>
      <c r="C925" s="14">
        <f>IF(B925="","",IFERROR(INDEX('Sản phẩm'!$B$5:$B$304,MATCH(B925,'Sản phẩm'!$A$5:$A$304,0)),""))</f>
        <v/>
      </c>
      <c r="D925" s="12" t="n"/>
      <c r="E925" s="11" t="n"/>
      <c r="F925" s="16">
        <f>IF(OR(D925="",E925=""),"",D925*E925)</f>
        <v/>
      </c>
      <c r="G925" s="10" t="n"/>
      <c r="H925" s="14">
        <f>IF(A925="","",MONTH(A925))</f>
        <v/>
      </c>
      <c r="I925" s="14">
        <f>IF(A925="","",YEAR(A925))</f>
        <v/>
      </c>
    </row>
    <row r="926">
      <c r="A926" s="15" t="n"/>
      <c r="B926" s="10" t="n"/>
      <c r="C926" s="14">
        <f>IF(B926="","",IFERROR(INDEX('Sản phẩm'!$B$5:$B$304,MATCH(B926,'Sản phẩm'!$A$5:$A$304,0)),""))</f>
        <v/>
      </c>
      <c r="D926" s="12" t="n"/>
      <c r="E926" s="11" t="n"/>
      <c r="F926" s="16">
        <f>IF(OR(D926="",E926=""),"",D926*E926)</f>
        <v/>
      </c>
      <c r="G926" s="10" t="n"/>
      <c r="H926" s="14">
        <f>IF(A926="","",MONTH(A926))</f>
        <v/>
      </c>
      <c r="I926" s="14">
        <f>IF(A926="","",YEAR(A926))</f>
        <v/>
      </c>
    </row>
    <row r="927">
      <c r="A927" s="15" t="n"/>
      <c r="B927" s="10" t="n"/>
      <c r="C927" s="14">
        <f>IF(B927="","",IFERROR(INDEX('Sản phẩm'!$B$5:$B$304,MATCH(B927,'Sản phẩm'!$A$5:$A$304,0)),""))</f>
        <v/>
      </c>
      <c r="D927" s="12" t="n"/>
      <c r="E927" s="11" t="n"/>
      <c r="F927" s="16">
        <f>IF(OR(D927="",E927=""),"",D927*E927)</f>
        <v/>
      </c>
      <c r="G927" s="10" t="n"/>
      <c r="H927" s="14">
        <f>IF(A927="","",MONTH(A927))</f>
        <v/>
      </c>
      <c r="I927" s="14">
        <f>IF(A927="","",YEAR(A927))</f>
        <v/>
      </c>
    </row>
    <row r="928">
      <c r="A928" s="15" t="n"/>
      <c r="B928" s="10" t="n"/>
      <c r="C928" s="14">
        <f>IF(B928="","",IFERROR(INDEX('Sản phẩm'!$B$5:$B$304,MATCH(B928,'Sản phẩm'!$A$5:$A$304,0)),""))</f>
        <v/>
      </c>
      <c r="D928" s="12" t="n"/>
      <c r="E928" s="11" t="n"/>
      <c r="F928" s="16">
        <f>IF(OR(D928="",E928=""),"",D928*E928)</f>
        <v/>
      </c>
      <c r="G928" s="10" t="n"/>
      <c r="H928" s="14">
        <f>IF(A928="","",MONTH(A928))</f>
        <v/>
      </c>
      <c r="I928" s="14">
        <f>IF(A928="","",YEAR(A928))</f>
        <v/>
      </c>
    </row>
    <row r="929">
      <c r="A929" s="15" t="n"/>
      <c r="B929" s="10" t="n"/>
      <c r="C929" s="14">
        <f>IF(B929="","",IFERROR(INDEX('Sản phẩm'!$B$5:$B$304,MATCH(B929,'Sản phẩm'!$A$5:$A$304,0)),""))</f>
        <v/>
      </c>
      <c r="D929" s="12" t="n"/>
      <c r="E929" s="11" t="n"/>
      <c r="F929" s="16">
        <f>IF(OR(D929="",E929=""),"",D929*E929)</f>
        <v/>
      </c>
      <c r="G929" s="10" t="n"/>
      <c r="H929" s="14">
        <f>IF(A929="","",MONTH(A929))</f>
        <v/>
      </c>
      <c r="I929" s="14">
        <f>IF(A929="","",YEAR(A929))</f>
        <v/>
      </c>
    </row>
    <row r="930">
      <c r="A930" s="15" t="n"/>
      <c r="B930" s="10" t="n"/>
      <c r="C930" s="14">
        <f>IF(B930="","",IFERROR(INDEX('Sản phẩm'!$B$5:$B$304,MATCH(B930,'Sản phẩm'!$A$5:$A$304,0)),""))</f>
        <v/>
      </c>
      <c r="D930" s="12" t="n"/>
      <c r="E930" s="11" t="n"/>
      <c r="F930" s="16">
        <f>IF(OR(D930="",E930=""),"",D930*E930)</f>
        <v/>
      </c>
      <c r="G930" s="10" t="n"/>
      <c r="H930" s="14">
        <f>IF(A930="","",MONTH(A930))</f>
        <v/>
      </c>
      <c r="I930" s="14">
        <f>IF(A930="","",YEAR(A930))</f>
        <v/>
      </c>
    </row>
    <row r="931">
      <c r="A931" s="15" t="n"/>
      <c r="B931" s="10" t="n"/>
      <c r="C931" s="14">
        <f>IF(B931="","",IFERROR(INDEX('Sản phẩm'!$B$5:$B$304,MATCH(B931,'Sản phẩm'!$A$5:$A$304,0)),""))</f>
        <v/>
      </c>
      <c r="D931" s="12" t="n"/>
      <c r="E931" s="11" t="n"/>
      <c r="F931" s="16">
        <f>IF(OR(D931="",E931=""),"",D931*E931)</f>
        <v/>
      </c>
      <c r="G931" s="10" t="n"/>
      <c r="H931" s="14">
        <f>IF(A931="","",MONTH(A931))</f>
        <v/>
      </c>
      <c r="I931" s="14">
        <f>IF(A931="","",YEAR(A931))</f>
        <v/>
      </c>
    </row>
    <row r="932">
      <c r="A932" s="15" t="n"/>
      <c r="B932" s="10" t="n"/>
      <c r="C932" s="14">
        <f>IF(B932="","",IFERROR(INDEX('Sản phẩm'!$B$5:$B$304,MATCH(B932,'Sản phẩm'!$A$5:$A$304,0)),""))</f>
        <v/>
      </c>
      <c r="D932" s="12" t="n"/>
      <c r="E932" s="11" t="n"/>
      <c r="F932" s="16">
        <f>IF(OR(D932="",E932=""),"",D932*E932)</f>
        <v/>
      </c>
      <c r="G932" s="10" t="n"/>
      <c r="H932" s="14">
        <f>IF(A932="","",MONTH(A932))</f>
        <v/>
      </c>
      <c r="I932" s="14">
        <f>IF(A932="","",YEAR(A932))</f>
        <v/>
      </c>
    </row>
    <row r="933">
      <c r="A933" s="15" t="n"/>
      <c r="B933" s="10" t="n"/>
      <c r="C933" s="14">
        <f>IF(B933="","",IFERROR(INDEX('Sản phẩm'!$B$5:$B$304,MATCH(B933,'Sản phẩm'!$A$5:$A$304,0)),""))</f>
        <v/>
      </c>
      <c r="D933" s="12" t="n"/>
      <c r="E933" s="11" t="n"/>
      <c r="F933" s="16">
        <f>IF(OR(D933="",E933=""),"",D933*E933)</f>
        <v/>
      </c>
      <c r="G933" s="10" t="n"/>
      <c r="H933" s="14">
        <f>IF(A933="","",MONTH(A933))</f>
        <v/>
      </c>
      <c r="I933" s="14">
        <f>IF(A933="","",YEAR(A933))</f>
        <v/>
      </c>
    </row>
    <row r="934">
      <c r="A934" s="15" t="n"/>
      <c r="B934" s="10" t="n"/>
      <c r="C934" s="14">
        <f>IF(B934="","",IFERROR(INDEX('Sản phẩm'!$B$5:$B$304,MATCH(B934,'Sản phẩm'!$A$5:$A$304,0)),""))</f>
        <v/>
      </c>
      <c r="D934" s="12" t="n"/>
      <c r="E934" s="11" t="n"/>
      <c r="F934" s="16">
        <f>IF(OR(D934="",E934=""),"",D934*E934)</f>
        <v/>
      </c>
      <c r="G934" s="10" t="n"/>
      <c r="H934" s="14">
        <f>IF(A934="","",MONTH(A934))</f>
        <v/>
      </c>
      <c r="I934" s="14">
        <f>IF(A934="","",YEAR(A934))</f>
        <v/>
      </c>
    </row>
    <row r="935">
      <c r="A935" s="15" t="n"/>
      <c r="B935" s="10" t="n"/>
      <c r="C935" s="14">
        <f>IF(B935="","",IFERROR(INDEX('Sản phẩm'!$B$5:$B$304,MATCH(B935,'Sản phẩm'!$A$5:$A$304,0)),""))</f>
        <v/>
      </c>
      <c r="D935" s="12" t="n"/>
      <c r="E935" s="11" t="n"/>
      <c r="F935" s="16">
        <f>IF(OR(D935="",E935=""),"",D935*E935)</f>
        <v/>
      </c>
      <c r="G935" s="10" t="n"/>
      <c r="H935" s="14">
        <f>IF(A935="","",MONTH(A935))</f>
        <v/>
      </c>
      <c r="I935" s="14">
        <f>IF(A935="","",YEAR(A935))</f>
        <v/>
      </c>
    </row>
    <row r="936">
      <c r="A936" s="15" t="n"/>
      <c r="B936" s="10" t="n"/>
      <c r="C936" s="14">
        <f>IF(B936="","",IFERROR(INDEX('Sản phẩm'!$B$5:$B$304,MATCH(B936,'Sản phẩm'!$A$5:$A$304,0)),""))</f>
        <v/>
      </c>
      <c r="D936" s="12" t="n"/>
      <c r="E936" s="11" t="n"/>
      <c r="F936" s="16">
        <f>IF(OR(D936="",E936=""),"",D936*E936)</f>
        <v/>
      </c>
      <c r="G936" s="10" t="n"/>
      <c r="H936" s="14">
        <f>IF(A936="","",MONTH(A936))</f>
        <v/>
      </c>
      <c r="I936" s="14">
        <f>IF(A936="","",YEAR(A936))</f>
        <v/>
      </c>
    </row>
    <row r="937">
      <c r="A937" s="15" t="n"/>
      <c r="B937" s="10" t="n"/>
      <c r="C937" s="14">
        <f>IF(B937="","",IFERROR(INDEX('Sản phẩm'!$B$5:$B$304,MATCH(B937,'Sản phẩm'!$A$5:$A$304,0)),""))</f>
        <v/>
      </c>
      <c r="D937" s="12" t="n"/>
      <c r="E937" s="11" t="n"/>
      <c r="F937" s="16">
        <f>IF(OR(D937="",E937=""),"",D937*E937)</f>
        <v/>
      </c>
      <c r="G937" s="10" t="n"/>
      <c r="H937" s="14">
        <f>IF(A937="","",MONTH(A937))</f>
        <v/>
      </c>
      <c r="I937" s="14">
        <f>IF(A937="","",YEAR(A937))</f>
        <v/>
      </c>
    </row>
    <row r="938">
      <c r="A938" s="15" t="n"/>
      <c r="B938" s="10" t="n"/>
      <c r="C938" s="14">
        <f>IF(B938="","",IFERROR(INDEX('Sản phẩm'!$B$5:$B$304,MATCH(B938,'Sản phẩm'!$A$5:$A$304,0)),""))</f>
        <v/>
      </c>
      <c r="D938" s="12" t="n"/>
      <c r="E938" s="11" t="n"/>
      <c r="F938" s="16">
        <f>IF(OR(D938="",E938=""),"",D938*E938)</f>
        <v/>
      </c>
      <c r="G938" s="10" t="n"/>
      <c r="H938" s="14">
        <f>IF(A938="","",MONTH(A938))</f>
        <v/>
      </c>
      <c r="I938" s="14">
        <f>IF(A938="","",YEAR(A938))</f>
        <v/>
      </c>
    </row>
    <row r="939">
      <c r="A939" s="15" t="n"/>
      <c r="B939" s="10" t="n"/>
      <c r="C939" s="14">
        <f>IF(B939="","",IFERROR(INDEX('Sản phẩm'!$B$5:$B$304,MATCH(B939,'Sản phẩm'!$A$5:$A$304,0)),""))</f>
        <v/>
      </c>
      <c r="D939" s="12" t="n"/>
      <c r="E939" s="11" t="n"/>
      <c r="F939" s="16">
        <f>IF(OR(D939="",E939=""),"",D939*E939)</f>
        <v/>
      </c>
      <c r="G939" s="10" t="n"/>
      <c r="H939" s="14">
        <f>IF(A939="","",MONTH(A939))</f>
        <v/>
      </c>
      <c r="I939" s="14">
        <f>IF(A939="","",YEAR(A939))</f>
        <v/>
      </c>
    </row>
    <row r="940">
      <c r="A940" s="15" t="n"/>
      <c r="B940" s="10" t="n"/>
      <c r="C940" s="14">
        <f>IF(B940="","",IFERROR(INDEX('Sản phẩm'!$B$5:$B$304,MATCH(B940,'Sản phẩm'!$A$5:$A$304,0)),""))</f>
        <v/>
      </c>
      <c r="D940" s="12" t="n"/>
      <c r="E940" s="11" t="n"/>
      <c r="F940" s="16">
        <f>IF(OR(D940="",E940=""),"",D940*E940)</f>
        <v/>
      </c>
      <c r="G940" s="10" t="n"/>
      <c r="H940" s="14">
        <f>IF(A940="","",MONTH(A940))</f>
        <v/>
      </c>
      <c r="I940" s="14">
        <f>IF(A940="","",YEAR(A940))</f>
        <v/>
      </c>
    </row>
    <row r="941">
      <c r="A941" s="15" t="n"/>
      <c r="B941" s="10" t="n"/>
      <c r="C941" s="14">
        <f>IF(B941="","",IFERROR(INDEX('Sản phẩm'!$B$5:$B$304,MATCH(B941,'Sản phẩm'!$A$5:$A$304,0)),""))</f>
        <v/>
      </c>
      <c r="D941" s="12" t="n"/>
      <c r="E941" s="11" t="n"/>
      <c r="F941" s="16">
        <f>IF(OR(D941="",E941=""),"",D941*E941)</f>
        <v/>
      </c>
      <c r="G941" s="10" t="n"/>
      <c r="H941" s="14">
        <f>IF(A941="","",MONTH(A941))</f>
        <v/>
      </c>
      <c r="I941" s="14">
        <f>IF(A941="","",YEAR(A941))</f>
        <v/>
      </c>
    </row>
    <row r="942">
      <c r="A942" s="15" t="n"/>
      <c r="B942" s="10" t="n"/>
      <c r="C942" s="14">
        <f>IF(B942="","",IFERROR(INDEX('Sản phẩm'!$B$5:$B$304,MATCH(B942,'Sản phẩm'!$A$5:$A$304,0)),""))</f>
        <v/>
      </c>
      <c r="D942" s="12" t="n"/>
      <c r="E942" s="11" t="n"/>
      <c r="F942" s="16">
        <f>IF(OR(D942="",E942=""),"",D942*E942)</f>
        <v/>
      </c>
      <c r="G942" s="10" t="n"/>
      <c r="H942" s="14">
        <f>IF(A942="","",MONTH(A942))</f>
        <v/>
      </c>
      <c r="I942" s="14">
        <f>IF(A942="","",YEAR(A942))</f>
        <v/>
      </c>
    </row>
    <row r="943">
      <c r="A943" s="15" t="n"/>
      <c r="B943" s="10" t="n"/>
      <c r="C943" s="14">
        <f>IF(B943="","",IFERROR(INDEX('Sản phẩm'!$B$5:$B$304,MATCH(B943,'Sản phẩm'!$A$5:$A$304,0)),""))</f>
        <v/>
      </c>
      <c r="D943" s="12" t="n"/>
      <c r="E943" s="11" t="n"/>
      <c r="F943" s="16">
        <f>IF(OR(D943="",E943=""),"",D943*E943)</f>
        <v/>
      </c>
      <c r="G943" s="10" t="n"/>
      <c r="H943" s="14">
        <f>IF(A943="","",MONTH(A943))</f>
        <v/>
      </c>
      <c r="I943" s="14">
        <f>IF(A943="","",YEAR(A943))</f>
        <v/>
      </c>
    </row>
    <row r="944">
      <c r="A944" s="15" t="n"/>
      <c r="B944" s="10" t="n"/>
      <c r="C944" s="14">
        <f>IF(B944="","",IFERROR(INDEX('Sản phẩm'!$B$5:$B$304,MATCH(B944,'Sản phẩm'!$A$5:$A$304,0)),""))</f>
        <v/>
      </c>
      <c r="D944" s="12" t="n"/>
      <c r="E944" s="11" t="n"/>
      <c r="F944" s="16">
        <f>IF(OR(D944="",E944=""),"",D944*E944)</f>
        <v/>
      </c>
      <c r="G944" s="10" t="n"/>
      <c r="H944" s="14">
        <f>IF(A944="","",MONTH(A944))</f>
        <v/>
      </c>
      <c r="I944" s="14">
        <f>IF(A944="","",YEAR(A944))</f>
        <v/>
      </c>
    </row>
    <row r="945">
      <c r="A945" s="15" t="n"/>
      <c r="B945" s="10" t="n"/>
      <c r="C945" s="14">
        <f>IF(B945="","",IFERROR(INDEX('Sản phẩm'!$B$5:$B$304,MATCH(B945,'Sản phẩm'!$A$5:$A$304,0)),""))</f>
        <v/>
      </c>
      <c r="D945" s="12" t="n"/>
      <c r="E945" s="11" t="n"/>
      <c r="F945" s="16">
        <f>IF(OR(D945="",E945=""),"",D945*E945)</f>
        <v/>
      </c>
      <c r="G945" s="10" t="n"/>
      <c r="H945" s="14">
        <f>IF(A945="","",MONTH(A945))</f>
        <v/>
      </c>
      <c r="I945" s="14">
        <f>IF(A945="","",YEAR(A945))</f>
        <v/>
      </c>
    </row>
    <row r="946">
      <c r="A946" s="15" t="n"/>
      <c r="B946" s="10" t="n"/>
      <c r="C946" s="14">
        <f>IF(B946="","",IFERROR(INDEX('Sản phẩm'!$B$5:$B$304,MATCH(B946,'Sản phẩm'!$A$5:$A$304,0)),""))</f>
        <v/>
      </c>
      <c r="D946" s="12" t="n"/>
      <c r="E946" s="11" t="n"/>
      <c r="F946" s="16">
        <f>IF(OR(D946="",E946=""),"",D946*E946)</f>
        <v/>
      </c>
      <c r="G946" s="10" t="n"/>
      <c r="H946" s="14">
        <f>IF(A946="","",MONTH(A946))</f>
        <v/>
      </c>
      <c r="I946" s="14">
        <f>IF(A946="","",YEAR(A946))</f>
        <v/>
      </c>
    </row>
    <row r="947">
      <c r="A947" s="15" t="n"/>
      <c r="B947" s="10" t="n"/>
      <c r="C947" s="14">
        <f>IF(B947="","",IFERROR(INDEX('Sản phẩm'!$B$5:$B$304,MATCH(B947,'Sản phẩm'!$A$5:$A$304,0)),""))</f>
        <v/>
      </c>
      <c r="D947" s="12" t="n"/>
      <c r="E947" s="11" t="n"/>
      <c r="F947" s="16">
        <f>IF(OR(D947="",E947=""),"",D947*E947)</f>
        <v/>
      </c>
      <c r="G947" s="10" t="n"/>
      <c r="H947" s="14">
        <f>IF(A947="","",MONTH(A947))</f>
        <v/>
      </c>
      <c r="I947" s="14">
        <f>IF(A947="","",YEAR(A947))</f>
        <v/>
      </c>
    </row>
    <row r="948">
      <c r="A948" s="15" t="n"/>
      <c r="B948" s="10" t="n"/>
      <c r="C948" s="14">
        <f>IF(B948="","",IFERROR(INDEX('Sản phẩm'!$B$5:$B$304,MATCH(B948,'Sản phẩm'!$A$5:$A$304,0)),""))</f>
        <v/>
      </c>
      <c r="D948" s="12" t="n"/>
      <c r="E948" s="11" t="n"/>
      <c r="F948" s="16">
        <f>IF(OR(D948="",E948=""),"",D948*E948)</f>
        <v/>
      </c>
      <c r="G948" s="10" t="n"/>
      <c r="H948" s="14">
        <f>IF(A948="","",MONTH(A948))</f>
        <v/>
      </c>
      <c r="I948" s="14">
        <f>IF(A948="","",YEAR(A948))</f>
        <v/>
      </c>
    </row>
    <row r="949">
      <c r="A949" s="15" t="n"/>
      <c r="B949" s="10" t="n"/>
      <c r="C949" s="14">
        <f>IF(B949="","",IFERROR(INDEX('Sản phẩm'!$B$5:$B$304,MATCH(B949,'Sản phẩm'!$A$5:$A$304,0)),""))</f>
        <v/>
      </c>
      <c r="D949" s="12" t="n"/>
      <c r="E949" s="11" t="n"/>
      <c r="F949" s="16">
        <f>IF(OR(D949="",E949=""),"",D949*E949)</f>
        <v/>
      </c>
      <c r="G949" s="10" t="n"/>
      <c r="H949" s="14">
        <f>IF(A949="","",MONTH(A949))</f>
        <v/>
      </c>
      <c r="I949" s="14">
        <f>IF(A949="","",YEAR(A949))</f>
        <v/>
      </c>
    </row>
    <row r="950">
      <c r="A950" s="15" t="n"/>
      <c r="B950" s="10" t="n"/>
      <c r="C950" s="14">
        <f>IF(B950="","",IFERROR(INDEX('Sản phẩm'!$B$5:$B$304,MATCH(B950,'Sản phẩm'!$A$5:$A$304,0)),""))</f>
        <v/>
      </c>
      <c r="D950" s="12" t="n"/>
      <c r="E950" s="11" t="n"/>
      <c r="F950" s="16">
        <f>IF(OR(D950="",E950=""),"",D950*E950)</f>
        <v/>
      </c>
      <c r="G950" s="10" t="n"/>
      <c r="H950" s="14">
        <f>IF(A950="","",MONTH(A950))</f>
        <v/>
      </c>
      <c r="I950" s="14">
        <f>IF(A950="","",YEAR(A950))</f>
        <v/>
      </c>
    </row>
    <row r="951">
      <c r="A951" s="15" t="n"/>
      <c r="B951" s="10" t="n"/>
      <c r="C951" s="14">
        <f>IF(B951="","",IFERROR(INDEX('Sản phẩm'!$B$5:$B$304,MATCH(B951,'Sản phẩm'!$A$5:$A$304,0)),""))</f>
        <v/>
      </c>
      <c r="D951" s="12" t="n"/>
      <c r="E951" s="11" t="n"/>
      <c r="F951" s="16">
        <f>IF(OR(D951="",E951=""),"",D951*E951)</f>
        <v/>
      </c>
      <c r="G951" s="10" t="n"/>
      <c r="H951" s="14">
        <f>IF(A951="","",MONTH(A951))</f>
        <v/>
      </c>
      <c r="I951" s="14">
        <f>IF(A951="","",YEAR(A951))</f>
        <v/>
      </c>
    </row>
    <row r="952">
      <c r="A952" s="15" t="n"/>
      <c r="B952" s="10" t="n"/>
      <c r="C952" s="14">
        <f>IF(B952="","",IFERROR(INDEX('Sản phẩm'!$B$5:$B$304,MATCH(B952,'Sản phẩm'!$A$5:$A$304,0)),""))</f>
        <v/>
      </c>
      <c r="D952" s="12" t="n"/>
      <c r="E952" s="11" t="n"/>
      <c r="F952" s="16">
        <f>IF(OR(D952="",E952=""),"",D952*E952)</f>
        <v/>
      </c>
      <c r="G952" s="10" t="n"/>
      <c r="H952" s="14">
        <f>IF(A952="","",MONTH(A952))</f>
        <v/>
      </c>
      <c r="I952" s="14">
        <f>IF(A952="","",YEAR(A952))</f>
        <v/>
      </c>
    </row>
    <row r="953">
      <c r="A953" s="15" t="n"/>
      <c r="B953" s="10" t="n"/>
      <c r="C953" s="14">
        <f>IF(B953="","",IFERROR(INDEX('Sản phẩm'!$B$5:$B$304,MATCH(B953,'Sản phẩm'!$A$5:$A$304,0)),""))</f>
        <v/>
      </c>
      <c r="D953" s="12" t="n"/>
      <c r="E953" s="11" t="n"/>
      <c r="F953" s="16">
        <f>IF(OR(D953="",E953=""),"",D953*E953)</f>
        <v/>
      </c>
      <c r="G953" s="10" t="n"/>
      <c r="H953" s="14">
        <f>IF(A953="","",MONTH(A953))</f>
        <v/>
      </c>
      <c r="I953" s="14">
        <f>IF(A953="","",YEAR(A953))</f>
        <v/>
      </c>
    </row>
    <row r="954">
      <c r="A954" s="15" t="n"/>
      <c r="B954" s="10" t="n"/>
      <c r="C954" s="14">
        <f>IF(B954="","",IFERROR(INDEX('Sản phẩm'!$B$5:$B$304,MATCH(B954,'Sản phẩm'!$A$5:$A$304,0)),""))</f>
        <v/>
      </c>
      <c r="D954" s="12" t="n"/>
      <c r="E954" s="11" t="n"/>
      <c r="F954" s="16">
        <f>IF(OR(D954="",E954=""),"",D954*E954)</f>
        <v/>
      </c>
      <c r="G954" s="10" t="n"/>
      <c r="H954" s="14">
        <f>IF(A954="","",MONTH(A954))</f>
        <v/>
      </c>
      <c r="I954" s="14">
        <f>IF(A954="","",YEAR(A954))</f>
        <v/>
      </c>
    </row>
    <row r="955">
      <c r="A955" s="15" t="n"/>
      <c r="B955" s="10" t="n"/>
      <c r="C955" s="14">
        <f>IF(B955="","",IFERROR(INDEX('Sản phẩm'!$B$5:$B$304,MATCH(B955,'Sản phẩm'!$A$5:$A$304,0)),""))</f>
        <v/>
      </c>
      <c r="D955" s="12" t="n"/>
      <c r="E955" s="11" t="n"/>
      <c r="F955" s="16">
        <f>IF(OR(D955="",E955=""),"",D955*E955)</f>
        <v/>
      </c>
      <c r="G955" s="10" t="n"/>
      <c r="H955" s="14">
        <f>IF(A955="","",MONTH(A955))</f>
        <v/>
      </c>
      <c r="I955" s="14">
        <f>IF(A955="","",YEAR(A955))</f>
        <v/>
      </c>
    </row>
    <row r="956">
      <c r="A956" s="15" t="n"/>
      <c r="B956" s="10" t="n"/>
      <c r="C956" s="14">
        <f>IF(B956="","",IFERROR(INDEX('Sản phẩm'!$B$5:$B$304,MATCH(B956,'Sản phẩm'!$A$5:$A$304,0)),""))</f>
        <v/>
      </c>
      <c r="D956" s="12" t="n"/>
      <c r="E956" s="11" t="n"/>
      <c r="F956" s="16">
        <f>IF(OR(D956="",E956=""),"",D956*E956)</f>
        <v/>
      </c>
      <c r="G956" s="10" t="n"/>
      <c r="H956" s="14">
        <f>IF(A956="","",MONTH(A956))</f>
        <v/>
      </c>
      <c r="I956" s="14">
        <f>IF(A956="","",YEAR(A956))</f>
        <v/>
      </c>
    </row>
    <row r="957">
      <c r="A957" s="15" t="n"/>
      <c r="B957" s="10" t="n"/>
      <c r="C957" s="14">
        <f>IF(B957="","",IFERROR(INDEX('Sản phẩm'!$B$5:$B$304,MATCH(B957,'Sản phẩm'!$A$5:$A$304,0)),""))</f>
        <v/>
      </c>
      <c r="D957" s="12" t="n"/>
      <c r="E957" s="11" t="n"/>
      <c r="F957" s="16">
        <f>IF(OR(D957="",E957=""),"",D957*E957)</f>
        <v/>
      </c>
      <c r="G957" s="10" t="n"/>
      <c r="H957" s="14">
        <f>IF(A957="","",MONTH(A957))</f>
        <v/>
      </c>
      <c r="I957" s="14">
        <f>IF(A957="","",YEAR(A957))</f>
        <v/>
      </c>
    </row>
    <row r="958">
      <c r="A958" s="15" t="n"/>
      <c r="B958" s="10" t="n"/>
      <c r="C958" s="14">
        <f>IF(B958="","",IFERROR(INDEX('Sản phẩm'!$B$5:$B$304,MATCH(B958,'Sản phẩm'!$A$5:$A$304,0)),""))</f>
        <v/>
      </c>
      <c r="D958" s="12" t="n"/>
      <c r="E958" s="11" t="n"/>
      <c r="F958" s="16">
        <f>IF(OR(D958="",E958=""),"",D958*E958)</f>
        <v/>
      </c>
      <c r="G958" s="10" t="n"/>
      <c r="H958" s="14">
        <f>IF(A958="","",MONTH(A958))</f>
        <v/>
      </c>
      <c r="I958" s="14">
        <f>IF(A958="","",YEAR(A958))</f>
        <v/>
      </c>
    </row>
    <row r="959">
      <c r="A959" s="15" t="n"/>
      <c r="B959" s="10" t="n"/>
      <c r="C959" s="14">
        <f>IF(B959="","",IFERROR(INDEX('Sản phẩm'!$B$5:$B$304,MATCH(B959,'Sản phẩm'!$A$5:$A$304,0)),""))</f>
        <v/>
      </c>
      <c r="D959" s="12" t="n"/>
      <c r="E959" s="11" t="n"/>
      <c r="F959" s="16">
        <f>IF(OR(D959="",E959=""),"",D959*E959)</f>
        <v/>
      </c>
      <c r="G959" s="10" t="n"/>
      <c r="H959" s="14">
        <f>IF(A959="","",MONTH(A959))</f>
        <v/>
      </c>
      <c r="I959" s="14">
        <f>IF(A959="","",YEAR(A959))</f>
        <v/>
      </c>
    </row>
    <row r="960">
      <c r="A960" s="15" t="n"/>
      <c r="B960" s="10" t="n"/>
      <c r="C960" s="14">
        <f>IF(B960="","",IFERROR(INDEX('Sản phẩm'!$B$5:$B$304,MATCH(B960,'Sản phẩm'!$A$5:$A$304,0)),""))</f>
        <v/>
      </c>
      <c r="D960" s="12" t="n"/>
      <c r="E960" s="11" t="n"/>
      <c r="F960" s="16">
        <f>IF(OR(D960="",E960=""),"",D960*E960)</f>
        <v/>
      </c>
      <c r="G960" s="10" t="n"/>
      <c r="H960" s="14">
        <f>IF(A960="","",MONTH(A960))</f>
        <v/>
      </c>
      <c r="I960" s="14">
        <f>IF(A960="","",YEAR(A960))</f>
        <v/>
      </c>
    </row>
    <row r="961">
      <c r="A961" s="15" t="n"/>
      <c r="B961" s="10" t="n"/>
      <c r="C961" s="14">
        <f>IF(B961="","",IFERROR(INDEX('Sản phẩm'!$B$5:$B$304,MATCH(B961,'Sản phẩm'!$A$5:$A$304,0)),""))</f>
        <v/>
      </c>
      <c r="D961" s="12" t="n"/>
      <c r="E961" s="11" t="n"/>
      <c r="F961" s="16">
        <f>IF(OR(D961="",E961=""),"",D961*E961)</f>
        <v/>
      </c>
      <c r="G961" s="10" t="n"/>
      <c r="H961" s="14">
        <f>IF(A961="","",MONTH(A961))</f>
        <v/>
      </c>
      <c r="I961" s="14">
        <f>IF(A961="","",YEAR(A961))</f>
        <v/>
      </c>
    </row>
    <row r="962">
      <c r="A962" s="15" t="n"/>
      <c r="B962" s="10" t="n"/>
      <c r="C962" s="14">
        <f>IF(B962="","",IFERROR(INDEX('Sản phẩm'!$B$5:$B$304,MATCH(B962,'Sản phẩm'!$A$5:$A$304,0)),""))</f>
        <v/>
      </c>
      <c r="D962" s="12" t="n"/>
      <c r="E962" s="11" t="n"/>
      <c r="F962" s="16">
        <f>IF(OR(D962="",E962=""),"",D962*E962)</f>
        <v/>
      </c>
      <c r="G962" s="10" t="n"/>
      <c r="H962" s="14">
        <f>IF(A962="","",MONTH(A962))</f>
        <v/>
      </c>
      <c r="I962" s="14">
        <f>IF(A962="","",YEAR(A962))</f>
        <v/>
      </c>
    </row>
    <row r="963">
      <c r="A963" s="15" t="n"/>
      <c r="B963" s="10" t="n"/>
      <c r="C963" s="14">
        <f>IF(B963="","",IFERROR(INDEX('Sản phẩm'!$B$5:$B$304,MATCH(B963,'Sản phẩm'!$A$5:$A$304,0)),""))</f>
        <v/>
      </c>
      <c r="D963" s="12" t="n"/>
      <c r="E963" s="11" t="n"/>
      <c r="F963" s="16">
        <f>IF(OR(D963="",E963=""),"",D963*E963)</f>
        <v/>
      </c>
      <c r="G963" s="10" t="n"/>
      <c r="H963" s="14">
        <f>IF(A963="","",MONTH(A963))</f>
        <v/>
      </c>
      <c r="I963" s="14">
        <f>IF(A963="","",YEAR(A963))</f>
        <v/>
      </c>
    </row>
    <row r="964">
      <c r="A964" s="15" t="n"/>
      <c r="B964" s="10" t="n"/>
      <c r="C964" s="14">
        <f>IF(B964="","",IFERROR(INDEX('Sản phẩm'!$B$5:$B$304,MATCH(B964,'Sản phẩm'!$A$5:$A$304,0)),""))</f>
        <v/>
      </c>
      <c r="D964" s="12" t="n"/>
      <c r="E964" s="11" t="n"/>
      <c r="F964" s="16">
        <f>IF(OR(D964="",E964=""),"",D964*E964)</f>
        <v/>
      </c>
      <c r="G964" s="10" t="n"/>
      <c r="H964" s="14">
        <f>IF(A964="","",MONTH(A964))</f>
        <v/>
      </c>
      <c r="I964" s="14">
        <f>IF(A964="","",YEAR(A964))</f>
        <v/>
      </c>
    </row>
    <row r="965">
      <c r="A965" s="15" t="n"/>
      <c r="B965" s="10" t="n"/>
      <c r="C965" s="14">
        <f>IF(B965="","",IFERROR(INDEX('Sản phẩm'!$B$5:$B$304,MATCH(B965,'Sản phẩm'!$A$5:$A$304,0)),""))</f>
        <v/>
      </c>
      <c r="D965" s="12" t="n"/>
      <c r="E965" s="11" t="n"/>
      <c r="F965" s="16">
        <f>IF(OR(D965="",E965=""),"",D965*E965)</f>
        <v/>
      </c>
      <c r="G965" s="10" t="n"/>
      <c r="H965" s="14">
        <f>IF(A965="","",MONTH(A965))</f>
        <v/>
      </c>
      <c r="I965" s="14">
        <f>IF(A965="","",YEAR(A965))</f>
        <v/>
      </c>
    </row>
    <row r="966">
      <c r="A966" s="15" t="n"/>
      <c r="B966" s="10" t="n"/>
      <c r="C966" s="14">
        <f>IF(B966="","",IFERROR(INDEX('Sản phẩm'!$B$5:$B$304,MATCH(B966,'Sản phẩm'!$A$5:$A$304,0)),""))</f>
        <v/>
      </c>
      <c r="D966" s="12" t="n"/>
      <c r="E966" s="11" t="n"/>
      <c r="F966" s="16">
        <f>IF(OR(D966="",E966=""),"",D966*E966)</f>
        <v/>
      </c>
      <c r="G966" s="10" t="n"/>
      <c r="H966" s="14">
        <f>IF(A966="","",MONTH(A966))</f>
        <v/>
      </c>
      <c r="I966" s="14">
        <f>IF(A966="","",YEAR(A966))</f>
        <v/>
      </c>
    </row>
    <row r="967">
      <c r="A967" s="15" t="n"/>
      <c r="B967" s="10" t="n"/>
      <c r="C967" s="14">
        <f>IF(B967="","",IFERROR(INDEX('Sản phẩm'!$B$5:$B$304,MATCH(B967,'Sản phẩm'!$A$5:$A$304,0)),""))</f>
        <v/>
      </c>
      <c r="D967" s="12" t="n"/>
      <c r="E967" s="11" t="n"/>
      <c r="F967" s="16">
        <f>IF(OR(D967="",E967=""),"",D967*E967)</f>
        <v/>
      </c>
      <c r="G967" s="10" t="n"/>
      <c r="H967" s="14">
        <f>IF(A967="","",MONTH(A967))</f>
        <v/>
      </c>
      <c r="I967" s="14">
        <f>IF(A967="","",YEAR(A967))</f>
        <v/>
      </c>
    </row>
    <row r="968">
      <c r="A968" s="15" t="n"/>
      <c r="B968" s="10" t="n"/>
      <c r="C968" s="14">
        <f>IF(B968="","",IFERROR(INDEX('Sản phẩm'!$B$5:$B$304,MATCH(B968,'Sản phẩm'!$A$5:$A$304,0)),""))</f>
        <v/>
      </c>
      <c r="D968" s="12" t="n"/>
      <c r="E968" s="11" t="n"/>
      <c r="F968" s="16">
        <f>IF(OR(D968="",E968=""),"",D968*E968)</f>
        <v/>
      </c>
      <c r="G968" s="10" t="n"/>
      <c r="H968" s="14">
        <f>IF(A968="","",MONTH(A968))</f>
        <v/>
      </c>
      <c r="I968" s="14">
        <f>IF(A968="","",YEAR(A968))</f>
        <v/>
      </c>
    </row>
    <row r="969">
      <c r="A969" s="15" t="n"/>
      <c r="B969" s="10" t="n"/>
      <c r="C969" s="14">
        <f>IF(B969="","",IFERROR(INDEX('Sản phẩm'!$B$5:$B$304,MATCH(B969,'Sản phẩm'!$A$5:$A$304,0)),""))</f>
        <v/>
      </c>
      <c r="D969" s="12" t="n"/>
      <c r="E969" s="11" t="n"/>
      <c r="F969" s="16">
        <f>IF(OR(D969="",E969=""),"",D969*E969)</f>
        <v/>
      </c>
      <c r="G969" s="10" t="n"/>
      <c r="H969" s="14">
        <f>IF(A969="","",MONTH(A969))</f>
        <v/>
      </c>
      <c r="I969" s="14">
        <f>IF(A969="","",YEAR(A969))</f>
        <v/>
      </c>
    </row>
    <row r="970">
      <c r="A970" s="15" t="n"/>
      <c r="B970" s="10" t="n"/>
      <c r="C970" s="14">
        <f>IF(B970="","",IFERROR(INDEX('Sản phẩm'!$B$5:$B$304,MATCH(B970,'Sản phẩm'!$A$5:$A$304,0)),""))</f>
        <v/>
      </c>
      <c r="D970" s="12" t="n"/>
      <c r="E970" s="11" t="n"/>
      <c r="F970" s="16">
        <f>IF(OR(D970="",E970=""),"",D970*E970)</f>
        <v/>
      </c>
      <c r="G970" s="10" t="n"/>
      <c r="H970" s="14">
        <f>IF(A970="","",MONTH(A970))</f>
        <v/>
      </c>
      <c r="I970" s="14">
        <f>IF(A970="","",YEAR(A970))</f>
        <v/>
      </c>
    </row>
    <row r="971">
      <c r="A971" s="15" t="n"/>
      <c r="B971" s="10" t="n"/>
      <c r="C971" s="14">
        <f>IF(B971="","",IFERROR(INDEX('Sản phẩm'!$B$5:$B$304,MATCH(B971,'Sản phẩm'!$A$5:$A$304,0)),""))</f>
        <v/>
      </c>
      <c r="D971" s="12" t="n"/>
      <c r="E971" s="11" t="n"/>
      <c r="F971" s="16">
        <f>IF(OR(D971="",E971=""),"",D971*E971)</f>
        <v/>
      </c>
      <c r="G971" s="10" t="n"/>
      <c r="H971" s="14">
        <f>IF(A971="","",MONTH(A971))</f>
        <v/>
      </c>
      <c r="I971" s="14">
        <f>IF(A971="","",YEAR(A971))</f>
        <v/>
      </c>
    </row>
    <row r="972">
      <c r="A972" s="15" t="n"/>
      <c r="B972" s="10" t="n"/>
      <c r="C972" s="14">
        <f>IF(B972="","",IFERROR(INDEX('Sản phẩm'!$B$5:$B$304,MATCH(B972,'Sản phẩm'!$A$5:$A$304,0)),""))</f>
        <v/>
      </c>
      <c r="D972" s="12" t="n"/>
      <c r="E972" s="11" t="n"/>
      <c r="F972" s="16">
        <f>IF(OR(D972="",E972=""),"",D972*E972)</f>
        <v/>
      </c>
      <c r="G972" s="10" t="n"/>
      <c r="H972" s="14">
        <f>IF(A972="","",MONTH(A972))</f>
        <v/>
      </c>
      <c r="I972" s="14">
        <f>IF(A972="","",YEAR(A972))</f>
        <v/>
      </c>
    </row>
    <row r="973">
      <c r="A973" s="15" t="n"/>
      <c r="B973" s="10" t="n"/>
      <c r="C973" s="14">
        <f>IF(B973="","",IFERROR(INDEX('Sản phẩm'!$B$5:$B$304,MATCH(B973,'Sản phẩm'!$A$5:$A$304,0)),""))</f>
        <v/>
      </c>
      <c r="D973" s="12" t="n"/>
      <c r="E973" s="11" t="n"/>
      <c r="F973" s="16">
        <f>IF(OR(D973="",E973=""),"",D973*E973)</f>
        <v/>
      </c>
      <c r="G973" s="10" t="n"/>
      <c r="H973" s="14">
        <f>IF(A973="","",MONTH(A973))</f>
        <v/>
      </c>
      <c r="I973" s="14">
        <f>IF(A973="","",YEAR(A973))</f>
        <v/>
      </c>
    </row>
    <row r="974">
      <c r="A974" s="15" t="n"/>
      <c r="B974" s="10" t="n"/>
      <c r="C974" s="14">
        <f>IF(B974="","",IFERROR(INDEX('Sản phẩm'!$B$5:$B$304,MATCH(B974,'Sản phẩm'!$A$5:$A$304,0)),""))</f>
        <v/>
      </c>
      <c r="D974" s="12" t="n"/>
      <c r="E974" s="11" t="n"/>
      <c r="F974" s="16">
        <f>IF(OR(D974="",E974=""),"",D974*E974)</f>
        <v/>
      </c>
      <c r="G974" s="10" t="n"/>
      <c r="H974" s="14">
        <f>IF(A974="","",MONTH(A974))</f>
        <v/>
      </c>
      <c r="I974" s="14">
        <f>IF(A974="","",YEAR(A974))</f>
        <v/>
      </c>
    </row>
    <row r="975">
      <c r="A975" s="15" t="n"/>
      <c r="B975" s="10" t="n"/>
      <c r="C975" s="14">
        <f>IF(B975="","",IFERROR(INDEX('Sản phẩm'!$B$5:$B$304,MATCH(B975,'Sản phẩm'!$A$5:$A$304,0)),""))</f>
        <v/>
      </c>
      <c r="D975" s="12" t="n"/>
      <c r="E975" s="11" t="n"/>
      <c r="F975" s="16">
        <f>IF(OR(D975="",E975=""),"",D975*E975)</f>
        <v/>
      </c>
      <c r="G975" s="10" t="n"/>
      <c r="H975" s="14">
        <f>IF(A975="","",MONTH(A975))</f>
        <v/>
      </c>
      <c r="I975" s="14">
        <f>IF(A975="","",YEAR(A975))</f>
        <v/>
      </c>
    </row>
    <row r="976">
      <c r="A976" s="15" t="n"/>
      <c r="B976" s="10" t="n"/>
      <c r="C976" s="14">
        <f>IF(B976="","",IFERROR(INDEX('Sản phẩm'!$B$5:$B$304,MATCH(B976,'Sản phẩm'!$A$5:$A$304,0)),""))</f>
        <v/>
      </c>
      <c r="D976" s="12" t="n"/>
      <c r="E976" s="11" t="n"/>
      <c r="F976" s="16">
        <f>IF(OR(D976="",E976=""),"",D976*E976)</f>
        <v/>
      </c>
      <c r="G976" s="10" t="n"/>
      <c r="H976" s="14">
        <f>IF(A976="","",MONTH(A976))</f>
        <v/>
      </c>
      <c r="I976" s="14">
        <f>IF(A976="","",YEAR(A976))</f>
        <v/>
      </c>
    </row>
    <row r="977">
      <c r="A977" s="15" t="n"/>
      <c r="B977" s="10" t="n"/>
      <c r="C977" s="14">
        <f>IF(B977="","",IFERROR(INDEX('Sản phẩm'!$B$5:$B$304,MATCH(B977,'Sản phẩm'!$A$5:$A$304,0)),""))</f>
        <v/>
      </c>
      <c r="D977" s="12" t="n"/>
      <c r="E977" s="11" t="n"/>
      <c r="F977" s="16">
        <f>IF(OR(D977="",E977=""),"",D977*E977)</f>
        <v/>
      </c>
      <c r="G977" s="10" t="n"/>
      <c r="H977" s="14">
        <f>IF(A977="","",MONTH(A977))</f>
        <v/>
      </c>
      <c r="I977" s="14">
        <f>IF(A977="","",YEAR(A977))</f>
        <v/>
      </c>
    </row>
    <row r="978">
      <c r="A978" s="15" t="n"/>
      <c r="B978" s="10" t="n"/>
      <c r="C978" s="14">
        <f>IF(B978="","",IFERROR(INDEX('Sản phẩm'!$B$5:$B$304,MATCH(B978,'Sản phẩm'!$A$5:$A$304,0)),""))</f>
        <v/>
      </c>
      <c r="D978" s="12" t="n"/>
      <c r="E978" s="11" t="n"/>
      <c r="F978" s="16">
        <f>IF(OR(D978="",E978=""),"",D978*E978)</f>
        <v/>
      </c>
      <c r="G978" s="10" t="n"/>
      <c r="H978" s="14">
        <f>IF(A978="","",MONTH(A978))</f>
        <v/>
      </c>
      <c r="I978" s="14">
        <f>IF(A978="","",YEAR(A978))</f>
        <v/>
      </c>
    </row>
    <row r="979">
      <c r="A979" s="15" t="n"/>
      <c r="B979" s="10" t="n"/>
      <c r="C979" s="14">
        <f>IF(B979="","",IFERROR(INDEX('Sản phẩm'!$B$5:$B$304,MATCH(B979,'Sản phẩm'!$A$5:$A$304,0)),""))</f>
        <v/>
      </c>
      <c r="D979" s="12" t="n"/>
      <c r="E979" s="11" t="n"/>
      <c r="F979" s="16">
        <f>IF(OR(D979="",E979=""),"",D979*E979)</f>
        <v/>
      </c>
      <c r="G979" s="10" t="n"/>
      <c r="H979" s="14">
        <f>IF(A979="","",MONTH(A979))</f>
        <v/>
      </c>
      <c r="I979" s="14">
        <f>IF(A979="","",YEAR(A979))</f>
        <v/>
      </c>
    </row>
    <row r="980">
      <c r="A980" s="15" t="n"/>
      <c r="B980" s="10" t="n"/>
      <c r="C980" s="14">
        <f>IF(B980="","",IFERROR(INDEX('Sản phẩm'!$B$5:$B$304,MATCH(B980,'Sản phẩm'!$A$5:$A$304,0)),""))</f>
        <v/>
      </c>
      <c r="D980" s="12" t="n"/>
      <c r="E980" s="11" t="n"/>
      <c r="F980" s="16">
        <f>IF(OR(D980="",E980=""),"",D980*E980)</f>
        <v/>
      </c>
      <c r="G980" s="10" t="n"/>
      <c r="H980" s="14">
        <f>IF(A980="","",MONTH(A980))</f>
        <v/>
      </c>
      <c r="I980" s="14">
        <f>IF(A980="","",YEAR(A980))</f>
        <v/>
      </c>
    </row>
    <row r="981">
      <c r="A981" s="15" t="n"/>
      <c r="B981" s="10" t="n"/>
      <c r="C981" s="14">
        <f>IF(B981="","",IFERROR(INDEX('Sản phẩm'!$B$5:$B$304,MATCH(B981,'Sản phẩm'!$A$5:$A$304,0)),""))</f>
        <v/>
      </c>
      <c r="D981" s="12" t="n"/>
      <c r="E981" s="11" t="n"/>
      <c r="F981" s="16">
        <f>IF(OR(D981="",E981=""),"",D981*E981)</f>
        <v/>
      </c>
      <c r="G981" s="10" t="n"/>
      <c r="H981" s="14">
        <f>IF(A981="","",MONTH(A981))</f>
        <v/>
      </c>
      <c r="I981" s="14">
        <f>IF(A981="","",YEAR(A981))</f>
        <v/>
      </c>
    </row>
    <row r="982">
      <c r="A982" s="15" t="n"/>
      <c r="B982" s="10" t="n"/>
      <c r="C982" s="14">
        <f>IF(B982="","",IFERROR(INDEX('Sản phẩm'!$B$5:$B$304,MATCH(B982,'Sản phẩm'!$A$5:$A$304,0)),""))</f>
        <v/>
      </c>
      <c r="D982" s="12" t="n"/>
      <c r="E982" s="11" t="n"/>
      <c r="F982" s="16">
        <f>IF(OR(D982="",E982=""),"",D982*E982)</f>
        <v/>
      </c>
      <c r="G982" s="10" t="n"/>
      <c r="H982" s="14">
        <f>IF(A982="","",MONTH(A982))</f>
        <v/>
      </c>
      <c r="I982" s="14">
        <f>IF(A982="","",YEAR(A982))</f>
        <v/>
      </c>
    </row>
    <row r="983">
      <c r="A983" s="15" t="n"/>
      <c r="B983" s="10" t="n"/>
      <c r="C983" s="14">
        <f>IF(B983="","",IFERROR(INDEX('Sản phẩm'!$B$5:$B$304,MATCH(B983,'Sản phẩm'!$A$5:$A$304,0)),""))</f>
        <v/>
      </c>
      <c r="D983" s="12" t="n"/>
      <c r="E983" s="11" t="n"/>
      <c r="F983" s="16">
        <f>IF(OR(D983="",E983=""),"",D983*E983)</f>
        <v/>
      </c>
      <c r="G983" s="10" t="n"/>
      <c r="H983" s="14">
        <f>IF(A983="","",MONTH(A983))</f>
        <v/>
      </c>
      <c r="I983" s="14">
        <f>IF(A983="","",YEAR(A983))</f>
        <v/>
      </c>
    </row>
    <row r="984">
      <c r="A984" s="15" t="n"/>
      <c r="B984" s="10" t="n"/>
      <c r="C984" s="14">
        <f>IF(B984="","",IFERROR(INDEX('Sản phẩm'!$B$5:$B$304,MATCH(B984,'Sản phẩm'!$A$5:$A$304,0)),""))</f>
        <v/>
      </c>
      <c r="D984" s="12" t="n"/>
      <c r="E984" s="11" t="n"/>
      <c r="F984" s="16">
        <f>IF(OR(D984="",E984=""),"",D984*E984)</f>
        <v/>
      </c>
      <c r="G984" s="10" t="n"/>
      <c r="H984" s="14">
        <f>IF(A984="","",MONTH(A984))</f>
        <v/>
      </c>
      <c r="I984" s="14">
        <f>IF(A984="","",YEAR(A984))</f>
        <v/>
      </c>
    </row>
    <row r="985">
      <c r="A985" s="15" t="n"/>
      <c r="B985" s="10" t="n"/>
      <c r="C985" s="14">
        <f>IF(B985="","",IFERROR(INDEX('Sản phẩm'!$B$5:$B$304,MATCH(B985,'Sản phẩm'!$A$5:$A$304,0)),""))</f>
        <v/>
      </c>
      <c r="D985" s="12" t="n"/>
      <c r="E985" s="11" t="n"/>
      <c r="F985" s="16">
        <f>IF(OR(D985="",E985=""),"",D985*E985)</f>
        <v/>
      </c>
      <c r="G985" s="10" t="n"/>
      <c r="H985" s="14">
        <f>IF(A985="","",MONTH(A985))</f>
        <v/>
      </c>
      <c r="I985" s="14">
        <f>IF(A985="","",YEAR(A985))</f>
        <v/>
      </c>
    </row>
    <row r="986">
      <c r="A986" s="15" t="n"/>
      <c r="B986" s="10" t="n"/>
      <c r="C986" s="14">
        <f>IF(B986="","",IFERROR(INDEX('Sản phẩm'!$B$5:$B$304,MATCH(B986,'Sản phẩm'!$A$5:$A$304,0)),""))</f>
        <v/>
      </c>
      <c r="D986" s="12" t="n"/>
      <c r="E986" s="11" t="n"/>
      <c r="F986" s="16">
        <f>IF(OR(D986="",E986=""),"",D986*E986)</f>
        <v/>
      </c>
      <c r="G986" s="10" t="n"/>
      <c r="H986" s="14">
        <f>IF(A986="","",MONTH(A986))</f>
        <v/>
      </c>
      <c r="I986" s="14">
        <f>IF(A986="","",YEAR(A986))</f>
        <v/>
      </c>
    </row>
    <row r="987">
      <c r="A987" s="15" t="n"/>
      <c r="B987" s="10" t="n"/>
      <c r="C987" s="14">
        <f>IF(B987="","",IFERROR(INDEX('Sản phẩm'!$B$5:$B$304,MATCH(B987,'Sản phẩm'!$A$5:$A$304,0)),""))</f>
        <v/>
      </c>
      <c r="D987" s="12" t="n"/>
      <c r="E987" s="11" t="n"/>
      <c r="F987" s="16">
        <f>IF(OR(D987="",E987=""),"",D987*E987)</f>
        <v/>
      </c>
      <c r="G987" s="10" t="n"/>
      <c r="H987" s="14">
        <f>IF(A987="","",MONTH(A987))</f>
        <v/>
      </c>
      <c r="I987" s="14">
        <f>IF(A987="","",YEAR(A987))</f>
        <v/>
      </c>
    </row>
    <row r="988">
      <c r="A988" s="15" t="n"/>
      <c r="B988" s="10" t="n"/>
      <c r="C988" s="14">
        <f>IF(B988="","",IFERROR(INDEX('Sản phẩm'!$B$5:$B$304,MATCH(B988,'Sản phẩm'!$A$5:$A$304,0)),""))</f>
        <v/>
      </c>
      <c r="D988" s="12" t="n"/>
      <c r="E988" s="11" t="n"/>
      <c r="F988" s="16">
        <f>IF(OR(D988="",E988=""),"",D988*E988)</f>
        <v/>
      </c>
      <c r="G988" s="10" t="n"/>
      <c r="H988" s="14">
        <f>IF(A988="","",MONTH(A988))</f>
        <v/>
      </c>
      <c r="I988" s="14">
        <f>IF(A988="","",YEAR(A988))</f>
        <v/>
      </c>
    </row>
    <row r="989">
      <c r="A989" s="15" t="n"/>
      <c r="B989" s="10" t="n"/>
      <c r="C989" s="14">
        <f>IF(B989="","",IFERROR(INDEX('Sản phẩm'!$B$5:$B$304,MATCH(B989,'Sản phẩm'!$A$5:$A$304,0)),""))</f>
        <v/>
      </c>
      <c r="D989" s="12" t="n"/>
      <c r="E989" s="11" t="n"/>
      <c r="F989" s="16">
        <f>IF(OR(D989="",E989=""),"",D989*E989)</f>
        <v/>
      </c>
      <c r="G989" s="10" t="n"/>
      <c r="H989" s="14">
        <f>IF(A989="","",MONTH(A989))</f>
        <v/>
      </c>
      <c r="I989" s="14">
        <f>IF(A989="","",YEAR(A989))</f>
        <v/>
      </c>
    </row>
    <row r="990">
      <c r="A990" s="15" t="n"/>
      <c r="B990" s="10" t="n"/>
      <c r="C990" s="14">
        <f>IF(B990="","",IFERROR(INDEX('Sản phẩm'!$B$5:$B$304,MATCH(B990,'Sản phẩm'!$A$5:$A$304,0)),""))</f>
        <v/>
      </c>
      <c r="D990" s="12" t="n"/>
      <c r="E990" s="11" t="n"/>
      <c r="F990" s="16">
        <f>IF(OR(D990="",E990=""),"",D990*E990)</f>
        <v/>
      </c>
      <c r="G990" s="10" t="n"/>
      <c r="H990" s="14">
        <f>IF(A990="","",MONTH(A990))</f>
        <v/>
      </c>
      <c r="I990" s="14">
        <f>IF(A990="","",YEAR(A990))</f>
        <v/>
      </c>
    </row>
    <row r="991">
      <c r="A991" s="15" t="n"/>
      <c r="B991" s="10" t="n"/>
      <c r="C991" s="14">
        <f>IF(B991="","",IFERROR(INDEX('Sản phẩm'!$B$5:$B$304,MATCH(B991,'Sản phẩm'!$A$5:$A$304,0)),""))</f>
        <v/>
      </c>
      <c r="D991" s="12" t="n"/>
      <c r="E991" s="11" t="n"/>
      <c r="F991" s="16">
        <f>IF(OR(D991="",E991=""),"",D991*E991)</f>
        <v/>
      </c>
      <c r="G991" s="10" t="n"/>
      <c r="H991" s="14">
        <f>IF(A991="","",MONTH(A991))</f>
        <v/>
      </c>
      <c r="I991" s="14">
        <f>IF(A991="","",YEAR(A991))</f>
        <v/>
      </c>
    </row>
    <row r="992">
      <c r="A992" s="15" t="n"/>
      <c r="B992" s="10" t="n"/>
      <c r="C992" s="14">
        <f>IF(B992="","",IFERROR(INDEX('Sản phẩm'!$B$5:$B$304,MATCH(B992,'Sản phẩm'!$A$5:$A$304,0)),""))</f>
        <v/>
      </c>
      <c r="D992" s="12" t="n"/>
      <c r="E992" s="11" t="n"/>
      <c r="F992" s="16">
        <f>IF(OR(D992="",E992=""),"",D992*E992)</f>
        <v/>
      </c>
      <c r="G992" s="10" t="n"/>
      <c r="H992" s="14">
        <f>IF(A992="","",MONTH(A992))</f>
        <v/>
      </c>
      <c r="I992" s="14">
        <f>IF(A992="","",YEAR(A992))</f>
        <v/>
      </c>
    </row>
    <row r="993">
      <c r="A993" s="15" t="n"/>
      <c r="B993" s="10" t="n"/>
      <c r="C993" s="14">
        <f>IF(B993="","",IFERROR(INDEX('Sản phẩm'!$B$5:$B$304,MATCH(B993,'Sản phẩm'!$A$5:$A$304,0)),""))</f>
        <v/>
      </c>
      <c r="D993" s="12" t="n"/>
      <c r="E993" s="11" t="n"/>
      <c r="F993" s="16">
        <f>IF(OR(D993="",E993=""),"",D993*E993)</f>
        <v/>
      </c>
      <c r="G993" s="10" t="n"/>
      <c r="H993" s="14">
        <f>IF(A993="","",MONTH(A993))</f>
        <v/>
      </c>
      <c r="I993" s="14">
        <f>IF(A993="","",YEAR(A993))</f>
        <v/>
      </c>
    </row>
    <row r="994">
      <c r="A994" s="15" t="n"/>
      <c r="B994" s="10" t="n"/>
      <c r="C994" s="14">
        <f>IF(B994="","",IFERROR(INDEX('Sản phẩm'!$B$5:$B$304,MATCH(B994,'Sản phẩm'!$A$5:$A$304,0)),""))</f>
        <v/>
      </c>
      <c r="D994" s="12" t="n"/>
      <c r="E994" s="11" t="n"/>
      <c r="F994" s="16">
        <f>IF(OR(D994="",E994=""),"",D994*E994)</f>
        <v/>
      </c>
      <c r="G994" s="10" t="n"/>
      <c r="H994" s="14">
        <f>IF(A994="","",MONTH(A994))</f>
        <v/>
      </c>
      <c r="I994" s="14">
        <f>IF(A994="","",YEAR(A994))</f>
        <v/>
      </c>
    </row>
    <row r="995">
      <c r="A995" s="15" t="n"/>
      <c r="B995" s="10" t="n"/>
      <c r="C995" s="14">
        <f>IF(B995="","",IFERROR(INDEX('Sản phẩm'!$B$5:$B$304,MATCH(B995,'Sản phẩm'!$A$5:$A$304,0)),""))</f>
        <v/>
      </c>
      <c r="D995" s="12" t="n"/>
      <c r="E995" s="11" t="n"/>
      <c r="F995" s="16">
        <f>IF(OR(D995="",E995=""),"",D995*E995)</f>
        <v/>
      </c>
      <c r="G995" s="10" t="n"/>
      <c r="H995" s="14">
        <f>IF(A995="","",MONTH(A995))</f>
        <v/>
      </c>
      <c r="I995" s="14">
        <f>IF(A995="","",YEAR(A995))</f>
        <v/>
      </c>
    </row>
    <row r="996">
      <c r="A996" s="15" t="n"/>
      <c r="B996" s="10" t="n"/>
      <c r="C996" s="14">
        <f>IF(B996="","",IFERROR(INDEX('Sản phẩm'!$B$5:$B$304,MATCH(B996,'Sản phẩm'!$A$5:$A$304,0)),""))</f>
        <v/>
      </c>
      <c r="D996" s="12" t="n"/>
      <c r="E996" s="11" t="n"/>
      <c r="F996" s="16">
        <f>IF(OR(D996="",E996=""),"",D996*E996)</f>
        <v/>
      </c>
      <c r="G996" s="10" t="n"/>
      <c r="H996" s="14">
        <f>IF(A996="","",MONTH(A996))</f>
        <v/>
      </c>
      <c r="I996" s="14">
        <f>IF(A996="","",YEAR(A996))</f>
        <v/>
      </c>
    </row>
    <row r="997">
      <c r="A997" s="15" t="n"/>
      <c r="B997" s="10" t="n"/>
      <c r="C997" s="14">
        <f>IF(B997="","",IFERROR(INDEX('Sản phẩm'!$B$5:$B$304,MATCH(B997,'Sản phẩm'!$A$5:$A$304,0)),""))</f>
        <v/>
      </c>
      <c r="D997" s="12" t="n"/>
      <c r="E997" s="11" t="n"/>
      <c r="F997" s="16">
        <f>IF(OR(D997="",E997=""),"",D997*E997)</f>
        <v/>
      </c>
      <c r="G997" s="10" t="n"/>
      <c r="H997" s="14">
        <f>IF(A997="","",MONTH(A997))</f>
        <v/>
      </c>
      <c r="I997" s="14">
        <f>IF(A997="","",YEAR(A997))</f>
        <v/>
      </c>
    </row>
    <row r="998">
      <c r="A998" s="15" t="n"/>
      <c r="B998" s="10" t="n"/>
      <c r="C998" s="14">
        <f>IF(B998="","",IFERROR(INDEX('Sản phẩm'!$B$5:$B$304,MATCH(B998,'Sản phẩm'!$A$5:$A$304,0)),""))</f>
        <v/>
      </c>
      <c r="D998" s="12" t="n"/>
      <c r="E998" s="11" t="n"/>
      <c r="F998" s="16">
        <f>IF(OR(D998="",E998=""),"",D998*E998)</f>
        <v/>
      </c>
      <c r="G998" s="10" t="n"/>
      <c r="H998" s="14">
        <f>IF(A998="","",MONTH(A998))</f>
        <v/>
      </c>
      <c r="I998" s="14">
        <f>IF(A998="","",YEAR(A998))</f>
        <v/>
      </c>
    </row>
    <row r="999">
      <c r="A999" s="15" t="n"/>
      <c r="B999" s="10" t="n"/>
      <c r="C999" s="14">
        <f>IF(B999="","",IFERROR(INDEX('Sản phẩm'!$B$5:$B$304,MATCH(B999,'Sản phẩm'!$A$5:$A$304,0)),""))</f>
        <v/>
      </c>
      <c r="D999" s="12" t="n"/>
      <c r="E999" s="11" t="n"/>
      <c r="F999" s="16">
        <f>IF(OR(D999="",E999=""),"",D999*E999)</f>
        <v/>
      </c>
      <c r="G999" s="10" t="n"/>
      <c r="H999" s="14">
        <f>IF(A999="","",MONTH(A999))</f>
        <v/>
      </c>
      <c r="I999" s="14">
        <f>IF(A999="","",YEAR(A999))</f>
        <v/>
      </c>
    </row>
    <row r="1000">
      <c r="A1000" s="15" t="n"/>
      <c r="B1000" s="10" t="n"/>
      <c r="C1000" s="14">
        <f>IF(B1000="","",IFERROR(INDEX('Sản phẩm'!$B$5:$B$304,MATCH(B1000,'Sản phẩm'!$A$5:$A$304,0)),""))</f>
        <v/>
      </c>
      <c r="D1000" s="12" t="n"/>
      <c r="E1000" s="11" t="n"/>
      <c r="F1000" s="16">
        <f>IF(OR(D1000="",E1000=""),"",D1000*E1000)</f>
        <v/>
      </c>
      <c r="G1000" s="10" t="n"/>
      <c r="H1000" s="14">
        <f>IF(A1000="","",MONTH(A1000))</f>
        <v/>
      </c>
      <c r="I1000" s="14">
        <f>IF(A1000="","",YEAR(A1000))</f>
        <v/>
      </c>
    </row>
    <row r="1001">
      <c r="A1001" s="15" t="n"/>
      <c r="B1001" s="10" t="n"/>
      <c r="C1001" s="14">
        <f>IF(B1001="","",IFERROR(INDEX('Sản phẩm'!$B$5:$B$304,MATCH(B1001,'Sản phẩm'!$A$5:$A$304,0)),""))</f>
        <v/>
      </c>
      <c r="D1001" s="12" t="n"/>
      <c r="E1001" s="11" t="n"/>
      <c r="F1001" s="16">
        <f>IF(OR(D1001="",E1001=""),"",D1001*E1001)</f>
        <v/>
      </c>
      <c r="G1001" s="10" t="n"/>
      <c r="H1001" s="14">
        <f>IF(A1001="","",MONTH(A1001))</f>
        <v/>
      </c>
      <c r="I1001" s="14">
        <f>IF(A1001="","",YEAR(A1001))</f>
        <v/>
      </c>
    </row>
    <row r="1002">
      <c r="A1002" s="15" t="n"/>
      <c r="B1002" s="10" t="n"/>
      <c r="C1002" s="14">
        <f>IF(B1002="","",IFERROR(INDEX('Sản phẩm'!$B$5:$B$304,MATCH(B1002,'Sản phẩm'!$A$5:$A$304,0)),""))</f>
        <v/>
      </c>
      <c r="D1002" s="12" t="n"/>
      <c r="E1002" s="11" t="n"/>
      <c r="F1002" s="16">
        <f>IF(OR(D1002="",E1002=""),"",D1002*E1002)</f>
        <v/>
      </c>
      <c r="G1002" s="10" t="n"/>
      <c r="H1002" s="14">
        <f>IF(A1002="","",MONTH(A1002))</f>
        <v/>
      </c>
      <c r="I1002" s="14">
        <f>IF(A1002="","",YEAR(A1002))</f>
        <v/>
      </c>
    </row>
    <row r="1003">
      <c r="A1003" s="15" t="n"/>
      <c r="B1003" s="10" t="n"/>
      <c r="C1003" s="14">
        <f>IF(B1003="","",IFERROR(INDEX('Sản phẩm'!$B$5:$B$304,MATCH(B1003,'Sản phẩm'!$A$5:$A$304,0)),""))</f>
        <v/>
      </c>
      <c r="D1003" s="12" t="n"/>
      <c r="E1003" s="11" t="n"/>
      <c r="F1003" s="16">
        <f>IF(OR(D1003="",E1003=""),"",D1003*E1003)</f>
        <v/>
      </c>
      <c r="G1003" s="10" t="n"/>
      <c r="H1003" s="14">
        <f>IF(A1003="","",MONTH(A1003))</f>
        <v/>
      </c>
      <c r="I1003" s="14">
        <f>IF(A1003="","",YEAR(A1003))</f>
        <v/>
      </c>
    </row>
    <row r="1004">
      <c r="A1004" s="15" t="n"/>
      <c r="B1004" s="10" t="n"/>
      <c r="C1004" s="14">
        <f>IF(B1004="","",IFERROR(INDEX('Sản phẩm'!$B$5:$B$304,MATCH(B1004,'Sản phẩm'!$A$5:$A$304,0)),""))</f>
        <v/>
      </c>
      <c r="D1004" s="12" t="n"/>
      <c r="E1004" s="11" t="n"/>
      <c r="F1004" s="16">
        <f>IF(OR(D1004="",E1004=""),"",D1004*E1004)</f>
        <v/>
      </c>
      <c r="G1004" s="10" t="n"/>
      <c r="H1004" s="14">
        <f>IF(A1004="","",MONTH(A1004))</f>
        <v/>
      </c>
      <c r="I1004" s="14">
        <f>IF(A1004="","",YEAR(A1004))</f>
        <v/>
      </c>
    </row>
    <row r="1005">
      <c r="A1005" s="15" t="n"/>
      <c r="B1005" s="10" t="n"/>
      <c r="C1005" s="14">
        <f>IF(B1005="","",IFERROR(INDEX('Sản phẩm'!$B$5:$B$304,MATCH(B1005,'Sản phẩm'!$A$5:$A$304,0)),""))</f>
        <v/>
      </c>
      <c r="D1005" s="12" t="n"/>
      <c r="E1005" s="11" t="n"/>
      <c r="F1005" s="16">
        <f>IF(OR(D1005="",E1005=""),"",D1005*E1005)</f>
        <v/>
      </c>
      <c r="G1005" s="10" t="n"/>
      <c r="H1005" s="14">
        <f>IF(A1005="","",MONTH(A1005))</f>
        <v/>
      </c>
      <c r="I1005" s="14">
        <f>IF(A1005="","",YEAR(A1005))</f>
        <v/>
      </c>
    </row>
    <row r="1006">
      <c r="A1006" s="15" t="n"/>
      <c r="B1006" s="10" t="n"/>
      <c r="C1006" s="14">
        <f>IF(B1006="","",IFERROR(INDEX('Sản phẩm'!$B$5:$B$304,MATCH(B1006,'Sản phẩm'!$A$5:$A$304,0)),""))</f>
        <v/>
      </c>
      <c r="D1006" s="12" t="n"/>
      <c r="E1006" s="11" t="n"/>
      <c r="F1006" s="16">
        <f>IF(OR(D1006="",E1006=""),"",D1006*E1006)</f>
        <v/>
      </c>
      <c r="G1006" s="10" t="n"/>
      <c r="H1006" s="14">
        <f>IF(A1006="","",MONTH(A1006))</f>
        <v/>
      </c>
      <c r="I1006" s="14">
        <f>IF(A1006="","",YEAR(A1006))</f>
        <v/>
      </c>
    </row>
    <row r="1007">
      <c r="A1007" s="15" t="n"/>
      <c r="B1007" s="10" t="n"/>
      <c r="C1007" s="14">
        <f>IF(B1007="","",IFERROR(INDEX('Sản phẩm'!$B$5:$B$304,MATCH(B1007,'Sản phẩm'!$A$5:$A$304,0)),""))</f>
        <v/>
      </c>
      <c r="D1007" s="12" t="n"/>
      <c r="E1007" s="11" t="n"/>
      <c r="F1007" s="16">
        <f>IF(OR(D1007="",E1007=""),"",D1007*E1007)</f>
        <v/>
      </c>
      <c r="G1007" s="10" t="n"/>
      <c r="H1007" s="14">
        <f>IF(A1007="","",MONTH(A1007))</f>
        <v/>
      </c>
      <c r="I1007" s="14">
        <f>IF(A1007="","",YEAR(A1007))</f>
        <v/>
      </c>
    </row>
    <row r="1008">
      <c r="A1008" s="15" t="n"/>
      <c r="B1008" s="10" t="n"/>
      <c r="C1008" s="14">
        <f>IF(B1008="","",IFERROR(INDEX('Sản phẩm'!$B$5:$B$304,MATCH(B1008,'Sản phẩm'!$A$5:$A$304,0)),""))</f>
        <v/>
      </c>
      <c r="D1008" s="12" t="n"/>
      <c r="E1008" s="11" t="n"/>
      <c r="F1008" s="16">
        <f>IF(OR(D1008="",E1008=""),"",D1008*E1008)</f>
        <v/>
      </c>
      <c r="G1008" s="10" t="n"/>
      <c r="H1008" s="14">
        <f>IF(A1008="","",MONTH(A1008))</f>
        <v/>
      </c>
      <c r="I1008" s="14">
        <f>IF(A1008="","",YEAR(A1008))</f>
        <v/>
      </c>
    </row>
    <row r="1009">
      <c r="A1009" s="15" t="n"/>
      <c r="B1009" s="10" t="n"/>
      <c r="C1009" s="14">
        <f>IF(B1009="","",IFERROR(INDEX('Sản phẩm'!$B$5:$B$304,MATCH(B1009,'Sản phẩm'!$A$5:$A$304,0)),""))</f>
        <v/>
      </c>
      <c r="D1009" s="12" t="n"/>
      <c r="E1009" s="11" t="n"/>
      <c r="F1009" s="16">
        <f>IF(OR(D1009="",E1009=""),"",D1009*E1009)</f>
        <v/>
      </c>
      <c r="G1009" s="10" t="n"/>
      <c r="H1009" s="14">
        <f>IF(A1009="","",MONTH(A1009))</f>
        <v/>
      </c>
      <c r="I1009" s="14">
        <f>IF(A1009="","",YEAR(A1009))</f>
        <v/>
      </c>
    </row>
    <row r="1010">
      <c r="A1010" s="15" t="n"/>
      <c r="B1010" s="10" t="n"/>
      <c r="C1010" s="14">
        <f>IF(B1010="","",IFERROR(INDEX('Sản phẩm'!$B$5:$B$304,MATCH(B1010,'Sản phẩm'!$A$5:$A$304,0)),""))</f>
        <v/>
      </c>
      <c r="D1010" s="12" t="n"/>
      <c r="E1010" s="11" t="n"/>
      <c r="F1010" s="16">
        <f>IF(OR(D1010="",E1010=""),"",D1010*E1010)</f>
        <v/>
      </c>
      <c r="G1010" s="10" t="n"/>
      <c r="H1010" s="14">
        <f>IF(A1010="","",MONTH(A1010))</f>
        <v/>
      </c>
      <c r="I1010" s="14">
        <f>IF(A1010="","",YEAR(A1010))</f>
        <v/>
      </c>
    </row>
    <row r="1011">
      <c r="A1011" s="15" t="n"/>
      <c r="B1011" s="10" t="n"/>
      <c r="C1011" s="14">
        <f>IF(B1011="","",IFERROR(INDEX('Sản phẩm'!$B$5:$B$304,MATCH(B1011,'Sản phẩm'!$A$5:$A$304,0)),""))</f>
        <v/>
      </c>
      <c r="D1011" s="12" t="n"/>
      <c r="E1011" s="11" t="n"/>
      <c r="F1011" s="16">
        <f>IF(OR(D1011="",E1011=""),"",D1011*E1011)</f>
        <v/>
      </c>
      <c r="G1011" s="10" t="n"/>
      <c r="H1011" s="14">
        <f>IF(A1011="","",MONTH(A1011))</f>
        <v/>
      </c>
      <c r="I1011" s="14">
        <f>IF(A1011="","",YEAR(A1011))</f>
        <v/>
      </c>
    </row>
    <row r="1012">
      <c r="A1012" s="15" t="n"/>
      <c r="B1012" s="10" t="n"/>
      <c r="C1012" s="14">
        <f>IF(B1012="","",IFERROR(INDEX('Sản phẩm'!$B$5:$B$304,MATCH(B1012,'Sản phẩm'!$A$5:$A$304,0)),""))</f>
        <v/>
      </c>
      <c r="D1012" s="12" t="n"/>
      <c r="E1012" s="11" t="n"/>
      <c r="F1012" s="16">
        <f>IF(OR(D1012="",E1012=""),"",D1012*E1012)</f>
        <v/>
      </c>
      <c r="G1012" s="10" t="n"/>
      <c r="H1012" s="14">
        <f>IF(A1012="","",MONTH(A1012))</f>
        <v/>
      </c>
      <c r="I1012" s="14">
        <f>IF(A1012="","",YEAR(A1012))</f>
        <v/>
      </c>
    </row>
    <row r="1013">
      <c r="A1013" s="15" t="n"/>
      <c r="B1013" s="10" t="n"/>
      <c r="C1013" s="14">
        <f>IF(B1013="","",IFERROR(INDEX('Sản phẩm'!$B$5:$B$304,MATCH(B1013,'Sản phẩm'!$A$5:$A$304,0)),""))</f>
        <v/>
      </c>
      <c r="D1013" s="12" t="n"/>
      <c r="E1013" s="11" t="n"/>
      <c r="F1013" s="16">
        <f>IF(OR(D1013="",E1013=""),"",D1013*E1013)</f>
        <v/>
      </c>
      <c r="G1013" s="10" t="n"/>
      <c r="H1013" s="14">
        <f>IF(A1013="","",MONTH(A1013))</f>
        <v/>
      </c>
      <c r="I1013" s="14">
        <f>IF(A1013="","",YEAR(A1013))</f>
        <v/>
      </c>
    </row>
    <row r="1014">
      <c r="A1014" s="15" t="n"/>
      <c r="B1014" s="10" t="n"/>
      <c r="C1014" s="14">
        <f>IF(B1014="","",IFERROR(INDEX('Sản phẩm'!$B$5:$B$304,MATCH(B1014,'Sản phẩm'!$A$5:$A$304,0)),""))</f>
        <v/>
      </c>
      <c r="D1014" s="12" t="n"/>
      <c r="E1014" s="11" t="n"/>
      <c r="F1014" s="16">
        <f>IF(OR(D1014="",E1014=""),"",D1014*E1014)</f>
        <v/>
      </c>
      <c r="G1014" s="10" t="n"/>
      <c r="H1014" s="14">
        <f>IF(A1014="","",MONTH(A1014))</f>
        <v/>
      </c>
      <c r="I1014" s="14">
        <f>IF(A1014="","",YEAR(A1014))</f>
        <v/>
      </c>
    </row>
    <row r="1015">
      <c r="A1015" s="15" t="n"/>
      <c r="B1015" s="10" t="n"/>
      <c r="C1015" s="14">
        <f>IF(B1015="","",IFERROR(INDEX('Sản phẩm'!$B$5:$B$304,MATCH(B1015,'Sản phẩm'!$A$5:$A$304,0)),""))</f>
        <v/>
      </c>
      <c r="D1015" s="12" t="n"/>
      <c r="E1015" s="11" t="n"/>
      <c r="F1015" s="16">
        <f>IF(OR(D1015="",E1015=""),"",D1015*E1015)</f>
        <v/>
      </c>
      <c r="G1015" s="10" t="n"/>
      <c r="H1015" s="14">
        <f>IF(A1015="","",MONTH(A1015))</f>
        <v/>
      </c>
      <c r="I1015" s="14">
        <f>IF(A1015="","",YEAR(A1015))</f>
        <v/>
      </c>
    </row>
    <row r="1016">
      <c r="A1016" s="15" t="n"/>
      <c r="B1016" s="10" t="n"/>
      <c r="C1016" s="14">
        <f>IF(B1016="","",IFERROR(INDEX('Sản phẩm'!$B$5:$B$304,MATCH(B1016,'Sản phẩm'!$A$5:$A$304,0)),""))</f>
        <v/>
      </c>
      <c r="D1016" s="12" t="n"/>
      <c r="E1016" s="11" t="n"/>
      <c r="F1016" s="16">
        <f>IF(OR(D1016="",E1016=""),"",D1016*E1016)</f>
        <v/>
      </c>
      <c r="G1016" s="10" t="n"/>
      <c r="H1016" s="14">
        <f>IF(A1016="","",MONTH(A1016))</f>
        <v/>
      </c>
      <c r="I1016" s="14">
        <f>IF(A1016="","",YEAR(A1016))</f>
        <v/>
      </c>
    </row>
    <row r="1017">
      <c r="A1017" s="15" t="n"/>
      <c r="B1017" s="10" t="n"/>
      <c r="C1017" s="14">
        <f>IF(B1017="","",IFERROR(INDEX('Sản phẩm'!$B$5:$B$304,MATCH(B1017,'Sản phẩm'!$A$5:$A$304,0)),""))</f>
        <v/>
      </c>
      <c r="D1017" s="12" t="n"/>
      <c r="E1017" s="11" t="n"/>
      <c r="F1017" s="16">
        <f>IF(OR(D1017="",E1017=""),"",D1017*E1017)</f>
        <v/>
      </c>
      <c r="G1017" s="10" t="n"/>
      <c r="H1017" s="14">
        <f>IF(A1017="","",MONTH(A1017))</f>
        <v/>
      </c>
      <c r="I1017" s="14">
        <f>IF(A1017="","",YEAR(A1017))</f>
        <v/>
      </c>
    </row>
    <row r="1018">
      <c r="A1018" s="15" t="n"/>
      <c r="B1018" s="10" t="n"/>
      <c r="C1018" s="14">
        <f>IF(B1018="","",IFERROR(INDEX('Sản phẩm'!$B$5:$B$304,MATCH(B1018,'Sản phẩm'!$A$5:$A$304,0)),""))</f>
        <v/>
      </c>
      <c r="D1018" s="12" t="n"/>
      <c r="E1018" s="11" t="n"/>
      <c r="F1018" s="16">
        <f>IF(OR(D1018="",E1018=""),"",D1018*E1018)</f>
        <v/>
      </c>
      <c r="G1018" s="10" t="n"/>
      <c r="H1018" s="14">
        <f>IF(A1018="","",MONTH(A1018))</f>
        <v/>
      </c>
      <c r="I1018" s="14">
        <f>IF(A1018="","",YEAR(A1018))</f>
        <v/>
      </c>
    </row>
    <row r="1019">
      <c r="A1019" s="15" t="n"/>
      <c r="B1019" s="10" t="n"/>
      <c r="C1019" s="14">
        <f>IF(B1019="","",IFERROR(INDEX('Sản phẩm'!$B$5:$B$304,MATCH(B1019,'Sản phẩm'!$A$5:$A$304,0)),""))</f>
        <v/>
      </c>
      <c r="D1019" s="12" t="n"/>
      <c r="E1019" s="11" t="n"/>
      <c r="F1019" s="16">
        <f>IF(OR(D1019="",E1019=""),"",D1019*E1019)</f>
        <v/>
      </c>
      <c r="G1019" s="10" t="n"/>
      <c r="H1019" s="14">
        <f>IF(A1019="","",MONTH(A1019))</f>
        <v/>
      </c>
      <c r="I1019" s="14">
        <f>IF(A1019="","",YEAR(A1019))</f>
        <v/>
      </c>
    </row>
    <row r="1020">
      <c r="A1020" s="15" t="n"/>
      <c r="B1020" s="10" t="n"/>
      <c r="C1020" s="14">
        <f>IF(B1020="","",IFERROR(INDEX('Sản phẩm'!$B$5:$B$304,MATCH(B1020,'Sản phẩm'!$A$5:$A$304,0)),""))</f>
        <v/>
      </c>
      <c r="D1020" s="12" t="n"/>
      <c r="E1020" s="11" t="n"/>
      <c r="F1020" s="16">
        <f>IF(OR(D1020="",E1020=""),"",D1020*E1020)</f>
        <v/>
      </c>
      <c r="G1020" s="10" t="n"/>
      <c r="H1020" s="14">
        <f>IF(A1020="","",MONTH(A1020))</f>
        <v/>
      </c>
      <c r="I1020" s="14">
        <f>IF(A1020="","",YEAR(A1020))</f>
        <v/>
      </c>
    </row>
    <row r="1021">
      <c r="A1021" s="15" t="n"/>
      <c r="B1021" s="10" t="n"/>
      <c r="C1021" s="14">
        <f>IF(B1021="","",IFERROR(INDEX('Sản phẩm'!$B$5:$B$304,MATCH(B1021,'Sản phẩm'!$A$5:$A$304,0)),""))</f>
        <v/>
      </c>
      <c r="D1021" s="12" t="n"/>
      <c r="E1021" s="11" t="n"/>
      <c r="F1021" s="16">
        <f>IF(OR(D1021="",E1021=""),"",D1021*E1021)</f>
        <v/>
      </c>
      <c r="G1021" s="10" t="n"/>
      <c r="H1021" s="14">
        <f>IF(A1021="","",MONTH(A1021))</f>
        <v/>
      </c>
      <c r="I1021" s="14">
        <f>IF(A1021="","",YEAR(A1021))</f>
        <v/>
      </c>
    </row>
    <row r="1022">
      <c r="A1022" s="15" t="n"/>
      <c r="B1022" s="10" t="n"/>
      <c r="C1022" s="14">
        <f>IF(B1022="","",IFERROR(INDEX('Sản phẩm'!$B$5:$B$304,MATCH(B1022,'Sản phẩm'!$A$5:$A$304,0)),""))</f>
        <v/>
      </c>
      <c r="D1022" s="12" t="n"/>
      <c r="E1022" s="11" t="n"/>
      <c r="F1022" s="16">
        <f>IF(OR(D1022="",E1022=""),"",D1022*E1022)</f>
        <v/>
      </c>
      <c r="G1022" s="10" t="n"/>
      <c r="H1022" s="14">
        <f>IF(A1022="","",MONTH(A1022))</f>
        <v/>
      </c>
      <c r="I1022" s="14">
        <f>IF(A1022="","",YEAR(A1022))</f>
        <v/>
      </c>
    </row>
    <row r="1023">
      <c r="A1023" s="15" t="n"/>
      <c r="B1023" s="10" t="n"/>
      <c r="C1023" s="14">
        <f>IF(B1023="","",IFERROR(INDEX('Sản phẩm'!$B$5:$B$304,MATCH(B1023,'Sản phẩm'!$A$5:$A$304,0)),""))</f>
        <v/>
      </c>
      <c r="D1023" s="12" t="n"/>
      <c r="E1023" s="11" t="n"/>
      <c r="F1023" s="16">
        <f>IF(OR(D1023="",E1023=""),"",D1023*E1023)</f>
        <v/>
      </c>
      <c r="G1023" s="10" t="n"/>
      <c r="H1023" s="14">
        <f>IF(A1023="","",MONTH(A1023))</f>
        <v/>
      </c>
      <c r="I1023" s="14">
        <f>IF(A1023="","",YEAR(A1023))</f>
        <v/>
      </c>
    </row>
    <row r="1024">
      <c r="A1024" s="15" t="n"/>
      <c r="B1024" s="10" t="n"/>
      <c r="C1024" s="14">
        <f>IF(B1024="","",IFERROR(INDEX('Sản phẩm'!$B$5:$B$304,MATCH(B1024,'Sản phẩm'!$A$5:$A$304,0)),""))</f>
        <v/>
      </c>
      <c r="D1024" s="12" t="n"/>
      <c r="E1024" s="11" t="n"/>
      <c r="F1024" s="16">
        <f>IF(OR(D1024="",E1024=""),"",D1024*E1024)</f>
        <v/>
      </c>
      <c r="G1024" s="10" t="n"/>
      <c r="H1024" s="14">
        <f>IF(A1024="","",MONTH(A1024))</f>
        <v/>
      </c>
      <c r="I1024" s="14">
        <f>IF(A1024="","",YEAR(A1024))</f>
        <v/>
      </c>
    </row>
    <row r="1025">
      <c r="A1025" s="15" t="n"/>
      <c r="B1025" s="10" t="n"/>
      <c r="C1025" s="14">
        <f>IF(B1025="","",IFERROR(INDEX('Sản phẩm'!$B$5:$B$304,MATCH(B1025,'Sản phẩm'!$A$5:$A$304,0)),""))</f>
        <v/>
      </c>
      <c r="D1025" s="12" t="n"/>
      <c r="E1025" s="11" t="n"/>
      <c r="F1025" s="16">
        <f>IF(OR(D1025="",E1025=""),"",D1025*E1025)</f>
        <v/>
      </c>
      <c r="G1025" s="10" t="n"/>
      <c r="H1025" s="14">
        <f>IF(A1025="","",MONTH(A1025))</f>
        <v/>
      </c>
      <c r="I1025" s="14">
        <f>IF(A1025="","",YEAR(A1025))</f>
        <v/>
      </c>
    </row>
    <row r="1026">
      <c r="A1026" s="15" t="n"/>
      <c r="B1026" s="10" t="n"/>
      <c r="C1026" s="14">
        <f>IF(B1026="","",IFERROR(INDEX('Sản phẩm'!$B$5:$B$304,MATCH(B1026,'Sản phẩm'!$A$5:$A$304,0)),""))</f>
        <v/>
      </c>
      <c r="D1026" s="12" t="n"/>
      <c r="E1026" s="11" t="n"/>
      <c r="F1026" s="16">
        <f>IF(OR(D1026="",E1026=""),"",D1026*E1026)</f>
        <v/>
      </c>
      <c r="G1026" s="10" t="n"/>
      <c r="H1026" s="14">
        <f>IF(A1026="","",MONTH(A1026))</f>
        <v/>
      </c>
      <c r="I1026" s="14">
        <f>IF(A1026="","",YEAR(A1026))</f>
        <v/>
      </c>
    </row>
    <row r="1027">
      <c r="A1027" s="15" t="n"/>
      <c r="B1027" s="10" t="n"/>
      <c r="C1027" s="14">
        <f>IF(B1027="","",IFERROR(INDEX('Sản phẩm'!$B$5:$B$304,MATCH(B1027,'Sản phẩm'!$A$5:$A$304,0)),""))</f>
        <v/>
      </c>
      <c r="D1027" s="12" t="n"/>
      <c r="E1027" s="11" t="n"/>
      <c r="F1027" s="16">
        <f>IF(OR(D1027="",E1027=""),"",D1027*E1027)</f>
        <v/>
      </c>
      <c r="G1027" s="10" t="n"/>
      <c r="H1027" s="14">
        <f>IF(A1027="","",MONTH(A1027))</f>
        <v/>
      </c>
      <c r="I1027" s="14">
        <f>IF(A1027="","",YEAR(A1027))</f>
        <v/>
      </c>
    </row>
    <row r="1028">
      <c r="A1028" s="15" t="n"/>
      <c r="B1028" s="10" t="n"/>
      <c r="C1028" s="14">
        <f>IF(B1028="","",IFERROR(INDEX('Sản phẩm'!$B$5:$B$304,MATCH(B1028,'Sản phẩm'!$A$5:$A$304,0)),""))</f>
        <v/>
      </c>
      <c r="D1028" s="12" t="n"/>
      <c r="E1028" s="11" t="n"/>
      <c r="F1028" s="16">
        <f>IF(OR(D1028="",E1028=""),"",D1028*E1028)</f>
        <v/>
      </c>
      <c r="G1028" s="10" t="n"/>
      <c r="H1028" s="14">
        <f>IF(A1028="","",MONTH(A1028))</f>
        <v/>
      </c>
      <c r="I1028" s="14">
        <f>IF(A1028="","",YEAR(A1028))</f>
        <v/>
      </c>
    </row>
    <row r="1029">
      <c r="A1029" s="15" t="n"/>
      <c r="B1029" s="10" t="n"/>
      <c r="C1029" s="14">
        <f>IF(B1029="","",IFERROR(INDEX('Sản phẩm'!$B$5:$B$304,MATCH(B1029,'Sản phẩm'!$A$5:$A$304,0)),""))</f>
        <v/>
      </c>
      <c r="D1029" s="12" t="n"/>
      <c r="E1029" s="11" t="n"/>
      <c r="F1029" s="16">
        <f>IF(OR(D1029="",E1029=""),"",D1029*E1029)</f>
        <v/>
      </c>
      <c r="G1029" s="10" t="n"/>
      <c r="H1029" s="14">
        <f>IF(A1029="","",MONTH(A1029))</f>
        <v/>
      </c>
      <c r="I1029" s="14">
        <f>IF(A1029="","",YEAR(A1029))</f>
        <v/>
      </c>
    </row>
    <row r="1030">
      <c r="A1030" s="15" t="n"/>
      <c r="B1030" s="10" t="n"/>
      <c r="C1030" s="14">
        <f>IF(B1030="","",IFERROR(INDEX('Sản phẩm'!$B$5:$B$304,MATCH(B1030,'Sản phẩm'!$A$5:$A$304,0)),""))</f>
        <v/>
      </c>
      <c r="D1030" s="12" t="n"/>
      <c r="E1030" s="11" t="n"/>
      <c r="F1030" s="16">
        <f>IF(OR(D1030="",E1030=""),"",D1030*E1030)</f>
        <v/>
      </c>
      <c r="G1030" s="10" t="n"/>
      <c r="H1030" s="14">
        <f>IF(A1030="","",MONTH(A1030))</f>
        <v/>
      </c>
      <c r="I1030" s="14">
        <f>IF(A1030="","",YEAR(A1030))</f>
        <v/>
      </c>
    </row>
    <row r="1031">
      <c r="A1031" s="15" t="n"/>
      <c r="B1031" s="10" t="n"/>
      <c r="C1031" s="14">
        <f>IF(B1031="","",IFERROR(INDEX('Sản phẩm'!$B$5:$B$304,MATCH(B1031,'Sản phẩm'!$A$5:$A$304,0)),""))</f>
        <v/>
      </c>
      <c r="D1031" s="12" t="n"/>
      <c r="E1031" s="11" t="n"/>
      <c r="F1031" s="16">
        <f>IF(OR(D1031="",E1031=""),"",D1031*E1031)</f>
        <v/>
      </c>
      <c r="G1031" s="10" t="n"/>
      <c r="H1031" s="14">
        <f>IF(A1031="","",MONTH(A1031))</f>
        <v/>
      </c>
      <c r="I1031" s="14">
        <f>IF(A1031="","",YEAR(A1031))</f>
        <v/>
      </c>
    </row>
    <row r="1032">
      <c r="A1032" s="15" t="n"/>
      <c r="B1032" s="10" t="n"/>
      <c r="C1032" s="14">
        <f>IF(B1032="","",IFERROR(INDEX('Sản phẩm'!$B$5:$B$304,MATCH(B1032,'Sản phẩm'!$A$5:$A$304,0)),""))</f>
        <v/>
      </c>
      <c r="D1032" s="12" t="n"/>
      <c r="E1032" s="11" t="n"/>
      <c r="F1032" s="16">
        <f>IF(OR(D1032="",E1032=""),"",D1032*E1032)</f>
        <v/>
      </c>
      <c r="G1032" s="10" t="n"/>
      <c r="H1032" s="14">
        <f>IF(A1032="","",MONTH(A1032))</f>
        <v/>
      </c>
      <c r="I1032" s="14">
        <f>IF(A1032="","",YEAR(A1032))</f>
        <v/>
      </c>
    </row>
    <row r="1033">
      <c r="A1033" s="15" t="n"/>
      <c r="B1033" s="10" t="n"/>
      <c r="C1033" s="14">
        <f>IF(B1033="","",IFERROR(INDEX('Sản phẩm'!$B$5:$B$304,MATCH(B1033,'Sản phẩm'!$A$5:$A$304,0)),""))</f>
        <v/>
      </c>
      <c r="D1033" s="12" t="n"/>
      <c r="E1033" s="11" t="n"/>
      <c r="F1033" s="16">
        <f>IF(OR(D1033="",E1033=""),"",D1033*E1033)</f>
        <v/>
      </c>
      <c r="G1033" s="10" t="n"/>
      <c r="H1033" s="14">
        <f>IF(A1033="","",MONTH(A1033))</f>
        <v/>
      </c>
      <c r="I1033" s="14">
        <f>IF(A1033="","",YEAR(A1033))</f>
        <v/>
      </c>
    </row>
    <row r="1034">
      <c r="A1034" s="15" t="n"/>
      <c r="B1034" s="10" t="n"/>
      <c r="C1034" s="14">
        <f>IF(B1034="","",IFERROR(INDEX('Sản phẩm'!$B$5:$B$304,MATCH(B1034,'Sản phẩm'!$A$5:$A$304,0)),""))</f>
        <v/>
      </c>
      <c r="D1034" s="12" t="n"/>
      <c r="E1034" s="11" t="n"/>
      <c r="F1034" s="16">
        <f>IF(OR(D1034="",E1034=""),"",D1034*E1034)</f>
        <v/>
      </c>
      <c r="G1034" s="10" t="n"/>
      <c r="H1034" s="14">
        <f>IF(A1034="","",MONTH(A1034))</f>
        <v/>
      </c>
      <c r="I1034" s="14">
        <f>IF(A1034="","",YEAR(A1034))</f>
        <v/>
      </c>
    </row>
    <row r="1035">
      <c r="A1035" s="15" t="n"/>
      <c r="B1035" s="10" t="n"/>
      <c r="C1035" s="14">
        <f>IF(B1035="","",IFERROR(INDEX('Sản phẩm'!$B$5:$B$304,MATCH(B1035,'Sản phẩm'!$A$5:$A$304,0)),""))</f>
        <v/>
      </c>
      <c r="D1035" s="12" t="n"/>
      <c r="E1035" s="11" t="n"/>
      <c r="F1035" s="16">
        <f>IF(OR(D1035="",E1035=""),"",D1035*E1035)</f>
        <v/>
      </c>
      <c r="G1035" s="10" t="n"/>
      <c r="H1035" s="14">
        <f>IF(A1035="","",MONTH(A1035))</f>
        <v/>
      </c>
      <c r="I1035" s="14">
        <f>IF(A1035="","",YEAR(A1035))</f>
        <v/>
      </c>
    </row>
    <row r="1036">
      <c r="A1036" s="15" t="n"/>
      <c r="B1036" s="10" t="n"/>
      <c r="C1036" s="14">
        <f>IF(B1036="","",IFERROR(INDEX('Sản phẩm'!$B$5:$B$304,MATCH(B1036,'Sản phẩm'!$A$5:$A$304,0)),""))</f>
        <v/>
      </c>
      <c r="D1036" s="12" t="n"/>
      <c r="E1036" s="11" t="n"/>
      <c r="F1036" s="16">
        <f>IF(OR(D1036="",E1036=""),"",D1036*E1036)</f>
        <v/>
      </c>
      <c r="G1036" s="10" t="n"/>
      <c r="H1036" s="14">
        <f>IF(A1036="","",MONTH(A1036))</f>
        <v/>
      </c>
      <c r="I1036" s="14">
        <f>IF(A1036="","",YEAR(A1036))</f>
        <v/>
      </c>
    </row>
    <row r="1037">
      <c r="A1037" s="15" t="n"/>
      <c r="B1037" s="10" t="n"/>
      <c r="C1037" s="14">
        <f>IF(B1037="","",IFERROR(INDEX('Sản phẩm'!$B$5:$B$304,MATCH(B1037,'Sản phẩm'!$A$5:$A$304,0)),""))</f>
        <v/>
      </c>
      <c r="D1037" s="12" t="n"/>
      <c r="E1037" s="11" t="n"/>
      <c r="F1037" s="16">
        <f>IF(OR(D1037="",E1037=""),"",D1037*E1037)</f>
        <v/>
      </c>
      <c r="G1037" s="10" t="n"/>
      <c r="H1037" s="14">
        <f>IF(A1037="","",MONTH(A1037))</f>
        <v/>
      </c>
      <c r="I1037" s="14">
        <f>IF(A1037="","",YEAR(A1037))</f>
        <v/>
      </c>
    </row>
    <row r="1038">
      <c r="A1038" s="15" t="n"/>
      <c r="B1038" s="10" t="n"/>
      <c r="C1038" s="14">
        <f>IF(B1038="","",IFERROR(INDEX('Sản phẩm'!$B$5:$B$304,MATCH(B1038,'Sản phẩm'!$A$5:$A$304,0)),""))</f>
        <v/>
      </c>
      <c r="D1038" s="12" t="n"/>
      <c r="E1038" s="11" t="n"/>
      <c r="F1038" s="16">
        <f>IF(OR(D1038="",E1038=""),"",D1038*E1038)</f>
        <v/>
      </c>
      <c r="G1038" s="10" t="n"/>
      <c r="H1038" s="14">
        <f>IF(A1038="","",MONTH(A1038))</f>
        <v/>
      </c>
      <c r="I1038" s="14">
        <f>IF(A1038="","",YEAR(A1038))</f>
        <v/>
      </c>
    </row>
    <row r="1039">
      <c r="A1039" s="15" t="n"/>
      <c r="B1039" s="10" t="n"/>
      <c r="C1039" s="14">
        <f>IF(B1039="","",IFERROR(INDEX('Sản phẩm'!$B$5:$B$304,MATCH(B1039,'Sản phẩm'!$A$5:$A$304,0)),""))</f>
        <v/>
      </c>
      <c r="D1039" s="12" t="n"/>
      <c r="E1039" s="11" t="n"/>
      <c r="F1039" s="16">
        <f>IF(OR(D1039="",E1039=""),"",D1039*E1039)</f>
        <v/>
      </c>
      <c r="G1039" s="10" t="n"/>
      <c r="H1039" s="14">
        <f>IF(A1039="","",MONTH(A1039))</f>
        <v/>
      </c>
      <c r="I1039" s="14">
        <f>IF(A1039="","",YEAR(A1039))</f>
        <v/>
      </c>
    </row>
    <row r="1040">
      <c r="A1040" s="15" t="n"/>
      <c r="B1040" s="10" t="n"/>
      <c r="C1040" s="14">
        <f>IF(B1040="","",IFERROR(INDEX('Sản phẩm'!$B$5:$B$304,MATCH(B1040,'Sản phẩm'!$A$5:$A$304,0)),""))</f>
        <v/>
      </c>
      <c r="D1040" s="12" t="n"/>
      <c r="E1040" s="11" t="n"/>
      <c r="F1040" s="16">
        <f>IF(OR(D1040="",E1040=""),"",D1040*E1040)</f>
        <v/>
      </c>
      <c r="G1040" s="10" t="n"/>
      <c r="H1040" s="14">
        <f>IF(A1040="","",MONTH(A1040))</f>
        <v/>
      </c>
      <c r="I1040" s="14">
        <f>IF(A1040="","",YEAR(A1040))</f>
        <v/>
      </c>
    </row>
    <row r="1041">
      <c r="A1041" s="15" t="n"/>
      <c r="B1041" s="10" t="n"/>
      <c r="C1041" s="14">
        <f>IF(B1041="","",IFERROR(INDEX('Sản phẩm'!$B$5:$B$304,MATCH(B1041,'Sản phẩm'!$A$5:$A$304,0)),""))</f>
        <v/>
      </c>
      <c r="D1041" s="12" t="n"/>
      <c r="E1041" s="11" t="n"/>
      <c r="F1041" s="16">
        <f>IF(OR(D1041="",E1041=""),"",D1041*E1041)</f>
        <v/>
      </c>
      <c r="G1041" s="10" t="n"/>
      <c r="H1041" s="14">
        <f>IF(A1041="","",MONTH(A1041))</f>
        <v/>
      </c>
      <c r="I1041" s="14">
        <f>IF(A1041="","",YEAR(A1041))</f>
        <v/>
      </c>
    </row>
    <row r="1042">
      <c r="A1042" s="15" t="n"/>
      <c r="B1042" s="10" t="n"/>
      <c r="C1042" s="14">
        <f>IF(B1042="","",IFERROR(INDEX('Sản phẩm'!$B$5:$B$304,MATCH(B1042,'Sản phẩm'!$A$5:$A$304,0)),""))</f>
        <v/>
      </c>
      <c r="D1042" s="12" t="n"/>
      <c r="E1042" s="11" t="n"/>
      <c r="F1042" s="16">
        <f>IF(OR(D1042="",E1042=""),"",D1042*E1042)</f>
        <v/>
      </c>
      <c r="G1042" s="10" t="n"/>
      <c r="H1042" s="14">
        <f>IF(A1042="","",MONTH(A1042))</f>
        <v/>
      </c>
      <c r="I1042" s="14">
        <f>IF(A1042="","",YEAR(A1042))</f>
        <v/>
      </c>
    </row>
    <row r="1043">
      <c r="A1043" s="15" t="n"/>
      <c r="B1043" s="10" t="n"/>
      <c r="C1043" s="14">
        <f>IF(B1043="","",IFERROR(INDEX('Sản phẩm'!$B$5:$B$304,MATCH(B1043,'Sản phẩm'!$A$5:$A$304,0)),""))</f>
        <v/>
      </c>
      <c r="D1043" s="12" t="n"/>
      <c r="E1043" s="11" t="n"/>
      <c r="F1043" s="16">
        <f>IF(OR(D1043="",E1043=""),"",D1043*E1043)</f>
        <v/>
      </c>
      <c r="G1043" s="10" t="n"/>
      <c r="H1043" s="14">
        <f>IF(A1043="","",MONTH(A1043))</f>
        <v/>
      </c>
      <c r="I1043" s="14">
        <f>IF(A1043="","",YEAR(A1043))</f>
        <v/>
      </c>
    </row>
    <row r="1044">
      <c r="A1044" s="15" t="n"/>
      <c r="B1044" s="10" t="n"/>
      <c r="C1044" s="14">
        <f>IF(B1044="","",IFERROR(INDEX('Sản phẩm'!$B$5:$B$304,MATCH(B1044,'Sản phẩm'!$A$5:$A$304,0)),""))</f>
        <v/>
      </c>
      <c r="D1044" s="12" t="n"/>
      <c r="E1044" s="11" t="n"/>
      <c r="F1044" s="16">
        <f>IF(OR(D1044="",E1044=""),"",D1044*E1044)</f>
        <v/>
      </c>
      <c r="G1044" s="10" t="n"/>
      <c r="H1044" s="14">
        <f>IF(A1044="","",MONTH(A1044))</f>
        <v/>
      </c>
      <c r="I1044" s="14">
        <f>IF(A1044="","",YEAR(A1044))</f>
        <v/>
      </c>
    </row>
    <row r="1045">
      <c r="A1045" s="15" t="n"/>
      <c r="B1045" s="10" t="n"/>
      <c r="C1045" s="14">
        <f>IF(B1045="","",IFERROR(INDEX('Sản phẩm'!$B$5:$B$304,MATCH(B1045,'Sản phẩm'!$A$5:$A$304,0)),""))</f>
        <v/>
      </c>
      <c r="D1045" s="12" t="n"/>
      <c r="E1045" s="11" t="n"/>
      <c r="F1045" s="16">
        <f>IF(OR(D1045="",E1045=""),"",D1045*E1045)</f>
        <v/>
      </c>
      <c r="G1045" s="10" t="n"/>
      <c r="H1045" s="14">
        <f>IF(A1045="","",MONTH(A1045))</f>
        <v/>
      </c>
      <c r="I1045" s="14">
        <f>IF(A1045="","",YEAR(A1045))</f>
        <v/>
      </c>
    </row>
    <row r="1046">
      <c r="A1046" s="15" t="n"/>
      <c r="B1046" s="10" t="n"/>
      <c r="C1046" s="14">
        <f>IF(B1046="","",IFERROR(INDEX('Sản phẩm'!$B$5:$B$304,MATCH(B1046,'Sản phẩm'!$A$5:$A$304,0)),""))</f>
        <v/>
      </c>
      <c r="D1046" s="12" t="n"/>
      <c r="E1046" s="11" t="n"/>
      <c r="F1046" s="16">
        <f>IF(OR(D1046="",E1046=""),"",D1046*E1046)</f>
        <v/>
      </c>
      <c r="G1046" s="10" t="n"/>
      <c r="H1046" s="14">
        <f>IF(A1046="","",MONTH(A1046))</f>
        <v/>
      </c>
      <c r="I1046" s="14">
        <f>IF(A1046="","",YEAR(A1046))</f>
        <v/>
      </c>
    </row>
    <row r="1047">
      <c r="A1047" s="15" t="n"/>
      <c r="B1047" s="10" t="n"/>
      <c r="C1047" s="14">
        <f>IF(B1047="","",IFERROR(INDEX('Sản phẩm'!$B$5:$B$304,MATCH(B1047,'Sản phẩm'!$A$5:$A$304,0)),""))</f>
        <v/>
      </c>
      <c r="D1047" s="12" t="n"/>
      <c r="E1047" s="11" t="n"/>
      <c r="F1047" s="16">
        <f>IF(OR(D1047="",E1047=""),"",D1047*E1047)</f>
        <v/>
      </c>
      <c r="G1047" s="10" t="n"/>
      <c r="H1047" s="14">
        <f>IF(A1047="","",MONTH(A1047))</f>
        <v/>
      </c>
      <c r="I1047" s="14">
        <f>IF(A1047="","",YEAR(A1047))</f>
        <v/>
      </c>
    </row>
    <row r="1048">
      <c r="A1048" s="15" t="n"/>
      <c r="B1048" s="10" t="n"/>
      <c r="C1048" s="14">
        <f>IF(B1048="","",IFERROR(INDEX('Sản phẩm'!$B$5:$B$304,MATCH(B1048,'Sản phẩm'!$A$5:$A$304,0)),""))</f>
        <v/>
      </c>
      <c r="D1048" s="12" t="n"/>
      <c r="E1048" s="11" t="n"/>
      <c r="F1048" s="16">
        <f>IF(OR(D1048="",E1048=""),"",D1048*E1048)</f>
        <v/>
      </c>
      <c r="G1048" s="10" t="n"/>
      <c r="H1048" s="14">
        <f>IF(A1048="","",MONTH(A1048))</f>
        <v/>
      </c>
      <c r="I1048" s="14">
        <f>IF(A1048="","",YEAR(A1048))</f>
        <v/>
      </c>
    </row>
    <row r="1049">
      <c r="A1049" s="15" t="n"/>
      <c r="B1049" s="10" t="n"/>
      <c r="C1049" s="14">
        <f>IF(B1049="","",IFERROR(INDEX('Sản phẩm'!$B$5:$B$304,MATCH(B1049,'Sản phẩm'!$A$5:$A$304,0)),""))</f>
        <v/>
      </c>
      <c r="D1049" s="12" t="n"/>
      <c r="E1049" s="11" t="n"/>
      <c r="F1049" s="16">
        <f>IF(OR(D1049="",E1049=""),"",D1049*E1049)</f>
        <v/>
      </c>
      <c r="G1049" s="10" t="n"/>
      <c r="H1049" s="14">
        <f>IF(A1049="","",MONTH(A1049))</f>
        <v/>
      </c>
      <c r="I1049" s="14">
        <f>IF(A1049="","",YEAR(A1049))</f>
        <v/>
      </c>
    </row>
    <row r="1050">
      <c r="A1050" s="15" t="n"/>
      <c r="B1050" s="10" t="n"/>
      <c r="C1050" s="14">
        <f>IF(B1050="","",IFERROR(INDEX('Sản phẩm'!$B$5:$B$304,MATCH(B1050,'Sản phẩm'!$A$5:$A$304,0)),""))</f>
        <v/>
      </c>
      <c r="D1050" s="12" t="n"/>
      <c r="E1050" s="11" t="n"/>
      <c r="F1050" s="16">
        <f>IF(OR(D1050="",E1050=""),"",D1050*E1050)</f>
        <v/>
      </c>
      <c r="G1050" s="10" t="n"/>
      <c r="H1050" s="14">
        <f>IF(A1050="","",MONTH(A1050))</f>
        <v/>
      </c>
      <c r="I1050" s="14">
        <f>IF(A1050="","",YEAR(A1050))</f>
        <v/>
      </c>
    </row>
    <row r="1051">
      <c r="A1051" s="15" t="n"/>
      <c r="B1051" s="10" t="n"/>
      <c r="C1051" s="14">
        <f>IF(B1051="","",IFERROR(INDEX('Sản phẩm'!$B$5:$B$304,MATCH(B1051,'Sản phẩm'!$A$5:$A$304,0)),""))</f>
        <v/>
      </c>
      <c r="D1051" s="12" t="n"/>
      <c r="E1051" s="11" t="n"/>
      <c r="F1051" s="16">
        <f>IF(OR(D1051="",E1051=""),"",D1051*E1051)</f>
        <v/>
      </c>
      <c r="G1051" s="10" t="n"/>
      <c r="H1051" s="14">
        <f>IF(A1051="","",MONTH(A1051))</f>
        <v/>
      </c>
      <c r="I1051" s="14">
        <f>IF(A1051="","",YEAR(A1051))</f>
        <v/>
      </c>
    </row>
    <row r="1052">
      <c r="A1052" s="15" t="n"/>
      <c r="B1052" s="10" t="n"/>
      <c r="C1052" s="14">
        <f>IF(B1052="","",IFERROR(INDEX('Sản phẩm'!$B$5:$B$304,MATCH(B1052,'Sản phẩm'!$A$5:$A$304,0)),""))</f>
        <v/>
      </c>
      <c r="D1052" s="12" t="n"/>
      <c r="E1052" s="11" t="n"/>
      <c r="F1052" s="16">
        <f>IF(OR(D1052="",E1052=""),"",D1052*E1052)</f>
        <v/>
      </c>
      <c r="G1052" s="10" t="n"/>
      <c r="H1052" s="14">
        <f>IF(A1052="","",MONTH(A1052))</f>
        <v/>
      </c>
      <c r="I1052" s="14">
        <f>IF(A1052="","",YEAR(A1052))</f>
        <v/>
      </c>
    </row>
    <row r="1053">
      <c r="A1053" s="15" t="n"/>
      <c r="B1053" s="10" t="n"/>
      <c r="C1053" s="14">
        <f>IF(B1053="","",IFERROR(INDEX('Sản phẩm'!$B$5:$B$304,MATCH(B1053,'Sản phẩm'!$A$5:$A$304,0)),""))</f>
        <v/>
      </c>
      <c r="D1053" s="12" t="n"/>
      <c r="E1053" s="11" t="n"/>
      <c r="F1053" s="16">
        <f>IF(OR(D1053="",E1053=""),"",D1053*E1053)</f>
        <v/>
      </c>
      <c r="G1053" s="10" t="n"/>
      <c r="H1053" s="14">
        <f>IF(A1053="","",MONTH(A1053))</f>
        <v/>
      </c>
      <c r="I1053" s="14">
        <f>IF(A1053="","",YEAR(A1053))</f>
        <v/>
      </c>
    </row>
    <row r="1054">
      <c r="A1054" s="15" t="n"/>
      <c r="B1054" s="10" t="n"/>
      <c r="C1054" s="14">
        <f>IF(B1054="","",IFERROR(INDEX('Sản phẩm'!$B$5:$B$304,MATCH(B1054,'Sản phẩm'!$A$5:$A$304,0)),""))</f>
        <v/>
      </c>
      <c r="D1054" s="12" t="n"/>
      <c r="E1054" s="11" t="n"/>
      <c r="F1054" s="16">
        <f>IF(OR(D1054="",E1054=""),"",D1054*E1054)</f>
        <v/>
      </c>
      <c r="G1054" s="10" t="n"/>
      <c r="H1054" s="14">
        <f>IF(A1054="","",MONTH(A1054))</f>
        <v/>
      </c>
      <c r="I1054" s="14">
        <f>IF(A1054="","",YEAR(A1054))</f>
        <v/>
      </c>
    </row>
    <row r="1055">
      <c r="A1055" s="15" t="n"/>
      <c r="B1055" s="10" t="n"/>
      <c r="C1055" s="14">
        <f>IF(B1055="","",IFERROR(INDEX('Sản phẩm'!$B$5:$B$304,MATCH(B1055,'Sản phẩm'!$A$5:$A$304,0)),""))</f>
        <v/>
      </c>
      <c r="D1055" s="12" t="n"/>
      <c r="E1055" s="11" t="n"/>
      <c r="F1055" s="16">
        <f>IF(OR(D1055="",E1055=""),"",D1055*E1055)</f>
        <v/>
      </c>
      <c r="G1055" s="10" t="n"/>
      <c r="H1055" s="14">
        <f>IF(A1055="","",MONTH(A1055))</f>
        <v/>
      </c>
      <c r="I1055" s="14">
        <f>IF(A1055="","",YEAR(A1055))</f>
        <v/>
      </c>
    </row>
    <row r="1056">
      <c r="A1056" s="15" t="n"/>
      <c r="B1056" s="10" t="n"/>
      <c r="C1056" s="14">
        <f>IF(B1056="","",IFERROR(INDEX('Sản phẩm'!$B$5:$B$304,MATCH(B1056,'Sản phẩm'!$A$5:$A$304,0)),""))</f>
        <v/>
      </c>
      <c r="D1056" s="12" t="n"/>
      <c r="E1056" s="11" t="n"/>
      <c r="F1056" s="16">
        <f>IF(OR(D1056="",E1056=""),"",D1056*E1056)</f>
        <v/>
      </c>
      <c r="G1056" s="10" t="n"/>
      <c r="H1056" s="14">
        <f>IF(A1056="","",MONTH(A1056))</f>
        <v/>
      </c>
      <c r="I1056" s="14">
        <f>IF(A1056="","",YEAR(A1056))</f>
        <v/>
      </c>
    </row>
    <row r="1057">
      <c r="A1057" s="15" t="n"/>
      <c r="B1057" s="10" t="n"/>
      <c r="C1057" s="14">
        <f>IF(B1057="","",IFERROR(INDEX('Sản phẩm'!$B$5:$B$304,MATCH(B1057,'Sản phẩm'!$A$5:$A$304,0)),""))</f>
        <v/>
      </c>
      <c r="D1057" s="12" t="n"/>
      <c r="E1057" s="11" t="n"/>
      <c r="F1057" s="16">
        <f>IF(OR(D1057="",E1057=""),"",D1057*E1057)</f>
        <v/>
      </c>
      <c r="G1057" s="10" t="n"/>
      <c r="H1057" s="14">
        <f>IF(A1057="","",MONTH(A1057))</f>
        <v/>
      </c>
      <c r="I1057" s="14">
        <f>IF(A1057="","",YEAR(A1057))</f>
        <v/>
      </c>
    </row>
    <row r="1058">
      <c r="A1058" s="15" t="n"/>
      <c r="B1058" s="10" t="n"/>
      <c r="C1058" s="14">
        <f>IF(B1058="","",IFERROR(INDEX('Sản phẩm'!$B$5:$B$304,MATCH(B1058,'Sản phẩm'!$A$5:$A$304,0)),""))</f>
        <v/>
      </c>
      <c r="D1058" s="12" t="n"/>
      <c r="E1058" s="11" t="n"/>
      <c r="F1058" s="16">
        <f>IF(OR(D1058="",E1058=""),"",D1058*E1058)</f>
        <v/>
      </c>
      <c r="G1058" s="10" t="n"/>
      <c r="H1058" s="14">
        <f>IF(A1058="","",MONTH(A1058))</f>
        <v/>
      </c>
      <c r="I1058" s="14">
        <f>IF(A1058="","",YEAR(A1058))</f>
        <v/>
      </c>
    </row>
    <row r="1059">
      <c r="A1059" s="15" t="n"/>
      <c r="B1059" s="10" t="n"/>
      <c r="C1059" s="14">
        <f>IF(B1059="","",IFERROR(INDEX('Sản phẩm'!$B$5:$B$304,MATCH(B1059,'Sản phẩm'!$A$5:$A$304,0)),""))</f>
        <v/>
      </c>
      <c r="D1059" s="12" t="n"/>
      <c r="E1059" s="11" t="n"/>
      <c r="F1059" s="16">
        <f>IF(OR(D1059="",E1059=""),"",D1059*E1059)</f>
        <v/>
      </c>
      <c r="G1059" s="10" t="n"/>
      <c r="H1059" s="14">
        <f>IF(A1059="","",MONTH(A1059))</f>
        <v/>
      </c>
      <c r="I1059" s="14">
        <f>IF(A1059="","",YEAR(A1059))</f>
        <v/>
      </c>
    </row>
    <row r="1060">
      <c r="A1060" s="15" t="n"/>
      <c r="B1060" s="10" t="n"/>
      <c r="C1060" s="14">
        <f>IF(B1060="","",IFERROR(INDEX('Sản phẩm'!$B$5:$B$304,MATCH(B1060,'Sản phẩm'!$A$5:$A$304,0)),""))</f>
        <v/>
      </c>
      <c r="D1060" s="12" t="n"/>
      <c r="E1060" s="11" t="n"/>
      <c r="F1060" s="16">
        <f>IF(OR(D1060="",E1060=""),"",D1060*E1060)</f>
        <v/>
      </c>
      <c r="G1060" s="10" t="n"/>
      <c r="H1060" s="14">
        <f>IF(A1060="","",MONTH(A1060))</f>
        <v/>
      </c>
      <c r="I1060" s="14">
        <f>IF(A1060="","",YEAR(A1060))</f>
        <v/>
      </c>
    </row>
    <row r="1061">
      <c r="A1061" s="15" t="n"/>
      <c r="B1061" s="10" t="n"/>
      <c r="C1061" s="14">
        <f>IF(B1061="","",IFERROR(INDEX('Sản phẩm'!$B$5:$B$304,MATCH(B1061,'Sản phẩm'!$A$5:$A$304,0)),""))</f>
        <v/>
      </c>
      <c r="D1061" s="12" t="n"/>
      <c r="E1061" s="11" t="n"/>
      <c r="F1061" s="16">
        <f>IF(OR(D1061="",E1061=""),"",D1061*E1061)</f>
        <v/>
      </c>
      <c r="G1061" s="10" t="n"/>
      <c r="H1061" s="14">
        <f>IF(A1061="","",MONTH(A1061))</f>
        <v/>
      </c>
      <c r="I1061" s="14">
        <f>IF(A1061="","",YEAR(A1061))</f>
        <v/>
      </c>
    </row>
    <row r="1062">
      <c r="A1062" s="15" t="n"/>
      <c r="B1062" s="10" t="n"/>
      <c r="C1062" s="14">
        <f>IF(B1062="","",IFERROR(INDEX('Sản phẩm'!$B$5:$B$304,MATCH(B1062,'Sản phẩm'!$A$5:$A$304,0)),""))</f>
        <v/>
      </c>
      <c r="D1062" s="12" t="n"/>
      <c r="E1062" s="11" t="n"/>
      <c r="F1062" s="16">
        <f>IF(OR(D1062="",E1062=""),"",D1062*E1062)</f>
        <v/>
      </c>
      <c r="G1062" s="10" t="n"/>
      <c r="H1062" s="14">
        <f>IF(A1062="","",MONTH(A1062))</f>
        <v/>
      </c>
      <c r="I1062" s="14">
        <f>IF(A1062="","",YEAR(A1062))</f>
        <v/>
      </c>
    </row>
    <row r="1063">
      <c r="A1063" s="15" t="n"/>
      <c r="B1063" s="10" t="n"/>
      <c r="C1063" s="14">
        <f>IF(B1063="","",IFERROR(INDEX('Sản phẩm'!$B$5:$B$304,MATCH(B1063,'Sản phẩm'!$A$5:$A$304,0)),""))</f>
        <v/>
      </c>
      <c r="D1063" s="12" t="n"/>
      <c r="E1063" s="11" t="n"/>
      <c r="F1063" s="16">
        <f>IF(OR(D1063="",E1063=""),"",D1063*E1063)</f>
        <v/>
      </c>
      <c r="G1063" s="10" t="n"/>
      <c r="H1063" s="14">
        <f>IF(A1063="","",MONTH(A1063))</f>
        <v/>
      </c>
      <c r="I1063" s="14">
        <f>IF(A1063="","",YEAR(A1063))</f>
        <v/>
      </c>
    </row>
    <row r="1064">
      <c r="A1064" s="15" t="n"/>
      <c r="B1064" s="10" t="n"/>
      <c r="C1064" s="14">
        <f>IF(B1064="","",IFERROR(INDEX('Sản phẩm'!$B$5:$B$304,MATCH(B1064,'Sản phẩm'!$A$5:$A$304,0)),""))</f>
        <v/>
      </c>
      <c r="D1064" s="12" t="n"/>
      <c r="E1064" s="11" t="n"/>
      <c r="F1064" s="16">
        <f>IF(OR(D1064="",E1064=""),"",D1064*E1064)</f>
        <v/>
      </c>
      <c r="G1064" s="10" t="n"/>
      <c r="H1064" s="14">
        <f>IF(A1064="","",MONTH(A1064))</f>
        <v/>
      </c>
      <c r="I1064" s="14">
        <f>IF(A1064="","",YEAR(A1064))</f>
        <v/>
      </c>
    </row>
    <row r="1065">
      <c r="A1065" s="15" t="n"/>
      <c r="B1065" s="10" t="n"/>
      <c r="C1065" s="14">
        <f>IF(B1065="","",IFERROR(INDEX('Sản phẩm'!$B$5:$B$304,MATCH(B1065,'Sản phẩm'!$A$5:$A$304,0)),""))</f>
        <v/>
      </c>
      <c r="D1065" s="12" t="n"/>
      <c r="E1065" s="11" t="n"/>
      <c r="F1065" s="16">
        <f>IF(OR(D1065="",E1065=""),"",D1065*E1065)</f>
        <v/>
      </c>
      <c r="G1065" s="10" t="n"/>
      <c r="H1065" s="14">
        <f>IF(A1065="","",MONTH(A1065))</f>
        <v/>
      </c>
      <c r="I1065" s="14">
        <f>IF(A1065="","",YEAR(A1065))</f>
        <v/>
      </c>
    </row>
    <row r="1066">
      <c r="A1066" s="15" t="n"/>
      <c r="B1066" s="10" t="n"/>
      <c r="C1066" s="14">
        <f>IF(B1066="","",IFERROR(INDEX('Sản phẩm'!$B$5:$B$304,MATCH(B1066,'Sản phẩm'!$A$5:$A$304,0)),""))</f>
        <v/>
      </c>
      <c r="D1066" s="12" t="n"/>
      <c r="E1066" s="11" t="n"/>
      <c r="F1066" s="16">
        <f>IF(OR(D1066="",E1066=""),"",D1066*E1066)</f>
        <v/>
      </c>
      <c r="G1066" s="10" t="n"/>
      <c r="H1066" s="14">
        <f>IF(A1066="","",MONTH(A1066))</f>
        <v/>
      </c>
      <c r="I1066" s="14">
        <f>IF(A1066="","",YEAR(A1066))</f>
        <v/>
      </c>
    </row>
    <row r="1067">
      <c r="A1067" s="15" t="n"/>
      <c r="B1067" s="10" t="n"/>
      <c r="C1067" s="14">
        <f>IF(B1067="","",IFERROR(INDEX('Sản phẩm'!$B$5:$B$304,MATCH(B1067,'Sản phẩm'!$A$5:$A$304,0)),""))</f>
        <v/>
      </c>
      <c r="D1067" s="12" t="n"/>
      <c r="E1067" s="11" t="n"/>
      <c r="F1067" s="16">
        <f>IF(OR(D1067="",E1067=""),"",D1067*E1067)</f>
        <v/>
      </c>
      <c r="G1067" s="10" t="n"/>
      <c r="H1067" s="14">
        <f>IF(A1067="","",MONTH(A1067))</f>
        <v/>
      </c>
      <c r="I1067" s="14">
        <f>IF(A1067="","",YEAR(A1067))</f>
        <v/>
      </c>
    </row>
    <row r="1068">
      <c r="A1068" s="15" t="n"/>
      <c r="B1068" s="10" t="n"/>
      <c r="C1068" s="14">
        <f>IF(B1068="","",IFERROR(INDEX('Sản phẩm'!$B$5:$B$304,MATCH(B1068,'Sản phẩm'!$A$5:$A$304,0)),""))</f>
        <v/>
      </c>
      <c r="D1068" s="12" t="n"/>
      <c r="E1068" s="11" t="n"/>
      <c r="F1068" s="16">
        <f>IF(OR(D1068="",E1068=""),"",D1068*E1068)</f>
        <v/>
      </c>
      <c r="G1068" s="10" t="n"/>
      <c r="H1068" s="14">
        <f>IF(A1068="","",MONTH(A1068))</f>
        <v/>
      </c>
      <c r="I1068" s="14">
        <f>IF(A1068="","",YEAR(A1068))</f>
        <v/>
      </c>
    </row>
    <row r="1069">
      <c r="A1069" s="15" t="n"/>
      <c r="B1069" s="10" t="n"/>
      <c r="C1069" s="14">
        <f>IF(B1069="","",IFERROR(INDEX('Sản phẩm'!$B$5:$B$304,MATCH(B1069,'Sản phẩm'!$A$5:$A$304,0)),""))</f>
        <v/>
      </c>
      <c r="D1069" s="12" t="n"/>
      <c r="E1069" s="11" t="n"/>
      <c r="F1069" s="16">
        <f>IF(OR(D1069="",E1069=""),"",D1069*E1069)</f>
        <v/>
      </c>
      <c r="G1069" s="10" t="n"/>
      <c r="H1069" s="14">
        <f>IF(A1069="","",MONTH(A1069))</f>
        <v/>
      </c>
      <c r="I1069" s="14">
        <f>IF(A1069="","",YEAR(A1069))</f>
        <v/>
      </c>
    </row>
    <row r="1070">
      <c r="A1070" s="15" t="n"/>
      <c r="B1070" s="10" t="n"/>
      <c r="C1070" s="14">
        <f>IF(B1070="","",IFERROR(INDEX('Sản phẩm'!$B$5:$B$304,MATCH(B1070,'Sản phẩm'!$A$5:$A$304,0)),""))</f>
        <v/>
      </c>
      <c r="D1070" s="12" t="n"/>
      <c r="E1070" s="11" t="n"/>
      <c r="F1070" s="16">
        <f>IF(OR(D1070="",E1070=""),"",D1070*E1070)</f>
        <v/>
      </c>
      <c r="G1070" s="10" t="n"/>
      <c r="H1070" s="14">
        <f>IF(A1070="","",MONTH(A1070))</f>
        <v/>
      </c>
      <c r="I1070" s="14">
        <f>IF(A1070="","",YEAR(A1070))</f>
        <v/>
      </c>
    </row>
    <row r="1071">
      <c r="A1071" s="15" t="n"/>
      <c r="B1071" s="10" t="n"/>
      <c r="C1071" s="14">
        <f>IF(B1071="","",IFERROR(INDEX('Sản phẩm'!$B$5:$B$304,MATCH(B1071,'Sản phẩm'!$A$5:$A$304,0)),""))</f>
        <v/>
      </c>
      <c r="D1071" s="12" t="n"/>
      <c r="E1071" s="11" t="n"/>
      <c r="F1071" s="16">
        <f>IF(OR(D1071="",E1071=""),"",D1071*E1071)</f>
        <v/>
      </c>
      <c r="G1071" s="10" t="n"/>
      <c r="H1071" s="14">
        <f>IF(A1071="","",MONTH(A1071))</f>
        <v/>
      </c>
      <c r="I1071" s="14">
        <f>IF(A1071="","",YEAR(A1071))</f>
        <v/>
      </c>
    </row>
    <row r="1072">
      <c r="A1072" s="15" t="n"/>
      <c r="B1072" s="10" t="n"/>
      <c r="C1072" s="14">
        <f>IF(B1072="","",IFERROR(INDEX('Sản phẩm'!$B$5:$B$304,MATCH(B1072,'Sản phẩm'!$A$5:$A$304,0)),""))</f>
        <v/>
      </c>
      <c r="D1072" s="12" t="n"/>
      <c r="E1072" s="11" t="n"/>
      <c r="F1072" s="16">
        <f>IF(OR(D1072="",E1072=""),"",D1072*E1072)</f>
        <v/>
      </c>
      <c r="G1072" s="10" t="n"/>
      <c r="H1072" s="14">
        <f>IF(A1072="","",MONTH(A1072))</f>
        <v/>
      </c>
      <c r="I1072" s="14">
        <f>IF(A1072="","",YEAR(A1072))</f>
        <v/>
      </c>
    </row>
    <row r="1073">
      <c r="A1073" s="15" t="n"/>
      <c r="B1073" s="10" t="n"/>
      <c r="C1073" s="14">
        <f>IF(B1073="","",IFERROR(INDEX('Sản phẩm'!$B$5:$B$304,MATCH(B1073,'Sản phẩm'!$A$5:$A$304,0)),""))</f>
        <v/>
      </c>
      <c r="D1073" s="12" t="n"/>
      <c r="E1073" s="11" t="n"/>
      <c r="F1073" s="16">
        <f>IF(OR(D1073="",E1073=""),"",D1073*E1073)</f>
        <v/>
      </c>
      <c r="G1073" s="10" t="n"/>
      <c r="H1073" s="14">
        <f>IF(A1073="","",MONTH(A1073))</f>
        <v/>
      </c>
      <c r="I1073" s="14">
        <f>IF(A1073="","",YEAR(A1073))</f>
        <v/>
      </c>
    </row>
    <row r="1074">
      <c r="A1074" s="15" t="n"/>
      <c r="B1074" s="10" t="n"/>
      <c r="C1074" s="14">
        <f>IF(B1074="","",IFERROR(INDEX('Sản phẩm'!$B$5:$B$304,MATCH(B1074,'Sản phẩm'!$A$5:$A$304,0)),""))</f>
        <v/>
      </c>
      <c r="D1074" s="12" t="n"/>
      <c r="E1074" s="11" t="n"/>
      <c r="F1074" s="16">
        <f>IF(OR(D1074="",E1074=""),"",D1074*E1074)</f>
        <v/>
      </c>
      <c r="G1074" s="10" t="n"/>
      <c r="H1074" s="14">
        <f>IF(A1074="","",MONTH(A1074))</f>
        <v/>
      </c>
      <c r="I1074" s="14">
        <f>IF(A1074="","",YEAR(A1074))</f>
        <v/>
      </c>
    </row>
    <row r="1075">
      <c r="A1075" s="15" t="n"/>
      <c r="B1075" s="10" t="n"/>
      <c r="C1075" s="14">
        <f>IF(B1075="","",IFERROR(INDEX('Sản phẩm'!$B$5:$B$304,MATCH(B1075,'Sản phẩm'!$A$5:$A$304,0)),""))</f>
        <v/>
      </c>
      <c r="D1075" s="12" t="n"/>
      <c r="E1075" s="11" t="n"/>
      <c r="F1075" s="16">
        <f>IF(OR(D1075="",E1075=""),"",D1075*E1075)</f>
        <v/>
      </c>
      <c r="G1075" s="10" t="n"/>
      <c r="H1075" s="14">
        <f>IF(A1075="","",MONTH(A1075))</f>
        <v/>
      </c>
      <c r="I1075" s="14">
        <f>IF(A1075="","",YEAR(A1075))</f>
        <v/>
      </c>
    </row>
    <row r="1076">
      <c r="A1076" s="15" t="n"/>
      <c r="B1076" s="10" t="n"/>
      <c r="C1076" s="14">
        <f>IF(B1076="","",IFERROR(INDEX('Sản phẩm'!$B$5:$B$304,MATCH(B1076,'Sản phẩm'!$A$5:$A$304,0)),""))</f>
        <v/>
      </c>
      <c r="D1076" s="12" t="n"/>
      <c r="E1076" s="11" t="n"/>
      <c r="F1076" s="16">
        <f>IF(OR(D1076="",E1076=""),"",D1076*E1076)</f>
        <v/>
      </c>
      <c r="G1076" s="10" t="n"/>
      <c r="H1076" s="14">
        <f>IF(A1076="","",MONTH(A1076))</f>
        <v/>
      </c>
      <c r="I1076" s="14">
        <f>IF(A1076="","",YEAR(A1076))</f>
        <v/>
      </c>
    </row>
    <row r="1077">
      <c r="A1077" s="15" t="n"/>
      <c r="B1077" s="10" t="n"/>
      <c r="C1077" s="14">
        <f>IF(B1077="","",IFERROR(INDEX('Sản phẩm'!$B$5:$B$304,MATCH(B1077,'Sản phẩm'!$A$5:$A$304,0)),""))</f>
        <v/>
      </c>
      <c r="D1077" s="12" t="n"/>
      <c r="E1077" s="11" t="n"/>
      <c r="F1077" s="16">
        <f>IF(OR(D1077="",E1077=""),"",D1077*E1077)</f>
        <v/>
      </c>
      <c r="G1077" s="10" t="n"/>
      <c r="H1077" s="14">
        <f>IF(A1077="","",MONTH(A1077))</f>
        <v/>
      </c>
      <c r="I1077" s="14">
        <f>IF(A1077="","",YEAR(A1077))</f>
        <v/>
      </c>
    </row>
    <row r="1078">
      <c r="A1078" s="15" t="n"/>
      <c r="B1078" s="10" t="n"/>
      <c r="C1078" s="14">
        <f>IF(B1078="","",IFERROR(INDEX('Sản phẩm'!$B$5:$B$304,MATCH(B1078,'Sản phẩm'!$A$5:$A$304,0)),""))</f>
        <v/>
      </c>
      <c r="D1078" s="12" t="n"/>
      <c r="E1078" s="11" t="n"/>
      <c r="F1078" s="16">
        <f>IF(OR(D1078="",E1078=""),"",D1078*E1078)</f>
        <v/>
      </c>
      <c r="G1078" s="10" t="n"/>
      <c r="H1078" s="14">
        <f>IF(A1078="","",MONTH(A1078))</f>
        <v/>
      </c>
      <c r="I1078" s="14">
        <f>IF(A1078="","",YEAR(A1078))</f>
        <v/>
      </c>
    </row>
    <row r="1079">
      <c r="A1079" s="15" t="n"/>
      <c r="B1079" s="10" t="n"/>
      <c r="C1079" s="14">
        <f>IF(B1079="","",IFERROR(INDEX('Sản phẩm'!$B$5:$B$304,MATCH(B1079,'Sản phẩm'!$A$5:$A$304,0)),""))</f>
        <v/>
      </c>
      <c r="D1079" s="12" t="n"/>
      <c r="E1079" s="11" t="n"/>
      <c r="F1079" s="16">
        <f>IF(OR(D1079="",E1079=""),"",D1079*E1079)</f>
        <v/>
      </c>
      <c r="G1079" s="10" t="n"/>
      <c r="H1079" s="14">
        <f>IF(A1079="","",MONTH(A1079))</f>
        <v/>
      </c>
      <c r="I1079" s="14">
        <f>IF(A1079="","",YEAR(A1079))</f>
        <v/>
      </c>
    </row>
    <row r="1080">
      <c r="A1080" s="15" t="n"/>
      <c r="B1080" s="10" t="n"/>
      <c r="C1080" s="14">
        <f>IF(B1080="","",IFERROR(INDEX('Sản phẩm'!$B$5:$B$304,MATCH(B1080,'Sản phẩm'!$A$5:$A$304,0)),""))</f>
        <v/>
      </c>
      <c r="D1080" s="12" t="n"/>
      <c r="E1080" s="11" t="n"/>
      <c r="F1080" s="16">
        <f>IF(OR(D1080="",E1080=""),"",D1080*E1080)</f>
        <v/>
      </c>
      <c r="G1080" s="10" t="n"/>
      <c r="H1080" s="14">
        <f>IF(A1080="","",MONTH(A1080))</f>
        <v/>
      </c>
      <c r="I1080" s="14">
        <f>IF(A1080="","",YEAR(A1080))</f>
        <v/>
      </c>
    </row>
    <row r="1081">
      <c r="A1081" s="15" t="n"/>
      <c r="B1081" s="10" t="n"/>
      <c r="C1081" s="14">
        <f>IF(B1081="","",IFERROR(INDEX('Sản phẩm'!$B$5:$B$304,MATCH(B1081,'Sản phẩm'!$A$5:$A$304,0)),""))</f>
        <v/>
      </c>
      <c r="D1081" s="12" t="n"/>
      <c r="E1081" s="11" t="n"/>
      <c r="F1081" s="16">
        <f>IF(OR(D1081="",E1081=""),"",D1081*E1081)</f>
        <v/>
      </c>
      <c r="G1081" s="10" t="n"/>
      <c r="H1081" s="14">
        <f>IF(A1081="","",MONTH(A1081))</f>
        <v/>
      </c>
      <c r="I1081" s="14">
        <f>IF(A1081="","",YEAR(A1081))</f>
        <v/>
      </c>
    </row>
    <row r="1082">
      <c r="A1082" s="15" t="n"/>
      <c r="B1082" s="10" t="n"/>
      <c r="C1082" s="14">
        <f>IF(B1082="","",IFERROR(INDEX('Sản phẩm'!$B$5:$B$304,MATCH(B1082,'Sản phẩm'!$A$5:$A$304,0)),""))</f>
        <v/>
      </c>
      <c r="D1082" s="12" t="n"/>
      <c r="E1082" s="11" t="n"/>
      <c r="F1082" s="16">
        <f>IF(OR(D1082="",E1082=""),"",D1082*E1082)</f>
        <v/>
      </c>
      <c r="G1082" s="10" t="n"/>
      <c r="H1082" s="14">
        <f>IF(A1082="","",MONTH(A1082))</f>
        <v/>
      </c>
      <c r="I1082" s="14">
        <f>IF(A1082="","",YEAR(A1082))</f>
        <v/>
      </c>
    </row>
    <row r="1083">
      <c r="A1083" s="15" t="n"/>
      <c r="B1083" s="10" t="n"/>
      <c r="C1083" s="14">
        <f>IF(B1083="","",IFERROR(INDEX('Sản phẩm'!$B$5:$B$304,MATCH(B1083,'Sản phẩm'!$A$5:$A$304,0)),""))</f>
        <v/>
      </c>
      <c r="D1083" s="12" t="n"/>
      <c r="E1083" s="11" t="n"/>
      <c r="F1083" s="16">
        <f>IF(OR(D1083="",E1083=""),"",D1083*E1083)</f>
        <v/>
      </c>
      <c r="G1083" s="10" t="n"/>
      <c r="H1083" s="14">
        <f>IF(A1083="","",MONTH(A1083))</f>
        <v/>
      </c>
      <c r="I1083" s="14">
        <f>IF(A1083="","",YEAR(A1083))</f>
        <v/>
      </c>
    </row>
    <row r="1084">
      <c r="A1084" s="15" t="n"/>
      <c r="B1084" s="10" t="n"/>
      <c r="C1084" s="14">
        <f>IF(B1084="","",IFERROR(INDEX('Sản phẩm'!$B$5:$B$304,MATCH(B1084,'Sản phẩm'!$A$5:$A$304,0)),""))</f>
        <v/>
      </c>
      <c r="D1084" s="12" t="n"/>
      <c r="E1084" s="11" t="n"/>
      <c r="F1084" s="16">
        <f>IF(OR(D1084="",E1084=""),"",D1084*E1084)</f>
        <v/>
      </c>
      <c r="G1084" s="10" t="n"/>
      <c r="H1084" s="14">
        <f>IF(A1084="","",MONTH(A1084))</f>
        <v/>
      </c>
      <c r="I1084" s="14">
        <f>IF(A1084="","",YEAR(A1084))</f>
        <v/>
      </c>
    </row>
    <row r="1085">
      <c r="A1085" s="15" t="n"/>
      <c r="B1085" s="10" t="n"/>
      <c r="C1085" s="14">
        <f>IF(B1085="","",IFERROR(INDEX('Sản phẩm'!$B$5:$B$304,MATCH(B1085,'Sản phẩm'!$A$5:$A$304,0)),""))</f>
        <v/>
      </c>
      <c r="D1085" s="12" t="n"/>
      <c r="E1085" s="11" t="n"/>
      <c r="F1085" s="16">
        <f>IF(OR(D1085="",E1085=""),"",D1085*E1085)</f>
        <v/>
      </c>
      <c r="G1085" s="10" t="n"/>
      <c r="H1085" s="14">
        <f>IF(A1085="","",MONTH(A1085))</f>
        <v/>
      </c>
      <c r="I1085" s="14">
        <f>IF(A1085="","",YEAR(A1085))</f>
        <v/>
      </c>
    </row>
    <row r="1086">
      <c r="A1086" s="15" t="n"/>
      <c r="B1086" s="10" t="n"/>
      <c r="C1086" s="14">
        <f>IF(B1086="","",IFERROR(INDEX('Sản phẩm'!$B$5:$B$304,MATCH(B1086,'Sản phẩm'!$A$5:$A$304,0)),""))</f>
        <v/>
      </c>
      <c r="D1086" s="12" t="n"/>
      <c r="E1086" s="11" t="n"/>
      <c r="F1086" s="16">
        <f>IF(OR(D1086="",E1086=""),"",D1086*E1086)</f>
        <v/>
      </c>
      <c r="G1086" s="10" t="n"/>
      <c r="H1086" s="14">
        <f>IF(A1086="","",MONTH(A1086))</f>
        <v/>
      </c>
      <c r="I1086" s="14">
        <f>IF(A1086="","",YEAR(A1086))</f>
        <v/>
      </c>
    </row>
    <row r="1087">
      <c r="A1087" s="15" t="n"/>
      <c r="B1087" s="10" t="n"/>
      <c r="C1087" s="14">
        <f>IF(B1087="","",IFERROR(INDEX('Sản phẩm'!$B$5:$B$304,MATCH(B1087,'Sản phẩm'!$A$5:$A$304,0)),""))</f>
        <v/>
      </c>
      <c r="D1087" s="12" t="n"/>
      <c r="E1087" s="11" t="n"/>
      <c r="F1087" s="16">
        <f>IF(OR(D1087="",E1087=""),"",D1087*E1087)</f>
        <v/>
      </c>
      <c r="G1087" s="10" t="n"/>
      <c r="H1087" s="14">
        <f>IF(A1087="","",MONTH(A1087))</f>
        <v/>
      </c>
      <c r="I1087" s="14">
        <f>IF(A1087="","",YEAR(A1087))</f>
        <v/>
      </c>
    </row>
    <row r="1088">
      <c r="A1088" s="15" t="n"/>
      <c r="B1088" s="10" t="n"/>
      <c r="C1088" s="14">
        <f>IF(B1088="","",IFERROR(INDEX('Sản phẩm'!$B$5:$B$304,MATCH(B1088,'Sản phẩm'!$A$5:$A$304,0)),""))</f>
        <v/>
      </c>
      <c r="D1088" s="12" t="n"/>
      <c r="E1088" s="11" t="n"/>
      <c r="F1088" s="16">
        <f>IF(OR(D1088="",E1088=""),"",D1088*E1088)</f>
        <v/>
      </c>
      <c r="G1088" s="10" t="n"/>
      <c r="H1088" s="14">
        <f>IF(A1088="","",MONTH(A1088))</f>
        <v/>
      </c>
      <c r="I1088" s="14">
        <f>IF(A1088="","",YEAR(A1088))</f>
        <v/>
      </c>
    </row>
    <row r="1089">
      <c r="A1089" s="15" t="n"/>
      <c r="B1089" s="10" t="n"/>
      <c r="C1089" s="14">
        <f>IF(B1089="","",IFERROR(INDEX('Sản phẩm'!$B$5:$B$304,MATCH(B1089,'Sản phẩm'!$A$5:$A$304,0)),""))</f>
        <v/>
      </c>
      <c r="D1089" s="12" t="n"/>
      <c r="E1089" s="11" t="n"/>
      <c r="F1089" s="16">
        <f>IF(OR(D1089="",E1089=""),"",D1089*E1089)</f>
        <v/>
      </c>
      <c r="G1089" s="10" t="n"/>
      <c r="H1089" s="14">
        <f>IF(A1089="","",MONTH(A1089))</f>
        <v/>
      </c>
      <c r="I1089" s="14">
        <f>IF(A1089="","",YEAR(A1089))</f>
        <v/>
      </c>
    </row>
    <row r="1090">
      <c r="A1090" s="15" t="n"/>
      <c r="B1090" s="10" t="n"/>
      <c r="C1090" s="14">
        <f>IF(B1090="","",IFERROR(INDEX('Sản phẩm'!$B$5:$B$304,MATCH(B1090,'Sản phẩm'!$A$5:$A$304,0)),""))</f>
        <v/>
      </c>
      <c r="D1090" s="12" t="n"/>
      <c r="E1090" s="11" t="n"/>
      <c r="F1090" s="16">
        <f>IF(OR(D1090="",E1090=""),"",D1090*E1090)</f>
        <v/>
      </c>
      <c r="G1090" s="10" t="n"/>
      <c r="H1090" s="14">
        <f>IF(A1090="","",MONTH(A1090))</f>
        <v/>
      </c>
      <c r="I1090" s="14">
        <f>IF(A1090="","",YEAR(A1090))</f>
        <v/>
      </c>
    </row>
    <row r="1091">
      <c r="A1091" s="15" t="n"/>
      <c r="B1091" s="10" t="n"/>
      <c r="C1091" s="14">
        <f>IF(B1091="","",IFERROR(INDEX('Sản phẩm'!$B$5:$B$304,MATCH(B1091,'Sản phẩm'!$A$5:$A$304,0)),""))</f>
        <v/>
      </c>
      <c r="D1091" s="12" t="n"/>
      <c r="E1091" s="11" t="n"/>
      <c r="F1091" s="16">
        <f>IF(OR(D1091="",E1091=""),"",D1091*E1091)</f>
        <v/>
      </c>
      <c r="G1091" s="10" t="n"/>
      <c r="H1091" s="14">
        <f>IF(A1091="","",MONTH(A1091))</f>
        <v/>
      </c>
      <c r="I1091" s="14">
        <f>IF(A1091="","",YEAR(A1091))</f>
        <v/>
      </c>
    </row>
    <row r="1092">
      <c r="A1092" s="15" t="n"/>
      <c r="B1092" s="10" t="n"/>
      <c r="C1092" s="14">
        <f>IF(B1092="","",IFERROR(INDEX('Sản phẩm'!$B$5:$B$304,MATCH(B1092,'Sản phẩm'!$A$5:$A$304,0)),""))</f>
        <v/>
      </c>
      <c r="D1092" s="12" t="n"/>
      <c r="E1092" s="11" t="n"/>
      <c r="F1092" s="16">
        <f>IF(OR(D1092="",E1092=""),"",D1092*E1092)</f>
        <v/>
      </c>
      <c r="G1092" s="10" t="n"/>
      <c r="H1092" s="14">
        <f>IF(A1092="","",MONTH(A1092))</f>
        <v/>
      </c>
      <c r="I1092" s="14">
        <f>IF(A1092="","",YEAR(A1092))</f>
        <v/>
      </c>
    </row>
    <row r="1093">
      <c r="A1093" s="15" t="n"/>
      <c r="B1093" s="10" t="n"/>
      <c r="C1093" s="14">
        <f>IF(B1093="","",IFERROR(INDEX('Sản phẩm'!$B$5:$B$304,MATCH(B1093,'Sản phẩm'!$A$5:$A$304,0)),""))</f>
        <v/>
      </c>
      <c r="D1093" s="12" t="n"/>
      <c r="E1093" s="11" t="n"/>
      <c r="F1093" s="16">
        <f>IF(OR(D1093="",E1093=""),"",D1093*E1093)</f>
        <v/>
      </c>
      <c r="G1093" s="10" t="n"/>
      <c r="H1093" s="14">
        <f>IF(A1093="","",MONTH(A1093))</f>
        <v/>
      </c>
      <c r="I1093" s="14">
        <f>IF(A1093="","",YEAR(A1093))</f>
        <v/>
      </c>
    </row>
    <row r="1094">
      <c r="A1094" s="15" t="n"/>
      <c r="B1094" s="10" t="n"/>
      <c r="C1094" s="14">
        <f>IF(B1094="","",IFERROR(INDEX('Sản phẩm'!$B$5:$B$304,MATCH(B1094,'Sản phẩm'!$A$5:$A$304,0)),""))</f>
        <v/>
      </c>
      <c r="D1094" s="12" t="n"/>
      <c r="E1094" s="11" t="n"/>
      <c r="F1094" s="16">
        <f>IF(OR(D1094="",E1094=""),"",D1094*E1094)</f>
        <v/>
      </c>
      <c r="G1094" s="10" t="n"/>
      <c r="H1094" s="14">
        <f>IF(A1094="","",MONTH(A1094))</f>
        <v/>
      </c>
      <c r="I1094" s="14">
        <f>IF(A1094="","",YEAR(A1094))</f>
        <v/>
      </c>
    </row>
    <row r="1095">
      <c r="A1095" s="15" t="n"/>
      <c r="B1095" s="10" t="n"/>
      <c r="C1095" s="14">
        <f>IF(B1095="","",IFERROR(INDEX('Sản phẩm'!$B$5:$B$304,MATCH(B1095,'Sản phẩm'!$A$5:$A$304,0)),""))</f>
        <v/>
      </c>
      <c r="D1095" s="12" t="n"/>
      <c r="E1095" s="11" t="n"/>
      <c r="F1095" s="16">
        <f>IF(OR(D1095="",E1095=""),"",D1095*E1095)</f>
        <v/>
      </c>
      <c r="G1095" s="10" t="n"/>
      <c r="H1095" s="14">
        <f>IF(A1095="","",MONTH(A1095))</f>
        <v/>
      </c>
      <c r="I1095" s="14">
        <f>IF(A1095="","",YEAR(A1095))</f>
        <v/>
      </c>
    </row>
    <row r="1096">
      <c r="A1096" s="15" t="n"/>
      <c r="B1096" s="10" t="n"/>
      <c r="C1096" s="14">
        <f>IF(B1096="","",IFERROR(INDEX('Sản phẩm'!$B$5:$B$304,MATCH(B1096,'Sản phẩm'!$A$5:$A$304,0)),""))</f>
        <v/>
      </c>
      <c r="D1096" s="12" t="n"/>
      <c r="E1096" s="11" t="n"/>
      <c r="F1096" s="16">
        <f>IF(OR(D1096="",E1096=""),"",D1096*E1096)</f>
        <v/>
      </c>
      <c r="G1096" s="10" t="n"/>
      <c r="H1096" s="14">
        <f>IF(A1096="","",MONTH(A1096))</f>
        <v/>
      </c>
      <c r="I1096" s="14">
        <f>IF(A1096="","",YEAR(A1096))</f>
        <v/>
      </c>
    </row>
    <row r="1097">
      <c r="A1097" s="15" t="n"/>
      <c r="B1097" s="10" t="n"/>
      <c r="C1097" s="14">
        <f>IF(B1097="","",IFERROR(INDEX('Sản phẩm'!$B$5:$B$304,MATCH(B1097,'Sản phẩm'!$A$5:$A$304,0)),""))</f>
        <v/>
      </c>
      <c r="D1097" s="12" t="n"/>
      <c r="E1097" s="11" t="n"/>
      <c r="F1097" s="16">
        <f>IF(OR(D1097="",E1097=""),"",D1097*E1097)</f>
        <v/>
      </c>
      <c r="G1097" s="10" t="n"/>
      <c r="H1097" s="14">
        <f>IF(A1097="","",MONTH(A1097))</f>
        <v/>
      </c>
      <c r="I1097" s="14">
        <f>IF(A1097="","",YEAR(A1097))</f>
        <v/>
      </c>
    </row>
    <row r="1098">
      <c r="A1098" s="15" t="n"/>
      <c r="B1098" s="10" t="n"/>
      <c r="C1098" s="14">
        <f>IF(B1098="","",IFERROR(INDEX('Sản phẩm'!$B$5:$B$304,MATCH(B1098,'Sản phẩm'!$A$5:$A$304,0)),""))</f>
        <v/>
      </c>
      <c r="D1098" s="12" t="n"/>
      <c r="E1098" s="11" t="n"/>
      <c r="F1098" s="16">
        <f>IF(OR(D1098="",E1098=""),"",D1098*E1098)</f>
        <v/>
      </c>
      <c r="G1098" s="10" t="n"/>
      <c r="H1098" s="14">
        <f>IF(A1098="","",MONTH(A1098))</f>
        <v/>
      </c>
      <c r="I1098" s="14">
        <f>IF(A1098="","",YEAR(A1098))</f>
        <v/>
      </c>
    </row>
    <row r="1099">
      <c r="A1099" s="15" t="n"/>
      <c r="B1099" s="10" t="n"/>
      <c r="C1099" s="14">
        <f>IF(B1099="","",IFERROR(INDEX('Sản phẩm'!$B$5:$B$304,MATCH(B1099,'Sản phẩm'!$A$5:$A$304,0)),""))</f>
        <v/>
      </c>
      <c r="D1099" s="12" t="n"/>
      <c r="E1099" s="11" t="n"/>
      <c r="F1099" s="16">
        <f>IF(OR(D1099="",E1099=""),"",D1099*E1099)</f>
        <v/>
      </c>
      <c r="G1099" s="10" t="n"/>
      <c r="H1099" s="14">
        <f>IF(A1099="","",MONTH(A1099))</f>
        <v/>
      </c>
      <c r="I1099" s="14">
        <f>IF(A1099="","",YEAR(A1099))</f>
        <v/>
      </c>
    </row>
    <row r="1100">
      <c r="A1100" s="15" t="n"/>
      <c r="B1100" s="10" t="n"/>
      <c r="C1100" s="14">
        <f>IF(B1100="","",IFERROR(INDEX('Sản phẩm'!$B$5:$B$304,MATCH(B1100,'Sản phẩm'!$A$5:$A$304,0)),""))</f>
        <v/>
      </c>
      <c r="D1100" s="12" t="n"/>
      <c r="E1100" s="11" t="n"/>
      <c r="F1100" s="16">
        <f>IF(OR(D1100="",E1100=""),"",D1100*E1100)</f>
        <v/>
      </c>
      <c r="G1100" s="10" t="n"/>
      <c r="H1100" s="14">
        <f>IF(A1100="","",MONTH(A1100))</f>
        <v/>
      </c>
      <c r="I1100" s="14">
        <f>IF(A1100="","",YEAR(A1100))</f>
        <v/>
      </c>
    </row>
    <row r="1101">
      <c r="A1101" s="15" t="n"/>
      <c r="B1101" s="10" t="n"/>
      <c r="C1101" s="14">
        <f>IF(B1101="","",IFERROR(INDEX('Sản phẩm'!$B$5:$B$304,MATCH(B1101,'Sản phẩm'!$A$5:$A$304,0)),""))</f>
        <v/>
      </c>
      <c r="D1101" s="12" t="n"/>
      <c r="E1101" s="11" t="n"/>
      <c r="F1101" s="16">
        <f>IF(OR(D1101="",E1101=""),"",D1101*E1101)</f>
        <v/>
      </c>
      <c r="G1101" s="10" t="n"/>
      <c r="H1101" s="14">
        <f>IF(A1101="","",MONTH(A1101))</f>
        <v/>
      </c>
      <c r="I1101" s="14">
        <f>IF(A1101="","",YEAR(A1101))</f>
        <v/>
      </c>
    </row>
    <row r="1102">
      <c r="A1102" s="15" t="n"/>
      <c r="B1102" s="10" t="n"/>
      <c r="C1102" s="14">
        <f>IF(B1102="","",IFERROR(INDEX('Sản phẩm'!$B$5:$B$304,MATCH(B1102,'Sản phẩm'!$A$5:$A$304,0)),""))</f>
        <v/>
      </c>
      <c r="D1102" s="12" t="n"/>
      <c r="E1102" s="11" t="n"/>
      <c r="F1102" s="16">
        <f>IF(OR(D1102="",E1102=""),"",D1102*E1102)</f>
        <v/>
      </c>
      <c r="G1102" s="10" t="n"/>
      <c r="H1102" s="14">
        <f>IF(A1102="","",MONTH(A1102))</f>
        <v/>
      </c>
      <c r="I1102" s="14">
        <f>IF(A1102="","",YEAR(A1102))</f>
        <v/>
      </c>
    </row>
    <row r="1103">
      <c r="A1103" s="15" t="n"/>
      <c r="B1103" s="10" t="n"/>
      <c r="C1103" s="14">
        <f>IF(B1103="","",IFERROR(INDEX('Sản phẩm'!$B$5:$B$304,MATCH(B1103,'Sản phẩm'!$A$5:$A$304,0)),""))</f>
        <v/>
      </c>
      <c r="D1103" s="12" t="n"/>
      <c r="E1103" s="11" t="n"/>
      <c r="F1103" s="16">
        <f>IF(OR(D1103="",E1103=""),"",D1103*E1103)</f>
        <v/>
      </c>
      <c r="G1103" s="10" t="n"/>
      <c r="H1103" s="14">
        <f>IF(A1103="","",MONTH(A1103))</f>
        <v/>
      </c>
      <c r="I1103" s="14">
        <f>IF(A1103="","",YEAR(A1103))</f>
        <v/>
      </c>
    </row>
    <row r="1104">
      <c r="A1104" s="15" t="n"/>
      <c r="B1104" s="10" t="n"/>
      <c r="C1104" s="14">
        <f>IF(B1104="","",IFERROR(INDEX('Sản phẩm'!$B$5:$B$304,MATCH(B1104,'Sản phẩm'!$A$5:$A$304,0)),""))</f>
        <v/>
      </c>
      <c r="D1104" s="12" t="n"/>
      <c r="E1104" s="11" t="n"/>
      <c r="F1104" s="16">
        <f>IF(OR(D1104="",E1104=""),"",D1104*E1104)</f>
        <v/>
      </c>
      <c r="G1104" s="10" t="n"/>
      <c r="H1104" s="14">
        <f>IF(A1104="","",MONTH(A1104))</f>
        <v/>
      </c>
      <c r="I1104" s="14">
        <f>IF(A1104="","",YEAR(A1104))</f>
        <v/>
      </c>
    </row>
    <row r="1105">
      <c r="A1105" s="15" t="n"/>
      <c r="B1105" s="10" t="n"/>
      <c r="C1105" s="14">
        <f>IF(B1105="","",IFERROR(INDEX('Sản phẩm'!$B$5:$B$304,MATCH(B1105,'Sản phẩm'!$A$5:$A$304,0)),""))</f>
        <v/>
      </c>
      <c r="D1105" s="12" t="n"/>
      <c r="E1105" s="11" t="n"/>
      <c r="F1105" s="16">
        <f>IF(OR(D1105="",E1105=""),"",D1105*E1105)</f>
        <v/>
      </c>
      <c r="G1105" s="10" t="n"/>
      <c r="H1105" s="14">
        <f>IF(A1105="","",MONTH(A1105))</f>
        <v/>
      </c>
      <c r="I1105" s="14">
        <f>IF(A1105="","",YEAR(A1105))</f>
        <v/>
      </c>
    </row>
    <row r="1106">
      <c r="A1106" s="15" t="n"/>
      <c r="B1106" s="10" t="n"/>
      <c r="C1106" s="14">
        <f>IF(B1106="","",IFERROR(INDEX('Sản phẩm'!$B$5:$B$304,MATCH(B1106,'Sản phẩm'!$A$5:$A$304,0)),""))</f>
        <v/>
      </c>
      <c r="D1106" s="12" t="n"/>
      <c r="E1106" s="11" t="n"/>
      <c r="F1106" s="16">
        <f>IF(OR(D1106="",E1106=""),"",D1106*E1106)</f>
        <v/>
      </c>
      <c r="G1106" s="10" t="n"/>
      <c r="H1106" s="14">
        <f>IF(A1106="","",MONTH(A1106))</f>
        <v/>
      </c>
      <c r="I1106" s="14">
        <f>IF(A1106="","",YEAR(A1106))</f>
        <v/>
      </c>
    </row>
    <row r="1107">
      <c r="A1107" s="15" t="n"/>
      <c r="B1107" s="10" t="n"/>
      <c r="C1107" s="14">
        <f>IF(B1107="","",IFERROR(INDEX('Sản phẩm'!$B$5:$B$304,MATCH(B1107,'Sản phẩm'!$A$5:$A$304,0)),""))</f>
        <v/>
      </c>
      <c r="D1107" s="12" t="n"/>
      <c r="E1107" s="11" t="n"/>
      <c r="F1107" s="16">
        <f>IF(OR(D1107="",E1107=""),"",D1107*E1107)</f>
        <v/>
      </c>
      <c r="G1107" s="10" t="n"/>
      <c r="H1107" s="14">
        <f>IF(A1107="","",MONTH(A1107))</f>
        <v/>
      </c>
      <c r="I1107" s="14">
        <f>IF(A1107="","",YEAR(A1107))</f>
        <v/>
      </c>
    </row>
    <row r="1108">
      <c r="A1108" s="15" t="n"/>
      <c r="B1108" s="10" t="n"/>
      <c r="C1108" s="14">
        <f>IF(B1108="","",IFERROR(INDEX('Sản phẩm'!$B$5:$B$304,MATCH(B1108,'Sản phẩm'!$A$5:$A$304,0)),""))</f>
        <v/>
      </c>
      <c r="D1108" s="12" t="n"/>
      <c r="E1108" s="11" t="n"/>
      <c r="F1108" s="16">
        <f>IF(OR(D1108="",E1108=""),"",D1108*E1108)</f>
        <v/>
      </c>
      <c r="G1108" s="10" t="n"/>
      <c r="H1108" s="14">
        <f>IF(A1108="","",MONTH(A1108))</f>
        <v/>
      </c>
      <c r="I1108" s="14">
        <f>IF(A1108="","",YEAR(A1108))</f>
        <v/>
      </c>
    </row>
    <row r="1109">
      <c r="A1109" s="15" t="n"/>
      <c r="B1109" s="10" t="n"/>
      <c r="C1109" s="14">
        <f>IF(B1109="","",IFERROR(INDEX('Sản phẩm'!$B$5:$B$304,MATCH(B1109,'Sản phẩm'!$A$5:$A$304,0)),""))</f>
        <v/>
      </c>
      <c r="D1109" s="12" t="n"/>
      <c r="E1109" s="11" t="n"/>
      <c r="F1109" s="16">
        <f>IF(OR(D1109="",E1109=""),"",D1109*E1109)</f>
        <v/>
      </c>
      <c r="G1109" s="10" t="n"/>
      <c r="H1109" s="14">
        <f>IF(A1109="","",MONTH(A1109))</f>
        <v/>
      </c>
      <c r="I1109" s="14">
        <f>IF(A1109="","",YEAR(A1109))</f>
        <v/>
      </c>
    </row>
    <row r="1110">
      <c r="A1110" s="15" t="n"/>
      <c r="B1110" s="10" t="n"/>
      <c r="C1110" s="14">
        <f>IF(B1110="","",IFERROR(INDEX('Sản phẩm'!$B$5:$B$304,MATCH(B1110,'Sản phẩm'!$A$5:$A$304,0)),""))</f>
        <v/>
      </c>
      <c r="D1110" s="12" t="n"/>
      <c r="E1110" s="11" t="n"/>
      <c r="F1110" s="16">
        <f>IF(OR(D1110="",E1110=""),"",D1110*E1110)</f>
        <v/>
      </c>
      <c r="G1110" s="10" t="n"/>
      <c r="H1110" s="14">
        <f>IF(A1110="","",MONTH(A1110))</f>
        <v/>
      </c>
      <c r="I1110" s="14">
        <f>IF(A1110="","",YEAR(A1110))</f>
        <v/>
      </c>
    </row>
    <row r="1111">
      <c r="A1111" s="15" t="n"/>
      <c r="B1111" s="10" t="n"/>
      <c r="C1111" s="14">
        <f>IF(B1111="","",IFERROR(INDEX('Sản phẩm'!$B$5:$B$304,MATCH(B1111,'Sản phẩm'!$A$5:$A$304,0)),""))</f>
        <v/>
      </c>
      <c r="D1111" s="12" t="n"/>
      <c r="E1111" s="11" t="n"/>
      <c r="F1111" s="16">
        <f>IF(OR(D1111="",E1111=""),"",D1111*E1111)</f>
        <v/>
      </c>
      <c r="G1111" s="10" t="n"/>
      <c r="H1111" s="14">
        <f>IF(A1111="","",MONTH(A1111))</f>
        <v/>
      </c>
      <c r="I1111" s="14">
        <f>IF(A1111="","",YEAR(A1111))</f>
        <v/>
      </c>
    </row>
    <row r="1112">
      <c r="A1112" s="15" t="n"/>
      <c r="B1112" s="10" t="n"/>
      <c r="C1112" s="14">
        <f>IF(B1112="","",IFERROR(INDEX('Sản phẩm'!$B$5:$B$304,MATCH(B1112,'Sản phẩm'!$A$5:$A$304,0)),""))</f>
        <v/>
      </c>
      <c r="D1112" s="12" t="n"/>
      <c r="E1112" s="11" t="n"/>
      <c r="F1112" s="16">
        <f>IF(OR(D1112="",E1112=""),"",D1112*E1112)</f>
        <v/>
      </c>
      <c r="G1112" s="10" t="n"/>
      <c r="H1112" s="14">
        <f>IF(A1112="","",MONTH(A1112))</f>
        <v/>
      </c>
      <c r="I1112" s="14">
        <f>IF(A1112="","",YEAR(A1112))</f>
        <v/>
      </c>
    </row>
    <row r="1113">
      <c r="A1113" s="15" t="n"/>
      <c r="B1113" s="10" t="n"/>
      <c r="C1113" s="14">
        <f>IF(B1113="","",IFERROR(INDEX('Sản phẩm'!$B$5:$B$304,MATCH(B1113,'Sản phẩm'!$A$5:$A$304,0)),""))</f>
        <v/>
      </c>
      <c r="D1113" s="12" t="n"/>
      <c r="E1113" s="11" t="n"/>
      <c r="F1113" s="16">
        <f>IF(OR(D1113="",E1113=""),"",D1113*E1113)</f>
        <v/>
      </c>
      <c r="G1113" s="10" t="n"/>
      <c r="H1113" s="14">
        <f>IF(A1113="","",MONTH(A1113))</f>
        <v/>
      </c>
      <c r="I1113" s="14">
        <f>IF(A1113="","",YEAR(A1113))</f>
        <v/>
      </c>
    </row>
    <row r="1114">
      <c r="A1114" s="15" t="n"/>
      <c r="B1114" s="10" t="n"/>
      <c r="C1114" s="14">
        <f>IF(B1114="","",IFERROR(INDEX('Sản phẩm'!$B$5:$B$304,MATCH(B1114,'Sản phẩm'!$A$5:$A$304,0)),""))</f>
        <v/>
      </c>
      <c r="D1114" s="12" t="n"/>
      <c r="E1114" s="11" t="n"/>
      <c r="F1114" s="16">
        <f>IF(OR(D1114="",E1114=""),"",D1114*E1114)</f>
        <v/>
      </c>
      <c r="G1114" s="10" t="n"/>
      <c r="H1114" s="14">
        <f>IF(A1114="","",MONTH(A1114))</f>
        <v/>
      </c>
      <c r="I1114" s="14">
        <f>IF(A1114="","",YEAR(A1114))</f>
        <v/>
      </c>
    </row>
    <row r="1115">
      <c r="A1115" s="15" t="n"/>
      <c r="B1115" s="10" t="n"/>
      <c r="C1115" s="14">
        <f>IF(B1115="","",IFERROR(INDEX('Sản phẩm'!$B$5:$B$304,MATCH(B1115,'Sản phẩm'!$A$5:$A$304,0)),""))</f>
        <v/>
      </c>
      <c r="D1115" s="12" t="n"/>
      <c r="E1115" s="11" t="n"/>
      <c r="F1115" s="16">
        <f>IF(OR(D1115="",E1115=""),"",D1115*E1115)</f>
        <v/>
      </c>
      <c r="G1115" s="10" t="n"/>
      <c r="H1115" s="14">
        <f>IF(A1115="","",MONTH(A1115))</f>
        <v/>
      </c>
      <c r="I1115" s="14">
        <f>IF(A1115="","",YEAR(A1115))</f>
        <v/>
      </c>
    </row>
    <row r="1116">
      <c r="A1116" s="15" t="n"/>
      <c r="B1116" s="10" t="n"/>
      <c r="C1116" s="14">
        <f>IF(B1116="","",IFERROR(INDEX('Sản phẩm'!$B$5:$B$304,MATCH(B1116,'Sản phẩm'!$A$5:$A$304,0)),""))</f>
        <v/>
      </c>
      <c r="D1116" s="12" t="n"/>
      <c r="E1116" s="11" t="n"/>
      <c r="F1116" s="16">
        <f>IF(OR(D1116="",E1116=""),"",D1116*E1116)</f>
        <v/>
      </c>
      <c r="G1116" s="10" t="n"/>
      <c r="H1116" s="14">
        <f>IF(A1116="","",MONTH(A1116))</f>
        <v/>
      </c>
      <c r="I1116" s="14">
        <f>IF(A1116="","",YEAR(A1116))</f>
        <v/>
      </c>
    </row>
    <row r="1117">
      <c r="A1117" s="15" t="n"/>
      <c r="B1117" s="10" t="n"/>
      <c r="C1117" s="14">
        <f>IF(B1117="","",IFERROR(INDEX('Sản phẩm'!$B$5:$B$304,MATCH(B1117,'Sản phẩm'!$A$5:$A$304,0)),""))</f>
        <v/>
      </c>
      <c r="D1117" s="12" t="n"/>
      <c r="E1117" s="11" t="n"/>
      <c r="F1117" s="16">
        <f>IF(OR(D1117="",E1117=""),"",D1117*E1117)</f>
        <v/>
      </c>
      <c r="G1117" s="10" t="n"/>
      <c r="H1117" s="14">
        <f>IF(A1117="","",MONTH(A1117))</f>
        <v/>
      </c>
      <c r="I1117" s="14">
        <f>IF(A1117="","",YEAR(A1117))</f>
        <v/>
      </c>
    </row>
    <row r="1118">
      <c r="A1118" s="15" t="n"/>
      <c r="B1118" s="10" t="n"/>
      <c r="C1118" s="14">
        <f>IF(B1118="","",IFERROR(INDEX('Sản phẩm'!$B$5:$B$304,MATCH(B1118,'Sản phẩm'!$A$5:$A$304,0)),""))</f>
        <v/>
      </c>
      <c r="D1118" s="12" t="n"/>
      <c r="E1118" s="11" t="n"/>
      <c r="F1118" s="16">
        <f>IF(OR(D1118="",E1118=""),"",D1118*E1118)</f>
        <v/>
      </c>
      <c r="G1118" s="10" t="n"/>
      <c r="H1118" s="14">
        <f>IF(A1118="","",MONTH(A1118))</f>
        <v/>
      </c>
      <c r="I1118" s="14">
        <f>IF(A1118="","",YEAR(A1118))</f>
        <v/>
      </c>
    </row>
    <row r="1119">
      <c r="A1119" s="15" t="n"/>
      <c r="B1119" s="10" t="n"/>
      <c r="C1119" s="14">
        <f>IF(B1119="","",IFERROR(INDEX('Sản phẩm'!$B$5:$B$304,MATCH(B1119,'Sản phẩm'!$A$5:$A$304,0)),""))</f>
        <v/>
      </c>
      <c r="D1119" s="12" t="n"/>
      <c r="E1119" s="11" t="n"/>
      <c r="F1119" s="16">
        <f>IF(OR(D1119="",E1119=""),"",D1119*E1119)</f>
        <v/>
      </c>
      <c r="G1119" s="10" t="n"/>
      <c r="H1119" s="14">
        <f>IF(A1119="","",MONTH(A1119))</f>
        <v/>
      </c>
      <c r="I1119" s="14">
        <f>IF(A1119="","",YEAR(A1119))</f>
        <v/>
      </c>
    </row>
    <row r="1120">
      <c r="A1120" s="15" t="n"/>
      <c r="B1120" s="10" t="n"/>
      <c r="C1120" s="14">
        <f>IF(B1120="","",IFERROR(INDEX('Sản phẩm'!$B$5:$B$304,MATCH(B1120,'Sản phẩm'!$A$5:$A$304,0)),""))</f>
        <v/>
      </c>
      <c r="D1120" s="12" t="n"/>
      <c r="E1120" s="11" t="n"/>
      <c r="F1120" s="16">
        <f>IF(OR(D1120="",E1120=""),"",D1120*E1120)</f>
        <v/>
      </c>
      <c r="G1120" s="10" t="n"/>
      <c r="H1120" s="14">
        <f>IF(A1120="","",MONTH(A1120))</f>
        <v/>
      </c>
      <c r="I1120" s="14">
        <f>IF(A1120="","",YEAR(A1120))</f>
        <v/>
      </c>
    </row>
    <row r="1121">
      <c r="A1121" s="15" t="n"/>
      <c r="B1121" s="10" t="n"/>
      <c r="C1121" s="14">
        <f>IF(B1121="","",IFERROR(INDEX('Sản phẩm'!$B$5:$B$304,MATCH(B1121,'Sản phẩm'!$A$5:$A$304,0)),""))</f>
        <v/>
      </c>
      <c r="D1121" s="12" t="n"/>
      <c r="E1121" s="11" t="n"/>
      <c r="F1121" s="16">
        <f>IF(OR(D1121="",E1121=""),"",D1121*E1121)</f>
        <v/>
      </c>
      <c r="G1121" s="10" t="n"/>
      <c r="H1121" s="14">
        <f>IF(A1121="","",MONTH(A1121))</f>
        <v/>
      </c>
      <c r="I1121" s="14">
        <f>IF(A1121="","",YEAR(A1121))</f>
        <v/>
      </c>
    </row>
    <row r="1122">
      <c r="A1122" s="15" t="n"/>
      <c r="B1122" s="10" t="n"/>
      <c r="C1122" s="14">
        <f>IF(B1122="","",IFERROR(INDEX('Sản phẩm'!$B$5:$B$304,MATCH(B1122,'Sản phẩm'!$A$5:$A$304,0)),""))</f>
        <v/>
      </c>
      <c r="D1122" s="12" t="n"/>
      <c r="E1122" s="11" t="n"/>
      <c r="F1122" s="16">
        <f>IF(OR(D1122="",E1122=""),"",D1122*E1122)</f>
        <v/>
      </c>
      <c r="G1122" s="10" t="n"/>
      <c r="H1122" s="14">
        <f>IF(A1122="","",MONTH(A1122))</f>
        <v/>
      </c>
      <c r="I1122" s="14">
        <f>IF(A1122="","",YEAR(A1122))</f>
        <v/>
      </c>
    </row>
    <row r="1123">
      <c r="A1123" s="15" t="n"/>
      <c r="B1123" s="10" t="n"/>
      <c r="C1123" s="14">
        <f>IF(B1123="","",IFERROR(INDEX('Sản phẩm'!$B$5:$B$304,MATCH(B1123,'Sản phẩm'!$A$5:$A$304,0)),""))</f>
        <v/>
      </c>
      <c r="D1123" s="12" t="n"/>
      <c r="E1123" s="11" t="n"/>
      <c r="F1123" s="16">
        <f>IF(OR(D1123="",E1123=""),"",D1123*E1123)</f>
        <v/>
      </c>
      <c r="G1123" s="10" t="n"/>
      <c r="H1123" s="14">
        <f>IF(A1123="","",MONTH(A1123))</f>
        <v/>
      </c>
      <c r="I1123" s="14">
        <f>IF(A1123="","",YEAR(A1123))</f>
        <v/>
      </c>
    </row>
    <row r="1124">
      <c r="A1124" s="15" t="n"/>
      <c r="B1124" s="10" t="n"/>
      <c r="C1124" s="14">
        <f>IF(B1124="","",IFERROR(INDEX('Sản phẩm'!$B$5:$B$304,MATCH(B1124,'Sản phẩm'!$A$5:$A$304,0)),""))</f>
        <v/>
      </c>
      <c r="D1124" s="12" t="n"/>
      <c r="E1124" s="11" t="n"/>
      <c r="F1124" s="16">
        <f>IF(OR(D1124="",E1124=""),"",D1124*E1124)</f>
        <v/>
      </c>
      <c r="G1124" s="10" t="n"/>
      <c r="H1124" s="14">
        <f>IF(A1124="","",MONTH(A1124))</f>
        <v/>
      </c>
      <c r="I1124" s="14">
        <f>IF(A1124="","",YEAR(A1124))</f>
        <v/>
      </c>
    </row>
    <row r="1125">
      <c r="A1125" s="15" t="n"/>
      <c r="B1125" s="10" t="n"/>
      <c r="C1125" s="14">
        <f>IF(B1125="","",IFERROR(INDEX('Sản phẩm'!$B$5:$B$304,MATCH(B1125,'Sản phẩm'!$A$5:$A$304,0)),""))</f>
        <v/>
      </c>
      <c r="D1125" s="12" t="n"/>
      <c r="E1125" s="11" t="n"/>
      <c r="F1125" s="16">
        <f>IF(OR(D1125="",E1125=""),"",D1125*E1125)</f>
        <v/>
      </c>
      <c r="G1125" s="10" t="n"/>
      <c r="H1125" s="14">
        <f>IF(A1125="","",MONTH(A1125))</f>
        <v/>
      </c>
      <c r="I1125" s="14">
        <f>IF(A1125="","",YEAR(A1125))</f>
        <v/>
      </c>
    </row>
    <row r="1126">
      <c r="A1126" s="15" t="n"/>
      <c r="B1126" s="10" t="n"/>
      <c r="C1126" s="14">
        <f>IF(B1126="","",IFERROR(INDEX('Sản phẩm'!$B$5:$B$304,MATCH(B1126,'Sản phẩm'!$A$5:$A$304,0)),""))</f>
        <v/>
      </c>
      <c r="D1126" s="12" t="n"/>
      <c r="E1126" s="11" t="n"/>
      <c r="F1126" s="16">
        <f>IF(OR(D1126="",E1126=""),"",D1126*E1126)</f>
        <v/>
      </c>
      <c r="G1126" s="10" t="n"/>
      <c r="H1126" s="14">
        <f>IF(A1126="","",MONTH(A1126))</f>
        <v/>
      </c>
      <c r="I1126" s="14">
        <f>IF(A1126="","",YEAR(A1126))</f>
        <v/>
      </c>
    </row>
    <row r="1127">
      <c r="A1127" s="15" t="n"/>
      <c r="B1127" s="10" t="n"/>
      <c r="C1127" s="14">
        <f>IF(B1127="","",IFERROR(INDEX('Sản phẩm'!$B$5:$B$304,MATCH(B1127,'Sản phẩm'!$A$5:$A$304,0)),""))</f>
        <v/>
      </c>
      <c r="D1127" s="12" t="n"/>
      <c r="E1127" s="11" t="n"/>
      <c r="F1127" s="16">
        <f>IF(OR(D1127="",E1127=""),"",D1127*E1127)</f>
        <v/>
      </c>
      <c r="G1127" s="10" t="n"/>
      <c r="H1127" s="14">
        <f>IF(A1127="","",MONTH(A1127))</f>
        <v/>
      </c>
      <c r="I1127" s="14">
        <f>IF(A1127="","",YEAR(A1127))</f>
        <v/>
      </c>
    </row>
    <row r="1128">
      <c r="A1128" s="15" t="n"/>
      <c r="B1128" s="10" t="n"/>
      <c r="C1128" s="14">
        <f>IF(B1128="","",IFERROR(INDEX('Sản phẩm'!$B$5:$B$304,MATCH(B1128,'Sản phẩm'!$A$5:$A$304,0)),""))</f>
        <v/>
      </c>
      <c r="D1128" s="12" t="n"/>
      <c r="E1128" s="11" t="n"/>
      <c r="F1128" s="16">
        <f>IF(OR(D1128="",E1128=""),"",D1128*E1128)</f>
        <v/>
      </c>
      <c r="G1128" s="10" t="n"/>
      <c r="H1128" s="14">
        <f>IF(A1128="","",MONTH(A1128))</f>
        <v/>
      </c>
      <c r="I1128" s="14">
        <f>IF(A1128="","",YEAR(A1128))</f>
        <v/>
      </c>
    </row>
    <row r="1129">
      <c r="A1129" s="15" t="n"/>
      <c r="B1129" s="10" t="n"/>
      <c r="C1129" s="14">
        <f>IF(B1129="","",IFERROR(INDEX('Sản phẩm'!$B$5:$B$304,MATCH(B1129,'Sản phẩm'!$A$5:$A$304,0)),""))</f>
        <v/>
      </c>
      <c r="D1129" s="12" t="n"/>
      <c r="E1129" s="11" t="n"/>
      <c r="F1129" s="16">
        <f>IF(OR(D1129="",E1129=""),"",D1129*E1129)</f>
        <v/>
      </c>
      <c r="G1129" s="10" t="n"/>
      <c r="H1129" s="14">
        <f>IF(A1129="","",MONTH(A1129))</f>
        <v/>
      </c>
      <c r="I1129" s="14">
        <f>IF(A1129="","",YEAR(A1129))</f>
        <v/>
      </c>
    </row>
    <row r="1130">
      <c r="A1130" s="15" t="n"/>
      <c r="B1130" s="10" t="n"/>
      <c r="C1130" s="14">
        <f>IF(B1130="","",IFERROR(INDEX('Sản phẩm'!$B$5:$B$304,MATCH(B1130,'Sản phẩm'!$A$5:$A$304,0)),""))</f>
        <v/>
      </c>
      <c r="D1130" s="12" t="n"/>
      <c r="E1130" s="11" t="n"/>
      <c r="F1130" s="16">
        <f>IF(OR(D1130="",E1130=""),"",D1130*E1130)</f>
        <v/>
      </c>
      <c r="G1130" s="10" t="n"/>
      <c r="H1130" s="14">
        <f>IF(A1130="","",MONTH(A1130))</f>
        <v/>
      </c>
      <c r="I1130" s="14">
        <f>IF(A1130="","",YEAR(A1130))</f>
        <v/>
      </c>
    </row>
    <row r="1131">
      <c r="A1131" s="15" t="n"/>
      <c r="B1131" s="10" t="n"/>
      <c r="C1131" s="14">
        <f>IF(B1131="","",IFERROR(INDEX('Sản phẩm'!$B$5:$B$304,MATCH(B1131,'Sản phẩm'!$A$5:$A$304,0)),""))</f>
        <v/>
      </c>
      <c r="D1131" s="12" t="n"/>
      <c r="E1131" s="11" t="n"/>
      <c r="F1131" s="16">
        <f>IF(OR(D1131="",E1131=""),"",D1131*E1131)</f>
        <v/>
      </c>
      <c r="G1131" s="10" t="n"/>
      <c r="H1131" s="14">
        <f>IF(A1131="","",MONTH(A1131))</f>
        <v/>
      </c>
      <c r="I1131" s="14">
        <f>IF(A1131="","",YEAR(A1131))</f>
        <v/>
      </c>
    </row>
    <row r="1132">
      <c r="A1132" s="15" t="n"/>
      <c r="B1132" s="10" t="n"/>
      <c r="C1132" s="14">
        <f>IF(B1132="","",IFERROR(INDEX('Sản phẩm'!$B$5:$B$304,MATCH(B1132,'Sản phẩm'!$A$5:$A$304,0)),""))</f>
        <v/>
      </c>
      <c r="D1132" s="12" t="n"/>
      <c r="E1132" s="11" t="n"/>
      <c r="F1132" s="16">
        <f>IF(OR(D1132="",E1132=""),"",D1132*E1132)</f>
        <v/>
      </c>
      <c r="G1132" s="10" t="n"/>
      <c r="H1132" s="14">
        <f>IF(A1132="","",MONTH(A1132))</f>
        <v/>
      </c>
      <c r="I1132" s="14">
        <f>IF(A1132="","",YEAR(A1132))</f>
        <v/>
      </c>
    </row>
    <row r="1133">
      <c r="A1133" s="15" t="n"/>
      <c r="B1133" s="10" t="n"/>
      <c r="C1133" s="14">
        <f>IF(B1133="","",IFERROR(INDEX('Sản phẩm'!$B$5:$B$304,MATCH(B1133,'Sản phẩm'!$A$5:$A$304,0)),""))</f>
        <v/>
      </c>
      <c r="D1133" s="12" t="n"/>
      <c r="E1133" s="11" t="n"/>
      <c r="F1133" s="16">
        <f>IF(OR(D1133="",E1133=""),"",D1133*E1133)</f>
        <v/>
      </c>
      <c r="G1133" s="10" t="n"/>
      <c r="H1133" s="14">
        <f>IF(A1133="","",MONTH(A1133))</f>
        <v/>
      </c>
      <c r="I1133" s="14">
        <f>IF(A1133="","",YEAR(A1133))</f>
        <v/>
      </c>
    </row>
    <row r="1134">
      <c r="A1134" s="15" t="n"/>
      <c r="B1134" s="10" t="n"/>
      <c r="C1134" s="14">
        <f>IF(B1134="","",IFERROR(INDEX('Sản phẩm'!$B$5:$B$304,MATCH(B1134,'Sản phẩm'!$A$5:$A$304,0)),""))</f>
        <v/>
      </c>
      <c r="D1134" s="12" t="n"/>
      <c r="E1134" s="11" t="n"/>
      <c r="F1134" s="16">
        <f>IF(OR(D1134="",E1134=""),"",D1134*E1134)</f>
        <v/>
      </c>
      <c r="G1134" s="10" t="n"/>
      <c r="H1134" s="14">
        <f>IF(A1134="","",MONTH(A1134))</f>
        <v/>
      </c>
      <c r="I1134" s="14">
        <f>IF(A1134="","",YEAR(A1134))</f>
        <v/>
      </c>
    </row>
    <row r="1135">
      <c r="A1135" s="15" t="n"/>
      <c r="B1135" s="10" t="n"/>
      <c r="C1135" s="14">
        <f>IF(B1135="","",IFERROR(INDEX('Sản phẩm'!$B$5:$B$304,MATCH(B1135,'Sản phẩm'!$A$5:$A$304,0)),""))</f>
        <v/>
      </c>
      <c r="D1135" s="12" t="n"/>
      <c r="E1135" s="11" t="n"/>
      <c r="F1135" s="16">
        <f>IF(OR(D1135="",E1135=""),"",D1135*E1135)</f>
        <v/>
      </c>
      <c r="G1135" s="10" t="n"/>
      <c r="H1135" s="14">
        <f>IF(A1135="","",MONTH(A1135))</f>
        <v/>
      </c>
      <c r="I1135" s="14">
        <f>IF(A1135="","",YEAR(A1135))</f>
        <v/>
      </c>
    </row>
    <row r="1136">
      <c r="A1136" s="15" t="n"/>
      <c r="B1136" s="10" t="n"/>
      <c r="C1136" s="14">
        <f>IF(B1136="","",IFERROR(INDEX('Sản phẩm'!$B$5:$B$304,MATCH(B1136,'Sản phẩm'!$A$5:$A$304,0)),""))</f>
        <v/>
      </c>
      <c r="D1136" s="12" t="n"/>
      <c r="E1136" s="11" t="n"/>
      <c r="F1136" s="16">
        <f>IF(OR(D1136="",E1136=""),"",D1136*E1136)</f>
        <v/>
      </c>
      <c r="G1136" s="10" t="n"/>
      <c r="H1136" s="14">
        <f>IF(A1136="","",MONTH(A1136))</f>
        <v/>
      </c>
      <c r="I1136" s="14">
        <f>IF(A1136="","",YEAR(A1136))</f>
        <v/>
      </c>
    </row>
    <row r="1137">
      <c r="A1137" s="15" t="n"/>
      <c r="B1137" s="10" t="n"/>
      <c r="C1137" s="14">
        <f>IF(B1137="","",IFERROR(INDEX('Sản phẩm'!$B$5:$B$304,MATCH(B1137,'Sản phẩm'!$A$5:$A$304,0)),""))</f>
        <v/>
      </c>
      <c r="D1137" s="12" t="n"/>
      <c r="E1137" s="11" t="n"/>
      <c r="F1137" s="16">
        <f>IF(OR(D1137="",E1137=""),"",D1137*E1137)</f>
        <v/>
      </c>
      <c r="G1137" s="10" t="n"/>
      <c r="H1137" s="14">
        <f>IF(A1137="","",MONTH(A1137))</f>
        <v/>
      </c>
      <c r="I1137" s="14">
        <f>IF(A1137="","",YEAR(A1137))</f>
        <v/>
      </c>
    </row>
    <row r="1138">
      <c r="A1138" s="15" t="n"/>
      <c r="B1138" s="10" t="n"/>
      <c r="C1138" s="14">
        <f>IF(B1138="","",IFERROR(INDEX('Sản phẩm'!$B$5:$B$304,MATCH(B1138,'Sản phẩm'!$A$5:$A$304,0)),""))</f>
        <v/>
      </c>
      <c r="D1138" s="12" t="n"/>
      <c r="E1138" s="11" t="n"/>
      <c r="F1138" s="16">
        <f>IF(OR(D1138="",E1138=""),"",D1138*E1138)</f>
        <v/>
      </c>
      <c r="G1138" s="10" t="n"/>
      <c r="H1138" s="14">
        <f>IF(A1138="","",MONTH(A1138))</f>
        <v/>
      </c>
      <c r="I1138" s="14">
        <f>IF(A1138="","",YEAR(A1138))</f>
        <v/>
      </c>
    </row>
    <row r="1139">
      <c r="A1139" s="15" t="n"/>
      <c r="B1139" s="10" t="n"/>
      <c r="C1139" s="14">
        <f>IF(B1139="","",IFERROR(INDEX('Sản phẩm'!$B$5:$B$304,MATCH(B1139,'Sản phẩm'!$A$5:$A$304,0)),""))</f>
        <v/>
      </c>
      <c r="D1139" s="12" t="n"/>
      <c r="E1139" s="11" t="n"/>
      <c r="F1139" s="16">
        <f>IF(OR(D1139="",E1139=""),"",D1139*E1139)</f>
        <v/>
      </c>
      <c r="G1139" s="10" t="n"/>
      <c r="H1139" s="14">
        <f>IF(A1139="","",MONTH(A1139))</f>
        <v/>
      </c>
      <c r="I1139" s="14">
        <f>IF(A1139="","",YEAR(A1139))</f>
        <v/>
      </c>
    </row>
    <row r="1140">
      <c r="A1140" s="15" t="n"/>
      <c r="B1140" s="10" t="n"/>
      <c r="C1140" s="14">
        <f>IF(B1140="","",IFERROR(INDEX('Sản phẩm'!$B$5:$B$304,MATCH(B1140,'Sản phẩm'!$A$5:$A$304,0)),""))</f>
        <v/>
      </c>
      <c r="D1140" s="12" t="n"/>
      <c r="E1140" s="11" t="n"/>
      <c r="F1140" s="16">
        <f>IF(OR(D1140="",E1140=""),"",D1140*E1140)</f>
        <v/>
      </c>
      <c r="G1140" s="10" t="n"/>
      <c r="H1140" s="14">
        <f>IF(A1140="","",MONTH(A1140))</f>
        <v/>
      </c>
      <c r="I1140" s="14">
        <f>IF(A1140="","",YEAR(A1140))</f>
        <v/>
      </c>
    </row>
    <row r="1141">
      <c r="A1141" s="15" t="n"/>
      <c r="B1141" s="10" t="n"/>
      <c r="C1141" s="14">
        <f>IF(B1141="","",IFERROR(INDEX('Sản phẩm'!$B$5:$B$304,MATCH(B1141,'Sản phẩm'!$A$5:$A$304,0)),""))</f>
        <v/>
      </c>
      <c r="D1141" s="12" t="n"/>
      <c r="E1141" s="11" t="n"/>
      <c r="F1141" s="16">
        <f>IF(OR(D1141="",E1141=""),"",D1141*E1141)</f>
        <v/>
      </c>
      <c r="G1141" s="10" t="n"/>
      <c r="H1141" s="14">
        <f>IF(A1141="","",MONTH(A1141))</f>
        <v/>
      </c>
      <c r="I1141" s="14">
        <f>IF(A1141="","",YEAR(A1141))</f>
        <v/>
      </c>
    </row>
    <row r="1142">
      <c r="A1142" s="15" t="n"/>
      <c r="B1142" s="10" t="n"/>
      <c r="C1142" s="14">
        <f>IF(B1142="","",IFERROR(INDEX('Sản phẩm'!$B$5:$B$304,MATCH(B1142,'Sản phẩm'!$A$5:$A$304,0)),""))</f>
        <v/>
      </c>
      <c r="D1142" s="12" t="n"/>
      <c r="E1142" s="11" t="n"/>
      <c r="F1142" s="16">
        <f>IF(OR(D1142="",E1142=""),"",D1142*E1142)</f>
        <v/>
      </c>
      <c r="G1142" s="10" t="n"/>
      <c r="H1142" s="14">
        <f>IF(A1142="","",MONTH(A1142))</f>
        <v/>
      </c>
      <c r="I1142" s="14">
        <f>IF(A1142="","",YEAR(A1142))</f>
        <v/>
      </c>
    </row>
    <row r="1143">
      <c r="A1143" s="15" t="n"/>
      <c r="B1143" s="10" t="n"/>
      <c r="C1143" s="14">
        <f>IF(B1143="","",IFERROR(INDEX('Sản phẩm'!$B$5:$B$304,MATCH(B1143,'Sản phẩm'!$A$5:$A$304,0)),""))</f>
        <v/>
      </c>
      <c r="D1143" s="12" t="n"/>
      <c r="E1143" s="11" t="n"/>
      <c r="F1143" s="16">
        <f>IF(OR(D1143="",E1143=""),"",D1143*E1143)</f>
        <v/>
      </c>
      <c r="G1143" s="10" t="n"/>
      <c r="H1143" s="14">
        <f>IF(A1143="","",MONTH(A1143))</f>
        <v/>
      </c>
      <c r="I1143" s="14">
        <f>IF(A1143="","",YEAR(A1143))</f>
        <v/>
      </c>
    </row>
    <row r="1144">
      <c r="A1144" s="15" t="n"/>
      <c r="B1144" s="10" t="n"/>
      <c r="C1144" s="14">
        <f>IF(B1144="","",IFERROR(INDEX('Sản phẩm'!$B$5:$B$304,MATCH(B1144,'Sản phẩm'!$A$5:$A$304,0)),""))</f>
        <v/>
      </c>
      <c r="D1144" s="12" t="n"/>
      <c r="E1144" s="11" t="n"/>
      <c r="F1144" s="16">
        <f>IF(OR(D1144="",E1144=""),"",D1144*E1144)</f>
        <v/>
      </c>
      <c r="G1144" s="10" t="n"/>
      <c r="H1144" s="14">
        <f>IF(A1144="","",MONTH(A1144))</f>
        <v/>
      </c>
      <c r="I1144" s="14">
        <f>IF(A1144="","",YEAR(A1144))</f>
        <v/>
      </c>
    </row>
    <row r="1145">
      <c r="A1145" s="15" t="n"/>
      <c r="B1145" s="10" t="n"/>
      <c r="C1145" s="14">
        <f>IF(B1145="","",IFERROR(INDEX('Sản phẩm'!$B$5:$B$304,MATCH(B1145,'Sản phẩm'!$A$5:$A$304,0)),""))</f>
        <v/>
      </c>
      <c r="D1145" s="12" t="n"/>
      <c r="E1145" s="11" t="n"/>
      <c r="F1145" s="16">
        <f>IF(OR(D1145="",E1145=""),"",D1145*E1145)</f>
        <v/>
      </c>
      <c r="G1145" s="10" t="n"/>
      <c r="H1145" s="14">
        <f>IF(A1145="","",MONTH(A1145))</f>
        <v/>
      </c>
      <c r="I1145" s="14">
        <f>IF(A1145="","",YEAR(A1145))</f>
        <v/>
      </c>
    </row>
    <row r="1146">
      <c r="A1146" s="15" t="n"/>
      <c r="B1146" s="10" t="n"/>
      <c r="C1146" s="14">
        <f>IF(B1146="","",IFERROR(INDEX('Sản phẩm'!$B$5:$B$304,MATCH(B1146,'Sản phẩm'!$A$5:$A$304,0)),""))</f>
        <v/>
      </c>
      <c r="D1146" s="12" t="n"/>
      <c r="E1146" s="11" t="n"/>
      <c r="F1146" s="16">
        <f>IF(OR(D1146="",E1146=""),"",D1146*E1146)</f>
        <v/>
      </c>
      <c r="G1146" s="10" t="n"/>
      <c r="H1146" s="14">
        <f>IF(A1146="","",MONTH(A1146))</f>
        <v/>
      </c>
      <c r="I1146" s="14">
        <f>IF(A1146="","",YEAR(A1146))</f>
        <v/>
      </c>
    </row>
    <row r="1147">
      <c r="A1147" s="15" t="n"/>
      <c r="B1147" s="10" t="n"/>
      <c r="C1147" s="14">
        <f>IF(B1147="","",IFERROR(INDEX('Sản phẩm'!$B$5:$B$304,MATCH(B1147,'Sản phẩm'!$A$5:$A$304,0)),""))</f>
        <v/>
      </c>
      <c r="D1147" s="12" t="n"/>
      <c r="E1147" s="11" t="n"/>
      <c r="F1147" s="16">
        <f>IF(OR(D1147="",E1147=""),"",D1147*E1147)</f>
        <v/>
      </c>
      <c r="G1147" s="10" t="n"/>
      <c r="H1147" s="14">
        <f>IF(A1147="","",MONTH(A1147))</f>
        <v/>
      </c>
      <c r="I1147" s="14">
        <f>IF(A1147="","",YEAR(A1147))</f>
        <v/>
      </c>
    </row>
    <row r="1148">
      <c r="A1148" s="15" t="n"/>
      <c r="B1148" s="10" t="n"/>
      <c r="C1148" s="14">
        <f>IF(B1148="","",IFERROR(INDEX('Sản phẩm'!$B$5:$B$304,MATCH(B1148,'Sản phẩm'!$A$5:$A$304,0)),""))</f>
        <v/>
      </c>
      <c r="D1148" s="12" t="n"/>
      <c r="E1148" s="11" t="n"/>
      <c r="F1148" s="16">
        <f>IF(OR(D1148="",E1148=""),"",D1148*E1148)</f>
        <v/>
      </c>
      <c r="G1148" s="10" t="n"/>
      <c r="H1148" s="14">
        <f>IF(A1148="","",MONTH(A1148))</f>
        <v/>
      </c>
      <c r="I1148" s="14">
        <f>IF(A1148="","",YEAR(A1148))</f>
        <v/>
      </c>
    </row>
    <row r="1149">
      <c r="A1149" s="15" t="n"/>
      <c r="B1149" s="10" t="n"/>
      <c r="C1149" s="14">
        <f>IF(B1149="","",IFERROR(INDEX('Sản phẩm'!$B$5:$B$304,MATCH(B1149,'Sản phẩm'!$A$5:$A$304,0)),""))</f>
        <v/>
      </c>
      <c r="D1149" s="12" t="n"/>
      <c r="E1149" s="11" t="n"/>
      <c r="F1149" s="16">
        <f>IF(OR(D1149="",E1149=""),"",D1149*E1149)</f>
        <v/>
      </c>
      <c r="G1149" s="10" t="n"/>
      <c r="H1149" s="14">
        <f>IF(A1149="","",MONTH(A1149))</f>
        <v/>
      </c>
      <c r="I1149" s="14">
        <f>IF(A1149="","",YEAR(A1149))</f>
        <v/>
      </c>
    </row>
    <row r="1150">
      <c r="A1150" s="15" t="n"/>
      <c r="B1150" s="10" t="n"/>
      <c r="C1150" s="14">
        <f>IF(B1150="","",IFERROR(INDEX('Sản phẩm'!$B$5:$B$304,MATCH(B1150,'Sản phẩm'!$A$5:$A$304,0)),""))</f>
        <v/>
      </c>
      <c r="D1150" s="12" t="n"/>
      <c r="E1150" s="11" t="n"/>
      <c r="F1150" s="16">
        <f>IF(OR(D1150="",E1150=""),"",D1150*E1150)</f>
        <v/>
      </c>
      <c r="G1150" s="10" t="n"/>
      <c r="H1150" s="14">
        <f>IF(A1150="","",MONTH(A1150))</f>
        <v/>
      </c>
      <c r="I1150" s="14">
        <f>IF(A1150="","",YEAR(A1150))</f>
        <v/>
      </c>
    </row>
    <row r="1151">
      <c r="A1151" s="15" t="n"/>
      <c r="B1151" s="10" t="n"/>
      <c r="C1151" s="14">
        <f>IF(B1151="","",IFERROR(INDEX('Sản phẩm'!$B$5:$B$304,MATCH(B1151,'Sản phẩm'!$A$5:$A$304,0)),""))</f>
        <v/>
      </c>
      <c r="D1151" s="12" t="n"/>
      <c r="E1151" s="11" t="n"/>
      <c r="F1151" s="16">
        <f>IF(OR(D1151="",E1151=""),"",D1151*E1151)</f>
        <v/>
      </c>
      <c r="G1151" s="10" t="n"/>
      <c r="H1151" s="14">
        <f>IF(A1151="","",MONTH(A1151))</f>
        <v/>
      </c>
      <c r="I1151" s="14">
        <f>IF(A1151="","",YEAR(A1151))</f>
        <v/>
      </c>
    </row>
    <row r="1152">
      <c r="A1152" s="15" t="n"/>
      <c r="B1152" s="10" t="n"/>
      <c r="C1152" s="14">
        <f>IF(B1152="","",IFERROR(INDEX('Sản phẩm'!$B$5:$B$304,MATCH(B1152,'Sản phẩm'!$A$5:$A$304,0)),""))</f>
        <v/>
      </c>
      <c r="D1152" s="12" t="n"/>
      <c r="E1152" s="11" t="n"/>
      <c r="F1152" s="16">
        <f>IF(OR(D1152="",E1152=""),"",D1152*E1152)</f>
        <v/>
      </c>
      <c r="G1152" s="10" t="n"/>
      <c r="H1152" s="14">
        <f>IF(A1152="","",MONTH(A1152))</f>
        <v/>
      </c>
      <c r="I1152" s="14">
        <f>IF(A1152="","",YEAR(A1152))</f>
        <v/>
      </c>
    </row>
    <row r="1153">
      <c r="A1153" s="15" t="n"/>
      <c r="B1153" s="10" t="n"/>
      <c r="C1153" s="14">
        <f>IF(B1153="","",IFERROR(INDEX('Sản phẩm'!$B$5:$B$304,MATCH(B1153,'Sản phẩm'!$A$5:$A$304,0)),""))</f>
        <v/>
      </c>
      <c r="D1153" s="12" t="n"/>
      <c r="E1153" s="11" t="n"/>
      <c r="F1153" s="16">
        <f>IF(OR(D1153="",E1153=""),"",D1153*E1153)</f>
        <v/>
      </c>
      <c r="G1153" s="10" t="n"/>
      <c r="H1153" s="14">
        <f>IF(A1153="","",MONTH(A1153))</f>
        <v/>
      </c>
      <c r="I1153" s="14">
        <f>IF(A1153="","",YEAR(A1153))</f>
        <v/>
      </c>
    </row>
    <row r="1154">
      <c r="A1154" s="15" t="n"/>
      <c r="B1154" s="10" t="n"/>
      <c r="C1154" s="14">
        <f>IF(B1154="","",IFERROR(INDEX('Sản phẩm'!$B$5:$B$304,MATCH(B1154,'Sản phẩm'!$A$5:$A$304,0)),""))</f>
        <v/>
      </c>
      <c r="D1154" s="12" t="n"/>
      <c r="E1154" s="11" t="n"/>
      <c r="F1154" s="16">
        <f>IF(OR(D1154="",E1154=""),"",D1154*E1154)</f>
        <v/>
      </c>
      <c r="G1154" s="10" t="n"/>
      <c r="H1154" s="14">
        <f>IF(A1154="","",MONTH(A1154))</f>
        <v/>
      </c>
      <c r="I1154" s="14">
        <f>IF(A1154="","",YEAR(A1154))</f>
        <v/>
      </c>
    </row>
    <row r="1155">
      <c r="A1155" s="15" t="n"/>
      <c r="B1155" s="10" t="n"/>
      <c r="C1155" s="14">
        <f>IF(B1155="","",IFERROR(INDEX('Sản phẩm'!$B$5:$B$304,MATCH(B1155,'Sản phẩm'!$A$5:$A$304,0)),""))</f>
        <v/>
      </c>
      <c r="D1155" s="12" t="n"/>
      <c r="E1155" s="11" t="n"/>
      <c r="F1155" s="16">
        <f>IF(OR(D1155="",E1155=""),"",D1155*E1155)</f>
        <v/>
      </c>
      <c r="G1155" s="10" t="n"/>
      <c r="H1155" s="14">
        <f>IF(A1155="","",MONTH(A1155))</f>
        <v/>
      </c>
      <c r="I1155" s="14">
        <f>IF(A1155="","",YEAR(A1155))</f>
        <v/>
      </c>
    </row>
    <row r="1156">
      <c r="A1156" s="15" t="n"/>
      <c r="B1156" s="10" t="n"/>
      <c r="C1156" s="14">
        <f>IF(B1156="","",IFERROR(INDEX('Sản phẩm'!$B$5:$B$304,MATCH(B1156,'Sản phẩm'!$A$5:$A$304,0)),""))</f>
        <v/>
      </c>
      <c r="D1156" s="12" t="n"/>
      <c r="E1156" s="11" t="n"/>
      <c r="F1156" s="16">
        <f>IF(OR(D1156="",E1156=""),"",D1156*E1156)</f>
        <v/>
      </c>
      <c r="G1156" s="10" t="n"/>
      <c r="H1156" s="14">
        <f>IF(A1156="","",MONTH(A1156))</f>
        <v/>
      </c>
      <c r="I1156" s="14">
        <f>IF(A1156="","",YEAR(A1156))</f>
        <v/>
      </c>
    </row>
    <row r="1157">
      <c r="A1157" s="15" t="n"/>
      <c r="B1157" s="10" t="n"/>
      <c r="C1157" s="14">
        <f>IF(B1157="","",IFERROR(INDEX('Sản phẩm'!$B$5:$B$304,MATCH(B1157,'Sản phẩm'!$A$5:$A$304,0)),""))</f>
        <v/>
      </c>
      <c r="D1157" s="12" t="n"/>
      <c r="E1157" s="11" t="n"/>
      <c r="F1157" s="16">
        <f>IF(OR(D1157="",E1157=""),"",D1157*E1157)</f>
        <v/>
      </c>
      <c r="G1157" s="10" t="n"/>
      <c r="H1157" s="14">
        <f>IF(A1157="","",MONTH(A1157))</f>
        <v/>
      </c>
      <c r="I1157" s="14">
        <f>IF(A1157="","",YEAR(A1157))</f>
        <v/>
      </c>
    </row>
    <row r="1158">
      <c r="A1158" s="15" t="n"/>
      <c r="B1158" s="10" t="n"/>
      <c r="C1158" s="14">
        <f>IF(B1158="","",IFERROR(INDEX('Sản phẩm'!$B$5:$B$304,MATCH(B1158,'Sản phẩm'!$A$5:$A$304,0)),""))</f>
        <v/>
      </c>
      <c r="D1158" s="12" t="n"/>
      <c r="E1158" s="11" t="n"/>
      <c r="F1158" s="16">
        <f>IF(OR(D1158="",E1158=""),"",D1158*E1158)</f>
        <v/>
      </c>
      <c r="G1158" s="10" t="n"/>
      <c r="H1158" s="14">
        <f>IF(A1158="","",MONTH(A1158))</f>
        <v/>
      </c>
      <c r="I1158" s="14">
        <f>IF(A1158="","",YEAR(A1158))</f>
        <v/>
      </c>
    </row>
    <row r="1159">
      <c r="A1159" s="15" t="n"/>
      <c r="B1159" s="10" t="n"/>
      <c r="C1159" s="14">
        <f>IF(B1159="","",IFERROR(INDEX('Sản phẩm'!$B$5:$B$304,MATCH(B1159,'Sản phẩm'!$A$5:$A$304,0)),""))</f>
        <v/>
      </c>
      <c r="D1159" s="12" t="n"/>
      <c r="E1159" s="11" t="n"/>
      <c r="F1159" s="16">
        <f>IF(OR(D1159="",E1159=""),"",D1159*E1159)</f>
        <v/>
      </c>
      <c r="G1159" s="10" t="n"/>
      <c r="H1159" s="14">
        <f>IF(A1159="","",MONTH(A1159))</f>
        <v/>
      </c>
      <c r="I1159" s="14">
        <f>IF(A1159="","",YEAR(A1159))</f>
        <v/>
      </c>
    </row>
    <row r="1160">
      <c r="A1160" s="15" t="n"/>
      <c r="B1160" s="10" t="n"/>
      <c r="C1160" s="14">
        <f>IF(B1160="","",IFERROR(INDEX('Sản phẩm'!$B$5:$B$304,MATCH(B1160,'Sản phẩm'!$A$5:$A$304,0)),""))</f>
        <v/>
      </c>
      <c r="D1160" s="12" t="n"/>
      <c r="E1160" s="11" t="n"/>
      <c r="F1160" s="16">
        <f>IF(OR(D1160="",E1160=""),"",D1160*E1160)</f>
        <v/>
      </c>
      <c r="G1160" s="10" t="n"/>
      <c r="H1160" s="14">
        <f>IF(A1160="","",MONTH(A1160))</f>
        <v/>
      </c>
      <c r="I1160" s="14">
        <f>IF(A1160="","",YEAR(A1160))</f>
        <v/>
      </c>
    </row>
    <row r="1161">
      <c r="A1161" s="15" t="n"/>
      <c r="B1161" s="10" t="n"/>
      <c r="C1161" s="14">
        <f>IF(B1161="","",IFERROR(INDEX('Sản phẩm'!$B$5:$B$304,MATCH(B1161,'Sản phẩm'!$A$5:$A$304,0)),""))</f>
        <v/>
      </c>
      <c r="D1161" s="12" t="n"/>
      <c r="E1161" s="11" t="n"/>
      <c r="F1161" s="16">
        <f>IF(OR(D1161="",E1161=""),"",D1161*E1161)</f>
        <v/>
      </c>
      <c r="G1161" s="10" t="n"/>
      <c r="H1161" s="14">
        <f>IF(A1161="","",MONTH(A1161))</f>
        <v/>
      </c>
      <c r="I1161" s="14">
        <f>IF(A1161="","",YEAR(A1161))</f>
        <v/>
      </c>
    </row>
    <row r="1162">
      <c r="A1162" s="15" t="n"/>
      <c r="B1162" s="10" t="n"/>
      <c r="C1162" s="14">
        <f>IF(B1162="","",IFERROR(INDEX('Sản phẩm'!$B$5:$B$304,MATCH(B1162,'Sản phẩm'!$A$5:$A$304,0)),""))</f>
        <v/>
      </c>
      <c r="D1162" s="12" t="n"/>
      <c r="E1162" s="11" t="n"/>
      <c r="F1162" s="16">
        <f>IF(OR(D1162="",E1162=""),"",D1162*E1162)</f>
        <v/>
      </c>
      <c r="G1162" s="10" t="n"/>
      <c r="H1162" s="14">
        <f>IF(A1162="","",MONTH(A1162))</f>
        <v/>
      </c>
      <c r="I1162" s="14">
        <f>IF(A1162="","",YEAR(A1162))</f>
        <v/>
      </c>
    </row>
    <row r="1163">
      <c r="A1163" s="15" t="n"/>
      <c r="B1163" s="10" t="n"/>
      <c r="C1163" s="14">
        <f>IF(B1163="","",IFERROR(INDEX('Sản phẩm'!$B$5:$B$304,MATCH(B1163,'Sản phẩm'!$A$5:$A$304,0)),""))</f>
        <v/>
      </c>
      <c r="D1163" s="12" t="n"/>
      <c r="E1163" s="11" t="n"/>
      <c r="F1163" s="16">
        <f>IF(OR(D1163="",E1163=""),"",D1163*E1163)</f>
        <v/>
      </c>
      <c r="G1163" s="10" t="n"/>
      <c r="H1163" s="14">
        <f>IF(A1163="","",MONTH(A1163))</f>
        <v/>
      </c>
      <c r="I1163" s="14">
        <f>IF(A1163="","",YEAR(A1163))</f>
        <v/>
      </c>
    </row>
    <row r="1164">
      <c r="A1164" s="15" t="n"/>
      <c r="B1164" s="10" t="n"/>
      <c r="C1164" s="14">
        <f>IF(B1164="","",IFERROR(INDEX('Sản phẩm'!$B$5:$B$304,MATCH(B1164,'Sản phẩm'!$A$5:$A$304,0)),""))</f>
        <v/>
      </c>
      <c r="D1164" s="12" t="n"/>
      <c r="E1164" s="11" t="n"/>
      <c r="F1164" s="16">
        <f>IF(OR(D1164="",E1164=""),"",D1164*E1164)</f>
        <v/>
      </c>
      <c r="G1164" s="10" t="n"/>
      <c r="H1164" s="14">
        <f>IF(A1164="","",MONTH(A1164))</f>
        <v/>
      </c>
      <c r="I1164" s="14">
        <f>IF(A1164="","",YEAR(A1164))</f>
        <v/>
      </c>
    </row>
    <row r="1165">
      <c r="A1165" s="15" t="n"/>
      <c r="B1165" s="10" t="n"/>
      <c r="C1165" s="14">
        <f>IF(B1165="","",IFERROR(INDEX('Sản phẩm'!$B$5:$B$304,MATCH(B1165,'Sản phẩm'!$A$5:$A$304,0)),""))</f>
        <v/>
      </c>
      <c r="D1165" s="12" t="n"/>
      <c r="E1165" s="11" t="n"/>
      <c r="F1165" s="16">
        <f>IF(OR(D1165="",E1165=""),"",D1165*E1165)</f>
        <v/>
      </c>
      <c r="G1165" s="10" t="n"/>
      <c r="H1165" s="14">
        <f>IF(A1165="","",MONTH(A1165))</f>
        <v/>
      </c>
      <c r="I1165" s="14">
        <f>IF(A1165="","",YEAR(A1165))</f>
        <v/>
      </c>
    </row>
    <row r="1166">
      <c r="A1166" s="15" t="n"/>
      <c r="B1166" s="10" t="n"/>
      <c r="C1166" s="14">
        <f>IF(B1166="","",IFERROR(INDEX('Sản phẩm'!$B$5:$B$304,MATCH(B1166,'Sản phẩm'!$A$5:$A$304,0)),""))</f>
        <v/>
      </c>
      <c r="D1166" s="12" t="n"/>
      <c r="E1166" s="11" t="n"/>
      <c r="F1166" s="16">
        <f>IF(OR(D1166="",E1166=""),"",D1166*E1166)</f>
        <v/>
      </c>
      <c r="G1166" s="10" t="n"/>
      <c r="H1166" s="14">
        <f>IF(A1166="","",MONTH(A1166))</f>
        <v/>
      </c>
      <c r="I1166" s="14">
        <f>IF(A1166="","",YEAR(A1166))</f>
        <v/>
      </c>
    </row>
    <row r="1167">
      <c r="A1167" s="15" t="n"/>
      <c r="B1167" s="10" t="n"/>
      <c r="C1167" s="14">
        <f>IF(B1167="","",IFERROR(INDEX('Sản phẩm'!$B$5:$B$304,MATCH(B1167,'Sản phẩm'!$A$5:$A$304,0)),""))</f>
        <v/>
      </c>
      <c r="D1167" s="12" t="n"/>
      <c r="E1167" s="11" t="n"/>
      <c r="F1167" s="16">
        <f>IF(OR(D1167="",E1167=""),"",D1167*E1167)</f>
        <v/>
      </c>
      <c r="G1167" s="10" t="n"/>
      <c r="H1167" s="14">
        <f>IF(A1167="","",MONTH(A1167))</f>
        <v/>
      </c>
      <c r="I1167" s="14">
        <f>IF(A1167="","",YEAR(A1167))</f>
        <v/>
      </c>
    </row>
    <row r="1168">
      <c r="A1168" s="15" t="n"/>
      <c r="B1168" s="10" t="n"/>
      <c r="C1168" s="14">
        <f>IF(B1168="","",IFERROR(INDEX('Sản phẩm'!$B$5:$B$304,MATCH(B1168,'Sản phẩm'!$A$5:$A$304,0)),""))</f>
        <v/>
      </c>
      <c r="D1168" s="12" t="n"/>
      <c r="E1168" s="11" t="n"/>
      <c r="F1168" s="16">
        <f>IF(OR(D1168="",E1168=""),"",D1168*E1168)</f>
        <v/>
      </c>
      <c r="G1168" s="10" t="n"/>
      <c r="H1168" s="14">
        <f>IF(A1168="","",MONTH(A1168))</f>
        <v/>
      </c>
      <c r="I1168" s="14">
        <f>IF(A1168="","",YEAR(A1168))</f>
        <v/>
      </c>
    </row>
    <row r="1169">
      <c r="A1169" s="15" t="n"/>
      <c r="B1169" s="10" t="n"/>
      <c r="C1169" s="14">
        <f>IF(B1169="","",IFERROR(INDEX('Sản phẩm'!$B$5:$B$304,MATCH(B1169,'Sản phẩm'!$A$5:$A$304,0)),""))</f>
        <v/>
      </c>
      <c r="D1169" s="12" t="n"/>
      <c r="E1169" s="11" t="n"/>
      <c r="F1169" s="16">
        <f>IF(OR(D1169="",E1169=""),"",D1169*E1169)</f>
        <v/>
      </c>
      <c r="G1169" s="10" t="n"/>
      <c r="H1169" s="14">
        <f>IF(A1169="","",MONTH(A1169))</f>
        <v/>
      </c>
      <c r="I1169" s="14">
        <f>IF(A1169="","",YEAR(A1169))</f>
        <v/>
      </c>
    </row>
    <row r="1170">
      <c r="A1170" s="15" t="n"/>
      <c r="B1170" s="10" t="n"/>
      <c r="C1170" s="14">
        <f>IF(B1170="","",IFERROR(INDEX('Sản phẩm'!$B$5:$B$304,MATCH(B1170,'Sản phẩm'!$A$5:$A$304,0)),""))</f>
        <v/>
      </c>
      <c r="D1170" s="12" t="n"/>
      <c r="E1170" s="11" t="n"/>
      <c r="F1170" s="16">
        <f>IF(OR(D1170="",E1170=""),"",D1170*E1170)</f>
        <v/>
      </c>
      <c r="G1170" s="10" t="n"/>
      <c r="H1170" s="14">
        <f>IF(A1170="","",MONTH(A1170))</f>
        <v/>
      </c>
      <c r="I1170" s="14">
        <f>IF(A1170="","",YEAR(A1170))</f>
        <v/>
      </c>
    </row>
    <row r="1171">
      <c r="A1171" s="15" t="n"/>
      <c r="B1171" s="10" t="n"/>
      <c r="C1171" s="14">
        <f>IF(B1171="","",IFERROR(INDEX('Sản phẩm'!$B$5:$B$304,MATCH(B1171,'Sản phẩm'!$A$5:$A$304,0)),""))</f>
        <v/>
      </c>
      <c r="D1171" s="12" t="n"/>
      <c r="E1171" s="11" t="n"/>
      <c r="F1171" s="16">
        <f>IF(OR(D1171="",E1171=""),"",D1171*E1171)</f>
        <v/>
      </c>
      <c r="G1171" s="10" t="n"/>
      <c r="H1171" s="14">
        <f>IF(A1171="","",MONTH(A1171))</f>
        <v/>
      </c>
      <c r="I1171" s="14">
        <f>IF(A1171="","",YEAR(A1171))</f>
        <v/>
      </c>
    </row>
    <row r="1172">
      <c r="A1172" s="15" t="n"/>
      <c r="B1172" s="10" t="n"/>
      <c r="C1172" s="14">
        <f>IF(B1172="","",IFERROR(INDEX('Sản phẩm'!$B$5:$B$304,MATCH(B1172,'Sản phẩm'!$A$5:$A$304,0)),""))</f>
        <v/>
      </c>
      <c r="D1172" s="12" t="n"/>
      <c r="E1172" s="11" t="n"/>
      <c r="F1172" s="16">
        <f>IF(OR(D1172="",E1172=""),"",D1172*E1172)</f>
        <v/>
      </c>
      <c r="G1172" s="10" t="n"/>
      <c r="H1172" s="14">
        <f>IF(A1172="","",MONTH(A1172))</f>
        <v/>
      </c>
      <c r="I1172" s="14">
        <f>IF(A1172="","",YEAR(A1172))</f>
        <v/>
      </c>
    </row>
    <row r="1173">
      <c r="A1173" s="15" t="n"/>
      <c r="B1173" s="10" t="n"/>
      <c r="C1173" s="14">
        <f>IF(B1173="","",IFERROR(INDEX('Sản phẩm'!$B$5:$B$304,MATCH(B1173,'Sản phẩm'!$A$5:$A$304,0)),""))</f>
        <v/>
      </c>
      <c r="D1173" s="12" t="n"/>
      <c r="E1173" s="11" t="n"/>
      <c r="F1173" s="16">
        <f>IF(OR(D1173="",E1173=""),"",D1173*E1173)</f>
        <v/>
      </c>
      <c r="G1173" s="10" t="n"/>
      <c r="H1173" s="14">
        <f>IF(A1173="","",MONTH(A1173))</f>
        <v/>
      </c>
      <c r="I1173" s="14">
        <f>IF(A1173="","",YEAR(A1173))</f>
        <v/>
      </c>
    </row>
    <row r="1174">
      <c r="A1174" s="15" t="n"/>
      <c r="B1174" s="10" t="n"/>
      <c r="C1174" s="14">
        <f>IF(B1174="","",IFERROR(INDEX('Sản phẩm'!$B$5:$B$304,MATCH(B1174,'Sản phẩm'!$A$5:$A$304,0)),""))</f>
        <v/>
      </c>
      <c r="D1174" s="12" t="n"/>
      <c r="E1174" s="11" t="n"/>
      <c r="F1174" s="16">
        <f>IF(OR(D1174="",E1174=""),"",D1174*E1174)</f>
        <v/>
      </c>
      <c r="G1174" s="10" t="n"/>
      <c r="H1174" s="14">
        <f>IF(A1174="","",MONTH(A1174))</f>
        <v/>
      </c>
      <c r="I1174" s="14">
        <f>IF(A1174="","",YEAR(A1174))</f>
        <v/>
      </c>
    </row>
    <row r="1175">
      <c r="A1175" s="15" t="n"/>
      <c r="B1175" s="10" t="n"/>
      <c r="C1175" s="14">
        <f>IF(B1175="","",IFERROR(INDEX('Sản phẩm'!$B$5:$B$304,MATCH(B1175,'Sản phẩm'!$A$5:$A$304,0)),""))</f>
        <v/>
      </c>
      <c r="D1175" s="12" t="n"/>
      <c r="E1175" s="11" t="n"/>
      <c r="F1175" s="16">
        <f>IF(OR(D1175="",E1175=""),"",D1175*E1175)</f>
        <v/>
      </c>
      <c r="G1175" s="10" t="n"/>
      <c r="H1175" s="14">
        <f>IF(A1175="","",MONTH(A1175))</f>
        <v/>
      </c>
      <c r="I1175" s="14">
        <f>IF(A1175="","",YEAR(A1175))</f>
        <v/>
      </c>
    </row>
    <row r="1176">
      <c r="A1176" s="15" t="n"/>
      <c r="B1176" s="10" t="n"/>
      <c r="C1176" s="14">
        <f>IF(B1176="","",IFERROR(INDEX('Sản phẩm'!$B$5:$B$304,MATCH(B1176,'Sản phẩm'!$A$5:$A$304,0)),""))</f>
        <v/>
      </c>
      <c r="D1176" s="12" t="n"/>
      <c r="E1176" s="11" t="n"/>
      <c r="F1176" s="16">
        <f>IF(OR(D1176="",E1176=""),"",D1176*E1176)</f>
        <v/>
      </c>
      <c r="G1176" s="10" t="n"/>
      <c r="H1176" s="14">
        <f>IF(A1176="","",MONTH(A1176))</f>
        <v/>
      </c>
      <c r="I1176" s="14">
        <f>IF(A1176="","",YEAR(A1176))</f>
        <v/>
      </c>
    </row>
    <row r="1177">
      <c r="A1177" s="15" t="n"/>
      <c r="B1177" s="10" t="n"/>
      <c r="C1177" s="14">
        <f>IF(B1177="","",IFERROR(INDEX('Sản phẩm'!$B$5:$B$304,MATCH(B1177,'Sản phẩm'!$A$5:$A$304,0)),""))</f>
        <v/>
      </c>
      <c r="D1177" s="12" t="n"/>
      <c r="E1177" s="11" t="n"/>
      <c r="F1177" s="16">
        <f>IF(OR(D1177="",E1177=""),"",D1177*E1177)</f>
        <v/>
      </c>
      <c r="G1177" s="10" t="n"/>
      <c r="H1177" s="14">
        <f>IF(A1177="","",MONTH(A1177))</f>
        <v/>
      </c>
      <c r="I1177" s="14">
        <f>IF(A1177="","",YEAR(A1177))</f>
        <v/>
      </c>
    </row>
    <row r="1178">
      <c r="A1178" s="15" t="n"/>
      <c r="B1178" s="10" t="n"/>
      <c r="C1178" s="14">
        <f>IF(B1178="","",IFERROR(INDEX('Sản phẩm'!$B$5:$B$304,MATCH(B1178,'Sản phẩm'!$A$5:$A$304,0)),""))</f>
        <v/>
      </c>
      <c r="D1178" s="12" t="n"/>
      <c r="E1178" s="11" t="n"/>
      <c r="F1178" s="16">
        <f>IF(OR(D1178="",E1178=""),"",D1178*E1178)</f>
        <v/>
      </c>
      <c r="G1178" s="10" t="n"/>
      <c r="H1178" s="14">
        <f>IF(A1178="","",MONTH(A1178))</f>
        <v/>
      </c>
      <c r="I1178" s="14">
        <f>IF(A1178="","",YEAR(A1178))</f>
        <v/>
      </c>
    </row>
    <row r="1179">
      <c r="A1179" s="15" t="n"/>
      <c r="B1179" s="10" t="n"/>
      <c r="C1179" s="14">
        <f>IF(B1179="","",IFERROR(INDEX('Sản phẩm'!$B$5:$B$304,MATCH(B1179,'Sản phẩm'!$A$5:$A$304,0)),""))</f>
        <v/>
      </c>
      <c r="D1179" s="12" t="n"/>
      <c r="E1179" s="11" t="n"/>
      <c r="F1179" s="16">
        <f>IF(OR(D1179="",E1179=""),"",D1179*E1179)</f>
        <v/>
      </c>
      <c r="G1179" s="10" t="n"/>
      <c r="H1179" s="14">
        <f>IF(A1179="","",MONTH(A1179))</f>
        <v/>
      </c>
      <c r="I1179" s="14">
        <f>IF(A1179="","",YEAR(A1179))</f>
        <v/>
      </c>
    </row>
    <row r="1180">
      <c r="A1180" s="15" t="n"/>
      <c r="B1180" s="10" t="n"/>
      <c r="C1180" s="14">
        <f>IF(B1180="","",IFERROR(INDEX('Sản phẩm'!$B$5:$B$304,MATCH(B1180,'Sản phẩm'!$A$5:$A$304,0)),""))</f>
        <v/>
      </c>
      <c r="D1180" s="12" t="n"/>
      <c r="E1180" s="11" t="n"/>
      <c r="F1180" s="16">
        <f>IF(OR(D1180="",E1180=""),"",D1180*E1180)</f>
        <v/>
      </c>
      <c r="G1180" s="10" t="n"/>
      <c r="H1180" s="14">
        <f>IF(A1180="","",MONTH(A1180))</f>
        <v/>
      </c>
      <c r="I1180" s="14">
        <f>IF(A1180="","",YEAR(A1180))</f>
        <v/>
      </c>
    </row>
    <row r="1181">
      <c r="A1181" s="15" t="n"/>
      <c r="B1181" s="10" t="n"/>
      <c r="C1181" s="14">
        <f>IF(B1181="","",IFERROR(INDEX('Sản phẩm'!$B$5:$B$304,MATCH(B1181,'Sản phẩm'!$A$5:$A$304,0)),""))</f>
        <v/>
      </c>
      <c r="D1181" s="12" t="n"/>
      <c r="E1181" s="11" t="n"/>
      <c r="F1181" s="16">
        <f>IF(OR(D1181="",E1181=""),"",D1181*E1181)</f>
        <v/>
      </c>
      <c r="G1181" s="10" t="n"/>
      <c r="H1181" s="14">
        <f>IF(A1181="","",MONTH(A1181))</f>
        <v/>
      </c>
      <c r="I1181" s="14">
        <f>IF(A1181="","",YEAR(A1181))</f>
        <v/>
      </c>
    </row>
    <row r="1182">
      <c r="A1182" s="15" t="n"/>
      <c r="B1182" s="10" t="n"/>
      <c r="C1182" s="14">
        <f>IF(B1182="","",IFERROR(INDEX('Sản phẩm'!$B$5:$B$304,MATCH(B1182,'Sản phẩm'!$A$5:$A$304,0)),""))</f>
        <v/>
      </c>
      <c r="D1182" s="12" t="n"/>
      <c r="E1182" s="11" t="n"/>
      <c r="F1182" s="16">
        <f>IF(OR(D1182="",E1182=""),"",D1182*E1182)</f>
        <v/>
      </c>
      <c r="G1182" s="10" t="n"/>
      <c r="H1182" s="14">
        <f>IF(A1182="","",MONTH(A1182))</f>
        <v/>
      </c>
      <c r="I1182" s="14">
        <f>IF(A1182="","",YEAR(A1182))</f>
        <v/>
      </c>
    </row>
    <row r="1183">
      <c r="A1183" s="15" t="n"/>
      <c r="B1183" s="10" t="n"/>
      <c r="C1183" s="14">
        <f>IF(B1183="","",IFERROR(INDEX('Sản phẩm'!$B$5:$B$304,MATCH(B1183,'Sản phẩm'!$A$5:$A$304,0)),""))</f>
        <v/>
      </c>
      <c r="D1183" s="12" t="n"/>
      <c r="E1183" s="11" t="n"/>
      <c r="F1183" s="16">
        <f>IF(OR(D1183="",E1183=""),"",D1183*E1183)</f>
        <v/>
      </c>
      <c r="G1183" s="10" t="n"/>
      <c r="H1183" s="14">
        <f>IF(A1183="","",MONTH(A1183))</f>
        <v/>
      </c>
      <c r="I1183" s="14">
        <f>IF(A1183="","",YEAR(A1183))</f>
        <v/>
      </c>
    </row>
    <row r="1184">
      <c r="A1184" s="15" t="n"/>
      <c r="B1184" s="10" t="n"/>
      <c r="C1184" s="14">
        <f>IF(B1184="","",IFERROR(INDEX('Sản phẩm'!$B$5:$B$304,MATCH(B1184,'Sản phẩm'!$A$5:$A$304,0)),""))</f>
        <v/>
      </c>
      <c r="D1184" s="12" t="n"/>
      <c r="E1184" s="11" t="n"/>
      <c r="F1184" s="16">
        <f>IF(OR(D1184="",E1184=""),"",D1184*E1184)</f>
        <v/>
      </c>
      <c r="G1184" s="10" t="n"/>
      <c r="H1184" s="14">
        <f>IF(A1184="","",MONTH(A1184))</f>
        <v/>
      </c>
      <c r="I1184" s="14">
        <f>IF(A1184="","",YEAR(A1184))</f>
        <v/>
      </c>
    </row>
    <row r="1185">
      <c r="A1185" s="15" t="n"/>
      <c r="B1185" s="10" t="n"/>
      <c r="C1185" s="14">
        <f>IF(B1185="","",IFERROR(INDEX('Sản phẩm'!$B$5:$B$304,MATCH(B1185,'Sản phẩm'!$A$5:$A$304,0)),""))</f>
        <v/>
      </c>
      <c r="D1185" s="12" t="n"/>
      <c r="E1185" s="11" t="n"/>
      <c r="F1185" s="16">
        <f>IF(OR(D1185="",E1185=""),"",D1185*E1185)</f>
        <v/>
      </c>
      <c r="G1185" s="10" t="n"/>
      <c r="H1185" s="14">
        <f>IF(A1185="","",MONTH(A1185))</f>
        <v/>
      </c>
      <c r="I1185" s="14">
        <f>IF(A1185="","",YEAR(A1185))</f>
        <v/>
      </c>
    </row>
    <row r="1186">
      <c r="A1186" s="15" t="n"/>
      <c r="B1186" s="10" t="n"/>
      <c r="C1186" s="14">
        <f>IF(B1186="","",IFERROR(INDEX('Sản phẩm'!$B$5:$B$304,MATCH(B1186,'Sản phẩm'!$A$5:$A$304,0)),""))</f>
        <v/>
      </c>
      <c r="D1186" s="12" t="n"/>
      <c r="E1186" s="11" t="n"/>
      <c r="F1186" s="16">
        <f>IF(OR(D1186="",E1186=""),"",D1186*E1186)</f>
        <v/>
      </c>
      <c r="G1186" s="10" t="n"/>
      <c r="H1186" s="14">
        <f>IF(A1186="","",MONTH(A1186))</f>
        <v/>
      </c>
      <c r="I1186" s="14">
        <f>IF(A1186="","",YEAR(A1186))</f>
        <v/>
      </c>
    </row>
    <row r="1187">
      <c r="A1187" s="15" t="n"/>
      <c r="B1187" s="10" t="n"/>
      <c r="C1187" s="14">
        <f>IF(B1187="","",IFERROR(INDEX('Sản phẩm'!$B$5:$B$304,MATCH(B1187,'Sản phẩm'!$A$5:$A$304,0)),""))</f>
        <v/>
      </c>
      <c r="D1187" s="12" t="n"/>
      <c r="E1187" s="11" t="n"/>
      <c r="F1187" s="16">
        <f>IF(OR(D1187="",E1187=""),"",D1187*E1187)</f>
        <v/>
      </c>
      <c r="G1187" s="10" t="n"/>
      <c r="H1187" s="14">
        <f>IF(A1187="","",MONTH(A1187))</f>
        <v/>
      </c>
      <c r="I1187" s="14">
        <f>IF(A1187="","",YEAR(A1187))</f>
        <v/>
      </c>
    </row>
    <row r="1188">
      <c r="A1188" s="15" t="n"/>
      <c r="B1188" s="10" t="n"/>
      <c r="C1188" s="14">
        <f>IF(B1188="","",IFERROR(INDEX('Sản phẩm'!$B$5:$B$304,MATCH(B1188,'Sản phẩm'!$A$5:$A$304,0)),""))</f>
        <v/>
      </c>
      <c r="D1188" s="12" t="n"/>
      <c r="E1188" s="11" t="n"/>
      <c r="F1188" s="16">
        <f>IF(OR(D1188="",E1188=""),"",D1188*E1188)</f>
        <v/>
      </c>
      <c r="G1188" s="10" t="n"/>
      <c r="H1188" s="14">
        <f>IF(A1188="","",MONTH(A1188))</f>
        <v/>
      </c>
      <c r="I1188" s="14">
        <f>IF(A1188="","",YEAR(A1188))</f>
        <v/>
      </c>
    </row>
    <row r="1189">
      <c r="A1189" s="15" t="n"/>
      <c r="B1189" s="10" t="n"/>
      <c r="C1189" s="14">
        <f>IF(B1189="","",IFERROR(INDEX('Sản phẩm'!$B$5:$B$304,MATCH(B1189,'Sản phẩm'!$A$5:$A$304,0)),""))</f>
        <v/>
      </c>
      <c r="D1189" s="12" t="n"/>
      <c r="E1189" s="11" t="n"/>
      <c r="F1189" s="16">
        <f>IF(OR(D1189="",E1189=""),"",D1189*E1189)</f>
        <v/>
      </c>
      <c r="G1189" s="10" t="n"/>
      <c r="H1189" s="14">
        <f>IF(A1189="","",MONTH(A1189))</f>
        <v/>
      </c>
      <c r="I1189" s="14">
        <f>IF(A1189="","",YEAR(A1189))</f>
        <v/>
      </c>
    </row>
    <row r="1190">
      <c r="A1190" s="15" t="n"/>
      <c r="B1190" s="10" t="n"/>
      <c r="C1190" s="14">
        <f>IF(B1190="","",IFERROR(INDEX('Sản phẩm'!$B$5:$B$304,MATCH(B1190,'Sản phẩm'!$A$5:$A$304,0)),""))</f>
        <v/>
      </c>
      <c r="D1190" s="12" t="n"/>
      <c r="E1190" s="11" t="n"/>
      <c r="F1190" s="16">
        <f>IF(OR(D1190="",E1190=""),"",D1190*E1190)</f>
        <v/>
      </c>
      <c r="G1190" s="10" t="n"/>
      <c r="H1190" s="14">
        <f>IF(A1190="","",MONTH(A1190))</f>
        <v/>
      </c>
      <c r="I1190" s="14">
        <f>IF(A1190="","",YEAR(A1190))</f>
        <v/>
      </c>
    </row>
    <row r="1191">
      <c r="A1191" s="15" t="n"/>
      <c r="B1191" s="10" t="n"/>
      <c r="C1191" s="14">
        <f>IF(B1191="","",IFERROR(INDEX('Sản phẩm'!$B$5:$B$304,MATCH(B1191,'Sản phẩm'!$A$5:$A$304,0)),""))</f>
        <v/>
      </c>
      <c r="D1191" s="12" t="n"/>
      <c r="E1191" s="11" t="n"/>
      <c r="F1191" s="16">
        <f>IF(OR(D1191="",E1191=""),"",D1191*E1191)</f>
        <v/>
      </c>
      <c r="G1191" s="10" t="n"/>
      <c r="H1191" s="14">
        <f>IF(A1191="","",MONTH(A1191))</f>
        <v/>
      </c>
      <c r="I1191" s="14">
        <f>IF(A1191="","",YEAR(A1191))</f>
        <v/>
      </c>
    </row>
    <row r="1192">
      <c r="A1192" s="15" t="n"/>
      <c r="B1192" s="10" t="n"/>
      <c r="C1192" s="14">
        <f>IF(B1192="","",IFERROR(INDEX('Sản phẩm'!$B$5:$B$304,MATCH(B1192,'Sản phẩm'!$A$5:$A$304,0)),""))</f>
        <v/>
      </c>
      <c r="D1192" s="12" t="n"/>
      <c r="E1192" s="11" t="n"/>
      <c r="F1192" s="16">
        <f>IF(OR(D1192="",E1192=""),"",D1192*E1192)</f>
        <v/>
      </c>
      <c r="G1192" s="10" t="n"/>
      <c r="H1192" s="14">
        <f>IF(A1192="","",MONTH(A1192))</f>
        <v/>
      </c>
      <c r="I1192" s="14">
        <f>IF(A1192="","",YEAR(A1192))</f>
        <v/>
      </c>
    </row>
    <row r="1193">
      <c r="A1193" s="15" t="n"/>
      <c r="B1193" s="10" t="n"/>
      <c r="C1193" s="14">
        <f>IF(B1193="","",IFERROR(INDEX('Sản phẩm'!$B$5:$B$304,MATCH(B1193,'Sản phẩm'!$A$5:$A$304,0)),""))</f>
        <v/>
      </c>
      <c r="D1193" s="12" t="n"/>
      <c r="E1193" s="11" t="n"/>
      <c r="F1193" s="16">
        <f>IF(OR(D1193="",E1193=""),"",D1193*E1193)</f>
        <v/>
      </c>
      <c r="G1193" s="10" t="n"/>
      <c r="H1193" s="14">
        <f>IF(A1193="","",MONTH(A1193))</f>
        <v/>
      </c>
      <c r="I1193" s="14">
        <f>IF(A1193="","",YEAR(A1193))</f>
        <v/>
      </c>
    </row>
    <row r="1194">
      <c r="A1194" s="15" t="n"/>
      <c r="B1194" s="10" t="n"/>
      <c r="C1194" s="14">
        <f>IF(B1194="","",IFERROR(INDEX('Sản phẩm'!$B$5:$B$304,MATCH(B1194,'Sản phẩm'!$A$5:$A$304,0)),""))</f>
        <v/>
      </c>
      <c r="D1194" s="12" t="n"/>
      <c r="E1194" s="11" t="n"/>
      <c r="F1194" s="16">
        <f>IF(OR(D1194="",E1194=""),"",D1194*E1194)</f>
        <v/>
      </c>
      <c r="G1194" s="10" t="n"/>
      <c r="H1194" s="14">
        <f>IF(A1194="","",MONTH(A1194))</f>
        <v/>
      </c>
      <c r="I1194" s="14">
        <f>IF(A1194="","",YEAR(A1194))</f>
        <v/>
      </c>
    </row>
    <row r="1195">
      <c r="A1195" s="15" t="n"/>
      <c r="B1195" s="10" t="n"/>
      <c r="C1195" s="14">
        <f>IF(B1195="","",IFERROR(INDEX('Sản phẩm'!$B$5:$B$304,MATCH(B1195,'Sản phẩm'!$A$5:$A$304,0)),""))</f>
        <v/>
      </c>
      <c r="D1195" s="12" t="n"/>
      <c r="E1195" s="11" t="n"/>
      <c r="F1195" s="16">
        <f>IF(OR(D1195="",E1195=""),"",D1195*E1195)</f>
        <v/>
      </c>
      <c r="G1195" s="10" t="n"/>
      <c r="H1195" s="14">
        <f>IF(A1195="","",MONTH(A1195))</f>
        <v/>
      </c>
      <c r="I1195" s="14">
        <f>IF(A1195="","",YEAR(A1195))</f>
        <v/>
      </c>
    </row>
    <row r="1196">
      <c r="A1196" s="15" t="n"/>
      <c r="B1196" s="10" t="n"/>
      <c r="C1196" s="14">
        <f>IF(B1196="","",IFERROR(INDEX('Sản phẩm'!$B$5:$B$304,MATCH(B1196,'Sản phẩm'!$A$5:$A$304,0)),""))</f>
        <v/>
      </c>
      <c r="D1196" s="12" t="n"/>
      <c r="E1196" s="11" t="n"/>
      <c r="F1196" s="16">
        <f>IF(OR(D1196="",E1196=""),"",D1196*E1196)</f>
        <v/>
      </c>
      <c r="G1196" s="10" t="n"/>
      <c r="H1196" s="14">
        <f>IF(A1196="","",MONTH(A1196))</f>
        <v/>
      </c>
      <c r="I1196" s="14">
        <f>IF(A1196="","",YEAR(A1196))</f>
        <v/>
      </c>
    </row>
    <row r="1197">
      <c r="A1197" s="15" t="n"/>
      <c r="B1197" s="10" t="n"/>
      <c r="C1197" s="14">
        <f>IF(B1197="","",IFERROR(INDEX('Sản phẩm'!$B$5:$B$304,MATCH(B1197,'Sản phẩm'!$A$5:$A$304,0)),""))</f>
        <v/>
      </c>
      <c r="D1197" s="12" t="n"/>
      <c r="E1197" s="11" t="n"/>
      <c r="F1197" s="16">
        <f>IF(OR(D1197="",E1197=""),"",D1197*E1197)</f>
        <v/>
      </c>
      <c r="G1197" s="10" t="n"/>
      <c r="H1197" s="14">
        <f>IF(A1197="","",MONTH(A1197))</f>
        <v/>
      </c>
      <c r="I1197" s="14">
        <f>IF(A1197="","",YEAR(A1197))</f>
        <v/>
      </c>
    </row>
    <row r="1198">
      <c r="A1198" s="15" t="n"/>
      <c r="B1198" s="10" t="n"/>
      <c r="C1198" s="14">
        <f>IF(B1198="","",IFERROR(INDEX('Sản phẩm'!$B$5:$B$304,MATCH(B1198,'Sản phẩm'!$A$5:$A$304,0)),""))</f>
        <v/>
      </c>
      <c r="D1198" s="12" t="n"/>
      <c r="E1198" s="11" t="n"/>
      <c r="F1198" s="16">
        <f>IF(OR(D1198="",E1198=""),"",D1198*E1198)</f>
        <v/>
      </c>
      <c r="G1198" s="10" t="n"/>
      <c r="H1198" s="14">
        <f>IF(A1198="","",MONTH(A1198))</f>
        <v/>
      </c>
      <c r="I1198" s="14">
        <f>IF(A1198="","",YEAR(A1198))</f>
        <v/>
      </c>
    </row>
    <row r="1199">
      <c r="A1199" s="15" t="n"/>
      <c r="B1199" s="10" t="n"/>
      <c r="C1199" s="14">
        <f>IF(B1199="","",IFERROR(INDEX('Sản phẩm'!$B$5:$B$304,MATCH(B1199,'Sản phẩm'!$A$5:$A$304,0)),""))</f>
        <v/>
      </c>
      <c r="D1199" s="12" t="n"/>
      <c r="E1199" s="11" t="n"/>
      <c r="F1199" s="16">
        <f>IF(OR(D1199="",E1199=""),"",D1199*E1199)</f>
        <v/>
      </c>
      <c r="G1199" s="10" t="n"/>
      <c r="H1199" s="14">
        <f>IF(A1199="","",MONTH(A1199))</f>
        <v/>
      </c>
      <c r="I1199" s="14">
        <f>IF(A1199="","",YEAR(A1199))</f>
        <v/>
      </c>
    </row>
    <row r="1200">
      <c r="A1200" s="15" t="n"/>
      <c r="B1200" s="10" t="n"/>
      <c r="C1200" s="14">
        <f>IF(B1200="","",IFERROR(INDEX('Sản phẩm'!$B$5:$B$304,MATCH(B1200,'Sản phẩm'!$A$5:$A$304,0)),""))</f>
        <v/>
      </c>
      <c r="D1200" s="12" t="n"/>
      <c r="E1200" s="11" t="n"/>
      <c r="F1200" s="16">
        <f>IF(OR(D1200="",E1200=""),"",D1200*E1200)</f>
        <v/>
      </c>
      <c r="G1200" s="10" t="n"/>
      <c r="H1200" s="14">
        <f>IF(A1200="","",MONTH(A1200))</f>
        <v/>
      </c>
      <c r="I1200" s="14">
        <f>IF(A1200="","",YEAR(A1200))</f>
        <v/>
      </c>
    </row>
    <row r="1201">
      <c r="A1201" s="15" t="n"/>
      <c r="B1201" s="10" t="n"/>
      <c r="C1201" s="14">
        <f>IF(B1201="","",IFERROR(INDEX('Sản phẩm'!$B$5:$B$304,MATCH(B1201,'Sản phẩm'!$A$5:$A$304,0)),""))</f>
        <v/>
      </c>
      <c r="D1201" s="12" t="n"/>
      <c r="E1201" s="11" t="n"/>
      <c r="F1201" s="16">
        <f>IF(OR(D1201="",E1201=""),"",D1201*E1201)</f>
        <v/>
      </c>
      <c r="G1201" s="10" t="n"/>
      <c r="H1201" s="14">
        <f>IF(A1201="","",MONTH(A1201))</f>
        <v/>
      </c>
      <c r="I1201" s="14">
        <f>IF(A1201="","",YEAR(A1201))</f>
        <v/>
      </c>
    </row>
    <row r="1202">
      <c r="A1202" s="15" t="n"/>
      <c r="B1202" s="10" t="n"/>
      <c r="C1202" s="14">
        <f>IF(B1202="","",IFERROR(INDEX('Sản phẩm'!$B$5:$B$304,MATCH(B1202,'Sản phẩm'!$A$5:$A$304,0)),""))</f>
        <v/>
      </c>
      <c r="D1202" s="12" t="n"/>
      <c r="E1202" s="11" t="n"/>
      <c r="F1202" s="16">
        <f>IF(OR(D1202="",E1202=""),"",D1202*E1202)</f>
        <v/>
      </c>
      <c r="G1202" s="10" t="n"/>
      <c r="H1202" s="14">
        <f>IF(A1202="","",MONTH(A1202))</f>
        <v/>
      </c>
      <c r="I1202" s="14">
        <f>IF(A1202="","",YEAR(A1202))</f>
        <v/>
      </c>
    </row>
    <row r="1203">
      <c r="A1203" s="15" t="n"/>
      <c r="B1203" s="10" t="n"/>
      <c r="C1203" s="14">
        <f>IF(B1203="","",IFERROR(INDEX('Sản phẩm'!$B$5:$B$304,MATCH(B1203,'Sản phẩm'!$A$5:$A$304,0)),""))</f>
        <v/>
      </c>
      <c r="D1203" s="12" t="n"/>
      <c r="E1203" s="11" t="n"/>
      <c r="F1203" s="16">
        <f>IF(OR(D1203="",E1203=""),"",D1203*E1203)</f>
        <v/>
      </c>
      <c r="G1203" s="10" t="n"/>
      <c r="H1203" s="14">
        <f>IF(A1203="","",MONTH(A1203))</f>
        <v/>
      </c>
      <c r="I1203" s="14">
        <f>IF(A1203="","",YEAR(A1203))</f>
        <v/>
      </c>
    </row>
    <row r="1204">
      <c r="A1204" s="15" t="n"/>
      <c r="B1204" s="10" t="n"/>
      <c r="C1204" s="14">
        <f>IF(B1204="","",IFERROR(INDEX('Sản phẩm'!$B$5:$B$304,MATCH(B1204,'Sản phẩm'!$A$5:$A$304,0)),""))</f>
        <v/>
      </c>
      <c r="D1204" s="12" t="n"/>
      <c r="E1204" s="11" t="n"/>
      <c r="F1204" s="16">
        <f>IF(OR(D1204="",E1204=""),"",D1204*E1204)</f>
        <v/>
      </c>
      <c r="G1204" s="10" t="n"/>
      <c r="H1204" s="14">
        <f>IF(A1204="","",MONTH(A1204))</f>
        <v/>
      </c>
      <c r="I1204" s="14">
        <f>IF(A1204="","",YEAR(A1204))</f>
        <v/>
      </c>
    </row>
    <row r="1205">
      <c r="A1205" s="15" t="n"/>
      <c r="B1205" s="10" t="n"/>
      <c r="C1205" s="14">
        <f>IF(B1205="","",IFERROR(INDEX('Sản phẩm'!$B$5:$B$304,MATCH(B1205,'Sản phẩm'!$A$5:$A$304,0)),""))</f>
        <v/>
      </c>
      <c r="D1205" s="12" t="n"/>
      <c r="E1205" s="11" t="n"/>
      <c r="F1205" s="16">
        <f>IF(OR(D1205="",E1205=""),"",D1205*E1205)</f>
        <v/>
      </c>
      <c r="G1205" s="10" t="n"/>
      <c r="H1205" s="14">
        <f>IF(A1205="","",MONTH(A1205))</f>
        <v/>
      </c>
      <c r="I1205" s="14">
        <f>IF(A1205="","",YEAR(A1205))</f>
        <v/>
      </c>
    </row>
    <row r="1206">
      <c r="A1206" s="15" t="n"/>
      <c r="B1206" s="10" t="n"/>
      <c r="C1206" s="14">
        <f>IF(B1206="","",IFERROR(INDEX('Sản phẩm'!$B$5:$B$304,MATCH(B1206,'Sản phẩm'!$A$5:$A$304,0)),""))</f>
        <v/>
      </c>
      <c r="D1206" s="12" t="n"/>
      <c r="E1206" s="11" t="n"/>
      <c r="F1206" s="16">
        <f>IF(OR(D1206="",E1206=""),"",D1206*E1206)</f>
        <v/>
      </c>
      <c r="G1206" s="10" t="n"/>
      <c r="H1206" s="14">
        <f>IF(A1206="","",MONTH(A1206))</f>
        <v/>
      </c>
      <c r="I1206" s="14">
        <f>IF(A1206="","",YEAR(A1206))</f>
        <v/>
      </c>
    </row>
    <row r="1207">
      <c r="A1207" s="15" t="n"/>
      <c r="B1207" s="10" t="n"/>
      <c r="C1207" s="14">
        <f>IF(B1207="","",IFERROR(INDEX('Sản phẩm'!$B$5:$B$304,MATCH(B1207,'Sản phẩm'!$A$5:$A$304,0)),""))</f>
        <v/>
      </c>
      <c r="D1207" s="12" t="n"/>
      <c r="E1207" s="11" t="n"/>
      <c r="F1207" s="16">
        <f>IF(OR(D1207="",E1207=""),"",D1207*E1207)</f>
        <v/>
      </c>
      <c r="G1207" s="10" t="n"/>
      <c r="H1207" s="14">
        <f>IF(A1207="","",MONTH(A1207))</f>
        <v/>
      </c>
      <c r="I1207" s="14">
        <f>IF(A1207="","",YEAR(A1207))</f>
        <v/>
      </c>
    </row>
    <row r="1208">
      <c r="A1208" s="15" t="n"/>
      <c r="B1208" s="10" t="n"/>
      <c r="C1208" s="14">
        <f>IF(B1208="","",IFERROR(INDEX('Sản phẩm'!$B$5:$B$304,MATCH(B1208,'Sản phẩm'!$A$5:$A$304,0)),""))</f>
        <v/>
      </c>
      <c r="D1208" s="12" t="n"/>
      <c r="E1208" s="11" t="n"/>
      <c r="F1208" s="16">
        <f>IF(OR(D1208="",E1208=""),"",D1208*E1208)</f>
        <v/>
      </c>
      <c r="G1208" s="10" t="n"/>
      <c r="H1208" s="14">
        <f>IF(A1208="","",MONTH(A1208))</f>
        <v/>
      </c>
      <c r="I1208" s="14">
        <f>IF(A1208="","",YEAR(A1208))</f>
        <v/>
      </c>
    </row>
    <row r="1209">
      <c r="A1209" s="15" t="n"/>
      <c r="B1209" s="10" t="n"/>
      <c r="C1209" s="14">
        <f>IF(B1209="","",IFERROR(INDEX('Sản phẩm'!$B$5:$B$304,MATCH(B1209,'Sản phẩm'!$A$5:$A$304,0)),""))</f>
        <v/>
      </c>
      <c r="D1209" s="12" t="n"/>
      <c r="E1209" s="11" t="n"/>
      <c r="F1209" s="16">
        <f>IF(OR(D1209="",E1209=""),"",D1209*E1209)</f>
        <v/>
      </c>
      <c r="G1209" s="10" t="n"/>
      <c r="H1209" s="14">
        <f>IF(A1209="","",MONTH(A1209))</f>
        <v/>
      </c>
      <c r="I1209" s="14">
        <f>IF(A1209="","",YEAR(A1209))</f>
        <v/>
      </c>
    </row>
    <row r="1210">
      <c r="A1210" s="15" t="n"/>
      <c r="B1210" s="10" t="n"/>
      <c r="C1210" s="14">
        <f>IF(B1210="","",IFERROR(INDEX('Sản phẩm'!$B$5:$B$304,MATCH(B1210,'Sản phẩm'!$A$5:$A$304,0)),""))</f>
        <v/>
      </c>
      <c r="D1210" s="12" t="n"/>
      <c r="E1210" s="11" t="n"/>
      <c r="F1210" s="16">
        <f>IF(OR(D1210="",E1210=""),"",D1210*E1210)</f>
        <v/>
      </c>
      <c r="G1210" s="10" t="n"/>
      <c r="H1210" s="14">
        <f>IF(A1210="","",MONTH(A1210))</f>
        <v/>
      </c>
      <c r="I1210" s="14">
        <f>IF(A1210="","",YEAR(A1210))</f>
        <v/>
      </c>
    </row>
    <row r="1211">
      <c r="A1211" s="15" t="n"/>
      <c r="B1211" s="10" t="n"/>
      <c r="C1211" s="14">
        <f>IF(B1211="","",IFERROR(INDEX('Sản phẩm'!$B$5:$B$304,MATCH(B1211,'Sản phẩm'!$A$5:$A$304,0)),""))</f>
        <v/>
      </c>
      <c r="D1211" s="12" t="n"/>
      <c r="E1211" s="11" t="n"/>
      <c r="F1211" s="16">
        <f>IF(OR(D1211="",E1211=""),"",D1211*E1211)</f>
        <v/>
      </c>
      <c r="G1211" s="10" t="n"/>
      <c r="H1211" s="14">
        <f>IF(A1211="","",MONTH(A1211))</f>
        <v/>
      </c>
      <c r="I1211" s="14">
        <f>IF(A1211="","",YEAR(A1211))</f>
        <v/>
      </c>
    </row>
    <row r="1212">
      <c r="A1212" s="15" t="n"/>
      <c r="B1212" s="10" t="n"/>
      <c r="C1212" s="14">
        <f>IF(B1212="","",IFERROR(INDEX('Sản phẩm'!$B$5:$B$304,MATCH(B1212,'Sản phẩm'!$A$5:$A$304,0)),""))</f>
        <v/>
      </c>
      <c r="D1212" s="12" t="n"/>
      <c r="E1212" s="11" t="n"/>
      <c r="F1212" s="16">
        <f>IF(OR(D1212="",E1212=""),"",D1212*E1212)</f>
        <v/>
      </c>
      <c r="G1212" s="10" t="n"/>
      <c r="H1212" s="14">
        <f>IF(A1212="","",MONTH(A1212))</f>
        <v/>
      </c>
      <c r="I1212" s="14">
        <f>IF(A1212="","",YEAR(A1212))</f>
        <v/>
      </c>
    </row>
    <row r="1213">
      <c r="A1213" s="15" t="n"/>
      <c r="B1213" s="10" t="n"/>
      <c r="C1213" s="14">
        <f>IF(B1213="","",IFERROR(INDEX('Sản phẩm'!$B$5:$B$304,MATCH(B1213,'Sản phẩm'!$A$5:$A$304,0)),""))</f>
        <v/>
      </c>
      <c r="D1213" s="12" t="n"/>
      <c r="E1213" s="11" t="n"/>
      <c r="F1213" s="16">
        <f>IF(OR(D1213="",E1213=""),"",D1213*E1213)</f>
        <v/>
      </c>
      <c r="G1213" s="10" t="n"/>
      <c r="H1213" s="14">
        <f>IF(A1213="","",MONTH(A1213))</f>
        <v/>
      </c>
      <c r="I1213" s="14">
        <f>IF(A1213="","",YEAR(A1213))</f>
        <v/>
      </c>
    </row>
    <row r="1214">
      <c r="A1214" s="15" t="n"/>
      <c r="B1214" s="10" t="n"/>
      <c r="C1214" s="14">
        <f>IF(B1214="","",IFERROR(INDEX('Sản phẩm'!$B$5:$B$304,MATCH(B1214,'Sản phẩm'!$A$5:$A$304,0)),""))</f>
        <v/>
      </c>
      <c r="D1214" s="12" t="n"/>
      <c r="E1214" s="11" t="n"/>
      <c r="F1214" s="16">
        <f>IF(OR(D1214="",E1214=""),"",D1214*E1214)</f>
        <v/>
      </c>
      <c r="G1214" s="10" t="n"/>
      <c r="H1214" s="14">
        <f>IF(A1214="","",MONTH(A1214))</f>
        <v/>
      </c>
      <c r="I1214" s="14">
        <f>IF(A1214="","",YEAR(A1214))</f>
        <v/>
      </c>
    </row>
    <row r="1215">
      <c r="A1215" s="15" t="n"/>
      <c r="B1215" s="10" t="n"/>
      <c r="C1215" s="14">
        <f>IF(B1215="","",IFERROR(INDEX('Sản phẩm'!$B$5:$B$304,MATCH(B1215,'Sản phẩm'!$A$5:$A$304,0)),""))</f>
        <v/>
      </c>
      <c r="D1215" s="12" t="n"/>
      <c r="E1215" s="11" t="n"/>
      <c r="F1215" s="16">
        <f>IF(OR(D1215="",E1215=""),"",D1215*E1215)</f>
        <v/>
      </c>
      <c r="G1215" s="10" t="n"/>
      <c r="H1215" s="14">
        <f>IF(A1215="","",MONTH(A1215))</f>
        <v/>
      </c>
      <c r="I1215" s="14">
        <f>IF(A1215="","",YEAR(A1215))</f>
        <v/>
      </c>
    </row>
    <row r="1216">
      <c r="A1216" s="15" t="n"/>
      <c r="B1216" s="10" t="n"/>
      <c r="C1216" s="14">
        <f>IF(B1216="","",IFERROR(INDEX('Sản phẩm'!$B$5:$B$304,MATCH(B1216,'Sản phẩm'!$A$5:$A$304,0)),""))</f>
        <v/>
      </c>
      <c r="D1216" s="12" t="n"/>
      <c r="E1216" s="11" t="n"/>
      <c r="F1216" s="16">
        <f>IF(OR(D1216="",E1216=""),"",D1216*E1216)</f>
        <v/>
      </c>
      <c r="G1216" s="10" t="n"/>
      <c r="H1216" s="14">
        <f>IF(A1216="","",MONTH(A1216))</f>
        <v/>
      </c>
      <c r="I1216" s="14">
        <f>IF(A1216="","",YEAR(A1216))</f>
        <v/>
      </c>
    </row>
    <row r="1217">
      <c r="A1217" s="15" t="n"/>
      <c r="B1217" s="10" t="n"/>
      <c r="C1217" s="14">
        <f>IF(B1217="","",IFERROR(INDEX('Sản phẩm'!$B$5:$B$304,MATCH(B1217,'Sản phẩm'!$A$5:$A$304,0)),""))</f>
        <v/>
      </c>
      <c r="D1217" s="12" t="n"/>
      <c r="E1217" s="11" t="n"/>
      <c r="F1217" s="16">
        <f>IF(OR(D1217="",E1217=""),"",D1217*E1217)</f>
        <v/>
      </c>
      <c r="G1217" s="10" t="n"/>
      <c r="H1217" s="14">
        <f>IF(A1217="","",MONTH(A1217))</f>
        <v/>
      </c>
      <c r="I1217" s="14">
        <f>IF(A1217="","",YEAR(A1217))</f>
        <v/>
      </c>
    </row>
    <row r="1218">
      <c r="A1218" s="15" t="n"/>
      <c r="B1218" s="10" t="n"/>
      <c r="C1218" s="14">
        <f>IF(B1218="","",IFERROR(INDEX('Sản phẩm'!$B$5:$B$304,MATCH(B1218,'Sản phẩm'!$A$5:$A$304,0)),""))</f>
        <v/>
      </c>
      <c r="D1218" s="12" t="n"/>
      <c r="E1218" s="11" t="n"/>
      <c r="F1218" s="16">
        <f>IF(OR(D1218="",E1218=""),"",D1218*E1218)</f>
        <v/>
      </c>
      <c r="G1218" s="10" t="n"/>
      <c r="H1218" s="14">
        <f>IF(A1218="","",MONTH(A1218))</f>
        <v/>
      </c>
      <c r="I1218" s="14">
        <f>IF(A1218="","",YEAR(A1218))</f>
        <v/>
      </c>
    </row>
    <row r="1219">
      <c r="A1219" s="15" t="n"/>
      <c r="B1219" s="10" t="n"/>
      <c r="C1219" s="14">
        <f>IF(B1219="","",IFERROR(INDEX('Sản phẩm'!$B$5:$B$304,MATCH(B1219,'Sản phẩm'!$A$5:$A$304,0)),""))</f>
        <v/>
      </c>
      <c r="D1219" s="12" t="n"/>
      <c r="E1219" s="11" t="n"/>
      <c r="F1219" s="16">
        <f>IF(OR(D1219="",E1219=""),"",D1219*E1219)</f>
        <v/>
      </c>
      <c r="G1219" s="10" t="n"/>
      <c r="H1219" s="14">
        <f>IF(A1219="","",MONTH(A1219))</f>
        <v/>
      </c>
      <c r="I1219" s="14">
        <f>IF(A1219="","",YEAR(A1219))</f>
        <v/>
      </c>
    </row>
    <row r="1220">
      <c r="A1220" s="15" t="n"/>
      <c r="B1220" s="10" t="n"/>
      <c r="C1220" s="14">
        <f>IF(B1220="","",IFERROR(INDEX('Sản phẩm'!$B$5:$B$304,MATCH(B1220,'Sản phẩm'!$A$5:$A$304,0)),""))</f>
        <v/>
      </c>
      <c r="D1220" s="12" t="n"/>
      <c r="E1220" s="11" t="n"/>
      <c r="F1220" s="16">
        <f>IF(OR(D1220="",E1220=""),"",D1220*E1220)</f>
        <v/>
      </c>
      <c r="G1220" s="10" t="n"/>
      <c r="H1220" s="14">
        <f>IF(A1220="","",MONTH(A1220))</f>
        <v/>
      </c>
      <c r="I1220" s="14">
        <f>IF(A1220="","",YEAR(A1220))</f>
        <v/>
      </c>
    </row>
    <row r="1221">
      <c r="A1221" s="15" t="n"/>
      <c r="B1221" s="10" t="n"/>
      <c r="C1221" s="14">
        <f>IF(B1221="","",IFERROR(INDEX('Sản phẩm'!$B$5:$B$304,MATCH(B1221,'Sản phẩm'!$A$5:$A$304,0)),""))</f>
        <v/>
      </c>
      <c r="D1221" s="12" t="n"/>
      <c r="E1221" s="11" t="n"/>
      <c r="F1221" s="16">
        <f>IF(OR(D1221="",E1221=""),"",D1221*E1221)</f>
        <v/>
      </c>
      <c r="G1221" s="10" t="n"/>
      <c r="H1221" s="14">
        <f>IF(A1221="","",MONTH(A1221))</f>
        <v/>
      </c>
      <c r="I1221" s="14">
        <f>IF(A1221="","",YEAR(A1221))</f>
        <v/>
      </c>
    </row>
    <row r="1222">
      <c r="A1222" s="15" t="n"/>
      <c r="B1222" s="10" t="n"/>
      <c r="C1222" s="14">
        <f>IF(B1222="","",IFERROR(INDEX('Sản phẩm'!$B$5:$B$304,MATCH(B1222,'Sản phẩm'!$A$5:$A$304,0)),""))</f>
        <v/>
      </c>
      <c r="D1222" s="12" t="n"/>
      <c r="E1222" s="11" t="n"/>
      <c r="F1222" s="16">
        <f>IF(OR(D1222="",E1222=""),"",D1222*E1222)</f>
        <v/>
      </c>
      <c r="G1222" s="10" t="n"/>
      <c r="H1222" s="14">
        <f>IF(A1222="","",MONTH(A1222))</f>
        <v/>
      </c>
      <c r="I1222" s="14">
        <f>IF(A1222="","",YEAR(A1222))</f>
        <v/>
      </c>
    </row>
    <row r="1223">
      <c r="A1223" s="15" t="n"/>
      <c r="B1223" s="10" t="n"/>
      <c r="C1223" s="14">
        <f>IF(B1223="","",IFERROR(INDEX('Sản phẩm'!$B$5:$B$304,MATCH(B1223,'Sản phẩm'!$A$5:$A$304,0)),""))</f>
        <v/>
      </c>
      <c r="D1223" s="12" t="n"/>
      <c r="E1223" s="11" t="n"/>
      <c r="F1223" s="16">
        <f>IF(OR(D1223="",E1223=""),"",D1223*E1223)</f>
        <v/>
      </c>
      <c r="G1223" s="10" t="n"/>
      <c r="H1223" s="14">
        <f>IF(A1223="","",MONTH(A1223))</f>
        <v/>
      </c>
      <c r="I1223" s="14">
        <f>IF(A1223="","",YEAR(A1223))</f>
        <v/>
      </c>
    </row>
    <row r="1224">
      <c r="A1224" s="15" t="n"/>
      <c r="B1224" s="10" t="n"/>
      <c r="C1224" s="14">
        <f>IF(B1224="","",IFERROR(INDEX('Sản phẩm'!$B$5:$B$304,MATCH(B1224,'Sản phẩm'!$A$5:$A$304,0)),""))</f>
        <v/>
      </c>
      <c r="D1224" s="12" t="n"/>
      <c r="E1224" s="11" t="n"/>
      <c r="F1224" s="16">
        <f>IF(OR(D1224="",E1224=""),"",D1224*E1224)</f>
        <v/>
      </c>
      <c r="G1224" s="10" t="n"/>
      <c r="H1224" s="14">
        <f>IF(A1224="","",MONTH(A1224))</f>
        <v/>
      </c>
      <c r="I1224" s="14">
        <f>IF(A1224="","",YEAR(A1224))</f>
        <v/>
      </c>
    </row>
    <row r="1225">
      <c r="A1225" s="15" t="n"/>
      <c r="B1225" s="10" t="n"/>
      <c r="C1225" s="14">
        <f>IF(B1225="","",IFERROR(INDEX('Sản phẩm'!$B$5:$B$304,MATCH(B1225,'Sản phẩm'!$A$5:$A$304,0)),""))</f>
        <v/>
      </c>
      <c r="D1225" s="12" t="n"/>
      <c r="E1225" s="11" t="n"/>
      <c r="F1225" s="16">
        <f>IF(OR(D1225="",E1225=""),"",D1225*E1225)</f>
        <v/>
      </c>
      <c r="G1225" s="10" t="n"/>
      <c r="H1225" s="14">
        <f>IF(A1225="","",MONTH(A1225))</f>
        <v/>
      </c>
      <c r="I1225" s="14">
        <f>IF(A1225="","",YEAR(A1225))</f>
        <v/>
      </c>
    </row>
    <row r="1226">
      <c r="A1226" s="15" t="n"/>
      <c r="B1226" s="10" t="n"/>
      <c r="C1226" s="14">
        <f>IF(B1226="","",IFERROR(INDEX('Sản phẩm'!$B$5:$B$304,MATCH(B1226,'Sản phẩm'!$A$5:$A$304,0)),""))</f>
        <v/>
      </c>
      <c r="D1226" s="12" t="n"/>
      <c r="E1226" s="11" t="n"/>
      <c r="F1226" s="16">
        <f>IF(OR(D1226="",E1226=""),"",D1226*E1226)</f>
        <v/>
      </c>
      <c r="G1226" s="10" t="n"/>
      <c r="H1226" s="14">
        <f>IF(A1226="","",MONTH(A1226))</f>
        <v/>
      </c>
      <c r="I1226" s="14">
        <f>IF(A1226="","",YEAR(A1226))</f>
        <v/>
      </c>
    </row>
    <row r="1227">
      <c r="A1227" s="15" t="n"/>
      <c r="B1227" s="10" t="n"/>
      <c r="C1227" s="14">
        <f>IF(B1227="","",IFERROR(INDEX('Sản phẩm'!$B$5:$B$304,MATCH(B1227,'Sản phẩm'!$A$5:$A$304,0)),""))</f>
        <v/>
      </c>
      <c r="D1227" s="12" t="n"/>
      <c r="E1227" s="11" t="n"/>
      <c r="F1227" s="16">
        <f>IF(OR(D1227="",E1227=""),"",D1227*E1227)</f>
        <v/>
      </c>
      <c r="G1227" s="10" t="n"/>
      <c r="H1227" s="14">
        <f>IF(A1227="","",MONTH(A1227))</f>
        <v/>
      </c>
      <c r="I1227" s="14">
        <f>IF(A1227="","",YEAR(A1227))</f>
        <v/>
      </c>
    </row>
    <row r="1228">
      <c r="A1228" s="15" t="n"/>
      <c r="B1228" s="10" t="n"/>
      <c r="C1228" s="14">
        <f>IF(B1228="","",IFERROR(INDEX('Sản phẩm'!$B$5:$B$304,MATCH(B1228,'Sản phẩm'!$A$5:$A$304,0)),""))</f>
        <v/>
      </c>
      <c r="D1228" s="12" t="n"/>
      <c r="E1228" s="11" t="n"/>
      <c r="F1228" s="16">
        <f>IF(OR(D1228="",E1228=""),"",D1228*E1228)</f>
        <v/>
      </c>
      <c r="G1228" s="10" t="n"/>
      <c r="H1228" s="14">
        <f>IF(A1228="","",MONTH(A1228))</f>
        <v/>
      </c>
      <c r="I1228" s="14">
        <f>IF(A1228="","",YEAR(A1228))</f>
        <v/>
      </c>
    </row>
    <row r="1229">
      <c r="A1229" s="15" t="n"/>
      <c r="B1229" s="10" t="n"/>
      <c r="C1229" s="14">
        <f>IF(B1229="","",IFERROR(INDEX('Sản phẩm'!$B$5:$B$304,MATCH(B1229,'Sản phẩm'!$A$5:$A$304,0)),""))</f>
        <v/>
      </c>
      <c r="D1229" s="12" t="n"/>
      <c r="E1229" s="11" t="n"/>
      <c r="F1229" s="16">
        <f>IF(OR(D1229="",E1229=""),"",D1229*E1229)</f>
        <v/>
      </c>
      <c r="G1229" s="10" t="n"/>
      <c r="H1229" s="14">
        <f>IF(A1229="","",MONTH(A1229))</f>
        <v/>
      </c>
      <c r="I1229" s="14">
        <f>IF(A1229="","",YEAR(A1229))</f>
        <v/>
      </c>
    </row>
    <row r="1230">
      <c r="A1230" s="15" t="n"/>
      <c r="B1230" s="10" t="n"/>
      <c r="C1230" s="14">
        <f>IF(B1230="","",IFERROR(INDEX('Sản phẩm'!$B$5:$B$304,MATCH(B1230,'Sản phẩm'!$A$5:$A$304,0)),""))</f>
        <v/>
      </c>
      <c r="D1230" s="12" t="n"/>
      <c r="E1230" s="11" t="n"/>
      <c r="F1230" s="16">
        <f>IF(OR(D1230="",E1230=""),"",D1230*E1230)</f>
        <v/>
      </c>
      <c r="G1230" s="10" t="n"/>
      <c r="H1230" s="14">
        <f>IF(A1230="","",MONTH(A1230))</f>
        <v/>
      </c>
      <c r="I1230" s="14">
        <f>IF(A1230="","",YEAR(A1230))</f>
        <v/>
      </c>
    </row>
    <row r="1231">
      <c r="A1231" s="15" t="n"/>
      <c r="B1231" s="10" t="n"/>
      <c r="C1231" s="14">
        <f>IF(B1231="","",IFERROR(INDEX('Sản phẩm'!$B$5:$B$304,MATCH(B1231,'Sản phẩm'!$A$5:$A$304,0)),""))</f>
        <v/>
      </c>
      <c r="D1231" s="12" t="n"/>
      <c r="E1231" s="11" t="n"/>
      <c r="F1231" s="16">
        <f>IF(OR(D1231="",E1231=""),"",D1231*E1231)</f>
        <v/>
      </c>
      <c r="G1231" s="10" t="n"/>
      <c r="H1231" s="14">
        <f>IF(A1231="","",MONTH(A1231))</f>
        <v/>
      </c>
      <c r="I1231" s="14">
        <f>IF(A1231="","",YEAR(A1231))</f>
        <v/>
      </c>
    </row>
    <row r="1232">
      <c r="A1232" s="15" t="n"/>
      <c r="B1232" s="10" t="n"/>
      <c r="C1232" s="14">
        <f>IF(B1232="","",IFERROR(INDEX('Sản phẩm'!$B$5:$B$304,MATCH(B1232,'Sản phẩm'!$A$5:$A$304,0)),""))</f>
        <v/>
      </c>
      <c r="D1232" s="12" t="n"/>
      <c r="E1232" s="11" t="n"/>
      <c r="F1232" s="16">
        <f>IF(OR(D1232="",E1232=""),"",D1232*E1232)</f>
        <v/>
      </c>
      <c r="G1232" s="10" t="n"/>
      <c r="H1232" s="14">
        <f>IF(A1232="","",MONTH(A1232))</f>
        <v/>
      </c>
      <c r="I1232" s="14">
        <f>IF(A1232="","",YEAR(A1232))</f>
        <v/>
      </c>
    </row>
    <row r="1233">
      <c r="A1233" s="15" t="n"/>
      <c r="B1233" s="10" t="n"/>
      <c r="C1233" s="14">
        <f>IF(B1233="","",IFERROR(INDEX('Sản phẩm'!$B$5:$B$304,MATCH(B1233,'Sản phẩm'!$A$5:$A$304,0)),""))</f>
        <v/>
      </c>
      <c r="D1233" s="12" t="n"/>
      <c r="E1233" s="11" t="n"/>
      <c r="F1233" s="16">
        <f>IF(OR(D1233="",E1233=""),"",D1233*E1233)</f>
        <v/>
      </c>
      <c r="G1233" s="10" t="n"/>
      <c r="H1233" s="14">
        <f>IF(A1233="","",MONTH(A1233))</f>
        <v/>
      </c>
      <c r="I1233" s="14">
        <f>IF(A1233="","",YEAR(A1233))</f>
        <v/>
      </c>
    </row>
    <row r="1234">
      <c r="A1234" s="15" t="n"/>
      <c r="B1234" s="10" t="n"/>
      <c r="C1234" s="14">
        <f>IF(B1234="","",IFERROR(INDEX('Sản phẩm'!$B$5:$B$304,MATCH(B1234,'Sản phẩm'!$A$5:$A$304,0)),""))</f>
        <v/>
      </c>
      <c r="D1234" s="12" t="n"/>
      <c r="E1234" s="11" t="n"/>
      <c r="F1234" s="16">
        <f>IF(OR(D1234="",E1234=""),"",D1234*E1234)</f>
        <v/>
      </c>
      <c r="G1234" s="10" t="n"/>
      <c r="H1234" s="14">
        <f>IF(A1234="","",MONTH(A1234))</f>
        <v/>
      </c>
      <c r="I1234" s="14">
        <f>IF(A1234="","",YEAR(A1234))</f>
        <v/>
      </c>
    </row>
    <row r="1235">
      <c r="A1235" s="15" t="n"/>
      <c r="B1235" s="10" t="n"/>
      <c r="C1235" s="14">
        <f>IF(B1235="","",IFERROR(INDEX('Sản phẩm'!$B$5:$B$304,MATCH(B1235,'Sản phẩm'!$A$5:$A$304,0)),""))</f>
        <v/>
      </c>
      <c r="D1235" s="12" t="n"/>
      <c r="E1235" s="11" t="n"/>
      <c r="F1235" s="16">
        <f>IF(OR(D1235="",E1235=""),"",D1235*E1235)</f>
        <v/>
      </c>
      <c r="G1235" s="10" t="n"/>
      <c r="H1235" s="14">
        <f>IF(A1235="","",MONTH(A1235))</f>
        <v/>
      </c>
      <c r="I1235" s="14">
        <f>IF(A1235="","",YEAR(A1235))</f>
        <v/>
      </c>
    </row>
    <row r="1236">
      <c r="A1236" s="15" t="n"/>
      <c r="B1236" s="10" t="n"/>
      <c r="C1236" s="14">
        <f>IF(B1236="","",IFERROR(INDEX('Sản phẩm'!$B$5:$B$304,MATCH(B1236,'Sản phẩm'!$A$5:$A$304,0)),""))</f>
        <v/>
      </c>
      <c r="D1236" s="12" t="n"/>
      <c r="E1236" s="11" t="n"/>
      <c r="F1236" s="16">
        <f>IF(OR(D1236="",E1236=""),"",D1236*E1236)</f>
        <v/>
      </c>
      <c r="G1236" s="10" t="n"/>
      <c r="H1236" s="14">
        <f>IF(A1236="","",MONTH(A1236))</f>
        <v/>
      </c>
      <c r="I1236" s="14">
        <f>IF(A1236="","",YEAR(A1236))</f>
        <v/>
      </c>
    </row>
    <row r="1237">
      <c r="A1237" s="15" t="n"/>
      <c r="B1237" s="10" t="n"/>
      <c r="C1237" s="14">
        <f>IF(B1237="","",IFERROR(INDEX('Sản phẩm'!$B$5:$B$304,MATCH(B1237,'Sản phẩm'!$A$5:$A$304,0)),""))</f>
        <v/>
      </c>
      <c r="D1237" s="12" t="n"/>
      <c r="E1237" s="11" t="n"/>
      <c r="F1237" s="16">
        <f>IF(OR(D1237="",E1237=""),"",D1237*E1237)</f>
        <v/>
      </c>
      <c r="G1237" s="10" t="n"/>
      <c r="H1237" s="14">
        <f>IF(A1237="","",MONTH(A1237))</f>
        <v/>
      </c>
      <c r="I1237" s="14">
        <f>IF(A1237="","",YEAR(A1237))</f>
        <v/>
      </c>
    </row>
    <row r="1238">
      <c r="A1238" s="15" t="n"/>
      <c r="B1238" s="10" t="n"/>
      <c r="C1238" s="14">
        <f>IF(B1238="","",IFERROR(INDEX('Sản phẩm'!$B$5:$B$304,MATCH(B1238,'Sản phẩm'!$A$5:$A$304,0)),""))</f>
        <v/>
      </c>
      <c r="D1238" s="12" t="n"/>
      <c r="E1238" s="11" t="n"/>
      <c r="F1238" s="16">
        <f>IF(OR(D1238="",E1238=""),"",D1238*E1238)</f>
        <v/>
      </c>
      <c r="G1238" s="10" t="n"/>
      <c r="H1238" s="14">
        <f>IF(A1238="","",MONTH(A1238))</f>
        <v/>
      </c>
      <c r="I1238" s="14">
        <f>IF(A1238="","",YEAR(A1238))</f>
        <v/>
      </c>
    </row>
    <row r="1239">
      <c r="A1239" s="15" t="n"/>
      <c r="B1239" s="10" t="n"/>
      <c r="C1239" s="14">
        <f>IF(B1239="","",IFERROR(INDEX('Sản phẩm'!$B$5:$B$304,MATCH(B1239,'Sản phẩm'!$A$5:$A$304,0)),""))</f>
        <v/>
      </c>
      <c r="D1239" s="12" t="n"/>
      <c r="E1239" s="11" t="n"/>
      <c r="F1239" s="16">
        <f>IF(OR(D1239="",E1239=""),"",D1239*E1239)</f>
        <v/>
      </c>
      <c r="G1239" s="10" t="n"/>
      <c r="H1239" s="14">
        <f>IF(A1239="","",MONTH(A1239))</f>
        <v/>
      </c>
      <c r="I1239" s="14">
        <f>IF(A1239="","",YEAR(A1239))</f>
        <v/>
      </c>
    </row>
    <row r="1240">
      <c r="A1240" s="15" t="n"/>
      <c r="B1240" s="10" t="n"/>
      <c r="C1240" s="14">
        <f>IF(B1240="","",IFERROR(INDEX('Sản phẩm'!$B$5:$B$304,MATCH(B1240,'Sản phẩm'!$A$5:$A$304,0)),""))</f>
        <v/>
      </c>
      <c r="D1240" s="12" t="n"/>
      <c r="E1240" s="11" t="n"/>
      <c r="F1240" s="16">
        <f>IF(OR(D1240="",E1240=""),"",D1240*E1240)</f>
        <v/>
      </c>
      <c r="G1240" s="10" t="n"/>
      <c r="H1240" s="14">
        <f>IF(A1240="","",MONTH(A1240))</f>
        <v/>
      </c>
      <c r="I1240" s="14">
        <f>IF(A1240="","",YEAR(A1240))</f>
        <v/>
      </c>
    </row>
    <row r="1241">
      <c r="A1241" s="15" t="n"/>
      <c r="B1241" s="10" t="n"/>
      <c r="C1241" s="14">
        <f>IF(B1241="","",IFERROR(INDEX('Sản phẩm'!$B$5:$B$304,MATCH(B1241,'Sản phẩm'!$A$5:$A$304,0)),""))</f>
        <v/>
      </c>
      <c r="D1241" s="12" t="n"/>
      <c r="E1241" s="11" t="n"/>
      <c r="F1241" s="16">
        <f>IF(OR(D1241="",E1241=""),"",D1241*E1241)</f>
        <v/>
      </c>
      <c r="G1241" s="10" t="n"/>
      <c r="H1241" s="14">
        <f>IF(A1241="","",MONTH(A1241))</f>
        <v/>
      </c>
      <c r="I1241" s="14">
        <f>IF(A1241="","",YEAR(A1241))</f>
        <v/>
      </c>
    </row>
    <row r="1242">
      <c r="A1242" s="15" t="n"/>
      <c r="B1242" s="10" t="n"/>
      <c r="C1242" s="14">
        <f>IF(B1242="","",IFERROR(INDEX('Sản phẩm'!$B$5:$B$304,MATCH(B1242,'Sản phẩm'!$A$5:$A$304,0)),""))</f>
        <v/>
      </c>
      <c r="D1242" s="12" t="n"/>
      <c r="E1242" s="11" t="n"/>
      <c r="F1242" s="16">
        <f>IF(OR(D1242="",E1242=""),"",D1242*E1242)</f>
        <v/>
      </c>
      <c r="G1242" s="10" t="n"/>
      <c r="H1242" s="14">
        <f>IF(A1242="","",MONTH(A1242))</f>
        <v/>
      </c>
      <c r="I1242" s="14">
        <f>IF(A1242="","",YEAR(A1242))</f>
        <v/>
      </c>
    </row>
    <row r="1243">
      <c r="A1243" s="15" t="n"/>
      <c r="B1243" s="10" t="n"/>
      <c r="C1243" s="14">
        <f>IF(B1243="","",IFERROR(INDEX('Sản phẩm'!$B$5:$B$304,MATCH(B1243,'Sản phẩm'!$A$5:$A$304,0)),""))</f>
        <v/>
      </c>
      <c r="D1243" s="12" t="n"/>
      <c r="E1243" s="11" t="n"/>
      <c r="F1243" s="16">
        <f>IF(OR(D1243="",E1243=""),"",D1243*E1243)</f>
        <v/>
      </c>
      <c r="G1243" s="10" t="n"/>
      <c r="H1243" s="14">
        <f>IF(A1243="","",MONTH(A1243))</f>
        <v/>
      </c>
      <c r="I1243" s="14">
        <f>IF(A1243="","",YEAR(A1243))</f>
        <v/>
      </c>
    </row>
    <row r="1244">
      <c r="A1244" s="15" t="n"/>
      <c r="B1244" s="10" t="n"/>
      <c r="C1244" s="14">
        <f>IF(B1244="","",IFERROR(INDEX('Sản phẩm'!$B$5:$B$304,MATCH(B1244,'Sản phẩm'!$A$5:$A$304,0)),""))</f>
        <v/>
      </c>
      <c r="D1244" s="12" t="n"/>
      <c r="E1244" s="11" t="n"/>
      <c r="F1244" s="16">
        <f>IF(OR(D1244="",E1244=""),"",D1244*E1244)</f>
        <v/>
      </c>
      <c r="G1244" s="10" t="n"/>
      <c r="H1244" s="14">
        <f>IF(A1244="","",MONTH(A1244))</f>
        <v/>
      </c>
      <c r="I1244" s="14">
        <f>IF(A1244="","",YEAR(A1244))</f>
        <v/>
      </c>
    </row>
    <row r="1245">
      <c r="A1245" s="15" t="n"/>
      <c r="B1245" s="10" t="n"/>
      <c r="C1245" s="14">
        <f>IF(B1245="","",IFERROR(INDEX('Sản phẩm'!$B$5:$B$304,MATCH(B1245,'Sản phẩm'!$A$5:$A$304,0)),""))</f>
        <v/>
      </c>
      <c r="D1245" s="12" t="n"/>
      <c r="E1245" s="11" t="n"/>
      <c r="F1245" s="16">
        <f>IF(OR(D1245="",E1245=""),"",D1245*E1245)</f>
        <v/>
      </c>
      <c r="G1245" s="10" t="n"/>
      <c r="H1245" s="14">
        <f>IF(A1245="","",MONTH(A1245))</f>
        <v/>
      </c>
      <c r="I1245" s="14">
        <f>IF(A1245="","",YEAR(A1245))</f>
        <v/>
      </c>
    </row>
    <row r="1246">
      <c r="A1246" s="15" t="n"/>
      <c r="B1246" s="10" t="n"/>
      <c r="C1246" s="14">
        <f>IF(B1246="","",IFERROR(INDEX('Sản phẩm'!$B$5:$B$304,MATCH(B1246,'Sản phẩm'!$A$5:$A$304,0)),""))</f>
        <v/>
      </c>
      <c r="D1246" s="12" t="n"/>
      <c r="E1246" s="11" t="n"/>
      <c r="F1246" s="16">
        <f>IF(OR(D1246="",E1246=""),"",D1246*E1246)</f>
        <v/>
      </c>
      <c r="G1246" s="10" t="n"/>
      <c r="H1246" s="14">
        <f>IF(A1246="","",MONTH(A1246))</f>
        <v/>
      </c>
      <c r="I1246" s="14">
        <f>IF(A1246="","",YEAR(A1246))</f>
        <v/>
      </c>
    </row>
    <row r="1247">
      <c r="A1247" s="15" t="n"/>
      <c r="B1247" s="10" t="n"/>
      <c r="C1247" s="14">
        <f>IF(B1247="","",IFERROR(INDEX('Sản phẩm'!$B$5:$B$304,MATCH(B1247,'Sản phẩm'!$A$5:$A$304,0)),""))</f>
        <v/>
      </c>
      <c r="D1247" s="12" t="n"/>
      <c r="E1247" s="11" t="n"/>
      <c r="F1247" s="16">
        <f>IF(OR(D1247="",E1247=""),"",D1247*E1247)</f>
        <v/>
      </c>
      <c r="G1247" s="10" t="n"/>
      <c r="H1247" s="14">
        <f>IF(A1247="","",MONTH(A1247))</f>
        <v/>
      </c>
      <c r="I1247" s="14">
        <f>IF(A1247="","",YEAR(A1247))</f>
        <v/>
      </c>
    </row>
    <row r="1248">
      <c r="A1248" s="15" t="n"/>
      <c r="B1248" s="10" t="n"/>
      <c r="C1248" s="14">
        <f>IF(B1248="","",IFERROR(INDEX('Sản phẩm'!$B$5:$B$304,MATCH(B1248,'Sản phẩm'!$A$5:$A$304,0)),""))</f>
        <v/>
      </c>
      <c r="D1248" s="12" t="n"/>
      <c r="E1248" s="11" t="n"/>
      <c r="F1248" s="16">
        <f>IF(OR(D1248="",E1248=""),"",D1248*E1248)</f>
        <v/>
      </c>
      <c r="G1248" s="10" t="n"/>
      <c r="H1248" s="14">
        <f>IF(A1248="","",MONTH(A1248))</f>
        <v/>
      </c>
      <c r="I1248" s="14">
        <f>IF(A1248="","",YEAR(A1248))</f>
        <v/>
      </c>
    </row>
    <row r="1249">
      <c r="A1249" s="15" t="n"/>
      <c r="B1249" s="10" t="n"/>
      <c r="C1249" s="14">
        <f>IF(B1249="","",IFERROR(INDEX('Sản phẩm'!$B$5:$B$304,MATCH(B1249,'Sản phẩm'!$A$5:$A$304,0)),""))</f>
        <v/>
      </c>
      <c r="D1249" s="12" t="n"/>
      <c r="E1249" s="11" t="n"/>
      <c r="F1249" s="16">
        <f>IF(OR(D1249="",E1249=""),"",D1249*E1249)</f>
        <v/>
      </c>
      <c r="G1249" s="10" t="n"/>
      <c r="H1249" s="14">
        <f>IF(A1249="","",MONTH(A1249))</f>
        <v/>
      </c>
      <c r="I1249" s="14">
        <f>IF(A1249="","",YEAR(A1249))</f>
        <v/>
      </c>
    </row>
    <row r="1250">
      <c r="A1250" s="15" t="n"/>
      <c r="B1250" s="10" t="n"/>
      <c r="C1250" s="14">
        <f>IF(B1250="","",IFERROR(INDEX('Sản phẩm'!$B$5:$B$304,MATCH(B1250,'Sản phẩm'!$A$5:$A$304,0)),""))</f>
        <v/>
      </c>
      <c r="D1250" s="12" t="n"/>
      <c r="E1250" s="11" t="n"/>
      <c r="F1250" s="16">
        <f>IF(OR(D1250="",E1250=""),"",D1250*E1250)</f>
        <v/>
      </c>
      <c r="G1250" s="10" t="n"/>
      <c r="H1250" s="14">
        <f>IF(A1250="","",MONTH(A1250))</f>
        <v/>
      </c>
      <c r="I1250" s="14">
        <f>IF(A1250="","",YEAR(A1250))</f>
        <v/>
      </c>
    </row>
    <row r="1251">
      <c r="A1251" s="15" t="n"/>
      <c r="B1251" s="10" t="n"/>
      <c r="C1251" s="14">
        <f>IF(B1251="","",IFERROR(INDEX('Sản phẩm'!$B$5:$B$304,MATCH(B1251,'Sản phẩm'!$A$5:$A$304,0)),""))</f>
        <v/>
      </c>
      <c r="D1251" s="12" t="n"/>
      <c r="E1251" s="11" t="n"/>
      <c r="F1251" s="16">
        <f>IF(OR(D1251="",E1251=""),"",D1251*E1251)</f>
        <v/>
      </c>
      <c r="G1251" s="10" t="n"/>
      <c r="H1251" s="14">
        <f>IF(A1251="","",MONTH(A1251))</f>
        <v/>
      </c>
      <c r="I1251" s="14">
        <f>IF(A1251="","",YEAR(A1251))</f>
        <v/>
      </c>
    </row>
    <row r="1252">
      <c r="A1252" s="15" t="n"/>
      <c r="B1252" s="10" t="n"/>
      <c r="C1252" s="14">
        <f>IF(B1252="","",IFERROR(INDEX('Sản phẩm'!$B$5:$B$304,MATCH(B1252,'Sản phẩm'!$A$5:$A$304,0)),""))</f>
        <v/>
      </c>
      <c r="D1252" s="12" t="n"/>
      <c r="E1252" s="11" t="n"/>
      <c r="F1252" s="16">
        <f>IF(OR(D1252="",E1252=""),"",D1252*E1252)</f>
        <v/>
      </c>
      <c r="G1252" s="10" t="n"/>
      <c r="H1252" s="14">
        <f>IF(A1252="","",MONTH(A1252))</f>
        <v/>
      </c>
      <c r="I1252" s="14">
        <f>IF(A1252="","",YEAR(A1252))</f>
        <v/>
      </c>
    </row>
    <row r="1253">
      <c r="A1253" s="15" t="n"/>
      <c r="B1253" s="10" t="n"/>
      <c r="C1253" s="14">
        <f>IF(B1253="","",IFERROR(INDEX('Sản phẩm'!$B$5:$B$304,MATCH(B1253,'Sản phẩm'!$A$5:$A$304,0)),""))</f>
        <v/>
      </c>
      <c r="D1253" s="12" t="n"/>
      <c r="E1253" s="11" t="n"/>
      <c r="F1253" s="16">
        <f>IF(OR(D1253="",E1253=""),"",D1253*E1253)</f>
        <v/>
      </c>
      <c r="G1253" s="10" t="n"/>
      <c r="H1253" s="14">
        <f>IF(A1253="","",MONTH(A1253))</f>
        <v/>
      </c>
      <c r="I1253" s="14">
        <f>IF(A1253="","",YEAR(A1253))</f>
        <v/>
      </c>
    </row>
    <row r="1254">
      <c r="A1254" s="15" t="n"/>
      <c r="B1254" s="10" t="n"/>
      <c r="C1254" s="14">
        <f>IF(B1254="","",IFERROR(INDEX('Sản phẩm'!$B$5:$B$304,MATCH(B1254,'Sản phẩm'!$A$5:$A$304,0)),""))</f>
        <v/>
      </c>
      <c r="D1254" s="12" t="n"/>
      <c r="E1254" s="11" t="n"/>
      <c r="F1254" s="16">
        <f>IF(OR(D1254="",E1254=""),"",D1254*E1254)</f>
        <v/>
      </c>
      <c r="G1254" s="10" t="n"/>
      <c r="H1254" s="14">
        <f>IF(A1254="","",MONTH(A1254))</f>
        <v/>
      </c>
      <c r="I1254" s="14">
        <f>IF(A1254="","",YEAR(A1254))</f>
        <v/>
      </c>
    </row>
    <row r="1255">
      <c r="A1255" s="15" t="n"/>
      <c r="B1255" s="10" t="n"/>
      <c r="C1255" s="14">
        <f>IF(B1255="","",IFERROR(INDEX('Sản phẩm'!$B$5:$B$304,MATCH(B1255,'Sản phẩm'!$A$5:$A$304,0)),""))</f>
        <v/>
      </c>
      <c r="D1255" s="12" t="n"/>
      <c r="E1255" s="11" t="n"/>
      <c r="F1255" s="16">
        <f>IF(OR(D1255="",E1255=""),"",D1255*E1255)</f>
        <v/>
      </c>
      <c r="G1255" s="10" t="n"/>
      <c r="H1255" s="14">
        <f>IF(A1255="","",MONTH(A1255))</f>
        <v/>
      </c>
      <c r="I1255" s="14">
        <f>IF(A1255="","",YEAR(A1255))</f>
        <v/>
      </c>
    </row>
    <row r="1256">
      <c r="A1256" s="15" t="n"/>
      <c r="B1256" s="10" t="n"/>
      <c r="C1256" s="14">
        <f>IF(B1256="","",IFERROR(INDEX('Sản phẩm'!$B$5:$B$304,MATCH(B1256,'Sản phẩm'!$A$5:$A$304,0)),""))</f>
        <v/>
      </c>
      <c r="D1256" s="12" t="n"/>
      <c r="E1256" s="11" t="n"/>
      <c r="F1256" s="16">
        <f>IF(OR(D1256="",E1256=""),"",D1256*E1256)</f>
        <v/>
      </c>
      <c r="G1256" s="10" t="n"/>
      <c r="H1256" s="14">
        <f>IF(A1256="","",MONTH(A1256))</f>
        <v/>
      </c>
      <c r="I1256" s="14">
        <f>IF(A1256="","",YEAR(A1256))</f>
        <v/>
      </c>
    </row>
    <row r="1257">
      <c r="A1257" s="15" t="n"/>
      <c r="B1257" s="10" t="n"/>
      <c r="C1257" s="14">
        <f>IF(B1257="","",IFERROR(INDEX('Sản phẩm'!$B$5:$B$304,MATCH(B1257,'Sản phẩm'!$A$5:$A$304,0)),""))</f>
        <v/>
      </c>
      <c r="D1257" s="12" t="n"/>
      <c r="E1257" s="11" t="n"/>
      <c r="F1257" s="16">
        <f>IF(OR(D1257="",E1257=""),"",D1257*E1257)</f>
        <v/>
      </c>
      <c r="G1257" s="10" t="n"/>
      <c r="H1257" s="14">
        <f>IF(A1257="","",MONTH(A1257))</f>
        <v/>
      </c>
      <c r="I1257" s="14">
        <f>IF(A1257="","",YEAR(A1257))</f>
        <v/>
      </c>
    </row>
    <row r="1258">
      <c r="A1258" s="15" t="n"/>
      <c r="B1258" s="10" t="n"/>
      <c r="C1258" s="14">
        <f>IF(B1258="","",IFERROR(INDEX('Sản phẩm'!$B$5:$B$304,MATCH(B1258,'Sản phẩm'!$A$5:$A$304,0)),""))</f>
        <v/>
      </c>
      <c r="D1258" s="12" t="n"/>
      <c r="E1258" s="11" t="n"/>
      <c r="F1258" s="16">
        <f>IF(OR(D1258="",E1258=""),"",D1258*E1258)</f>
        <v/>
      </c>
      <c r="G1258" s="10" t="n"/>
      <c r="H1258" s="14">
        <f>IF(A1258="","",MONTH(A1258))</f>
        <v/>
      </c>
      <c r="I1258" s="14">
        <f>IF(A1258="","",YEAR(A1258))</f>
        <v/>
      </c>
    </row>
    <row r="1259">
      <c r="A1259" s="15" t="n"/>
      <c r="B1259" s="10" t="n"/>
      <c r="C1259" s="14">
        <f>IF(B1259="","",IFERROR(INDEX('Sản phẩm'!$B$5:$B$304,MATCH(B1259,'Sản phẩm'!$A$5:$A$304,0)),""))</f>
        <v/>
      </c>
      <c r="D1259" s="12" t="n"/>
      <c r="E1259" s="11" t="n"/>
      <c r="F1259" s="16">
        <f>IF(OR(D1259="",E1259=""),"",D1259*E1259)</f>
        <v/>
      </c>
      <c r="G1259" s="10" t="n"/>
      <c r="H1259" s="14">
        <f>IF(A1259="","",MONTH(A1259))</f>
        <v/>
      </c>
      <c r="I1259" s="14">
        <f>IF(A1259="","",YEAR(A1259))</f>
        <v/>
      </c>
    </row>
    <row r="1260">
      <c r="A1260" s="15" t="n"/>
      <c r="B1260" s="10" t="n"/>
      <c r="C1260" s="14">
        <f>IF(B1260="","",IFERROR(INDEX('Sản phẩm'!$B$5:$B$304,MATCH(B1260,'Sản phẩm'!$A$5:$A$304,0)),""))</f>
        <v/>
      </c>
      <c r="D1260" s="12" t="n"/>
      <c r="E1260" s="11" t="n"/>
      <c r="F1260" s="16">
        <f>IF(OR(D1260="",E1260=""),"",D1260*E1260)</f>
        <v/>
      </c>
      <c r="G1260" s="10" t="n"/>
      <c r="H1260" s="14">
        <f>IF(A1260="","",MONTH(A1260))</f>
        <v/>
      </c>
      <c r="I1260" s="14">
        <f>IF(A1260="","",YEAR(A1260))</f>
        <v/>
      </c>
    </row>
    <row r="1261">
      <c r="A1261" s="15" t="n"/>
      <c r="B1261" s="10" t="n"/>
      <c r="C1261" s="14">
        <f>IF(B1261="","",IFERROR(INDEX('Sản phẩm'!$B$5:$B$304,MATCH(B1261,'Sản phẩm'!$A$5:$A$304,0)),""))</f>
        <v/>
      </c>
      <c r="D1261" s="12" t="n"/>
      <c r="E1261" s="11" t="n"/>
      <c r="F1261" s="16">
        <f>IF(OR(D1261="",E1261=""),"",D1261*E1261)</f>
        <v/>
      </c>
      <c r="G1261" s="10" t="n"/>
      <c r="H1261" s="14">
        <f>IF(A1261="","",MONTH(A1261))</f>
        <v/>
      </c>
      <c r="I1261" s="14">
        <f>IF(A1261="","",YEAR(A1261))</f>
        <v/>
      </c>
    </row>
    <row r="1262">
      <c r="A1262" s="15" t="n"/>
      <c r="B1262" s="10" t="n"/>
      <c r="C1262" s="14">
        <f>IF(B1262="","",IFERROR(INDEX('Sản phẩm'!$B$5:$B$304,MATCH(B1262,'Sản phẩm'!$A$5:$A$304,0)),""))</f>
        <v/>
      </c>
      <c r="D1262" s="12" t="n"/>
      <c r="E1262" s="11" t="n"/>
      <c r="F1262" s="16">
        <f>IF(OR(D1262="",E1262=""),"",D1262*E1262)</f>
        <v/>
      </c>
      <c r="G1262" s="10" t="n"/>
      <c r="H1262" s="14">
        <f>IF(A1262="","",MONTH(A1262))</f>
        <v/>
      </c>
      <c r="I1262" s="14">
        <f>IF(A1262="","",YEAR(A1262))</f>
        <v/>
      </c>
    </row>
    <row r="1263">
      <c r="A1263" s="15" t="n"/>
      <c r="B1263" s="10" t="n"/>
      <c r="C1263" s="14">
        <f>IF(B1263="","",IFERROR(INDEX('Sản phẩm'!$B$5:$B$304,MATCH(B1263,'Sản phẩm'!$A$5:$A$304,0)),""))</f>
        <v/>
      </c>
      <c r="D1263" s="12" t="n"/>
      <c r="E1263" s="11" t="n"/>
      <c r="F1263" s="16">
        <f>IF(OR(D1263="",E1263=""),"",D1263*E1263)</f>
        <v/>
      </c>
      <c r="G1263" s="10" t="n"/>
      <c r="H1263" s="14">
        <f>IF(A1263="","",MONTH(A1263))</f>
        <v/>
      </c>
      <c r="I1263" s="14">
        <f>IF(A1263="","",YEAR(A1263))</f>
        <v/>
      </c>
    </row>
    <row r="1264">
      <c r="A1264" s="15" t="n"/>
      <c r="B1264" s="10" t="n"/>
      <c r="C1264" s="14">
        <f>IF(B1264="","",IFERROR(INDEX('Sản phẩm'!$B$5:$B$304,MATCH(B1264,'Sản phẩm'!$A$5:$A$304,0)),""))</f>
        <v/>
      </c>
      <c r="D1264" s="12" t="n"/>
      <c r="E1264" s="11" t="n"/>
      <c r="F1264" s="16">
        <f>IF(OR(D1264="",E1264=""),"",D1264*E1264)</f>
        <v/>
      </c>
      <c r="G1264" s="10" t="n"/>
      <c r="H1264" s="14">
        <f>IF(A1264="","",MONTH(A1264))</f>
        <v/>
      </c>
      <c r="I1264" s="14">
        <f>IF(A1264="","",YEAR(A1264))</f>
        <v/>
      </c>
    </row>
    <row r="1265">
      <c r="A1265" s="15" t="n"/>
      <c r="B1265" s="10" t="n"/>
      <c r="C1265" s="14">
        <f>IF(B1265="","",IFERROR(INDEX('Sản phẩm'!$B$5:$B$304,MATCH(B1265,'Sản phẩm'!$A$5:$A$304,0)),""))</f>
        <v/>
      </c>
      <c r="D1265" s="12" t="n"/>
      <c r="E1265" s="11" t="n"/>
      <c r="F1265" s="16">
        <f>IF(OR(D1265="",E1265=""),"",D1265*E1265)</f>
        <v/>
      </c>
      <c r="G1265" s="10" t="n"/>
      <c r="H1265" s="14">
        <f>IF(A1265="","",MONTH(A1265))</f>
        <v/>
      </c>
      <c r="I1265" s="14">
        <f>IF(A1265="","",YEAR(A1265))</f>
        <v/>
      </c>
    </row>
    <row r="1266">
      <c r="A1266" s="15" t="n"/>
      <c r="B1266" s="10" t="n"/>
      <c r="C1266" s="14">
        <f>IF(B1266="","",IFERROR(INDEX('Sản phẩm'!$B$5:$B$304,MATCH(B1266,'Sản phẩm'!$A$5:$A$304,0)),""))</f>
        <v/>
      </c>
      <c r="D1266" s="12" t="n"/>
      <c r="E1266" s="11" t="n"/>
      <c r="F1266" s="16">
        <f>IF(OR(D1266="",E1266=""),"",D1266*E1266)</f>
        <v/>
      </c>
      <c r="G1266" s="10" t="n"/>
      <c r="H1266" s="14">
        <f>IF(A1266="","",MONTH(A1266))</f>
        <v/>
      </c>
      <c r="I1266" s="14">
        <f>IF(A1266="","",YEAR(A1266))</f>
        <v/>
      </c>
    </row>
    <row r="1267">
      <c r="A1267" s="15" t="n"/>
      <c r="B1267" s="10" t="n"/>
      <c r="C1267" s="14">
        <f>IF(B1267="","",IFERROR(INDEX('Sản phẩm'!$B$5:$B$304,MATCH(B1267,'Sản phẩm'!$A$5:$A$304,0)),""))</f>
        <v/>
      </c>
      <c r="D1267" s="12" t="n"/>
      <c r="E1267" s="11" t="n"/>
      <c r="F1267" s="16">
        <f>IF(OR(D1267="",E1267=""),"",D1267*E1267)</f>
        <v/>
      </c>
      <c r="G1267" s="10" t="n"/>
      <c r="H1267" s="14">
        <f>IF(A1267="","",MONTH(A1267))</f>
        <v/>
      </c>
      <c r="I1267" s="14">
        <f>IF(A1267="","",YEAR(A1267))</f>
        <v/>
      </c>
    </row>
    <row r="1268">
      <c r="A1268" s="15" t="n"/>
      <c r="B1268" s="10" t="n"/>
      <c r="C1268" s="14">
        <f>IF(B1268="","",IFERROR(INDEX('Sản phẩm'!$B$5:$B$304,MATCH(B1268,'Sản phẩm'!$A$5:$A$304,0)),""))</f>
        <v/>
      </c>
      <c r="D1268" s="12" t="n"/>
      <c r="E1268" s="11" t="n"/>
      <c r="F1268" s="16">
        <f>IF(OR(D1268="",E1268=""),"",D1268*E1268)</f>
        <v/>
      </c>
      <c r="G1268" s="10" t="n"/>
      <c r="H1268" s="14">
        <f>IF(A1268="","",MONTH(A1268))</f>
        <v/>
      </c>
      <c r="I1268" s="14">
        <f>IF(A1268="","",YEAR(A1268))</f>
        <v/>
      </c>
    </row>
    <row r="1269">
      <c r="A1269" s="15" t="n"/>
      <c r="B1269" s="10" t="n"/>
      <c r="C1269" s="14">
        <f>IF(B1269="","",IFERROR(INDEX('Sản phẩm'!$B$5:$B$304,MATCH(B1269,'Sản phẩm'!$A$5:$A$304,0)),""))</f>
        <v/>
      </c>
      <c r="D1269" s="12" t="n"/>
      <c r="E1269" s="11" t="n"/>
      <c r="F1269" s="16">
        <f>IF(OR(D1269="",E1269=""),"",D1269*E1269)</f>
        <v/>
      </c>
      <c r="G1269" s="10" t="n"/>
      <c r="H1269" s="14">
        <f>IF(A1269="","",MONTH(A1269))</f>
        <v/>
      </c>
      <c r="I1269" s="14">
        <f>IF(A1269="","",YEAR(A1269))</f>
        <v/>
      </c>
    </row>
    <row r="1270">
      <c r="A1270" s="15" t="n"/>
      <c r="B1270" s="10" t="n"/>
      <c r="C1270" s="14">
        <f>IF(B1270="","",IFERROR(INDEX('Sản phẩm'!$B$5:$B$304,MATCH(B1270,'Sản phẩm'!$A$5:$A$304,0)),""))</f>
        <v/>
      </c>
      <c r="D1270" s="12" t="n"/>
      <c r="E1270" s="11" t="n"/>
      <c r="F1270" s="16">
        <f>IF(OR(D1270="",E1270=""),"",D1270*E1270)</f>
        <v/>
      </c>
      <c r="G1270" s="10" t="n"/>
      <c r="H1270" s="14">
        <f>IF(A1270="","",MONTH(A1270))</f>
        <v/>
      </c>
      <c r="I1270" s="14">
        <f>IF(A1270="","",YEAR(A1270))</f>
        <v/>
      </c>
    </row>
    <row r="1271">
      <c r="A1271" s="15" t="n"/>
      <c r="B1271" s="10" t="n"/>
      <c r="C1271" s="14">
        <f>IF(B1271="","",IFERROR(INDEX('Sản phẩm'!$B$5:$B$304,MATCH(B1271,'Sản phẩm'!$A$5:$A$304,0)),""))</f>
        <v/>
      </c>
      <c r="D1271" s="12" t="n"/>
      <c r="E1271" s="11" t="n"/>
      <c r="F1271" s="16">
        <f>IF(OR(D1271="",E1271=""),"",D1271*E1271)</f>
        <v/>
      </c>
      <c r="G1271" s="10" t="n"/>
      <c r="H1271" s="14">
        <f>IF(A1271="","",MONTH(A1271))</f>
        <v/>
      </c>
      <c r="I1271" s="14">
        <f>IF(A1271="","",YEAR(A1271))</f>
        <v/>
      </c>
    </row>
    <row r="1272">
      <c r="A1272" s="15" t="n"/>
      <c r="B1272" s="10" t="n"/>
      <c r="C1272" s="14">
        <f>IF(B1272="","",IFERROR(INDEX('Sản phẩm'!$B$5:$B$304,MATCH(B1272,'Sản phẩm'!$A$5:$A$304,0)),""))</f>
        <v/>
      </c>
      <c r="D1272" s="12" t="n"/>
      <c r="E1272" s="11" t="n"/>
      <c r="F1272" s="16">
        <f>IF(OR(D1272="",E1272=""),"",D1272*E1272)</f>
        <v/>
      </c>
      <c r="G1272" s="10" t="n"/>
      <c r="H1272" s="14">
        <f>IF(A1272="","",MONTH(A1272))</f>
        <v/>
      </c>
      <c r="I1272" s="14">
        <f>IF(A1272="","",YEAR(A1272))</f>
        <v/>
      </c>
    </row>
    <row r="1273">
      <c r="A1273" s="15" t="n"/>
      <c r="B1273" s="10" t="n"/>
      <c r="C1273" s="14">
        <f>IF(B1273="","",IFERROR(INDEX('Sản phẩm'!$B$5:$B$304,MATCH(B1273,'Sản phẩm'!$A$5:$A$304,0)),""))</f>
        <v/>
      </c>
      <c r="D1273" s="12" t="n"/>
      <c r="E1273" s="11" t="n"/>
      <c r="F1273" s="16">
        <f>IF(OR(D1273="",E1273=""),"",D1273*E1273)</f>
        <v/>
      </c>
      <c r="G1273" s="10" t="n"/>
      <c r="H1273" s="14">
        <f>IF(A1273="","",MONTH(A1273))</f>
        <v/>
      </c>
      <c r="I1273" s="14">
        <f>IF(A1273="","",YEAR(A1273))</f>
        <v/>
      </c>
    </row>
    <row r="1274">
      <c r="A1274" s="15" t="n"/>
      <c r="B1274" s="10" t="n"/>
      <c r="C1274" s="14">
        <f>IF(B1274="","",IFERROR(INDEX('Sản phẩm'!$B$5:$B$304,MATCH(B1274,'Sản phẩm'!$A$5:$A$304,0)),""))</f>
        <v/>
      </c>
      <c r="D1274" s="12" t="n"/>
      <c r="E1274" s="11" t="n"/>
      <c r="F1274" s="16">
        <f>IF(OR(D1274="",E1274=""),"",D1274*E1274)</f>
        <v/>
      </c>
      <c r="G1274" s="10" t="n"/>
      <c r="H1274" s="14">
        <f>IF(A1274="","",MONTH(A1274))</f>
        <v/>
      </c>
      <c r="I1274" s="14">
        <f>IF(A1274="","",YEAR(A1274))</f>
        <v/>
      </c>
    </row>
    <row r="1275">
      <c r="A1275" s="15" t="n"/>
      <c r="B1275" s="10" t="n"/>
      <c r="C1275" s="14">
        <f>IF(B1275="","",IFERROR(INDEX('Sản phẩm'!$B$5:$B$304,MATCH(B1275,'Sản phẩm'!$A$5:$A$304,0)),""))</f>
        <v/>
      </c>
      <c r="D1275" s="12" t="n"/>
      <c r="E1275" s="11" t="n"/>
      <c r="F1275" s="16">
        <f>IF(OR(D1275="",E1275=""),"",D1275*E1275)</f>
        <v/>
      </c>
      <c r="G1275" s="10" t="n"/>
      <c r="H1275" s="14">
        <f>IF(A1275="","",MONTH(A1275))</f>
        <v/>
      </c>
      <c r="I1275" s="14">
        <f>IF(A1275="","",YEAR(A1275))</f>
        <v/>
      </c>
    </row>
    <row r="1276">
      <c r="A1276" s="15" t="n"/>
      <c r="B1276" s="10" t="n"/>
      <c r="C1276" s="14">
        <f>IF(B1276="","",IFERROR(INDEX('Sản phẩm'!$B$5:$B$304,MATCH(B1276,'Sản phẩm'!$A$5:$A$304,0)),""))</f>
        <v/>
      </c>
      <c r="D1276" s="12" t="n"/>
      <c r="E1276" s="11" t="n"/>
      <c r="F1276" s="16">
        <f>IF(OR(D1276="",E1276=""),"",D1276*E1276)</f>
        <v/>
      </c>
      <c r="G1276" s="10" t="n"/>
      <c r="H1276" s="14">
        <f>IF(A1276="","",MONTH(A1276))</f>
        <v/>
      </c>
      <c r="I1276" s="14">
        <f>IF(A1276="","",YEAR(A1276))</f>
        <v/>
      </c>
    </row>
    <row r="1277">
      <c r="A1277" s="15" t="n"/>
      <c r="B1277" s="10" t="n"/>
      <c r="C1277" s="14">
        <f>IF(B1277="","",IFERROR(INDEX('Sản phẩm'!$B$5:$B$304,MATCH(B1277,'Sản phẩm'!$A$5:$A$304,0)),""))</f>
        <v/>
      </c>
      <c r="D1277" s="12" t="n"/>
      <c r="E1277" s="11" t="n"/>
      <c r="F1277" s="16">
        <f>IF(OR(D1277="",E1277=""),"",D1277*E1277)</f>
        <v/>
      </c>
      <c r="G1277" s="10" t="n"/>
      <c r="H1277" s="14">
        <f>IF(A1277="","",MONTH(A1277))</f>
        <v/>
      </c>
      <c r="I1277" s="14">
        <f>IF(A1277="","",YEAR(A1277))</f>
        <v/>
      </c>
    </row>
    <row r="1278">
      <c r="A1278" s="15" t="n"/>
      <c r="B1278" s="10" t="n"/>
      <c r="C1278" s="14">
        <f>IF(B1278="","",IFERROR(INDEX('Sản phẩm'!$B$5:$B$304,MATCH(B1278,'Sản phẩm'!$A$5:$A$304,0)),""))</f>
        <v/>
      </c>
      <c r="D1278" s="12" t="n"/>
      <c r="E1278" s="11" t="n"/>
      <c r="F1278" s="16">
        <f>IF(OR(D1278="",E1278=""),"",D1278*E1278)</f>
        <v/>
      </c>
      <c r="G1278" s="10" t="n"/>
      <c r="H1278" s="14">
        <f>IF(A1278="","",MONTH(A1278))</f>
        <v/>
      </c>
      <c r="I1278" s="14">
        <f>IF(A1278="","",YEAR(A1278))</f>
        <v/>
      </c>
    </row>
    <row r="1279">
      <c r="A1279" s="15" t="n"/>
      <c r="B1279" s="10" t="n"/>
      <c r="C1279" s="14">
        <f>IF(B1279="","",IFERROR(INDEX('Sản phẩm'!$B$5:$B$304,MATCH(B1279,'Sản phẩm'!$A$5:$A$304,0)),""))</f>
        <v/>
      </c>
      <c r="D1279" s="12" t="n"/>
      <c r="E1279" s="11" t="n"/>
      <c r="F1279" s="16">
        <f>IF(OR(D1279="",E1279=""),"",D1279*E1279)</f>
        <v/>
      </c>
      <c r="G1279" s="10" t="n"/>
      <c r="H1279" s="14">
        <f>IF(A1279="","",MONTH(A1279))</f>
        <v/>
      </c>
      <c r="I1279" s="14">
        <f>IF(A1279="","",YEAR(A1279))</f>
        <v/>
      </c>
    </row>
    <row r="1280">
      <c r="A1280" s="15" t="n"/>
      <c r="B1280" s="10" t="n"/>
      <c r="C1280" s="14">
        <f>IF(B1280="","",IFERROR(INDEX('Sản phẩm'!$B$5:$B$304,MATCH(B1280,'Sản phẩm'!$A$5:$A$304,0)),""))</f>
        <v/>
      </c>
      <c r="D1280" s="12" t="n"/>
      <c r="E1280" s="11" t="n"/>
      <c r="F1280" s="16">
        <f>IF(OR(D1280="",E1280=""),"",D1280*E1280)</f>
        <v/>
      </c>
      <c r="G1280" s="10" t="n"/>
      <c r="H1280" s="14">
        <f>IF(A1280="","",MONTH(A1280))</f>
        <v/>
      </c>
      <c r="I1280" s="14">
        <f>IF(A1280="","",YEAR(A1280))</f>
        <v/>
      </c>
    </row>
    <row r="1281">
      <c r="A1281" s="15" t="n"/>
      <c r="B1281" s="10" t="n"/>
      <c r="C1281" s="14">
        <f>IF(B1281="","",IFERROR(INDEX('Sản phẩm'!$B$5:$B$304,MATCH(B1281,'Sản phẩm'!$A$5:$A$304,0)),""))</f>
        <v/>
      </c>
      <c r="D1281" s="12" t="n"/>
      <c r="E1281" s="11" t="n"/>
      <c r="F1281" s="16">
        <f>IF(OR(D1281="",E1281=""),"",D1281*E1281)</f>
        <v/>
      </c>
      <c r="G1281" s="10" t="n"/>
      <c r="H1281" s="14">
        <f>IF(A1281="","",MONTH(A1281))</f>
        <v/>
      </c>
      <c r="I1281" s="14">
        <f>IF(A1281="","",YEAR(A1281))</f>
        <v/>
      </c>
    </row>
    <row r="1282">
      <c r="A1282" s="15" t="n"/>
      <c r="B1282" s="10" t="n"/>
      <c r="C1282" s="14">
        <f>IF(B1282="","",IFERROR(INDEX('Sản phẩm'!$B$5:$B$304,MATCH(B1282,'Sản phẩm'!$A$5:$A$304,0)),""))</f>
        <v/>
      </c>
      <c r="D1282" s="12" t="n"/>
      <c r="E1282" s="11" t="n"/>
      <c r="F1282" s="16">
        <f>IF(OR(D1282="",E1282=""),"",D1282*E1282)</f>
        <v/>
      </c>
      <c r="G1282" s="10" t="n"/>
      <c r="H1282" s="14">
        <f>IF(A1282="","",MONTH(A1282))</f>
        <v/>
      </c>
      <c r="I1282" s="14">
        <f>IF(A1282="","",YEAR(A1282))</f>
        <v/>
      </c>
    </row>
    <row r="1283">
      <c r="A1283" s="15" t="n"/>
      <c r="B1283" s="10" t="n"/>
      <c r="C1283" s="14">
        <f>IF(B1283="","",IFERROR(INDEX('Sản phẩm'!$B$5:$B$304,MATCH(B1283,'Sản phẩm'!$A$5:$A$304,0)),""))</f>
        <v/>
      </c>
      <c r="D1283" s="12" t="n"/>
      <c r="E1283" s="11" t="n"/>
      <c r="F1283" s="16">
        <f>IF(OR(D1283="",E1283=""),"",D1283*E1283)</f>
        <v/>
      </c>
      <c r="G1283" s="10" t="n"/>
      <c r="H1283" s="14">
        <f>IF(A1283="","",MONTH(A1283))</f>
        <v/>
      </c>
      <c r="I1283" s="14">
        <f>IF(A1283="","",YEAR(A1283))</f>
        <v/>
      </c>
    </row>
    <row r="1284">
      <c r="A1284" s="15" t="n"/>
      <c r="B1284" s="10" t="n"/>
      <c r="C1284" s="14">
        <f>IF(B1284="","",IFERROR(INDEX('Sản phẩm'!$B$5:$B$304,MATCH(B1284,'Sản phẩm'!$A$5:$A$304,0)),""))</f>
        <v/>
      </c>
      <c r="D1284" s="12" t="n"/>
      <c r="E1284" s="11" t="n"/>
      <c r="F1284" s="16">
        <f>IF(OR(D1284="",E1284=""),"",D1284*E1284)</f>
        <v/>
      </c>
      <c r="G1284" s="10" t="n"/>
      <c r="H1284" s="14">
        <f>IF(A1284="","",MONTH(A1284))</f>
        <v/>
      </c>
      <c r="I1284" s="14">
        <f>IF(A1284="","",YEAR(A1284))</f>
        <v/>
      </c>
    </row>
    <row r="1285">
      <c r="A1285" s="15" t="n"/>
      <c r="B1285" s="10" t="n"/>
      <c r="C1285" s="14">
        <f>IF(B1285="","",IFERROR(INDEX('Sản phẩm'!$B$5:$B$304,MATCH(B1285,'Sản phẩm'!$A$5:$A$304,0)),""))</f>
        <v/>
      </c>
      <c r="D1285" s="12" t="n"/>
      <c r="E1285" s="11" t="n"/>
      <c r="F1285" s="16">
        <f>IF(OR(D1285="",E1285=""),"",D1285*E1285)</f>
        <v/>
      </c>
      <c r="G1285" s="10" t="n"/>
      <c r="H1285" s="14">
        <f>IF(A1285="","",MONTH(A1285))</f>
        <v/>
      </c>
      <c r="I1285" s="14">
        <f>IF(A1285="","",YEAR(A1285))</f>
        <v/>
      </c>
    </row>
    <row r="1286">
      <c r="A1286" s="15" t="n"/>
      <c r="B1286" s="10" t="n"/>
      <c r="C1286" s="14">
        <f>IF(B1286="","",IFERROR(INDEX('Sản phẩm'!$B$5:$B$304,MATCH(B1286,'Sản phẩm'!$A$5:$A$304,0)),""))</f>
        <v/>
      </c>
      <c r="D1286" s="12" t="n"/>
      <c r="E1286" s="11" t="n"/>
      <c r="F1286" s="16">
        <f>IF(OR(D1286="",E1286=""),"",D1286*E1286)</f>
        <v/>
      </c>
      <c r="G1286" s="10" t="n"/>
      <c r="H1286" s="14">
        <f>IF(A1286="","",MONTH(A1286))</f>
        <v/>
      </c>
      <c r="I1286" s="14">
        <f>IF(A1286="","",YEAR(A1286))</f>
        <v/>
      </c>
    </row>
    <row r="1287">
      <c r="A1287" s="15" t="n"/>
      <c r="B1287" s="10" t="n"/>
      <c r="C1287" s="14">
        <f>IF(B1287="","",IFERROR(INDEX('Sản phẩm'!$B$5:$B$304,MATCH(B1287,'Sản phẩm'!$A$5:$A$304,0)),""))</f>
        <v/>
      </c>
      <c r="D1287" s="12" t="n"/>
      <c r="E1287" s="11" t="n"/>
      <c r="F1287" s="16">
        <f>IF(OR(D1287="",E1287=""),"",D1287*E1287)</f>
        <v/>
      </c>
      <c r="G1287" s="10" t="n"/>
      <c r="H1287" s="14">
        <f>IF(A1287="","",MONTH(A1287))</f>
        <v/>
      </c>
      <c r="I1287" s="14">
        <f>IF(A1287="","",YEAR(A1287))</f>
        <v/>
      </c>
    </row>
    <row r="1288">
      <c r="A1288" s="15" t="n"/>
      <c r="B1288" s="10" t="n"/>
      <c r="C1288" s="14">
        <f>IF(B1288="","",IFERROR(INDEX('Sản phẩm'!$B$5:$B$304,MATCH(B1288,'Sản phẩm'!$A$5:$A$304,0)),""))</f>
        <v/>
      </c>
      <c r="D1288" s="12" t="n"/>
      <c r="E1288" s="11" t="n"/>
      <c r="F1288" s="16">
        <f>IF(OR(D1288="",E1288=""),"",D1288*E1288)</f>
        <v/>
      </c>
      <c r="G1288" s="10" t="n"/>
      <c r="H1288" s="14">
        <f>IF(A1288="","",MONTH(A1288))</f>
        <v/>
      </c>
      <c r="I1288" s="14">
        <f>IF(A1288="","",YEAR(A1288))</f>
        <v/>
      </c>
    </row>
    <row r="1289">
      <c r="A1289" s="15" t="n"/>
      <c r="B1289" s="10" t="n"/>
      <c r="C1289" s="14">
        <f>IF(B1289="","",IFERROR(INDEX('Sản phẩm'!$B$5:$B$304,MATCH(B1289,'Sản phẩm'!$A$5:$A$304,0)),""))</f>
        <v/>
      </c>
      <c r="D1289" s="12" t="n"/>
      <c r="E1289" s="11" t="n"/>
      <c r="F1289" s="16">
        <f>IF(OR(D1289="",E1289=""),"",D1289*E1289)</f>
        <v/>
      </c>
      <c r="G1289" s="10" t="n"/>
      <c r="H1289" s="14">
        <f>IF(A1289="","",MONTH(A1289))</f>
        <v/>
      </c>
      <c r="I1289" s="14">
        <f>IF(A1289="","",YEAR(A1289))</f>
        <v/>
      </c>
    </row>
    <row r="1290">
      <c r="A1290" s="15" t="n"/>
      <c r="B1290" s="10" t="n"/>
      <c r="C1290" s="14">
        <f>IF(B1290="","",IFERROR(INDEX('Sản phẩm'!$B$5:$B$304,MATCH(B1290,'Sản phẩm'!$A$5:$A$304,0)),""))</f>
        <v/>
      </c>
      <c r="D1290" s="12" t="n"/>
      <c r="E1290" s="11" t="n"/>
      <c r="F1290" s="16">
        <f>IF(OR(D1290="",E1290=""),"",D1290*E1290)</f>
        <v/>
      </c>
      <c r="G1290" s="10" t="n"/>
      <c r="H1290" s="14">
        <f>IF(A1290="","",MONTH(A1290))</f>
        <v/>
      </c>
      <c r="I1290" s="14">
        <f>IF(A1290="","",YEAR(A1290))</f>
        <v/>
      </c>
    </row>
    <row r="1291">
      <c r="A1291" s="15" t="n"/>
      <c r="B1291" s="10" t="n"/>
      <c r="C1291" s="14">
        <f>IF(B1291="","",IFERROR(INDEX('Sản phẩm'!$B$5:$B$304,MATCH(B1291,'Sản phẩm'!$A$5:$A$304,0)),""))</f>
        <v/>
      </c>
      <c r="D1291" s="12" t="n"/>
      <c r="E1291" s="11" t="n"/>
      <c r="F1291" s="16">
        <f>IF(OR(D1291="",E1291=""),"",D1291*E1291)</f>
        <v/>
      </c>
      <c r="G1291" s="10" t="n"/>
      <c r="H1291" s="14">
        <f>IF(A1291="","",MONTH(A1291))</f>
        <v/>
      </c>
      <c r="I1291" s="14">
        <f>IF(A1291="","",YEAR(A1291))</f>
        <v/>
      </c>
    </row>
    <row r="1292">
      <c r="A1292" s="15" t="n"/>
      <c r="B1292" s="10" t="n"/>
      <c r="C1292" s="14">
        <f>IF(B1292="","",IFERROR(INDEX('Sản phẩm'!$B$5:$B$304,MATCH(B1292,'Sản phẩm'!$A$5:$A$304,0)),""))</f>
        <v/>
      </c>
      <c r="D1292" s="12" t="n"/>
      <c r="E1292" s="11" t="n"/>
      <c r="F1292" s="16">
        <f>IF(OR(D1292="",E1292=""),"",D1292*E1292)</f>
        <v/>
      </c>
      <c r="G1292" s="10" t="n"/>
      <c r="H1292" s="14">
        <f>IF(A1292="","",MONTH(A1292))</f>
        <v/>
      </c>
      <c r="I1292" s="14">
        <f>IF(A1292="","",YEAR(A1292))</f>
        <v/>
      </c>
    </row>
    <row r="1293">
      <c r="A1293" s="15" t="n"/>
      <c r="B1293" s="10" t="n"/>
      <c r="C1293" s="14">
        <f>IF(B1293="","",IFERROR(INDEX('Sản phẩm'!$B$5:$B$304,MATCH(B1293,'Sản phẩm'!$A$5:$A$304,0)),""))</f>
        <v/>
      </c>
      <c r="D1293" s="12" t="n"/>
      <c r="E1293" s="11" t="n"/>
      <c r="F1293" s="16">
        <f>IF(OR(D1293="",E1293=""),"",D1293*E1293)</f>
        <v/>
      </c>
      <c r="G1293" s="10" t="n"/>
      <c r="H1293" s="14">
        <f>IF(A1293="","",MONTH(A1293))</f>
        <v/>
      </c>
      <c r="I1293" s="14">
        <f>IF(A1293="","",YEAR(A1293))</f>
        <v/>
      </c>
    </row>
    <row r="1294">
      <c r="A1294" s="15" t="n"/>
      <c r="B1294" s="10" t="n"/>
      <c r="C1294" s="14">
        <f>IF(B1294="","",IFERROR(INDEX('Sản phẩm'!$B$5:$B$304,MATCH(B1294,'Sản phẩm'!$A$5:$A$304,0)),""))</f>
        <v/>
      </c>
      <c r="D1294" s="12" t="n"/>
      <c r="E1294" s="11" t="n"/>
      <c r="F1294" s="16">
        <f>IF(OR(D1294="",E1294=""),"",D1294*E1294)</f>
        <v/>
      </c>
      <c r="G1294" s="10" t="n"/>
      <c r="H1294" s="14">
        <f>IF(A1294="","",MONTH(A1294))</f>
        <v/>
      </c>
      <c r="I1294" s="14">
        <f>IF(A1294="","",YEAR(A1294))</f>
        <v/>
      </c>
    </row>
    <row r="1295">
      <c r="A1295" s="15" t="n"/>
      <c r="B1295" s="10" t="n"/>
      <c r="C1295" s="14">
        <f>IF(B1295="","",IFERROR(INDEX('Sản phẩm'!$B$5:$B$304,MATCH(B1295,'Sản phẩm'!$A$5:$A$304,0)),""))</f>
        <v/>
      </c>
      <c r="D1295" s="12" t="n"/>
      <c r="E1295" s="11" t="n"/>
      <c r="F1295" s="16">
        <f>IF(OR(D1295="",E1295=""),"",D1295*E1295)</f>
        <v/>
      </c>
      <c r="G1295" s="10" t="n"/>
      <c r="H1295" s="14">
        <f>IF(A1295="","",MONTH(A1295))</f>
        <v/>
      </c>
      <c r="I1295" s="14">
        <f>IF(A1295="","",YEAR(A1295))</f>
        <v/>
      </c>
    </row>
    <row r="1296">
      <c r="A1296" s="15" t="n"/>
      <c r="B1296" s="10" t="n"/>
      <c r="C1296" s="14">
        <f>IF(B1296="","",IFERROR(INDEX('Sản phẩm'!$B$5:$B$304,MATCH(B1296,'Sản phẩm'!$A$5:$A$304,0)),""))</f>
        <v/>
      </c>
      <c r="D1296" s="12" t="n"/>
      <c r="E1296" s="11" t="n"/>
      <c r="F1296" s="16">
        <f>IF(OR(D1296="",E1296=""),"",D1296*E1296)</f>
        <v/>
      </c>
      <c r="G1296" s="10" t="n"/>
      <c r="H1296" s="14">
        <f>IF(A1296="","",MONTH(A1296))</f>
        <v/>
      </c>
      <c r="I1296" s="14">
        <f>IF(A1296="","",YEAR(A1296))</f>
        <v/>
      </c>
    </row>
    <row r="1297">
      <c r="A1297" s="15" t="n"/>
      <c r="B1297" s="10" t="n"/>
      <c r="C1297" s="14">
        <f>IF(B1297="","",IFERROR(INDEX('Sản phẩm'!$B$5:$B$304,MATCH(B1297,'Sản phẩm'!$A$5:$A$304,0)),""))</f>
        <v/>
      </c>
      <c r="D1297" s="12" t="n"/>
      <c r="E1297" s="11" t="n"/>
      <c r="F1297" s="16">
        <f>IF(OR(D1297="",E1297=""),"",D1297*E1297)</f>
        <v/>
      </c>
      <c r="G1297" s="10" t="n"/>
      <c r="H1297" s="14">
        <f>IF(A1297="","",MONTH(A1297))</f>
        <v/>
      </c>
      <c r="I1297" s="14">
        <f>IF(A1297="","",YEAR(A1297))</f>
        <v/>
      </c>
    </row>
    <row r="1298">
      <c r="A1298" s="15" t="n"/>
      <c r="B1298" s="10" t="n"/>
      <c r="C1298" s="14">
        <f>IF(B1298="","",IFERROR(INDEX('Sản phẩm'!$B$5:$B$304,MATCH(B1298,'Sản phẩm'!$A$5:$A$304,0)),""))</f>
        <v/>
      </c>
      <c r="D1298" s="12" t="n"/>
      <c r="E1298" s="11" t="n"/>
      <c r="F1298" s="16">
        <f>IF(OR(D1298="",E1298=""),"",D1298*E1298)</f>
        <v/>
      </c>
      <c r="G1298" s="10" t="n"/>
      <c r="H1298" s="14">
        <f>IF(A1298="","",MONTH(A1298))</f>
        <v/>
      </c>
      <c r="I1298" s="14">
        <f>IF(A1298="","",YEAR(A1298))</f>
        <v/>
      </c>
    </row>
    <row r="1299">
      <c r="A1299" s="15" t="n"/>
      <c r="B1299" s="10" t="n"/>
      <c r="C1299" s="14">
        <f>IF(B1299="","",IFERROR(INDEX('Sản phẩm'!$B$5:$B$304,MATCH(B1299,'Sản phẩm'!$A$5:$A$304,0)),""))</f>
        <v/>
      </c>
      <c r="D1299" s="12" t="n"/>
      <c r="E1299" s="11" t="n"/>
      <c r="F1299" s="16">
        <f>IF(OR(D1299="",E1299=""),"",D1299*E1299)</f>
        <v/>
      </c>
      <c r="G1299" s="10" t="n"/>
      <c r="H1299" s="14">
        <f>IF(A1299="","",MONTH(A1299))</f>
        <v/>
      </c>
      <c r="I1299" s="14">
        <f>IF(A1299="","",YEAR(A1299))</f>
        <v/>
      </c>
    </row>
    <row r="1300">
      <c r="A1300" s="15" t="n"/>
      <c r="B1300" s="10" t="n"/>
      <c r="C1300" s="14">
        <f>IF(B1300="","",IFERROR(INDEX('Sản phẩm'!$B$5:$B$304,MATCH(B1300,'Sản phẩm'!$A$5:$A$304,0)),""))</f>
        <v/>
      </c>
      <c r="D1300" s="12" t="n"/>
      <c r="E1300" s="11" t="n"/>
      <c r="F1300" s="16">
        <f>IF(OR(D1300="",E1300=""),"",D1300*E1300)</f>
        <v/>
      </c>
      <c r="G1300" s="10" t="n"/>
      <c r="H1300" s="14">
        <f>IF(A1300="","",MONTH(A1300))</f>
        <v/>
      </c>
      <c r="I1300" s="14">
        <f>IF(A1300="","",YEAR(A1300))</f>
        <v/>
      </c>
    </row>
    <row r="1301">
      <c r="A1301" s="15" t="n"/>
      <c r="B1301" s="10" t="n"/>
      <c r="C1301" s="14">
        <f>IF(B1301="","",IFERROR(INDEX('Sản phẩm'!$B$5:$B$304,MATCH(B1301,'Sản phẩm'!$A$5:$A$304,0)),""))</f>
        <v/>
      </c>
      <c r="D1301" s="12" t="n"/>
      <c r="E1301" s="11" t="n"/>
      <c r="F1301" s="16">
        <f>IF(OR(D1301="",E1301=""),"",D1301*E1301)</f>
        <v/>
      </c>
      <c r="G1301" s="10" t="n"/>
      <c r="H1301" s="14">
        <f>IF(A1301="","",MONTH(A1301))</f>
        <v/>
      </c>
      <c r="I1301" s="14">
        <f>IF(A1301="","",YEAR(A1301))</f>
        <v/>
      </c>
    </row>
    <row r="1302">
      <c r="A1302" s="15" t="n"/>
      <c r="B1302" s="10" t="n"/>
      <c r="C1302" s="14">
        <f>IF(B1302="","",IFERROR(INDEX('Sản phẩm'!$B$5:$B$304,MATCH(B1302,'Sản phẩm'!$A$5:$A$304,0)),""))</f>
        <v/>
      </c>
      <c r="D1302" s="12" t="n"/>
      <c r="E1302" s="11" t="n"/>
      <c r="F1302" s="16">
        <f>IF(OR(D1302="",E1302=""),"",D1302*E1302)</f>
        <v/>
      </c>
      <c r="G1302" s="10" t="n"/>
      <c r="H1302" s="14">
        <f>IF(A1302="","",MONTH(A1302))</f>
        <v/>
      </c>
      <c r="I1302" s="14">
        <f>IF(A1302="","",YEAR(A1302))</f>
        <v/>
      </c>
    </row>
    <row r="1303">
      <c r="A1303" s="15" t="n"/>
      <c r="B1303" s="10" t="n"/>
      <c r="C1303" s="14">
        <f>IF(B1303="","",IFERROR(INDEX('Sản phẩm'!$B$5:$B$304,MATCH(B1303,'Sản phẩm'!$A$5:$A$304,0)),""))</f>
        <v/>
      </c>
      <c r="D1303" s="12" t="n"/>
      <c r="E1303" s="11" t="n"/>
      <c r="F1303" s="16">
        <f>IF(OR(D1303="",E1303=""),"",D1303*E1303)</f>
        <v/>
      </c>
      <c r="G1303" s="10" t="n"/>
      <c r="H1303" s="14">
        <f>IF(A1303="","",MONTH(A1303))</f>
        <v/>
      </c>
      <c r="I1303" s="14">
        <f>IF(A1303="","",YEAR(A1303))</f>
        <v/>
      </c>
    </row>
    <row r="1304">
      <c r="A1304" s="15" t="n"/>
      <c r="B1304" s="10" t="n"/>
      <c r="C1304" s="14">
        <f>IF(B1304="","",IFERROR(INDEX('Sản phẩm'!$B$5:$B$304,MATCH(B1304,'Sản phẩm'!$A$5:$A$304,0)),""))</f>
        <v/>
      </c>
      <c r="D1304" s="12" t="n"/>
      <c r="E1304" s="11" t="n"/>
      <c r="F1304" s="16">
        <f>IF(OR(D1304="",E1304=""),"",D1304*E1304)</f>
        <v/>
      </c>
      <c r="G1304" s="10" t="n"/>
      <c r="H1304" s="14">
        <f>IF(A1304="","",MONTH(A1304))</f>
        <v/>
      </c>
      <c r="I1304" s="14">
        <f>IF(A1304="","",YEAR(A1304))</f>
        <v/>
      </c>
    </row>
    <row r="1305">
      <c r="A1305" s="15" t="n"/>
      <c r="B1305" s="10" t="n"/>
      <c r="C1305" s="14">
        <f>IF(B1305="","",IFERROR(INDEX('Sản phẩm'!$B$5:$B$304,MATCH(B1305,'Sản phẩm'!$A$5:$A$304,0)),""))</f>
        <v/>
      </c>
      <c r="D1305" s="12" t="n"/>
      <c r="E1305" s="11" t="n"/>
      <c r="F1305" s="16">
        <f>IF(OR(D1305="",E1305=""),"",D1305*E1305)</f>
        <v/>
      </c>
      <c r="G1305" s="10" t="n"/>
      <c r="H1305" s="14">
        <f>IF(A1305="","",MONTH(A1305))</f>
        <v/>
      </c>
      <c r="I1305" s="14">
        <f>IF(A1305="","",YEAR(A1305))</f>
        <v/>
      </c>
    </row>
    <row r="1306">
      <c r="A1306" s="15" t="n"/>
      <c r="B1306" s="10" t="n"/>
      <c r="C1306" s="14">
        <f>IF(B1306="","",IFERROR(INDEX('Sản phẩm'!$B$5:$B$304,MATCH(B1306,'Sản phẩm'!$A$5:$A$304,0)),""))</f>
        <v/>
      </c>
      <c r="D1306" s="12" t="n"/>
      <c r="E1306" s="11" t="n"/>
      <c r="F1306" s="16">
        <f>IF(OR(D1306="",E1306=""),"",D1306*E1306)</f>
        <v/>
      </c>
      <c r="G1306" s="10" t="n"/>
      <c r="H1306" s="14">
        <f>IF(A1306="","",MONTH(A1306))</f>
        <v/>
      </c>
      <c r="I1306" s="14">
        <f>IF(A1306="","",YEAR(A1306))</f>
        <v/>
      </c>
    </row>
    <row r="1307">
      <c r="A1307" s="15" t="n"/>
      <c r="B1307" s="10" t="n"/>
      <c r="C1307" s="14">
        <f>IF(B1307="","",IFERROR(INDEX('Sản phẩm'!$B$5:$B$304,MATCH(B1307,'Sản phẩm'!$A$5:$A$304,0)),""))</f>
        <v/>
      </c>
      <c r="D1307" s="12" t="n"/>
      <c r="E1307" s="11" t="n"/>
      <c r="F1307" s="16">
        <f>IF(OR(D1307="",E1307=""),"",D1307*E1307)</f>
        <v/>
      </c>
      <c r="G1307" s="10" t="n"/>
      <c r="H1307" s="14">
        <f>IF(A1307="","",MONTH(A1307))</f>
        <v/>
      </c>
      <c r="I1307" s="14">
        <f>IF(A1307="","",YEAR(A1307))</f>
        <v/>
      </c>
    </row>
    <row r="1308">
      <c r="A1308" s="15" t="n"/>
      <c r="B1308" s="10" t="n"/>
      <c r="C1308" s="14">
        <f>IF(B1308="","",IFERROR(INDEX('Sản phẩm'!$B$5:$B$304,MATCH(B1308,'Sản phẩm'!$A$5:$A$304,0)),""))</f>
        <v/>
      </c>
      <c r="D1308" s="12" t="n"/>
      <c r="E1308" s="11" t="n"/>
      <c r="F1308" s="16">
        <f>IF(OR(D1308="",E1308=""),"",D1308*E1308)</f>
        <v/>
      </c>
      <c r="G1308" s="10" t="n"/>
      <c r="H1308" s="14">
        <f>IF(A1308="","",MONTH(A1308))</f>
        <v/>
      </c>
      <c r="I1308" s="14">
        <f>IF(A1308="","",YEAR(A1308))</f>
        <v/>
      </c>
    </row>
    <row r="1309">
      <c r="A1309" s="15" t="n"/>
      <c r="B1309" s="10" t="n"/>
      <c r="C1309" s="14">
        <f>IF(B1309="","",IFERROR(INDEX('Sản phẩm'!$B$5:$B$304,MATCH(B1309,'Sản phẩm'!$A$5:$A$304,0)),""))</f>
        <v/>
      </c>
      <c r="D1309" s="12" t="n"/>
      <c r="E1309" s="11" t="n"/>
      <c r="F1309" s="16">
        <f>IF(OR(D1309="",E1309=""),"",D1309*E1309)</f>
        <v/>
      </c>
      <c r="G1309" s="10" t="n"/>
      <c r="H1309" s="14">
        <f>IF(A1309="","",MONTH(A1309))</f>
        <v/>
      </c>
      <c r="I1309" s="14">
        <f>IF(A1309="","",YEAR(A1309))</f>
        <v/>
      </c>
    </row>
    <row r="1310">
      <c r="A1310" s="15" t="n"/>
      <c r="B1310" s="10" t="n"/>
      <c r="C1310" s="14">
        <f>IF(B1310="","",IFERROR(INDEX('Sản phẩm'!$B$5:$B$304,MATCH(B1310,'Sản phẩm'!$A$5:$A$304,0)),""))</f>
        <v/>
      </c>
      <c r="D1310" s="12" t="n"/>
      <c r="E1310" s="11" t="n"/>
      <c r="F1310" s="16">
        <f>IF(OR(D1310="",E1310=""),"",D1310*E1310)</f>
        <v/>
      </c>
      <c r="G1310" s="10" t="n"/>
      <c r="H1310" s="14">
        <f>IF(A1310="","",MONTH(A1310))</f>
        <v/>
      </c>
      <c r="I1310" s="14">
        <f>IF(A1310="","",YEAR(A1310))</f>
        <v/>
      </c>
    </row>
    <row r="1311">
      <c r="A1311" s="15" t="n"/>
      <c r="B1311" s="10" t="n"/>
      <c r="C1311" s="14">
        <f>IF(B1311="","",IFERROR(INDEX('Sản phẩm'!$B$5:$B$304,MATCH(B1311,'Sản phẩm'!$A$5:$A$304,0)),""))</f>
        <v/>
      </c>
      <c r="D1311" s="12" t="n"/>
      <c r="E1311" s="11" t="n"/>
      <c r="F1311" s="16">
        <f>IF(OR(D1311="",E1311=""),"",D1311*E1311)</f>
        <v/>
      </c>
      <c r="G1311" s="10" t="n"/>
      <c r="H1311" s="14">
        <f>IF(A1311="","",MONTH(A1311))</f>
        <v/>
      </c>
      <c r="I1311" s="14">
        <f>IF(A1311="","",YEAR(A1311))</f>
        <v/>
      </c>
    </row>
    <row r="1312">
      <c r="A1312" s="15" t="n"/>
      <c r="B1312" s="10" t="n"/>
      <c r="C1312" s="14">
        <f>IF(B1312="","",IFERROR(INDEX('Sản phẩm'!$B$5:$B$304,MATCH(B1312,'Sản phẩm'!$A$5:$A$304,0)),""))</f>
        <v/>
      </c>
      <c r="D1312" s="12" t="n"/>
      <c r="E1312" s="11" t="n"/>
      <c r="F1312" s="16">
        <f>IF(OR(D1312="",E1312=""),"",D1312*E1312)</f>
        <v/>
      </c>
      <c r="G1312" s="10" t="n"/>
      <c r="H1312" s="14">
        <f>IF(A1312="","",MONTH(A1312))</f>
        <v/>
      </c>
      <c r="I1312" s="14">
        <f>IF(A1312="","",YEAR(A1312))</f>
        <v/>
      </c>
    </row>
    <row r="1313">
      <c r="A1313" s="15" t="n"/>
      <c r="B1313" s="10" t="n"/>
      <c r="C1313" s="14">
        <f>IF(B1313="","",IFERROR(INDEX('Sản phẩm'!$B$5:$B$304,MATCH(B1313,'Sản phẩm'!$A$5:$A$304,0)),""))</f>
        <v/>
      </c>
      <c r="D1313" s="12" t="n"/>
      <c r="E1313" s="11" t="n"/>
      <c r="F1313" s="16">
        <f>IF(OR(D1313="",E1313=""),"",D1313*E1313)</f>
        <v/>
      </c>
      <c r="G1313" s="10" t="n"/>
      <c r="H1313" s="14">
        <f>IF(A1313="","",MONTH(A1313))</f>
        <v/>
      </c>
      <c r="I1313" s="14">
        <f>IF(A1313="","",YEAR(A1313))</f>
        <v/>
      </c>
    </row>
    <row r="1314">
      <c r="A1314" s="15" t="n"/>
      <c r="B1314" s="10" t="n"/>
      <c r="C1314" s="14">
        <f>IF(B1314="","",IFERROR(INDEX('Sản phẩm'!$B$5:$B$304,MATCH(B1314,'Sản phẩm'!$A$5:$A$304,0)),""))</f>
        <v/>
      </c>
      <c r="D1314" s="12" t="n"/>
      <c r="E1314" s="11" t="n"/>
      <c r="F1314" s="16">
        <f>IF(OR(D1314="",E1314=""),"",D1314*E1314)</f>
        <v/>
      </c>
      <c r="G1314" s="10" t="n"/>
      <c r="H1314" s="14">
        <f>IF(A1314="","",MONTH(A1314))</f>
        <v/>
      </c>
      <c r="I1314" s="14">
        <f>IF(A1314="","",YEAR(A1314))</f>
        <v/>
      </c>
    </row>
    <row r="1315">
      <c r="A1315" s="15" t="n"/>
      <c r="B1315" s="10" t="n"/>
      <c r="C1315" s="14">
        <f>IF(B1315="","",IFERROR(INDEX('Sản phẩm'!$B$5:$B$304,MATCH(B1315,'Sản phẩm'!$A$5:$A$304,0)),""))</f>
        <v/>
      </c>
      <c r="D1315" s="12" t="n"/>
      <c r="E1315" s="11" t="n"/>
      <c r="F1315" s="16">
        <f>IF(OR(D1315="",E1315=""),"",D1315*E1315)</f>
        <v/>
      </c>
      <c r="G1315" s="10" t="n"/>
      <c r="H1315" s="14">
        <f>IF(A1315="","",MONTH(A1315))</f>
        <v/>
      </c>
      <c r="I1315" s="14">
        <f>IF(A1315="","",YEAR(A1315))</f>
        <v/>
      </c>
    </row>
    <row r="1316">
      <c r="A1316" s="15" t="n"/>
      <c r="B1316" s="10" t="n"/>
      <c r="C1316" s="14">
        <f>IF(B1316="","",IFERROR(INDEX('Sản phẩm'!$B$5:$B$304,MATCH(B1316,'Sản phẩm'!$A$5:$A$304,0)),""))</f>
        <v/>
      </c>
      <c r="D1316" s="12" t="n"/>
      <c r="E1316" s="11" t="n"/>
      <c r="F1316" s="16">
        <f>IF(OR(D1316="",E1316=""),"",D1316*E1316)</f>
        <v/>
      </c>
      <c r="G1316" s="10" t="n"/>
      <c r="H1316" s="14">
        <f>IF(A1316="","",MONTH(A1316))</f>
        <v/>
      </c>
      <c r="I1316" s="14">
        <f>IF(A1316="","",YEAR(A1316))</f>
        <v/>
      </c>
    </row>
    <row r="1317">
      <c r="A1317" s="15" t="n"/>
      <c r="B1317" s="10" t="n"/>
      <c r="C1317" s="14">
        <f>IF(B1317="","",IFERROR(INDEX('Sản phẩm'!$B$5:$B$304,MATCH(B1317,'Sản phẩm'!$A$5:$A$304,0)),""))</f>
        <v/>
      </c>
      <c r="D1317" s="12" t="n"/>
      <c r="E1317" s="11" t="n"/>
      <c r="F1317" s="16">
        <f>IF(OR(D1317="",E1317=""),"",D1317*E1317)</f>
        <v/>
      </c>
      <c r="G1317" s="10" t="n"/>
      <c r="H1317" s="14">
        <f>IF(A1317="","",MONTH(A1317))</f>
        <v/>
      </c>
      <c r="I1317" s="14">
        <f>IF(A1317="","",YEAR(A1317))</f>
        <v/>
      </c>
    </row>
    <row r="1318">
      <c r="A1318" s="15" t="n"/>
      <c r="B1318" s="10" t="n"/>
      <c r="C1318" s="14">
        <f>IF(B1318="","",IFERROR(INDEX('Sản phẩm'!$B$5:$B$304,MATCH(B1318,'Sản phẩm'!$A$5:$A$304,0)),""))</f>
        <v/>
      </c>
      <c r="D1318" s="12" t="n"/>
      <c r="E1318" s="11" t="n"/>
      <c r="F1318" s="16">
        <f>IF(OR(D1318="",E1318=""),"",D1318*E1318)</f>
        <v/>
      </c>
      <c r="G1318" s="10" t="n"/>
      <c r="H1318" s="14">
        <f>IF(A1318="","",MONTH(A1318))</f>
        <v/>
      </c>
      <c r="I1318" s="14">
        <f>IF(A1318="","",YEAR(A1318))</f>
        <v/>
      </c>
    </row>
    <row r="1319">
      <c r="A1319" s="15" t="n"/>
      <c r="B1319" s="10" t="n"/>
      <c r="C1319" s="14">
        <f>IF(B1319="","",IFERROR(INDEX('Sản phẩm'!$B$5:$B$304,MATCH(B1319,'Sản phẩm'!$A$5:$A$304,0)),""))</f>
        <v/>
      </c>
      <c r="D1319" s="12" t="n"/>
      <c r="E1319" s="11" t="n"/>
      <c r="F1319" s="16">
        <f>IF(OR(D1319="",E1319=""),"",D1319*E1319)</f>
        <v/>
      </c>
      <c r="G1319" s="10" t="n"/>
      <c r="H1319" s="14">
        <f>IF(A1319="","",MONTH(A1319))</f>
        <v/>
      </c>
      <c r="I1319" s="14">
        <f>IF(A1319="","",YEAR(A1319))</f>
        <v/>
      </c>
    </row>
    <row r="1320">
      <c r="A1320" s="15" t="n"/>
      <c r="B1320" s="10" t="n"/>
      <c r="C1320" s="14">
        <f>IF(B1320="","",IFERROR(INDEX('Sản phẩm'!$B$5:$B$304,MATCH(B1320,'Sản phẩm'!$A$5:$A$304,0)),""))</f>
        <v/>
      </c>
      <c r="D1320" s="12" t="n"/>
      <c r="E1320" s="11" t="n"/>
      <c r="F1320" s="16">
        <f>IF(OR(D1320="",E1320=""),"",D1320*E1320)</f>
        <v/>
      </c>
      <c r="G1320" s="10" t="n"/>
      <c r="H1320" s="14">
        <f>IF(A1320="","",MONTH(A1320))</f>
        <v/>
      </c>
      <c r="I1320" s="14">
        <f>IF(A1320="","",YEAR(A1320))</f>
        <v/>
      </c>
    </row>
    <row r="1321">
      <c r="A1321" s="15" t="n"/>
      <c r="B1321" s="10" t="n"/>
      <c r="C1321" s="14">
        <f>IF(B1321="","",IFERROR(INDEX('Sản phẩm'!$B$5:$B$304,MATCH(B1321,'Sản phẩm'!$A$5:$A$304,0)),""))</f>
        <v/>
      </c>
      <c r="D1321" s="12" t="n"/>
      <c r="E1321" s="11" t="n"/>
      <c r="F1321" s="16">
        <f>IF(OR(D1321="",E1321=""),"",D1321*E1321)</f>
        <v/>
      </c>
      <c r="G1321" s="10" t="n"/>
      <c r="H1321" s="14">
        <f>IF(A1321="","",MONTH(A1321))</f>
        <v/>
      </c>
      <c r="I1321" s="14">
        <f>IF(A1321="","",YEAR(A1321))</f>
        <v/>
      </c>
    </row>
    <row r="1322">
      <c r="A1322" s="15" t="n"/>
      <c r="B1322" s="10" t="n"/>
      <c r="C1322" s="14">
        <f>IF(B1322="","",IFERROR(INDEX('Sản phẩm'!$B$5:$B$304,MATCH(B1322,'Sản phẩm'!$A$5:$A$304,0)),""))</f>
        <v/>
      </c>
      <c r="D1322" s="12" t="n"/>
      <c r="E1322" s="11" t="n"/>
      <c r="F1322" s="16">
        <f>IF(OR(D1322="",E1322=""),"",D1322*E1322)</f>
        <v/>
      </c>
      <c r="G1322" s="10" t="n"/>
      <c r="H1322" s="14">
        <f>IF(A1322="","",MONTH(A1322))</f>
        <v/>
      </c>
      <c r="I1322" s="14">
        <f>IF(A1322="","",YEAR(A1322))</f>
        <v/>
      </c>
    </row>
    <row r="1323">
      <c r="A1323" s="15" t="n"/>
      <c r="B1323" s="10" t="n"/>
      <c r="C1323" s="14">
        <f>IF(B1323="","",IFERROR(INDEX('Sản phẩm'!$B$5:$B$304,MATCH(B1323,'Sản phẩm'!$A$5:$A$304,0)),""))</f>
        <v/>
      </c>
      <c r="D1323" s="12" t="n"/>
      <c r="E1323" s="11" t="n"/>
      <c r="F1323" s="16">
        <f>IF(OR(D1323="",E1323=""),"",D1323*E1323)</f>
        <v/>
      </c>
      <c r="G1323" s="10" t="n"/>
      <c r="H1323" s="14">
        <f>IF(A1323="","",MONTH(A1323))</f>
        <v/>
      </c>
      <c r="I1323" s="14">
        <f>IF(A1323="","",YEAR(A1323))</f>
        <v/>
      </c>
    </row>
    <row r="1324">
      <c r="A1324" s="15" t="n"/>
      <c r="B1324" s="10" t="n"/>
      <c r="C1324" s="14">
        <f>IF(B1324="","",IFERROR(INDEX('Sản phẩm'!$B$5:$B$304,MATCH(B1324,'Sản phẩm'!$A$5:$A$304,0)),""))</f>
        <v/>
      </c>
      <c r="D1324" s="12" t="n"/>
      <c r="E1324" s="11" t="n"/>
      <c r="F1324" s="16">
        <f>IF(OR(D1324="",E1324=""),"",D1324*E1324)</f>
        <v/>
      </c>
      <c r="G1324" s="10" t="n"/>
      <c r="H1324" s="14">
        <f>IF(A1324="","",MONTH(A1324))</f>
        <v/>
      </c>
      <c r="I1324" s="14">
        <f>IF(A1324="","",YEAR(A1324))</f>
        <v/>
      </c>
    </row>
    <row r="1325">
      <c r="A1325" s="15" t="n"/>
      <c r="B1325" s="10" t="n"/>
      <c r="C1325" s="14">
        <f>IF(B1325="","",IFERROR(INDEX('Sản phẩm'!$B$5:$B$304,MATCH(B1325,'Sản phẩm'!$A$5:$A$304,0)),""))</f>
        <v/>
      </c>
      <c r="D1325" s="12" t="n"/>
      <c r="E1325" s="11" t="n"/>
      <c r="F1325" s="16">
        <f>IF(OR(D1325="",E1325=""),"",D1325*E1325)</f>
        <v/>
      </c>
      <c r="G1325" s="10" t="n"/>
      <c r="H1325" s="14">
        <f>IF(A1325="","",MONTH(A1325))</f>
        <v/>
      </c>
      <c r="I1325" s="14">
        <f>IF(A1325="","",YEAR(A1325))</f>
        <v/>
      </c>
    </row>
    <row r="1326">
      <c r="A1326" s="15" t="n"/>
      <c r="B1326" s="10" t="n"/>
      <c r="C1326" s="14">
        <f>IF(B1326="","",IFERROR(INDEX('Sản phẩm'!$B$5:$B$304,MATCH(B1326,'Sản phẩm'!$A$5:$A$304,0)),""))</f>
        <v/>
      </c>
      <c r="D1326" s="12" t="n"/>
      <c r="E1326" s="11" t="n"/>
      <c r="F1326" s="16">
        <f>IF(OR(D1326="",E1326=""),"",D1326*E1326)</f>
        <v/>
      </c>
      <c r="G1326" s="10" t="n"/>
      <c r="H1326" s="14">
        <f>IF(A1326="","",MONTH(A1326))</f>
        <v/>
      </c>
      <c r="I1326" s="14">
        <f>IF(A1326="","",YEAR(A1326))</f>
        <v/>
      </c>
    </row>
    <row r="1327">
      <c r="A1327" s="15" t="n"/>
      <c r="B1327" s="10" t="n"/>
      <c r="C1327" s="14">
        <f>IF(B1327="","",IFERROR(INDEX('Sản phẩm'!$B$5:$B$304,MATCH(B1327,'Sản phẩm'!$A$5:$A$304,0)),""))</f>
        <v/>
      </c>
      <c r="D1327" s="12" t="n"/>
      <c r="E1327" s="11" t="n"/>
      <c r="F1327" s="16">
        <f>IF(OR(D1327="",E1327=""),"",D1327*E1327)</f>
        <v/>
      </c>
      <c r="G1327" s="10" t="n"/>
      <c r="H1327" s="14">
        <f>IF(A1327="","",MONTH(A1327))</f>
        <v/>
      </c>
      <c r="I1327" s="14">
        <f>IF(A1327="","",YEAR(A1327))</f>
        <v/>
      </c>
    </row>
    <row r="1328">
      <c r="A1328" s="15" t="n"/>
      <c r="B1328" s="10" t="n"/>
      <c r="C1328" s="14">
        <f>IF(B1328="","",IFERROR(INDEX('Sản phẩm'!$B$5:$B$304,MATCH(B1328,'Sản phẩm'!$A$5:$A$304,0)),""))</f>
        <v/>
      </c>
      <c r="D1328" s="12" t="n"/>
      <c r="E1328" s="11" t="n"/>
      <c r="F1328" s="16">
        <f>IF(OR(D1328="",E1328=""),"",D1328*E1328)</f>
        <v/>
      </c>
      <c r="G1328" s="10" t="n"/>
      <c r="H1328" s="14">
        <f>IF(A1328="","",MONTH(A1328))</f>
        <v/>
      </c>
      <c r="I1328" s="14">
        <f>IF(A1328="","",YEAR(A1328))</f>
        <v/>
      </c>
    </row>
    <row r="1329">
      <c r="A1329" s="15" t="n"/>
      <c r="B1329" s="10" t="n"/>
      <c r="C1329" s="14">
        <f>IF(B1329="","",IFERROR(INDEX('Sản phẩm'!$B$5:$B$304,MATCH(B1329,'Sản phẩm'!$A$5:$A$304,0)),""))</f>
        <v/>
      </c>
      <c r="D1329" s="12" t="n"/>
      <c r="E1329" s="11" t="n"/>
      <c r="F1329" s="16">
        <f>IF(OR(D1329="",E1329=""),"",D1329*E1329)</f>
        <v/>
      </c>
      <c r="G1329" s="10" t="n"/>
      <c r="H1329" s="14">
        <f>IF(A1329="","",MONTH(A1329))</f>
        <v/>
      </c>
      <c r="I1329" s="14">
        <f>IF(A1329="","",YEAR(A1329))</f>
        <v/>
      </c>
    </row>
    <row r="1330">
      <c r="A1330" s="15" t="n"/>
      <c r="B1330" s="10" t="n"/>
      <c r="C1330" s="14">
        <f>IF(B1330="","",IFERROR(INDEX('Sản phẩm'!$B$5:$B$304,MATCH(B1330,'Sản phẩm'!$A$5:$A$304,0)),""))</f>
        <v/>
      </c>
      <c r="D1330" s="12" t="n"/>
      <c r="E1330" s="11" t="n"/>
      <c r="F1330" s="16">
        <f>IF(OR(D1330="",E1330=""),"",D1330*E1330)</f>
        <v/>
      </c>
      <c r="G1330" s="10" t="n"/>
      <c r="H1330" s="14">
        <f>IF(A1330="","",MONTH(A1330))</f>
        <v/>
      </c>
      <c r="I1330" s="14">
        <f>IF(A1330="","",YEAR(A1330))</f>
        <v/>
      </c>
    </row>
    <row r="1331">
      <c r="A1331" s="15" t="n"/>
      <c r="B1331" s="10" t="n"/>
      <c r="C1331" s="14">
        <f>IF(B1331="","",IFERROR(INDEX('Sản phẩm'!$B$5:$B$304,MATCH(B1331,'Sản phẩm'!$A$5:$A$304,0)),""))</f>
        <v/>
      </c>
      <c r="D1331" s="12" t="n"/>
      <c r="E1331" s="11" t="n"/>
      <c r="F1331" s="16">
        <f>IF(OR(D1331="",E1331=""),"",D1331*E1331)</f>
        <v/>
      </c>
      <c r="G1331" s="10" t="n"/>
      <c r="H1331" s="14">
        <f>IF(A1331="","",MONTH(A1331))</f>
        <v/>
      </c>
      <c r="I1331" s="14">
        <f>IF(A1331="","",YEAR(A1331))</f>
        <v/>
      </c>
    </row>
    <row r="1332">
      <c r="A1332" s="15" t="n"/>
      <c r="B1332" s="10" t="n"/>
      <c r="C1332" s="14">
        <f>IF(B1332="","",IFERROR(INDEX('Sản phẩm'!$B$5:$B$304,MATCH(B1332,'Sản phẩm'!$A$5:$A$304,0)),""))</f>
        <v/>
      </c>
      <c r="D1332" s="12" t="n"/>
      <c r="E1332" s="11" t="n"/>
      <c r="F1332" s="16">
        <f>IF(OR(D1332="",E1332=""),"",D1332*E1332)</f>
        <v/>
      </c>
      <c r="G1332" s="10" t="n"/>
      <c r="H1332" s="14">
        <f>IF(A1332="","",MONTH(A1332))</f>
        <v/>
      </c>
      <c r="I1332" s="14">
        <f>IF(A1332="","",YEAR(A1332))</f>
        <v/>
      </c>
    </row>
    <row r="1333">
      <c r="A1333" s="15" t="n"/>
      <c r="B1333" s="10" t="n"/>
      <c r="C1333" s="14">
        <f>IF(B1333="","",IFERROR(INDEX('Sản phẩm'!$B$5:$B$304,MATCH(B1333,'Sản phẩm'!$A$5:$A$304,0)),""))</f>
        <v/>
      </c>
      <c r="D1333" s="12" t="n"/>
      <c r="E1333" s="11" t="n"/>
      <c r="F1333" s="16">
        <f>IF(OR(D1333="",E1333=""),"",D1333*E1333)</f>
        <v/>
      </c>
      <c r="G1333" s="10" t="n"/>
      <c r="H1333" s="14">
        <f>IF(A1333="","",MONTH(A1333))</f>
        <v/>
      </c>
      <c r="I1333" s="14">
        <f>IF(A1333="","",YEAR(A1333))</f>
        <v/>
      </c>
    </row>
    <row r="1334">
      <c r="A1334" s="15" t="n"/>
      <c r="B1334" s="10" t="n"/>
      <c r="C1334" s="14">
        <f>IF(B1334="","",IFERROR(INDEX('Sản phẩm'!$B$5:$B$304,MATCH(B1334,'Sản phẩm'!$A$5:$A$304,0)),""))</f>
        <v/>
      </c>
      <c r="D1334" s="12" t="n"/>
      <c r="E1334" s="11" t="n"/>
      <c r="F1334" s="16">
        <f>IF(OR(D1334="",E1334=""),"",D1334*E1334)</f>
        <v/>
      </c>
      <c r="G1334" s="10" t="n"/>
      <c r="H1334" s="14">
        <f>IF(A1334="","",MONTH(A1334))</f>
        <v/>
      </c>
      <c r="I1334" s="14">
        <f>IF(A1334="","",YEAR(A1334))</f>
        <v/>
      </c>
    </row>
    <row r="1335">
      <c r="A1335" s="15" t="n"/>
      <c r="B1335" s="10" t="n"/>
      <c r="C1335" s="14">
        <f>IF(B1335="","",IFERROR(INDEX('Sản phẩm'!$B$5:$B$304,MATCH(B1335,'Sản phẩm'!$A$5:$A$304,0)),""))</f>
        <v/>
      </c>
      <c r="D1335" s="12" t="n"/>
      <c r="E1335" s="11" t="n"/>
      <c r="F1335" s="16">
        <f>IF(OR(D1335="",E1335=""),"",D1335*E1335)</f>
        <v/>
      </c>
      <c r="G1335" s="10" t="n"/>
      <c r="H1335" s="14">
        <f>IF(A1335="","",MONTH(A1335))</f>
        <v/>
      </c>
      <c r="I1335" s="14">
        <f>IF(A1335="","",YEAR(A1335))</f>
        <v/>
      </c>
    </row>
    <row r="1336">
      <c r="A1336" s="15" t="n"/>
      <c r="B1336" s="10" t="n"/>
      <c r="C1336" s="14">
        <f>IF(B1336="","",IFERROR(INDEX('Sản phẩm'!$B$5:$B$304,MATCH(B1336,'Sản phẩm'!$A$5:$A$304,0)),""))</f>
        <v/>
      </c>
      <c r="D1336" s="12" t="n"/>
      <c r="E1336" s="11" t="n"/>
      <c r="F1336" s="16">
        <f>IF(OR(D1336="",E1336=""),"",D1336*E1336)</f>
        <v/>
      </c>
      <c r="G1336" s="10" t="n"/>
      <c r="H1336" s="14">
        <f>IF(A1336="","",MONTH(A1336))</f>
        <v/>
      </c>
      <c r="I1336" s="14">
        <f>IF(A1336="","",YEAR(A1336))</f>
        <v/>
      </c>
    </row>
    <row r="1337">
      <c r="A1337" s="15" t="n"/>
      <c r="B1337" s="10" t="n"/>
      <c r="C1337" s="14">
        <f>IF(B1337="","",IFERROR(INDEX('Sản phẩm'!$B$5:$B$304,MATCH(B1337,'Sản phẩm'!$A$5:$A$304,0)),""))</f>
        <v/>
      </c>
      <c r="D1337" s="12" t="n"/>
      <c r="E1337" s="11" t="n"/>
      <c r="F1337" s="16">
        <f>IF(OR(D1337="",E1337=""),"",D1337*E1337)</f>
        <v/>
      </c>
      <c r="G1337" s="10" t="n"/>
      <c r="H1337" s="14">
        <f>IF(A1337="","",MONTH(A1337))</f>
        <v/>
      </c>
      <c r="I1337" s="14">
        <f>IF(A1337="","",YEAR(A1337))</f>
        <v/>
      </c>
    </row>
    <row r="1338">
      <c r="A1338" s="15" t="n"/>
      <c r="B1338" s="10" t="n"/>
      <c r="C1338" s="14">
        <f>IF(B1338="","",IFERROR(INDEX('Sản phẩm'!$B$5:$B$304,MATCH(B1338,'Sản phẩm'!$A$5:$A$304,0)),""))</f>
        <v/>
      </c>
      <c r="D1338" s="12" t="n"/>
      <c r="E1338" s="11" t="n"/>
      <c r="F1338" s="16">
        <f>IF(OR(D1338="",E1338=""),"",D1338*E1338)</f>
        <v/>
      </c>
      <c r="G1338" s="10" t="n"/>
      <c r="H1338" s="14">
        <f>IF(A1338="","",MONTH(A1338))</f>
        <v/>
      </c>
      <c r="I1338" s="14">
        <f>IF(A1338="","",YEAR(A1338))</f>
        <v/>
      </c>
    </row>
    <row r="1339">
      <c r="A1339" s="15" t="n"/>
      <c r="B1339" s="10" t="n"/>
      <c r="C1339" s="14">
        <f>IF(B1339="","",IFERROR(INDEX('Sản phẩm'!$B$5:$B$304,MATCH(B1339,'Sản phẩm'!$A$5:$A$304,0)),""))</f>
        <v/>
      </c>
      <c r="D1339" s="12" t="n"/>
      <c r="E1339" s="11" t="n"/>
      <c r="F1339" s="16">
        <f>IF(OR(D1339="",E1339=""),"",D1339*E1339)</f>
        <v/>
      </c>
      <c r="G1339" s="10" t="n"/>
      <c r="H1339" s="14">
        <f>IF(A1339="","",MONTH(A1339))</f>
        <v/>
      </c>
      <c r="I1339" s="14">
        <f>IF(A1339="","",YEAR(A1339))</f>
        <v/>
      </c>
    </row>
    <row r="1340">
      <c r="A1340" s="15" t="n"/>
      <c r="B1340" s="10" t="n"/>
      <c r="C1340" s="14">
        <f>IF(B1340="","",IFERROR(INDEX('Sản phẩm'!$B$5:$B$304,MATCH(B1340,'Sản phẩm'!$A$5:$A$304,0)),""))</f>
        <v/>
      </c>
      <c r="D1340" s="12" t="n"/>
      <c r="E1340" s="11" t="n"/>
      <c r="F1340" s="16">
        <f>IF(OR(D1340="",E1340=""),"",D1340*E1340)</f>
        <v/>
      </c>
      <c r="G1340" s="10" t="n"/>
      <c r="H1340" s="14">
        <f>IF(A1340="","",MONTH(A1340))</f>
        <v/>
      </c>
      <c r="I1340" s="14">
        <f>IF(A1340="","",YEAR(A1340))</f>
        <v/>
      </c>
    </row>
    <row r="1341">
      <c r="A1341" s="15" t="n"/>
      <c r="B1341" s="10" t="n"/>
      <c r="C1341" s="14">
        <f>IF(B1341="","",IFERROR(INDEX('Sản phẩm'!$B$5:$B$304,MATCH(B1341,'Sản phẩm'!$A$5:$A$304,0)),""))</f>
        <v/>
      </c>
      <c r="D1341" s="12" t="n"/>
      <c r="E1341" s="11" t="n"/>
      <c r="F1341" s="16">
        <f>IF(OR(D1341="",E1341=""),"",D1341*E1341)</f>
        <v/>
      </c>
      <c r="G1341" s="10" t="n"/>
      <c r="H1341" s="14">
        <f>IF(A1341="","",MONTH(A1341))</f>
        <v/>
      </c>
      <c r="I1341" s="14">
        <f>IF(A1341="","",YEAR(A1341))</f>
        <v/>
      </c>
    </row>
    <row r="1342">
      <c r="A1342" s="15" t="n"/>
      <c r="B1342" s="10" t="n"/>
      <c r="C1342" s="14">
        <f>IF(B1342="","",IFERROR(INDEX('Sản phẩm'!$B$5:$B$304,MATCH(B1342,'Sản phẩm'!$A$5:$A$304,0)),""))</f>
        <v/>
      </c>
      <c r="D1342" s="12" t="n"/>
      <c r="E1342" s="11" t="n"/>
      <c r="F1342" s="16">
        <f>IF(OR(D1342="",E1342=""),"",D1342*E1342)</f>
        <v/>
      </c>
      <c r="G1342" s="10" t="n"/>
      <c r="H1342" s="14">
        <f>IF(A1342="","",MONTH(A1342))</f>
        <v/>
      </c>
      <c r="I1342" s="14">
        <f>IF(A1342="","",YEAR(A1342))</f>
        <v/>
      </c>
    </row>
    <row r="1343">
      <c r="A1343" s="15" t="n"/>
      <c r="B1343" s="10" t="n"/>
      <c r="C1343" s="14">
        <f>IF(B1343="","",IFERROR(INDEX('Sản phẩm'!$B$5:$B$304,MATCH(B1343,'Sản phẩm'!$A$5:$A$304,0)),""))</f>
        <v/>
      </c>
      <c r="D1343" s="12" t="n"/>
      <c r="E1343" s="11" t="n"/>
      <c r="F1343" s="16">
        <f>IF(OR(D1343="",E1343=""),"",D1343*E1343)</f>
        <v/>
      </c>
      <c r="G1343" s="10" t="n"/>
      <c r="H1343" s="14">
        <f>IF(A1343="","",MONTH(A1343))</f>
        <v/>
      </c>
      <c r="I1343" s="14">
        <f>IF(A1343="","",YEAR(A1343))</f>
        <v/>
      </c>
    </row>
    <row r="1344">
      <c r="A1344" s="15" t="n"/>
      <c r="B1344" s="10" t="n"/>
      <c r="C1344" s="14">
        <f>IF(B1344="","",IFERROR(INDEX('Sản phẩm'!$B$5:$B$304,MATCH(B1344,'Sản phẩm'!$A$5:$A$304,0)),""))</f>
        <v/>
      </c>
      <c r="D1344" s="12" t="n"/>
      <c r="E1344" s="11" t="n"/>
      <c r="F1344" s="16">
        <f>IF(OR(D1344="",E1344=""),"",D1344*E1344)</f>
        <v/>
      </c>
      <c r="G1344" s="10" t="n"/>
      <c r="H1344" s="14">
        <f>IF(A1344="","",MONTH(A1344))</f>
        <v/>
      </c>
      <c r="I1344" s="14">
        <f>IF(A1344="","",YEAR(A1344))</f>
        <v/>
      </c>
    </row>
    <row r="1345">
      <c r="A1345" s="15" t="n"/>
      <c r="B1345" s="10" t="n"/>
      <c r="C1345" s="14">
        <f>IF(B1345="","",IFERROR(INDEX('Sản phẩm'!$B$5:$B$304,MATCH(B1345,'Sản phẩm'!$A$5:$A$304,0)),""))</f>
        <v/>
      </c>
      <c r="D1345" s="12" t="n"/>
      <c r="E1345" s="11" t="n"/>
      <c r="F1345" s="16">
        <f>IF(OR(D1345="",E1345=""),"",D1345*E1345)</f>
        <v/>
      </c>
      <c r="G1345" s="10" t="n"/>
      <c r="H1345" s="14">
        <f>IF(A1345="","",MONTH(A1345))</f>
        <v/>
      </c>
      <c r="I1345" s="14">
        <f>IF(A1345="","",YEAR(A1345))</f>
        <v/>
      </c>
    </row>
    <row r="1346">
      <c r="A1346" s="15" t="n"/>
      <c r="B1346" s="10" t="n"/>
      <c r="C1346" s="14">
        <f>IF(B1346="","",IFERROR(INDEX('Sản phẩm'!$B$5:$B$304,MATCH(B1346,'Sản phẩm'!$A$5:$A$304,0)),""))</f>
        <v/>
      </c>
      <c r="D1346" s="12" t="n"/>
      <c r="E1346" s="11" t="n"/>
      <c r="F1346" s="16">
        <f>IF(OR(D1346="",E1346=""),"",D1346*E1346)</f>
        <v/>
      </c>
      <c r="G1346" s="10" t="n"/>
      <c r="H1346" s="14">
        <f>IF(A1346="","",MONTH(A1346))</f>
        <v/>
      </c>
      <c r="I1346" s="14">
        <f>IF(A1346="","",YEAR(A1346))</f>
        <v/>
      </c>
    </row>
    <row r="1347">
      <c r="A1347" s="15" t="n"/>
      <c r="B1347" s="10" t="n"/>
      <c r="C1347" s="14">
        <f>IF(B1347="","",IFERROR(INDEX('Sản phẩm'!$B$5:$B$304,MATCH(B1347,'Sản phẩm'!$A$5:$A$304,0)),""))</f>
        <v/>
      </c>
      <c r="D1347" s="12" t="n"/>
      <c r="E1347" s="11" t="n"/>
      <c r="F1347" s="16">
        <f>IF(OR(D1347="",E1347=""),"",D1347*E1347)</f>
        <v/>
      </c>
      <c r="G1347" s="10" t="n"/>
      <c r="H1347" s="14">
        <f>IF(A1347="","",MONTH(A1347))</f>
        <v/>
      </c>
      <c r="I1347" s="14">
        <f>IF(A1347="","",YEAR(A1347))</f>
        <v/>
      </c>
    </row>
    <row r="1348">
      <c r="A1348" s="15" t="n"/>
      <c r="B1348" s="10" t="n"/>
      <c r="C1348" s="14">
        <f>IF(B1348="","",IFERROR(INDEX('Sản phẩm'!$B$5:$B$304,MATCH(B1348,'Sản phẩm'!$A$5:$A$304,0)),""))</f>
        <v/>
      </c>
      <c r="D1348" s="12" t="n"/>
      <c r="E1348" s="11" t="n"/>
      <c r="F1348" s="16">
        <f>IF(OR(D1348="",E1348=""),"",D1348*E1348)</f>
        <v/>
      </c>
      <c r="G1348" s="10" t="n"/>
      <c r="H1348" s="14">
        <f>IF(A1348="","",MONTH(A1348))</f>
        <v/>
      </c>
      <c r="I1348" s="14">
        <f>IF(A1348="","",YEAR(A1348))</f>
        <v/>
      </c>
    </row>
    <row r="1349">
      <c r="A1349" s="15" t="n"/>
      <c r="B1349" s="10" t="n"/>
      <c r="C1349" s="14">
        <f>IF(B1349="","",IFERROR(INDEX('Sản phẩm'!$B$5:$B$304,MATCH(B1349,'Sản phẩm'!$A$5:$A$304,0)),""))</f>
        <v/>
      </c>
      <c r="D1349" s="12" t="n"/>
      <c r="E1349" s="11" t="n"/>
      <c r="F1349" s="16">
        <f>IF(OR(D1349="",E1349=""),"",D1349*E1349)</f>
        <v/>
      </c>
      <c r="G1349" s="10" t="n"/>
      <c r="H1349" s="14">
        <f>IF(A1349="","",MONTH(A1349))</f>
        <v/>
      </c>
      <c r="I1349" s="14">
        <f>IF(A1349="","",YEAR(A1349))</f>
        <v/>
      </c>
    </row>
    <row r="1350">
      <c r="A1350" s="15" t="n"/>
      <c r="B1350" s="10" t="n"/>
      <c r="C1350" s="14">
        <f>IF(B1350="","",IFERROR(INDEX('Sản phẩm'!$B$5:$B$304,MATCH(B1350,'Sản phẩm'!$A$5:$A$304,0)),""))</f>
        <v/>
      </c>
      <c r="D1350" s="12" t="n"/>
      <c r="E1350" s="11" t="n"/>
      <c r="F1350" s="16">
        <f>IF(OR(D1350="",E1350=""),"",D1350*E1350)</f>
        <v/>
      </c>
      <c r="G1350" s="10" t="n"/>
      <c r="H1350" s="14">
        <f>IF(A1350="","",MONTH(A1350))</f>
        <v/>
      </c>
      <c r="I1350" s="14">
        <f>IF(A1350="","",YEAR(A1350))</f>
        <v/>
      </c>
    </row>
    <row r="1351">
      <c r="A1351" s="15" t="n"/>
      <c r="B1351" s="10" t="n"/>
      <c r="C1351" s="14">
        <f>IF(B1351="","",IFERROR(INDEX('Sản phẩm'!$B$5:$B$304,MATCH(B1351,'Sản phẩm'!$A$5:$A$304,0)),""))</f>
        <v/>
      </c>
      <c r="D1351" s="12" t="n"/>
      <c r="E1351" s="11" t="n"/>
      <c r="F1351" s="16">
        <f>IF(OR(D1351="",E1351=""),"",D1351*E1351)</f>
        <v/>
      </c>
      <c r="G1351" s="10" t="n"/>
      <c r="H1351" s="14">
        <f>IF(A1351="","",MONTH(A1351))</f>
        <v/>
      </c>
      <c r="I1351" s="14">
        <f>IF(A1351="","",YEAR(A1351))</f>
        <v/>
      </c>
    </row>
    <row r="1352">
      <c r="A1352" s="15" t="n"/>
      <c r="B1352" s="10" t="n"/>
      <c r="C1352" s="14">
        <f>IF(B1352="","",IFERROR(INDEX('Sản phẩm'!$B$5:$B$304,MATCH(B1352,'Sản phẩm'!$A$5:$A$304,0)),""))</f>
        <v/>
      </c>
      <c r="D1352" s="12" t="n"/>
      <c r="E1352" s="11" t="n"/>
      <c r="F1352" s="16">
        <f>IF(OR(D1352="",E1352=""),"",D1352*E1352)</f>
        <v/>
      </c>
      <c r="G1352" s="10" t="n"/>
      <c r="H1352" s="14">
        <f>IF(A1352="","",MONTH(A1352))</f>
        <v/>
      </c>
      <c r="I1352" s="14">
        <f>IF(A1352="","",YEAR(A1352))</f>
        <v/>
      </c>
    </row>
    <row r="1353">
      <c r="A1353" s="15" t="n"/>
      <c r="B1353" s="10" t="n"/>
      <c r="C1353" s="14">
        <f>IF(B1353="","",IFERROR(INDEX('Sản phẩm'!$B$5:$B$304,MATCH(B1353,'Sản phẩm'!$A$5:$A$304,0)),""))</f>
        <v/>
      </c>
      <c r="D1353" s="12" t="n"/>
      <c r="E1353" s="11" t="n"/>
      <c r="F1353" s="16">
        <f>IF(OR(D1353="",E1353=""),"",D1353*E1353)</f>
        <v/>
      </c>
      <c r="G1353" s="10" t="n"/>
      <c r="H1353" s="14">
        <f>IF(A1353="","",MONTH(A1353))</f>
        <v/>
      </c>
      <c r="I1353" s="14">
        <f>IF(A1353="","",YEAR(A1353))</f>
        <v/>
      </c>
    </row>
    <row r="1354">
      <c r="A1354" s="15" t="n"/>
      <c r="B1354" s="10" t="n"/>
      <c r="C1354" s="14">
        <f>IF(B1354="","",IFERROR(INDEX('Sản phẩm'!$B$5:$B$304,MATCH(B1354,'Sản phẩm'!$A$5:$A$304,0)),""))</f>
        <v/>
      </c>
      <c r="D1354" s="12" t="n"/>
      <c r="E1354" s="11" t="n"/>
      <c r="F1354" s="16">
        <f>IF(OR(D1354="",E1354=""),"",D1354*E1354)</f>
        <v/>
      </c>
      <c r="G1354" s="10" t="n"/>
      <c r="H1354" s="14">
        <f>IF(A1354="","",MONTH(A1354))</f>
        <v/>
      </c>
      <c r="I1354" s="14">
        <f>IF(A1354="","",YEAR(A1354))</f>
        <v/>
      </c>
    </row>
    <row r="1355">
      <c r="A1355" s="15" t="n"/>
      <c r="B1355" s="10" t="n"/>
      <c r="C1355" s="14">
        <f>IF(B1355="","",IFERROR(INDEX('Sản phẩm'!$B$5:$B$304,MATCH(B1355,'Sản phẩm'!$A$5:$A$304,0)),""))</f>
        <v/>
      </c>
      <c r="D1355" s="12" t="n"/>
      <c r="E1355" s="11" t="n"/>
      <c r="F1355" s="16">
        <f>IF(OR(D1355="",E1355=""),"",D1355*E1355)</f>
        <v/>
      </c>
      <c r="G1355" s="10" t="n"/>
      <c r="H1355" s="14">
        <f>IF(A1355="","",MONTH(A1355))</f>
        <v/>
      </c>
      <c r="I1355" s="14">
        <f>IF(A1355="","",YEAR(A1355))</f>
        <v/>
      </c>
    </row>
    <row r="1356">
      <c r="A1356" s="15" t="n"/>
      <c r="B1356" s="10" t="n"/>
      <c r="C1356" s="14">
        <f>IF(B1356="","",IFERROR(INDEX('Sản phẩm'!$B$5:$B$304,MATCH(B1356,'Sản phẩm'!$A$5:$A$304,0)),""))</f>
        <v/>
      </c>
      <c r="D1356" s="12" t="n"/>
      <c r="E1356" s="11" t="n"/>
      <c r="F1356" s="16">
        <f>IF(OR(D1356="",E1356=""),"",D1356*E1356)</f>
        <v/>
      </c>
      <c r="G1356" s="10" t="n"/>
      <c r="H1356" s="14">
        <f>IF(A1356="","",MONTH(A1356))</f>
        <v/>
      </c>
      <c r="I1356" s="14">
        <f>IF(A1356="","",YEAR(A1356))</f>
        <v/>
      </c>
    </row>
    <row r="1357">
      <c r="A1357" s="15" t="n"/>
      <c r="B1357" s="10" t="n"/>
      <c r="C1357" s="14">
        <f>IF(B1357="","",IFERROR(INDEX('Sản phẩm'!$B$5:$B$304,MATCH(B1357,'Sản phẩm'!$A$5:$A$304,0)),""))</f>
        <v/>
      </c>
      <c r="D1357" s="12" t="n"/>
      <c r="E1357" s="11" t="n"/>
      <c r="F1357" s="16">
        <f>IF(OR(D1357="",E1357=""),"",D1357*E1357)</f>
        <v/>
      </c>
      <c r="G1357" s="10" t="n"/>
      <c r="H1357" s="14">
        <f>IF(A1357="","",MONTH(A1357))</f>
        <v/>
      </c>
      <c r="I1357" s="14">
        <f>IF(A1357="","",YEAR(A1357))</f>
        <v/>
      </c>
    </row>
    <row r="1358">
      <c r="A1358" s="15" t="n"/>
      <c r="B1358" s="10" t="n"/>
      <c r="C1358" s="14">
        <f>IF(B1358="","",IFERROR(INDEX('Sản phẩm'!$B$5:$B$304,MATCH(B1358,'Sản phẩm'!$A$5:$A$304,0)),""))</f>
        <v/>
      </c>
      <c r="D1358" s="12" t="n"/>
      <c r="E1358" s="11" t="n"/>
      <c r="F1358" s="16">
        <f>IF(OR(D1358="",E1358=""),"",D1358*E1358)</f>
        <v/>
      </c>
      <c r="G1358" s="10" t="n"/>
      <c r="H1358" s="14">
        <f>IF(A1358="","",MONTH(A1358))</f>
        <v/>
      </c>
      <c r="I1358" s="14">
        <f>IF(A1358="","",YEAR(A1358))</f>
        <v/>
      </c>
    </row>
    <row r="1359">
      <c r="A1359" s="15" t="n"/>
      <c r="B1359" s="10" t="n"/>
      <c r="C1359" s="14">
        <f>IF(B1359="","",IFERROR(INDEX('Sản phẩm'!$B$5:$B$304,MATCH(B1359,'Sản phẩm'!$A$5:$A$304,0)),""))</f>
        <v/>
      </c>
      <c r="D1359" s="12" t="n"/>
      <c r="E1359" s="11" t="n"/>
      <c r="F1359" s="16">
        <f>IF(OR(D1359="",E1359=""),"",D1359*E1359)</f>
        <v/>
      </c>
      <c r="G1359" s="10" t="n"/>
      <c r="H1359" s="14">
        <f>IF(A1359="","",MONTH(A1359))</f>
        <v/>
      </c>
      <c r="I1359" s="14">
        <f>IF(A1359="","",YEAR(A1359))</f>
        <v/>
      </c>
    </row>
    <row r="1360">
      <c r="A1360" s="15" t="n"/>
      <c r="B1360" s="10" t="n"/>
      <c r="C1360" s="14">
        <f>IF(B1360="","",IFERROR(INDEX('Sản phẩm'!$B$5:$B$304,MATCH(B1360,'Sản phẩm'!$A$5:$A$304,0)),""))</f>
        <v/>
      </c>
      <c r="D1360" s="12" t="n"/>
      <c r="E1360" s="11" t="n"/>
      <c r="F1360" s="16">
        <f>IF(OR(D1360="",E1360=""),"",D1360*E1360)</f>
        <v/>
      </c>
      <c r="G1360" s="10" t="n"/>
      <c r="H1360" s="14">
        <f>IF(A1360="","",MONTH(A1360))</f>
        <v/>
      </c>
      <c r="I1360" s="14">
        <f>IF(A1360="","",YEAR(A1360))</f>
        <v/>
      </c>
    </row>
    <row r="1361">
      <c r="A1361" s="15" t="n"/>
      <c r="B1361" s="10" t="n"/>
      <c r="C1361" s="14">
        <f>IF(B1361="","",IFERROR(INDEX('Sản phẩm'!$B$5:$B$304,MATCH(B1361,'Sản phẩm'!$A$5:$A$304,0)),""))</f>
        <v/>
      </c>
      <c r="D1361" s="12" t="n"/>
      <c r="E1361" s="11" t="n"/>
      <c r="F1361" s="16">
        <f>IF(OR(D1361="",E1361=""),"",D1361*E1361)</f>
        <v/>
      </c>
      <c r="G1361" s="10" t="n"/>
      <c r="H1361" s="14">
        <f>IF(A1361="","",MONTH(A1361))</f>
        <v/>
      </c>
      <c r="I1361" s="14">
        <f>IF(A1361="","",YEAR(A1361))</f>
        <v/>
      </c>
    </row>
    <row r="1362">
      <c r="A1362" s="15" t="n"/>
      <c r="B1362" s="10" t="n"/>
      <c r="C1362" s="14">
        <f>IF(B1362="","",IFERROR(INDEX('Sản phẩm'!$B$5:$B$304,MATCH(B1362,'Sản phẩm'!$A$5:$A$304,0)),""))</f>
        <v/>
      </c>
      <c r="D1362" s="12" t="n"/>
      <c r="E1362" s="11" t="n"/>
      <c r="F1362" s="16">
        <f>IF(OR(D1362="",E1362=""),"",D1362*E1362)</f>
        <v/>
      </c>
      <c r="G1362" s="10" t="n"/>
      <c r="H1362" s="14">
        <f>IF(A1362="","",MONTH(A1362))</f>
        <v/>
      </c>
      <c r="I1362" s="14">
        <f>IF(A1362="","",YEAR(A1362))</f>
        <v/>
      </c>
    </row>
    <row r="1363">
      <c r="A1363" s="15" t="n"/>
      <c r="B1363" s="10" t="n"/>
      <c r="C1363" s="14">
        <f>IF(B1363="","",IFERROR(INDEX('Sản phẩm'!$B$5:$B$304,MATCH(B1363,'Sản phẩm'!$A$5:$A$304,0)),""))</f>
        <v/>
      </c>
      <c r="D1363" s="12" t="n"/>
      <c r="E1363" s="11" t="n"/>
      <c r="F1363" s="16">
        <f>IF(OR(D1363="",E1363=""),"",D1363*E1363)</f>
        <v/>
      </c>
      <c r="G1363" s="10" t="n"/>
      <c r="H1363" s="14">
        <f>IF(A1363="","",MONTH(A1363))</f>
        <v/>
      </c>
      <c r="I1363" s="14">
        <f>IF(A1363="","",YEAR(A1363))</f>
        <v/>
      </c>
    </row>
    <row r="1364">
      <c r="A1364" s="15" t="n"/>
      <c r="B1364" s="10" t="n"/>
      <c r="C1364" s="14">
        <f>IF(B1364="","",IFERROR(INDEX('Sản phẩm'!$B$5:$B$304,MATCH(B1364,'Sản phẩm'!$A$5:$A$304,0)),""))</f>
        <v/>
      </c>
      <c r="D1364" s="12" t="n"/>
      <c r="E1364" s="11" t="n"/>
      <c r="F1364" s="16">
        <f>IF(OR(D1364="",E1364=""),"",D1364*E1364)</f>
        <v/>
      </c>
      <c r="G1364" s="10" t="n"/>
      <c r="H1364" s="14">
        <f>IF(A1364="","",MONTH(A1364))</f>
        <v/>
      </c>
      <c r="I1364" s="14">
        <f>IF(A1364="","",YEAR(A1364))</f>
        <v/>
      </c>
    </row>
    <row r="1365">
      <c r="A1365" s="15" t="n"/>
      <c r="B1365" s="10" t="n"/>
      <c r="C1365" s="14">
        <f>IF(B1365="","",IFERROR(INDEX('Sản phẩm'!$B$5:$B$304,MATCH(B1365,'Sản phẩm'!$A$5:$A$304,0)),""))</f>
        <v/>
      </c>
      <c r="D1365" s="12" t="n"/>
      <c r="E1365" s="11" t="n"/>
      <c r="F1365" s="16">
        <f>IF(OR(D1365="",E1365=""),"",D1365*E1365)</f>
        <v/>
      </c>
      <c r="G1365" s="10" t="n"/>
      <c r="H1365" s="14">
        <f>IF(A1365="","",MONTH(A1365))</f>
        <v/>
      </c>
      <c r="I1365" s="14">
        <f>IF(A1365="","",YEAR(A1365))</f>
        <v/>
      </c>
    </row>
    <row r="1366">
      <c r="A1366" s="15" t="n"/>
      <c r="B1366" s="10" t="n"/>
      <c r="C1366" s="14">
        <f>IF(B1366="","",IFERROR(INDEX('Sản phẩm'!$B$5:$B$304,MATCH(B1366,'Sản phẩm'!$A$5:$A$304,0)),""))</f>
        <v/>
      </c>
      <c r="D1366" s="12" t="n"/>
      <c r="E1366" s="11" t="n"/>
      <c r="F1366" s="16">
        <f>IF(OR(D1366="",E1366=""),"",D1366*E1366)</f>
        <v/>
      </c>
      <c r="G1366" s="10" t="n"/>
      <c r="H1366" s="14">
        <f>IF(A1366="","",MONTH(A1366))</f>
        <v/>
      </c>
      <c r="I1366" s="14">
        <f>IF(A1366="","",YEAR(A1366))</f>
        <v/>
      </c>
    </row>
    <row r="1367">
      <c r="A1367" s="15" t="n"/>
      <c r="B1367" s="10" t="n"/>
      <c r="C1367" s="14">
        <f>IF(B1367="","",IFERROR(INDEX('Sản phẩm'!$B$5:$B$304,MATCH(B1367,'Sản phẩm'!$A$5:$A$304,0)),""))</f>
        <v/>
      </c>
      <c r="D1367" s="12" t="n"/>
      <c r="E1367" s="11" t="n"/>
      <c r="F1367" s="16">
        <f>IF(OR(D1367="",E1367=""),"",D1367*E1367)</f>
        <v/>
      </c>
      <c r="G1367" s="10" t="n"/>
      <c r="H1367" s="14">
        <f>IF(A1367="","",MONTH(A1367))</f>
        <v/>
      </c>
      <c r="I1367" s="14">
        <f>IF(A1367="","",YEAR(A1367))</f>
        <v/>
      </c>
    </row>
    <row r="1368">
      <c r="A1368" s="15" t="n"/>
      <c r="B1368" s="10" t="n"/>
      <c r="C1368" s="14">
        <f>IF(B1368="","",IFERROR(INDEX('Sản phẩm'!$B$5:$B$304,MATCH(B1368,'Sản phẩm'!$A$5:$A$304,0)),""))</f>
        <v/>
      </c>
      <c r="D1368" s="12" t="n"/>
      <c r="E1368" s="11" t="n"/>
      <c r="F1368" s="16">
        <f>IF(OR(D1368="",E1368=""),"",D1368*E1368)</f>
        <v/>
      </c>
      <c r="G1368" s="10" t="n"/>
      <c r="H1368" s="14">
        <f>IF(A1368="","",MONTH(A1368))</f>
        <v/>
      </c>
      <c r="I1368" s="14">
        <f>IF(A1368="","",YEAR(A1368))</f>
        <v/>
      </c>
    </row>
    <row r="1369">
      <c r="A1369" s="15" t="n"/>
      <c r="B1369" s="10" t="n"/>
      <c r="C1369" s="14">
        <f>IF(B1369="","",IFERROR(INDEX('Sản phẩm'!$B$5:$B$304,MATCH(B1369,'Sản phẩm'!$A$5:$A$304,0)),""))</f>
        <v/>
      </c>
      <c r="D1369" s="12" t="n"/>
      <c r="E1369" s="11" t="n"/>
      <c r="F1369" s="16">
        <f>IF(OR(D1369="",E1369=""),"",D1369*E1369)</f>
        <v/>
      </c>
      <c r="G1369" s="10" t="n"/>
      <c r="H1369" s="14">
        <f>IF(A1369="","",MONTH(A1369))</f>
        <v/>
      </c>
      <c r="I1369" s="14">
        <f>IF(A1369="","",YEAR(A1369))</f>
        <v/>
      </c>
    </row>
    <row r="1370">
      <c r="A1370" s="15" t="n"/>
      <c r="B1370" s="10" t="n"/>
      <c r="C1370" s="14">
        <f>IF(B1370="","",IFERROR(INDEX('Sản phẩm'!$B$5:$B$304,MATCH(B1370,'Sản phẩm'!$A$5:$A$304,0)),""))</f>
        <v/>
      </c>
      <c r="D1370" s="12" t="n"/>
      <c r="E1370" s="11" t="n"/>
      <c r="F1370" s="16">
        <f>IF(OR(D1370="",E1370=""),"",D1370*E1370)</f>
        <v/>
      </c>
      <c r="G1370" s="10" t="n"/>
      <c r="H1370" s="14">
        <f>IF(A1370="","",MONTH(A1370))</f>
        <v/>
      </c>
      <c r="I1370" s="14">
        <f>IF(A1370="","",YEAR(A1370))</f>
        <v/>
      </c>
    </row>
    <row r="1371">
      <c r="A1371" s="15" t="n"/>
      <c r="B1371" s="10" t="n"/>
      <c r="C1371" s="14">
        <f>IF(B1371="","",IFERROR(INDEX('Sản phẩm'!$B$5:$B$304,MATCH(B1371,'Sản phẩm'!$A$5:$A$304,0)),""))</f>
        <v/>
      </c>
      <c r="D1371" s="12" t="n"/>
      <c r="E1371" s="11" t="n"/>
      <c r="F1371" s="16">
        <f>IF(OR(D1371="",E1371=""),"",D1371*E1371)</f>
        <v/>
      </c>
      <c r="G1371" s="10" t="n"/>
      <c r="H1371" s="14">
        <f>IF(A1371="","",MONTH(A1371))</f>
        <v/>
      </c>
      <c r="I1371" s="14">
        <f>IF(A1371="","",YEAR(A1371))</f>
        <v/>
      </c>
    </row>
    <row r="1372">
      <c r="A1372" s="15" t="n"/>
      <c r="B1372" s="10" t="n"/>
      <c r="C1372" s="14">
        <f>IF(B1372="","",IFERROR(INDEX('Sản phẩm'!$B$5:$B$304,MATCH(B1372,'Sản phẩm'!$A$5:$A$304,0)),""))</f>
        <v/>
      </c>
      <c r="D1372" s="12" t="n"/>
      <c r="E1372" s="11" t="n"/>
      <c r="F1372" s="16">
        <f>IF(OR(D1372="",E1372=""),"",D1372*E1372)</f>
        <v/>
      </c>
      <c r="G1372" s="10" t="n"/>
      <c r="H1372" s="14">
        <f>IF(A1372="","",MONTH(A1372))</f>
        <v/>
      </c>
      <c r="I1372" s="14">
        <f>IF(A1372="","",YEAR(A1372))</f>
        <v/>
      </c>
    </row>
    <row r="1373">
      <c r="A1373" s="15" t="n"/>
      <c r="B1373" s="10" t="n"/>
      <c r="C1373" s="14">
        <f>IF(B1373="","",IFERROR(INDEX('Sản phẩm'!$B$5:$B$304,MATCH(B1373,'Sản phẩm'!$A$5:$A$304,0)),""))</f>
        <v/>
      </c>
      <c r="D1373" s="12" t="n"/>
      <c r="E1373" s="11" t="n"/>
      <c r="F1373" s="16">
        <f>IF(OR(D1373="",E1373=""),"",D1373*E1373)</f>
        <v/>
      </c>
      <c r="G1373" s="10" t="n"/>
      <c r="H1373" s="14">
        <f>IF(A1373="","",MONTH(A1373))</f>
        <v/>
      </c>
      <c r="I1373" s="14">
        <f>IF(A1373="","",YEAR(A1373))</f>
        <v/>
      </c>
    </row>
    <row r="1374">
      <c r="A1374" s="15" t="n"/>
      <c r="B1374" s="10" t="n"/>
      <c r="C1374" s="14">
        <f>IF(B1374="","",IFERROR(INDEX('Sản phẩm'!$B$5:$B$304,MATCH(B1374,'Sản phẩm'!$A$5:$A$304,0)),""))</f>
        <v/>
      </c>
      <c r="D1374" s="12" t="n"/>
      <c r="E1374" s="11" t="n"/>
      <c r="F1374" s="16">
        <f>IF(OR(D1374="",E1374=""),"",D1374*E1374)</f>
        <v/>
      </c>
      <c r="G1374" s="10" t="n"/>
      <c r="H1374" s="14">
        <f>IF(A1374="","",MONTH(A1374))</f>
        <v/>
      </c>
      <c r="I1374" s="14">
        <f>IF(A1374="","",YEAR(A1374))</f>
        <v/>
      </c>
    </row>
    <row r="1375">
      <c r="A1375" s="15" t="n"/>
      <c r="B1375" s="10" t="n"/>
      <c r="C1375" s="14">
        <f>IF(B1375="","",IFERROR(INDEX('Sản phẩm'!$B$5:$B$304,MATCH(B1375,'Sản phẩm'!$A$5:$A$304,0)),""))</f>
        <v/>
      </c>
      <c r="D1375" s="12" t="n"/>
      <c r="E1375" s="11" t="n"/>
      <c r="F1375" s="16">
        <f>IF(OR(D1375="",E1375=""),"",D1375*E1375)</f>
        <v/>
      </c>
      <c r="G1375" s="10" t="n"/>
      <c r="H1375" s="14">
        <f>IF(A1375="","",MONTH(A1375))</f>
        <v/>
      </c>
      <c r="I1375" s="14">
        <f>IF(A1375="","",YEAR(A1375))</f>
        <v/>
      </c>
    </row>
    <row r="1376">
      <c r="A1376" s="15" t="n"/>
      <c r="B1376" s="10" t="n"/>
      <c r="C1376" s="14">
        <f>IF(B1376="","",IFERROR(INDEX('Sản phẩm'!$B$5:$B$304,MATCH(B1376,'Sản phẩm'!$A$5:$A$304,0)),""))</f>
        <v/>
      </c>
      <c r="D1376" s="12" t="n"/>
      <c r="E1376" s="11" t="n"/>
      <c r="F1376" s="16">
        <f>IF(OR(D1376="",E1376=""),"",D1376*E1376)</f>
        <v/>
      </c>
      <c r="G1376" s="10" t="n"/>
      <c r="H1376" s="14">
        <f>IF(A1376="","",MONTH(A1376))</f>
        <v/>
      </c>
      <c r="I1376" s="14">
        <f>IF(A1376="","",YEAR(A1376))</f>
        <v/>
      </c>
    </row>
    <row r="1377">
      <c r="A1377" s="15" t="n"/>
      <c r="B1377" s="10" t="n"/>
      <c r="C1377" s="14">
        <f>IF(B1377="","",IFERROR(INDEX('Sản phẩm'!$B$5:$B$304,MATCH(B1377,'Sản phẩm'!$A$5:$A$304,0)),""))</f>
        <v/>
      </c>
      <c r="D1377" s="12" t="n"/>
      <c r="E1377" s="11" t="n"/>
      <c r="F1377" s="16">
        <f>IF(OR(D1377="",E1377=""),"",D1377*E1377)</f>
        <v/>
      </c>
      <c r="G1377" s="10" t="n"/>
      <c r="H1377" s="14">
        <f>IF(A1377="","",MONTH(A1377))</f>
        <v/>
      </c>
      <c r="I1377" s="14">
        <f>IF(A1377="","",YEAR(A1377))</f>
        <v/>
      </c>
    </row>
    <row r="1378">
      <c r="A1378" s="15" t="n"/>
      <c r="B1378" s="10" t="n"/>
      <c r="C1378" s="14">
        <f>IF(B1378="","",IFERROR(INDEX('Sản phẩm'!$B$5:$B$304,MATCH(B1378,'Sản phẩm'!$A$5:$A$304,0)),""))</f>
        <v/>
      </c>
      <c r="D1378" s="12" t="n"/>
      <c r="E1378" s="11" t="n"/>
      <c r="F1378" s="16">
        <f>IF(OR(D1378="",E1378=""),"",D1378*E1378)</f>
        <v/>
      </c>
      <c r="G1378" s="10" t="n"/>
      <c r="H1378" s="14">
        <f>IF(A1378="","",MONTH(A1378))</f>
        <v/>
      </c>
      <c r="I1378" s="14">
        <f>IF(A1378="","",YEAR(A1378))</f>
        <v/>
      </c>
    </row>
    <row r="1379">
      <c r="A1379" s="15" t="n"/>
      <c r="B1379" s="10" t="n"/>
      <c r="C1379" s="14">
        <f>IF(B1379="","",IFERROR(INDEX('Sản phẩm'!$B$5:$B$304,MATCH(B1379,'Sản phẩm'!$A$5:$A$304,0)),""))</f>
        <v/>
      </c>
      <c r="D1379" s="12" t="n"/>
      <c r="E1379" s="11" t="n"/>
      <c r="F1379" s="16">
        <f>IF(OR(D1379="",E1379=""),"",D1379*E1379)</f>
        <v/>
      </c>
      <c r="G1379" s="10" t="n"/>
      <c r="H1379" s="14">
        <f>IF(A1379="","",MONTH(A1379))</f>
        <v/>
      </c>
      <c r="I1379" s="14">
        <f>IF(A1379="","",YEAR(A1379))</f>
        <v/>
      </c>
    </row>
    <row r="1380">
      <c r="A1380" s="15" t="n"/>
      <c r="B1380" s="10" t="n"/>
      <c r="C1380" s="14">
        <f>IF(B1380="","",IFERROR(INDEX('Sản phẩm'!$B$5:$B$304,MATCH(B1380,'Sản phẩm'!$A$5:$A$304,0)),""))</f>
        <v/>
      </c>
      <c r="D1380" s="12" t="n"/>
      <c r="E1380" s="11" t="n"/>
      <c r="F1380" s="16">
        <f>IF(OR(D1380="",E1380=""),"",D1380*E1380)</f>
        <v/>
      </c>
      <c r="G1380" s="10" t="n"/>
      <c r="H1380" s="14">
        <f>IF(A1380="","",MONTH(A1380))</f>
        <v/>
      </c>
      <c r="I1380" s="14">
        <f>IF(A1380="","",YEAR(A1380))</f>
        <v/>
      </c>
    </row>
    <row r="1381">
      <c r="A1381" s="15" t="n"/>
      <c r="B1381" s="10" t="n"/>
      <c r="C1381" s="14">
        <f>IF(B1381="","",IFERROR(INDEX('Sản phẩm'!$B$5:$B$304,MATCH(B1381,'Sản phẩm'!$A$5:$A$304,0)),""))</f>
        <v/>
      </c>
      <c r="D1381" s="12" t="n"/>
      <c r="E1381" s="11" t="n"/>
      <c r="F1381" s="16">
        <f>IF(OR(D1381="",E1381=""),"",D1381*E1381)</f>
        <v/>
      </c>
      <c r="G1381" s="10" t="n"/>
      <c r="H1381" s="14">
        <f>IF(A1381="","",MONTH(A1381))</f>
        <v/>
      </c>
      <c r="I1381" s="14">
        <f>IF(A1381="","",YEAR(A1381))</f>
        <v/>
      </c>
    </row>
    <row r="1382">
      <c r="A1382" s="15" t="n"/>
      <c r="B1382" s="10" t="n"/>
      <c r="C1382" s="14">
        <f>IF(B1382="","",IFERROR(INDEX('Sản phẩm'!$B$5:$B$304,MATCH(B1382,'Sản phẩm'!$A$5:$A$304,0)),""))</f>
        <v/>
      </c>
      <c r="D1382" s="12" t="n"/>
      <c r="E1382" s="11" t="n"/>
      <c r="F1382" s="16">
        <f>IF(OR(D1382="",E1382=""),"",D1382*E1382)</f>
        <v/>
      </c>
      <c r="G1382" s="10" t="n"/>
      <c r="H1382" s="14">
        <f>IF(A1382="","",MONTH(A1382))</f>
        <v/>
      </c>
      <c r="I1382" s="14">
        <f>IF(A1382="","",YEAR(A1382))</f>
        <v/>
      </c>
    </row>
    <row r="1383">
      <c r="A1383" s="15" t="n"/>
      <c r="B1383" s="10" t="n"/>
      <c r="C1383" s="14">
        <f>IF(B1383="","",IFERROR(INDEX('Sản phẩm'!$B$5:$B$304,MATCH(B1383,'Sản phẩm'!$A$5:$A$304,0)),""))</f>
        <v/>
      </c>
      <c r="D1383" s="12" t="n"/>
      <c r="E1383" s="11" t="n"/>
      <c r="F1383" s="16">
        <f>IF(OR(D1383="",E1383=""),"",D1383*E1383)</f>
        <v/>
      </c>
      <c r="G1383" s="10" t="n"/>
      <c r="H1383" s="14">
        <f>IF(A1383="","",MONTH(A1383))</f>
        <v/>
      </c>
      <c r="I1383" s="14">
        <f>IF(A1383="","",YEAR(A1383))</f>
        <v/>
      </c>
    </row>
    <row r="1384">
      <c r="A1384" s="15" t="n"/>
      <c r="B1384" s="10" t="n"/>
      <c r="C1384" s="14">
        <f>IF(B1384="","",IFERROR(INDEX('Sản phẩm'!$B$5:$B$304,MATCH(B1384,'Sản phẩm'!$A$5:$A$304,0)),""))</f>
        <v/>
      </c>
      <c r="D1384" s="12" t="n"/>
      <c r="E1384" s="11" t="n"/>
      <c r="F1384" s="16">
        <f>IF(OR(D1384="",E1384=""),"",D1384*E1384)</f>
        <v/>
      </c>
      <c r="G1384" s="10" t="n"/>
      <c r="H1384" s="14">
        <f>IF(A1384="","",MONTH(A1384))</f>
        <v/>
      </c>
      <c r="I1384" s="14">
        <f>IF(A1384="","",YEAR(A1384))</f>
        <v/>
      </c>
    </row>
    <row r="1385">
      <c r="A1385" s="15" t="n"/>
      <c r="B1385" s="10" t="n"/>
      <c r="C1385" s="14">
        <f>IF(B1385="","",IFERROR(INDEX('Sản phẩm'!$B$5:$B$304,MATCH(B1385,'Sản phẩm'!$A$5:$A$304,0)),""))</f>
        <v/>
      </c>
      <c r="D1385" s="12" t="n"/>
      <c r="E1385" s="11" t="n"/>
      <c r="F1385" s="16">
        <f>IF(OR(D1385="",E1385=""),"",D1385*E1385)</f>
        <v/>
      </c>
      <c r="G1385" s="10" t="n"/>
      <c r="H1385" s="14">
        <f>IF(A1385="","",MONTH(A1385))</f>
        <v/>
      </c>
      <c r="I1385" s="14">
        <f>IF(A1385="","",YEAR(A1385))</f>
        <v/>
      </c>
    </row>
    <row r="1386">
      <c r="A1386" s="15" t="n"/>
      <c r="B1386" s="10" t="n"/>
      <c r="C1386" s="14">
        <f>IF(B1386="","",IFERROR(INDEX('Sản phẩm'!$B$5:$B$304,MATCH(B1386,'Sản phẩm'!$A$5:$A$304,0)),""))</f>
        <v/>
      </c>
      <c r="D1386" s="12" t="n"/>
      <c r="E1386" s="11" t="n"/>
      <c r="F1386" s="16">
        <f>IF(OR(D1386="",E1386=""),"",D1386*E1386)</f>
        <v/>
      </c>
      <c r="G1386" s="10" t="n"/>
      <c r="H1386" s="14">
        <f>IF(A1386="","",MONTH(A1386))</f>
        <v/>
      </c>
      <c r="I1386" s="14">
        <f>IF(A1386="","",YEAR(A1386))</f>
        <v/>
      </c>
    </row>
    <row r="1387">
      <c r="A1387" s="15" t="n"/>
      <c r="B1387" s="10" t="n"/>
      <c r="C1387" s="14">
        <f>IF(B1387="","",IFERROR(INDEX('Sản phẩm'!$B$5:$B$304,MATCH(B1387,'Sản phẩm'!$A$5:$A$304,0)),""))</f>
        <v/>
      </c>
      <c r="D1387" s="12" t="n"/>
      <c r="E1387" s="11" t="n"/>
      <c r="F1387" s="16">
        <f>IF(OR(D1387="",E1387=""),"",D1387*E1387)</f>
        <v/>
      </c>
      <c r="G1387" s="10" t="n"/>
      <c r="H1387" s="14">
        <f>IF(A1387="","",MONTH(A1387))</f>
        <v/>
      </c>
      <c r="I1387" s="14">
        <f>IF(A1387="","",YEAR(A1387))</f>
        <v/>
      </c>
    </row>
    <row r="1388">
      <c r="A1388" s="15" t="n"/>
      <c r="B1388" s="10" t="n"/>
      <c r="C1388" s="14">
        <f>IF(B1388="","",IFERROR(INDEX('Sản phẩm'!$B$5:$B$304,MATCH(B1388,'Sản phẩm'!$A$5:$A$304,0)),""))</f>
        <v/>
      </c>
      <c r="D1388" s="12" t="n"/>
      <c r="E1388" s="11" t="n"/>
      <c r="F1388" s="16">
        <f>IF(OR(D1388="",E1388=""),"",D1388*E1388)</f>
        <v/>
      </c>
      <c r="G1388" s="10" t="n"/>
      <c r="H1388" s="14">
        <f>IF(A1388="","",MONTH(A1388))</f>
        <v/>
      </c>
      <c r="I1388" s="14">
        <f>IF(A1388="","",YEAR(A1388))</f>
        <v/>
      </c>
    </row>
    <row r="1389">
      <c r="A1389" s="15" t="n"/>
      <c r="B1389" s="10" t="n"/>
      <c r="C1389" s="14">
        <f>IF(B1389="","",IFERROR(INDEX('Sản phẩm'!$B$5:$B$304,MATCH(B1389,'Sản phẩm'!$A$5:$A$304,0)),""))</f>
        <v/>
      </c>
      <c r="D1389" s="12" t="n"/>
      <c r="E1389" s="11" t="n"/>
      <c r="F1389" s="16">
        <f>IF(OR(D1389="",E1389=""),"",D1389*E1389)</f>
        <v/>
      </c>
      <c r="G1389" s="10" t="n"/>
      <c r="H1389" s="14">
        <f>IF(A1389="","",MONTH(A1389))</f>
        <v/>
      </c>
      <c r="I1389" s="14">
        <f>IF(A1389="","",YEAR(A1389))</f>
        <v/>
      </c>
    </row>
    <row r="1390">
      <c r="A1390" s="15" t="n"/>
      <c r="B1390" s="10" t="n"/>
      <c r="C1390" s="14">
        <f>IF(B1390="","",IFERROR(INDEX('Sản phẩm'!$B$5:$B$304,MATCH(B1390,'Sản phẩm'!$A$5:$A$304,0)),""))</f>
        <v/>
      </c>
      <c r="D1390" s="12" t="n"/>
      <c r="E1390" s="11" t="n"/>
      <c r="F1390" s="16">
        <f>IF(OR(D1390="",E1390=""),"",D1390*E1390)</f>
        <v/>
      </c>
      <c r="G1390" s="10" t="n"/>
      <c r="H1390" s="14">
        <f>IF(A1390="","",MONTH(A1390))</f>
        <v/>
      </c>
      <c r="I1390" s="14">
        <f>IF(A1390="","",YEAR(A1390))</f>
        <v/>
      </c>
    </row>
    <row r="1391">
      <c r="A1391" s="15" t="n"/>
      <c r="B1391" s="10" t="n"/>
      <c r="C1391" s="14">
        <f>IF(B1391="","",IFERROR(INDEX('Sản phẩm'!$B$5:$B$304,MATCH(B1391,'Sản phẩm'!$A$5:$A$304,0)),""))</f>
        <v/>
      </c>
      <c r="D1391" s="12" t="n"/>
      <c r="E1391" s="11" t="n"/>
      <c r="F1391" s="16">
        <f>IF(OR(D1391="",E1391=""),"",D1391*E1391)</f>
        <v/>
      </c>
      <c r="G1391" s="10" t="n"/>
      <c r="H1391" s="14">
        <f>IF(A1391="","",MONTH(A1391))</f>
        <v/>
      </c>
      <c r="I1391" s="14">
        <f>IF(A1391="","",YEAR(A1391))</f>
        <v/>
      </c>
    </row>
    <row r="1392">
      <c r="A1392" s="15" t="n"/>
      <c r="B1392" s="10" t="n"/>
      <c r="C1392" s="14">
        <f>IF(B1392="","",IFERROR(INDEX('Sản phẩm'!$B$5:$B$304,MATCH(B1392,'Sản phẩm'!$A$5:$A$304,0)),""))</f>
        <v/>
      </c>
      <c r="D1392" s="12" t="n"/>
      <c r="E1392" s="11" t="n"/>
      <c r="F1392" s="16">
        <f>IF(OR(D1392="",E1392=""),"",D1392*E1392)</f>
        <v/>
      </c>
      <c r="G1392" s="10" t="n"/>
      <c r="H1392" s="14">
        <f>IF(A1392="","",MONTH(A1392))</f>
        <v/>
      </c>
      <c r="I1392" s="14">
        <f>IF(A1392="","",YEAR(A1392))</f>
        <v/>
      </c>
    </row>
    <row r="1393">
      <c r="A1393" s="15" t="n"/>
      <c r="B1393" s="10" t="n"/>
      <c r="C1393" s="14">
        <f>IF(B1393="","",IFERROR(INDEX('Sản phẩm'!$B$5:$B$304,MATCH(B1393,'Sản phẩm'!$A$5:$A$304,0)),""))</f>
        <v/>
      </c>
      <c r="D1393" s="12" t="n"/>
      <c r="E1393" s="11" t="n"/>
      <c r="F1393" s="16">
        <f>IF(OR(D1393="",E1393=""),"",D1393*E1393)</f>
        <v/>
      </c>
      <c r="G1393" s="10" t="n"/>
      <c r="H1393" s="14">
        <f>IF(A1393="","",MONTH(A1393))</f>
        <v/>
      </c>
      <c r="I1393" s="14">
        <f>IF(A1393="","",YEAR(A1393))</f>
        <v/>
      </c>
    </row>
    <row r="1394">
      <c r="A1394" s="15" t="n"/>
      <c r="B1394" s="10" t="n"/>
      <c r="C1394" s="14">
        <f>IF(B1394="","",IFERROR(INDEX('Sản phẩm'!$B$5:$B$304,MATCH(B1394,'Sản phẩm'!$A$5:$A$304,0)),""))</f>
        <v/>
      </c>
      <c r="D1394" s="12" t="n"/>
      <c r="E1394" s="11" t="n"/>
      <c r="F1394" s="16">
        <f>IF(OR(D1394="",E1394=""),"",D1394*E1394)</f>
        <v/>
      </c>
      <c r="G1394" s="10" t="n"/>
      <c r="H1394" s="14">
        <f>IF(A1394="","",MONTH(A1394))</f>
        <v/>
      </c>
      <c r="I1394" s="14">
        <f>IF(A1394="","",YEAR(A1394))</f>
        <v/>
      </c>
    </row>
    <row r="1395">
      <c r="A1395" s="15" t="n"/>
      <c r="B1395" s="10" t="n"/>
      <c r="C1395" s="14">
        <f>IF(B1395="","",IFERROR(INDEX('Sản phẩm'!$B$5:$B$304,MATCH(B1395,'Sản phẩm'!$A$5:$A$304,0)),""))</f>
        <v/>
      </c>
      <c r="D1395" s="12" t="n"/>
      <c r="E1395" s="11" t="n"/>
      <c r="F1395" s="16">
        <f>IF(OR(D1395="",E1395=""),"",D1395*E1395)</f>
        <v/>
      </c>
      <c r="G1395" s="10" t="n"/>
      <c r="H1395" s="14">
        <f>IF(A1395="","",MONTH(A1395))</f>
        <v/>
      </c>
      <c r="I1395" s="14">
        <f>IF(A1395="","",YEAR(A1395))</f>
        <v/>
      </c>
    </row>
    <row r="1396">
      <c r="A1396" s="15" t="n"/>
      <c r="B1396" s="10" t="n"/>
      <c r="C1396" s="14">
        <f>IF(B1396="","",IFERROR(INDEX('Sản phẩm'!$B$5:$B$304,MATCH(B1396,'Sản phẩm'!$A$5:$A$304,0)),""))</f>
        <v/>
      </c>
      <c r="D1396" s="12" t="n"/>
      <c r="E1396" s="11" t="n"/>
      <c r="F1396" s="16">
        <f>IF(OR(D1396="",E1396=""),"",D1396*E1396)</f>
        <v/>
      </c>
      <c r="G1396" s="10" t="n"/>
      <c r="H1396" s="14">
        <f>IF(A1396="","",MONTH(A1396))</f>
        <v/>
      </c>
      <c r="I1396" s="14">
        <f>IF(A1396="","",YEAR(A1396))</f>
        <v/>
      </c>
    </row>
    <row r="1397">
      <c r="A1397" s="15" t="n"/>
      <c r="B1397" s="10" t="n"/>
      <c r="C1397" s="14">
        <f>IF(B1397="","",IFERROR(INDEX('Sản phẩm'!$B$5:$B$304,MATCH(B1397,'Sản phẩm'!$A$5:$A$304,0)),""))</f>
        <v/>
      </c>
      <c r="D1397" s="12" t="n"/>
      <c r="E1397" s="11" t="n"/>
      <c r="F1397" s="16">
        <f>IF(OR(D1397="",E1397=""),"",D1397*E1397)</f>
        <v/>
      </c>
      <c r="G1397" s="10" t="n"/>
      <c r="H1397" s="14">
        <f>IF(A1397="","",MONTH(A1397))</f>
        <v/>
      </c>
      <c r="I1397" s="14">
        <f>IF(A1397="","",YEAR(A1397))</f>
        <v/>
      </c>
    </row>
    <row r="1398">
      <c r="A1398" s="15" t="n"/>
      <c r="B1398" s="10" t="n"/>
      <c r="C1398" s="14">
        <f>IF(B1398="","",IFERROR(INDEX('Sản phẩm'!$B$5:$B$304,MATCH(B1398,'Sản phẩm'!$A$5:$A$304,0)),""))</f>
        <v/>
      </c>
      <c r="D1398" s="12" t="n"/>
      <c r="E1398" s="11" t="n"/>
      <c r="F1398" s="16">
        <f>IF(OR(D1398="",E1398=""),"",D1398*E1398)</f>
        <v/>
      </c>
      <c r="G1398" s="10" t="n"/>
      <c r="H1398" s="14">
        <f>IF(A1398="","",MONTH(A1398))</f>
        <v/>
      </c>
      <c r="I1398" s="14">
        <f>IF(A1398="","",YEAR(A1398))</f>
        <v/>
      </c>
    </row>
    <row r="1399">
      <c r="A1399" s="15" t="n"/>
      <c r="B1399" s="10" t="n"/>
      <c r="C1399" s="14">
        <f>IF(B1399="","",IFERROR(INDEX('Sản phẩm'!$B$5:$B$304,MATCH(B1399,'Sản phẩm'!$A$5:$A$304,0)),""))</f>
        <v/>
      </c>
      <c r="D1399" s="12" t="n"/>
      <c r="E1399" s="11" t="n"/>
      <c r="F1399" s="16">
        <f>IF(OR(D1399="",E1399=""),"",D1399*E1399)</f>
        <v/>
      </c>
      <c r="G1399" s="10" t="n"/>
      <c r="H1399" s="14">
        <f>IF(A1399="","",MONTH(A1399))</f>
        <v/>
      </c>
      <c r="I1399" s="14">
        <f>IF(A1399="","",YEAR(A1399))</f>
        <v/>
      </c>
    </row>
    <row r="1400">
      <c r="A1400" s="15" t="n"/>
      <c r="B1400" s="10" t="n"/>
      <c r="C1400" s="14">
        <f>IF(B1400="","",IFERROR(INDEX('Sản phẩm'!$B$5:$B$304,MATCH(B1400,'Sản phẩm'!$A$5:$A$304,0)),""))</f>
        <v/>
      </c>
      <c r="D1400" s="12" t="n"/>
      <c r="E1400" s="11" t="n"/>
      <c r="F1400" s="16">
        <f>IF(OR(D1400="",E1400=""),"",D1400*E1400)</f>
        <v/>
      </c>
      <c r="G1400" s="10" t="n"/>
      <c r="H1400" s="14">
        <f>IF(A1400="","",MONTH(A1400))</f>
        <v/>
      </c>
      <c r="I1400" s="14">
        <f>IF(A1400="","",YEAR(A1400))</f>
        <v/>
      </c>
    </row>
    <row r="1401">
      <c r="A1401" s="15" t="n"/>
      <c r="B1401" s="10" t="n"/>
      <c r="C1401" s="14">
        <f>IF(B1401="","",IFERROR(INDEX('Sản phẩm'!$B$5:$B$304,MATCH(B1401,'Sản phẩm'!$A$5:$A$304,0)),""))</f>
        <v/>
      </c>
      <c r="D1401" s="12" t="n"/>
      <c r="E1401" s="11" t="n"/>
      <c r="F1401" s="16">
        <f>IF(OR(D1401="",E1401=""),"",D1401*E1401)</f>
        <v/>
      </c>
      <c r="G1401" s="10" t="n"/>
      <c r="H1401" s="14">
        <f>IF(A1401="","",MONTH(A1401))</f>
        <v/>
      </c>
      <c r="I1401" s="14">
        <f>IF(A1401="","",YEAR(A1401))</f>
        <v/>
      </c>
    </row>
    <row r="1402">
      <c r="A1402" s="15" t="n"/>
      <c r="B1402" s="10" t="n"/>
      <c r="C1402" s="14">
        <f>IF(B1402="","",IFERROR(INDEX('Sản phẩm'!$B$5:$B$304,MATCH(B1402,'Sản phẩm'!$A$5:$A$304,0)),""))</f>
        <v/>
      </c>
      <c r="D1402" s="12" t="n"/>
      <c r="E1402" s="11" t="n"/>
      <c r="F1402" s="16">
        <f>IF(OR(D1402="",E1402=""),"",D1402*E1402)</f>
        <v/>
      </c>
      <c r="G1402" s="10" t="n"/>
      <c r="H1402" s="14">
        <f>IF(A1402="","",MONTH(A1402))</f>
        <v/>
      </c>
      <c r="I1402" s="14">
        <f>IF(A1402="","",YEAR(A1402))</f>
        <v/>
      </c>
    </row>
    <row r="1403">
      <c r="A1403" s="15" t="n"/>
      <c r="B1403" s="10" t="n"/>
      <c r="C1403" s="14">
        <f>IF(B1403="","",IFERROR(INDEX('Sản phẩm'!$B$5:$B$304,MATCH(B1403,'Sản phẩm'!$A$5:$A$304,0)),""))</f>
        <v/>
      </c>
      <c r="D1403" s="12" t="n"/>
      <c r="E1403" s="11" t="n"/>
      <c r="F1403" s="16">
        <f>IF(OR(D1403="",E1403=""),"",D1403*E1403)</f>
        <v/>
      </c>
      <c r="G1403" s="10" t="n"/>
      <c r="H1403" s="14">
        <f>IF(A1403="","",MONTH(A1403))</f>
        <v/>
      </c>
      <c r="I1403" s="14">
        <f>IF(A1403="","",YEAR(A1403))</f>
        <v/>
      </c>
    </row>
    <row r="1404">
      <c r="A1404" s="15" t="n"/>
      <c r="B1404" s="10" t="n"/>
      <c r="C1404" s="14">
        <f>IF(B1404="","",IFERROR(INDEX('Sản phẩm'!$B$5:$B$304,MATCH(B1404,'Sản phẩm'!$A$5:$A$304,0)),""))</f>
        <v/>
      </c>
      <c r="D1404" s="12" t="n"/>
      <c r="E1404" s="11" t="n"/>
      <c r="F1404" s="16">
        <f>IF(OR(D1404="",E1404=""),"",D1404*E1404)</f>
        <v/>
      </c>
      <c r="G1404" s="10" t="n"/>
      <c r="H1404" s="14">
        <f>IF(A1404="","",MONTH(A1404))</f>
        <v/>
      </c>
      <c r="I1404" s="14">
        <f>IF(A1404="","",YEAR(A1404))</f>
        <v/>
      </c>
    </row>
    <row r="1405">
      <c r="A1405" s="15" t="n"/>
      <c r="B1405" s="10" t="n"/>
      <c r="C1405" s="14">
        <f>IF(B1405="","",IFERROR(INDEX('Sản phẩm'!$B$5:$B$304,MATCH(B1405,'Sản phẩm'!$A$5:$A$304,0)),""))</f>
        <v/>
      </c>
      <c r="D1405" s="12" t="n"/>
      <c r="E1405" s="11" t="n"/>
      <c r="F1405" s="16">
        <f>IF(OR(D1405="",E1405=""),"",D1405*E1405)</f>
        <v/>
      </c>
      <c r="G1405" s="10" t="n"/>
      <c r="H1405" s="14">
        <f>IF(A1405="","",MONTH(A1405))</f>
        <v/>
      </c>
      <c r="I1405" s="14">
        <f>IF(A1405="","",YEAR(A1405))</f>
        <v/>
      </c>
    </row>
    <row r="1406">
      <c r="A1406" s="15" t="n"/>
      <c r="B1406" s="10" t="n"/>
      <c r="C1406" s="14">
        <f>IF(B1406="","",IFERROR(INDEX('Sản phẩm'!$B$5:$B$304,MATCH(B1406,'Sản phẩm'!$A$5:$A$304,0)),""))</f>
        <v/>
      </c>
      <c r="D1406" s="12" t="n"/>
      <c r="E1406" s="11" t="n"/>
      <c r="F1406" s="16">
        <f>IF(OR(D1406="",E1406=""),"",D1406*E1406)</f>
        <v/>
      </c>
      <c r="G1406" s="10" t="n"/>
      <c r="H1406" s="14">
        <f>IF(A1406="","",MONTH(A1406))</f>
        <v/>
      </c>
      <c r="I1406" s="14">
        <f>IF(A1406="","",YEAR(A1406))</f>
        <v/>
      </c>
    </row>
    <row r="1407">
      <c r="A1407" s="15" t="n"/>
      <c r="B1407" s="10" t="n"/>
      <c r="C1407" s="14">
        <f>IF(B1407="","",IFERROR(INDEX('Sản phẩm'!$B$5:$B$304,MATCH(B1407,'Sản phẩm'!$A$5:$A$304,0)),""))</f>
        <v/>
      </c>
      <c r="D1407" s="12" t="n"/>
      <c r="E1407" s="11" t="n"/>
      <c r="F1407" s="16">
        <f>IF(OR(D1407="",E1407=""),"",D1407*E1407)</f>
        <v/>
      </c>
      <c r="G1407" s="10" t="n"/>
      <c r="H1407" s="14">
        <f>IF(A1407="","",MONTH(A1407))</f>
        <v/>
      </c>
      <c r="I1407" s="14">
        <f>IF(A1407="","",YEAR(A1407))</f>
        <v/>
      </c>
    </row>
    <row r="1408">
      <c r="A1408" s="15" t="n"/>
      <c r="B1408" s="10" t="n"/>
      <c r="C1408" s="14">
        <f>IF(B1408="","",IFERROR(INDEX('Sản phẩm'!$B$5:$B$304,MATCH(B1408,'Sản phẩm'!$A$5:$A$304,0)),""))</f>
        <v/>
      </c>
      <c r="D1408" s="12" t="n"/>
      <c r="E1408" s="11" t="n"/>
      <c r="F1408" s="16">
        <f>IF(OR(D1408="",E1408=""),"",D1408*E1408)</f>
        <v/>
      </c>
      <c r="G1408" s="10" t="n"/>
      <c r="H1408" s="14">
        <f>IF(A1408="","",MONTH(A1408))</f>
        <v/>
      </c>
      <c r="I1408" s="14">
        <f>IF(A1408="","",YEAR(A1408))</f>
        <v/>
      </c>
    </row>
    <row r="1409">
      <c r="A1409" s="15" t="n"/>
      <c r="B1409" s="10" t="n"/>
      <c r="C1409" s="14">
        <f>IF(B1409="","",IFERROR(INDEX('Sản phẩm'!$B$5:$B$304,MATCH(B1409,'Sản phẩm'!$A$5:$A$304,0)),""))</f>
        <v/>
      </c>
      <c r="D1409" s="12" t="n"/>
      <c r="E1409" s="11" t="n"/>
      <c r="F1409" s="16">
        <f>IF(OR(D1409="",E1409=""),"",D1409*E1409)</f>
        <v/>
      </c>
      <c r="G1409" s="10" t="n"/>
      <c r="H1409" s="14">
        <f>IF(A1409="","",MONTH(A1409))</f>
        <v/>
      </c>
      <c r="I1409" s="14">
        <f>IF(A1409="","",YEAR(A1409))</f>
        <v/>
      </c>
    </row>
    <row r="1410">
      <c r="A1410" s="15" t="n"/>
      <c r="B1410" s="10" t="n"/>
      <c r="C1410" s="14">
        <f>IF(B1410="","",IFERROR(INDEX('Sản phẩm'!$B$5:$B$304,MATCH(B1410,'Sản phẩm'!$A$5:$A$304,0)),""))</f>
        <v/>
      </c>
      <c r="D1410" s="12" t="n"/>
      <c r="E1410" s="11" t="n"/>
      <c r="F1410" s="16">
        <f>IF(OR(D1410="",E1410=""),"",D1410*E1410)</f>
        <v/>
      </c>
      <c r="G1410" s="10" t="n"/>
      <c r="H1410" s="14">
        <f>IF(A1410="","",MONTH(A1410))</f>
        <v/>
      </c>
      <c r="I1410" s="14">
        <f>IF(A1410="","",YEAR(A1410))</f>
        <v/>
      </c>
    </row>
    <row r="1411">
      <c r="A1411" s="15" t="n"/>
      <c r="B1411" s="10" t="n"/>
      <c r="C1411" s="14">
        <f>IF(B1411="","",IFERROR(INDEX('Sản phẩm'!$B$5:$B$304,MATCH(B1411,'Sản phẩm'!$A$5:$A$304,0)),""))</f>
        <v/>
      </c>
      <c r="D1411" s="12" t="n"/>
      <c r="E1411" s="11" t="n"/>
      <c r="F1411" s="16">
        <f>IF(OR(D1411="",E1411=""),"",D1411*E1411)</f>
        <v/>
      </c>
      <c r="G1411" s="10" t="n"/>
      <c r="H1411" s="14">
        <f>IF(A1411="","",MONTH(A1411))</f>
        <v/>
      </c>
      <c r="I1411" s="14">
        <f>IF(A1411="","",YEAR(A1411))</f>
        <v/>
      </c>
    </row>
    <row r="1412">
      <c r="A1412" s="15" t="n"/>
      <c r="B1412" s="10" t="n"/>
      <c r="C1412" s="14">
        <f>IF(B1412="","",IFERROR(INDEX('Sản phẩm'!$B$5:$B$304,MATCH(B1412,'Sản phẩm'!$A$5:$A$304,0)),""))</f>
        <v/>
      </c>
      <c r="D1412" s="12" t="n"/>
      <c r="E1412" s="11" t="n"/>
      <c r="F1412" s="16">
        <f>IF(OR(D1412="",E1412=""),"",D1412*E1412)</f>
        <v/>
      </c>
      <c r="G1412" s="10" t="n"/>
      <c r="H1412" s="14">
        <f>IF(A1412="","",MONTH(A1412))</f>
        <v/>
      </c>
      <c r="I1412" s="14">
        <f>IF(A1412="","",YEAR(A1412))</f>
        <v/>
      </c>
    </row>
    <row r="1413">
      <c r="A1413" s="15" t="n"/>
      <c r="B1413" s="10" t="n"/>
      <c r="C1413" s="14">
        <f>IF(B1413="","",IFERROR(INDEX('Sản phẩm'!$B$5:$B$304,MATCH(B1413,'Sản phẩm'!$A$5:$A$304,0)),""))</f>
        <v/>
      </c>
      <c r="D1413" s="12" t="n"/>
      <c r="E1413" s="11" t="n"/>
      <c r="F1413" s="16">
        <f>IF(OR(D1413="",E1413=""),"",D1413*E1413)</f>
        <v/>
      </c>
      <c r="G1413" s="10" t="n"/>
      <c r="H1413" s="14">
        <f>IF(A1413="","",MONTH(A1413))</f>
        <v/>
      </c>
      <c r="I1413" s="14">
        <f>IF(A1413="","",YEAR(A1413))</f>
        <v/>
      </c>
    </row>
    <row r="1414">
      <c r="A1414" s="15" t="n"/>
      <c r="B1414" s="10" t="n"/>
      <c r="C1414" s="14">
        <f>IF(B1414="","",IFERROR(INDEX('Sản phẩm'!$B$5:$B$304,MATCH(B1414,'Sản phẩm'!$A$5:$A$304,0)),""))</f>
        <v/>
      </c>
      <c r="D1414" s="12" t="n"/>
      <c r="E1414" s="11" t="n"/>
      <c r="F1414" s="16">
        <f>IF(OR(D1414="",E1414=""),"",D1414*E1414)</f>
        <v/>
      </c>
      <c r="G1414" s="10" t="n"/>
      <c r="H1414" s="14">
        <f>IF(A1414="","",MONTH(A1414))</f>
        <v/>
      </c>
      <c r="I1414" s="14">
        <f>IF(A1414="","",YEAR(A1414))</f>
        <v/>
      </c>
    </row>
    <row r="1415">
      <c r="A1415" s="15" t="n"/>
      <c r="B1415" s="10" t="n"/>
      <c r="C1415" s="14">
        <f>IF(B1415="","",IFERROR(INDEX('Sản phẩm'!$B$5:$B$304,MATCH(B1415,'Sản phẩm'!$A$5:$A$304,0)),""))</f>
        <v/>
      </c>
      <c r="D1415" s="12" t="n"/>
      <c r="E1415" s="11" t="n"/>
      <c r="F1415" s="16">
        <f>IF(OR(D1415="",E1415=""),"",D1415*E1415)</f>
        <v/>
      </c>
      <c r="G1415" s="10" t="n"/>
      <c r="H1415" s="14">
        <f>IF(A1415="","",MONTH(A1415))</f>
        <v/>
      </c>
      <c r="I1415" s="14">
        <f>IF(A1415="","",YEAR(A1415))</f>
        <v/>
      </c>
    </row>
    <row r="1416">
      <c r="A1416" s="15" t="n"/>
      <c r="B1416" s="10" t="n"/>
      <c r="C1416" s="14">
        <f>IF(B1416="","",IFERROR(INDEX('Sản phẩm'!$B$5:$B$304,MATCH(B1416,'Sản phẩm'!$A$5:$A$304,0)),""))</f>
        <v/>
      </c>
      <c r="D1416" s="12" t="n"/>
      <c r="E1416" s="11" t="n"/>
      <c r="F1416" s="16">
        <f>IF(OR(D1416="",E1416=""),"",D1416*E1416)</f>
        <v/>
      </c>
      <c r="G1416" s="10" t="n"/>
      <c r="H1416" s="14">
        <f>IF(A1416="","",MONTH(A1416))</f>
        <v/>
      </c>
      <c r="I1416" s="14">
        <f>IF(A1416="","",YEAR(A1416))</f>
        <v/>
      </c>
    </row>
    <row r="1417">
      <c r="A1417" s="15" t="n"/>
      <c r="B1417" s="10" t="n"/>
      <c r="C1417" s="14">
        <f>IF(B1417="","",IFERROR(INDEX('Sản phẩm'!$B$5:$B$304,MATCH(B1417,'Sản phẩm'!$A$5:$A$304,0)),""))</f>
        <v/>
      </c>
      <c r="D1417" s="12" t="n"/>
      <c r="E1417" s="11" t="n"/>
      <c r="F1417" s="16">
        <f>IF(OR(D1417="",E1417=""),"",D1417*E1417)</f>
        <v/>
      </c>
      <c r="G1417" s="10" t="n"/>
      <c r="H1417" s="14">
        <f>IF(A1417="","",MONTH(A1417))</f>
        <v/>
      </c>
      <c r="I1417" s="14">
        <f>IF(A1417="","",YEAR(A1417))</f>
        <v/>
      </c>
    </row>
    <row r="1418">
      <c r="A1418" s="15" t="n"/>
      <c r="B1418" s="10" t="n"/>
      <c r="C1418" s="14">
        <f>IF(B1418="","",IFERROR(INDEX('Sản phẩm'!$B$5:$B$304,MATCH(B1418,'Sản phẩm'!$A$5:$A$304,0)),""))</f>
        <v/>
      </c>
      <c r="D1418" s="12" t="n"/>
      <c r="E1418" s="11" t="n"/>
      <c r="F1418" s="16">
        <f>IF(OR(D1418="",E1418=""),"",D1418*E1418)</f>
        <v/>
      </c>
      <c r="G1418" s="10" t="n"/>
      <c r="H1418" s="14">
        <f>IF(A1418="","",MONTH(A1418))</f>
        <v/>
      </c>
      <c r="I1418" s="14">
        <f>IF(A1418="","",YEAR(A1418))</f>
        <v/>
      </c>
    </row>
    <row r="1419">
      <c r="A1419" s="15" t="n"/>
      <c r="B1419" s="10" t="n"/>
      <c r="C1419" s="14">
        <f>IF(B1419="","",IFERROR(INDEX('Sản phẩm'!$B$5:$B$304,MATCH(B1419,'Sản phẩm'!$A$5:$A$304,0)),""))</f>
        <v/>
      </c>
      <c r="D1419" s="12" t="n"/>
      <c r="E1419" s="11" t="n"/>
      <c r="F1419" s="16">
        <f>IF(OR(D1419="",E1419=""),"",D1419*E1419)</f>
        <v/>
      </c>
      <c r="G1419" s="10" t="n"/>
      <c r="H1419" s="14">
        <f>IF(A1419="","",MONTH(A1419))</f>
        <v/>
      </c>
      <c r="I1419" s="14">
        <f>IF(A1419="","",YEAR(A1419))</f>
        <v/>
      </c>
    </row>
    <row r="1420">
      <c r="A1420" s="15" t="n"/>
      <c r="B1420" s="10" t="n"/>
      <c r="C1420" s="14">
        <f>IF(B1420="","",IFERROR(INDEX('Sản phẩm'!$B$5:$B$304,MATCH(B1420,'Sản phẩm'!$A$5:$A$304,0)),""))</f>
        <v/>
      </c>
      <c r="D1420" s="12" t="n"/>
      <c r="E1420" s="11" t="n"/>
      <c r="F1420" s="16">
        <f>IF(OR(D1420="",E1420=""),"",D1420*E1420)</f>
        <v/>
      </c>
      <c r="G1420" s="10" t="n"/>
      <c r="H1420" s="14">
        <f>IF(A1420="","",MONTH(A1420))</f>
        <v/>
      </c>
      <c r="I1420" s="14">
        <f>IF(A1420="","",YEAR(A1420))</f>
        <v/>
      </c>
    </row>
    <row r="1421">
      <c r="A1421" s="15" t="n"/>
      <c r="B1421" s="10" t="n"/>
      <c r="C1421" s="14">
        <f>IF(B1421="","",IFERROR(INDEX('Sản phẩm'!$B$5:$B$304,MATCH(B1421,'Sản phẩm'!$A$5:$A$304,0)),""))</f>
        <v/>
      </c>
      <c r="D1421" s="12" t="n"/>
      <c r="E1421" s="11" t="n"/>
      <c r="F1421" s="16">
        <f>IF(OR(D1421="",E1421=""),"",D1421*E1421)</f>
        <v/>
      </c>
      <c r="G1421" s="10" t="n"/>
      <c r="H1421" s="14">
        <f>IF(A1421="","",MONTH(A1421))</f>
        <v/>
      </c>
      <c r="I1421" s="14">
        <f>IF(A1421="","",YEAR(A1421))</f>
        <v/>
      </c>
    </row>
    <row r="1422">
      <c r="A1422" s="15" t="n"/>
      <c r="B1422" s="10" t="n"/>
      <c r="C1422" s="14">
        <f>IF(B1422="","",IFERROR(INDEX('Sản phẩm'!$B$5:$B$304,MATCH(B1422,'Sản phẩm'!$A$5:$A$304,0)),""))</f>
        <v/>
      </c>
      <c r="D1422" s="12" t="n"/>
      <c r="E1422" s="11" t="n"/>
      <c r="F1422" s="16">
        <f>IF(OR(D1422="",E1422=""),"",D1422*E1422)</f>
        <v/>
      </c>
      <c r="G1422" s="10" t="n"/>
      <c r="H1422" s="14">
        <f>IF(A1422="","",MONTH(A1422))</f>
        <v/>
      </c>
      <c r="I1422" s="14">
        <f>IF(A1422="","",YEAR(A1422))</f>
        <v/>
      </c>
    </row>
    <row r="1423">
      <c r="A1423" s="15" t="n"/>
      <c r="B1423" s="10" t="n"/>
      <c r="C1423" s="14">
        <f>IF(B1423="","",IFERROR(INDEX('Sản phẩm'!$B$5:$B$304,MATCH(B1423,'Sản phẩm'!$A$5:$A$304,0)),""))</f>
        <v/>
      </c>
      <c r="D1423" s="12" t="n"/>
      <c r="E1423" s="11" t="n"/>
      <c r="F1423" s="16">
        <f>IF(OR(D1423="",E1423=""),"",D1423*E1423)</f>
        <v/>
      </c>
      <c r="G1423" s="10" t="n"/>
      <c r="H1423" s="14">
        <f>IF(A1423="","",MONTH(A1423))</f>
        <v/>
      </c>
      <c r="I1423" s="14">
        <f>IF(A1423="","",YEAR(A1423))</f>
        <v/>
      </c>
    </row>
    <row r="1424">
      <c r="A1424" s="15" t="n"/>
      <c r="B1424" s="10" t="n"/>
      <c r="C1424" s="14">
        <f>IF(B1424="","",IFERROR(INDEX('Sản phẩm'!$B$5:$B$304,MATCH(B1424,'Sản phẩm'!$A$5:$A$304,0)),""))</f>
        <v/>
      </c>
      <c r="D1424" s="12" t="n"/>
      <c r="E1424" s="11" t="n"/>
      <c r="F1424" s="16">
        <f>IF(OR(D1424="",E1424=""),"",D1424*E1424)</f>
        <v/>
      </c>
      <c r="G1424" s="10" t="n"/>
      <c r="H1424" s="14">
        <f>IF(A1424="","",MONTH(A1424))</f>
        <v/>
      </c>
      <c r="I1424" s="14">
        <f>IF(A1424="","",YEAR(A1424))</f>
        <v/>
      </c>
    </row>
    <row r="1425">
      <c r="A1425" s="15" t="n"/>
      <c r="B1425" s="10" t="n"/>
      <c r="C1425" s="14">
        <f>IF(B1425="","",IFERROR(INDEX('Sản phẩm'!$B$5:$B$304,MATCH(B1425,'Sản phẩm'!$A$5:$A$304,0)),""))</f>
        <v/>
      </c>
      <c r="D1425" s="12" t="n"/>
      <c r="E1425" s="11" t="n"/>
      <c r="F1425" s="16">
        <f>IF(OR(D1425="",E1425=""),"",D1425*E1425)</f>
        <v/>
      </c>
      <c r="G1425" s="10" t="n"/>
      <c r="H1425" s="14">
        <f>IF(A1425="","",MONTH(A1425))</f>
        <v/>
      </c>
      <c r="I1425" s="14">
        <f>IF(A1425="","",YEAR(A1425))</f>
        <v/>
      </c>
    </row>
    <row r="1426">
      <c r="A1426" s="15" t="n"/>
      <c r="B1426" s="10" t="n"/>
      <c r="C1426" s="14">
        <f>IF(B1426="","",IFERROR(INDEX('Sản phẩm'!$B$5:$B$304,MATCH(B1426,'Sản phẩm'!$A$5:$A$304,0)),""))</f>
        <v/>
      </c>
      <c r="D1426" s="12" t="n"/>
      <c r="E1426" s="11" t="n"/>
      <c r="F1426" s="16">
        <f>IF(OR(D1426="",E1426=""),"",D1426*E1426)</f>
        <v/>
      </c>
      <c r="G1426" s="10" t="n"/>
      <c r="H1426" s="14">
        <f>IF(A1426="","",MONTH(A1426))</f>
        <v/>
      </c>
      <c r="I1426" s="14">
        <f>IF(A1426="","",YEAR(A1426))</f>
        <v/>
      </c>
    </row>
    <row r="1427">
      <c r="A1427" s="15" t="n"/>
      <c r="B1427" s="10" t="n"/>
      <c r="C1427" s="14">
        <f>IF(B1427="","",IFERROR(INDEX('Sản phẩm'!$B$5:$B$304,MATCH(B1427,'Sản phẩm'!$A$5:$A$304,0)),""))</f>
        <v/>
      </c>
      <c r="D1427" s="12" t="n"/>
      <c r="E1427" s="11" t="n"/>
      <c r="F1427" s="16">
        <f>IF(OR(D1427="",E1427=""),"",D1427*E1427)</f>
        <v/>
      </c>
      <c r="G1427" s="10" t="n"/>
      <c r="H1427" s="14">
        <f>IF(A1427="","",MONTH(A1427))</f>
        <v/>
      </c>
      <c r="I1427" s="14">
        <f>IF(A1427="","",YEAR(A1427))</f>
        <v/>
      </c>
    </row>
    <row r="1428">
      <c r="A1428" s="15" t="n"/>
      <c r="B1428" s="10" t="n"/>
      <c r="C1428" s="14">
        <f>IF(B1428="","",IFERROR(INDEX('Sản phẩm'!$B$5:$B$304,MATCH(B1428,'Sản phẩm'!$A$5:$A$304,0)),""))</f>
        <v/>
      </c>
      <c r="D1428" s="12" t="n"/>
      <c r="E1428" s="11" t="n"/>
      <c r="F1428" s="16">
        <f>IF(OR(D1428="",E1428=""),"",D1428*E1428)</f>
        <v/>
      </c>
      <c r="G1428" s="10" t="n"/>
      <c r="H1428" s="14">
        <f>IF(A1428="","",MONTH(A1428))</f>
        <v/>
      </c>
      <c r="I1428" s="14">
        <f>IF(A1428="","",YEAR(A1428))</f>
        <v/>
      </c>
    </row>
    <row r="1429">
      <c r="A1429" s="15" t="n"/>
      <c r="B1429" s="10" t="n"/>
      <c r="C1429" s="14">
        <f>IF(B1429="","",IFERROR(INDEX('Sản phẩm'!$B$5:$B$304,MATCH(B1429,'Sản phẩm'!$A$5:$A$304,0)),""))</f>
        <v/>
      </c>
      <c r="D1429" s="12" t="n"/>
      <c r="E1429" s="11" t="n"/>
      <c r="F1429" s="16">
        <f>IF(OR(D1429="",E1429=""),"",D1429*E1429)</f>
        <v/>
      </c>
      <c r="G1429" s="10" t="n"/>
      <c r="H1429" s="14">
        <f>IF(A1429="","",MONTH(A1429))</f>
        <v/>
      </c>
      <c r="I1429" s="14">
        <f>IF(A1429="","",YEAR(A1429))</f>
        <v/>
      </c>
    </row>
    <row r="1430">
      <c r="A1430" s="15" t="n"/>
      <c r="B1430" s="10" t="n"/>
      <c r="C1430" s="14">
        <f>IF(B1430="","",IFERROR(INDEX('Sản phẩm'!$B$5:$B$304,MATCH(B1430,'Sản phẩm'!$A$5:$A$304,0)),""))</f>
        <v/>
      </c>
      <c r="D1430" s="12" t="n"/>
      <c r="E1430" s="11" t="n"/>
      <c r="F1430" s="16">
        <f>IF(OR(D1430="",E1430=""),"",D1430*E1430)</f>
        <v/>
      </c>
      <c r="G1430" s="10" t="n"/>
      <c r="H1430" s="14">
        <f>IF(A1430="","",MONTH(A1430))</f>
        <v/>
      </c>
      <c r="I1430" s="14">
        <f>IF(A1430="","",YEAR(A1430))</f>
        <v/>
      </c>
    </row>
    <row r="1431">
      <c r="A1431" s="15" t="n"/>
      <c r="B1431" s="10" t="n"/>
      <c r="C1431" s="14">
        <f>IF(B1431="","",IFERROR(INDEX('Sản phẩm'!$B$5:$B$304,MATCH(B1431,'Sản phẩm'!$A$5:$A$304,0)),""))</f>
        <v/>
      </c>
      <c r="D1431" s="12" t="n"/>
      <c r="E1431" s="11" t="n"/>
      <c r="F1431" s="16">
        <f>IF(OR(D1431="",E1431=""),"",D1431*E1431)</f>
        <v/>
      </c>
      <c r="G1431" s="10" t="n"/>
      <c r="H1431" s="14">
        <f>IF(A1431="","",MONTH(A1431))</f>
        <v/>
      </c>
      <c r="I1431" s="14">
        <f>IF(A1431="","",YEAR(A1431))</f>
        <v/>
      </c>
    </row>
    <row r="1432">
      <c r="A1432" s="15" t="n"/>
      <c r="B1432" s="10" t="n"/>
      <c r="C1432" s="14">
        <f>IF(B1432="","",IFERROR(INDEX('Sản phẩm'!$B$5:$B$304,MATCH(B1432,'Sản phẩm'!$A$5:$A$304,0)),""))</f>
        <v/>
      </c>
      <c r="D1432" s="12" t="n"/>
      <c r="E1432" s="11" t="n"/>
      <c r="F1432" s="16">
        <f>IF(OR(D1432="",E1432=""),"",D1432*E1432)</f>
        <v/>
      </c>
      <c r="G1432" s="10" t="n"/>
      <c r="H1432" s="14">
        <f>IF(A1432="","",MONTH(A1432))</f>
        <v/>
      </c>
      <c r="I1432" s="14">
        <f>IF(A1432="","",YEAR(A1432))</f>
        <v/>
      </c>
    </row>
    <row r="1433">
      <c r="A1433" s="15" t="n"/>
      <c r="B1433" s="10" t="n"/>
      <c r="C1433" s="14">
        <f>IF(B1433="","",IFERROR(INDEX('Sản phẩm'!$B$5:$B$304,MATCH(B1433,'Sản phẩm'!$A$5:$A$304,0)),""))</f>
        <v/>
      </c>
      <c r="D1433" s="12" t="n"/>
      <c r="E1433" s="11" t="n"/>
      <c r="F1433" s="16">
        <f>IF(OR(D1433="",E1433=""),"",D1433*E1433)</f>
        <v/>
      </c>
      <c r="G1433" s="10" t="n"/>
      <c r="H1433" s="14">
        <f>IF(A1433="","",MONTH(A1433))</f>
        <v/>
      </c>
      <c r="I1433" s="14">
        <f>IF(A1433="","",YEAR(A1433))</f>
        <v/>
      </c>
    </row>
    <row r="1434">
      <c r="A1434" s="15" t="n"/>
      <c r="B1434" s="10" t="n"/>
      <c r="C1434" s="14">
        <f>IF(B1434="","",IFERROR(INDEX('Sản phẩm'!$B$5:$B$304,MATCH(B1434,'Sản phẩm'!$A$5:$A$304,0)),""))</f>
        <v/>
      </c>
      <c r="D1434" s="12" t="n"/>
      <c r="E1434" s="11" t="n"/>
      <c r="F1434" s="16">
        <f>IF(OR(D1434="",E1434=""),"",D1434*E1434)</f>
        <v/>
      </c>
      <c r="G1434" s="10" t="n"/>
      <c r="H1434" s="14">
        <f>IF(A1434="","",MONTH(A1434))</f>
        <v/>
      </c>
      <c r="I1434" s="14">
        <f>IF(A1434="","",YEAR(A1434))</f>
        <v/>
      </c>
    </row>
    <row r="1435">
      <c r="A1435" s="15" t="n"/>
      <c r="B1435" s="10" t="n"/>
      <c r="C1435" s="14">
        <f>IF(B1435="","",IFERROR(INDEX('Sản phẩm'!$B$5:$B$304,MATCH(B1435,'Sản phẩm'!$A$5:$A$304,0)),""))</f>
        <v/>
      </c>
      <c r="D1435" s="12" t="n"/>
      <c r="E1435" s="11" t="n"/>
      <c r="F1435" s="16">
        <f>IF(OR(D1435="",E1435=""),"",D1435*E1435)</f>
        <v/>
      </c>
      <c r="G1435" s="10" t="n"/>
      <c r="H1435" s="14">
        <f>IF(A1435="","",MONTH(A1435))</f>
        <v/>
      </c>
      <c r="I1435" s="14">
        <f>IF(A1435="","",YEAR(A1435))</f>
        <v/>
      </c>
    </row>
    <row r="1436">
      <c r="A1436" s="15" t="n"/>
      <c r="B1436" s="10" t="n"/>
      <c r="C1436" s="14">
        <f>IF(B1436="","",IFERROR(INDEX('Sản phẩm'!$B$5:$B$304,MATCH(B1436,'Sản phẩm'!$A$5:$A$304,0)),""))</f>
        <v/>
      </c>
      <c r="D1436" s="12" t="n"/>
      <c r="E1436" s="11" t="n"/>
      <c r="F1436" s="16">
        <f>IF(OR(D1436="",E1436=""),"",D1436*E1436)</f>
        <v/>
      </c>
      <c r="G1436" s="10" t="n"/>
      <c r="H1436" s="14">
        <f>IF(A1436="","",MONTH(A1436))</f>
        <v/>
      </c>
      <c r="I1436" s="14">
        <f>IF(A1436="","",YEAR(A1436))</f>
        <v/>
      </c>
    </row>
    <row r="1437">
      <c r="A1437" s="15" t="n"/>
      <c r="B1437" s="10" t="n"/>
      <c r="C1437" s="14">
        <f>IF(B1437="","",IFERROR(INDEX('Sản phẩm'!$B$5:$B$304,MATCH(B1437,'Sản phẩm'!$A$5:$A$304,0)),""))</f>
        <v/>
      </c>
      <c r="D1437" s="12" t="n"/>
      <c r="E1437" s="11" t="n"/>
      <c r="F1437" s="16">
        <f>IF(OR(D1437="",E1437=""),"",D1437*E1437)</f>
        <v/>
      </c>
      <c r="G1437" s="10" t="n"/>
      <c r="H1437" s="14">
        <f>IF(A1437="","",MONTH(A1437))</f>
        <v/>
      </c>
      <c r="I1437" s="14">
        <f>IF(A1437="","",YEAR(A1437))</f>
        <v/>
      </c>
    </row>
    <row r="1438">
      <c r="A1438" s="15" t="n"/>
      <c r="B1438" s="10" t="n"/>
      <c r="C1438" s="14">
        <f>IF(B1438="","",IFERROR(INDEX('Sản phẩm'!$B$5:$B$304,MATCH(B1438,'Sản phẩm'!$A$5:$A$304,0)),""))</f>
        <v/>
      </c>
      <c r="D1438" s="12" t="n"/>
      <c r="E1438" s="11" t="n"/>
      <c r="F1438" s="16">
        <f>IF(OR(D1438="",E1438=""),"",D1438*E1438)</f>
        <v/>
      </c>
      <c r="G1438" s="10" t="n"/>
      <c r="H1438" s="14">
        <f>IF(A1438="","",MONTH(A1438))</f>
        <v/>
      </c>
      <c r="I1438" s="14">
        <f>IF(A1438="","",YEAR(A1438))</f>
        <v/>
      </c>
    </row>
    <row r="1439">
      <c r="A1439" s="15" t="n"/>
      <c r="B1439" s="10" t="n"/>
      <c r="C1439" s="14">
        <f>IF(B1439="","",IFERROR(INDEX('Sản phẩm'!$B$5:$B$304,MATCH(B1439,'Sản phẩm'!$A$5:$A$304,0)),""))</f>
        <v/>
      </c>
      <c r="D1439" s="12" t="n"/>
      <c r="E1439" s="11" t="n"/>
      <c r="F1439" s="16">
        <f>IF(OR(D1439="",E1439=""),"",D1439*E1439)</f>
        <v/>
      </c>
      <c r="G1439" s="10" t="n"/>
      <c r="H1439" s="14">
        <f>IF(A1439="","",MONTH(A1439))</f>
        <v/>
      </c>
      <c r="I1439" s="14">
        <f>IF(A1439="","",YEAR(A1439))</f>
        <v/>
      </c>
    </row>
    <row r="1440">
      <c r="A1440" s="15" t="n"/>
      <c r="B1440" s="10" t="n"/>
      <c r="C1440" s="14">
        <f>IF(B1440="","",IFERROR(INDEX('Sản phẩm'!$B$5:$B$304,MATCH(B1440,'Sản phẩm'!$A$5:$A$304,0)),""))</f>
        <v/>
      </c>
      <c r="D1440" s="12" t="n"/>
      <c r="E1440" s="11" t="n"/>
      <c r="F1440" s="16">
        <f>IF(OR(D1440="",E1440=""),"",D1440*E1440)</f>
        <v/>
      </c>
      <c r="G1440" s="10" t="n"/>
      <c r="H1440" s="14">
        <f>IF(A1440="","",MONTH(A1440))</f>
        <v/>
      </c>
      <c r="I1440" s="14">
        <f>IF(A1440="","",YEAR(A1440))</f>
        <v/>
      </c>
    </row>
    <row r="1441">
      <c r="A1441" s="15" t="n"/>
      <c r="B1441" s="10" t="n"/>
      <c r="C1441" s="14">
        <f>IF(B1441="","",IFERROR(INDEX('Sản phẩm'!$B$5:$B$304,MATCH(B1441,'Sản phẩm'!$A$5:$A$304,0)),""))</f>
        <v/>
      </c>
      <c r="D1441" s="12" t="n"/>
      <c r="E1441" s="11" t="n"/>
      <c r="F1441" s="16">
        <f>IF(OR(D1441="",E1441=""),"",D1441*E1441)</f>
        <v/>
      </c>
      <c r="G1441" s="10" t="n"/>
      <c r="H1441" s="14">
        <f>IF(A1441="","",MONTH(A1441))</f>
        <v/>
      </c>
      <c r="I1441" s="14">
        <f>IF(A1441="","",YEAR(A1441))</f>
        <v/>
      </c>
    </row>
    <row r="1442">
      <c r="A1442" s="15" t="n"/>
      <c r="B1442" s="10" t="n"/>
      <c r="C1442" s="14">
        <f>IF(B1442="","",IFERROR(INDEX('Sản phẩm'!$B$5:$B$304,MATCH(B1442,'Sản phẩm'!$A$5:$A$304,0)),""))</f>
        <v/>
      </c>
      <c r="D1442" s="12" t="n"/>
      <c r="E1442" s="11" t="n"/>
      <c r="F1442" s="16">
        <f>IF(OR(D1442="",E1442=""),"",D1442*E1442)</f>
        <v/>
      </c>
      <c r="G1442" s="10" t="n"/>
      <c r="H1442" s="14">
        <f>IF(A1442="","",MONTH(A1442))</f>
        <v/>
      </c>
      <c r="I1442" s="14">
        <f>IF(A1442="","",YEAR(A1442))</f>
        <v/>
      </c>
    </row>
    <row r="1443">
      <c r="A1443" s="15" t="n"/>
      <c r="B1443" s="10" t="n"/>
      <c r="C1443" s="14">
        <f>IF(B1443="","",IFERROR(INDEX('Sản phẩm'!$B$5:$B$304,MATCH(B1443,'Sản phẩm'!$A$5:$A$304,0)),""))</f>
        <v/>
      </c>
      <c r="D1443" s="12" t="n"/>
      <c r="E1443" s="11" t="n"/>
      <c r="F1443" s="16">
        <f>IF(OR(D1443="",E1443=""),"",D1443*E1443)</f>
        <v/>
      </c>
      <c r="G1443" s="10" t="n"/>
      <c r="H1443" s="14">
        <f>IF(A1443="","",MONTH(A1443))</f>
        <v/>
      </c>
      <c r="I1443" s="14">
        <f>IF(A1443="","",YEAR(A1443))</f>
        <v/>
      </c>
    </row>
    <row r="1444">
      <c r="A1444" s="15" t="n"/>
      <c r="B1444" s="10" t="n"/>
      <c r="C1444" s="14">
        <f>IF(B1444="","",IFERROR(INDEX('Sản phẩm'!$B$5:$B$304,MATCH(B1444,'Sản phẩm'!$A$5:$A$304,0)),""))</f>
        <v/>
      </c>
      <c r="D1444" s="12" t="n"/>
      <c r="E1444" s="11" t="n"/>
      <c r="F1444" s="16">
        <f>IF(OR(D1444="",E1444=""),"",D1444*E1444)</f>
        <v/>
      </c>
      <c r="G1444" s="10" t="n"/>
      <c r="H1444" s="14">
        <f>IF(A1444="","",MONTH(A1444))</f>
        <v/>
      </c>
      <c r="I1444" s="14">
        <f>IF(A1444="","",YEAR(A1444))</f>
        <v/>
      </c>
    </row>
    <row r="1445">
      <c r="A1445" s="15" t="n"/>
      <c r="B1445" s="10" t="n"/>
      <c r="C1445" s="14">
        <f>IF(B1445="","",IFERROR(INDEX('Sản phẩm'!$B$5:$B$304,MATCH(B1445,'Sản phẩm'!$A$5:$A$304,0)),""))</f>
        <v/>
      </c>
      <c r="D1445" s="12" t="n"/>
      <c r="E1445" s="11" t="n"/>
      <c r="F1445" s="16">
        <f>IF(OR(D1445="",E1445=""),"",D1445*E1445)</f>
        <v/>
      </c>
      <c r="G1445" s="10" t="n"/>
      <c r="H1445" s="14">
        <f>IF(A1445="","",MONTH(A1445))</f>
        <v/>
      </c>
      <c r="I1445" s="14">
        <f>IF(A1445="","",YEAR(A1445))</f>
        <v/>
      </c>
    </row>
    <row r="1446">
      <c r="A1446" s="15" t="n"/>
      <c r="B1446" s="10" t="n"/>
      <c r="C1446" s="14">
        <f>IF(B1446="","",IFERROR(INDEX('Sản phẩm'!$B$5:$B$304,MATCH(B1446,'Sản phẩm'!$A$5:$A$304,0)),""))</f>
        <v/>
      </c>
      <c r="D1446" s="12" t="n"/>
      <c r="E1446" s="11" t="n"/>
      <c r="F1446" s="16">
        <f>IF(OR(D1446="",E1446=""),"",D1446*E1446)</f>
        <v/>
      </c>
      <c r="G1446" s="10" t="n"/>
      <c r="H1446" s="14">
        <f>IF(A1446="","",MONTH(A1446))</f>
        <v/>
      </c>
      <c r="I1446" s="14">
        <f>IF(A1446="","",YEAR(A1446))</f>
        <v/>
      </c>
    </row>
    <row r="1447">
      <c r="A1447" s="15" t="n"/>
      <c r="B1447" s="10" t="n"/>
      <c r="C1447" s="14">
        <f>IF(B1447="","",IFERROR(INDEX('Sản phẩm'!$B$5:$B$304,MATCH(B1447,'Sản phẩm'!$A$5:$A$304,0)),""))</f>
        <v/>
      </c>
      <c r="D1447" s="12" t="n"/>
      <c r="E1447" s="11" t="n"/>
      <c r="F1447" s="16">
        <f>IF(OR(D1447="",E1447=""),"",D1447*E1447)</f>
        <v/>
      </c>
      <c r="G1447" s="10" t="n"/>
      <c r="H1447" s="14">
        <f>IF(A1447="","",MONTH(A1447))</f>
        <v/>
      </c>
      <c r="I1447" s="14">
        <f>IF(A1447="","",YEAR(A1447))</f>
        <v/>
      </c>
    </row>
    <row r="1448">
      <c r="A1448" s="15" t="n"/>
      <c r="B1448" s="10" t="n"/>
      <c r="C1448" s="14">
        <f>IF(B1448="","",IFERROR(INDEX('Sản phẩm'!$B$5:$B$304,MATCH(B1448,'Sản phẩm'!$A$5:$A$304,0)),""))</f>
        <v/>
      </c>
      <c r="D1448" s="12" t="n"/>
      <c r="E1448" s="11" t="n"/>
      <c r="F1448" s="16">
        <f>IF(OR(D1448="",E1448=""),"",D1448*E1448)</f>
        <v/>
      </c>
      <c r="G1448" s="10" t="n"/>
      <c r="H1448" s="14">
        <f>IF(A1448="","",MONTH(A1448))</f>
        <v/>
      </c>
      <c r="I1448" s="14">
        <f>IF(A1448="","",YEAR(A1448))</f>
        <v/>
      </c>
    </row>
    <row r="1449">
      <c r="A1449" s="15" t="n"/>
      <c r="B1449" s="10" t="n"/>
      <c r="C1449" s="14">
        <f>IF(B1449="","",IFERROR(INDEX('Sản phẩm'!$B$5:$B$304,MATCH(B1449,'Sản phẩm'!$A$5:$A$304,0)),""))</f>
        <v/>
      </c>
      <c r="D1449" s="12" t="n"/>
      <c r="E1449" s="11" t="n"/>
      <c r="F1449" s="16">
        <f>IF(OR(D1449="",E1449=""),"",D1449*E1449)</f>
        <v/>
      </c>
      <c r="G1449" s="10" t="n"/>
      <c r="H1449" s="14">
        <f>IF(A1449="","",MONTH(A1449))</f>
        <v/>
      </c>
      <c r="I1449" s="14">
        <f>IF(A1449="","",YEAR(A1449))</f>
        <v/>
      </c>
    </row>
    <row r="1450">
      <c r="A1450" s="15" t="n"/>
      <c r="B1450" s="10" t="n"/>
      <c r="C1450" s="14">
        <f>IF(B1450="","",IFERROR(INDEX('Sản phẩm'!$B$5:$B$304,MATCH(B1450,'Sản phẩm'!$A$5:$A$304,0)),""))</f>
        <v/>
      </c>
      <c r="D1450" s="12" t="n"/>
      <c r="E1450" s="11" t="n"/>
      <c r="F1450" s="16">
        <f>IF(OR(D1450="",E1450=""),"",D1450*E1450)</f>
        <v/>
      </c>
      <c r="G1450" s="10" t="n"/>
      <c r="H1450" s="14">
        <f>IF(A1450="","",MONTH(A1450))</f>
        <v/>
      </c>
      <c r="I1450" s="14">
        <f>IF(A1450="","",YEAR(A1450))</f>
        <v/>
      </c>
    </row>
    <row r="1451">
      <c r="A1451" s="15" t="n"/>
      <c r="B1451" s="10" t="n"/>
      <c r="C1451" s="14">
        <f>IF(B1451="","",IFERROR(INDEX('Sản phẩm'!$B$5:$B$304,MATCH(B1451,'Sản phẩm'!$A$5:$A$304,0)),""))</f>
        <v/>
      </c>
      <c r="D1451" s="12" t="n"/>
      <c r="E1451" s="11" t="n"/>
      <c r="F1451" s="16">
        <f>IF(OR(D1451="",E1451=""),"",D1451*E1451)</f>
        <v/>
      </c>
      <c r="G1451" s="10" t="n"/>
      <c r="H1451" s="14">
        <f>IF(A1451="","",MONTH(A1451))</f>
        <v/>
      </c>
      <c r="I1451" s="14">
        <f>IF(A1451="","",YEAR(A1451))</f>
        <v/>
      </c>
    </row>
    <row r="1452">
      <c r="A1452" s="15" t="n"/>
      <c r="B1452" s="10" t="n"/>
      <c r="C1452" s="14">
        <f>IF(B1452="","",IFERROR(INDEX('Sản phẩm'!$B$5:$B$304,MATCH(B1452,'Sản phẩm'!$A$5:$A$304,0)),""))</f>
        <v/>
      </c>
      <c r="D1452" s="12" t="n"/>
      <c r="E1452" s="11" t="n"/>
      <c r="F1452" s="16">
        <f>IF(OR(D1452="",E1452=""),"",D1452*E1452)</f>
        <v/>
      </c>
      <c r="G1452" s="10" t="n"/>
      <c r="H1452" s="14">
        <f>IF(A1452="","",MONTH(A1452))</f>
        <v/>
      </c>
      <c r="I1452" s="14">
        <f>IF(A1452="","",YEAR(A1452))</f>
        <v/>
      </c>
    </row>
    <row r="1453">
      <c r="A1453" s="15" t="n"/>
      <c r="B1453" s="10" t="n"/>
      <c r="C1453" s="14">
        <f>IF(B1453="","",IFERROR(INDEX('Sản phẩm'!$B$5:$B$304,MATCH(B1453,'Sản phẩm'!$A$5:$A$304,0)),""))</f>
        <v/>
      </c>
      <c r="D1453" s="12" t="n"/>
      <c r="E1453" s="11" t="n"/>
      <c r="F1453" s="16">
        <f>IF(OR(D1453="",E1453=""),"",D1453*E1453)</f>
        <v/>
      </c>
      <c r="G1453" s="10" t="n"/>
      <c r="H1453" s="14">
        <f>IF(A1453="","",MONTH(A1453))</f>
        <v/>
      </c>
      <c r="I1453" s="14">
        <f>IF(A1453="","",YEAR(A1453))</f>
        <v/>
      </c>
    </row>
    <row r="1454">
      <c r="A1454" s="15" t="n"/>
      <c r="B1454" s="10" t="n"/>
      <c r="C1454" s="14">
        <f>IF(B1454="","",IFERROR(INDEX('Sản phẩm'!$B$5:$B$304,MATCH(B1454,'Sản phẩm'!$A$5:$A$304,0)),""))</f>
        <v/>
      </c>
      <c r="D1454" s="12" t="n"/>
      <c r="E1454" s="11" t="n"/>
      <c r="F1454" s="16">
        <f>IF(OR(D1454="",E1454=""),"",D1454*E1454)</f>
        <v/>
      </c>
      <c r="G1454" s="10" t="n"/>
      <c r="H1454" s="14">
        <f>IF(A1454="","",MONTH(A1454))</f>
        <v/>
      </c>
      <c r="I1454" s="14">
        <f>IF(A1454="","",YEAR(A1454))</f>
        <v/>
      </c>
    </row>
    <row r="1455">
      <c r="A1455" s="15" t="n"/>
      <c r="B1455" s="10" t="n"/>
      <c r="C1455" s="14">
        <f>IF(B1455="","",IFERROR(INDEX('Sản phẩm'!$B$5:$B$304,MATCH(B1455,'Sản phẩm'!$A$5:$A$304,0)),""))</f>
        <v/>
      </c>
      <c r="D1455" s="12" t="n"/>
      <c r="E1455" s="11" t="n"/>
      <c r="F1455" s="16">
        <f>IF(OR(D1455="",E1455=""),"",D1455*E1455)</f>
        <v/>
      </c>
      <c r="G1455" s="10" t="n"/>
      <c r="H1455" s="14">
        <f>IF(A1455="","",MONTH(A1455))</f>
        <v/>
      </c>
      <c r="I1455" s="14">
        <f>IF(A1455="","",YEAR(A1455))</f>
        <v/>
      </c>
    </row>
    <row r="1456">
      <c r="A1456" s="15" t="n"/>
      <c r="B1456" s="10" t="n"/>
      <c r="C1456" s="14">
        <f>IF(B1456="","",IFERROR(INDEX('Sản phẩm'!$B$5:$B$304,MATCH(B1456,'Sản phẩm'!$A$5:$A$304,0)),""))</f>
        <v/>
      </c>
      <c r="D1456" s="12" t="n"/>
      <c r="E1456" s="11" t="n"/>
      <c r="F1456" s="16">
        <f>IF(OR(D1456="",E1456=""),"",D1456*E1456)</f>
        <v/>
      </c>
      <c r="G1456" s="10" t="n"/>
      <c r="H1456" s="14">
        <f>IF(A1456="","",MONTH(A1456))</f>
        <v/>
      </c>
      <c r="I1456" s="14">
        <f>IF(A1456="","",YEAR(A1456))</f>
        <v/>
      </c>
    </row>
    <row r="1457">
      <c r="A1457" s="15" t="n"/>
      <c r="B1457" s="10" t="n"/>
      <c r="C1457" s="14">
        <f>IF(B1457="","",IFERROR(INDEX('Sản phẩm'!$B$5:$B$304,MATCH(B1457,'Sản phẩm'!$A$5:$A$304,0)),""))</f>
        <v/>
      </c>
      <c r="D1457" s="12" t="n"/>
      <c r="E1457" s="11" t="n"/>
      <c r="F1457" s="16">
        <f>IF(OR(D1457="",E1457=""),"",D1457*E1457)</f>
        <v/>
      </c>
      <c r="G1457" s="10" t="n"/>
      <c r="H1457" s="14">
        <f>IF(A1457="","",MONTH(A1457))</f>
        <v/>
      </c>
      <c r="I1457" s="14">
        <f>IF(A1457="","",YEAR(A1457))</f>
        <v/>
      </c>
    </row>
    <row r="1458">
      <c r="A1458" s="15" t="n"/>
      <c r="B1458" s="10" t="n"/>
      <c r="C1458" s="14">
        <f>IF(B1458="","",IFERROR(INDEX('Sản phẩm'!$B$5:$B$304,MATCH(B1458,'Sản phẩm'!$A$5:$A$304,0)),""))</f>
        <v/>
      </c>
      <c r="D1458" s="12" t="n"/>
      <c r="E1458" s="11" t="n"/>
      <c r="F1458" s="16">
        <f>IF(OR(D1458="",E1458=""),"",D1458*E1458)</f>
        <v/>
      </c>
      <c r="G1458" s="10" t="n"/>
      <c r="H1458" s="14">
        <f>IF(A1458="","",MONTH(A1458))</f>
        <v/>
      </c>
      <c r="I1458" s="14">
        <f>IF(A1458="","",YEAR(A1458))</f>
        <v/>
      </c>
    </row>
    <row r="1459">
      <c r="A1459" s="15" t="n"/>
      <c r="B1459" s="10" t="n"/>
      <c r="C1459" s="14">
        <f>IF(B1459="","",IFERROR(INDEX('Sản phẩm'!$B$5:$B$304,MATCH(B1459,'Sản phẩm'!$A$5:$A$304,0)),""))</f>
        <v/>
      </c>
      <c r="D1459" s="12" t="n"/>
      <c r="E1459" s="11" t="n"/>
      <c r="F1459" s="16">
        <f>IF(OR(D1459="",E1459=""),"",D1459*E1459)</f>
        <v/>
      </c>
      <c r="G1459" s="10" t="n"/>
      <c r="H1459" s="14">
        <f>IF(A1459="","",MONTH(A1459))</f>
        <v/>
      </c>
      <c r="I1459" s="14">
        <f>IF(A1459="","",YEAR(A1459))</f>
        <v/>
      </c>
    </row>
    <row r="1460">
      <c r="A1460" s="15" t="n"/>
      <c r="B1460" s="10" t="n"/>
      <c r="C1460" s="14">
        <f>IF(B1460="","",IFERROR(INDEX('Sản phẩm'!$B$5:$B$304,MATCH(B1460,'Sản phẩm'!$A$5:$A$304,0)),""))</f>
        <v/>
      </c>
      <c r="D1460" s="12" t="n"/>
      <c r="E1460" s="11" t="n"/>
      <c r="F1460" s="16">
        <f>IF(OR(D1460="",E1460=""),"",D1460*E1460)</f>
        <v/>
      </c>
      <c r="G1460" s="10" t="n"/>
      <c r="H1460" s="14">
        <f>IF(A1460="","",MONTH(A1460))</f>
        <v/>
      </c>
      <c r="I1460" s="14">
        <f>IF(A1460="","",YEAR(A1460))</f>
        <v/>
      </c>
    </row>
    <row r="1461">
      <c r="A1461" s="15" t="n"/>
      <c r="B1461" s="10" t="n"/>
      <c r="C1461" s="14">
        <f>IF(B1461="","",IFERROR(INDEX('Sản phẩm'!$B$5:$B$304,MATCH(B1461,'Sản phẩm'!$A$5:$A$304,0)),""))</f>
        <v/>
      </c>
      <c r="D1461" s="12" t="n"/>
      <c r="E1461" s="11" t="n"/>
      <c r="F1461" s="16">
        <f>IF(OR(D1461="",E1461=""),"",D1461*E1461)</f>
        <v/>
      </c>
      <c r="G1461" s="10" t="n"/>
      <c r="H1461" s="14">
        <f>IF(A1461="","",MONTH(A1461))</f>
        <v/>
      </c>
      <c r="I1461" s="14">
        <f>IF(A1461="","",YEAR(A1461))</f>
        <v/>
      </c>
    </row>
    <row r="1462">
      <c r="A1462" s="15" t="n"/>
      <c r="B1462" s="10" t="n"/>
      <c r="C1462" s="14">
        <f>IF(B1462="","",IFERROR(INDEX('Sản phẩm'!$B$5:$B$304,MATCH(B1462,'Sản phẩm'!$A$5:$A$304,0)),""))</f>
        <v/>
      </c>
      <c r="D1462" s="12" t="n"/>
      <c r="E1462" s="11" t="n"/>
      <c r="F1462" s="16">
        <f>IF(OR(D1462="",E1462=""),"",D1462*E1462)</f>
        <v/>
      </c>
      <c r="G1462" s="10" t="n"/>
      <c r="H1462" s="14">
        <f>IF(A1462="","",MONTH(A1462))</f>
        <v/>
      </c>
      <c r="I1462" s="14">
        <f>IF(A1462="","",YEAR(A1462))</f>
        <v/>
      </c>
    </row>
    <row r="1463">
      <c r="A1463" s="15" t="n"/>
      <c r="B1463" s="10" t="n"/>
      <c r="C1463" s="14">
        <f>IF(B1463="","",IFERROR(INDEX('Sản phẩm'!$B$5:$B$304,MATCH(B1463,'Sản phẩm'!$A$5:$A$304,0)),""))</f>
        <v/>
      </c>
      <c r="D1463" s="12" t="n"/>
      <c r="E1463" s="11" t="n"/>
      <c r="F1463" s="16">
        <f>IF(OR(D1463="",E1463=""),"",D1463*E1463)</f>
        <v/>
      </c>
      <c r="G1463" s="10" t="n"/>
      <c r="H1463" s="14">
        <f>IF(A1463="","",MONTH(A1463))</f>
        <v/>
      </c>
      <c r="I1463" s="14">
        <f>IF(A1463="","",YEAR(A1463))</f>
        <v/>
      </c>
    </row>
    <row r="1464">
      <c r="A1464" s="15" t="n"/>
      <c r="B1464" s="10" t="n"/>
      <c r="C1464" s="14">
        <f>IF(B1464="","",IFERROR(INDEX('Sản phẩm'!$B$5:$B$304,MATCH(B1464,'Sản phẩm'!$A$5:$A$304,0)),""))</f>
        <v/>
      </c>
      <c r="D1464" s="12" t="n"/>
      <c r="E1464" s="11" t="n"/>
      <c r="F1464" s="16">
        <f>IF(OR(D1464="",E1464=""),"",D1464*E1464)</f>
        <v/>
      </c>
      <c r="G1464" s="10" t="n"/>
      <c r="H1464" s="14">
        <f>IF(A1464="","",MONTH(A1464))</f>
        <v/>
      </c>
      <c r="I1464" s="14">
        <f>IF(A1464="","",YEAR(A1464))</f>
        <v/>
      </c>
    </row>
    <row r="1465">
      <c r="A1465" s="15" t="n"/>
      <c r="B1465" s="10" t="n"/>
      <c r="C1465" s="14">
        <f>IF(B1465="","",IFERROR(INDEX('Sản phẩm'!$B$5:$B$304,MATCH(B1465,'Sản phẩm'!$A$5:$A$304,0)),""))</f>
        <v/>
      </c>
      <c r="D1465" s="12" t="n"/>
      <c r="E1465" s="11" t="n"/>
      <c r="F1465" s="16">
        <f>IF(OR(D1465="",E1465=""),"",D1465*E1465)</f>
        <v/>
      </c>
      <c r="G1465" s="10" t="n"/>
      <c r="H1465" s="14">
        <f>IF(A1465="","",MONTH(A1465))</f>
        <v/>
      </c>
      <c r="I1465" s="14">
        <f>IF(A1465="","",YEAR(A1465))</f>
        <v/>
      </c>
    </row>
    <row r="1466">
      <c r="A1466" s="15" t="n"/>
      <c r="B1466" s="10" t="n"/>
      <c r="C1466" s="14">
        <f>IF(B1466="","",IFERROR(INDEX('Sản phẩm'!$B$5:$B$304,MATCH(B1466,'Sản phẩm'!$A$5:$A$304,0)),""))</f>
        <v/>
      </c>
      <c r="D1466" s="12" t="n"/>
      <c r="E1466" s="11" t="n"/>
      <c r="F1466" s="16">
        <f>IF(OR(D1466="",E1466=""),"",D1466*E1466)</f>
        <v/>
      </c>
      <c r="G1466" s="10" t="n"/>
      <c r="H1466" s="14">
        <f>IF(A1466="","",MONTH(A1466))</f>
        <v/>
      </c>
      <c r="I1466" s="14">
        <f>IF(A1466="","",YEAR(A1466))</f>
        <v/>
      </c>
    </row>
    <row r="1467">
      <c r="A1467" s="15" t="n"/>
      <c r="B1467" s="10" t="n"/>
      <c r="C1467" s="14">
        <f>IF(B1467="","",IFERROR(INDEX('Sản phẩm'!$B$5:$B$304,MATCH(B1467,'Sản phẩm'!$A$5:$A$304,0)),""))</f>
        <v/>
      </c>
      <c r="D1467" s="12" t="n"/>
      <c r="E1467" s="11" t="n"/>
      <c r="F1467" s="16">
        <f>IF(OR(D1467="",E1467=""),"",D1467*E1467)</f>
        <v/>
      </c>
      <c r="G1467" s="10" t="n"/>
      <c r="H1467" s="14">
        <f>IF(A1467="","",MONTH(A1467))</f>
        <v/>
      </c>
      <c r="I1467" s="14">
        <f>IF(A1467="","",YEAR(A1467))</f>
        <v/>
      </c>
    </row>
    <row r="1468">
      <c r="A1468" s="15" t="n"/>
      <c r="B1468" s="10" t="n"/>
      <c r="C1468" s="14">
        <f>IF(B1468="","",IFERROR(INDEX('Sản phẩm'!$B$5:$B$304,MATCH(B1468,'Sản phẩm'!$A$5:$A$304,0)),""))</f>
        <v/>
      </c>
      <c r="D1468" s="12" t="n"/>
      <c r="E1468" s="11" t="n"/>
      <c r="F1468" s="16">
        <f>IF(OR(D1468="",E1468=""),"",D1468*E1468)</f>
        <v/>
      </c>
      <c r="G1468" s="10" t="n"/>
      <c r="H1468" s="14">
        <f>IF(A1468="","",MONTH(A1468))</f>
        <v/>
      </c>
      <c r="I1468" s="14">
        <f>IF(A1468="","",YEAR(A1468))</f>
        <v/>
      </c>
    </row>
    <row r="1469">
      <c r="A1469" s="15" t="n"/>
      <c r="B1469" s="10" t="n"/>
      <c r="C1469" s="14">
        <f>IF(B1469="","",IFERROR(INDEX('Sản phẩm'!$B$5:$B$304,MATCH(B1469,'Sản phẩm'!$A$5:$A$304,0)),""))</f>
        <v/>
      </c>
      <c r="D1469" s="12" t="n"/>
      <c r="E1469" s="11" t="n"/>
      <c r="F1469" s="16">
        <f>IF(OR(D1469="",E1469=""),"",D1469*E1469)</f>
        <v/>
      </c>
      <c r="G1469" s="10" t="n"/>
      <c r="H1469" s="14">
        <f>IF(A1469="","",MONTH(A1469))</f>
        <v/>
      </c>
      <c r="I1469" s="14">
        <f>IF(A1469="","",YEAR(A1469))</f>
        <v/>
      </c>
    </row>
    <row r="1470">
      <c r="A1470" s="15" t="n"/>
      <c r="B1470" s="10" t="n"/>
      <c r="C1470" s="14">
        <f>IF(B1470="","",IFERROR(INDEX('Sản phẩm'!$B$5:$B$304,MATCH(B1470,'Sản phẩm'!$A$5:$A$304,0)),""))</f>
        <v/>
      </c>
      <c r="D1470" s="12" t="n"/>
      <c r="E1470" s="11" t="n"/>
      <c r="F1470" s="16">
        <f>IF(OR(D1470="",E1470=""),"",D1470*E1470)</f>
        <v/>
      </c>
      <c r="G1470" s="10" t="n"/>
      <c r="H1470" s="14">
        <f>IF(A1470="","",MONTH(A1470))</f>
        <v/>
      </c>
      <c r="I1470" s="14">
        <f>IF(A1470="","",YEAR(A1470))</f>
        <v/>
      </c>
    </row>
    <row r="1471">
      <c r="A1471" s="15" t="n"/>
      <c r="B1471" s="10" t="n"/>
      <c r="C1471" s="14">
        <f>IF(B1471="","",IFERROR(INDEX('Sản phẩm'!$B$5:$B$304,MATCH(B1471,'Sản phẩm'!$A$5:$A$304,0)),""))</f>
        <v/>
      </c>
      <c r="D1471" s="12" t="n"/>
      <c r="E1471" s="11" t="n"/>
      <c r="F1471" s="16">
        <f>IF(OR(D1471="",E1471=""),"",D1471*E1471)</f>
        <v/>
      </c>
      <c r="G1471" s="10" t="n"/>
      <c r="H1471" s="14">
        <f>IF(A1471="","",MONTH(A1471))</f>
        <v/>
      </c>
      <c r="I1471" s="14">
        <f>IF(A1471="","",YEAR(A1471))</f>
        <v/>
      </c>
    </row>
    <row r="1472">
      <c r="A1472" s="15" t="n"/>
      <c r="B1472" s="10" t="n"/>
      <c r="C1472" s="14">
        <f>IF(B1472="","",IFERROR(INDEX('Sản phẩm'!$B$5:$B$304,MATCH(B1472,'Sản phẩm'!$A$5:$A$304,0)),""))</f>
        <v/>
      </c>
      <c r="D1472" s="12" t="n"/>
      <c r="E1472" s="11" t="n"/>
      <c r="F1472" s="16">
        <f>IF(OR(D1472="",E1472=""),"",D1472*E1472)</f>
        <v/>
      </c>
      <c r="G1472" s="10" t="n"/>
      <c r="H1472" s="14">
        <f>IF(A1472="","",MONTH(A1472))</f>
        <v/>
      </c>
      <c r="I1472" s="14">
        <f>IF(A1472="","",YEAR(A1472))</f>
        <v/>
      </c>
    </row>
    <row r="1473">
      <c r="A1473" s="15" t="n"/>
      <c r="B1473" s="10" t="n"/>
      <c r="C1473" s="14">
        <f>IF(B1473="","",IFERROR(INDEX('Sản phẩm'!$B$5:$B$304,MATCH(B1473,'Sản phẩm'!$A$5:$A$304,0)),""))</f>
        <v/>
      </c>
      <c r="D1473" s="12" t="n"/>
      <c r="E1473" s="11" t="n"/>
      <c r="F1473" s="16">
        <f>IF(OR(D1473="",E1473=""),"",D1473*E1473)</f>
        <v/>
      </c>
      <c r="G1473" s="10" t="n"/>
      <c r="H1473" s="14">
        <f>IF(A1473="","",MONTH(A1473))</f>
        <v/>
      </c>
      <c r="I1473" s="14">
        <f>IF(A1473="","",YEAR(A1473))</f>
        <v/>
      </c>
    </row>
    <row r="1474">
      <c r="A1474" s="15" t="n"/>
      <c r="B1474" s="10" t="n"/>
      <c r="C1474" s="14">
        <f>IF(B1474="","",IFERROR(INDEX('Sản phẩm'!$B$5:$B$304,MATCH(B1474,'Sản phẩm'!$A$5:$A$304,0)),""))</f>
        <v/>
      </c>
      <c r="D1474" s="12" t="n"/>
      <c r="E1474" s="11" t="n"/>
      <c r="F1474" s="16">
        <f>IF(OR(D1474="",E1474=""),"",D1474*E1474)</f>
        <v/>
      </c>
      <c r="G1474" s="10" t="n"/>
      <c r="H1474" s="14">
        <f>IF(A1474="","",MONTH(A1474))</f>
        <v/>
      </c>
      <c r="I1474" s="14">
        <f>IF(A1474="","",YEAR(A1474))</f>
        <v/>
      </c>
    </row>
    <row r="1475">
      <c r="A1475" s="15" t="n"/>
      <c r="B1475" s="10" t="n"/>
      <c r="C1475" s="14">
        <f>IF(B1475="","",IFERROR(INDEX('Sản phẩm'!$B$5:$B$304,MATCH(B1475,'Sản phẩm'!$A$5:$A$304,0)),""))</f>
        <v/>
      </c>
      <c r="D1475" s="12" t="n"/>
      <c r="E1475" s="11" t="n"/>
      <c r="F1475" s="16">
        <f>IF(OR(D1475="",E1475=""),"",D1475*E1475)</f>
        <v/>
      </c>
      <c r="G1475" s="10" t="n"/>
      <c r="H1475" s="14">
        <f>IF(A1475="","",MONTH(A1475))</f>
        <v/>
      </c>
      <c r="I1475" s="14">
        <f>IF(A1475="","",YEAR(A1475))</f>
        <v/>
      </c>
    </row>
    <row r="1476">
      <c r="A1476" s="15" t="n"/>
      <c r="B1476" s="10" t="n"/>
      <c r="C1476" s="14">
        <f>IF(B1476="","",IFERROR(INDEX('Sản phẩm'!$B$5:$B$304,MATCH(B1476,'Sản phẩm'!$A$5:$A$304,0)),""))</f>
        <v/>
      </c>
      <c r="D1476" s="12" t="n"/>
      <c r="E1476" s="11" t="n"/>
      <c r="F1476" s="16">
        <f>IF(OR(D1476="",E1476=""),"",D1476*E1476)</f>
        <v/>
      </c>
      <c r="G1476" s="10" t="n"/>
      <c r="H1476" s="14">
        <f>IF(A1476="","",MONTH(A1476))</f>
        <v/>
      </c>
      <c r="I1476" s="14">
        <f>IF(A1476="","",YEAR(A1476))</f>
        <v/>
      </c>
    </row>
    <row r="1477">
      <c r="A1477" s="15" t="n"/>
      <c r="B1477" s="10" t="n"/>
      <c r="C1477" s="14">
        <f>IF(B1477="","",IFERROR(INDEX('Sản phẩm'!$B$5:$B$304,MATCH(B1477,'Sản phẩm'!$A$5:$A$304,0)),""))</f>
        <v/>
      </c>
      <c r="D1477" s="12" t="n"/>
      <c r="E1477" s="11" t="n"/>
      <c r="F1477" s="16">
        <f>IF(OR(D1477="",E1477=""),"",D1477*E1477)</f>
        <v/>
      </c>
      <c r="G1477" s="10" t="n"/>
      <c r="H1477" s="14">
        <f>IF(A1477="","",MONTH(A1477))</f>
        <v/>
      </c>
      <c r="I1477" s="14">
        <f>IF(A1477="","",YEAR(A1477))</f>
        <v/>
      </c>
    </row>
    <row r="1478">
      <c r="A1478" s="15" t="n"/>
      <c r="B1478" s="10" t="n"/>
      <c r="C1478" s="14">
        <f>IF(B1478="","",IFERROR(INDEX('Sản phẩm'!$B$5:$B$304,MATCH(B1478,'Sản phẩm'!$A$5:$A$304,0)),""))</f>
        <v/>
      </c>
      <c r="D1478" s="12" t="n"/>
      <c r="E1478" s="11" t="n"/>
      <c r="F1478" s="16">
        <f>IF(OR(D1478="",E1478=""),"",D1478*E1478)</f>
        <v/>
      </c>
      <c r="G1478" s="10" t="n"/>
      <c r="H1478" s="14">
        <f>IF(A1478="","",MONTH(A1478))</f>
        <v/>
      </c>
      <c r="I1478" s="14">
        <f>IF(A1478="","",YEAR(A1478))</f>
        <v/>
      </c>
    </row>
    <row r="1479">
      <c r="A1479" s="15" t="n"/>
      <c r="B1479" s="10" t="n"/>
      <c r="C1479" s="14">
        <f>IF(B1479="","",IFERROR(INDEX('Sản phẩm'!$B$5:$B$304,MATCH(B1479,'Sản phẩm'!$A$5:$A$304,0)),""))</f>
        <v/>
      </c>
      <c r="D1479" s="12" t="n"/>
      <c r="E1479" s="11" t="n"/>
      <c r="F1479" s="16">
        <f>IF(OR(D1479="",E1479=""),"",D1479*E1479)</f>
        <v/>
      </c>
      <c r="G1479" s="10" t="n"/>
      <c r="H1479" s="14">
        <f>IF(A1479="","",MONTH(A1479))</f>
        <v/>
      </c>
      <c r="I1479" s="14">
        <f>IF(A1479="","",YEAR(A1479))</f>
        <v/>
      </c>
    </row>
    <row r="1480">
      <c r="A1480" s="15" t="n"/>
      <c r="B1480" s="10" t="n"/>
      <c r="C1480" s="14">
        <f>IF(B1480="","",IFERROR(INDEX('Sản phẩm'!$B$5:$B$304,MATCH(B1480,'Sản phẩm'!$A$5:$A$304,0)),""))</f>
        <v/>
      </c>
      <c r="D1480" s="12" t="n"/>
      <c r="E1480" s="11" t="n"/>
      <c r="F1480" s="16">
        <f>IF(OR(D1480="",E1480=""),"",D1480*E1480)</f>
        <v/>
      </c>
      <c r="G1480" s="10" t="n"/>
      <c r="H1480" s="14">
        <f>IF(A1480="","",MONTH(A1480))</f>
        <v/>
      </c>
      <c r="I1480" s="14">
        <f>IF(A1480="","",YEAR(A1480))</f>
        <v/>
      </c>
    </row>
    <row r="1481">
      <c r="A1481" s="15" t="n"/>
      <c r="B1481" s="10" t="n"/>
      <c r="C1481" s="14">
        <f>IF(B1481="","",IFERROR(INDEX('Sản phẩm'!$B$5:$B$304,MATCH(B1481,'Sản phẩm'!$A$5:$A$304,0)),""))</f>
        <v/>
      </c>
      <c r="D1481" s="12" t="n"/>
      <c r="E1481" s="11" t="n"/>
      <c r="F1481" s="16">
        <f>IF(OR(D1481="",E1481=""),"",D1481*E1481)</f>
        <v/>
      </c>
      <c r="G1481" s="10" t="n"/>
      <c r="H1481" s="14">
        <f>IF(A1481="","",MONTH(A1481))</f>
        <v/>
      </c>
      <c r="I1481" s="14">
        <f>IF(A1481="","",YEAR(A1481))</f>
        <v/>
      </c>
    </row>
    <row r="1482">
      <c r="A1482" s="15" t="n"/>
      <c r="B1482" s="10" t="n"/>
      <c r="C1482" s="14">
        <f>IF(B1482="","",IFERROR(INDEX('Sản phẩm'!$B$5:$B$304,MATCH(B1482,'Sản phẩm'!$A$5:$A$304,0)),""))</f>
        <v/>
      </c>
      <c r="D1482" s="12" t="n"/>
      <c r="E1482" s="11" t="n"/>
      <c r="F1482" s="16">
        <f>IF(OR(D1482="",E1482=""),"",D1482*E1482)</f>
        <v/>
      </c>
      <c r="G1482" s="10" t="n"/>
      <c r="H1482" s="14">
        <f>IF(A1482="","",MONTH(A1482))</f>
        <v/>
      </c>
      <c r="I1482" s="14">
        <f>IF(A1482="","",YEAR(A1482))</f>
        <v/>
      </c>
    </row>
    <row r="1483">
      <c r="A1483" s="15" t="n"/>
      <c r="B1483" s="10" t="n"/>
      <c r="C1483" s="14">
        <f>IF(B1483="","",IFERROR(INDEX('Sản phẩm'!$B$5:$B$304,MATCH(B1483,'Sản phẩm'!$A$5:$A$304,0)),""))</f>
        <v/>
      </c>
      <c r="D1483" s="12" t="n"/>
      <c r="E1483" s="11" t="n"/>
      <c r="F1483" s="16">
        <f>IF(OR(D1483="",E1483=""),"",D1483*E1483)</f>
        <v/>
      </c>
      <c r="G1483" s="10" t="n"/>
      <c r="H1483" s="14">
        <f>IF(A1483="","",MONTH(A1483))</f>
        <v/>
      </c>
      <c r="I1483" s="14">
        <f>IF(A1483="","",YEAR(A1483))</f>
        <v/>
      </c>
    </row>
    <row r="1484">
      <c r="A1484" s="15" t="n"/>
      <c r="B1484" s="10" t="n"/>
      <c r="C1484" s="14">
        <f>IF(B1484="","",IFERROR(INDEX('Sản phẩm'!$B$5:$B$304,MATCH(B1484,'Sản phẩm'!$A$5:$A$304,0)),""))</f>
        <v/>
      </c>
      <c r="D1484" s="12" t="n"/>
      <c r="E1484" s="11" t="n"/>
      <c r="F1484" s="16">
        <f>IF(OR(D1484="",E1484=""),"",D1484*E1484)</f>
        <v/>
      </c>
      <c r="G1484" s="10" t="n"/>
      <c r="H1484" s="14">
        <f>IF(A1484="","",MONTH(A1484))</f>
        <v/>
      </c>
      <c r="I1484" s="14">
        <f>IF(A1484="","",YEAR(A1484))</f>
        <v/>
      </c>
    </row>
    <row r="1485">
      <c r="A1485" s="15" t="n"/>
      <c r="B1485" s="10" t="n"/>
      <c r="C1485" s="14">
        <f>IF(B1485="","",IFERROR(INDEX('Sản phẩm'!$B$5:$B$304,MATCH(B1485,'Sản phẩm'!$A$5:$A$304,0)),""))</f>
        <v/>
      </c>
      <c r="D1485" s="12" t="n"/>
      <c r="E1485" s="11" t="n"/>
      <c r="F1485" s="16">
        <f>IF(OR(D1485="",E1485=""),"",D1485*E1485)</f>
        <v/>
      </c>
      <c r="G1485" s="10" t="n"/>
      <c r="H1485" s="14">
        <f>IF(A1485="","",MONTH(A1485))</f>
        <v/>
      </c>
      <c r="I1485" s="14">
        <f>IF(A1485="","",YEAR(A1485))</f>
        <v/>
      </c>
    </row>
    <row r="1486">
      <c r="A1486" s="15" t="n"/>
      <c r="B1486" s="10" t="n"/>
      <c r="C1486" s="14">
        <f>IF(B1486="","",IFERROR(INDEX('Sản phẩm'!$B$5:$B$304,MATCH(B1486,'Sản phẩm'!$A$5:$A$304,0)),""))</f>
        <v/>
      </c>
      <c r="D1486" s="12" t="n"/>
      <c r="E1486" s="11" t="n"/>
      <c r="F1486" s="16">
        <f>IF(OR(D1486="",E1486=""),"",D1486*E1486)</f>
        <v/>
      </c>
      <c r="G1486" s="10" t="n"/>
      <c r="H1486" s="14">
        <f>IF(A1486="","",MONTH(A1486))</f>
        <v/>
      </c>
      <c r="I1486" s="14">
        <f>IF(A1486="","",YEAR(A1486))</f>
        <v/>
      </c>
    </row>
    <row r="1487">
      <c r="A1487" s="15" t="n"/>
      <c r="B1487" s="10" t="n"/>
      <c r="C1487" s="14">
        <f>IF(B1487="","",IFERROR(INDEX('Sản phẩm'!$B$5:$B$304,MATCH(B1487,'Sản phẩm'!$A$5:$A$304,0)),""))</f>
        <v/>
      </c>
      <c r="D1487" s="12" t="n"/>
      <c r="E1487" s="11" t="n"/>
      <c r="F1487" s="16">
        <f>IF(OR(D1487="",E1487=""),"",D1487*E1487)</f>
        <v/>
      </c>
      <c r="G1487" s="10" t="n"/>
      <c r="H1487" s="14">
        <f>IF(A1487="","",MONTH(A1487))</f>
        <v/>
      </c>
      <c r="I1487" s="14">
        <f>IF(A1487="","",YEAR(A1487))</f>
        <v/>
      </c>
    </row>
    <row r="1488">
      <c r="A1488" s="15" t="n"/>
      <c r="B1488" s="10" t="n"/>
      <c r="C1488" s="14">
        <f>IF(B1488="","",IFERROR(INDEX('Sản phẩm'!$B$5:$B$304,MATCH(B1488,'Sản phẩm'!$A$5:$A$304,0)),""))</f>
        <v/>
      </c>
      <c r="D1488" s="12" t="n"/>
      <c r="E1488" s="11" t="n"/>
      <c r="F1488" s="16">
        <f>IF(OR(D1488="",E1488=""),"",D1488*E1488)</f>
        <v/>
      </c>
      <c r="G1488" s="10" t="n"/>
      <c r="H1488" s="14">
        <f>IF(A1488="","",MONTH(A1488))</f>
        <v/>
      </c>
      <c r="I1488" s="14">
        <f>IF(A1488="","",YEAR(A1488))</f>
        <v/>
      </c>
    </row>
    <row r="1489">
      <c r="A1489" s="15" t="n"/>
      <c r="B1489" s="10" t="n"/>
      <c r="C1489" s="14">
        <f>IF(B1489="","",IFERROR(INDEX('Sản phẩm'!$B$5:$B$304,MATCH(B1489,'Sản phẩm'!$A$5:$A$304,0)),""))</f>
        <v/>
      </c>
      <c r="D1489" s="12" t="n"/>
      <c r="E1489" s="11" t="n"/>
      <c r="F1489" s="16">
        <f>IF(OR(D1489="",E1489=""),"",D1489*E1489)</f>
        <v/>
      </c>
      <c r="G1489" s="10" t="n"/>
      <c r="H1489" s="14">
        <f>IF(A1489="","",MONTH(A1489))</f>
        <v/>
      </c>
      <c r="I1489" s="14">
        <f>IF(A1489="","",YEAR(A1489))</f>
        <v/>
      </c>
    </row>
    <row r="1490">
      <c r="A1490" s="15" t="n"/>
      <c r="B1490" s="10" t="n"/>
      <c r="C1490" s="14">
        <f>IF(B1490="","",IFERROR(INDEX('Sản phẩm'!$B$5:$B$304,MATCH(B1490,'Sản phẩm'!$A$5:$A$304,0)),""))</f>
        <v/>
      </c>
      <c r="D1490" s="12" t="n"/>
      <c r="E1490" s="11" t="n"/>
      <c r="F1490" s="16">
        <f>IF(OR(D1490="",E1490=""),"",D1490*E1490)</f>
        <v/>
      </c>
      <c r="G1490" s="10" t="n"/>
      <c r="H1490" s="14">
        <f>IF(A1490="","",MONTH(A1490))</f>
        <v/>
      </c>
      <c r="I1490" s="14">
        <f>IF(A1490="","",YEAR(A1490))</f>
        <v/>
      </c>
    </row>
    <row r="1491">
      <c r="A1491" s="15" t="n"/>
      <c r="B1491" s="10" t="n"/>
      <c r="C1491" s="14">
        <f>IF(B1491="","",IFERROR(INDEX('Sản phẩm'!$B$5:$B$304,MATCH(B1491,'Sản phẩm'!$A$5:$A$304,0)),""))</f>
        <v/>
      </c>
      <c r="D1491" s="12" t="n"/>
      <c r="E1491" s="11" t="n"/>
      <c r="F1491" s="16">
        <f>IF(OR(D1491="",E1491=""),"",D1491*E1491)</f>
        <v/>
      </c>
      <c r="G1491" s="10" t="n"/>
      <c r="H1491" s="14">
        <f>IF(A1491="","",MONTH(A1491))</f>
        <v/>
      </c>
      <c r="I1491" s="14">
        <f>IF(A1491="","",YEAR(A1491))</f>
        <v/>
      </c>
    </row>
    <row r="1492">
      <c r="A1492" s="15" t="n"/>
      <c r="B1492" s="10" t="n"/>
      <c r="C1492" s="14">
        <f>IF(B1492="","",IFERROR(INDEX('Sản phẩm'!$B$5:$B$304,MATCH(B1492,'Sản phẩm'!$A$5:$A$304,0)),""))</f>
        <v/>
      </c>
      <c r="D1492" s="12" t="n"/>
      <c r="E1492" s="11" t="n"/>
      <c r="F1492" s="16">
        <f>IF(OR(D1492="",E1492=""),"",D1492*E1492)</f>
        <v/>
      </c>
      <c r="G1492" s="10" t="n"/>
      <c r="H1492" s="14">
        <f>IF(A1492="","",MONTH(A1492))</f>
        <v/>
      </c>
      <c r="I1492" s="14">
        <f>IF(A1492="","",YEAR(A1492))</f>
        <v/>
      </c>
    </row>
    <row r="1493">
      <c r="A1493" s="15" t="n"/>
      <c r="B1493" s="10" t="n"/>
      <c r="C1493" s="14">
        <f>IF(B1493="","",IFERROR(INDEX('Sản phẩm'!$B$5:$B$304,MATCH(B1493,'Sản phẩm'!$A$5:$A$304,0)),""))</f>
        <v/>
      </c>
      <c r="D1493" s="12" t="n"/>
      <c r="E1493" s="11" t="n"/>
      <c r="F1493" s="16">
        <f>IF(OR(D1493="",E1493=""),"",D1493*E1493)</f>
        <v/>
      </c>
      <c r="G1493" s="10" t="n"/>
      <c r="H1493" s="14">
        <f>IF(A1493="","",MONTH(A1493))</f>
        <v/>
      </c>
      <c r="I1493" s="14">
        <f>IF(A1493="","",YEAR(A1493))</f>
        <v/>
      </c>
    </row>
    <row r="1494">
      <c r="A1494" s="15" t="n"/>
      <c r="B1494" s="10" t="n"/>
      <c r="C1494" s="14">
        <f>IF(B1494="","",IFERROR(INDEX('Sản phẩm'!$B$5:$B$304,MATCH(B1494,'Sản phẩm'!$A$5:$A$304,0)),""))</f>
        <v/>
      </c>
      <c r="D1494" s="12" t="n"/>
      <c r="E1494" s="11" t="n"/>
      <c r="F1494" s="16">
        <f>IF(OR(D1494="",E1494=""),"",D1494*E1494)</f>
        <v/>
      </c>
      <c r="G1494" s="10" t="n"/>
      <c r="H1494" s="14">
        <f>IF(A1494="","",MONTH(A1494))</f>
        <v/>
      </c>
      <c r="I1494" s="14">
        <f>IF(A1494="","",YEAR(A1494))</f>
        <v/>
      </c>
    </row>
    <row r="1495">
      <c r="A1495" s="15" t="n"/>
      <c r="B1495" s="10" t="n"/>
      <c r="C1495" s="14">
        <f>IF(B1495="","",IFERROR(INDEX('Sản phẩm'!$B$5:$B$304,MATCH(B1495,'Sản phẩm'!$A$5:$A$304,0)),""))</f>
        <v/>
      </c>
      <c r="D1495" s="12" t="n"/>
      <c r="E1495" s="11" t="n"/>
      <c r="F1495" s="16">
        <f>IF(OR(D1495="",E1495=""),"",D1495*E1495)</f>
        <v/>
      </c>
      <c r="G1495" s="10" t="n"/>
      <c r="H1495" s="14">
        <f>IF(A1495="","",MONTH(A1495))</f>
        <v/>
      </c>
      <c r="I1495" s="14">
        <f>IF(A1495="","",YEAR(A1495))</f>
        <v/>
      </c>
    </row>
    <row r="1496">
      <c r="A1496" s="15" t="n"/>
      <c r="B1496" s="10" t="n"/>
      <c r="C1496" s="14">
        <f>IF(B1496="","",IFERROR(INDEX('Sản phẩm'!$B$5:$B$304,MATCH(B1496,'Sản phẩm'!$A$5:$A$304,0)),""))</f>
        <v/>
      </c>
      <c r="D1496" s="12" t="n"/>
      <c r="E1496" s="11" t="n"/>
      <c r="F1496" s="16">
        <f>IF(OR(D1496="",E1496=""),"",D1496*E1496)</f>
        <v/>
      </c>
      <c r="G1496" s="10" t="n"/>
      <c r="H1496" s="14">
        <f>IF(A1496="","",MONTH(A1496))</f>
        <v/>
      </c>
      <c r="I1496" s="14">
        <f>IF(A1496="","",YEAR(A1496))</f>
        <v/>
      </c>
    </row>
    <row r="1497">
      <c r="A1497" s="15" t="n"/>
      <c r="B1497" s="10" t="n"/>
      <c r="C1497" s="14">
        <f>IF(B1497="","",IFERROR(INDEX('Sản phẩm'!$B$5:$B$304,MATCH(B1497,'Sản phẩm'!$A$5:$A$304,0)),""))</f>
        <v/>
      </c>
      <c r="D1497" s="12" t="n"/>
      <c r="E1497" s="11" t="n"/>
      <c r="F1497" s="16">
        <f>IF(OR(D1497="",E1497=""),"",D1497*E1497)</f>
        <v/>
      </c>
      <c r="G1497" s="10" t="n"/>
      <c r="H1497" s="14">
        <f>IF(A1497="","",MONTH(A1497))</f>
        <v/>
      </c>
      <c r="I1497" s="14">
        <f>IF(A1497="","",YEAR(A1497))</f>
        <v/>
      </c>
    </row>
    <row r="1498">
      <c r="A1498" s="15" t="n"/>
      <c r="B1498" s="10" t="n"/>
      <c r="C1498" s="14">
        <f>IF(B1498="","",IFERROR(INDEX('Sản phẩm'!$B$5:$B$304,MATCH(B1498,'Sản phẩm'!$A$5:$A$304,0)),""))</f>
        <v/>
      </c>
      <c r="D1498" s="12" t="n"/>
      <c r="E1498" s="11" t="n"/>
      <c r="F1498" s="16">
        <f>IF(OR(D1498="",E1498=""),"",D1498*E1498)</f>
        <v/>
      </c>
      <c r="G1498" s="10" t="n"/>
      <c r="H1498" s="14">
        <f>IF(A1498="","",MONTH(A1498))</f>
        <v/>
      </c>
      <c r="I1498" s="14">
        <f>IF(A1498="","",YEAR(A1498))</f>
        <v/>
      </c>
    </row>
    <row r="1499">
      <c r="A1499" s="15" t="n"/>
      <c r="B1499" s="10" t="n"/>
      <c r="C1499" s="14">
        <f>IF(B1499="","",IFERROR(INDEX('Sản phẩm'!$B$5:$B$304,MATCH(B1499,'Sản phẩm'!$A$5:$A$304,0)),""))</f>
        <v/>
      </c>
      <c r="D1499" s="12" t="n"/>
      <c r="E1499" s="11" t="n"/>
      <c r="F1499" s="16">
        <f>IF(OR(D1499="",E1499=""),"",D1499*E1499)</f>
        <v/>
      </c>
      <c r="G1499" s="10" t="n"/>
      <c r="H1499" s="14">
        <f>IF(A1499="","",MONTH(A1499))</f>
        <v/>
      </c>
      <c r="I1499" s="14">
        <f>IF(A1499="","",YEAR(A1499))</f>
        <v/>
      </c>
    </row>
    <row r="1500">
      <c r="A1500" s="15" t="n"/>
      <c r="B1500" s="10" t="n"/>
      <c r="C1500" s="14">
        <f>IF(B1500="","",IFERROR(INDEX('Sản phẩm'!$B$5:$B$304,MATCH(B1500,'Sản phẩm'!$A$5:$A$304,0)),""))</f>
        <v/>
      </c>
      <c r="D1500" s="12" t="n"/>
      <c r="E1500" s="11" t="n"/>
      <c r="F1500" s="16">
        <f>IF(OR(D1500="",E1500=""),"",D1500*E1500)</f>
        <v/>
      </c>
      <c r="G1500" s="10" t="n"/>
      <c r="H1500" s="14">
        <f>IF(A1500="","",MONTH(A1500))</f>
        <v/>
      </c>
      <c r="I1500" s="14">
        <f>IF(A1500="","",YEAR(A1500))</f>
        <v/>
      </c>
    </row>
    <row r="1501">
      <c r="A1501" s="15" t="n"/>
      <c r="B1501" s="10" t="n"/>
      <c r="C1501" s="14">
        <f>IF(B1501="","",IFERROR(INDEX('Sản phẩm'!$B$5:$B$304,MATCH(B1501,'Sản phẩm'!$A$5:$A$304,0)),""))</f>
        <v/>
      </c>
      <c r="D1501" s="12" t="n"/>
      <c r="E1501" s="11" t="n"/>
      <c r="F1501" s="16">
        <f>IF(OR(D1501="",E1501=""),"",D1501*E1501)</f>
        <v/>
      </c>
      <c r="G1501" s="10" t="n"/>
      <c r="H1501" s="14">
        <f>IF(A1501="","",MONTH(A1501))</f>
        <v/>
      </c>
      <c r="I1501" s="14">
        <f>IF(A1501="","",YEAR(A1501))</f>
        <v/>
      </c>
    </row>
    <row r="1502">
      <c r="A1502" s="15" t="n"/>
      <c r="B1502" s="10" t="n"/>
      <c r="C1502" s="14">
        <f>IF(B1502="","",IFERROR(INDEX('Sản phẩm'!$B$5:$B$304,MATCH(B1502,'Sản phẩm'!$A$5:$A$304,0)),""))</f>
        <v/>
      </c>
      <c r="D1502" s="12" t="n"/>
      <c r="E1502" s="11" t="n"/>
      <c r="F1502" s="16">
        <f>IF(OR(D1502="",E1502=""),"",D1502*E1502)</f>
        <v/>
      </c>
      <c r="G1502" s="10" t="n"/>
      <c r="H1502" s="14">
        <f>IF(A1502="","",MONTH(A1502))</f>
        <v/>
      </c>
      <c r="I1502" s="14">
        <f>IF(A1502="","",YEAR(A1502))</f>
        <v/>
      </c>
    </row>
    <row r="1503">
      <c r="A1503" s="15" t="n"/>
      <c r="B1503" s="10" t="n"/>
      <c r="C1503" s="14">
        <f>IF(B1503="","",IFERROR(INDEX('Sản phẩm'!$B$5:$B$304,MATCH(B1503,'Sản phẩm'!$A$5:$A$304,0)),""))</f>
        <v/>
      </c>
      <c r="D1503" s="12" t="n"/>
      <c r="E1503" s="11" t="n"/>
      <c r="F1503" s="16">
        <f>IF(OR(D1503="",E1503=""),"",D1503*E1503)</f>
        <v/>
      </c>
      <c r="G1503" s="10" t="n"/>
      <c r="H1503" s="14">
        <f>IF(A1503="","",MONTH(A1503))</f>
        <v/>
      </c>
      <c r="I1503" s="14">
        <f>IF(A1503="","",YEAR(A1503))</f>
        <v/>
      </c>
    </row>
    <row r="1504">
      <c r="A1504" s="15" t="n"/>
      <c r="B1504" s="10" t="n"/>
      <c r="C1504" s="14">
        <f>IF(B1504="","",IFERROR(INDEX('Sản phẩm'!$B$5:$B$304,MATCH(B1504,'Sản phẩm'!$A$5:$A$304,0)),""))</f>
        <v/>
      </c>
      <c r="D1504" s="12" t="n"/>
      <c r="E1504" s="11" t="n"/>
      <c r="F1504" s="16">
        <f>IF(OR(D1504="",E1504=""),"",D1504*E1504)</f>
        <v/>
      </c>
      <c r="G1504" s="10" t="n"/>
      <c r="H1504" s="14">
        <f>IF(A1504="","",MONTH(A1504))</f>
        <v/>
      </c>
      <c r="I1504" s="14">
        <f>IF(A1504="","",YEAR(A1504))</f>
        <v/>
      </c>
    </row>
    <row r="1505">
      <c r="A1505" s="15" t="n"/>
      <c r="B1505" s="10" t="n"/>
      <c r="C1505" s="14">
        <f>IF(B1505="","",IFERROR(INDEX('Sản phẩm'!$B$5:$B$304,MATCH(B1505,'Sản phẩm'!$A$5:$A$304,0)),""))</f>
        <v/>
      </c>
      <c r="D1505" s="12" t="n"/>
      <c r="E1505" s="11" t="n"/>
      <c r="F1505" s="16">
        <f>IF(OR(D1505="",E1505=""),"",D1505*E1505)</f>
        <v/>
      </c>
      <c r="G1505" s="10" t="n"/>
      <c r="H1505" s="14">
        <f>IF(A1505="","",MONTH(A1505))</f>
        <v/>
      </c>
      <c r="I1505" s="14">
        <f>IF(A1505="","",YEAR(A1505))</f>
        <v/>
      </c>
    </row>
    <row r="1506">
      <c r="A1506" s="15" t="n"/>
      <c r="B1506" s="10" t="n"/>
      <c r="C1506" s="14">
        <f>IF(B1506="","",IFERROR(INDEX('Sản phẩm'!$B$5:$B$304,MATCH(B1506,'Sản phẩm'!$A$5:$A$304,0)),""))</f>
        <v/>
      </c>
      <c r="D1506" s="12" t="n"/>
      <c r="E1506" s="11" t="n"/>
      <c r="F1506" s="16">
        <f>IF(OR(D1506="",E1506=""),"",D1506*E1506)</f>
        <v/>
      </c>
      <c r="G1506" s="10" t="n"/>
      <c r="H1506" s="14">
        <f>IF(A1506="","",MONTH(A1506))</f>
        <v/>
      </c>
      <c r="I1506" s="14">
        <f>IF(A1506="","",YEAR(A1506))</f>
        <v/>
      </c>
    </row>
    <row r="1507">
      <c r="A1507" s="15" t="n"/>
      <c r="B1507" s="10" t="n"/>
      <c r="C1507" s="14">
        <f>IF(B1507="","",IFERROR(INDEX('Sản phẩm'!$B$5:$B$304,MATCH(B1507,'Sản phẩm'!$A$5:$A$304,0)),""))</f>
        <v/>
      </c>
      <c r="D1507" s="12" t="n"/>
      <c r="E1507" s="11" t="n"/>
      <c r="F1507" s="16">
        <f>IF(OR(D1507="",E1507=""),"",D1507*E1507)</f>
        <v/>
      </c>
      <c r="G1507" s="10" t="n"/>
      <c r="H1507" s="14">
        <f>IF(A1507="","",MONTH(A1507))</f>
        <v/>
      </c>
      <c r="I1507" s="14">
        <f>IF(A1507="","",YEAR(A1507))</f>
        <v/>
      </c>
    </row>
    <row r="1508">
      <c r="A1508" s="15" t="n"/>
      <c r="B1508" s="10" t="n"/>
      <c r="C1508" s="14">
        <f>IF(B1508="","",IFERROR(INDEX('Sản phẩm'!$B$5:$B$304,MATCH(B1508,'Sản phẩm'!$A$5:$A$304,0)),""))</f>
        <v/>
      </c>
      <c r="D1508" s="12" t="n"/>
      <c r="E1508" s="11" t="n"/>
      <c r="F1508" s="16">
        <f>IF(OR(D1508="",E1508=""),"",D1508*E1508)</f>
        <v/>
      </c>
      <c r="G1508" s="10" t="n"/>
      <c r="H1508" s="14">
        <f>IF(A1508="","",MONTH(A1508))</f>
        <v/>
      </c>
      <c r="I1508" s="14">
        <f>IF(A1508="","",YEAR(A1508))</f>
        <v/>
      </c>
    </row>
    <row r="1509">
      <c r="A1509" s="15" t="n"/>
      <c r="B1509" s="10" t="n"/>
      <c r="C1509" s="14">
        <f>IF(B1509="","",IFERROR(INDEX('Sản phẩm'!$B$5:$B$304,MATCH(B1509,'Sản phẩm'!$A$5:$A$304,0)),""))</f>
        <v/>
      </c>
      <c r="D1509" s="12" t="n"/>
      <c r="E1509" s="11" t="n"/>
      <c r="F1509" s="16">
        <f>IF(OR(D1509="",E1509=""),"",D1509*E1509)</f>
        <v/>
      </c>
      <c r="G1509" s="10" t="n"/>
      <c r="H1509" s="14">
        <f>IF(A1509="","",MONTH(A1509))</f>
        <v/>
      </c>
      <c r="I1509" s="14">
        <f>IF(A1509="","",YEAR(A1509))</f>
        <v/>
      </c>
    </row>
    <row r="1510">
      <c r="A1510" s="15" t="n"/>
      <c r="B1510" s="10" t="n"/>
      <c r="C1510" s="14">
        <f>IF(B1510="","",IFERROR(INDEX('Sản phẩm'!$B$5:$B$304,MATCH(B1510,'Sản phẩm'!$A$5:$A$304,0)),""))</f>
        <v/>
      </c>
      <c r="D1510" s="12" t="n"/>
      <c r="E1510" s="11" t="n"/>
      <c r="F1510" s="16">
        <f>IF(OR(D1510="",E1510=""),"",D1510*E1510)</f>
        <v/>
      </c>
      <c r="G1510" s="10" t="n"/>
      <c r="H1510" s="14">
        <f>IF(A1510="","",MONTH(A1510))</f>
        <v/>
      </c>
      <c r="I1510" s="14">
        <f>IF(A1510="","",YEAR(A1510))</f>
        <v/>
      </c>
    </row>
    <row r="1511">
      <c r="A1511" s="15" t="n"/>
      <c r="B1511" s="10" t="n"/>
      <c r="C1511" s="14">
        <f>IF(B1511="","",IFERROR(INDEX('Sản phẩm'!$B$5:$B$304,MATCH(B1511,'Sản phẩm'!$A$5:$A$304,0)),""))</f>
        <v/>
      </c>
      <c r="D1511" s="12" t="n"/>
      <c r="E1511" s="11" t="n"/>
      <c r="F1511" s="16">
        <f>IF(OR(D1511="",E1511=""),"",D1511*E1511)</f>
        <v/>
      </c>
      <c r="G1511" s="10" t="n"/>
      <c r="H1511" s="14">
        <f>IF(A1511="","",MONTH(A1511))</f>
        <v/>
      </c>
      <c r="I1511" s="14">
        <f>IF(A1511="","",YEAR(A1511))</f>
        <v/>
      </c>
    </row>
    <row r="1512">
      <c r="A1512" s="15" t="n"/>
      <c r="B1512" s="10" t="n"/>
      <c r="C1512" s="14">
        <f>IF(B1512="","",IFERROR(INDEX('Sản phẩm'!$B$5:$B$304,MATCH(B1512,'Sản phẩm'!$A$5:$A$304,0)),""))</f>
        <v/>
      </c>
      <c r="D1512" s="12" t="n"/>
      <c r="E1512" s="11" t="n"/>
      <c r="F1512" s="16">
        <f>IF(OR(D1512="",E1512=""),"",D1512*E1512)</f>
        <v/>
      </c>
      <c r="G1512" s="10" t="n"/>
      <c r="H1512" s="14">
        <f>IF(A1512="","",MONTH(A1512))</f>
        <v/>
      </c>
      <c r="I1512" s="14">
        <f>IF(A1512="","",YEAR(A1512))</f>
        <v/>
      </c>
    </row>
    <row r="1513">
      <c r="A1513" s="15" t="n"/>
      <c r="B1513" s="10" t="n"/>
      <c r="C1513" s="14">
        <f>IF(B1513="","",IFERROR(INDEX('Sản phẩm'!$B$5:$B$304,MATCH(B1513,'Sản phẩm'!$A$5:$A$304,0)),""))</f>
        <v/>
      </c>
      <c r="D1513" s="12" t="n"/>
      <c r="E1513" s="11" t="n"/>
      <c r="F1513" s="16">
        <f>IF(OR(D1513="",E1513=""),"",D1513*E1513)</f>
        <v/>
      </c>
      <c r="G1513" s="10" t="n"/>
      <c r="H1513" s="14">
        <f>IF(A1513="","",MONTH(A1513))</f>
        <v/>
      </c>
      <c r="I1513" s="14">
        <f>IF(A1513="","",YEAR(A1513))</f>
        <v/>
      </c>
    </row>
    <row r="1514">
      <c r="A1514" s="15" t="n"/>
      <c r="B1514" s="10" t="n"/>
      <c r="C1514" s="14">
        <f>IF(B1514="","",IFERROR(INDEX('Sản phẩm'!$B$5:$B$304,MATCH(B1514,'Sản phẩm'!$A$5:$A$304,0)),""))</f>
        <v/>
      </c>
      <c r="D1514" s="12" t="n"/>
      <c r="E1514" s="11" t="n"/>
      <c r="F1514" s="16">
        <f>IF(OR(D1514="",E1514=""),"",D1514*E1514)</f>
        <v/>
      </c>
      <c r="G1514" s="10" t="n"/>
      <c r="H1514" s="14">
        <f>IF(A1514="","",MONTH(A1514))</f>
        <v/>
      </c>
      <c r="I1514" s="14">
        <f>IF(A1514="","",YEAR(A1514))</f>
        <v/>
      </c>
    </row>
    <row r="1515">
      <c r="A1515" s="15" t="n"/>
      <c r="B1515" s="10" t="n"/>
      <c r="C1515" s="14">
        <f>IF(B1515="","",IFERROR(INDEX('Sản phẩm'!$B$5:$B$304,MATCH(B1515,'Sản phẩm'!$A$5:$A$304,0)),""))</f>
        <v/>
      </c>
      <c r="D1515" s="12" t="n"/>
      <c r="E1515" s="11" t="n"/>
      <c r="F1515" s="16">
        <f>IF(OR(D1515="",E1515=""),"",D1515*E1515)</f>
        <v/>
      </c>
      <c r="G1515" s="10" t="n"/>
      <c r="H1515" s="14">
        <f>IF(A1515="","",MONTH(A1515))</f>
        <v/>
      </c>
      <c r="I1515" s="14">
        <f>IF(A1515="","",YEAR(A1515))</f>
        <v/>
      </c>
    </row>
    <row r="1516">
      <c r="A1516" s="15" t="n"/>
      <c r="B1516" s="10" t="n"/>
      <c r="C1516" s="14">
        <f>IF(B1516="","",IFERROR(INDEX('Sản phẩm'!$B$5:$B$304,MATCH(B1516,'Sản phẩm'!$A$5:$A$304,0)),""))</f>
        <v/>
      </c>
      <c r="D1516" s="12" t="n"/>
      <c r="E1516" s="11" t="n"/>
      <c r="F1516" s="16">
        <f>IF(OR(D1516="",E1516=""),"",D1516*E1516)</f>
        <v/>
      </c>
      <c r="G1516" s="10" t="n"/>
      <c r="H1516" s="14">
        <f>IF(A1516="","",MONTH(A1516))</f>
        <v/>
      </c>
      <c r="I1516" s="14">
        <f>IF(A1516="","",YEAR(A1516))</f>
        <v/>
      </c>
    </row>
    <row r="1517">
      <c r="A1517" s="15" t="n"/>
      <c r="B1517" s="10" t="n"/>
      <c r="C1517" s="14">
        <f>IF(B1517="","",IFERROR(INDEX('Sản phẩm'!$B$5:$B$304,MATCH(B1517,'Sản phẩm'!$A$5:$A$304,0)),""))</f>
        <v/>
      </c>
      <c r="D1517" s="12" t="n"/>
      <c r="E1517" s="11" t="n"/>
      <c r="F1517" s="16">
        <f>IF(OR(D1517="",E1517=""),"",D1517*E1517)</f>
        <v/>
      </c>
      <c r="G1517" s="10" t="n"/>
      <c r="H1517" s="14">
        <f>IF(A1517="","",MONTH(A1517))</f>
        <v/>
      </c>
      <c r="I1517" s="14">
        <f>IF(A1517="","",YEAR(A1517))</f>
        <v/>
      </c>
    </row>
    <row r="1518">
      <c r="A1518" s="15" t="n"/>
      <c r="B1518" s="10" t="n"/>
      <c r="C1518" s="14">
        <f>IF(B1518="","",IFERROR(INDEX('Sản phẩm'!$B$5:$B$304,MATCH(B1518,'Sản phẩm'!$A$5:$A$304,0)),""))</f>
        <v/>
      </c>
      <c r="D1518" s="12" t="n"/>
      <c r="E1518" s="11" t="n"/>
      <c r="F1518" s="16">
        <f>IF(OR(D1518="",E1518=""),"",D1518*E1518)</f>
        <v/>
      </c>
      <c r="G1518" s="10" t="n"/>
      <c r="H1518" s="14">
        <f>IF(A1518="","",MONTH(A1518))</f>
        <v/>
      </c>
      <c r="I1518" s="14">
        <f>IF(A1518="","",YEAR(A1518))</f>
        <v/>
      </c>
    </row>
    <row r="1519">
      <c r="A1519" s="15" t="n"/>
      <c r="B1519" s="10" t="n"/>
      <c r="C1519" s="14">
        <f>IF(B1519="","",IFERROR(INDEX('Sản phẩm'!$B$5:$B$304,MATCH(B1519,'Sản phẩm'!$A$5:$A$304,0)),""))</f>
        <v/>
      </c>
      <c r="D1519" s="12" t="n"/>
      <c r="E1519" s="11" t="n"/>
      <c r="F1519" s="16">
        <f>IF(OR(D1519="",E1519=""),"",D1519*E1519)</f>
        <v/>
      </c>
      <c r="G1519" s="10" t="n"/>
      <c r="H1519" s="14">
        <f>IF(A1519="","",MONTH(A1519))</f>
        <v/>
      </c>
      <c r="I1519" s="14">
        <f>IF(A1519="","",YEAR(A1519))</f>
        <v/>
      </c>
    </row>
    <row r="1520">
      <c r="A1520" s="15" t="n"/>
      <c r="B1520" s="10" t="n"/>
      <c r="C1520" s="14">
        <f>IF(B1520="","",IFERROR(INDEX('Sản phẩm'!$B$5:$B$304,MATCH(B1520,'Sản phẩm'!$A$5:$A$304,0)),""))</f>
        <v/>
      </c>
      <c r="D1520" s="12" t="n"/>
      <c r="E1520" s="11" t="n"/>
      <c r="F1520" s="16">
        <f>IF(OR(D1520="",E1520=""),"",D1520*E1520)</f>
        <v/>
      </c>
      <c r="G1520" s="10" t="n"/>
      <c r="H1520" s="14">
        <f>IF(A1520="","",MONTH(A1520))</f>
        <v/>
      </c>
      <c r="I1520" s="14">
        <f>IF(A1520="","",YEAR(A1520))</f>
        <v/>
      </c>
    </row>
    <row r="1521">
      <c r="A1521" s="15" t="n"/>
      <c r="B1521" s="10" t="n"/>
      <c r="C1521" s="14">
        <f>IF(B1521="","",IFERROR(INDEX('Sản phẩm'!$B$5:$B$304,MATCH(B1521,'Sản phẩm'!$A$5:$A$304,0)),""))</f>
        <v/>
      </c>
      <c r="D1521" s="12" t="n"/>
      <c r="E1521" s="11" t="n"/>
      <c r="F1521" s="16">
        <f>IF(OR(D1521="",E1521=""),"",D1521*E1521)</f>
        <v/>
      </c>
      <c r="G1521" s="10" t="n"/>
      <c r="H1521" s="14">
        <f>IF(A1521="","",MONTH(A1521))</f>
        <v/>
      </c>
      <c r="I1521" s="14">
        <f>IF(A1521="","",YEAR(A1521))</f>
        <v/>
      </c>
    </row>
    <row r="1522">
      <c r="A1522" s="15" t="n"/>
      <c r="B1522" s="10" t="n"/>
      <c r="C1522" s="14">
        <f>IF(B1522="","",IFERROR(INDEX('Sản phẩm'!$B$5:$B$304,MATCH(B1522,'Sản phẩm'!$A$5:$A$304,0)),""))</f>
        <v/>
      </c>
      <c r="D1522" s="12" t="n"/>
      <c r="E1522" s="11" t="n"/>
      <c r="F1522" s="16">
        <f>IF(OR(D1522="",E1522=""),"",D1522*E1522)</f>
        <v/>
      </c>
      <c r="G1522" s="10" t="n"/>
      <c r="H1522" s="14">
        <f>IF(A1522="","",MONTH(A1522))</f>
        <v/>
      </c>
      <c r="I1522" s="14">
        <f>IF(A1522="","",YEAR(A1522))</f>
        <v/>
      </c>
    </row>
    <row r="1523">
      <c r="A1523" s="15" t="n"/>
      <c r="B1523" s="10" t="n"/>
      <c r="C1523" s="14">
        <f>IF(B1523="","",IFERROR(INDEX('Sản phẩm'!$B$5:$B$304,MATCH(B1523,'Sản phẩm'!$A$5:$A$304,0)),""))</f>
        <v/>
      </c>
      <c r="D1523" s="12" t="n"/>
      <c r="E1523" s="11" t="n"/>
      <c r="F1523" s="16">
        <f>IF(OR(D1523="",E1523=""),"",D1523*E1523)</f>
        <v/>
      </c>
      <c r="G1523" s="10" t="n"/>
      <c r="H1523" s="14">
        <f>IF(A1523="","",MONTH(A1523))</f>
        <v/>
      </c>
      <c r="I1523" s="14">
        <f>IF(A1523="","",YEAR(A1523))</f>
        <v/>
      </c>
    </row>
    <row r="1524">
      <c r="A1524" s="15" t="n"/>
      <c r="B1524" s="10" t="n"/>
      <c r="C1524" s="14">
        <f>IF(B1524="","",IFERROR(INDEX('Sản phẩm'!$B$5:$B$304,MATCH(B1524,'Sản phẩm'!$A$5:$A$304,0)),""))</f>
        <v/>
      </c>
      <c r="D1524" s="12" t="n"/>
      <c r="E1524" s="11" t="n"/>
      <c r="F1524" s="16">
        <f>IF(OR(D1524="",E1524=""),"",D1524*E1524)</f>
        <v/>
      </c>
      <c r="G1524" s="10" t="n"/>
      <c r="H1524" s="14">
        <f>IF(A1524="","",MONTH(A1524))</f>
        <v/>
      </c>
      <c r="I1524" s="14">
        <f>IF(A1524="","",YEAR(A1524))</f>
        <v/>
      </c>
    </row>
    <row r="1525">
      <c r="A1525" s="15" t="n"/>
      <c r="B1525" s="10" t="n"/>
      <c r="C1525" s="14">
        <f>IF(B1525="","",IFERROR(INDEX('Sản phẩm'!$B$5:$B$304,MATCH(B1525,'Sản phẩm'!$A$5:$A$304,0)),""))</f>
        <v/>
      </c>
      <c r="D1525" s="12" t="n"/>
      <c r="E1525" s="11" t="n"/>
      <c r="F1525" s="16">
        <f>IF(OR(D1525="",E1525=""),"",D1525*E1525)</f>
        <v/>
      </c>
      <c r="G1525" s="10" t="n"/>
      <c r="H1525" s="14">
        <f>IF(A1525="","",MONTH(A1525))</f>
        <v/>
      </c>
      <c r="I1525" s="14">
        <f>IF(A1525="","",YEAR(A1525))</f>
        <v/>
      </c>
    </row>
    <row r="1526">
      <c r="A1526" s="15" t="n"/>
      <c r="B1526" s="10" t="n"/>
      <c r="C1526" s="14">
        <f>IF(B1526="","",IFERROR(INDEX('Sản phẩm'!$B$5:$B$304,MATCH(B1526,'Sản phẩm'!$A$5:$A$304,0)),""))</f>
        <v/>
      </c>
      <c r="D1526" s="12" t="n"/>
      <c r="E1526" s="11" t="n"/>
      <c r="F1526" s="16">
        <f>IF(OR(D1526="",E1526=""),"",D1526*E1526)</f>
        <v/>
      </c>
      <c r="G1526" s="10" t="n"/>
      <c r="H1526" s="14">
        <f>IF(A1526="","",MONTH(A1526))</f>
        <v/>
      </c>
      <c r="I1526" s="14">
        <f>IF(A1526="","",YEAR(A1526))</f>
        <v/>
      </c>
    </row>
    <row r="1527">
      <c r="A1527" s="15" t="n"/>
      <c r="B1527" s="10" t="n"/>
      <c r="C1527" s="14">
        <f>IF(B1527="","",IFERROR(INDEX('Sản phẩm'!$B$5:$B$304,MATCH(B1527,'Sản phẩm'!$A$5:$A$304,0)),""))</f>
        <v/>
      </c>
      <c r="D1527" s="12" t="n"/>
      <c r="E1527" s="11" t="n"/>
      <c r="F1527" s="16">
        <f>IF(OR(D1527="",E1527=""),"",D1527*E1527)</f>
        <v/>
      </c>
      <c r="G1527" s="10" t="n"/>
      <c r="H1527" s="14">
        <f>IF(A1527="","",MONTH(A1527))</f>
        <v/>
      </c>
      <c r="I1527" s="14">
        <f>IF(A1527="","",YEAR(A1527))</f>
        <v/>
      </c>
    </row>
    <row r="1528">
      <c r="A1528" s="15" t="n"/>
      <c r="B1528" s="10" t="n"/>
      <c r="C1528" s="14">
        <f>IF(B1528="","",IFERROR(INDEX('Sản phẩm'!$B$5:$B$304,MATCH(B1528,'Sản phẩm'!$A$5:$A$304,0)),""))</f>
        <v/>
      </c>
      <c r="D1528" s="12" t="n"/>
      <c r="E1528" s="11" t="n"/>
      <c r="F1528" s="16">
        <f>IF(OR(D1528="",E1528=""),"",D1528*E1528)</f>
        <v/>
      </c>
      <c r="G1528" s="10" t="n"/>
      <c r="H1528" s="14">
        <f>IF(A1528="","",MONTH(A1528))</f>
        <v/>
      </c>
      <c r="I1528" s="14">
        <f>IF(A1528="","",YEAR(A1528))</f>
        <v/>
      </c>
    </row>
    <row r="1529">
      <c r="A1529" s="15" t="n"/>
      <c r="B1529" s="10" t="n"/>
      <c r="C1529" s="14">
        <f>IF(B1529="","",IFERROR(INDEX('Sản phẩm'!$B$5:$B$304,MATCH(B1529,'Sản phẩm'!$A$5:$A$304,0)),""))</f>
        <v/>
      </c>
      <c r="D1529" s="12" t="n"/>
      <c r="E1529" s="11" t="n"/>
      <c r="F1529" s="16">
        <f>IF(OR(D1529="",E1529=""),"",D1529*E1529)</f>
        <v/>
      </c>
      <c r="G1529" s="10" t="n"/>
      <c r="H1529" s="14">
        <f>IF(A1529="","",MONTH(A1529))</f>
        <v/>
      </c>
      <c r="I1529" s="14">
        <f>IF(A1529="","",YEAR(A1529))</f>
        <v/>
      </c>
    </row>
    <row r="1530">
      <c r="A1530" s="15" t="n"/>
      <c r="B1530" s="10" t="n"/>
      <c r="C1530" s="14">
        <f>IF(B1530="","",IFERROR(INDEX('Sản phẩm'!$B$5:$B$304,MATCH(B1530,'Sản phẩm'!$A$5:$A$304,0)),""))</f>
        <v/>
      </c>
      <c r="D1530" s="12" t="n"/>
      <c r="E1530" s="11" t="n"/>
      <c r="F1530" s="16">
        <f>IF(OR(D1530="",E1530=""),"",D1530*E1530)</f>
        <v/>
      </c>
      <c r="G1530" s="10" t="n"/>
      <c r="H1530" s="14">
        <f>IF(A1530="","",MONTH(A1530))</f>
        <v/>
      </c>
      <c r="I1530" s="14">
        <f>IF(A1530="","",YEAR(A1530))</f>
        <v/>
      </c>
    </row>
    <row r="1531">
      <c r="A1531" s="15" t="n"/>
      <c r="B1531" s="10" t="n"/>
      <c r="C1531" s="14">
        <f>IF(B1531="","",IFERROR(INDEX('Sản phẩm'!$B$5:$B$304,MATCH(B1531,'Sản phẩm'!$A$5:$A$304,0)),""))</f>
        <v/>
      </c>
      <c r="D1531" s="12" t="n"/>
      <c r="E1531" s="11" t="n"/>
      <c r="F1531" s="16">
        <f>IF(OR(D1531="",E1531=""),"",D1531*E1531)</f>
        <v/>
      </c>
      <c r="G1531" s="10" t="n"/>
      <c r="H1531" s="14">
        <f>IF(A1531="","",MONTH(A1531))</f>
        <v/>
      </c>
      <c r="I1531" s="14">
        <f>IF(A1531="","",YEAR(A1531))</f>
        <v/>
      </c>
    </row>
    <row r="1532">
      <c r="A1532" s="15" t="n"/>
      <c r="B1532" s="10" t="n"/>
      <c r="C1532" s="14">
        <f>IF(B1532="","",IFERROR(INDEX('Sản phẩm'!$B$5:$B$304,MATCH(B1532,'Sản phẩm'!$A$5:$A$304,0)),""))</f>
        <v/>
      </c>
      <c r="D1532" s="12" t="n"/>
      <c r="E1532" s="11" t="n"/>
      <c r="F1532" s="16">
        <f>IF(OR(D1532="",E1532=""),"",D1532*E1532)</f>
        <v/>
      </c>
      <c r="G1532" s="10" t="n"/>
      <c r="H1532" s="14">
        <f>IF(A1532="","",MONTH(A1532))</f>
        <v/>
      </c>
      <c r="I1532" s="14">
        <f>IF(A1532="","",YEAR(A1532))</f>
        <v/>
      </c>
    </row>
    <row r="1533">
      <c r="A1533" s="15" t="n"/>
      <c r="B1533" s="10" t="n"/>
      <c r="C1533" s="14">
        <f>IF(B1533="","",IFERROR(INDEX('Sản phẩm'!$B$5:$B$304,MATCH(B1533,'Sản phẩm'!$A$5:$A$304,0)),""))</f>
        <v/>
      </c>
      <c r="D1533" s="12" t="n"/>
      <c r="E1533" s="11" t="n"/>
      <c r="F1533" s="16">
        <f>IF(OR(D1533="",E1533=""),"",D1533*E1533)</f>
        <v/>
      </c>
      <c r="G1533" s="10" t="n"/>
      <c r="H1533" s="14">
        <f>IF(A1533="","",MONTH(A1533))</f>
        <v/>
      </c>
      <c r="I1533" s="14">
        <f>IF(A1533="","",YEAR(A1533))</f>
        <v/>
      </c>
    </row>
    <row r="1534">
      <c r="A1534" s="15" t="n"/>
      <c r="B1534" s="10" t="n"/>
      <c r="C1534" s="14">
        <f>IF(B1534="","",IFERROR(INDEX('Sản phẩm'!$B$5:$B$304,MATCH(B1534,'Sản phẩm'!$A$5:$A$304,0)),""))</f>
        <v/>
      </c>
      <c r="D1534" s="12" t="n"/>
      <c r="E1534" s="11" t="n"/>
      <c r="F1534" s="16">
        <f>IF(OR(D1534="",E1534=""),"",D1534*E1534)</f>
        <v/>
      </c>
      <c r="G1534" s="10" t="n"/>
      <c r="H1534" s="14">
        <f>IF(A1534="","",MONTH(A1534))</f>
        <v/>
      </c>
      <c r="I1534" s="14">
        <f>IF(A1534="","",YEAR(A1534))</f>
        <v/>
      </c>
    </row>
    <row r="1535">
      <c r="A1535" s="15" t="n"/>
      <c r="B1535" s="10" t="n"/>
      <c r="C1535" s="14">
        <f>IF(B1535="","",IFERROR(INDEX('Sản phẩm'!$B$5:$B$304,MATCH(B1535,'Sản phẩm'!$A$5:$A$304,0)),""))</f>
        <v/>
      </c>
      <c r="D1535" s="12" t="n"/>
      <c r="E1535" s="11" t="n"/>
      <c r="F1535" s="16">
        <f>IF(OR(D1535="",E1535=""),"",D1535*E1535)</f>
        <v/>
      </c>
      <c r="G1535" s="10" t="n"/>
      <c r="H1535" s="14">
        <f>IF(A1535="","",MONTH(A1535))</f>
        <v/>
      </c>
      <c r="I1535" s="14">
        <f>IF(A1535="","",YEAR(A1535))</f>
        <v/>
      </c>
    </row>
    <row r="1536">
      <c r="A1536" s="15" t="n"/>
      <c r="B1536" s="10" t="n"/>
      <c r="C1536" s="14">
        <f>IF(B1536="","",IFERROR(INDEX('Sản phẩm'!$B$5:$B$304,MATCH(B1536,'Sản phẩm'!$A$5:$A$304,0)),""))</f>
        <v/>
      </c>
      <c r="D1536" s="12" t="n"/>
      <c r="E1536" s="11" t="n"/>
      <c r="F1536" s="16">
        <f>IF(OR(D1536="",E1536=""),"",D1536*E1536)</f>
        <v/>
      </c>
      <c r="G1536" s="10" t="n"/>
      <c r="H1536" s="14">
        <f>IF(A1536="","",MONTH(A1536))</f>
        <v/>
      </c>
      <c r="I1536" s="14">
        <f>IF(A1536="","",YEAR(A1536))</f>
        <v/>
      </c>
    </row>
    <row r="1537">
      <c r="A1537" s="15" t="n"/>
      <c r="B1537" s="10" t="n"/>
      <c r="C1537" s="14">
        <f>IF(B1537="","",IFERROR(INDEX('Sản phẩm'!$B$5:$B$304,MATCH(B1537,'Sản phẩm'!$A$5:$A$304,0)),""))</f>
        <v/>
      </c>
      <c r="D1537" s="12" t="n"/>
      <c r="E1537" s="11" t="n"/>
      <c r="F1537" s="16">
        <f>IF(OR(D1537="",E1537=""),"",D1537*E1537)</f>
        <v/>
      </c>
      <c r="G1537" s="10" t="n"/>
      <c r="H1537" s="14">
        <f>IF(A1537="","",MONTH(A1537))</f>
        <v/>
      </c>
      <c r="I1537" s="14">
        <f>IF(A1537="","",YEAR(A1537))</f>
        <v/>
      </c>
    </row>
    <row r="1538">
      <c r="A1538" s="15" t="n"/>
      <c r="B1538" s="10" t="n"/>
      <c r="C1538" s="14">
        <f>IF(B1538="","",IFERROR(INDEX('Sản phẩm'!$B$5:$B$304,MATCH(B1538,'Sản phẩm'!$A$5:$A$304,0)),""))</f>
        <v/>
      </c>
      <c r="D1538" s="12" t="n"/>
      <c r="E1538" s="11" t="n"/>
      <c r="F1538" s="16">
        <f>IF(OR(D1538="",E1538=""),"",D1538*E1538)</f>
        <v/>
      </c>
      <c r="G1538" s="10" t="n"/>
      <c r="H1538" s="14">
        <f>IF(A1538="","",MONTH(A1538))</f>
        <v/>
      </c>
      <c r="I1538" s="14">
        <f>IF(A1538="","",YEAR(A1538))</f>
        <v/>
      </c>
    </row>
    <row r="1539">
      <c r="A1539" s="15" t="n"/>
      <c r="B1539" s="10" t="n"/>
      <c r="C1539" s="14">
        <f>IF(B1539="","",IFERROR(INDEX('Sản phẩm'!$B$5:$B$304,MATCH(B1539,'Sản phẩm'!$A$5:$A$304,0)),""))</f>
        <v/>
      </c>
      <c r="D1539" s="12" t="n"/>
      <c r="E1539" s="11" t="n"/>
      <c r="F1539" s="16">
        <f>IF(OR(D1539="",E1539=""),"",D1539*E1539)</f>
        <v/>
      </c>
      <c r="G1539" s="10" t="n"/>
      <c r="H1539" s="14">
        <f>IF(A1539="","",MONTH(A1539))</f>
        <v/>
      </c>
      <c r="I1539" s="14">
        <f>IF(A1539="","",YEAR(A1539))</f>
        <v/>
      </c>
    </row>
    <row r="1540">
      <c r="A1540" s="15" t="n"/>
      <c r="B1540" s="10" t="n"/>
      <c r="C1540" s="14">
        <f>IF(B1540="","",IFERROR(INDEX('Sản phẩm'!$B$5:$B$304,MATCH(B1540,'Sản phẩm'!$A$5:$A$304,0)),""))</f>
        <v/>
      </c>
      <c r="D1540" s="12" t="n"/>
      <c r="E1540" s="11" t="n"/>
      <c r="F1540" s="16">
        <f>IF(OR(D1540="",E1540=""),"",D1540*E1540)</f>
        <v/>
      </c>
      <c r="G1540" s="10" t="n"/>
      <c r="H1540" s="14">
        <f>IF(A1540="","",MONTH(A1540))</f>
        <v/>
      </c>
      <c r="I1540" s="14">
        <f>IF(A1540="","",YEAR(A1540))</f>
        <v/>
      </c>
    </row>
    <row r="1541">
      <c r="A1541" s="15" t="n"/>
      <c r="B1541" s="10" t="n"/>
      <c r="C1541" s="14">
        <f>IF(B1541="","",IFERROR(INDEX('Sản phẩm'!$B$5:$B$304,MATCH(B1541,'Sản phẩm'!$A$5:$A$304,0)),""))</f>
        <v/>
      </c>
      <c r="D1541" s="12" t="n"/>
      <c r="E1541" s="11" t="n"/>
      <c r="F1541" s="16">
        <f>IF(OR(D1541="",E1541=""),"",D1541*E1541)</f>
        <v/>
      </c>
      <c r="G1541" s="10" t="n"/>
      <c r="H1541" s="14">
        <f>IF(A1541="","",MONTH(A1541))</f>
        <v/>
      </c>
      <c r="I1541" s="14">
        <f>IF(A1541="","",YEAR(A1541))</f>
        <v/>
      </c>
    </row>
    <row r="1542">
      <c r="A1542" s="15" t="n"/>
      <c r="B1542" s="10" t="n"/>
      <c r="C1542" s="14">
        <f>IF(B1542="","",IFERROR(INDEX('Sản phẩm'!$B$5:$B$304,MATCH(B1542,'Sản phẩm'!$A$5:$A$304,0)),""))</f>
        <v/>
      </c>
      <c r="D1542" s="12" t="n"/>
      <c r="E1542" s="11" t="n"/>
      <c r="F1542" s="16">
        <f>IF(OR(D1542="",E1542=""),"",D1542*E1542)</f>
        <v/>
      </c>
      <c r="G1542" s="10" t="n"/>
      <c r="H1542" s="14">
        <f>IF(A1542="","",MONTH(A1542))</f>
        <v/>
      </c>
      <c r="I1542" s="14">
        <f>IF(A1542="","",YEAR(A1542))</f>
        <v/>
      </c>
    </row>
    <row r="1543">
      <c r="A1543" s="15" t="n"/>
      <c r="B1543" s="10" t="n"/>
      <c r="C1543" s="14">
        <f>IF(B1543="","",IFERROR(INDEX('Sản phẩm'!$B$5:$B$304,MATCH(B1543,'Sản phẩm'!$A$5:$A$304,0)),""))</f>
        <v/>
      </c>
      <c r="D1543" s="12" t="n"/>
      <c r="E1543" s="11" t="n"/>
      <c r="F1543" s="16">
        <f>IF(OR(D1543="",E1543=""),"",D1543*E1543)</f>
        <v/>
      </c>
      <c r="G1543" s="10" t="n"/>
      <c r="H1543" s="14">
        <f>IF(A1543="","",MONTH(A1543))</f>
        <v/>
      </c>
      <c r="I1543" s="14">
        <f>IF(A1543="","",YEAR(A1543))</f>
        <v/>
      </c>
    </row>
    <row r="1544">
      <c r="A1544" s="15" t="n"/>
      <c r="B1544" s="10" t="n"/>
      <c r="C1544" s="14">
        <f>IF(B1544="","",IFERROR(INDEX('Sản phẩm'!$B$5:$B$304,MATCH(B1544,'Sản phẩm'!$A$5:$A$304,0)),""))</f>
        <v/>
      </c>
      <c r="D1544" s="12" t="n"/>
      <c r="E1544" s="11" t="n"/>
      <c r="F1544" s="16">
        <f>IF(OR(D1544="",E1544=""),"",D1544*E1544)</f>
        <v/>
      </c>
      <c r="G1544" s="10" t="n"/>
      <c r="H1544" s="14">
        <f>IF(A1544="","",MONTH(A1544))</f>
        <v/>
      </c>
      <c r="I1544" s="14">
        <f>IF(A1544="","",YEAR(A1544))</f>
        <v/>
      </c>
    </row>
    <row r="1545">
      <c r="A1545" s="15" t="n"/>
      <c r="B1545" s="10" t="n"/>
      <c r="C1545" s="14">
        <f>IF(B1545="","",IFERROR(INDEX('Sản phẩm'!$B$5:$B$304,MATCH(B1545,'Sản phẩm'!$A$5:$A$304,0)),""))</f>
        <v/>
      </c>
      <c r="D1545" s="12" t="n"/>
      <c r="E1545" s="11" t="n"/>
      <c r="F1545" s="16">
        <f>IF(OR(D1545="",E1545=""),"",D1545*E1545)</f>
        <v/>
      </c>
      <c r="G1545" s="10" t="n"/>
      <c r="H1545" s="14">
        <f>IF(A1545="","",MONTH(A1545))</f>
        <v/>
      </c>
      <c r="I1545" s="14">
        <f>IF(A1545="","",YEAR(A1545))</f>
        <v/>
      </c>
    </row>
    <row r="1546">
      <c r="A1546" s="15" t="n"/>
      <c r="B1546" s="10" t="n"/>
      <c r="C1546" s="14">
        <f>IF(B1546="","",IFERROR(INDEX('Sản phẩm'!$B$5:$B$304,MATCH(B1546,'Sản phẩm'!$A$5:$A$304,0)),""))</f>
        <v/>
      </c>
      <c r="D1546" s="12" t="n"/>
      <c r="E1546" s="11" t="n"/>
      <c r="F1546" s="16">
        <f>IF(OR(D1546="",E1546=""),"",D1546*E1546)</f>
        <v/>
      </c>
      <c r="G1546" s="10" t="n"/>
      <c r="H1546" s="14">
        <f>IF(A1546="","",MONTH(A1546))</f>
        <v/>
      </c>
      <c r="I1546" s="14">
        <f>IF(A1546="","",YEAR(A1546))</f>
        <v/>
      </c>
    </row>
    <row r="1547">
      <c r="A1547" s="15" t="n"/>
      <c r="B1547" s="10" t="n"/>
      <c r="C1547" s="14">
        <f>IF(B1547="","",IFERROR(INDEX('Sản phẩm'!$B$5:$B$304,MATCH(B1547,'Sản phẩm'!$A$5:$A$304,0)),""))</f>
        <v/>
      </c>
      <c r="D1547" s="12" t="n"/>
      <c r="E1547" s="11" t="n"/>
      <c r="F1547" s="16">
        <f>IF(OR(D1547="",E1547=""),"",D1547*E1547)</f>
        <v/>
      </c>
      <c r="G1547" s="10" t="n"/>
      <c r="H1547" s="14">
        <f>IF(A1547="","",MONTH(A1547))</f>
        <v/>
      </c>
      <c r="I1547" s="14">
        <f>IF(A1547="","",YEAR(A1547))</f>
        <v/>
      </c>
    </row>
    <row r="1548">
      <c r="A1548" s="15" t="n"/>
      <c r="B1548" s="10" t="n"/>
      <c r="C1548" s="14">
        <f>IF(B1548="","",IFERROR(INDEX('Sản phẩm'!$B$5:$B$304,MATCH(B1548,'Sản phẩm'!$A$5:$A$304,0)),""))</f>
        <v/>
      </c>
      <c r="D1548" s="12" t="n"/>
      <c r="E1548" s="11" t="n"/>
      <c r="F1548" s="16">
        <f>IF(OR(D1548="",E1548=""),"",D1548*E1548)</f>
        <v/>
      </c>
      <c r="G1548" s="10" t="n"/>
      <c r="H1548" s="14">
        <f>IF(A1548="","",MONTH(A1548))</f>
        <v/>
      </c>
      <c r="I1548" s="14">
        <f>IF(A1548="","",YEAR(A1548))</f>
        <v/>
      </c>
    </row>
    <row r="1549">
      <c r="A1549" s="15" t="n"/>
      <c r="B1549" s="10" t="n"/>
      <c r="C1549" s="14">
        <f>IF(B1549="","",IFERROR(INDEX('Sản phẩm'!$B$5:$B$304,MATCH(B1549,'Sản phẩm'!$A$5:$A$304,0)),""))</f>
        <v/>
      </c>
      <c r="D1549" s="12" t="n"/>
      <c r="E1549" s="11" t="n"/>
      <c r="F1549" s="16">
        <f>IF(OR(D1549="",E1549=""),"",D1549*E1549)</f>
        <v/>
      </c>
      <c r="G1549" s="10" t="n"/>
      <c r="H1549" s="14">
        <f>IF(A1549="","",MONTH(A1549))</f>
        <v/>
      </c>
      <c r="I1549" s="14">
        <f>IF(A1549="","",YEAR(A1549))</f>
        <v/>
      </c>
    </row>
    <row r="1550">
      <c r="A1550" s="15" t="n"/>
      <c r="B1550" s="10" t="n"/>
      <c r="C1550" s="14">
        <f>IF(B1550="","",IFERROR(INDEX('Sản phẩm'!$B$5:$B$304,MATCH(B1550,'Sản phẩm'!$A$5:$A$304,0)),""))</f>
        <v/>
      </c>
      <c r="D1550" s="12" t="n"/>
      <c r="E1550" s="11" t="n"/>
      <c r="F1550" s="16">
        <f>IF(OR(D1550="",E1550=""),"",D1550*E1550)</f>
        <v/>
      </c>
      <c r="G1550" s="10" t="n"/>
      <c r="H1550" s="14">
        <f>IF(A1550="","",MONTH(A1550))</f>
        <v/>
      </c>
      <c r="I1550" s="14">
        <f>IF(A1550="","",YEAR(A1550))</f>
        <v/>
      </c>
    </row>
    <row r="1551">
      <c r="A1551" s="15" t="n"/>
      <c r="B1551" s="10" t="n"/>
      <c r="C1551" s="14">
        <f>IF(B1551="","",IFERROR(INDEX('Sản phẩm'!$B$5:$B$304,MATCH(B1551,'Sản phẩm'!$A$5:$A$304,0)),""))</f>
        <v/>
      </c>
      <c r="D1551" s="12" t="n"/>
      <c r="E1551" s="11" t="n"/>
      <c r="F1551" s="16">
        <f>IF(OR(D1551="",E1551=""),"",D1551*E1551)</f>
        <v/>
      </c>
      <c r="G1551" s="10" t="n"/>
      <c r="H1551" s="14">
        <f>IF(A1551="","",MONTH(A1551))</f>
        <v/>
      </c>
      <c r="I1551" s="14">
        <f>IF(A1551="","",YEAR(A1551))</f>
        <v/>
      </c>
    </row>
    <row r="1552">
      <c r="A1552" s="15" t="n"/>
      <c r="B1552" s="10" t="n"/>
      <c r="C1552" s="14">
        <f>IF(B1552="","",IFERROR(INDEX('Sản phẩm'!$B$5:$B$304,MATCH(B1552,'Sản phẩm'!$A$5:$A$304,0)),""))</f>
        <v/>
      </c>
      <c r="D1552" s="12" t="n"/>
      <c r="E1552" s="11" t="n"/>
      <c r="F1552" s="16">
        <f>IF(OR(D1552="",E1552=""),"",D1552*E1552)</f>
        <v/>
      </c>
      <c r="G1552" s="10" t="n"/>
      <c r="H1552" s="14">
        <f>IF(A1552="","",MONTH(A1552))</f>
        <v/>
      </c>
      <c r="I1552" s="14">
        <f>IF(A1552="","",YEAR(A1552))</f>
        <v/>
      </c>
    </row>
    <row r="1553">
      <c r="A1553" s="15" t="n"/>
      <c r="B1553" s="10" t="n"/>
      <c r="C1553" s="14">
        <f>IF(B1553="","",IFERROR(INDEX('Sản phẩm'!$B$5:$B$304,MATCH(B1553,'Sản phẩm'!$A$5:$A$304,0)),""))</f>
        <v/>
      </c>
      <c r="D1553" s="12" t="n"/>
      <c r="E1553" s="11" t="n"/>
      <c r="F1553" s="16">
        <f>IF(OR(D1553="",E1553=""),"",D1553*E1553)</f>
        <v/>
      </c>
      <c r="G1553" s="10" t="n"/>
      <c r="H1553" s="14">
        <f>IF(A1553="","",MONTH(A1553))</f>
        <v/>
      </c>
      <c r="I1553" s="14">
        <f>IF(A1553="","",YEAR(A1553))</f>
        <v/>
      </c>
    </row>
    <row r="1554">
      <c r="A1554" s="15" t="n"/>
      <c r="B1554" s="10" t="n"/>
      <c r="C1554" s="14">
        <f>IF(B1554="","",IFERROR(INDEX('Sản phẩm'!$B$5:$B$304,MATCH(B1554,'Sản phẩm'!$A$5:$A$304,0)),""))</f>
        <v/>
      </c>
      <c r="D1554" s="12" t="n"/>
      <c r="E1554" s="11" t="n"/>
      <c r="F1554" s="16">
        <f>IF(OR(D1554="",E1554=""),"",D1554*E1554)</f>
        <v/>
      </c>
      <c r="G1554" s="10" t="n"/>
      <c r="H1554" s="14">
        <f>IF(A1554="","",MONTH(A1554))</f>
        <v/>
      </c>
      <c r="I1554" s="14">
        <f>IF(A1554="","",YEAR(A1554))</f>
        <v/>
      </c>
    </row>
    <row r="1555">
      <c r="A1555" s="15" t="n"/>
      <c r="B1555" s="10" t="n"/>
      <c r="C1555" s="14">
        <f>IF(B1555="","",IFERROR(INDEX('Sản phẩm'!$B$5:$B$304,MATCH(B1555,'Sản phẩm'!$A$5:$A$304,0)),""))</f>
        <v/>
      </c>
      <c r="D1555" s="12" t="n"/>
      <c r="E1555" s="11" t="n"/>
      <c r="F1555" s="16">
        <f>IF(OR(D1555="",E1555=""),"",D1555*E1555)</f>
        <v/>
      </c>
      <c r="G1555" s="10" t="n"/>
      <c r="H1555" s="14">
        <f>IF(A1555="","",MONTH(A1555))</f>
        <v/>
      </c>
      <c r="I1555" s="14">
        <f>IF(A1555="","",YEAR(A1555))</f>
        <v/>
      </c>
    </row>
    <row r="1556">
      <c r="A1556" s="15" t="n"/>
      <c r="B1556" s="10" t="n"/>
      <c r="C1556" s="14">
        <f>IF(B1556="","",IFERROR(INDEX('Sản phẩm'!$B$5:$B$304,MATCH(B1556,'Sản phẩm'!$A$5:$A$304,0)),""))</f>
        <v/>
      </c>
      <c r="D1556" s="12" t="n"/>
      <c r="E1556" s="11" t="n"/>
      <c r="F1556" s="16">
        <f>IF(OR(D1556="",E1556=""),"",D1556*E1556)</f>
        <v/>
      </c>
      <c r="G1556" s="10" t="n"/>
      <c r="H1556" s="14">
        <f>IF(A1556="","",MONTH(A1556))</f>
        <v/>
      </c>
      <c r="I1556" s="14">
        <f>IF(A1556="","",YEAR(A1556))</f>
        <v/>
      </c>
    </row>
    <row r="1557">
      <c r="A1557" s="15" t="n"/>
      <c r="B1557" s="10" t="n"/>
      <c r="C1557" s="14">
        <f>IF(B1557="","",IFERROR(INDEX('Sản phẩm'!$B$5:$B$304,MATCH(B1557,'Sản phẩm'!$A$5:$A$304,0)),""))</f>
        <v/>
      </c>
      <c r="D1557" s="12" t="n"/>
      <c r="E1557" s="11" t="n"/>
      <c r="F1557" s="16">
        <f>IF(OR(D1557="",E1557=""),"",D1557*E1557)</f>
        <v/>
      </c>
      <c r="G1557" s="10" t="n"/>
      <c r="H1557" s="14">
        <f>IF(A1557="","",MONTH(A1557))</f>
        <v/>
      </c>
      <c r="I1557" s="14">
        <f>IF(A1557="","",YEAR(A1557))</f>
        <v/>
      </c>
    </row>
    <row r="1558">
      <c r="A1558" s="15" t="n"/>
      <c r="B1558" s="10" t="n"/>
      <c r="C1558" s="14">
        <f>IF(B1558="","",IFERROR(INDEX('Sản phẩm'!$B$5:$B$304,MATCH(B1558,'Sản phẩm'!$A$5:$A$304,0)),""))</f>
        <v/>
      </c>
      <c r="D1558" s="12" t="n"/>
      <c r="E1558" s="11" t="n"/>
      <c r="F1558" s="16">
        <f>IF(OR(D1558="",E1558=""),"",D1558*E1558)</f>
        <v/>
      </c>
      <c r="G1558" s="10" t="n"/>
      <c r="H1558" s="14">
        <f>IF(A1558="","",MONTH(A1558))</f>
        <v/>
      </c>
      <c r="I1558" s="14">
        <f>IF(A1558="","",YEAR(A1558))</f>
        <v/>
      </c>
    </row>
    <row r="1559">
      <c r="A1559" s="15" t="n"/>
      <c r="B1559" s="10" t="n"/>
      <c r="C1559" s="14">
        <f>IF(B1559="","",IFERROR(INDEX('Sản phẩm'!$B$5:$B$304,MATCH(B1559,'Sản phẩm'!$A$5:$A$304,0)),""))</f>
        <v/>
      </c>
      <c r="D1559" s="12" t="n"/>
      <c r="E1559" s="11" t="n"/>
      <c r="F1559" s="16">
        <f>IF(OR(D1559="",E1559=""),"",D1559*E1559)</f>
        <v/>
      </c>
      <c r="G1559" s="10" t="n"/>
      <c r="H1559" s="14">
        <f>IF(A1559="","",MONTH(A1559))</f>
        <v/>
      </c>
      <c r="I1559" s="14">
        <f>IF(A1559="","",YEAR(A1559))</f>
        <v/>
      </c>
    </row>
    <row r="1560">
      <c r="A1560" s="15" t="n"/>
      <c r="B1560" s="10" t="n"/>
      <c r="C1560" s="14">
        <f>IF(B1560="","",IFERROR(INDEX('Sản phẩm'!$B$5:$B$304,MATCH(B1560,'Sản phẩm'!$A$5:$A$304,0)),""))</f>
        <v/>
      </c>
      <c r="D1560" s="12" t="n"/>
      <c r="E1560" s="11" t="n"/>
      <c r="F1560" s="16">
        <f>IF(OR(D1560="",E1560=""),"",D1560*E1560)</f>
        <v/>
      </c>
      <c r="G1560" s="10" t="n"/>
      <c r="H1560" s="14">
        <f>IF(A1560="","",MONTH(A1560))</f>
        <v/>
      </c>
      <c r="I1560" s="14">
        <f>IF(A1560="","",YEAR(A1560))</f>
        <v/>
      </c>
    </row>
    <row r="1561">
      <c r="A1561" s="15" t="n"/>
      <c r="B1561" s="10" t="n"/>
      <c r="C1561" s="14">
        <f>IF(B1561="","",IFERROR(INDEX('Sản phẩm'!$B$5:$B$304,MATCH(B1561,'Sản phẩm'!$A$5:$A$304,0)),""))</f>
        <v/>
      </c>
      <c r="D1561" s="12" t="n"/>
      <c r="E1561" s="11" t="n"/>
      <c r="F1561" s="16">
        <f>IF(OR(D1561="",E1561=""),"",D1561*E1561)</f>
        <v/>
      </c>
      <c r="G1561" s="10" t="n"/>
      <c r="H1561" s="14">
        <f>IF(A1561="","",MONTH(A1561))</f>
        <v/>
      </c>
      <c r="I1561" s="14">
        <f>IF(A1561="","",YEAR(A1561))</f>
        <v/>
      </c>
    </row>
    <row r="1562">
      <c r="A1562" s="15" t="n"/>
      <c r="B1562" s="10" t="n"/>
      <c r="C1562" s="14">
        <f>IF(B1562="","",IFERROR(INDEX('Sản phẩm'!$B$5:$B$304,MATCH(B1562,'Sản phẩm'!$A$5:$A$304,0)),""))</f>
        <v/>
      </c>
      <c r="D1562" s="12" t="n"/>
      <c r="E1562" s="11" t="n"/>
      <c r="F1562" s="16">
        <f>IF(OR(D1562="",E1562=""),"",D1562*E1562)</f>
        <v/>
      </c>
      <c r="G1562" s="10" t="n"/>
      <c r="H1562" s="14">
        <f>IF(A1562="","",MONTH(A1562))</f>
        <v/>
      </c>
      <c r="I1562" s="14">
        <f>IF(A1562="","",YEAR(A1562))</f>
        <v/>
      </c>
    </row>
    <row r="1563">
      <c r="A1563" s="15" t="n"/>
      <c r="B1563" s="10" t="n"/>
      <c r="C1563" s="14">
        <f>IF(B1563="","",IFERROR(INDEX('Sản phẩm'!$B$5:$B$304,MATCH(B1563,'Sản phẩm'!$A$5:$A$304,0)),""))</f>
        <v/>
      </c>
      <c r="D1563" s="12" t="n"/>
      <c r="E1563" s="11" t="n"/>
      <c r="F1563" s="16">
        <f>IF(OR(D1563="",E1563=""),"",D1563*E1563)</f>
        <v/>
      </c>
      <c r="G1563" s="10" t="n"/>
      <c r="H1563" s="14">
        <f>IF(A1563="","",MONTH(A1563))</f>
        <v/>
      </c>
      <c r="I1563" s="14">
        <f>IF(A1563="","",YEAR(A1563))</f>
        <v/>
      </c>
    </row>
    <row r="1564">
      <c r="A1564" s="15" t="n"/>
      <c r="B1564" s="10" t="n"/>
      <c r="C1564" s="14">
        <f>IF(B1564="","",IFERROR(INDEX('Sản phẩm'!$B$5:$B$304,MATCH(B1564,'Sản phẩm'!$A$5:$A$304,0)),""))</f>
        <v/>
      </c>
      <c r="D1564" s="12" t="n"/>
      <c r="E1564" s="11" t="n"/>
      <c r="F1564" s="16">
        <f>IF(OR(D1564="",E1564=""),"",D1564*E1564)</f>
        <v/>
      </c>
      <c r="G1564" s="10" t="n"/>
      <c r="H1564" s="14">
        <f>IF(A1564="","",MONTH(A1564))</f>
        <v/>
      </c>
      <c r="I1564" s="14">
        <f>IF(A1564="","",YEAR(A1564))</f>
        <v/>
      </c>
    </row>
    <row r="1565">
      <c r="A1565" s="15" t="n"/>
      <c r="B1565" s="10" t="n"/>
      <c r="C1565" s="14">
        <f>IF(B1565="","",IFERROR(INDEX('Sản phẩm'!$B$5:$B$304,MATCH(B1565,'Sản phẩm'!$A$5:$A$304,0)),""))</f>
        <v/>
      </c>
      <c r="D1565" s="12" t="n"/>
      <c r="E1565" s="11" t="n"/>
      <c r="F1565" s="16">
        <f>IF(OR(D1565="",E1565=""),"",D1565*E1565)</f>
        <v/>
      </c>
      <c r="G1565" s="10" t="n"/>
      <c r="H1565" s="14">
        <f>IF(A1565="","",MONTH(A1565))</f>
        <v/>
      </c>
      <c r="I1565" s="14">
        <f>IF(A1565="","",YEAR(A1565))</f>
        <v/>
      </c>
    </row>
    <row r="1566">
      <c r="A1566" s="15" t="n"/>
      <c r="B1566" s="10" t="n"/>
      <c r="C1566" s="14">
        <f>IF(B1566="","",IFERROR(INDEX('Sản phẩm'!$B$5:$B$304,MATCH(B1566,'Sản phẩm'!$A$5:$A$304,0)),""))</f>
        <v/>
      </c>
      <c r="D1566" s="12" t="n"/>
      <c r="E1566" s="11" t="n"/>
      <c r="F1566" s="16">
        <f>IF(OR(D1566="",E1566=""),"",D1566*E1566)</f>
        <v/>
      </c>
      <c r="G1566" s="10" t="n"/>
      <c r="H1566" s="14">
        <f>IF(A1566="","",MONTH(A1566))</f>
        <v/>
      </c>
      <c r="I1566" s="14">
        <f>IF(A1566="","",YEAR(A1566))</f>
        <v/>
      </c>
    </row>
    <row r="1567">
      <c r="A1567" s="15" t="n"/>
      <c r="B1567" s="10" t="n"/>
      <c r="C1567" s="14">
        <f>IF(B1567="","",IFERROR(INDEX('Sản phẩm'!$B$5:$B$304,MATCH(B1567,'Sản phẩm'!$A$5:$A$304,0)),""))</f>
        <v/>
      </c>
      <c r="D1567" s="12" t="n"/>
      <c r="E1567" s="11" t="n"/>
      <c r="F1567" s="16">
        <f>IF(OR(D1567="",E1567=""),"",D1567*E1567)</f>
        <v/>
      </c>
      <c r="G1567" s="10" t="n"/>
      <c r="H1567" s="14">
        <f>IF(A1567="","",MONTH(A1567))</f>
        <v/>
      </c>
      <c r="I1567" s="14">
        <f>IF(A1567="","",YEAR(A1567))</f>
        <v/>
      </c>
    </row>
    <row r="1568">
      <c r="A1568" s="15" t="n"/>
      <c r="B1568" s="10" t="n"/>
      <c r="C1568" s="14">
        <f>IF(B1568="","",IFERROR(INDEX('Sản phẩm'!$B$5:$B$304,MATCH(B1568,'Sản phẩm'!$A$5:$A$304,0)),""))</f>
        <v/>
      </c>
      <c r="D1568" s="12" t="n"/>
      <c r="E1568" s="11" t="n"/>
      <c r="F1568" s="16">
        <f>IF(OR(D1568="",E1568=""),"",D1568*E1568)</f>
        <v/>
      </c>
      <c r="G1568" s="10" t="n"/>
      <c r="H1568" s="14">
        <f>IF(A1568="","",MONTH(A1568))</f>
        <v/>
      </c>
      <c r="I1568" s="14">
        <f>IF(A1568="","",YEAR(A1568))</f>
        <v/>
      </c>
    </row>
    <row r="1569">
      <c r="A1569" s="15" t="n"/>
      <c r="B1569" s="10" t="n"/>
      <c r="C1569" s="14">
        <f>IF(B1569="","",IFERROR(INDEX('Sản phẩm'!$B$5:$B$304,MATCH(B1569,'Sản phẩm'!$A$5:$A$304,0)),""))</f>
        <v/>
      </c>
      <c r="D1569" s="12" t="n"/>
      <c r="E1569" s="11" t="n"/>
      <c r="F1569" s="16">
        <f>IF(OR(D1569="",E1569=""),"",D1569*E1569)</f>
        <v/>
      </c>
      <c r="G1569" s="10" t="n"/>
      <c r="H1569" s="14">
        <f>IF(A1569="","",MONTH(A1569))</f>
        <v/>
      </c>
      <c r="I1569" s="14">
        <f>IF(A1569="","",YEAR(A1569))</f>
        <v/>
      </c>
    </row>
    <row r="1570">
      <c r="A1570" s="15" t="n"/>
      <c r="B1570" s="10" t="n"/>
      <c r="C1570" s="14">
        <f>IF(B1570="","",IFERROR(INDEX('Sản phẩm'!$B$5:$B$304,MATCH(B1570,'Sản phẩm'!$A$5:$A$304,0)),""))</f>
        <v/>
      </c>
      <c r="D1570" s="12" t="n"/>
      <c r="E1570" s="11" t="n"/>
      <c r="F1570" s="16">
        <f>IF(OR(D1570="",E1570=""),"",D1570*E1570)</f>
        <v/>
      </c>
      <c r="G1570" s="10" t="n"/>
      <c r="H1570" s="14">
        <f>IF(A1570="","",MONTH(A1570))</f>
        <v/>
      </c>
      <c r="I1570" s="14">
        <f>IF(A1570="","",YEAR(A1570))</f>
        <v/>
      </c>
    </row>
    <row r="1571">
      <c r="A1571" s="15" t="n"/>
      <c r="B1571" s="10" t="n"/>
      <c r="C1571" s="14">
        <f>IF(B1571="","",IFERROR(INDEX('Sản phẩm'!$B$5:$B$304,MATCH(B1571,'Sản phẩm'!$A$5:$A$304,0)),""))</f>
        <v/>
      </c>
      <c r="D1571" s="12" t="n"/>
      <c r="E1571" s="11" t="n"/>
      <c r="F1571" s="16">
        <f>IF(OR(D1571="",E1571=""),"",D1571*E1571)</f>
        <v/>
      </c>
      <c r="G1571" s="10" t="n"/>
      <c r="H1571" s="14">
        <f>IF(A1571="","",MONTH(A1571))</f>
        <v/>
      </c>
      <c r="I1571" s="14">
        <f>IF(A1571="","",YEAR(A1571))</f>
        <v/>
      </c>
    </row>
    <row r="1572">
      <c r="A1572" s="15" t="n"/>
      <c r="B1572" s="10" t="n"/>
      <c r="C1572" s="14">
        <f>IF(B1572="","",IFERROR(INDEX('Sản phẩm'!$B$5:$B$304,MATCH(B1572,'Sản phẩm'!$A$5:$A$304,0)),""))</f>
        <v/>
      </c>
      <c r="D1572" s="12" t="n"/>
      <c r="E1572" s="11" t="n"/>
      <c r="F1572" s="16">
        <f>IF(OR(D1572="",E1572=""),"",D1572*E1572)</f>
        <v/>
      </c>
      <c r="G1572" s="10" t="n"/>
      <c r="H1572" s="14">
        <f>IF(A1572="","",MONTH(A1572))</f>
        <v/>
      </c>
      <c r="I1572" s="14">
        <f>IF(A1572="","",YEAR(A1572))</f>
        <v/>
      </c>
    </row>
    <row r="1573">
      <c r="A1573" s="15" t="n"/>
      <c r="B1573" s="10" t="n"/>
      <c r="C1573" s="14">
        <f>IF(B1573="","",IFERROR(INDEX('Sản phẩm'!$B$5:$B$304,MATCH(B1573,'Sản phẩm'!$A$5:$A$304,0)),""))</f>
        <v/>
      </c>
      <c r="D1573" s="12" t="n"/>
      <c r="E1573" s="11" t="n"/>
      <c r="F1573" s="16">
        <f>IF(OR(D1573="",E1573=""),"",D1573*E1573)</f>
        <v/>
      </c>
      <c r="G1573" s="10" t="n"/>
      <c r="H1573" s="14">
        <f>IF(A1573="","",MONTH(A1573))</f>
        <v/>
      </c>
      <c r="I1573" s="14">
        <f>IF(A1573="","",YEAR(A1573))</f>
        <v/>
      </c>
    </row>
    <row r="1574">
      <c r="A1574" s="15" t="n"/>
      <c r="B1574" s="10" t="n"/>
      <c r="C1574" s="14">
        <f>IF(B1574="","",IFERROR(INDEX('Sản phẩm'!$B$5:$B$304,MATCH(B1574,'Sản phẩm'!$A$5:$A$304,0)),""))</f>
        <v/>
      </c>
      <c r="D1574" s="12" t="n"/>
      <c r="E1574" s="11" t="n"/>
      <c r="F1574" s="16">
        <f>IF(OR(D1574="",E1574=""),"",D1574*E1574)</f>
        <v/>
      </c>
      <c r="G1574" s="10" t="n"/>
      <c r="H1574" s="14">
        <f>IF(A1574="","",MONTH(A1574))</f>
        <v/>
      </c>
      <c r="I1574" s="14">
        <f>IF(A1574="","",YEAR(A1574))</f>
        <v/>
      </c>
    </row>
    <row r="1575">
      <c r="A1575" s="15" t="n"/>
      <c r="B1575" s="10" t="n"/>
      <c r="C1575" s="14">
        <f>IF(B1575="","",IFERROR(INDEX('Sản phẩm'!$B$5:$B$304,MATCH(B1575,'Sản phẩm'!$A$5:$A$304,0)),""))</f>
        <v/>
      </c>
      <c r="D1575" s="12" t="n"/>
      <c r="E1575" s="11" t="n"/>
      <c r="F1575" s="16">
        <f>IF(OR(D1575="",E1575=""),"",D1575*E1575)</f>
        <v/>
      </c>
      <c r="G1575" s="10" t="n"/>
      <c r="H1575" s="14">
        <f>IF(A1575="","",MONTH(A1575))</f>
        <v/>
      </c>
      <c r="I1575" s="14">
        <f>IF(A1575="","",YEAR(A1575))</f>
        <v/>
      </c>
    </row>
    <row r="1576">
      <c r="A1576" s="15" t="n"/>
      <c r="B1576" s="10" t="n"/>
      <c r="C1576" s="14">
        <f>IF(B1576="","",IFERROR(INDEX('Sản phẩm'!$B$5:$B$304,MATCH(B1576,'Sản phẩm'!$A$5:$A$304,0)),""))</f>
        <v/>
      </c>
      <c r="D1576" s="12" t="n"/>
      <c r="E1576" s="11" t="n"/>
      <c r="F1576" s="16">
        <f>IF(OR(D1576="",E1576=""),"",D1576*E1576)</f>
        <v/>
      </c>
      <c r="G1576" s="10" t="n"/>
      <c r="H1576" s="14">
        <f>IF(A1576="","",MONTH(A1576))</f>
        <v/>
      </c>
      <c r="I1576" s="14">
        <f>IF(A1576="","",YEAR(A1576))</f>
        <v/>
      </c>
    </row>
    <row r="1577">
      <c r="A1577" s="15" t="n"/>
      <c r="B1577" s="10" t="n"/>
      <c r="C1577" s="14">
        <f>IF(B1577="","",IFERROR(INDEX('Sản phẩm'!$B$5:$B$304,MATCH(B1577,'Sản phẩm'!$A$5:$A$304,0)),""))</f>
        <v/>
      </c>
      <c r="D1577" s="12" t="n"/>
      <c r="E1577" s="11" t="n"/>
      <c r="F1577" s="16">
        <f>IF(OR(D1577="",E1577=""),"",D1577*E1577)</f>
        <v/>
      </c>
      <c r="G1577" s="10" t="n"/>
      <c r="H1577" s="14">
        <f>IF(A1577="","",MONTH(A1577))</f>
        <v/>
      </c>
      <c r="I1577" s="14">
        <f>IF(A1577="","",YEAR(A1577))</f>
        <v/>
      </c>
    </row>
    <row r="1578">
      <c r="A1578" s="15" t="n"/>
      <c r="B1578" s="10" t="n"/>
      <c r="C1578" s="14">
        <f>IF(B1578="","",IFERROR(INDEX('Sản phẩm'!$B$5:$B$304,MATCH(B1578,'Sản phẩm'!$A$5:$A$304,0)),""))</f>
        <v/>
      </c>
      <c r="D1578" s="12" t="n"/>
      <c r="E1578" s="11" t="n"/>
      <c r="F1578" s="16">
        <f>IF(OR(D1578="",E1578=""),"",D1578*E1578)</f>
        <v/>
      </c>
      <c r="G1578" s="10" t="n"/>
      <c r="H1578" s="14">
        <f>IF(A1578="","",MONTH(A1578))</f>
        <v/>
      </c>
      <c r="I1578" s="14">
        <f>IF(A1578="","",YEAR(A1578))</f>
        <v/>
      </c>
    </row>
    <row r="1579">
      <c r="A1579" s="15" t="n"/>
      <c r="B1579" s="10" t="n"/>
      <c r="C1579" s="14">
        <f>IF(B1579="","",IFERROR(INDEX('Sản phẩm'!$B$5:$B$304,MATCH(B1579,'Sản phẩm'!$A$5:$A$304,0)),""))</f>
        <v/>
      </c>
      <c r="D1579" s="12" t="n"/>
      <c r="E1579" s="11" t="n"/>
      <c r="F1579" s="16">
        <f>IF(OR(D1579="",E1579=""),"",D1579*E1579)</f>
        <v/>
      </c>
      <c r="G1579" s="10" t="n"/>
      <c r="H1579" s="14">
        <f>IF(A1579="","",MONTH(A1579))</f>
        <v/>
      </c>
      <c r="I1579" s="14">
        <f>IF(A1579="","",YEAR(A1579))</f>
        <v/>
      </c>
    </row>
    <row r="1580">
      <c r="A1580" s="15" t="n"/>
      <c r="B1580" s="10" t="n"/>
      <c r="C1580" s="14">
        <f>IF(B1580="","",IFERROR(INDEX('Sản phẩm'!$B$5:$B$304,MATCH(B1580,'Sản phẩm'!$A$5:$A$304,0)),""))</f>
        <v/>
      </c>
      <c r="D1580" s="12" t="n"/>
      <c r="E1580" s="11" t="n"/>
      <c r="F1580" s="16">
        <f>IF(OR(D1580="",E1580=""),"",D1580*E1580)</f>
        <v/>
      </c>
      <c r="G1580" s="10" t="n"/>
      <c r="H1580" s="14">
        <f>IF(A1580="","",MONTH(A1580))</f>
        <v/>
      </c>
      <c r="I1580" s="14">
        <f>IF(A1580="","",YEAR(A1580))</f>
        <v/>
      </c>
    </row>
    <row r="1581">
      <c r="A1581" s="15" t="n"/>
      <c r="B1581" s="10" t="n"/>
      <c r="C1581" s="14">
        <f>IF(B1581="","",IFERROR(INDEX('Sản phẩm'!$B$5:$B$304,MATCH(B1581,'Sản phẩm'!$A$5:$A$304,0)),""))</f>
        <v/>
      </c>
      <c r="D1581" s="12" t="n"/>
      <c r="E1581" s="11" t="n"/>
      <c r="F1581" s="16">
        <f>IF(OR(D1581="",E1581=""),"",D1581*E1581)</f>
        <v/>
      </c>
      <c r="G1581" s="10" t="n"/>
      <c r="H1581" s="14">
        <f>IF(A1581="","",MONTH(A1581))</f>
        <v/>
      </c>
      <c r="I1581" s="14">
        <f>IF(A1581="","",YEAR(A1581))</f>
        <v/>
      </c>
    </row>
    <row r="1582">
      <c r="A1582" s="15" t="n"/>
      <c r="B1582" s="10" t="n"/>
      <c r="C1582" s="14">
        <f>IF(B1582="","",IFERROR(INDEX('Sản phẩm'!$B$5:$B$304,MATCH(B1582,'Sản phẩm'!$A$5:$A$304,0)),""))</f>
        <v/>
      </c>
      <c r="D1582" s="12" t="n"/>
      <c r="E1582" s="11" t="n"/>
      <c r="F1582" s="16">
        <f>IF(OR(D1582="",E1582=""),"",D1582*E1582)</f>
        <v/>
      </c>
      <c r="G1582" s="10" t="n"/>
      <c r="H1582" s="14">
        <f>IF(A1582="","",MONTH(A1582))</f>
        <v/>
      </c>
      <c r="I1582" s="14">
        <f>IF(A1582="","",YEAR(A1582))</f>
        <v/>
      </c>
    </row>
    <row r="1583">
      <c r="A1583" s="15" t="n"/>
      <c r="B1583" s="10" t="n"/>
      <c r="C1583" s="14">
        <f>IF(B1583="","",IFERROR(INDEX('Sản phẩm'!$B$5:$B$304,MATCH(B1583,'Sản phẩm'!$A$5:$A$304,0)),""))</f>
        <v/>
      </c>
      <c r="D1583" s="12" t="n"/>
      <c r="E1583" s="11" t="n"/>
      <c r="F1583" s="16">
        <f>IF(OR(D1583="",E1583=""),"",D1583*E1583)</f>
        <v/>
      </c>
      <c r="G1583" s="10" t="n"/>
      <c r="H1583" s="14">
        <f>IF(A1583="","",MONTH(A1583))</f>
        <v/>
      </c>
      <c r="I1583" s="14">
        <f>IF(A1583="","",YEAR(A1583))</f>
        <v/>
      </c>
    </row>
    <row r="1584">
      <c r="A1584" s="15" t="n"/>
      <c r="B1584" s="10" t="n"/>
      <c r="C1584" s="14">
        <f>IF(B1584="","",IFERROR(INDEX('Sản phẩm'!$B$5:$B$304,MATCH(B1584,'Sản phẩm'!$A$5:$A$304,0)),""))</f>
        <v/>
      </c>
      <c r="D1584" s="12" t="n"/>
      <c r="E1584" s="11" t="n"/>
      <c r="F1584" s="16">
        <f>IF(OR(D1584="",E1584=""),"",D1584*E1584)</f>
        <v/>
      </c>
      <c r="G1584" s="10" t="n"/>
      <c r="H1584" s="14">
        <f>IF(A1584="","",MONTH(A1584))</f>
        <v/>
      </c>
      <c r="I1584" s="14">
        <f>IF(A1584="","",YEAR(A1584))</f>
        <v/>
      </c>
    </row>
    <row r="1585">
      <c r="A1585" s="15" t="n"/>
      <c r="B1585" s="10" t="n"/>
      <c r="C1585" s="14">
        <f>IF(B1585="","",IFERROR(INDEX('Sản phẩm'!$B$5:$B$304,MATCH(B1585,'Sản phẩm'!$A$5:$A$304,0)),""))</f>
        <v/>
      </c>
      <c r="D1585" s="12" t="n"/>
      <c r="E1585" s="11" t="n"/>
      <c r="F1585" s="16">
        <f>IF(OR(D1585="",E1585=""),"",D1585*E1585)</f>
        <v/>
      </c>
      <c r="G1585" s="10" t="n"/>
      <c r="H1585" s="14">
        <f>IF(A1585="","",MONTH(A1585))</f>
        <v/>
      </c>
      <c r="I1585" s="14">
        <f>IF(A1585="","",YEAR(A1585))</f>
        <v/>
      </c>
    </row>
    <row r="1586">
      <c r="A1586" s="15" t="n"/>
      <c r="B1586" s="10" t="n"/>
      <c r="C1586" s="14">
        <f>IF(B1586="","",IFERROR(INDEX('Sản phẩm'!$B$5:$B$304,MATCH(B1586,'Sản phẩm'!$A$5:$A$304,0)),""))</f>
        <v/>
      </c>
      <c r="D1586" s="12" t="n"/>
      <c r="E1586" s="11" t="n"/>
      <c r="F1586" s="16">
        <f>IF(OR(D1586="",E1586=""),"",D1586*E1586)</f>
        <v/>
      </c>
      <c r="G1586" s="10" t="n"/>
      <c r="H1586" s="14">
        <f>IF(A1586="","",MONTH(A1586))</f>
        <v/>
      </c>
      <c r="I1586" s="14">
        <f>IF(A1586="","",YEAR(A1586))</f>
        <v/>
      </c>
    </row>
    <row r="1587">
      <c r="A1587" s="15" t="n"/>
      <c r="B1587" s="10" t="n"/>
      <c r="C1587" s="14">
        <f>IF(B1587="","",IFERROR(INDEX('Sản phẩm'!$B$5:$B$304,MATCH(B1587,'Sản phẩm'!$A$5:$A$304,0)),""))</f>
        <v/>
      </c>
      <c r="D1587" s="12" t="n"/>
      <c r="E1587" s="11" t="n"/>
      <c r="F1587" s="16">
        <f>IF(OR(D1587="",E1587=""),"",D1587*E1587)</f>
        <v/>
      </c>
      <c r="G1587" s="10" t="n"/>
      <c r="H1587" s="14">
        <f>IF(A1587="","",MONTH(A1587))</f>
        <v/>
      </c>
      <c r="I1587" s="14">
        <f>IF(A1587="","",YEAR(A1587))</f>
        <v/>
      </c>
    </row>
    <row r="1588">
      <c r="A1588" s="15" t="n"/>
      <c r="B1588" s="10" t="n"/>
      <c r="C1588" s="14">
        <f>IF(B1588="","",IFERROR(INDEX('Sản phẩm'!$B$5:$B$304,MATCH(B1588,'Sản phẩm'!$A$5:$A$304,0)),""))</f>
        <v/>
      </c>
      <c r="D1588" s="12" t="n"/>
      <c r="E1588" s="11" t="n"/>
      <c r="F1588" s="16">
        <f>IF(OR(D1588="",E1588=""),"",D1588*E1588)</f>
        <v/>
      </c>
      <c r="G1588" s="10" t="n"/>
      <c r="H1588" s="14">
        <f>IF(A1588="","",MONTH(A1588))</f>
        <v/>
      </c>
      <c r="I1588" s="14">
        <f>IF(A1588="","",YEAR(A1588))</f>
        <v/>
      </c>
    </row>
    <row r="1589">
      <c r="A1589" s="15" t="n"/>
      <c r="B1589" s="10" t="n"/>
      <c r="C1589" s="14">
        <f>IF(B1589="","",IFERROR(INDEX('Sản phẩm'!$B$5:$B$304,MATCH(B1589,'Sản phẩm'!$A$5:$A$304,0)),""))</f>
        <v/>
      </c>
      <c r="D1589" s="12" t="n"/>
      <c r="E1589" s="11" t="n"/>
      <c r="F1589" s="16">
        <f>IF(OR(D1589="",E1589=""),"",D1589*E1589)</f>
        <v/>
      </c>
      <c r="G1589" s="10" t="n"/>
      <c r="H1589" s="14">
        <f>IF(A1589="","",MONTH(A1589))</f>
        <v/>
      </c>
      <c r="I1589" s="14">
        <f>IF(A1589="","",YEAR(A1589))</f>
        <v/>
      </c>
    </row>
    <row r="1590">
      <c r="A1590" s="15" t="n"/>
      <c r="B1590" s="10" t="n"/>
      <c r="C1590" s="14">
        <f>IF(B1590="","",IFERROR(INDEX('Sản phẩm'!$B$5:$B$304,MATCH(B1590,'Sản phẩm'!$A$5:$A$304,0)),""))</f>
        <v/>
      </c>
      <c r="D1590" s="12" t="n"/>
      <c r="E1590" s="11" t="n"/>
      <c r="F1590" s="16">
        <f>IF(OR(D1590="",E1590=""),"",D1590*E1590)</f>
        <v/>
      </c>
      <c r="G1590" s="10" t="n"/>
      <c r="H1590" s="14">
        <f>IF(A1590="","",MONTH(A1590))</f>
        <v/>
      </c>
      <c r="I1590" s="14">
        <f>IF(A1590="","",YEAR(A1590))</f>
        <v/>
      </c>
    </row>
    <row r="1591">
      <c r="A1591" s="15" t="n"/>
      <c r="B1591" s="10" t="n"/>
      <c r="C1591" s="14">
        <f>IF(B1591="","",IFERROR(INDEX('Sản phẩm'!$B$5:$B$304,MATCH(B1591,'Sản phẩm'!$A$5:$A$304,0)),""))</f>
        <v/>
      </c>
      <c r="D1591" s="12" t="n"/>
      <c r="E1591" s="11" t="n"/>
      <c r="F1591" s="16">
        <f>IF(OR(D1591="",E1591=""),"",D1591*E1591)</f>
        <v/>
      </c>
      <c r="G1591" s="10" t="n"/>
      <c r="H1591" s="14">
        <f>IF(A1591="","",MONTH(A1591))</f>
        <v/>
      </c>
      <c r="I1591" s="14">
        <f>IF(A1591="","",YEAR(A1591))</f>
        <v/>
      </c>
    </row>
    <row r="1592">
      <c r="A1592" s="15" t="n"/>
      <c r="B1592" s="10" t="n"/>
      <c r="C1592" s="14">
        <f>IF(B1592="","",IFERROR(INDEX('Sản phẩm'!$B$5:$B$304,MATCH(B1592,'Sản phẩm'!$A$5:$A$304,0)),""))</f>
        <v/>
      </c>
      <c r="D1592" s="12" t="n"/>
      <c r="E1592" s="11" t="n"/>
      <c r="F1592" s="16">
        <f>IF(OR(D1592="",E1592=""),"",D1592*E1592)</f>
        <v/>
      </c>
      <c r="G1592" s="10" t="n"/>
      <c r="H1592" s="14">
        <f>IF(A1592="","",MONTH(A1592))</f>
        <v/>
      </c>
      <c r="I1592" s="14">
        <f>IF(A1592="","",YEAR(A1592))</f>
        <v/>
      </c>
    </row>
    <row r="1593">
      <c r="A1593" s="15" t="n"/>
      <c r="B1593" s="10" t="n"/>
      <c r="C1593" s="14">
        <f>IF(B1593="","",IFERROR(INDEX('Sản phẩm'!$B$5:$B$304,MATCH(B1593,'Sản phẩm'!$A$5:$A$304,0)),""))</f>
        <v/>
      </c>
      <c r="D1593" s="12" t="n"/>
      <c r="E1593" s="11" t="n"/>
      <c r="F1593" s="16">
        <f>IF(OR(D1593="",E1593=""),"",D1593*E1593)</f>
        <v/>
      </c>
      <c r="G1593" s="10" t="n"/>
      <c r="H1593" s="14">
        <f>IF(A1593="","",MONTH(A1593))</f>
        <v/>
      </c>
      <c r="I1593" s="14">
        <f>IF(A1593="","",YEAR(A1593))</f>
        <v/>
      </c>
    </row>
    <row r="1594">
      <c r="A1594" s="15" t="n"/>
      <c r="B1594" s="10" t="n"/>
      <c r="C1594" s="14">
        <f>IF(B1594="","",IFERROR(INDEX('Sản phẩm'!$B$5:$B$304,MATCH(B1594,'Sản phẩm'!$A$5:$A$304,0)),""))</f>
        <v/>
      </c>
      <c r="D1594" s="12" t="n"/>
      <c r="E1594" s="11" t="n"/>
      <c r="F1594" s="16">
        <f>IF(OR(D1594="",E1594=""),"",D1594*E1594)</f>
        <v/>
      </c>
      <c r="G1594" s="10" t="n"/>
      <c r="H1594" s="14">
        <f>IF(A1594="","",MONTH(A1594))</f>
        <v/>
      </c>
      <c r="I1594" s="14">
        <f>IF(A1594="","",YEAR(A1594))</f>
        <v/>
      </c>
    </row>
    <row r="1595">
      <c r="A1595" s="15" t="n"/>
      <c r="B1595" s="10" t="n"/>
      <c r="C1595" s="14">
        <f>IF(B1595="","",IFERROR(INDEX('Sản phẩm'!$B$5:$B$304,MATCH(B1595,'Sản phẩm'!$A$5:$A$304,0)),""))</f>
        <v/>
      </c>
      <c r="D1595" s="12" t="n"/>
      <c r="E1595" s="11" t="n"/>
      <c r="F1595" s="16">
        <f>IF(OR(D1595="",E1595=""),"",D1595*E1595)</f>
        <v/>
      </c>
      <c r="G1595" s="10" t="n"/>
      <c r="H1595" s="14">
        <f>IF(A1595="","",MONTH(A1595))</f>
        <v/>
      </c>
      <c r="I1595" s="14">
        <f>IF(A1595="","",YEAR(A1595))</f>
        <v/>
      </c>
    </row>
    <row r="1596">
      <c r="A1596" s="15" t="n"/>
      <c r="B1596" s="10" t="n"/>
      <c r="C1596" s="14">
        <f>IF(B1596="","",IFERROR(INDEX('Sản phẩm'!$B$5:$B$304,MATCH(B1596,'Sản phẩm'!$A$5:$A$304,0)),""))</f>
        <v/>
      </c>
      <c r="D1596" s="12" t="n"/>
      <c r="E1596" s="11" t="n"/>
      <c r="F1596" s="16">
        <f>IF(OR(D1596="",E1596=""),"",D1596*E1596)</f>
        <v/>
      </c>
      <c r="G1596" s="10" t="n"/>
      <c r="H1596" s="14">
        <f>IF(A1596="","",MONTH(A1596))</f>
        <v/>
      </c>
      <c r="I1596" s="14">
        <f>IF(A1596="","",YEAR(A1596))</f>
        <v/>
      </c>
    </row>
    <row r="1597">
      <c r="A1597" s="15" t="n"/>
      <c r="B1597" s="10" t="n"/>
      <c r="C1597" s="14">
        <f>IF(B1597="","",IFERROR(INDEX('Sản phẩm'!$B$5:$B$304,MATCH(B1597,'Sản phẩm'!$A$5:$A$304,0)),""))</f>
        <v/>
      </c>
      <c r="D1597" s="12" t="n"/>
      <c r="E1597" s="11" t="n"/>
      <c r="F1597" s="16">
        <f>IF(OR(D1597="",E1597=""),"",D1597*E1597)</f>
        <v/>
      </c>
      <c r="G1597" s="10" t="n"/>
      <c r="H1597" s="14">
        <f>IF(A1597="","",MONTH(A1597))</f>
        <v/>
      </c>
      <c r="I1597" s="14">
        <f>IF(A1597="","",YEAR(A1597))</f>
        <v/>
      </c>
    </row>
    <row r="1598">
      <c r="A1598" s="15" t="n"/>
      <c r="B1598" s="10" t="n"/>
      <c r="C1598" s="14">
        <f>IF(B1598="","",IFERROR(INDEX('Sản phẩm'!$B$5:$B$304,MATCH(B1598,'Sản phẩm'!$A$5:$A$304,0)),""))</f>
        <v/>
      </c>
      <c r="D1598" s="12" t="n"/>
      <c r="E1598" s="11" t="n"/>
      <c r="F1598" s="16">
        <f>IF(OR(D1598="",E1598=""),"",D1598*E1598)</f>
        <v/>
      </c>
      <c r="G1598" s="10" t="n"/>
      <c r="H1598" s="14">
        <f>IF(A1598="","",MONTH(A1598))</f>
        <v/>
      </c>
      <c r="I1598" s="14">
        <f>IF(A1598="","",YEAR(A1598))</f>
        <v/>
      </c>
    </row>
    <row r="1599">
      <c r="A1599" s="15" t="n"/>
      <c r="B1599" s="10" t="n"/>
      <c r="C1599" s="14">
        <f>IF(B1599="","",IFERROR(INDEX('Sản phẩm'!$B$5:$B$304,MATCH(B1599,'Sản phẩm'!$A$5:$A$304,0)),""))</f>
        <v/>
      </c>
      <c r="D1599" s="12" t="n"/>
      <c r="E1599" s="11" t="n"/>
      <c r="F1599" s="16">
        <f>IF(OR(D1599="",E1599=""),"",D1599*E1599)</f>
        <v/>
      </c>
      <c r="G1599" s="10" t="n"/>
      <c r="H1599" s="14">
        <f>IF(A1599="","",MONTH(A1599))</f>
        <v/>
      </c>
      <c r="I1599" s="14">
        <f>IF(A1599="","",YEAR(A1599))</f>
        <v/>
      </c>
    </row>
    <row r="1600">
      <c r="A1600" s="15" t="n"/>
      <c r="B1600" s="10" t="n"/>
      <c r="C1600" s="14">
        <f>IF(B1600="","",IFERROR(INDEX('Sản phẩm'!$B$5:$B$304,MATCH(B1600,'Sản phẩm'!$A$5:$A$304,0)),""))</f>
        <v/>
      </c>
      <c r="D1600" s="12" t="n"/>
      <c r="E1600" s="11" t="n"/>
      <c r="F1600" s="16">
        <f>IF(OR(D1600="",E1600=""),"",D1600*E1600)</f>
        <v/>
      </c>
      <c r="G1600" s="10" t="n"/>
      <c r="H1600" s="14">
        <f>IF(A1600="","",MONTH(A1600))</f>
        <v/>
      </c>
      <c r="I1600" s="14">
        <f>IF(A1600="","",YEAR(A1600))</f>
        <v/>
      </c>
    </row>
    <row r="1601">
      <c r="A1601" s="15" t="n"/>
      <c r="B1601" s="10" t="n"/>
      <c r="C1601" s="14">
        <f>IF(B1601="","",IFERROR(INDEX('Sản phẩm'!$B$5:$B$304,MATCH(B1601,'Sản phẩm'!$A$5:$A$304,0)),""))</f>
        <v/>
      </c>
      <c r="D1601" s="12" t="n"/>
      <c r="E1601" s="11" t="n"/>
      <c r="F1601" s="16">
        <f>IF(OR(D1601="",E1601=""),"",D1601*E1601)</f>
        <v/>
      </c>
      <c r="G1601" s="10" t="n"/>
      <c r="H1601" s="14">
        <f>IF(A1601="","",MONTH(A1601))</f>
        <v/>
      </c>
      <c r="I1601" s="14">
        <f>IF(A1601="","",YEAR(A1601))</f>
        <v/>
      </c>
    </row>
    <row r="1602">
      <c r="A1602" s="15" t="n"/>
      <c r="B1602" s="10" t="n"/>
      <c r="C1602" s="14">
        <f>IF(B1602="","",IFERROR(INDEX('Sản phẩm'!$B$5:$B$304,MATCH(B1602,'Sản phẩm'!$A$5:$A$304,0)),""))</f>
        <v/>
      </c>
      <c r="D1602" s="12" t="n"/>
      <c r="E1602" s="11" t="n"/>
      <c r="F1602" s="16">
        <f>IF(OR(D1602="",E1602=""),"",D1602*E1602)</f>
        <v/>
      </c>
      <c r="G1602" s="10" t="n"/>
      <c r="H1602" s="14">
        <f>IF(A1602="","",MONTH(A1602))</f>
        <v/>
      </c>
      <c r="I1602" s="14">
        <f>IF(A1602="","",YEAR(A1602))</f>
        <v/>
      </c>
    </row>
    <row r="1603">
      <c r="A1603" s="15" t="n"/>
      <c r="B1603" s="10" t="n"/>
      <c r="C1603" s="14">
        <f>IF(B1603="","",IFERROR(INDEX('Sản phẩm'!$B$5:$B$304,MATCH(B1603,'Sản phẩm'!$A$5:$A$304,0)),""))</f>
        <v/>
      </c>
      <c r="D1603" s="12" t="n"/>
      <c r="E1603" s="11" t="n"/>
      <c r="F1603" s="16">
        <f>IF(OR(D1603="",E1603=""),"",D1603*E1603)</f>
        <v/>
      </c>
      <c r="G1603" s="10" t="n"/>
      <c r="H1603" s="14">
        <f>IF(A1603="","",MONTH(A1603))</f>
        <v/>
      </c>
      <c r="I1603" s="14">
        <f>IF(A1603="","",YEAR(A1603))</f>
        <v/>
      </c>
    </row>
    <row r="1604">
      <c r="A1604" s="15" t="n"/>
      <c r="B1604" s="10" t="n"/>
      <c r="C1604" s="14">
        <f>IF(B1604="","",IFERROR(INDEX('Sản phẩm'!$B$5:$B$304,MATCH(B1604,'Sản phẩm'!$A$5:$A$304,0)),""))</f>
        <v/>
      </c>
      <c r="D1604" s="12" t="n"/>
      <c r="E1604" s="11" t="n"/>
      <c r="F1604" s="16">
        <f>IF(OR(D1604="",E1604=""),"",D1604*E1604)</f>
        <v/>
      </c>
      <c r="G1604" s="10" t="n"/>
      <c r="H1604" s="14">
        <f>IF(A1604="","",MONTH(A1604))</f>
        <v/>
      </c>
      <c r="I1604" s="14">
        <f>IF(A1604="","",YEAR(A1604))</f>
        <v/>
      </c>
    </row>
    <row r="1605">
      <c r="A1605" s="15" t="n"/>
      <c r="B1605" s="10" t="n"/>
      <c r="C1605" s="14">
        <f>IF(B1605="","",IFERROR(INDEX('Sản phẩm'!$B$5:$B$304,MATCH(B1605,'Sản phẩm'!$A$5:$A$304,0)),""))</f>
        <v/>
      </c>
      <c r="D1605" s="12" t="n"/>
      <c r="E1605" s="11" t="n"/>
      <c r="F1605" s="16">
        <f>IF(OR(D1605="",E1605=""),"",D1605*E1605)</f>
        <v/>
      </c>
      <c r="G1605" s="10" t="n"/>
      <c r="H1605" s="14">
        <f>IF(A1605="","",MONTH(A1605))</f>
        <v/>
      </c>
      <c r="I1605" s="14">
        <f>IF(A1605="","",YEAR(A1605))</f>
        <v/>
      </c>
    </row>
    <row r="1606">
      <c r="A1606" s="15" t="n"/>
      <c r="B1606" s="10" t="n"/>
      <c r="C1606" s="14">
        <f>IF(B1606="","",IFERROR(INDEX('Sản phẩm'!$B$5:$B$304,MATCH(B1606,'Sản phẩm'!$A$5:$A$304,0)),""))</f>
        <v/>
      </c>
      <c r="D1606" s="12" t="n"/>
      <c r="E1606" s="11" t="n"/>
      <c r="F1606" s="16">
        <f>IF(OR(D1606="",E1606=""),"",D1606*E1606)</f>
        <v/>
      </c>
      <c r="G1606" s="10" t="n"/>
      <c r="H1606" s="14">
        <f>IF(A1606="","",MONTH(A1606))</f>
        <v/>
      </c>
      <c r="I1606" s="14">
        <f>IF(A1606="","",YEAR(A1606))</f>
        <v/>
      </c>
    </row>
    <row r="1607">
      <c r="A1607" s="15" t="n"/>
      <c r="B1607" s="10" t="n"/>
      <c r="C1607" s="14">
        <f>IF(B1607="","",IFERROR(INDEX('Sản phẩm'!$B$5:$B$304,MATCH(B1607,'Sản phẩm'!$A$5:$A$304,0)),""))</f>
        <v/>
      </c>
      <c r="D1607" s="12" t="n"/>
      <c r="E1607" s="11" t="n"/>
      <c r="F1607" s="16">
        <f>IF(OR(D1607="",E1607=""),"",D1607*E1607)</f>
        <v/>
      </c>
      <c r="G1607" s="10" t="n"/>
      <c r="H1607" s="14">
        <f>IF(A1607="","",MONTH(A1607))</f>
        <v/>
      </c>
      <c r="I1607" s="14">
        <f>IF(A1607="","",YEAR(A1607))</f>
        <v/>
      </c>
    </row>
    <row r="1608">
      <c r="A1608" s="15" t="n"/>
      <c r="B1608" s="10" t="n"/>
      <c r="C1608" s="14">
        <f>IF(B1608="","",IFERROR(INDEX('Sản phẩm'!$B$5:$B$304,MATCH(B1608,'Sản phẩm'!$A$5:$A$304,0)),""))</f>
        <v/>
      </c>
      <c r="D1608" s="12" t="n"/>
      <c r="E1608" s="11" t="n"/>
      <c r="F1608" s="16">
        <f>IF(OR(D1608="",E1608=""),"",D1608*E1608)</f>
        <v/>
      </c>
      <c r="G1608" s="10" t="n"/>
      <c r="H1608" s="14">
        <f>IF(A1608="","",MONTH(A1608))</f>
        <v/>
      </c>
      <c r="I1608" s="14">
        <f>IF(A1608="","",YEAR(A1608))</f>
        <v/>
      </c>
    </row>
    <row r="1609">
      <c r="A1609" s="15" t="n"/>
      <c r="B1609" s="10" t="n"/>
      <c r="C1609" s="14">
        <f>IF(B1609="","",IFERROR(INDEX('Sản phẩm'!$B$5:$B$304,MATCH(B1609,'Sản phẩm'!$A$5:$A$304,0)),""))</f>
        <v/>
      </c>
      <c r="D1609" s="12" t="n"/>
      <c r="E1609" s="11" t="n"/>
      <c r="F1609" s="16">
        <f>IF(OR(D1609="",E1609=""),"",D1609*E1609)</f>
        <v/>
      </c>
      <c r="G1609" s="10" t="n"/>
      <c r="H1609" s="14">
        <f>IF(A1609="","",MONTH(A1609))</f>
        <v/>
      </c>
      <c r="I1609" s="14">
        <f>IF(A1609="","",YEAR(A1609))</f>
        <v/>
      </c>
    </row>
    <row r="1610">
      <c r="A1610" s="15" t="n"/>
      <c r="B1610" s="10" t="n"/>
      <c r="C1610" s="14">
        <f>IF(B1610="","",IFERROR(INDEX('Sản phẩm'!$B$5:$B$304,MATCH(B1610,'Sản phẩm'!$A$5:$A$304,0)),""))</f>
        <v/>
      </c>
      <c r="D1610" s="12" t="n"/>
      <c r="E1610" s="11" t="n"/>
      <c r="F1610" s="16">
        <f>IF(OR(D1610="",E1610=""),"",D1610*E1610)</f>
        <v/>
      </c>
      <c r="G1610" s="10" t="n"/>
      <c r="H1610" s="14">
        <f>IF(A1610="","",MONTH(A1610))</f>
        <v/>
      </c>
      <c r="I1610" s="14">
        <f>IF(A1610="","",YEAR(A1610))</f>
        <v/>
      </c>
    </row>
    <row r="1611">
      <c r="A1611" s="15" t="n"/>
      <c r="B1611" s="10" t="n"/>
      <c r="C1611" s="14">
        <f>IF(B1611="","",IFERROR(INDEX('Sản phẩm'!$B$5:$B$304,MATCH(B1611,'Sản phẩm'!$A$5:$A$304,0)),""))</f>
        <v/>
      </c>
      <c r="D1611" s="12" t="n"/>
      <c r="E1611" s="11" t="n"/>
      <c r="F1611" s="16">
        <f>IF(OR(D1611="",E1611=""),"",D1611*E1611)</f>
        <v/>
      </c>
      <c r="G1611" s="10" t="n"/>
      <c r="H1611" s="14">
        <f>IF(A1611="","",MONTH(A1611))</f>
        <v/>
      </c>
      <c r="I1611" s="14">
        <f>IF(A1611="","",YEAR(A1611))</f>
        <v/>
      </c>
    </row>
    <row r="1612">
      <c r="A1612" s="15" t="n"/>
      <c r="B1612" s="10" t="n"/>
      <c r="C1612" s="14">
        <f>IF(B1612="","",IFERROR(INDEX('Sản phẩm'!$B$5:$B$304,MATCH(B1612,'Sản phẩm'!$A$5:$A$304,0)),""))</f>
        <v/>
      </c>
      <c r="D1612" s="12" t="n"/>
      <c r="E1612" s="11" t="n"/>
      <c r="F1612" s="16">
        <f>IF(OR(D1612="",E1612=""),"",D1612*E1612)</f>
        <v/>
      </c>
      <c r="G1612" s="10" t="n"/>
      <c r="H1612" s="14">
        <f>IF(A1612="","",MONTH(A1612))</f>
        <v/>
      </c>
      <c r="I1612" s="14">
        <f>IF(A1612="","",YEAR(A1612))</f>
        <v/>
      </c>
    </row>
    <row r="1613">
      <c r="A1613" s="15" t="n"/>
      <c r="B1613" s="10" t="n"/>
      <c r="C1613" s="14">
        <f>IF(B1613="","",IFERROR(INDEX('Sản phẩm'!$B$5:$B$304,MATCH(B1613,'Sản phẩm'!$A$5:$A$304,0)),""))</f>
        <v/>
      </c>
      <c r="D1613" s="12" t="n"/>
      <c r="E1613" s="11" t="n"/>
      <c r="F1613" s="16">
        <f>IF(OR(D1613="",E1613=""),"",D1613*E1613)</f>
        <v/>
      </c>
      <c r="G1613" s="10" t="n"/>
      <c r="H1613" s="14">
        <f>IF(A1613="","",MONTH(A1613))</f>
        <v/>
      </c>
      <c r="I1613" s="14">
        <f>IF(A1613="","",YEAR(A1613))</f>
        <v/>
      </c>
    </row>
    <row r="1614">
      <c r="A1614" s="15" t="n"/>
      <c r="B1614" s="10" t="n"/>
      <c r="C1614" s="14">
        <f>IF(B1614="","",IFERROR(INDEX('Sản phẩm'!$B$5:$B$304,MATCH(B1614,'Sản phẩm'!$A$5:$A$304,0)),""))</f>
        <v/>
      </c>
      <c r="D1614" s="12" t="n"/>
      <c r="E1614" s="11" t="n"/>
      <c r="F1614" s="16">
        <f>IF(OR(D1614="",E1614=""),"",D1614*E1614)</f>
        <v/>
      </c>
      <c r="G1614" s="10" t="n"/>
      <c r="H1614" s="14">
        <f>IF(A1614="","",MONTH(A1614))</f>
        <v/>
      </c>
      <c r="I1614" s="14">
        <f>IF(A1614="","",YEAR(A1614))</f>
        <v/>
      </c>
    </row>
    <row r="1615">
      <c r="A1615" s="15" t="n"/>
      <c r="B1615" s="10" t="n"/>
      <c r="C1615" s="14">
        <f>IF(B1615="","",IFERROR(INDEX('Sản phẩm'!$B$5:$B$304,MATCH(B1615,'Sản phẩm'!$A$5:$A$304,0)),""))</f>
        <v/>
      </c>
      <c r="D1615" s="12" t="n"/>
      <c r="E1615" s="11" t="n"/>
      <c r="F1615" s="16">
        <f>IF(OR(D1615="",E1615=""),"",D1615*E1615)</f>
        <v/>
      </c>
      <c r="G1615" s="10" t="n"/>
      <c r="H1615" s="14">
        <f>IF(A1615="","",MONTH(A1615))</f>
        <v/>
      </c>
      <c r="I1615" s="14">
        <f>IF(A1615="","",YEAR(A1615))</f>
        <v/>
      </c>
    </row>
    <row r="1616">
      <c r="A1616" s="15" t="n"/>
      <c r="B1616" s="10" t="n"/>
      <c r="C1616" s="14">
        <f>IF(B1616="","",IFERROR(INDEX('Sản phẩm'!$B$5:$B$304,MATCH(B1616,'Sản phẩm'!$A$5:$A$304,0)),""))</f>
        <v/>
      </c>
      <c r="D1616" s="12" t="n"/>
      <c r="E1616" s="11" t="n"/>
      <c r="F1616" s="16">
        <f>IF(OR(D1616="",E1616=""),"",D1616*E1616)</f>
        <v/>
      </c>
      <c r="G1616" s="10" t="n"/>
      <c r="H1616" s="14">
        <f>IF(A1616="","",MONTH(A1616))</f>
        <v/>
      </c>
      <c r="I1616" s="14">
        <f>IF(A1616="","",YEAR(A1616))</f>
        <v/>
      </c>
    </row>
    <row r="1617">
      <c r="A1617" s="15" t="n"/>
      <c r="B1617" s="10" t="n"/>
      <c r="C1617" s="14">
        <f>IF(B1617="","",IFERROR(INDEX('Sản phẩm'!$B$5:$B$304,MATCH(B1617,'Sản phẩm'!$A$5:$A$304,0)),""))</f>
        <v/>
      </c>
      <c r="D1617" s="12" t="n"/>
      <c r="E1617" s="11" t="n"/>
      <c r="F1617" s="16">
        <f>IF(OR(D1617="",E1617=""),"",D1617*E1617)</f>
        <v/>
      </c>
      <c r="G1617" s="10" t="n"/>
      <c r="H1617" s="14">
        <f>IF(A1617="","",MONTH(A1617))</f>
        <v/>
      </c>
      <c r="I1617" s="14">
        <f>IF(A1617="","",YEAR(A1617))</f>
        <v/>
      </c>
    </row>
    <row r="1618">
      <c r="A1618" s="15" t="n"/>
      <c r="B1618" s="10" t="n"/>
      <c r="C1618" s="14">
        <f>IF(B1618="","",IFERROR(INDEX('Sản phẩm'!$B$5:$B$304,MATCH(B1618,'Sản phẩm'!$A$5:$A$304,0)),""))</f>
        <v/>
      </c>
      <c r="D1618" s="12" t="n"/>
      <c r="E1618" s="11" t="n"/>
      <c r="F1618" s="16">
        <f>IF(OR(D1618="",E1618=""),"",D1618*E1618)</f>
        <v/>
      </c>
      <c r="G1618" s="10" t="n"/>
      <c r="H1618" s="14">
        <f>IF(A1618="","",MONTH(A1618))</f>
        <v/>
      </c>
      <c r="I1618" s="14">
        <f>IF(A1618="","",YEAR(A1618))</f>
        <v/>
      </c>
    </row>
    <row r="1619">
      <c r="A1619" s="15" t="n"/>
      <c r="B1619" s="10" t="n"/>
      <c r="C1619" s="14">
        <f>IF(B1619="","",IFERROR(INDEX('Sản phẩm'!$B$5:$B$304,MATCH(B1619,'Sản phẩm'!$A$5:$A$304,0)),""))</f>
        <v/>
      </c>
      <c r="D1619" s="12" t="n"/>
      <c r="E1619" s="11" t="n"/>
      <c r="F1619" s="16">
        <f>IF(OR(D1619="",E1619=""),"",D1619*E1619)</f>
        <v/>
      </c>
      <c r="G1619" s="10" t="n"/>
      <c r="H1619" s="14">
        <f>IF(A1619="","",MONTH(A1619))</f>
        <v/>
      </c>
      <c r="I1619" s="14">
        <f>IF(A1619="","",YEAR(A1619))</f>
        <v/>
      </c>
    </row>
    <row r="1620">
      <c r="A1620" s="15" t="n"/>
      <c r="B1620" s="10" t="n"/>
      <c r="C1620" s="14">
        <f>IF(B1620="","",IFERROR(INDEX('Sản phẩm'!$B$5:$B$304,MATCH(B1620,'Sản phẩm'!$A$5:$A$304,0)),""))</f>
        <v/>
      </c>
      <c r="D1620" s="12" t="n"/>
      <c r="E1620" s="11" t="n"/>
      <c r="F1620" s="16">
        <f>IF(OR(D1620="",E1620=""),"",D1620*E1620)</f>
        <v/>
      </c>
      <c r="G1620" s="10" t="n"/>
      <c r="H1620" s="14">
        <f>IF(A1620="","",MONTH(A1620))</f>
        <v/>
      </c>
      <c r="I1620" s="14">
        <f>IF(A1620="","",YEAR(A1620))</f>
        <v/>
      </c>
    </row>
    <row r="1621">
      <c r="A1621" s="15" t="n"/>
      <c r="B1621" s="10" t="n"/>
      <c r="C1621" s="14">
        <f>IF(B1621="","",IFERROR(INDEX('Sản phẩm'!$B$5:$B$304,MATCH(B1621,'Sản phẩm'!$A$5:$A$304,0)),""))</f>
        <v/>
      </c>
      <c r="D1621" s="12" t="n"/>
      <c r="E1621" s="11" t="n"/>
      <c r="F1621" s="16">
        <f>IF(OR(D1621="",E1621=""),"",D1621*E1621)</f>
        <v/>
      </c>
      <c r="G1621" s="10" t="n"/>
      <c r="H1621" s="14">
        <f>IF(A1621="","",MONTH(A1621))</f>
        <v/>
      </c>
      <c r="I1621" s="14">
        <f>IF(A1621="","",YEAR(A1621))</f>
        <v/>
      </c>
    </row>
    <row r="1622">
      <c r="A1622" s="15" t="n"/>
      <c r="B1622" s="10" t="n"/>
      <c r="C1622" s="14">
        <f>IF(B1622="","",IFERROR(INDEX('Sản phẩm'!$B$5:$B$304,MATCH(B1622,'Sản phẩm'!$A$5:$A$304,0)),""))</f>
        <v/>
      </c>
      <c r="D1622" s="12" t="n"/>
      <c r="E1622" s="11" t="n"/>
      <c r="F1622" s="16">
        <f>IF(OR(D1622="",E1622=""),"",D1622*E1622)</f>
        <v/>
      </c>
      <c r="G1622" s="10" t="n"/>
      <c r="H1622" s="14">
        <f>IF(A1622="","",MONTH(A1622))</f>
        <v/>
      </c>
      <c r="I1622" s="14">
        <f>IF(A1622="","",YEAR(A1622))</f>
        <v/>
      </c>
    </row>
    <row r="1623">
      <c r="A1623" s="15" t="n"/>
      <c r="B1623" s="10" t="n"/>
      <c r="C1623" s="14">
        <f>IF(B1623="","",IFERROR(INDEX('Sản phẩm'!$B$5:$B$304,MATCH(B1623,'Sản phẩm'!$A$5:$A$304,0)),""))</f>
        <v/>
      </c>
      <c r="D1623" s="12" t="n"/>
      <c r="E1623" s="11" t="n"/>
      <c r="F1623" s="16">
        <f>IF(OR(D1623="",E1623=""),"",D1623*E1623)</f>
        <v/>
      </c>
      <c r="G1623" s="10" t="n"/>
      <c r="H1623" s="14">
        <f>IF(A1623="","",MONTH(A1623))</f>
        <v/>
      </c>
      <c r="I1623" s="14">
        <f>IF(A1623="","",YEAR(A1623))</f>
        <v/>
      </c>
    </row>
    <row r="1624">
      <c r="A1624" s="15" t="n"/>
      <c r="B1624" s="10" t="n"/>
      <c r="C1624" s="14">
        <f>IF(B1624="","",IFERROR(INDEX('Sản phẩm'!$B$5:$B$304,MATCH(B1624,'Sản phẩm'!$A$5:$A$304,0)),""))</f>
        <v/>
      </c>
      <c r="D1624" s="12" t="n"/>
      <c r="E1624" s="11" t="n"/>
      <c r="F1624" s="16">
        <f>IF(OR(D1624="",E1624=""),"",D1624*E1624)</f>
        <v/>
      </c>
      <c r="G1624" s="10" t="n"/>
      <c r="H1624" s="14">
        <f>IF(A1624="","",MONTH(A1624))</f>
        <v/>
      </c>
      <c r="I1624" s="14">
        <f>IF(A1624="","",YEAR(A1624))</f>
        <v/>
      </c>
    </row>
    <row r="1625">
      <c r="A1625" s="15" t="n"/>
      <c r="B1625" s="10" t="n"/>
      <c r="C1625" s="14">
        <f>IF(B1625="","",IFERROR(INDEX('Sản phẩm'!$B$5:$B$304,MATCH(B1625,'Sản phẩm'!$A$5:$A$304,0)),""))</f>
        <v/>
      </c>
      <c r="D1625" s="12" t="n"/>
      <c r="E1625" s="11" t="n"/>
      <c r="F1625" s="16">
        <f>IF(OR(D1625="",E1625=""),"",D1625*E1625)</f>
        <v/>
      </c>
      <c r="G1625" s="10" t="n"/>
      <c r="H1625" s="14">
        <f>IF(A1625="","",MONTH(A1625))</f>
        <v/>
      </c>
      <c r="I1625" s="14">
        <f>IF(A1625="","",YEAR(A1625))</f>
        <v/>
      </c>
    </row>
    <row r="1626">
      <c r="A1626" s="15" t="n"/>
      <c r="B1626" s="10" t="n"/>
      <c r="C1626" s="14">
        <f>IF(B1626="","",IFERROR(INDEX('Sản phẩm'!$B$5:$B$304,MATCH(B1626,'Sản phẩm'!$A$5:$A$304,0)),""))</f>
        <v/>
      </c>
      <c r="D1626" s="12" t="n"/>
      <c r="E1626" s="11" t="n"/>
      <c r="F1626" s="16">
        <f>IF(OR(D1626="",E1626=""),"",D1626*E1626)</f>
        <v/>
      </c>
      <c r="G1626" s="10" t="n"/>
      <c r="H1626" s="14">
        <f>IF(A1626="","",MONTH(A1626))</f>
        <v/>
      </c>
      <c r="I1626" s="14">
        <f>IF(A1626="","",YEAR(A1626))</f>
        <v/>
      </c>
    </row>
    <row r="1627">
      <c r="A1627" s="15" t="n"/>
      <c r="B1627" s="10" t="n"/>
      <c r="C1627" s="14">
        <f>IF(B1627="","",IFERROR(INDEX('Sản phẩm'!$B$5:$B$304,MATCH(B1627,'Sản phẩm'!$A$5:$A$304,0)),""))</f>
        <v/>
      </c>
      <c r="D1627" s="12" t="n"/>
      <c r="E1627" s="11" t="n"/>
      <c r="F1627" s="16">
        <f>IF(OR(D1627="",E1627=""),"",D1627*E1627)</f>
        <v/>
      </c>
      <c r="G1627" s="10" t="n"/>
      <c r="H1627" s="14">
        <f>IF(A1627="","",MONTH(A1627))</f>
        <v/>
      </c>
      <c r="I1627" s="14">
        <f>IF(A1627="","",YEAR(A1627))</f>
        <v/>
      </c>
    </row>
    <row r="1628">
      <c r="A1628" s="15" t="n"/>
      <c r="B1628" s="10" t="n"/>
      <c r="C1628" s="14">
        <f>IF(B1628="","",IFERROR(INDEX('Sản phẩm'!$B$5:$B$304,MATCH(B1628,'Sản phẩm'!$A$5:$A$304,0)),""))</f>
        <v/>
      </c>
      <c r="D1628" s="12" t="n"/>
      <c r="E1628" s="11" t="n"/>
      <c r="F1628" s="16">
        <f>IF(OR(D1628="",E1628=""),"",D1628*E1628)</f>
        <v/>
      </c>
      <c r="G1628" s="10" t="n"/>
      <c r="H1628" s="14">
        <f>IF(A1628="","",MONTH(A1628))</f>
        <v/>
      </c>
      <c r="I1628" s="14">
        <f>IF(A1628="","",YEAR(A1628))</f>
        <v/>
      </c>
    </row>
    <row r="1629">
      <c r="A1629" s="15" t="n"/>
      <c r="B1629" s="10" t="n"/>
      <c r="C1629" s="14">
        <f>IF(B1629="","",IFERROR(INDEX('Sản phẩm'!$B$5:$B$304,MATCH(B1629,'Sản phẩm'!$A$5:$A$304,0)),""))</f>
        <v/>
      </c>
      <c r="D1629" s="12" t="n"/>
      <c r="E1629" s="11" t="n"/>
      <c r="F1629" s="16">
        <f>IF(OR(D1629="",E1629=""),"",D1629*E1629)</f>
        <v/>
      </c>
      <c r="G1629" s="10" t="n"/>
      <c r="H1629" s="14">
        <f>IF(A1629="","",MONTH(A1629))</f>
        <v/>
      </c>
      <c r="I1629" s="14">
        <f>IF(A1629="","",YEAR(A1629))</f>
        <v/>
      </c>
    </row>
    <row r="1630">
      <c r="A1630" s="15" t="n"/>
      <c r="B1630" s="10" t="n"/>
      <c r="C1630" s="14">
        <f>IF(B1630="","",IFERROR(INDEX('Sản phẩm'!$B$5:$B$304,MATCH(B1630,'Sản phẩm'!$A$5:$A$304,0)),""))</f>
        <v/>
      </c>
      <c r="D1630" s="12" t="n"/>
      <c r="E1630" s="11" t="n"/>
      <c r="F1630" s="16">
        <f>IF(OR(D1630="",E1630=""),"",D1630*E1630)</f>
        <v/>
      </c>
      <c r="G1630" s="10" t="n"/>
      <c r="H1630" s="14">
        <f>IF(A1630="","",MONTH(A1630))</f>
        <v/>
      </c>
      <c r="I1630" s="14">
        <f>IF(A1630="","",YEAR(A1630))</f>
        <v/>
      </c>
    </row>
    <row r="1631">
      <c r="A1631" s="15" t="n"/>
      <c r="B1631" s="10" t="n"/>
      <c r="C1631" s="14">
        <f>IF(B1631="","",IFERROR(INDEX('Sản phẩm'!$B$5:$B$304,MATCH(B1631,'Sản phẩm'!$A$5:$A$304,0)),""))</f>
        <v/>
      </c>
      <c r="D1631" s="12" t="n"/>
      <c r="E1631" s="11" t="n"/>
      <c r="F1631" s="16">
        <f>IF(OR(D1631="",E1631=""),"",D1631*E1631)</f>
        <v/>
      </c>
      <c r="G1631" s="10" t="n"/>
      <c r="H1631" s="14">
        <f>IF(A1631="","",MONTH(A1631))</f>
        <v/>
      </c>
      <c r="I1631" s="14">
        <f>IF(A1631="","",YEAR(A1631))</f>
        <v/>
      </c>
    </row>
    <row r="1632">
      <c r="A1632" s="15" t="n"/>
      <c r="B1632" s="10" t="n"/>
      <c r="C1632" s="14">
        <f>IF(B1632="","",IFERROR(INDEX('Sản phẩm'!$B$5:$B$304,MATCH(B1632,'Sản phẩm'!$A$5:$A$304,0)),""))</f>
        <v/>
      </c>
      <c r="D1632" s="12" t="n"/>
      <c r="E1632" s="11" t="n"/>
      <c r="F1632" s="16">
        <f>IF(OR(D1632="",E1632=""),"",D1632*E1632)</f>
        <v/>
      </c>
      <c r="G1632" s="10" t="n"/>
      <c r="H1632" s="14">
        <f>IF(A1632="","",MONTH(A1632))</f>
        <v/>
      </c>
      <c r="I1632" s="14">
        <f>IF(A1632="","",YEAR(A1632))</f>
        <v/>
      </c>
    </row>
    <row r="1633">
      <c r="A1633" s="15" t="n"/>
      <c r="B1633" s="10" t="n"/>
      <c r="C1633" s="14">
        <f>IF(B1633="","",IFERROR(INDEX('Sản phẩm'!$B$5:$B$304,MATCH(B1633,'Sản phẩm'!$A$5:$A$304,0)),""))</f>
        <v/>
      </c>
      <c r="D1633" s="12" t="n"/>
      <c r="E1633" s="11" t="n"/>
      <c r="F1633" s="16">
        <f>IF(OR(D1633="",E1633=""),"",D1633*E1633)</f>
        <v/>
      </c>
      <c r="G1633" s="10" t="n"/>
      <c r="H1633" s="14">
        <f>IF(A1633="","",MONTH(A1633))</f>
        <v/>
      </c>
      <c r="I1633" s="14">
        <f>IF(A1633="","",YEAR(A1633))</f>
        <v/>
      </c>
    </row>
    <row r="1634">
      <c r="A1634" s="15" t="n"/>
      <c r="B1634" s="10" t="n"/>
      <c r="C1634" s="14">
        <f>IF(B1634="","",IFERROR(INDEX('Sản phẩm'!$B$5:$B$304,MATCH(B1634,'Sản phẩm'!$A$5:$A$304,0)),""))</f>
        <v/>
      </c>
      <c r="D1634" s="12" t="n"/>
      <c r="E1634" s="11" t="n"/>
      <c r="F1634" s="16">
        <f>IF(OR(D1634="",E1634=""),"",D1634*E1634)</f>
        <v/>
      </c>
      <c r="G1634" s="10" t="n"/>
      <c r="H1634" s="14">
        <f>IF(A1634="","",MONTH(A1634))</f>
        <v/>
      </c>
      <c r="I1634" s="14">
        <f>IF(A1634="","",YEAR(A1634))</f>
        <v/>
      </c>
    </row>
    <row r="1635">
      <c r="A1635" s="15" t="n"/>
      <c r="B1635" s="10" t="n"/>
      <c r="C1635" s="14">
        <f>IF(B1635="","",IFERROR(INDEX('Sản phẩm'!$B$5:$B$304,MATCH(B1635,'Sản phẩm'!$A$5:$A$304,0)),""))</f>
        <v/>
      </c>
      <c r="D1635" s="12" t="n"/>
      <c r="E1635" s="11" t="n"/>
      <c r="F1635" s="16">
        <f>IF(OR(D1635="",E1635=""),"",D1635*E1635)</f>
        <v/>
      </c>
      <c r="G1635" s="10" t="n"/>
      <c r="H1635" s="14">
        <f>IF(A1635="","",MONTH(A1635))</f>
        <v/>
      </c>
      <c r="I1635" s="14">
        <f>IF(A1635="","",YEAR(A1635))</f>
        <v/>
      </c>
    </row>
    <row r="1636">
      <c r="A1636" s="15" t="n"/>
      <c r="B1636" s="10" t="n"/>
      <c r="C1636" s="14">
        <f>IF(B1636="","",IFERROR(INDEX('Sản phẩm'!$B$5:$B$304,MATCH(B1636,'Sản phẩm'!$A$5:$A$304,0)),""))</f>
        <v/>
      </c>
      <c r="D1636" s="12" t="n"/>
      <c r="E1636" s="11" t="n"/>
      <c r="F1636" s="16">
        <f>IF(OR(D1636="",E1636=""),"",D1636*E1636)</f>
        <v/>
      </c>
      <c r="G1636" s="10" t="n"/>
      <c r="H1636" s="14">
        <f>IF(A1636="","",MONTH(A1636))</f>
        <v/>
      </c>
      <c r="I1636" s="14">
        <f>IF(A1636="","",YEAR(A1636))</f>
        <v/>
      </c>
    </row>
    <row r="1637">
      <c r="A1637" s="15" t="n"/>
      <c r="B1637" s="10" t="n"/>
      <c r="C1637" s="14">
        <f>IF(B1637="","",IFERROR(INDEX('Sản phẩm'!$B$5:$B$304,MATCH(B1637,'Sản phẩm'!$A$5:$A$304,0)),""))</f>
        <v/>
      </c>
      <c r="D1637" s="12" t="n"/>
      <c r="E1637" s="11" t="n"/>
      <c r="F1637" s="16">
        <f>IF(OR(D1637="",E1637=""),"",D1637*E1637)</f>
        <v/>
      </c>
      <c r="G1637" s="10" t="n"/>
      <c r="H1637" s="14">
        <f>IF(A1637="","",MONTH(A1637))</f>
        <v/>
      </c>
      <c r="I1637" s="14">
        <f>IF(A1637="","",YEAR(A1637))</f>
        <v/>
      </c>
    </row>
    <row r="1638">
      <c r="A1638" s="15" t="n"/>
      <c r="B1638" s="10" t="n"/>
      <c r="C1638" s="14">
        <f>IF(B1638="","",IFERROR(INDEX('Sản phẩm'!$B$5:$B$304,MATCH(B1638,'Sản phẩm'!$A$5:$A$304,0)),""))</f>
        <v/>
      </c>
      <c r="D1638" s="12" t="n"/>
      <c r="E1638" s="11" t="n"/>
      <c r="F1638" s="16">
        <f>IF(OR(D1638="",E1638=""),"",D1638*E1638)</f>
        <v/>
      </c>
      <c r="G1638" s="10" t="n"/>
      <c r="H1638" s="14">
        <f>IF(A1638="","",MONTH(A1638))</f>
        <v/>
      </c>
      <c r="I1638" s="14">
        <f>IF(A1638="","",YEAR(A1638))</f>
        <v/>
      </c>
    </row>
    <row r="1639">
      <c r="A1639" s="15" t="n"/>
      <c r="B1639" s="10" t="n"/>
      <c r="C1639" s="14">
        <f>IF(B1639="","",IFERROR(INDEX('Sản phẩm'!$B$5:$B$304,MATCH(B1639,'Sản phẩm'!$A$5:$A$304,0)),""))</f>
        <v/>
      </c>
      <c r="D1639" s="12" t="n"/>
      <c r="E1639" s="11" t="n"/>
      <c r="F1639" s="16">
        <f>IF(OR(D1639="",E1639=""),"",D1639*E1639)</f>
        <v/>
      </c>
      <c r="G1639" s="10" t="n"/>
      <c r="H1639" s="14">
        <f>IF(A1639="","",MONTH(A1639))</f>
        <v/>
      </c>
      <c r="I1639" s="14">
        <f>IF(A1639="","",YEAR(A1639))</f>
        <v/>
      </c>
    </row>
    <row r="1640">
      <c r="A1640" s="15" t="n"/>
      <c r="B1640" s="10" t="n"/>
      <c r="C1640" s="14">
        <f>IF(B1640="","",IFERROR(INDEX('Sản phẩm'!$B$5:$B$304,MATCH(B1640,'Sản phẩm'!$A$5:$A$304,0)),""))</f>
        <v/>
      </c>
      <c r="D1640" s="12" t="n"/>
      <c r="E1640" s="11" t="n"/>
      <c r="F1640" s="16">
        <f>IF(OR(D1640="",E1640=""),"",D1640*E1640)</f>
        <v/>
      </c>
      <c r="G1640" s="10" t="n"/>
      <c r="H1640" s="14">
        <f>IF(A1640="","",MONTH(A1640))</f>
        <v/>
      </c>
      <c r="I1640" s="14">
        <f>IF(A1640="","",YEAR(A1640))</f>
        <v/>
      </c>
    </row>
    <row r="1641">
      <c r="A1641" s="15" t="n"/>
      <c r="B1641" s="10" t="n"/>
      <c r="C1641" s="14">
        <f>IF(B1641="","",IFERROR(INDEX('Sản phẩm'!$B$5:$B$304,MATCH(B1641,'Sản phẩm'!$A$5:$A$304,0)),""))</f>
        <v/>
      </c>
      <c r="D1641" s="12" t="n"/>
      <c r="E1641" s="11" t="n"/>
      <c r="F1641" s="16">
        <f>IF(OR(D1641="",E1641=""),"",D1641*E1641)</f>
        <v/>
      </c>
      <c r="G1641" s="10" t="n"/>
      <c r="H1641" s="14">
        <f>IF(A1641="","",MONTH(A1641))</f>
        <v/>
      </c>
      <c r="I1641" s="14">
        <f>IF(A1641="","",YEAR(A1641))</f>
        <v/>
      </c>
    </row>
    <row r="1642">
      <c r="A1642" s="15" t="n"/>
      <c r="B1642" s="10" t="n"/>
      <c r="C1642" s="14">
        <f>IF(B1642="","",IFERROR(INDEX('Sản phẩm'!$B$5:$B$304,MATCH(B1642,'Sản phẩm'!$A$5:$A$304,0)),""))</f>
        <v/>
      </c>
      <c r="D1642" s="12" t="n"/>
      <c r="E1642" s="11" t="n"/>
      <c r="F1642" s="16">
        <f>IF(OR(D1642="",E1642=""),"",D1642*E1642)</f>
        <v/>
      </c>
      <c r="G1642" s="10" t="n"/>
      <c r="H1642" s="14">
        <f>IF(A1642="","",MONTH(A1642))</f>
        <v/>
      </c>
      <c r="I1642" s="14">
        <f>IF(A1642="","",YEAR(A1642))</f>
        <v/>
      </c>
    </row>
    <row r="1643">
      <c r="A1643" s="15" t="n"/>
      <c r="B1643" s="10" t="n"/>
      <c r="C1643" s="14">
        <f>IF(B1643="","",IFERROR(INDEX('Sản phẩm'!$B$5:$B$304,MATCH(B1643,'Sản phẩm'!$A$5:$A$304,0)),""))</f>
        <v/>
      </c>
      <c r="D1643" s="12" t="n"/>
      <c r="E1643" s="11" t="n"/>
      <c r="F1643" s="16">
        <f>IF(OR(D1643="",E1643=""),"",D1643*E1643)</f>
        <v/>
      </c>
      <c r="G1643" s="10" t="n"/>
      <c r="H1643" s="14">
        <f>IF(A1643="","",MONTH(A1643))</f>
        <v/>
      </c>
      <c r="I1643" s="14">
        <f>IF(A1643="","",YEAR(A1643))</f>
        <v/>
      </c>
    </row>
    <row r="1644">
      <c r="A1644" s="15" t="n"/>
      <c r="B1644" s="10" t="n"/>
      <c r="C1644" s="14">
        <f>IF(B1644="","",IFERROR(INDEX('Sản phẩm'!$B$5:$B$304,MATCH(B1644,'Sản phẩm'!$A$5:$A$304,0)),""))</f>
        <v/>
      </c>
      <c r="D1644" s="12" t="n"/>
      <c r="E1644" s="11" t="n"/>
      <c r="F1644" s="16">
        <f>IF(OR(D1644="",E1644=""),"",D1644*E1644)</f>
        <v/>
      </c>
      <c r="G1644" s="10" t="n"/>
      <c r="H1644" s="14">
        <f>IF(A1644="","",MONTH(A1644))</f>
        <v/>
      </c>
      <c r="I1644" s="14">
        <f>IF(A1644="","",YEAR(A1644))</f>
        <v/>
      </c>
    </row>
    <row r="1645">
      <c r="A1645" s="15" t="n"/>
      <c r="B1645" s="10" t="n"/>
      <c r="C1645" s="14">
        <f>IF(B1645="","",IFERROR(INDEX('Sản phẩm'!$B$5:$B$304,MATCH(B1645,'Sản phẩm'!$A$5:$A$304,0)),""))</f>
        <v/>
      </c>
      <c r="D1645" s="12" t="n"/>
      <c r="E1645" s="11" t="n"/>
      <c r="F1645" s="16">
        <f>IF(OR(D1645="",E1645=""),"",D1645*E1645)</f>
        <v/>
      </c>
      <c r="G1645" s="10" t="n"/>
      <c r="H1645" s="14">
        <f>IF(A1645="","",MONTH(A1645))</f>
        <v/>
      </c>
      <c r="I1645" s="14">
        <f>IF(A1645="","",YEAR(A1645))</f>
        <v/>
      </c>
    </row>
    <row r="1646">
      <c r="A1646" s="15" t="n"/>
      <c r="B1646" s="10" t="n"/>
      <c r="C1646" s="14">
        <f>IF(B1646="","",IFERROR(INDEX('Sản phẩm'!$B$5:$B$304,MATCH(B1646,'Sản phẩm'!$A$5:$A$304,0)),""))</f>
        <v/>
      </c>
      <c r="D1646" s="12" t="n"/>
      <c r="E1646" s="11" t="n"/>
      <c r="F1646" s="16">
        <f>IF(OR(D1646="",E1646=""),"",D1646*E1646)</f>
        <v/>
      </c>
      <c r="G1646" s="10" t="n"/>
      <c r="H1646" s="14">
        <f>IF(A1646="","",MONTH(A1646))</f>
        <v/>
      </c>
      <c r="I1646" s="14">
        <f>IF(A1646="","",YEAR(A1646))</f>
        <v/>
      </c>
    </row>
    <row r="1647">
      <c r="A1647" s="15" t="n"/>
      <c r="B1647" s="10" t="n"/>
      <c r="C1647" s="14">
        <f>IF(B1647="","",IFERROR(INDEX('Sản phẩm'!$B$5:$B$304,MATCH(B1647,'Sản phẩm'!$A$5:$A$304,0)),""))</f>
        <v/>
      </c>
      <c r="D1647" s="12" t="n"/>
      <c r="E1647" s="11" t="n"/>
      <c r="F1647" s="16">
        <f>IF(OR(D1647="",E1647=""),"",D1647*E1647)</f>
        <v/>
      </c>
      <c r="G1647" s="10" t="n"/>
      <c r="H1647" s="14">
        <f>IF(A1647="","",MONTH(A1647))</f>
        <v/>
      </c>
      <c r="I1647" s="14">
        <f>IF(A1647="","",YEAR(A1647))</f>
        <v/>
      </c>
    </row>
    <row r="1648">
      <c r="A1648" s="15" t="n"/>
      <c r="B1648" s="10" t="n"/>
      <c r="C1648" s="14">
        <f>IF(B1648="","",IFERROR(INDEX('Sản phẩm'!$B$5:$B$304,MATCH(B1648,'Sản phẩm'!$A$5:$A$304,0)),""))</f>
        <v/>
      </c>
      <c r="D1648" s="12" t="n"/>
      <c r="E1648" s="11" t="n"/>
      <c r="F1648" s="16">
        <f>IF(OR(D1648="",E1648=""),"",D1648*E1648)</f>
        <v/>
      </c>
      <c r="G1648" s="10" t="n"/>
      <c r="H1648" s="14">
        <f>IF(A1648="","",MONTH(A1648))</f>
        <v/>
      </c>
      <c r="I1648" s="14">
        <f>IF(A1648="","",YEAR(A1648))</f>
        <v/>
      </c>
    </row>
    <row r="1649">
      <c r="A1649" s="15" t="n"/>
      <c r="B1649" s="10" t="n"/>
      <c r="C1649" s="14">
        <f>IF(B1649="","",IFERROR(INDEX('Sản phẩm'!$B$5:$B$304,MATCH(B1649,'Sản phẩm'!$A$5:$A$304,0)),""))</f>
        <v/>
      </c>
      <c r="D1649" s="12" t="n"/>
      <c r="E1649" s="11" t="n"/>
      <c r="F1649" s="16">
        <f>IF(OR(D1649="",E1649=""),"",D1649*E1649)</f>
        <v/>
      </c>
      <c r="G1649" s="10" t="n"/>
      <c r="H1649" s="14">
        <f>IF(A1649="","",MONTH(A1649))</f>
        <v/>
      </c>
      <c r="I1649" s="14">
        <f>IF(A1649="","",YEAR(A1649))</f>
        <v/>
      </c>
    </row>
    <row r="1650">
      <c r="A1650" s="15" t="n"/>
      <c r="B1650" s="10" t="n"/>
      <c r="C1650" s="14">
        <f>IF(B1650="","",IFERROR(INDEX('Sản phẩm'!$B$5:$B$304,MATCH(B1650,'Sản phẩm'!$A$5:$A$304,0)),""))</f>
        <v/>
      </c>
      <c r="D1650" s="12" t="n"/>
      <c r="E1650" s="11" t="n"/>
      <c r="F1650" s="16">
        <f>IF(OR(D1650="",E1650=""),"",D1650*E1650)</f>
        <v/>
      </c>
      <c r="G1650" s="10" t="n"/>
      <c r="H1650" s="14">
        <f>IF(A1650="","",MONTH(A1650))</f>
        <v/>
      </c>
      <c r="I1650" s="14">
        <f>IF(A1650="","",YEAR(A1650))</f>
        <v/>
      </c>
    </row>
    <row r="1651">
      <c r="A1651" s="15" t="n"/>
      <c r="B1651" s="10" t="n"/>
      <c r="C1651" s="14">
        <f>IF(B1651="","",IFERROR(INDEX('Sản phẩm'!$B$5:$B$304,MATCH(B1651,'Sản phẩm'!$A$5:$A$304,0)),""))</f>
        <v/>
      </c>
      <c r="D1651" s="12" t="n"/>
      <c r="E1651" s="11" t="n"/>
      <c r="F1651" s="16">
        <f>IF(OR(D1651="",E1651=""),"",D1651*E1651)</f>
        <v/>
      </c>
      <c r="G1651" s="10" t="n"/>
      <c r="H1651" s="14">
        <f>IF(A1651="","",MONTH(A1651))</f>
        <v/>
      </c>
      <c r="I1651" s="14">
        <f>IF(A1651="","",YEAR(A1651))</f>
        <v/>
      </c>
    </row>
    <row r="1652">
      <c r="A1652" s="15" t="n"/>
      <c r="B1652" s="10" t="n"/>
      <c r="C1652" s="14">
        <f>IF(B1652="","",IFERROR(INDEX('Sản phẩm'!$B$5:$B$304,MATCH(B1652,'Sản phẩm'!$A$5:$A$304,0)),""))</f>
        <v/>
      </c>
      <c r="D1652" s="12" t="n"/>
      <c r="E1652" s="11" t="n"/>
      <c r="F1652" s="16">
        <f>IF(OR(D1652="",E1652=""),"",D1652*E1652)</f>
        <v/>
      </c>
      <c r="G1652" s="10" t="n"/>
      <c r="H1652" s="14">
        <f>IF(A1652="","",MONTH(A1652))</f>
        <v/>
      </c>
      <c r="I1652" s="14">
        <f>IF(A1652="","",YEAR(A1652))</f>
        <v/>
      </c>
    </row>
    <row r="1653">
      <c r="A1653" s="15" t="n"/>
      <c r="B1653" s="10" t="n"/>
      <c r="C1653" s="14">
        <f>IF(B1653="","",IFERROR(INDEX('Sản phẩm'!$B$5:$B$304,MATCH(B1653,'Sản phẩm'!$A$5:$A$304,0)),""))</f>
        <v/>
      </c>
      <c r="D1653" s="12" t="n"/>
      <c r="E1653" s="11" t="n"/>
      <c r="F1653" s="16">
        <f>IF(OR(D1653="",E1653=""),"",D1653*E1653)</f>
        <v/>
      </c>
      <c r="G1653" s="10" t="n"/>
      <c r="H1653" s="14">
        <f>IF(A1653="","",MONTH(A1653))</f>
        <v/>
      </c>
      <c r="I1653" s="14">
        <f>IF(A1653="","",YEAR(A1653))</f>
        <v/>
      </c>
    </row>
    <row r="1654">
      <c r="A1654" s="15" t="n"/>
      <c r="B1654" s="10" t="n"/>
      <c r="C1654" s="14">
        <f>IF(B1654="","",IFERROR(INDEX('Sản phẩm'!$B$5:$B$304,MATCH(B1654,'Sản phẩm'!$A$5:$A$304,0)),""))</f>
        <v/>
      </c>
      <c r="D1654" s="12" t="n"/>
      <c r="E1654" s="11" t="n"/>
      <c r="F1654" s="16">
        <f>IF(OR(D1654="",E1654=""),"",D1654*E1654)</f>
        <v/>
      </c>
      <c r="G1654" s="10" t="n"/>
      <c r="H1654" s="14">
        <f>IF(A1654="","",MONTH(A1654))</f>
        <v/>
      </c>
      <c r="I1654" s="14">
        <f>IF(A1654="","",YEAR(A1654))</f>
        <v/>
      </c>
    </row>
    <row r="1655">
      <c r="A1655" s="15" t="n"/>
      <c r="B1655" s="10" t="n"/>
      <c r="C1655" s="14">
        <f>IF(B1655="","",IFERROR(INDEX('Sản phẩm'!$B$5:$B$304,MATCH(B1655,'Sản phẩm'!$A$5:$A$304,0)),""))</f>
        <v/>
      </c>
      <c r="D1655" s="12" t="n"/>
      <c r="E1655" s="11" t="n"/>
      <c r="F1655" s="16">
        <f>IF(OR(D1655="",E1655=""),"",D1655*E1655)</f>
        <v/>
      </c>
      <c r="G1655" s="10" t="n"/>
      <c r="H1655" s="14">
        <f>IF(A1655="","",MONTH(A1655))</f>
        <v/>
      </c>
      <c r="I1655" s="14">
        <f>IF(A1655="","",YEAR(A1655))</f>
        <v/>
      </c>
    </row>
    <row r="1656">
      <c r="A1656" s="15" t="n"/>
      <c r="B1656" s="10" t="n"/>
      <c r="C1656" s="14">
        <f>IF(B1656="","",IFERROR(INDEX('Sản phẩm'!$B$5:$B$304,MATCH(B1656,'Sản phẩm'!$A$5:$A$304,0)),""))</f>
        <v/>
      </c>
      <c r="D1656" s="12" t="n"/>
      <c r="E1656" s="11" t="n"/>
      <c r="F1656" s="16">
        <f>IF(OR(D1656="",E1656=""),"",D1656*E1656)</f>
        <v/>
      </c>
      <c r="G1656" s="10" t="n"/>
      <c r="H1656" s="14">
        <f>IF(A1656="","",MONTH(A1656))</f>
        <v/>
      </c>
      <c r="I1656" s="14">
        <f>IF(A1656="","",YEAR(A1656))</f>
        <v/>
      </c>
    </row>
    <row r="1657">
      <c r="A1657" s="15" t="n"/>
      <c r="B1657" s="10" t="n"/>
      <c r="C1657" s="14">
        <f>IF(B1657="","",IFERROR(INDEX('Sản phẩm'!$B$5:$B$304,MATCH(B1657,'Sản phẩm'!$A$5:$A$304,0)),""))</f>
        <v/>
      </c>
      <c r="D1657" s="12" t="n"/>
      <c r="E1657" s="11" t="n"/>
      <c r="F1657" s="16">
        <f>IF(OR(D1657="",E1657=""),"",D1657*E1657)</f>
        <v/>
      </c>
      <c r="G1657" s="10" t="n"/>
      <c r="H1657" s="14">
        <f>IF(A1657="","",MONTH(A1657))</f>
        <v/>
      </c>
      <c r="I1657" s="14">
        <f>IF(A1657="","",YEAR(A1657))</f>
        <v/>
      </c>
    </row>
    <row r="1658">
      <c r="A1658" s="15" t="n"/>
      <c r="B1658" s="10" t="n"/>
      <c r="C1658" s="14">
        <f>IF(B1658="","",IFERROR(INDEX('Sản phẩm'!$B$5:$B$304,MATCH(B1658,'Sản phẩm'!$A$5:$A$304,0)),""))</f>
        <v/>
      </c>
      <c r="D1658" s="12" t="n"/>
      <c r="E1658" s="11" t="n"/>
      <c r="F1658" s="16">
        <f>IF(OR(D1658="",E1658=""),"",D1658*E1658)</f>
        <v/>
      </c>
      <c r="G1658" s="10" t="n"/>
      <c r="H1658" s="14">
        <f>IF(A1658="","",MONTH(A1658))</f>
        <v/>
      </c>
      <c r="I1658" s="14">
        <f>IF(A1658="","",YEAR(A1658))</f>
        <v/>
      </c>
    </row>
    <row r="1659">
      <c r="A1659" s="15" t="n"/>
      <c r="B1659" s="10" t="n"/>
      <c r="C1659" s="14">
        <f>IF(B1659="","",IFERROR(INDEX('Sản phẩm'!$B$5:$B$304,MATCH(B1659,'Sản phẩm'!$A$5:$A$304,0)),""))</f>
        <v/>
      </c>
      <c r="D1659" s="12" t="n"/>
      <c r="E1659" s="11" t="n"/>
      <c r="F1659" s="16">
        <f>IF(OR(D1659="",E1659=""),"",D1659*E1659)</f>
        <v/>
      </c>
      <c r="G1659" s="10" t="n"/>
      <c r="H1659" s="14">
        <f>IF(A1659="","",MONTH(A1659))</f>
        <v/>
      </c>
      <c r="I1659" s="14">
        <f>IF(A1659="","",YEAR(A1659))</f>
        <v/>
      </c>
    </row>
    <row r="1660">
      <c r="A1660" s="15" t="n"/>
      <c r="B1660" s="10" t="n"/>
      <c r="C1660" s="14">
        <f>IF(B1660="","",IFERROR(INDEX('Sản phẩm'!$B$5:$B$304,MATCH(B1660,'Sản phẩm'!$A$5:$A$304,0)),""))</f>
        <v/>
      </c>
      <c r="D1660" s="12" t="n"/>
      <c r="E1660" s="11" t="n"/>
      <c r="F1660" s="16">
        <f>IF(OR(D1660="",E1660=""),"",D1660*E1660)</f>
        <v/>
      </c>
      <c r="G1660" s="10" t="n"/>
      <c r="H1660" s="14">
        <f>IF(A1660="","",MONTH(A1660))</f>
        <v/>
      </c>
      <c r="I1660" s="14">
        <f>IF(A1660="","",YEAR(A1660))</f>
        <v/>
      </c>
    </row>
    <row r="1661">
      <c r="A1661" s="15" t="n"/>
      <c r="B1661" s="10" t="n"/>
      <c r="C1661" s="14">
        <f>IF(B1661="","",IFERROR(INDEX('Sản phẩm'!$B$5:$B$304,MATCH(B1661,'Sản phẩm'!$A$5:$A$304,0)),""))</f>
        <v/>
      </c>
      <c r="D1661" s="12" t="n"/>
      <c r="E1661" s="11" t="n"/>
      <c r="F1661" s="16">
        <f>IF(OR(D1661="",E1661=""),"",D1661*E1661)</f>
        <v/>
      </c>
      <c r="G1661" s="10" t="n"/>
      <c r="H1661" s="14">
        <f>IF(A1661="","",MONTH(A1661))</f>
        <v/>
      </c>
      <c r="I1661" s="14">
        <f>IF(A1661="","",YEAR(A1661))</f>
        <v/>
      </c>
    </row>
    <row r="1662">
      <c r="A1662" s="15" t="n"/>
      <c r="B1662" s="10" t="n"/>
      <c r="C1662" s="14">
        <f>IF(B1662="","",IFERROR(INDEX('Sản phẩm'!$B$5:$B$304,MATCH(B1662,'Sản phẩm'!$A$5:$A$304,0)),""))</f>
        <v/>
      </c>
      <c r="D1662" s="12" t="n"/>
      <c r="E1662" s="11" t="n"/>
      <c r="F1662" s="16">
        <f>IF(OR(D1662="",E1662=""),"",D1662*E1662)</f>
        <v/>
      </c>
      <c r="G1662" s="10" t="n"/>
      <c r="H1662" s="14">
        <f>IF(A1662="","",MONTH(A1662))</f>
        <v/>
      </c>
      <c r="I1662" s="14">
        <f>IF(A1662="","",YEAR(A1662))</f>
        <v/>
      </c>
    </row>
    <row r="1663">
      <c r="A1663" s="15" t="n"/>
      <c r="B1663" s="10" t="n"/>
      <c r="C1663" s="14">
        <f>IF(B1663="","",IFERROR(INDEX('Sản phẩm'!$B$5:$B$304,MATCH(B1663,'Sản phẩm'!$A$5:$A$304,0)),""))</f>
        <v/>
      </c>
      <c r="D1663" s="12" t="n"/>
      <c r="E1663" s="11" t="n"/>
      <c r="F1663" s="16">
        <f>IF(OR(D1663="",E1663=""),"",D1663*E1663)</f>
        <v/>
      </c>
      <c r="G1663" s="10" t="n"/>
      <c r="H1663" s="14">
        <f>IF(A1663="","",MONTH(A1663))</f>
        <v/>
      </c>
      <c r="I1663" s="14">
        <f>IF(A1663="","",YEAR(A1663))</f>
        <v/>
      </c>
    </row>
    <row r="1664">
      <c r="A1664" s="15" t="n"/>
      <c r="B1664" s="10" t="n"/>
      <c r="C1664" s="14">
        <f>IF(B1664="","",IFERROR(INDEX('Sản phẩm'!$B$5:$B$304,MATCH(B1664,'Sản phẩm'!$A$5:$A$304,0)),""))</f>
        <v/>
      </c>
      <c r="D1664" s="12" t="n"/>
      <c r="E1664" s="11" t="n"/>
      <c r="F1664" s="16">
        <f>IF(OR(D1664="",E1664=""),"",D1664*E1664)</f>
        <v/>
      </c>
      <c r="G1664" s="10" t="n"/>
      <c r="H1664" s="14">
        <f>IF(A1664="","",MONTH(A1664))</f>
        <v/>
      </c>
      <c r="I1664" s="14">
        <f>IF(A1664="","",YEAR(A1664))</f>
        <v/>
      </c>
    </row>
    <row r="1665">
      <c r="A1665" s="15" t="n"/>
      <c r="B1665" s="10" t="n"/>
      <c r="C1665" s="14">
        <f>IF(B1665="","",IFERROR(INDEX('Sản phẩm'!$B$5:$B$304,MATCH(B1665,'Sản phẩm'!$A$5:$A$304,0)),""))</f>
        <v/>
      </c>
      <c r="D1665" s="12" t="n"/>
      <c r="E1665" s="11" t="n"/>
      <c r="F1665" s="16">
        <f>IF(OR(D1665="",E1665=""),"",D1665*E1665)</f>
        <v/>
      </c>
      <c r="G1665" s="10" t="n"/>
      <c r="H1665" s="14">
        <f>IF(A1665="","",MONTH(A1665))</f>
        <v/>
      </c>
      <c r="I1665" s="14">
        <f>IF(A1665="","",YEAR(A1665))</f>
        <v/>
      </c>
    </row>
    <row r="1666">
      <c r="A1666" s="15" t="n"/>
      <c r="B1666" s="10" t="n"/>
      <c r="C1666" s="14">
        <f>IF(B1666="","",IFERROR(INDEX('Sản phẩm'!$B$5:$B$304,MATCH(B1666,'Sản phẩm'!$A$5:$A$304,0)),""))</f>
        <v/>
      </c>
      <c r="D1666" s="12" t="n"/>
      <c r="E1666" s="11" t="n"/>
      <c r="F1666" s="16">
        <f>IF(OR(D1666="",E1666=""),"",D1666*E1666)</f>
        <v/>
      </c>
      <c r="G1666" s="10" t="n"/>
      <c r="H1666" s="14">
        <f>IF(A1666="","",MONTH(A1666))</f>
        <v/>
      </c>
      <c r="I1666" s="14">
        <f>IF(A1666="","",YEAR(A1666))</f>
        <v/>
      </c>
    </row>
    <row r="1667">
      <c r="A1667" s="15" t="n"/>
      <c r="B1667" s="10" t="n"/>
      <c r="C1667" s="14">
        <f>IF(B1667="","",IFERROR(INDEX('Sản phẩm'!$B$5:$B$304,MATCH(B1667,'Sản phẩm'!$A$5:$A$304,0)),""))</f>
        <v/>
      </c>
      <c r="D1667" s="12" t="n"/>
      <c r="E1667" s="11" t="n"/>
      <c r="F1667" s="16">
        <f>IF(OR(D1667="",E1667=""),"",D1667*E1667)</f>
        <v/>
      </c>
      <c r="G1667" s="10" t="n"/>
      <c r="H1667" s="14">
        <f>IF(A1667="","",MONTH(A1667))</f>
        <v/>
      </c>
      <c r="I1667" s="14">
        <f>IF(A1667="","",YEAR(A1667))</f>
        <v/>
      </c>
    </row>
    <row r="1668">
      <c r="A1668" s="15" t="n"/>
      <c r="B1668" s="10" t="n"/>
      <c r="C1668" s="14">
        <f>IF(B1668="","",IFERROR(INDEX('Sản phẩm'!$B$5:$B$304,MATCH(B1668,'Sản phẩm'!$A$5:$A$304,0)),""))</f>
        <v/>
      </c>
      <c r="D1668" s="12" t="n"/>
      <c r="E1668" s="11" t="n"/>
      <c r="F1668" s="16">
        <f>IF(OR(D1668="",E1668=""),"",D1668*E1668)</f>
        <v/>
      </c>
      <c r="G1668" s="10" t="n"/>
      <c r="H1668" s="14">
        <f>IF(A1668="","",MONTH(A1668))</f>
        <v/>
      </c>
      <c r="I1668" s="14">
        <f>IF(A1668="","",YEAR(A1668))</f>
        <v/>
      </c>
    </row>
    <row r="1669">
      <c r="A1669" s="15" t="n"/>
      <c r="B1669" s="10" t="n"/>
      <c r="C1669" s="14">
        <f>IF(B1669="","",IFERROR(INDEX('Sản phẩm'!$B$5:$B$304,MATCH(B1669,'Sản phẩm'!$A$5:$A$304,0)),""))</f>
        <v/>
      </c>
      <c r="D1669" s="12" t="n"/>
      <c r="E1669" s="11" t="n"/>
      <c r="F1669" s="16">
        <f>IF(OR(D1669="",E1669=""),"",D1669*E1669)</f>
        <v/>
      </c>
      <c r="G1669" s="10" t="n"/>
      <c r="H1669" s="14">
        <f>IF(A1669="","",MONTH(A1669))</f>
        <v/>
      </c>
      <c r="I1669" s="14">
        <f>IF(A1669="","",YEAR(A1669))</f>
        <v/>
      </c>
    </row>
    <row r="1670">
      <c r="A1670" s="15" t="n"/>
      <c r="B1670" s="10" t="n"/>
      <c r="C1670" s="14">
        <f>IF(B1670="","",IFERROR(INDEX('Sản phẩm'!$B$5:$B$304,MATCH(B1670,'Sản phẩm'!$A$5:$A$304,0)),""))</f>
        <v/>
      </c>
      <c r="D1670" s="12" t="n"/>
      <c r="E1670" s="11" t="n"/>
      <c r="F1670" s="16">
        <f>IF(OR(D1670="",E1670=""),"",D1670*E1670)</f>
        <v/>
      </c>
      <c r="G1670" s="10" t="n"/>
      <c r="H1670" s="14">
        <f>IF(A1670="","",MONTH(A1670))</f>
        <v/>
      </c>
      <c r="I1670" s="14">
        <f>IF(A1670="","",YEAR(A1670))</f>
        <v/>
      </c>
    </row>
    <row r="1671">
      <c r="A1671" s="15" t="n"/>
      <c r="B1671" s="10" t="n"/>
      <c r="C1671" s="14">
        <f>IF(B1671="","",IFERROR(INDEX('Sản phẩm'!$B$5:$B$304,MATCH(B1671,'Sản phẩm'!$A$5:$A$304,0)),""))</f>
        <v/>
      </c>
      <c r="D1671" s="12" t="n"/>
      <c r="E1671" s="11" t="n"/>
      <c r="F1671" s="16">
        <f>IF(OR(D1671="",E1671=""),"",D1671*E1671)</f>
        <v/>
      </c>
      <c r="G1671" s="10" t="n"/>
      <c r="H1671" s="14">
        <f>IF(A1671="","",MONTH(A1671))</f>
        <v/>
      </c>
      <c r="I1671" s="14">
        <f>IF(A1671="","",YEAR(A1671))</f>
        <v/>
      </c>
    </row>
    <row r="1672">
      <c r="A1672" s="15" t="n"/>
      <c r="B1672" s="10" t="n"/>
      <c r="C1672" s="14">
        <f>IF(B1672="","",IFERROR(INDEX('Sản phẩm'!$B$5:$B$304,MATCH(B1672,'Sản phẩm'!$A$5:$A$304,0)),""))</f>
        <v/>
      </c>
      <c r="D1672" s="12" t="n"/>
      <c r="E1672" s="11" t="n"/>
      <c r="F1672" s="16">
        <f>IF(OR(D1672="",E1672=""),"",D1672*E1672)</f>
        <v/>
      </c>
      <c r="G1672" s="10" t="n"/>
      <c r="H1672" s="14">
        <f>IF(A1672="","",MONTH(A1672))</f>
        <v/>
      </c>
      <c r="I1672" s="14">
        <f>IF(A1672="","",YEAR(A1672))</f>
        <v/>
      </c>
    </row>
    <row r="1673">
      <c r="A1673" s="15" t="n"/>
      <c r="B1673" s="10" t="n"/>
      <c r="C1673" s="14">
        <f>IF(B1673="","",IFERROR(INDEX('Sản phẩm'!$B$5:$B$304,MATCH(B1673,'Sản phẩm'!$A$5:$A$304,0)),""))</f>
        <v/>
      </c>
      <c r="D1673" s="12" t="n"/>
      <c r="E1673" s="11" t="n"/>
      <c r="F1673" s="16">
        <f>IF(OR(D1673="",E1673=""),"",D1673*E1673)</f>
        <v/>
      </c>
      <c r="G1673" s="10" t="n"/>
      <c r="H1673" s="14">
        <f>IF(A1673="","",MONTH(A1673))</f>
        <v/>
      </c>
      <c r="I1673" s="14">
        <f>IF(A1673="","",YEAR(A1673))</f>
        <v/>
      </c>
    </row>
    <row r="1674">
      <c r="A1674" s="15" t="n"/>
      <c r="B1674" s="10" t="n"/>
      <c r="C1674" s="14">
        <f>IF(B1674="","",IFERROR(INDEX('Sản phẩm'!$B$5:$B$304,MATCH(B1674,'Sản phẩm'!$A$5:$A$304,0)),""))</f>
        <v/>
      </c>
      <c r="D1674" s="12" t="n"/>
      <c r="E1674" s="11" t="n"/>
      <c r="F1674" s="16">
        <f>IF(OR(D1674="",E1674=""),"",D1674*E1674)</f>
        <v/>
      </c>
      <c r="G1674" s="10" t="n"/>
      <c r="H1674" s="14">
        <f>IF(A1674="","",MONTH(A1674))</f>
        <v/>
      </c>
      <c r="I1674" s="14">
        <f>IF(A1674="","",YEAR(A1674))</f>
        <v/>
      </c>
    </row>
    <row r="1675">
      <c r="A1675" s="15" t="n"/>
      <c r="B1675" s="10" t="n"/>
      <c r="C1675" s="14">
        <f>IF(B1675="","",IFERROR(INDEX('Sản phẩm'!$B$5:$B$304,MATCH(B1675,'Sản phẩm'!$A$5:$A$304,0)),""))</f>
        <v/>
      </c>
      <c r="D1675" s="12" t="n"/>
      <c r="E1675" s="11" t="n"/>
      <c r="F1675" s="16">
        <f>IF(OR(D1675="",E1675=""),"",D1675*E1675)</f>
        <v/>
      </c>
      <c r="G1675" s="10" t="n"/>
      <c r="H1675" s="14">
        <f>IF(A1675="","",MONTH(A1675))</f>
        <v/>
      </c>
      <c r="I1675" s="14">
        <f>IF(A1675="","",YEAR(A1675))</f>
        <v/>
      </c>
    </row>
    <row r="1676">
      <c r="A1676" s="15" t="n"/>
      <c r="B1676" s="10" t="n"/>
      <c r="C1676" s="14">
        <f>IF(B1676="","",IFERROR(INDEX('Sản phẩm'!$B$5:$B$304,MATCH(B1676,'Sản phẩm'!$A$5:$A$304,0)),""))</f>
        <v/>
      </c>
      <c r="D1676" s="12" t="n"/>
      <c r="E1676" s="11" t="n"/>
      <c r="F1676" s="16">
        <f>IF(OR(D1676="",E1676=""),"",D1676*E1676)</f>
        <v/>
      </c>
      <c r="G1676" s="10" t="n"/>
      <c r="H1676" s="14">
        <f>IF(A1676="","",MONTH(A1676))</f>
        <v/>
      </c>
      <c r="I1676" s="14">
        <f>IF(A1676="","",YEAR(A1676))</f>
        <v/>
      </c>
    </row>
    <row r="1677">
      <c r="A1677" s="15" t="n"/>
      <c r="B1677" s="10" t="n"/>
      <c r="C1677" s="14">
        <f>IF(B1677="","",IFERROR(INDEX('Sản phẩm'!$B$5:$B$304,MATCH(B1677,'Sản phẩm'!$A$5:$A$304,0)),""))</f>
        <v/>
      </c>
      <c r="D1677" s="12" t="n"/>
      <c r="E1677" s="11" t="n"/>
      <c r="F1677" s="16">
        <f>IF(OR(D1677="",E1677=""),"",D1677*E1677)</f>
        <v/>
      </c>
      <c r="G1677" s="10" t="n"/>
      <c r="H1677" s="14">
        <f>IF(A1677="","",MONTH(A1677))</f>
        <v/>
      </c>
      <c r="I1677" s="14">
        <f>IF(A1677="","",YEAR(A1677))</f>
        <v/>
      </c>
    </row>
    <row r="1678">
      <c r="A1678" s="15" t="n"/>
      <c r="B1678" s="10" t="n"/>
      <c r="C1678" s="14">
        <f>IF(B1678="","",IFERROR(INDEX('Sản phẩm'!$B$5:$B$304,MATCH(B1678,'Sản phẩm'!$A$5:$A$304,0)),""))</f>
        <v/>
      </c>
      <c r="D1678" s="12" t="n"/>
      <c r="E1678" s="11" t="n"/>
      <c r="F1678" s="16">
        <f>IF(OR(D1678="",E1678=""),"",D1678*E1678)</f>
        <v/>
      </c>
      <c r="G1678" s="10" t="n"/>
      <c r="H1678" s="14">
        <f>IF(A1678="","",MONTH(A1678))</f>
        <v/>
      </c>
      <c r="I1678" s="14">
        <f>IF(A1678="","",YEAR(A1678))</f>
        <v/>
      </c>
    </row>
    <row r="1679">
      <c r="A1679" s="15" t="n"/>
      <c r="B1679" s="10" t="n"/>
      <c r="C1679" s="14">
        <f>IF(B1679="","",IFERROR(INDEX('Sản phẩm'!$B$5:$B$304,MATCH(B1679,'Sản phẩm'!$A$5:$A$304,0)),""))</f>
        <v/>
      </c>
      <c r="D1679" s="12" t="n"/>
      <c r="E1679" s="11" t="n"/>
      <c r="F1679" s="16">
        <f>IF(OR(D1679="",E1679=""),"",D1679*E1679)</f>
        <v/>
      </c>
      <c r="G1679" s="10" t="n"/>
      <c r="H1679" s="14">
        <f>IF(A1679="","",MONTH(A1679))</f>
        <v/>
      </c>
      <c r="I1679" s="14">
        <f>IF(A1679="","",YEAR(A1679))</f>
        <v/>
      </c>
    </row>
    <row r="1680">
      <c r="A1680" s="15" t="n"/>
      <c r="B1680" s="10" t="n"/>
      <c r="C1680" s="14">
        <f>IF(B1680="","",IFERROR(INDEX('Sản phẩm'!$B$5:$B$304,MATCH(B1680,'Sản phẩm'!$A$5:$A$304,0)),""))</f>
        <v/>
      </c>
      <c r="D1680" s="12" t="n"/>
      <c r="E1680" s="11" t="n"/>
      <c r="F1680" s="16">
        <f>IF(OR(D1680="",E1680=""),"",D1680*E1680)</f>
        <v/>
      </c>
      <c r="G1680" s="10" t="n"/>
      <c r="H1680" s="14">
        <f>IF(A1680="","",MONTH(A1680))</f>
        <v/>
      </c>
      <c r="I1680" s="14">
        <f>IF(A1680="","",YEAR(A1680))</f>
        <v/>
      </c>
    </row>
    <row r="1681">
      <c r="A1681" s="15" t="n"/>
      <c r="B1681" s="10" t="n"/>
      <c r="C1681" s="14">
        <f>IF(B1681="","",IFERROR(INDEX('Sản phẩm'!$B$5:$B$304,MATCH(B1681,'Sản phẩm'!$A$5:$A$304,0)),""))</f>
        <v/>
      </c>
      <c r="D1681" s="12" t="n"/>
      <c r="E1681" s="11" t="n"/>
      <c r="F1681" s="16">
        <f>IF(OR(D1681="",E1681=""),"",D1681*E1681)</f>
        <v/>
      </c>
      <c r="G1681" s="10" t="n"/>
      <c r="H1681" s="14">
        <f>IF(A1681="","",MONTH(A1681))</f>
        <v/>
      </c>
      <c r="I1681" s="14">
        <f>IF(A1681="","",YEAR(A1681))</f>
        <v/>
      </c>
    </row>
    <row r="1682">
      <c r="A1682" s="15" t="n"/>
      <c r="B1682" s="10" t="n"/>
      <c r="C1682" s="14">
        <f>IF(B1682="","",IFERROR(INDEX('Sản phẩm'!$B$5:$B$304,MATCH(B1682,'Sản phẩm'!$A$5:$A$304,0)),""))</f>
        <v/>
      </c>
      <c r="D1682" s="12" t="n"/>
      <c r="E1682" s="11" t="n"/>
      <c r="F1682" s="16">
        <f>IF(OR(D1682="",E1682=""),"",D1682*E1682)</f>
        <v/>
      </c>
      <c r="G1682" s="10" t="n"/>
      <c r="H1682" s="14">
        <f>IF(A1682="","",MONTH(A1682))</f>
        <v/>
      </c>
      <c r="I1682" s="14">
        <f>IF(A1682="","",YEAR(A1682))</f>
        <v/>
      </c>
    </row>
    <row r="1683">
      <c r="A1683" s="15" t="n"/>
      <c r="B1683" s="10" t="n"/>
      <c r="C1683" s="14">
        <f>IF(B1683="","",IFERROR(INDEX('Sản phẩm'!$B$5:$B$304,MATCH(B1683,'Sản phẩm'!$A$5:$A$304,0)),""))</f>
        <v/>
      </c>
      <c r="D1683" s="12" t="n"/>
      <c r="E1683" s="11" t="n"/>
      <c r="F1683" s="16">
        <f>IF(OR(D1683="",E1683=""),"",D1683*E1683)</f>
        <v/>
      </c>
      <c r="G1683" s="10" t="n"/>
      <c r="H1683" s="14">
        <f>IF(A1683="","",MONTH(A1683))</f>
        <v/>
      </c>
      <c r="I1683" s="14">
        <f>IF(A1683="","",YEAR(A1683))</f>
        <v/>
      </c>
    </row>
    <row r="1684">
      <c r="A1684" s="15" t="n"/>
      <c r="B1684" s="10" t="n"/>
      <c r="C1684" s="14">
        <f>IF(B1684="","",IFERROR(INDEX('Sản phẩm'!$B$5:$B$304,MATCH(B1684,'Sản phẩm'!$A$5:$A$304,0)),""))</f>
        <v/>
      </c>
      <c r="D1684" s="12" t="n"/>
      <c r="E1684" s="11" t="n"/>
      <c r="F1684" s="16">
        <f>IF(OR(D1684="",E1684=""),"",D1684*E1684)</f>
        <v/>
      </c>
      <c r="G1684" s="10" t="n"/>
      <c r="H1684" s="14">
        <f>IF(A1684="","",MONTH(A1684))</f>
        <v/>
      </c>
      <c r="I1684" s="14">
        <f>IF(A1684="","",YEAR(A1684))</f>
        <v/>
      </c>
    </row>
    <row r="1685">
      <c r="A1685" s="15" t="n"/>
      <c r="B1685" s="10" t="n"/>
      <c r="C1685" s="14">
        <f>IF(B1685="","",IFERROR(INDEX('Sản phẩm'!$B$5:$B$304,MATCH(B1685,'Sản phẩm'!$A$5:$A$304,0)),""))</f>
        <v/>
      </c>
      <c r="D1685" s="12" t="n"/>
      <c r="E1685" s="11" t="n"/>
      <c r="F1685" s="16">
        <f>IF(OR(D1685="",E1685=""),"",D1685*E1685)</f>
        <v/>
      </c>
      <c r="G1685" s="10" t="n"/>
      <c r="H1685" s="14">
        <f>IF(A1685="","",MONTH(A1685))</f>
        <v/>
      </c>
      <c r="I1685" s="14">
        <f>IF(A1685="","",YEAR(A1685))</f>
        <v/>
      </c>
    </row>
    <row r="1686">
      <c r="A1686" s="15" t="n"/>
      <c r="B1686" s="10" t="n"/>
      <c r="C1686" s="14">
        <f>IF(B1686="","",IFERROR(INDEX('Sản phẩm'!$B$5:$B$304,MATCH(B1686,'Sản phẩm'!$A$5:$A$304,0)),""))</f>
        <v/>
      </c>
      <c r="D1686" s="12" t="n"/>
      <c r="E1686" s="11" t="n"/>
      <c r="F1686" s="16">
        <f>IF(OR(D1686="",E1686=""),"",D1686*E1686)</f>
        <v/>
      </c>
      <c r="G1686" s="10" t="n"/>
      <c r="H1686" s="14">
        <f>IF(A1686="","",MONTH(A1686))</f>
        <v/>
      </c>
      <c r="I1686" s="14">
        <f>IF(A1686="","",YEAR(A1686))</f>
        <v/>
      </c>
    </row>
    <row r="1687">
      <c r="A1687" s="15" t="n"/>
      <c r="B1687" s="10" t="n"/>
      <c r="C1687" s="14">
        <f>IF(B1687="","",IFERROR(INDEX('Sản phẩm'!$B$5:$B$304,MATCH(B1687,'Sản phẩm'!$A$5:$A$304,0)),""))</f>
        <v/>
      </c>
      <c r="D1687" s="12" t="n"/>
      <c r="E1687" s="11" t="n"/>
      <c r="F1687" s="16">
        <f>IF(OR(D1687="",E1687=""),"",D1687*E1687)</f>
        <v/>
      </c>
      <c r="G1687" s="10" t="n"/>
      <c r="H1687" s="14">
        <f>IF(A1687="","",MONTH(A1687))</f>
        <v/>
      </c>
      <c r="I1687" s="14">
        <f>IF(A1687="","",YEAR(A1687))</f>
        <v/>
      </c>
    </row>
    <row r="1688">
      <c r="A1688" s="15" t="n"/>
      <c r="B1688" s="10" t="n"/>
      <c r="C1688" s="14">
        <f>IF(B1688="","",IFERROR(INDEX('Sản phẩm'!$B$5:$B$304,MATCH(B1688,'Sản phẩm'!$A$5:$A$304,0)),""))</f>
        <v/>
      </c>
      <c r="D1688" s="12" t="n"/>
      <c r="E1688" s="11" t="n"/>
      <c r="F1688" s="16">
        <f>IF(OR(D1688="",E1688=""),"",D1688*E1688)</f>
        <v/>
      </c>
      <c r="G1688" s="10" t="n"/>
      <c r="H1688" s="14">
        <f>IF(A1688="","",MONTH(A1688))</f>
        <v/>
      </c>
      <c r="I1688" s="14">
        <f>IF(A1688="","",YEAR(A1688))</f>
        <v/>
      </c>
    </row>
    <row r="1689">
      <c r="A1689" s="15" t="n"/>
      <c r="B1689" s="10" t="n"/>
      <c r="C1689" s="14">
        <f>IF(B1689="","",IFERROR(INDEX('Sản phẩm'!$B$5:$B$304,MATCH(B1689,'Sản phẩm'!$A$5:$A$304,0)),""))</f>
        <v/>
      </c>
      <c r="D1689" s="12" t="n"/>
      <c r="E1689" s="11" t="n"/>
      <c r="F1689" s="16">
        <f>IF(OR(D1689="",E1689=""),"",D1689*E1689)</f>
        <v/>
      </c>
      <c r="G1689" s="10" t="n"/>
      <c r="H1689" s="14">
        <f>IF(A1689="","",MONTH(A1689))</f>
        <v/>
      </c>
      <c r="I1689" s="14">
        <f>IF(A1689="","",YEAR(A1689))</f>
        <v/>
      </c>
    </row>
    <row r="1690">
      <c r="A1690" s="15" t="n"/>
      <c r="B1690" s="10" t="n"/>
      <c r="C1690" s="14">
        <f>IF(B1690="","",IFERROR(INDEX('Sản phẩm'!$B$5:$B$304,MATCH(B1690,'Sản phẩm'!$A$5:$A$304,0)),""))</f>
        <v/>
      </c>
      <c r="D1690" s="12" t="n"/>
      <c r="E1690" s="11" t="n"/>
      <c r="F1690" s="16">
        <f>IF(OR(D1690="",E1690=""),"",D1690*E1690)</f>
        <v/>
      </c>
      <c r="G1690" s="10" t="n"/>
      <c r="H1690" s="14">
        <f>IF(A1690="","",MONTH(A1690))</f>
        <v/>
      </c>
      <c r="I1690" s="14">
        <f>IF(A1690="","",YEAR(A1690))</f>
        <v/>
      </c>
    </row>
    <row r="1691">
      <c r="A1691" s="15" t="n"/>
      <c r="B1691" s="10" t="n"/>
      <c r="C1691" s="14">
        <f>IF(B1691="","",IFERROR(INDEX('Sản phẩm'!$B$5:$B$304,MATCH(B1691,'Sản phẩm'!$A$5:$A$304,0)),""))</f>
        <v/>
      </c>
      <c r="D1691" s="12" t="n"/>
      <c r="E1691" s="11" t="n"/>
      <c r="F1691" s="16">
        <f>IF(OR(D1691="",E1691=""),"",D1691*E1691)</f>
        <v/>
      </c>
      <c r="G1691" s="10" t="n"/>
      <c r="H1691" s="14">
        <f>IF(A1691="","",MONTH(A1691))</f>
        <v/>
      </c>
      <c r="I1691" s="14">
        <f>IF(A1691="","",YEAR(A1691))</f>
        <v/>
      </c>
    </row>
    <row r="1692">
      <c r="A1692" s="15" t="n"/>
      <c r="B1692" s="10" t="n"/>
      <c r="C1692" s="14">
        <f>IF(B1692="","",IFERROR(INDEX('Sản phẩm'!$B$5:$B$304,MATCH(B1692,'Sản phẩm'!$A$5:$A$304,0)),""))</f>
        <v/>
      </c>
      <c r="D1692" s="12" t="n"/>
      <c r="E1692" s="11" t="n"/>
      <c r="F1692" s="16">
        <f>IF(OR(D1692="",E1692=""),"",D1692*E1692)</f>
        <v/>
      </c>
      <c r="G1692" s="10" t="n"/>
      <c r="H1692" s="14">
        <f>IF(A1692="","",MONTH(A1692))</f>
        <v/>
      </c>
      <c r="I1692" s="14">
        <f>IF(A1692="","",YEAR(A1692))</f>
        <v/>
      </c>
    </row>
    <row r="1693">
      <c r="A1693" s="15" t="n"/>
      <c r="B1693" s="10" t="n"/>
      <c r="C1693" s="14">
        <f>IF(B1693="","",IFERROR(INDEX('Sản phẩm'!$B$5:$B$304,MATCH(B1693,'Sản phẩm'!$A$5:$A$304,0)),""))</f>
        <v/>
      </c>
      <c r="D1693" s="12" t="n"/>
      <c r="E1693" s="11" t="n"/>
      <c r="F1693" s="16">
        <f>IF(OR(D1693="",E1693=""),"",D1693*E1693)</f>
        <v/>
      </c>
      <c r="G1693" s="10" t="n"/>
      <c r="H1693" s="14">
        <f>IF(A1693="","",MONTH(A1693))</f>
        <v/>
      </c>
      <c r="I1693" s="14">
        <f>IF(A1693="","",YEAR(A1693))</f>
        <v/>
      </c>
    </row>
    <row r="1694">
      <c r="A1694" s="15" t="n"/>
      <c r="B1694" s="10" t="n"/>
      <c r="C1694" s="14">
        <f>IF(B1694="","",IFERROR(INDEX('Sản phẩm'!$B$5:$B$304,MATCH(B1694,'Sản phẩm'!$A$5:$A$304,0)),""))</f>
        <v/>
      </c>
      <c r="D1694" s="12" t="n"/>
      <c r="E1694" s="11" t="n"/>
      <c r="F1694" s="16">
        <f>IF(OR(D1694="",E1694=""),"",D1694*E1694)</f>
        <v/>
      </c>
      <c r="G1694" s="10" t="n"/>
      <c r="H1694" s="14">
        <f>IF(A1694="","",MONTH(A1694))</f>
        <v/>
      </c>
      <c r="I1694" s="14">
        <f>IF(A1694="","",YEAR(A1694))</f>
        <v/>
      </c>
    </row>
    <row r="1695">
      <c r="A1695" s="15" t="n"/>
      <c r="B1695" s="10" t="n"/>
      <c r="C1695" s="14">
        <f>IF(B1695="","",IFERROR(INDEX('Sản phẩm'!$B$5:$B$304,MATCH(B1695,'Sản phẩm'!$A$5:$A$304,0)),""))</f>
        <v/>
      </c>
      <c r="D1695" s="12" t="n"/>
      <c r="E1695" s="11" t="n"/>
      <c r="F1695" s="16">
        <f>IF(OR(D1695="",E1695=""),"",D1695*E1695)</f>
        <v/>
      </c>
      <c r="G1695" s="10" t="n"/>
      <c r="H1695" s="14">
        <f>IF(A1695="","",MONTH(A1695))</f>
        <v/>
      </c>
      <c r="I1695" s="14">
        <f>IF(A1695="","",YEAR(A1695))</f>
        <v/>
      </c>
    </row>
    <row r="1696">
      <c r="A1696" s="15" t="n"/>
      <c r="B1696" s="10" t="n"/>
      <c r="C1696" s="14">
        <f>IF(B1696="","",IFERROR(INDEX('Sản phẩm'!$B$5:$B$304,MATCH(B1696,'Sản phẩm'!$A$5:$A$304,0)),""))</f>
        <v/>
      </c>
      <c r="D1696" s="12" t="n"/>
      <c r="E1696" s="11" t="n"/>
      <c r="F1696" s="16">
        <f>IF(OR(D1696="",E1696=""),"",D1696*E1696)</f>
        <v/>
      </c>
      <c r="G1696" s="10" t="n"/>
      <c r="H1696" s="14">
        <f>IF(A1696="","",MONTH(A1696))</f>
        <v/>
      </c>
      <c r="I1696" s="14">
        <f>IF(A1696="","",YEAR(A1696))</f>
        <v/>
      </c>
    </row>
    <row r="1697">
      <c r="A1697" s="15" t="n"/>
      <c r="B1697" s="10" t="n"/>
      <c r="C1697" s="14">
        <f>IF(B1697="","",IFERROR(INDEX('Sản phẩm'!$B$5:$B$304,MATCH(B1697,'Sản phẩm'!$A$5:$A$304,0)),""))</f>
        <v/>
      </c>
      <c r="D1697" s="12" t="n"/>
      <c r="E1697" s="11" t="n"/>
      <c r="F1697" s="16">
        <f>IF(OR(D1697="",E1697=""),"",D1697*E1697)</f>
        <v/>
      </c>
      <c r="G1697" s="10" t="n"/>
      <c r="H1697" s="14">
        <f>IF(A1697="","",MONTH(A1697))</f>
        <v/>
      </c>
      <c r="I1697" s="14">
        <f>IF(A1697="","",YEAR(A1697))</f>
        <v/>
      </c>
    </row>
    <row r="1698">
      <c r="A1698" s="15" t="n"/>
      <c r="B1698" s="10" t="n"/>
      <c r="C1698" s="14">
        <f>IF(B1698="","",IFERROR(INDEX('Sản phẩm'!$B$5:$B$304,MATCH(B1698,'Sản phẩm'!$A$5:$A$304,0)),""))</f>
        <v/>
      </c>
      <c r="D1698" s="12" t="n"/>
      <c r="E1698" s="11" t="n"/>
      <c r="F1698" s="16">
        <f>IF(OR(D1698="",E1698=""),"",D1698*E1698)</f>
        <v/>
      </c>
      <c r="G1698" s="10" t="n"/>
      <c r="H1698" s="14">
        <f>IF(A1698="","",MONTH(A1698))</f>
        <v/>
      </c>
      <c r="I1698" s="14">
        <f>IF(A1698="","",YEAR(A1698))</f>
        <v/>
      </c>
    </row>
    <row r="1699">
      <c r="A1699" s="15" t="n"/>
      <c r="B1699" s="10" t="n"/>
      <c r="C1699" s="14">
        <f>IF(B1699="","",IFERROR(INDEX('Sản phẩm'!$B$5:$B$304,MATCH(B1699,'Sản phẩm'!$A$5:$A$304,0)),""))</f>
        <v/>
      </c>
      <c r="D1699" s="12" t="n"/>
      <c r="E1699" s="11" t="n"/>
      <c r="F1699" s="16">
        <f>IF(OR(D1699="",E1699=""),"",D1699*E1699)</f>
        <v/>
      </c>
      <c r="G1699" s="10" t="n"/>
      <c r="H1699" s="14">
        <f>IF(A1699="","",MONTH(A1699))</f>
        <v/>
      </c>
      <c r="I1699" s="14">
        <f>IF(A1699="","",YEAR(A1699))</f>
        <v/>
      </c>
    </row>
    <row r="1700">
      <c r="A1700" s="15" t="n"/>
      <c r="B1700" s="10" t="n"/>
      <c r="C1700" s="14">
        <f>IF(B1700="","",IFERROR(INDEX('Sản phẩm'!$B$5:$B$304,MATCH(B1700,'Sản phẩm'!$A$5:$A$304,0)),""))</f>
        <v/>
      </c>
      <c r="D1700" s="12" t="n"/>
      <c r="E1700" s="11" t="n"/>
      <c r="F1700" s="16">
        <f>IF(OR(D1700="",E1700=""),"",D1700*E1700)</f>
        <v/>
      </c>
      <c r="G1700" s="10" t="n"/>
      <c r="H1700" s="14">
        <f>IF(A1700="","",MONTH(A1700))</f>
        <v/>
      </c>
      <c r="I1700" s="14">
        <f>IF(A1700="","",YEAR(A1700))</f>
        <v/>
      </c>
    </row>
    <row r="1701">
      <c r="A1701" s="15" t="n"/>
      <c r="B1701" s="10" t="n"/>
      <c r="C1701" s="14">
        <f>IF(B1701="","",IFERROR(INDEX('Sản phẩm'!$B$5:$B$304,MATCH(B1701,'Sản phẩm'!$A$5:$A$304,0)),""))</f>
        <v/>
      </c>
      <c r="D1701" s="12" t="n"/>
      <c r="E1701" s="11" t="n"/>
      <c r="F1701" s="16">
        <f>IF(OR(D1701="",E1701=""),"",D1701*E1701)</f>
        <v/>
      </c>
      <c r="G1701" s="10" t="n"/>
      <c r="H1701" s="14">
        <f>IF(A1701="","",MONTH(A1701))</f>
        <v/>
      </c>
      <c r="I1701" s="14">
        <f>IF(A1701="","",YEAR(A1701))</f>
        <v/>
      </c>
    </row>
    <row r="1702">
      <c r="A1702" s="15" t="n"/>
      <c r="B1702" s="10" t="n"/>
      <c r="C1702" s="14">
        <f>IF(B1702="","",IFERROR(INDEX('Sản phẩm'!$B$5:$B$304,MATCH(B1702,'Sản phẩm'!$A$5:$A$304,0)),""))</f>
        <v/>
      </c>
      <c r="D1702" s="12" t="n"/>
      <c r="E1702" s="11" t="n"/>
      <c r="F1702" s="16">
        <f>IF(OR(D1702="",E1702=""),"",D1702*E1702)</f>
        <v/>
      </c>
      <c r="G1702" s="10" t="n"/>
      <c r="H1702" s="14">
        <f>IF(A1702="","",MONTH(A1702))</f>
        <v/>
      </c>
      <c r="I1702" s="14">
        <f>IF(A1702="","",YEAR(A1702))</f>
        <v/>
      </c>
    </row>
    <row r="1703">
      <c r="A1703" s="15" t="n"/>
      <c r="B1703" s="10" t="n"/>
      <c r="C1703" s="14">
        <f>IF(B1703="","",IFERROR(INDEX('Sản phẩm'!$B$5:$B$304,MATCH(B1703,'Sản phẩm'!$A$5:$A$304,0)),""))</f>
        <v/>
      </c>
      <c r="D1703" s="12" t="n"/>
      <c r="E1703" s="11" t="n"/>
      <c r="F1703" s="16">
        <f>IF(OR(D1703="",E1703=""),"",D1703*E1703)</f>
        <v/>
      </c>
      <c r="G1703" s="10" t="n"/>
      <c r="H1703" s="14">
        <f>IF(A1703="","",MONTH(A1703))</f>
        <v/>
      </c>
      <c r="I1703" s="14">
        <f>IF(A1703="","",YEAR(A1703))</f>
        <v/>
      </c>
    </row>
    <row r="1704">
      <c r="A1704" s="15" t="n"/>
      <c r="B1704" s="10" t="n"/>
      <c r="C1704" s="14">
        <f>IF(B1704="","",IFERROR(INDEX('Sản phẩm'!$B$5:$B$304,MATCH(B1704,'Sản phẩm'!$A$5:$A$304,0)),""))</f>
        <v/>
      </c>
      <c r="D1704" s="12" t="n"/>
      <c r="E1704" s="11" t="n"/>
      <c r="F1704" s="16">
        <f>IF(OR(D1704="",E1704=""),"",D1704*E1704)</f>
        <v/>
      </c>
      <c r="G1704" s="10" t="n"/>
      <c r="H1704" s="14">
        <f>IF(A1704="","",MONTH(A1704))</f>
        <v/>
      </c>
      <c r="I1704" s="14">
        <f>IF(A1704="","",YEAR(A1704))</f>
        <v/>
      </c>
    </row>
    <row r="1705">
      <c r="A1705" s="15" t="n"/>
      <c r="B1705" s="10" t="n"/>
      <c r="C1705" s="14">
        <f>IF(B1705="","",IFERROR(INDEX('Sản phẩm'!$B$5:$B$304,MATCH(B1705,'Sản phẩm'!$A$5:$A$304,0)),""))</f>
        <v/>
      </c>
      <c r="D1705" s="12" t="n"/>
      <c r="E1705" s="11" t="n"/>
      <c r="F1705" s="16">
        <f>IF(OR(D1705="",E1705=""),"",D1705*E1705)</f>
        <v/>
      </c>
      <c r="G1705" s="10" t="n"/>
      <c r="H1705" s="14">
        <f>IF(A1705="","",MONTH(A1705))</f>
        <v/>
      </c>
      <c r="I1705" s="14">
        <f>IF(A1705="","",YEAR(A1705))</f>
        <v/>
      </c>
    </row>
    <row r="1706">
      <c r="A1706" s="15" t="n"/>
      <c r="B1706" s="10" t="n"/>
      <c r="C1706" s="14">
        <f>IF(B1706="","",IFERROR(INDEX('Sản phẩm'!$B$5:$B$304,MATCH(B1706,'Sản phẩm'!$A$5:$A$304,0)),""))</f>
        <v/>
      </c>
      <c r="D1706" s="12" t="n"/>
      <c r="E1706" s="11" t="n"/>
      <c r="F1706" s="16">
        <f>IF(OR(D1706="",E1706=""),"",D1706*E1706)</f>
        <v/>
      </c>
      <c r="G1706" s="10" t="n"/>
      <c r="H1706" s="14">
        <f>IF(A1706="","",MONTH(A1706))</f>
        <v/>
      </c>
      <c r="I1706" s="14">
        <f>IF(A1706="","",YEAR(A1706))</f>
        <v/>
      </c>
    </row>
    <row r="1707">
      <c r="A1707" s="15" t="n"/>
      <c r="B1707" s="10" t="n"/>
      <c r="C1707" s="14">
        <f>IF(B1707="","",IFERROR(INDEX('Sản phẩm'!$B$5:$B$304,MATCH(B1707,'Sản phẩm'!$A$5:$A$304,0)),""))</f>
        <v/>
      </c>
      <c r="D1707" s="12" t="n"/>
      <c r="E1707" s="11" t="n"/>
      <c r="F1707" s="16">
        <f>IF(OR(D1707="",E1707=""),"",D1707*E1707)</f>
        <v/>
      </c>
      <c r="G1707" s="10" t="n"/>
      <c r="H1707" s="14">
        <f>IF(A1707="","",MONTH(A1707))</f>
        <v/>
      </c>
      <c r="I1707" s="14">
        <f>IF(A1707="","",YEAR(A1707))</f>
        <v/>
      </c>
    </row>
    <row r="1708">
      <c r="A1708" s="15" t="n"/>
      <c r="B1708" s="10" t="n"/>
      <c r="C1708" s="14">
        <f>IF(B1708="","",IFERROR(INDEX('Sản phẩm'!$B$5:$B$304,MATCH(B1708,'Sản phẩm'!$A$5:$A$304,0)),""))</f>
        <v/>
      </c>
      <c r="D1708" s="12" t="n"/>
      <c r="E1708" s="11" t="n"/>
      <c r="F1708" s="16">
        <f>IF(OR(D1708="",E1708=""),"",D1708*E1708)</f>
        <v/>
      </c>
      <c r="G1708" s="10" t="n"/>
      <c r="H1708" s="14">
        <f>IF(A1708="","",MONTH(A1708))</f>
        <v/>
      </c>
      <c r="I1708" s="14">
        <f>IF(A1708="","",YEAR(A1708))</f>
        <v/>
      </c>
    </row>
    <row r="1709">
      <c r="A1709" s="15" t="n"/>
      <c r="B1709" s="10" t="n"/>
      <c r="C1709" s="14">
        <f>IF(B1709="","",IFERROR(INDEX('Sản phẩm'!$B$5:$B$304,MATCH(B1709,'Sản phẩm'!$A$5:$A$304,0)),""))</f>
        <v/>
      </c>
      <c r="D1709" s="12" t="n"/>
      <c r="E1709" s="11" t="n"/>
      <c r="F1709" s="16">
        <f>IF(OR(D1709="",E1709=""),"",D1709*E1709)</f>
        <v/>
      </c>
      <c r="G1709" s="10" t="n"/>
      <c r="H1709" s="14">
        <f>IF(A1709="","",MONTH(A1709))</f>
        <v/>
      </c>
      <c r="I1709" s="14">
        <f>IF(A1709="","",YEAR(A1709))</f>
        <v/>
      </c>
    </row>
    <row r="1710">
      <c r="A1710" s="15" t="n"/>
      <c r="B1710" s="10" t="n"/>
      <c r="C1710" s="14">
        <f>IF(B1710="","",IFERROR(INDEX('Sản phẩm'!$B$5:$B$304,MATCH(B1710,'Sản phẩm'!$A$5:$A$304,0)),""))</f>
        <v/>
      </c>
      <c r="D1710" s="12" t="n"/>
      <c r="E1710" s="11" t="n"/>
      <c r="F1710" s="16">
        <f>IF(OR(D1710="",E1710=""),"",D1710*E1710)</f>
        <v/>
      </c>
      <c r="G1710" s="10" t="n"/>
      <c r="H1710" s="14">
        <f>IF(A1710="","",MONTH(A1710))</f>
        <v/>
      </c>
      <c r="I1710" s="14">
        <f>IF(A1710="","",YEAR(A1710))</f>
        <v/>
      </c>
    </row>
    <row r="1711">
      <c r="A1711" s="15" t="n"/>
      <c r="B1711" s="10" t="n"/>
      <c r="C1711" s="14">
        <f>IF(B1711="","",IFERROR(INDEX('Sản phẩm'!$B$5:$B$304,MATCH(B1711,'Sản phẩm'!$A$5:$A$304,0)),""))</f>
        <v/>
      </c>
      <c r="D1711" s="12" t="n"/>
      <c r="E1711" s="11" t="n"/>
      <c r="F1711" s="16">
        <f>IF(OR(D1711="",E1711=""),"",D1711*E1711)</f>
        <v/>
      </c>
      <c r="G1711" s="10" t="n"/>
      <c r="H1711" s="14">
        <f>IF(A1711="","",MONTH(A1711))</f>
        <v/>
      </c>
      <c r="I1711" s="14">
        <f>IF(A1711="","",YEAR(A1711))</f>
        <v/>
      </c>
    </row>
    <row r="1712">
      <c r="A1712" s="15" t="n"/>
      <c r="B1712" s="10" t="n"/>
      <c r="C1712" s="14">
        <f>IF(B1712="","",IFERROR(INDEX('Sản phẩm'!$B$5:$B$304,MATCH(B1712,'Sản phẩm'!$A$5:$A$304,0)),""))</f>
        <v/>
      </c>
      <c r="D1712" s="12" t="n"/>
      <c r="E1712" s="11" t="n"/>
      <c r="F1712" s="16">
        <f>IF(OR(D1712="",E1712=""),"",D1712*E1712)</f>
        <v/>
      </c>
      <c r="G1712" s="10" t="n"/>
      <c r="H1712" s="14">
        <f>IF(A1712="","",MONTH(A1712))</f>
        <v/>
      </c>
      <c r="I1712" s="14">
        <f>IF(A1712="","",YEAR(A1712))</f>
        <v/>
      </c>
    </row>
    <row r="1713">
      <c r="A1713" s="15" t="n"/>
      <c r="B1713" s="10" t="n"/>
      <c r="C1713" s="14">
        <f>IF(B1713="","",IFERROR(INDEX('Sản phẩm'!$B$5:$B$304,MATCH(B1713,'Sản phẩm'!$A$5:$A$304,0)),""))</f>
        <v/>
      </c>
      <c r="D1713" s="12" t="n"/>
      <c r="E1713" s="11" t="n"/>
      <c r="F1713" s="16">
        <f>IF(OR(D1713="",E1713=""),"",D1713*E1713)</f>
        <v/>
      </c>
      <c r="G1713" s="10" t="n"/>
      <c r="H1713" s="14">
        <f>IF(A1713="","",MONTH(A1713))</f>
        <v/>
      </c>
      <c r="I1713" s="14">
        <f>IF(A1713="","",YEAR(A1713))</f>
        <v/>
      </c>
    </row>
    <row r="1714">
      <c r="A1714" s="15" t="n"/>
      <c r="B1714" s="10" t="n"/>
      <c r="C1714" s="14">
        <f>IF(B1714="","",IFERROR(INDEX('Sản phẩm'!$B$5:$B$304,MATCH(B1714,'Sản phẩm'!$A$5:$A$304,0)),""))</f>
        <v/>
      </c>
      <c r="D1714" s="12" t="n"/>
      <c r="E1714" s="11" t="n"/>
      <c r="F1714" s="16">
        <f>IF(OR(D1714="",E1714=""),"",D1714*E1714)</f>
        <v/>
      </c>
      <c r="G1714" s="10" t="n"/>
      <c r="H1714" s="14">
        <f>IF(A1714="","",MONTH(A1714))</f>
        <v/>
      </c>
      <c r="I1714" s="14">
        <f>IF(A1714="","",YEAR(A1714))</f>
        <v/>
      </c>
    </row>
    <row r="1715">
      <c r="A1715" s="15" t="n"/>
      <c r="B1715" s="10" t="n"/>
      <c r="C1715" s="14">
        <f>IF(B1715="","",IFERROR(INDEX('Sản phẩm'!$B$5:$B$304,MATCH(B1715,'Sản phẩm'!$A$5:$A$304,0)),""))</f>
        <v/>
      </c>
      <c r="D1715" s="12" t="n"/>
      <c r="E1715" s="11" t="n"/>
      <c r="F1715" s="16">
        <f>IF(OR(D1715="",E1715=""),"",D1715*E1715)</f>
        <v/>
      </c>
      <c r="G1715" s="10" t="n"/>
      <c r="H1715" s="14">
        <f>IF(A1715="","",MONTH(A1715))</f>
        <v/>
      </c>
      <c r="I1715" s="14">
        <f>IF(A1715="","",YEAR(A1715))</f>
        <v/>
      </c>
    </row>
    <row r="1716">
      <c r="A1716" s="15" t="n"/>
      <c r="B1716" s="10" t="n"/>
      <c r="C1716" s="14">
        <f>IF(B1716="","",IFERROR(INDEX('Sản phẩm'!$B$5:$B$304,MATCH(B1716,'Sản phẩm'!$A$5:$A$304,0)),""))</f>
        <v/>
      </c>
      <c r="D1716" s="12" t="n"/>
      <c r="E1716" s="11" t="n"/>
      <c r="F1716" s="16">
        <f>IF(OR(D1716="",E1716=""),"",D1716*E1716)</f>
        <v/>
      </c>
      <c r="G1716" s="10" t="n"/>
      <c r="H1716" s="14">
        <f>IF(A1716="","",MONTH(A1716))</f>
        <v/>
      </c>
      <c r="I1716" s="14">
        <f>IF(A1716="","",YEAR(A1716))</f>
        <v/>
      </c>
    </row>
    <row r="1717">
      <c r="A1717" s="15" t="n"/>
      <c r="B1717" s="10" t="n"/>
      <c r="C1717" s="14">
        <f>IF(B1717="","",IFERROR(INDEX('Sản phẩm'!$B$5:$B$304,MATCH(B1717,'Sản phẩm'!$A$5:$A$304,0)),""))</f>
        <v/>
      </c>
      <c r="D1717" s="12" t="n"/>
      <c r="E1717" s="11" t="n"/>
      <c r="F1717" s="16">
        <f>IF(OR(D1717="",E1717=""),"",D1717*E1717)</f>
        <v/>
      </c>
      <c r="G1717" s="10" t="n"/>
      <c r="H1717" s="14">
        <f>IF(A1717="","",MONTH(A1717))</f>
        <v/>
      </c>
      <c r="I1717" s="14">
        <f>IF(A1717="","",YEAR(A1717))</f>
        <v/>
      </c>
    </row>
    <row r="1718">
      <c r="A1718" s="15" t="n"/>
      <c r="B1718" s="10" t="n"/>
      <c r="C1718" s="14">
        <f>IF(B1718="","",IFERROR(INDEX('Sản phẩm'!$B$5:$B$304,MATCH(B1718,'Sản phẩm'!$A$5:$A$304,0)),""))</f>
        <v/>
      </c>
      <c r="D1718" s="12" t="n"/>
      <c r="E1718" s="11" t="n"/>
      <c r="F1718" s="16">
        <f>IF(OR(D1718="",E1718=""),"",D1718*E1718)</f>
        <v/>
      </c>
      <c r="G1718" s="10" t="n"/>
      <c r="H1718" s="14">
        <f>IF(A1718="","",MONTH(A1718))</f>
        <v/>
      </c>
      <c r="I1718" s="14">
        <f>IF(A1718="","",YEAR(A1718))</f>
        <v/>
      </c>
    </row>
    <row r="1719">
      <c r="A1719" s="15" t="n"/>
      <c r="B1719" s="10" t="n"/>
      <c r="C1719" s="14">
        <f>IF(B1719="","",IFERROR(INDEX('Sản phẩm'!$B$5:$B$304,MATCH(B1719,'Sản phẩm'!$A$5:$A$304,0)),""))</f>
        <v/>
      </c>
      <c r="D1719" s="12" t="n"/>
      <c r="E1719" s="11" t="n"/>
      <c r="F1719" s="16">
        <f>IF(OR(D1719="",E1719=""),"",D1719*E1719)</f>
        <v/>
      </c>
      <c r="G1719" s="10" t="n"/>
      <c r="H1719" s="14">
        <f>IF(A1719="","",MONTH(A1719))</f>
        <v/>
      </c>
      <c r="I1719" s="14">
        <f>IF(A1719="","",YEAR(A1719))</f>
        <v/>
      </c>
    </row>
    <row r="1720">
      <c r="A1720" s="15" t="n"/>
      <c r="B1720" s="10" t="n"/>
      <c r="C1720" s="14">
        <f>IF(B1720="","",IFERROR(INDEX('Sản phẩm'!$B$5:$B$304,MATCH(B1720,'Sản phẩm'!$A$5:$A$304,0)),""))</f>
        <v/>
      </c>
      <c r="D1720" s="12" t="n"/>
      <c r="E1720" s="11" t="n"/>
      <c r="F1720" s="16">
        <f>IF(OR(D1720="",E1720=""),"",D1720*E1720)</f>
        <v/>
      </c>
      <c r="G1720" s="10" t="n"/>
      <c r="H1720" s="14">
        <f>IF(A1720="","",MONTH(A1720))</f>
        <v/>
      </c>
      <c r="I1720" s="14">
        <f>IF(A1720="","",YEAR(A1720))</f>
        <v/>
      </c>
    </row>
    <row r="1721">
      <c r="A1721" s="15" t="n"/>
      <c r="B1721" s="10" t="n"/>
      <c r="C1721" s="14">
        <f>IF(B1721="","",IFERROR(INDEX('Sản phẩm'!$B$5:$B$304,MATCH(B1721,'Sản phẩm'!$A$5:$A$304,0)),""))</f>
        <v/>
      </c>
      <c r="D1721" s="12" t="n"/>
      <c r="E1721" s="11" t="n"/>
      <c r="F1721" s="16">
        <f>IF(OR(D1721="",E1721=""),"",D1721*E1721)</f>
        <v/>
      </c>
      <c r="G1721" s="10" t="n"/>
      <c r="H1721" s="14">
        <f>IF(A1721="","",MONTH(A1721))</f>
        <v/>
      </c>
      <c r="I1721" s="14">
        <f>IF(A1721="","",YEAR(A1721))</f>
        <v/>
      </c>
    </row>
    <row r="1722">
      <c r="A1722" s="15" t="n"/>
      <c r="B1722" s="10" t="n"/>
      <c r="C1722" s="14">
        <f>IF(B1722="","",IFERROR(INDEX('Sản phẩm'!$B$5:$B$304,MATCH(B1722,'Sản phẩm'!$A$5:$A$304,0)),""))</f>
        <v/>
      </c>
      <c r="D1722" s="12" t="n"/>
      <c r="E1722" s="11" t="n"/>
      <c r="F1722" s="16">
        <f>IF(OR(D1722="",E1722=""),"",D1722*E1722)</f>
        <v/>
      </c>
      <c r="G1722" s="10" t="n"/>
      <c r="H1722" s="14">
        <f>IF(A1722="","",MONTH(A1722))</f>
        <v/>
      </c>
      <c r="I1722" s="14">
        <f>IF(A1722="","",YEAR(A1722))</f>
        <v/>
      </c>
    </row>
    <row r="1723">
      <c r="A1723" s="15" t="n"/>
      <c r="B1723" s="10" t="n"/>
      <c r="C1723" s="14">
        <f>IF(B1723="","",IFERROR(INDEX('Sản phẩm'!$B$5:$B$304,MATCH(B1723,'Sản phẩm'!$A$5:$A$304,0)),""))</f>
        <v/>
      </c>
      <c r="D1723" s="12" t="n"/>
      <c r="E1723" s="11" t="n"/>
      <c r="F1723" s="16">
        <f>IF(OR(D1723="",E1723=""),"",D1723*E1723)</f>
        <v/>
      </c>
      <c r="G1723" s="10" t="n"/>
      <c r="H1723" s="14">
        <f>IF(A1723="","",MONTH(A1723))</f>
        <v/>
      </c>
      <c r="I1723" s="14">
        <f>IF(A1723="","",YEAR(A1723))</f>
        <v/>
      </c>
    </row>
    <row r="1724">
      <c r="A1724" s="15" t="n"/>
      <c r="B1724" s="10" t="n"/>
      <c r="C1724" s="14">
        <f>IF(B1724="","",IFERROR(INDEX('Sản phẩm'!$B$5:$B$304,MATCH(B1724,'Sản phẩm'!$A$5:$A$304,0)),""))</f>
        <v/>
      </c>
      <c r="D1724" s="12" t="n"/>
      <c r="E1724" s="11" t="n"/>
      <c r="F1724" s="16">
        <f>IF(OR(D1724="",E1724=""),"",D1724*E1724)</f>
        <v/>
      </c>
      <c r="G1724" s="10" t="n"/>
      <c r="H1724" s="14">
        <f>IF(A1724="","",MONTH(A1724))</f>
        <v/>
      </c>
      <c r="I1724" s="14">
        <f>IF(A1724="","",YEAR(A1724))</f>
        <v/>
      </c>
    </row>
    <row r="1725">
      <c r="A1725" s="15" t="n"/>
      <c r="B1725" s="10" t="n"/>
      <c r="C1725" s="14">
        <f>IF(B1725="","",IFERROR(INDEX('Sản phẩm'!$B$5:$B$304,MATCH(B1725,'Sản phẩm'!$A$5:$A$304,0)),""))</f>
        <v/>
      </c>
      <c r="D1725" s="12" t="n"/>
      <c r="E1725" s="11" t="n"/>
      <c r="F1725" s="16">
        <f>IF(OR(D1725="",E1725=""),"",D1725*E1725)</f>
        <v/>
      </c>
      <c r="G1725" s="10" t="n"/>
      <c r="H1725" s="14">
        <f>IF(A1725="","",MONTH(A1725))</f>
        <v/>
      </c>
      <c r="I1725" s="14">
        <f>IF(A1725="","",YEAR(A1725))</f>
        <v/>
      </c>
    </row>
    <row r="1726">
      <c r="A1726" s="15" t="n"/>
      <c r="B1726" s="10" t="n"/>
      <c r="C1726" s="14">
        <f>IF(B1726="","",IFERROR(INDEX('Sản phẩm'!$B$5:$B$304,MATCH(B1726,'Sản phẩm'!$A$5:$A$304,0)),""))</f>
        <v/>
      </c>
      <c r="D1726" s="12" t="n"/>
      <c r="E1726" s="11" t="n"/>
      <c r="F1726" s="16">
        <f>IF(OR(D1726="",E1726=""),"",D1726*E1726)</f>
        <v/>
      </c>
      <c r="G1726" s="10" t="n"/>
      <c r="H1726" s="14">
        <f>IF(A1726="","",MONTH(A1726))</f>
        <v/>
      </c>
      <c r="I1726" s="14">
        <f>IF(A1726="","",YEAR(A1726))</f>
        <v/>
      </c>
    </row>
    <row r="1727">
      <c r="A1727" s="15" t="n"/>
      <c r="B1727" s="10" t="n"/>
      <c r="C1727" s="14">
        <f>IF(B1727="","",IFERROR(INDEX('Sản phẩm'!$B$5:$B$304,MATCH(B1727,'Sản phẩm'!$A$5:$A$304,0)),""))</f>
        <v/>
      </c>
      <c r="D1727" s="12" t="n"/>
      <c r="E1727" s="11" t="n"/>
      <c r="F1727" s="16">
        <f>IF(OR(D1727="",E1727=""),"",D1727*E1727)</f>
        <v/>
      </c>
      <c r="G1727" s="10" t="n"/>
      <c r="H1727" s="14">
        <f>IF(A1727="","",MONTH(A1727))</f>
        <v/>
      </c>
      <c r="I1727" s="14">
        <f>IF(A1727="","",YEAR(A1727))</f>
        <v/>
      </c>
    </row>
    <row r="1728">
      <c r="A1728" s="15" t="n"/>
      <c r="B1728" s="10" t="n"/>
      <c r="C1728" s="14">
        <f>IF(B1728="","",IFERROR(INDEX('Sản phẩm'!$B$5:$B$304,MATCH(B1728,'Sản phẩm'!$A$5:$A$304,0)),""))</f>
        <v/>
      </c>
      <c r="D1728" s="12" t="n"/>
      <c r="E1728" s="11" t="n"/>
      <c r="F1728" s="16">
        <f>IF(OR(D1728="",E1728=""),"",D1728*E1728)</f>
        <v/>
      </c>
      <c r="G1728" s="10" t="n"/>
      <c r="H1728" s="14">
        <f>IF(A1728="","",MONTH(A1728))</f>
        <v/>
      </c>
      <c r="I1728" s="14">
        <f>IF(A1728="","",YEAR(A1728))</f>
        <v/>
      </c>
    </row>
    <row r="1729">
      <c r="A1729" s="15" t="n"/>
      <c r="B1729" s="10" t="n"/>
      <c r="C1729" s="14">
        <f>IF(B1729="","",IFERROR(INDEX('Sản phẩm'!$B$5:$B$304,MATCH(B1729,'Sản phẩm'!$A$5:$A$304,0)),""))</f>
        <v/>
      </c>
      <c r="D1729" s="12" t="n"/>
      <c r="E1729" s="11" t="n"/>
      <c r="F1729" s="16">
        <f>IF(OR(D1729="",E1729=""),"",D1729*E1729)</f>
        <v/>
      </c>
      <c r="G1729" s="10" t="n"/>
      <c r="H1729" s="14">
        <f>IF(A1729="","",MONTH(A1729))</f>
        <v/>
      </c>
      <c r="I1729" s="14">
        <f>IF(A1729="","",YEAR(A1729))</f>
        <v/>
      </c>
    </row>
    <row r="1730">
      <c r="A1730" s="15" t="n"/>
      <c r="B1730" s="10" t="n"/>
      <c r="C1730" s="14">
        <f>IF(B1730="","",IFERROR(INDEX('Sản phẩm'!$B$5:$B$304,MATCH(B1730,'Sản phẩm'!$A$5:$A$304,0)),""))</f>
        <v/>
      </c>
      <c r="D1730" s="12" t="n"/>
      <c r="E1730" s="11" t="n"/>
      <c r="F1730" s="16">
        <f>IF(OR(D1730="",E1730=""),"",D1730*E1730)</f>
        <v/>
      </c>
      <c r="G1730" s="10" t="n"/>
      <c r="H1730" s="14">
        <f>IF(A1730="","",MONTH(A1730))</f>
        <v/>
      </c>
      <c r="I1730" s="14">
        <f>IF(A1730="","",YEAR(A1730))</f>
        <v/>
      </c>
    </row>
    <row r="1731">
      <c r="A1731" s="15" t="n"/>
      <c r="B1731" s="10" t="n"/>
      <c r="C1731" s="14">
        <f>IF(B1731="","",IFERROR(INDEX('Sản phẩm'!$B$5:$B$304,MATCH(B1731,'Sản phẩm'!$A$5:$A$304,0)),""))</f>
        <v/>
      </c>
      <c r="D1731" s="12" t="n"/>
      <c r="E1731" s="11" t="n"/>
      <c r="F1731" s="16">
        <f>IF(OR(D1731="",E1731=""),"",D1731*E1731)</f>
        <v/>
      </c>
      <c r="G1731" s="10" t="n"/>
      <c r="H1731" s="14">
        <f>IF(A1731="","",MONTH(A1731))</f>
        <v/>
      </c>
      <c r="I1731" s="14">
        <f>IF(A1731="","",YEAR(A1731))</f>
        <v/>
      </c>
    </row>
    <row r="1732">
      <c r="A1732" s="15" t="n"/>
      <c r="B1732" s="10" t="n"/>
      <c r="C1732" s="14">
        <f>IF(B1732="","",IFERROR(INDEX('Sản phẩm'!$B$5:$B$304,MATCH(B1732,'Sản phẩm'!$A$5:$A$304,0)),""))</f>
        <v/>
      </c>
      <c r="D1732" s="12" t="n"/>
      <c r="E1732" s="11" t="n"/>
      <c r="F1732" s="16">
        <f>IF(OR(D1732="",E1732=""),"",D1732*E1732)</f>
        <v/>
      </c>
      <c r="G1732" s="10" t="n"/>
      <c r="H1732" s="14">
        <f>IF(A1732="","",MONTH(A1732))</f>
        <v/>
      </c>
      <c r="I1732" s="14">
        <f>IF(A1732="","",YEAR(A1732))</f>
        <v/>
      </c>
    </row>
    <row r="1733">
      <c r="A1733" s="15" t="n"/>
      <c r="B1733" s="10" t="n"/>
      <c r="C1733" s="14">
        <f>IF(B1733="","",IFERROR(INDEX('Sản phẩm'!$B$5:$B$304,MATCH(B1733,'Sản phẩm'!$A$5:$A$304,0)),""))</f>
        <v/>
      </c>
      <c r="D1733" s="12" t="n"/>
      <c r="E1733" s="11" t="n"/>
      <c r="F1733" s="16">
        <f>IF(OR(D1733="",E1733=""),"",D1733*E1733)</f>
        <v/>
      </c>
      <c r="G1733" s="10" t="n"/>
      <c r="H1733" s="14">
        <f>IF(A1733="","",MONTH(A1733))</f>
        <v/>
      </c>
      <c r="I1733" s="14">
        <f>IF(A1733="","",YEAR(A1733))</f>
        <v/>
      </c>
    </row>
    <row r="1734">
      <c r="A1734" s="15" t="n"/>
      <c r="B1734" s="10" t="n"/>
      <c r="C1734" s="14">
        <f>IF(B1734="","",IFERROR(INDEX('Sản phẩm'!$B$5:$B$304,MATCH(B1734,'Sản phẩm'!$A$5:$A$304,0)),""))</f>
        <v/>
      </c>
      <c r="D1734" s="12" t="n"/>
      <c r="E1734" s="11" t="n"/>
      <c r="F1734" s="16">
        <f>IF(OR(D1734="",E1734=""),"",D1734*E1734)</f>
        <v/>
      </c>
      <c r="G1734" s="10" t="n"/>
      <c r="H1734" s="14">
        <f>IF(A1734="","",MONTH(A1734))</f>
        <v/>
      </c>
      <c r="I1734" s="14">
        <f>IF(A1734="","",YEAR(A1734))</f>
        <v/>
      </c>
    </row>
    <row r="1735">
      <c r="A1735" s="15" t="n"/>
      <c r="B1735" s="10" t="n"/>
      <c r="C1735" s="14">
        <f>IF(B1735="","",IFERROR(INDEX('Sản phẩm'!$B$5:$B$304,MATCH(B1735,'Sản phẩm'!$A$5:$A$304,0)),""))</f>
        <v/>
      </c>
      <c r="D1735" s="12" t="n"/>
      <c r="E1735" s="11" t="n"/>
      <c r="F1735" s="16">
        <f>IF(OR(D1735="",E1735=""),"",D1735*E1735)</f>
        <v/>
      </c>
      <c r="G1735" s="10" t="n"/>
      <c r="H1735" s="14">
        <f>IF(A1735="","",MONTH(A1735))</f>
        <v/>
      </c>
      <c r="I1735" s="14">
        <f>IF(A1735="","",YEAR(A1735))</f>
        <v/>
      </c>
    </row>
    <row r="1736">
      <c r="A1736" s="15" t="n"/>
      <c r="B1736" s="10" t="n"/>
      <c r="C1736" s="14">
        <f>IF(B1736="","",IFERROR(INDEX('Sản phẩm'!$B$5:$B$304,MATCH(B1736,'Sản phẩm'!$A$5:$A$304,0)),""))</f>
        <v/>
      </c>
      <c r="D1736" s="12" t="n"/>
      <c r="E1736" s="11" t="n"/>
      <c r="F1736" s="16">
        <f>IF(OR(D1736="",E1736=""),"",D1736*E1736)</f>
        <v/>
      </c>
      <c r="G1736" s="10" t="n"/>
      <c r="H1736" s="14">
        <f>IF(A1736="","",MONTH(A1736))</f>
        <v/>
      </c>
      <c r="I1736" s="14">
        <f>IF(A1736="","",YEAR(A1736))</f>
        <v/>
      </c>
    </row>
    <row r="1737">
      <c r="A1737" s="15" t="n"/>
      <c r="B1737" s="10" t="n"/>
      <c r="C1737" s="14">
        <f>IF(B1737="","",IFERROR(INDEX('Sản phẩm'!$B$5:$B$304,MATCH(B1737,'Sản phẩm'!$A$5:$A$304,0)),""))</f>
        <v/>
      </c>
      <c r="D1737" s="12" t="n"/>
      <c r="E1737" s="11" t="n"/>
      <c r="F1737" s="16">
        <f>IF(OR(D1737="",E1737=""),"",D1737*E1737)</f>
        <v/>
      </c>
      <c r="G1737" s="10" t="n"/>
      <c r="H1737" s="14">
        <f>IF(A1737="","",MONTH(A1737))</f>
        <v/>
      </c>
      <c r="I1737" s="14">
        <f>IF(A1737="","",YEAR(A1737))</f>
        <v/>
      </c>
    </row>
    <row r="1738">
      <c r="A1738" s="15" t="n"/>
      <c r="B1738" s="10" t="n"/>
      <c r="C1738" s="14">
        <f>IF(B1738="","",IFERROR(INDEX('Sản phẩm'!$B$5:$B$304,MATCH(B1738,'Sản phẩm'!$A$5:$A$304,0)),""))</f>
        <v/>
      </c>
      <c r="D1738" s="12" t="n"/>
      <c r="E1738" s="11" t="n"/>
      <c r="F1738" s="16">
        <f>IF(OR(D1738="",E1738=""),"",D1738*E1738)</f>
        <v/>
      </c>
      <c r="G1738" s="10" t="n"/>
      <c r="H1738" s="14">
        <f>IF(A1738="","",MONTH(A1738))</f>
        <v/>
      </c>
      <c r="I1738" s="14">
        <f>IF(A1738="","",YEAR(A1738))</f>
        <v/>
      </c>
    </row>
    <row r="1739">
      <c r="A1739" s="15" t="n"/>
      <c r="B1739" s="10" t="n"/>
      <c r="C1739" s="14">
        <f>IF(B1739="","",IFERROR(INDEX('Sản phẩm'!$B$5:$B$304,MATCH(B1739,'Sản phẩm'!$A$5:$A$304,0)),""))</f>
        <v/>
      </c>
      <c r="D1739" s="12" t="n"/>
      <c r="E1739" s="11" t="n"/>
      <c r="F1739" s="16">
        <f>IF(OR(D1739="",E1739=""),"",D1739*E1739)</f>
        <v/>
      </c>
      <c r="G1739" s="10" t="n"/>
      <c r="H1739" s="14">
        <f>IF(A1739="","",MONTH(A1739))</f>
        <v/>
      </c>
      <c r="I1739" s="14">
        <f>IF(A1739="","",YEAR(A1739))</f>
        <v/>
      </c>
    </row>
    <row r="1740">
      <c r="A1740" s="15" t="n"/>
      <c r="B1740" s="10" t="n"/>
      <c r="C1740" s="14">
        <f>IF(B1740="","",IFERROR(INDEX('Sản phẩm'!$B$5:$B$304,MATCH(B1740,'Sản phẩm'!$A$5:$A$304,0)),""))</f>
        <v/>
      </c>
      <c r="D1740" s="12" t="n"/>
      <c r="E1740" s="11" t="n"/>
      <c r="F1740" s="16">
        <f>IF(OR(D1740="",E1740=""),"",D1740*E1740)</f>
        <v/>
      </c>
      <c r="G1740" s="10" t="n"/>
      <c r="H1740" s="14">
        <f>IF(A1740="","",MONTH(A1740))</f>
        <v/>
      </c>
      <c r="I1740" s="14">
        <f>IF(A1740="","",YEAR(A1740))</f>
        <v/>
      </c>
    </row>
    <row r="1741">
      <c r="A1741" s="15" t="n"/>
      <c r="B1741" s="10" t="n"/>
      <c r="C1741" s="14">
        <f>IF(B1741="","",IFERROR(INDEX('Sản phẩm'!$B$5:$B$304,MATCH(B1741,'Sản phẩm'!$A$5:$A$304,0)),""))</f>
        <v/>
      </c>
      <c r="D1741" s="12" t="n"/>
      <c r="E1741" s="11" t="n"/>
      <c r="F1741" s="16">
        <f>IF(OR(D1741="",E1741=""),"",D1741*E1741)</f>
        <v/>
      </c>
      <c r="G1741" s="10" t="n"/>
      <c r="H1741" s="14">
        <f>IF(A1741="","",MONTH(A1741))</f>
        <v/>
      </c>
      <c r="I1741" s="14">
        <f>IF(A1741="","",YEAR(A1741))</f>
        <v/>
      </c>
    </row>
    <row r="1742">
      <c r="A1742" s="15" t="n"/>
      <c r="B1742" s="10" t="n"/>
      <c r="C1742" s="14">
        <f>IF(B1742="","",IFERROR(INDEX('Sản phẩm'!$B$5:$B$304,MATCH(B1742,'Sản phẩm'!$A$5:$A$304,0)),""))</f>
        <v/>
      </c>
      <c r="D1742" s="12" t="n"/>
      <c r="E1742" s="11" t="n"/>
      <c r="F1742" s="16">
        <f>IF(OR(D1742="",E1742=""),"",D1742*E1742)</f>
        <v/>
      </c>
      <c r="G1742" s="10" t="n"/>
      <c r="H1742" s="14">
        <f>IF(A1742="","",MONTH(A1742))</f>
        <v/>
      </c>
      <c r="I1742" s="14">
        <f>IF(A1742="","",YEAR(A1742))</f>
        <v/>
      </c>
    </row>
    <row r="1743">
      <c r="A1743" s="15" t="n"/>
      <c r="B1743" s="10" t="n"/>
      <c r="C1743" s="14">
        <f>IF(B1743="","",IFERROR(INDEX('Sản phẩm'!$B$5:$B$304,MATCH(B1743,'Sản phẩm'!$A$5:$A$304,0)),""))</f>
        <v/>
      </c>
      <c r="D1743" s="12" t="n"/>
      <c r="E1743" s="11" t="n"/>
      <c r="F1743" s="16">
        <f>IF(OR(D1743="",E1743=""),"",D1743*E1743)</f>
        <v/>
      </c>
      <c r="G1743" s="10" t="n"/>
      <c r="H1743" s="14">
        <f>IF(A1743="","",MONTH(A1743))</f>
        <v/>
      </c>
      <c r="I1743" s="14">
        <f>IF(A1743="","",YEAR(A1743))</f>
        <v/>
      </c>
    </row>
    <row r="1744">
      <c r="A1744" s="15" t="n"/>
      <c r="B1744" s="10" t="n"/>
      <c r="C1744" s="14">
        <f>IF(B1744="","",IFERROR(INDEX('Sản phẩm'!$B$5:$B$304,MATCH(B1744,'Sản phẩm'!$A$5:$A$304,0)),""))</f>
        <v/>
      </c>
      <c r="D1744" s="12" t="n"/>
      <c r="E1744" s="11" t="n"/>
      <c r="F1744" s="16">
        <f>IF(OR(D1744="",E1744=""),"",D1744*E1744)</f>
        <v/>
      </c>
      <c r="G1744" s="10" t="n"/>
      <c r="H1744" s="14">
        <f>IF(A1744="","",MONTH(A1744))</f>
        <v/>
      </c>
      <c r="I1744" s="14">
        <f>IF(A1744="","",YEAR(A1744))</f>
        <v/>
      </c>
    </row>
    <row r="1745">
      <c r="A1745" s="15" t="n"/>
      <c r="B1745" s="10" t="n"/>
      <c r="C1745" s="14">
        <f>IF(B1745="","",IFERROR(INDEX('Sản phẩm'!$B$5:$B$304,MATCH(B1745,'Sản phẩm'!$A$5:$A$304,0)),""))</f>
        <v/>
      </c>
      <c r="D1745" s="12" t="n"/>
      <c r="E1745" s="11" t="n"/>
      <c r="F1745" s="16">
        <f>IF(OR(D1745="",E1745=""),"",D1745*E1745)</f>
        <v/>
      </c>
      <c r="G1745" s="10" t="n"/>
      <c r="H1745" s="14">
        <f>IF(A1745="","",MONTH(A1745))</f>
        <v/>
      </c>
      <c r="I1745" s="14">
        <f>IF(A1745="","",YEAR(A1745))</f>
        <v/>
      </c>
    </row>
    <row r="1746">
      <c r="A1746" s="15" t="n"/>
      <c r="B1746" s="10" t="n"/>
      <c r="C1746" s="14">
        <f>IF(B1746="","",IFERROR(INDEX('Sản phẩm'!$B$5:$B$304,MATCH(B1746,'Sản phẩm'!$A$5:$A$304,0)),""))</f>
        <v/>
      </c>
      <c r="D1746" s="12" t="n"/>
      <c r="E1746" s="11" t="n"/>
      <c r="F1746" s="16">
        <f>IF(OR(D1746="",E1746=""),"",D1746*E1746)</f>
        <v/>
      </c>
      <c r="G1746" s="10" t="n"/>
      <c r="H1746" s="14">
        <f>IF(A1746="","",MONTH(A1746))</f>
        <v/>
      </c>
      <c r="I1746" s="14">
        <f>IF(A1746="","",YEAR(A1746))</f>
        <v/>
      </c>
    </row>
    <row r="1747">
      <c r="A1747" s="15" t="n"/>
      <c r="B1747" s="10" t="n"/>
      <c r="C1747" s="14">
        <f>IF(B1747="","",IFERROR(INDEX('Sản phẩm'!$B$5:$B$304,MATCH(B1747,'Sản phẩm'!$A$5:$A$304,0)),""))</f>
        <v/>
      </c>
      <c r="D1747" s="12" t="n"/>
      <c r="E1747" s="11" t="n"/>
      <c r="F1747" s="16">
        <f>IF(OR(D1747="",E1747=""),"",D1747*E1747)</f>
        <v/>
      </c>
      <c r="G1747" s="10" t="n"/>
      <c r="H1747" s="14">
        <f>IF(A1747="","",MONTH(A1747))</f>
        <v/>
      </c>
      <c r="I1747" s="14">
        <f>IF(A1747="","",YEAR(A1747))</f>
        <v/>
      </c>
    </row>
    <row r="1748">
      <c r="A1748" s="15" t="n"/>
      <c r="B1748" s="10" t="n"/>
      <c r="C1748" s="14">
        <f>IF(B1748="","",IFERROR(INDEX('Sản phẩm'!$B$5:$B$304,MATCH(B1748,'Sản phẩm'!$A$5:$A$304,0)),""))</f>
        <v/>
      </c>
      <c r="D1748" s="12" t="n"/>
      <c r="E1748" s="11" t="n"/>
      <c r="F1748" s="16">
        <f>IF(OR(D1748="",E1748=""),"",D1748*E1748)</f>
        <v/>
      </c>
      <c r="G1748" s="10" t="n"/>
      <c r="H1748" s="14">
        <f>IF(A1748="","",MONTH(A1748))</f>
        <v/>
      </c>
      <c r="I1748" s="14">
        <f>IF(A1748="","",YEAR(A1748))</f>
        <v/>
      </c>
    </row>
    <row r="1749">
      <c r="A1749" s="15" t="n"/>
      <c r="B1749" s="10" t="n"/>
      <c r="C1749" s="14">
        <f>IF(B1749="","",IFERROR(INDEX('Sản phẩm'!$B$5:$B$304,MATCH(B1749,'Sản phẩm'!$A$5:$A$304,0)),""))</f>
        <v/>
      </c>
      <c r="D1749" s="12" t="n"/>
      <c r="E1749" s="11" t="n"/>
      <c r="F1749" s="16">
        <f>IF(OR(D1749="",E1749=""),"",D1749*E1749)</f>
        <v/>
      </c>
      <c r="G1749" s="10" t="n"/>
      <c r="H1749" s="14">
        <f>IF(A1749="","",MONTH(A1749))</f>
        <v/>
      </c>
      <c r="I1749" s="14">
        <f>IF(A1749="","",YEAR(A1749))</f>
        <v/>
      </c>
    </row>
    <row r="1750">
      <c r="A1750" s="15" t="n"/>
      <c r="B1750" s="10" t="n"/>
      <c r="C1750" s="14">
        <f>IF(B1750="","",IFERROR(INDEX('Sản phẩm'!$B$5:$B$304,MATCH(B1750,'Sản phẩm'!$A$5:$A$304,0)),""))</f>
        <v/>
      </c>
      <c r="D1750" s="12" t="n"/>
      <c r="E1750" s="11" t="n"/>
      <c r="F1750" s="16">
        <f>IF(OR(D1750="",E1750=""),"",D1750*E1750)</f>
        <v/>
      </c>
      <c r="G1750" s="10" t="n"/>
      <c r="H1750" s="14">
        <f>IF(A1750="","",MONTH(A1750))</f>
        <v/>
      </c>
      <c r="I1750" s="14">
        <f>IF(A1750="","",YEAR(A1750))</f>
        <v/>
      </c>
    </row>
    <row r="1751">
      <c r="A1751" s="15" t="n"/>
      <c r="B1751" s="10" t="n"/>
      <c r="C1751" s="14">
        <f>IF(B1751="","",IFERROR(INDEX('Sản phẩm'!$B$5:$B$304,MATCH(B1751,'Sản phẩm'!$A$5:$A$304,0)),""))</f>
        <v/>
      </c>
      <c r="D1751" s="12" t="n"/>
      <c r="E1751" s="11" t="n"/>
      <c r="F1751" s="16">
        <f>IF(OR(D1751="",E1751=""),"",D1751*E1751)</f>
        <v/>
      </c>
      <c r="G1751" s="10" t="n"/>
      <c r="H1751" s="14">
        <f>IF(A1751="","",MONTH(A1751))</f>
        <v/>
      </c>
      <c r="I1751" s="14">
        <f>IF(A1751="","",YEAR(A1751))</f>
        <v/>
      </c>
    </row>
    <row r="1752">
      <c r="A1752" s="15" t="n"/>
      <c r="B1752" s="10" t="n"/>
      <c r="C1752" s="14">
        <f>IF(B1752="","",IFERROR(INDEX('Sản phẩm'!$B$5:$B$304,MATCH(B1752,'Sản phẩm'!$A$5:$A$304,0)),""))</f>
        <v/>
      </c>
      <c r="D1752" s="12" t="n"/>
      <c r="E1752" s="11" t="n"/>
      <c r="F1752" s="16">
        <f>IF(OR(D1752="",E1752=""),"",D1752*E1752)</f>
        <v/>
      </c>
      <c r="G1752" s="10" t="n"/>
      <c r="H1752" s="14">
        <f>IF(A1752="","",MONTH(A1752))</f>
        <v/>
      </c>
      <c r="I1752" s="14">
        <f>IF(A1752="","",YEAR(A1752))</f>
        <v/>
      </c>
    </row>
    <row r="1753">
      <c r="A1753" s="15" t="n"/>
      <c r="B1753" s="10" t="n"/>
      <c r="C1753" s="14">
        <f>IF(B1753="","",IFERROR(INDEX('Sản phẩm'!$B$5:$B$304,MATCH(B1753,'Sản phẩm'!$A$5:$A$304,0)),""))</f>
        <v/>
      </c>
      <c r="D1753" s="12" t="n"/>
      <c r="E1753" s="11" t="n"/>
      <c r="F1753" s="16">
        <f>IF(OR(D1753="",E1753=""),"",D1753*E1753)</f>
        <v/>
      </c>
      <c r="G1753" s="10" t="n"/>
      <c r="H1753" s="14">
        <f>IF(A1753="","",MONTH(A1753))</f>
        <v/>
      </c>
      <c r="I1753" s="14">
        <f>IF(A1753="","",YEAR(A1753))</f>
        <v/>
      </c>
    </row>
    <row r="1754">
      <c r="A1754" s="15" t="n"/>
      <c r="B1754" s="10" t="n"/>
      <c r="C1754" s="14">
        <f>IF(B1754="","",IFERROR(INDEX('Sản phẩm'!$B$5:$B$304,MATCH(B1754,'Sản phẩm'!$A$5:$A$304,0)),""))</f>
        <v/>
      </c>
      <c r="D1754" s="12" t="n"/>
      <c r="E1754" s="11" t="n"/>
      <c r="F1754" s="16">
        <f>IF(OR(D1754="",E1754=""),"",D1754*E1754)</f>
        <v/>
      </c>
      <c r="G1754" s="10" t="n"/>
      <c r="H1754" s="14">
        <f>IF(A1754="","",MONTH(A1754))</f>
        <v/>
      </c>
      <c r="I1754" s="14">
        <f>IF(A1754="","",YEAR(A1754))</f>
        <v/>
      </c>
    </row>
    <row r="1755">
      <c r="A1755" s="15" t="n"/>
      <c r="B1755" s="10" t="n"/>
      <c r="C1755" s="14">
        <f>IF(B1755="","",IFERROR(INDEX('Sản phẩm'!$B$5:$B$304,MATCH(B1755,'Sản phẩm'!$A$5:$A$304,0)),""))</f>
        <v/>
      </c>
      <c r="D1755" s="12" t="n"/>
      <c r="E1755" s="11" t="n"/>
      <c r="F1755" s="16">
        <f>IF(OR(D1755="",E1755=""),"",D1755*E1755)</f>
        <v/>
      </c>
      <c r="G1755" s="10" t="n"/>
      <c r="H1755" s="14">
        <f>IF(A1755="","",MONTH(A1755))</f>
        <v/>
      </c>
      <c r="I1755" s="14">
        <f>IF(A1755="","",YEAR(A1755))</f>
        <v/>
      </c>
    </row>
    <row r="1756">
      <c r="A1756" s="15" t="n"/>
      <c r="B1756" s="10" t="n"/>
      <c r="C1756" s="14">
        <f>IF(B1756="","",IFERROR(INDEX('Sản phẩm'!$B$5:$B$304,MATCH(B1756,'Sản phẩm'!$A$5:$A$304,0)),""))</f>
        <v/>
      </c>
      <c r="D1756" s="12" t="n"/>
      <c r="E1756" s="11" t="n"/>
      <c r="F1756" s="16">
        <f>IF(OR(D1756="",E1756=""),"",D1756*E1756)</f>
        <v/>
      </c>
      <c r="G1756" s="10" t="n"/>
      <c r="H1756" s="14">
        <f>IF(A1756="","",MONTH(A1756))</f>
        <v/>
      </c>
      <c r="I1756" s="14">
        <f>IF(A1756="","",YEAR(A1756))</f>
        <v/>
      </c>
    </row>
    <row r="1757">
      <c r="A1757" s="15" t="n"/>
      <c r="B1757" s="10" t="n"/>
      <c r="C1757" s="14">
        <f>IF(B1757="","",IFERROR(INDEX('Sản phẩm'!$B$5:$B$304,MATCH(B1757,'Sản phẩm'!$A$5:$A$304,0)),""))</f>
        <v/>
      </c>
      <c r="D1757" s="12" t="n"/>
      <c r="E1757" s="11" t="n"/>
      <c r="F1757" s="16">
        <f>IF(OR(D1757="",E1757=""),"",D1757*E1757)</f>
        <v/>
      </c>
      <c r="G1757" s="10" t="n"/>
      <c r="H1757" s="14">
        <f>IF(A1757="","",MONTH(A1757))</f>
        <v/>
      </c>
      <c r="I1757" s="14">
        <f>IF(A1757="","",YEAR(A1757))</f>
        <v/>
      </c>
    </row>
    <row r="1758">
      <c r="A1758" s="15" t="n"/>
      <c r="B1758" s="10" t="n"/>
      <c r="C1758" s="14">
        <f>IF(B1758="","",IFERROR(INDEX('Sản phẩm'!$B$5:$B$304,MATCH(B1758,'Sản phẩm'!$A$5:$A$304,0)),""))</f>
        <v/>
      </c>
      <c r="D1758" s="12" t="n"/>
      <c r="E1758" s="11" t="n"/>
      <c r="F1758" s="16">
        <f>IF(OR(D1758="",E1758=""),"",D1758*E1758)</f>
        <v/>
      </c>
      <c r="G1758" s="10" t="n"/>
      <c r="H1758" s="14">
        <f>IF(A1758="","",MONTH(A1758))</f>
        <v/>
      </c>
      <c r="I1758" s="14">
        <f>IF(A1758="","",YEAR(A1758))</f>
        <v/>
      </c>
    </row>
    <row r="1759">
      <c r="A1759" s="15" t="n"/>
      <c r="B1759" s="10" t="n"/>
      <c r="C1759" s="14">
        <f>IF(B1759="","",IFERROR(INDEX('Sản phẩm'!$B$5:$B$304,MATCH(B1759,'Sản phẩm'!$A$5:$A$304,0)),""))</f>
        <v/>
      </c>
      <c r="D1759" s="12" t="n"/>
      <c r="E1759" s="11" t="n"/>
      <c r="F1759" s="16">
        <f>IF(OR(D1759="",E1759=""),"",D1759*E1759)</f>
        <v/>
      </c>
      <c r="G1759" s="10" t="n"/>
      <c r="H1759" s="14">
        <f>IF(A1759="","",MONTH(A1759))</f>
        <v/>
      </c>
      <c r="I1759" s="14">
        <f>IF(A1759="","",YEAR(A1759))</f>
        <v/>
      </c>
    </row>
    <row r="1760">
      <c r="A1760" s="15" t="n"/>
      <c r="B1760" s="10" t="n"/>
      <c r="C1760" s="14">
        <f>IF(B1760="","",IFERROR(INDEX('Sản phẩm'!$B$5:$B$304,MATCH(B1760,'Sản phẩm'!$A$5:$A$304,0)),""))</f>
        <v/>
      </c>
      <c r="D1760" s="12" t="n"/>
      <c r="E1760" s="11" t="n"/>
      <c r="F1760" s="16">
        <f>IF(OR(D1760="",E1760=""),"",D1760*E1760)</f>
        <v/>
      </c>
      <c r="G1760" s="10" t="n"/>
      <c r="H1760" s="14">
        <f>IF(A1760="","",MONTH(A1760))</f>
        <v/>
      </c>
      <c r="I1760" s="14">
        <f>IF(A1760="","",YEAR(A1760))</f>
        <v/>
      </c>
    </row>
    <row r="1761">
      <c r="A1761" s="15" t="n"/>
      <c r="B1761" s="10" t="n"/>
      <c r="C1761" s="14">
        <f>IF(B1761="","",IFERROR(INDEX('Sản phẩm'!$B$5:$B$304,MATCH(B1761,'Sản phẩm'!$A$5:$A$304,0)),""))</f>
        <v/>
      </c>
      <c r="D1761" s="12" t="n"/>
      <c r="E1761" s="11" t="n"/>
      <c r="F1761" s="16">
        <f>IF(OR(D1761="",E1761=""),"",D1761*E1761)</f>
        <v/>
      </c>
      <c r="G1761" s="10" t="n"/>
      <c r="H1761" s="14">
        <f>IF(A1761="","",MONTH(A1761))</f>
        <v/>
      </c>
      <c r="I1761" s="14">
        <f>IF(A1761="","",YEAR(A1761))</f>
        <v/>
      </c>
    </row>
    <row r="1762">
      <c r="A1762" s="15" t="n"/>
      <c r="B1762" s="10" t="n"/>
      <c r="C1762" s="14">
        <f>IF(B1762="","",IFERROR(INDEX('Sản phẩm'!$B$5:$B$304,MATCH(B1762,'Sản phẩm'!$A$5:$A$304,0)),""))</f>
        <v/>
      </c>
      <c r="D1762" s="12" t="n"/>
      <c r="E1762" s="11" t="n"/>
      <c r="F1762" s="16">
        <f>IF(OR(D1762="",E1762=""),"",D1762*E1762)</f>
        <v/>
      </c>
      <c r="G1762" s="10" t="n"/>
      <c r="H1762" s="14">
        <f>IF(A1762="","",MONTH(A1762))</f>
        <v/>
      </c>
      <c r="I1762" s="14">
        <f>IF(A1762="","",YEAR(A1762))</f>
        <v/>
      </c>
    </row>
    <row r="1763">
      <c r="A1763" s="15" t="n"/>
      <c r="B1763" s="10" t="n"/>
      <c r="C1763" s="14">
        <f>IF(B1763="","",IFERROR(INDEX('Sản phẩm'!$B$5:$B$304,MATCH(B1763,'Sản phẩm'!$A$5:$A$304,0)),""))</f>
        <v/>
      </c>
      <c r="D1763" s="12" t="n"/>
      <c r="E1763" s="11" t="n"/>
      <c r="F1763" s="16">
        <f>IF(OR(D1763="",E1763=""),"",D1763*E1763)</f>
        <v/>
      </c>
      <c r="G1763" s="10" t="n"/>
      <c r="H1763" s="14">
        <f>IF(A1763="","",MONTH(A1763))</f>
        <v/>
      </c>
      <c r="I1763" s="14">
        <f>IF(A1763="","",YEAR(A1763))</f>
        <v/>
      </c>
    </row>
    <row r="1764">
      <c r="A1764" s="15" t="n"/>
      <c r="B1764" s="10" t="n"/>
      <c r="C1764" s="14">
        <f>IF(B1764="","",IFERROR(INDEX('Sản phẩm'!$B$5:$B$304,MATCH(B1764,'Sản phẩm'!$A$5:$A$304,0)),""))</f>
        <v/>
      </c>
      <c r="D1764" s="12" t="n"/>
      <c r="E1764" s="11" t="n"/>
      <c r="F1764" s="16">
        <f>IF(OR(D1764="",E1764=""),"",D1764*E1764)</f>
        <v/>
      </c>
      <c r="G1764" s="10" t="n"/>
      <c r="H1764" s="14">
        <f>IF(A1764="","",MONTH(A1764))</f>
        <v/>
      </c>
      <c r="I1764" s="14">
        <f>IF(A1764="","",YEAR(A1764))</f>
        <v/>
      </c>
    </row>
    <row r="1765">
      <c r="A1765" s="15" t="n"/>
      <c r="B1765" s="10" t="n"/>
      <c r="C1765" s="14">
        <f>IF(B1765="","",IFERROR(INDEX('Sản phẩm'!$B$5:$B$304,MATCH(B1765,'Sản phẩm'!$A$5:$A$304,0)),""))</f>
        <v/>
      </c>
      <c r="D1765" s="12" t="n"/>
      <c r="E1765" s="11" t="n"/>
      <c r="F1765" s="16">
        <f>IF(OR(D1765="",E1765=""),"",D1765*E1765)</f>
        <v/>
      </c>
      <c r="G1765" s="10" t="n"/>
      <c r="H1765" s="14">
        <f>IF(A1765="","",MONTH(A1765))</f>
        <v/>
      </c>
      <c r="I1765" s="14">
        <f>IF(A1765="","",YEAR(A1765))</f>
        <v/>
      </c>
    </row>
    <row r="1766">
      <c r="A1766" s="15" t="n"/>
      <c r="B1766" s="10" t="n"/>
      <c r="C1766" s="14">
        <f>IF(B1766="","",IFERROR(INDEX('Sản phẩm'!$B$5:$B$304,MATCH(B1766,'Sản phẩm'!$A$5:$A$304,0)),""))</f>
        <v/>
      </c>
      <c r="D1766" s="12" t="n"/>
      <c r="E1766" s="11" t="n"/>
      <c r="F1766" s="16">
        <f>IF(OR(D1766="",E1766=""),"",D1766*E1766)</f>
        <v/>
      </c>
      <c r="G1766" s="10" t="n"/>
      <c r="H1766" s="14">
        <f>IF(A1766="","",MONTH(A1766))</f>
        <v/>
      </c>
      <c r="I1766" s="14">
        <f>IF(A1766="","",YEAR(A1766))</f>
        <v/>
      </c>
    </row>
    <row r="1767">
      <c r="A1767" s="15" t="n"/>
      <c r="B1767" s="10" t="n"/>
      <c r="C1767" s="14">
        <f>IF(B1767="","",IFERROR(INDEX('Sản phẩm'!$B$5:$B$304,MATCH(B1767,'Sản phẩm'!$A$5:$A$304,0)),""))</f>
        <v/>
      </c>
      <c r="D1767" s="12" t="n"/>
      <c r="E1767" s="11" t="n"/>
      <c r="F1767" s="16">
        <f>IF(OR(D1767="",E1767=""),"",D1767*E1767)</f>
        <v/>
      </c>
      <c r="G1767" s="10" t="n"/>
      <c r="H1767" s="14">
        <f>IF(A1767="","",MONTH(A1767))</f>
        <v/>
      </c>
      <c r="I1767" s="14">
        <f>IF(A1767="","",YEAR(A1767))</f>
        <v/>
      </c>
    </row>
    <row r="1768">
      <c r="A1768" s="15" t="n"/>
      <c r="B1768" s="10" t="n"/>
      <c r="C1768" s="14">
        <f>IF(B1768="","",IFERROR(INDEX('Sản phẩm'!$B$5:$B$304,MATCH(B1768,'Sản phẩm'!$A$5:$A$304,0)),""))</f>
        <v/>
      </c>
      <c r="D1768" s="12" t="n"/>
      <c r="E1768" s="11" t="n"/>
      <c r="F1768" s="16">
        <f>IF(OR(D1768="",E1768=""),"",D1768*E1768)</f>
        <v/>
      </c>
      <c r="G1768" s="10" t="n"/>
      <c r="H1768" s="14">
        <f>IF(A1768="","",MONTH(A1768))</f>
        <v/>
      </c>
      <c r="I1768" s="14">
        <f>IF(A1768="","",YEAR(A1768))</f>
        <v/>
      </c>
    </row>
    <row r="1769">
      <c r="A1769" s="15" t="n"/>
      <c r="B1769" s="10" t="n"/>
      <c r="C1769" s="14">
        <f>IF(B1769="","",IFERROR(INDEX('Sản phẩm'!$B$5:$B$304,MATCH(B1769,'Sản phẩm'!$A$5:$A$304,0)),""))</f>
        <v/>
      </c>
      <c r="D1769" s="12" t="n"/>
      <c r="E1769" s="11" t="n"/>
      <c r="F1769" s="16">
        <f>IF(OR(D1769="",E1769=""),"",D1769*E1769)</f>
        <v/>
      </c>
      <c r="G1769" s="10" t="n"/>
      <c r="H1769" s="14">
        <f>IF(A1769="","",MONTH(A1769))</f>
        <v/>
      </c>
      <c r="I1769" s="14">
        <f>IF(A1769="","",YEAR(A1769))</f>
        <v/>
      </c>
    </row>
    <row r="1770">
      <c r="A1770" s="15" t="n"/>
      <c r="B1770" s="10" t="n"/>
      <c r="C1770" s="14">
        <f>IF(B1770="","",IFERROR(INDEX('Sản phẩm'!$B$5:$B$304,MATCH(B1770,'Sản phẩm'!$A$5:$A$304,0)),""))</f>
        <v/>
      </c>
      <c r="D1770" s="12" t="n"/>
      <c r="E1770" s="11" t="n"/>
      <c r="F1770" s="16">
        <f>IF(OR(D1770="",E1770=""),"",D1770*E1770)</f>
        <v/>
      </c>
      <c r="G1770" s="10" t="n"/>
      <c r="H1770" s="14">
        <f>IF(A1770="","",MONTH(A1770))</f>
        <v/>
      </c>
      <c r="I1770" s="14">
        <f>IF(A1770="","",YEAR(A1770))</f>
        <v/>
      </c>
    </row>
    <row r="1771">
      <c r="A1771" s="15" t="n"/>
      <c r="B1771" s="10" t="n"/>
      <c r="C1771" s="14">
        <f>IF(B1771="","",IFERROR(INDEX('Sản phẩm'!$B$5:$B$304,MATCH(B1771,'Sản phẩm'!$A$5:$A$304,0)),""))</f>
        <v/>
      </c>
      <c r="D1771" s="12" t="n"/>
      <c r="E1771" s="11" t="n"/>
      <c r="F1771" s="16">
        <f>IF(OR(D1771="",E1771=""),"",D1771*E1771)</f>
        <v/>
      </c>
      <c r="G1771" s="10" t="n"/>
      <c r="H1771" s="14">
        <f>IF(A1771="","",MONTH(A1771))</f>
        <v/>
      </c>
      <c r="I1771" s="14">
        <f>IF(A1771="","",YEAR(A1771))</f>
        <v/>
      </c>
    </row>
    <row r="1772">
      <c r="A1772" s="15" t="n"/>
      <c r="B1772" s="10" t="n"/>
      <c r="C1772" s="14">
        <f>IF(B1772="","",IFERROR(INDEX('Sản phẩm'!$B$5:$B$304,MATCH(B1772,'Sản phẩm'!$A$5:$A$304,0)),""))</f>
        <v/>
      </c>
      <c r="D1772" s="12" t="n"/>
      <c r="E1772" s="11" t="n"/>
      <c r="F1772" s="16">
        <f>IF(OR(D1772="",E1772=""),"",D1772*E1772)</f>
        <v/>
      </c>
      <c r="G1772" s="10" t="n"/>
      <c r="H1772" s="14">
        <f>IF(A1772="","",MONTH(A1772))</f>
        <v/>
      </c>
      <c r="I1772" s="14">
        <f>IF(A1772="","",YEAR(A1772))</f>
        <v/>
      </c>
    </row>
    <row r="1773">
      <c r="A1773" s="15" t="n"/>
      <c r="B1773" s="10" t="n"/>
      <c r="C1773" s="14">
        <f>IF(B1773="","",IFERROR(INDEX('Sản phẩm'!$B$5:$B$304,MATCH(B1773,'Sản phẩm'!$A$5:$A$304,0)),""))</f>
        <v/>
      </c>
      <c r="D1773" s="12" t="n"/>
      <c r="E1773" s="11" t="n"/>
      <c r="F1773" s="16">
        <f>IF(OR(D1773="",E1773=""),"",D1773*E1773)</f>
        <v/>
      </c>
      <c r="G1773" s="10" t="n"/>
      <c r="H1773" s="14">
        <f>IF(A1773="","",MONTH(A1773))</f>
        <v/>
      </c>
      <c r="I1773" s="14">
        <f>IF(A1773="","",YEAR(A1773))</f>
        <v/>
      </c>
    </row>
    <row r="1774">
      <c r="A1774" s="15" t="n"/>
      <c r="B1774" s="10" t="n"/>
      <c r="C1774" s="14">
        <f>IF(B1774="","",IFERROR(INDEX('Sản phẩm'!$B$5:$B$304,MATCH(B1774,'Sản phẩm'!$A$5:$A$304,0)),""))</f>
        <v/>
      </c>
      <c r="D1774" s="12" t="n"/>
      <c r="E1774" s="11" t="n"/>
      <c r="F1774" s="16">
        <f>IF(OR(D1774="",E1774=""),"",D1774*E1774)</f>
        <v/>
      </c>
      <c r="G1774" s="10" t="n"/>
      <c r="H1774" s="14">
        <f>IF(A1774="","",MONTH(A1774))</f>
        <v/>
      </c>
      <c r="I1774" s="14">
        <f>IF(A1774="","",YEAR(A1774))</f>
        <v/>
      </c>
    </row>
    <row r="1775">
      <c r="A1775" s="15" t="n"/>
      <c r="B1775" s="10" t="n"/>
      <c r="C1775" s="14">
        <f>IF(B1775="","",IFERROR(INDEX('Sản phẩm'!$B$5:$B$304,MATCH(B1775,'Sản phẩm'!$A$5:$A$304,0)),""))</f>
        <v/>
      </c>
      <c r="D1775" s="12" t="n"/>
      <c r="E1775" s="11" t="n"/>
      <c r="F1775" s="16">
        <f>IF(OR(D1775="",E1775=""),"",D1775*E1775)</f>
        <v/>
      </c>
      <c r="G1775" s="10" t="n"/>
      <c r="H1775" s="14">
        <f>IF(A1775="","",MONTH(A1775))</f>
        <v/>
      </c>
      <c r="I1775" s="14">
        <f>IF(A1775="","",YEAR(A1775))</f>
        <v/>
      </c>
    </row>
    <row r="1776">
      <c r="A1776" s="15" t="n"/>
      <c r="B1776" s="10" t="n"/>
      <c r="C1776" s="14">
        <f>IF(B1776="","",IFERROR(INDEX('Sản phẩm'!$B$5:$B$304,MATCH(B1776,'Sản phẩm'!$A$5:$A$304,0)),""))</f>
        <v/>
      </c>
      <c r="D1776" s="12" t="n"/>
      <c r="E1776" s="11" t="n"/>
      <c r="F1776" s="16">
        <f>IF(OR(D1776="",E1776=""),"",D1776*E1776)</f>
        <v/>
      </c>
      <c r="G1776" s="10" t="n"/>
      <c r="H1776" s="14">
        <f>IF(A1776="","",MONTH(A1776))</f>
        <v/>
      </c>
      <c r="I1776" s="14">
        <f>IF(A1776="","",YEAR(A1776))</f>
        <v/>
      </c>
    </row>
    <row r="1777">
      <c r="A1777" s="15" t="n"/>
      <c r="B1777" s="10" t="n"/>
      <c r="C1777" s="14">
        <f>IF(B1777="","",IFERROR(INDEX('Sản phẩm'!$B$5:$B$304,MATCH(B1777,'Sản phẩm'!$A$5:$A$304,0)),""))</f>
        <v/>
      </c>
      <c r="D1777" s="12" t="n"/>
      <c r="E1777" s="11" t="n"/>
      <c r="F1777" s="16">
        <f>IF(OR(D1777="",E1777=""),"",D1777*E1777)</f>
        <v/>
      </c>
      <c r="G1777" s="10" t="n"/>
      <c r="H1777" s="14">
        <f>IF(A1777="","",MONTH(A1777))</f>
        <v/>
      </c>
      <c r="I1777" s="14">
        <f>IF(A1777="","",YEAR(A1777))</f>
        <v/>
      </c>
    </row>
    <row r="1778">
      <c r="A1778" s="15" t="n"/>
      <c r="B1778" s="10" t="n"/>
      <c r="C1778" s="14">
        <f>IF(B1778="","",IFERROR(INDEX('Sản phẩm'!$B$5:$B$304,MATCH(B1778,'Sản phẩm'!$A$5:$A$304,0)),""))</f>
        <v/>
      </c>
      <c r="D1778" s="12" t="n"/>
      <c r="E1778" s="11" t="n"/>
      <c r="F1778" s="16">
        <f>IF(OR(D1778="",E1778=""),"",D1778*E1778)</f>
        <v/>
      </c>
      <c r="G1778" s="10" t="n"/>
      <c r="H1778" s="14">
        <f>IF(A1778="","",MONTH(A1778))</f>
        <v/>
      </c>
      <c r="I1778" s="14">
        <f>IF(A1778="","",YEAR(A1778))</f>
        <v/>
      </c>
    </row>
    <row r="1779">
      <c r="A1779" s="15" t="n"/>
      <c r="B1779" s="10" t="n"/>
      <c r="C1779" s="14">
        <f>IF(B1779="","",IFERROR(INDEX('Sản phẩm'!$B$5:$B$304,MATCH(B1779,'Sản phẩm'!$A$5:$A$304,0)),""))</f>
        <v/>
      </c>
      <c r="D1779" s="12" t="n"/>
      <c r="E1779" s="11" t="n"/>
      <c r="F1779" s="16">
        <f>IF(OR(D1779="",E1779=""),"",D1779*E1779)</f>
        <v/>
      </c>
      <c r="G1779" s="10" t="n"/>
      <c r="H1779" s="14">
        <f>IF(A1779="","",MONTH(A1779))</f>
        <v/>
      </c>
      <c r="I1779" s="14">
        <f>IF(A1779="","",YEAR(A1779))</f>
        <v/>
      </c>
    </row>
    <row r="1780">
      <c r="A1780" s="15" t="n"/>
      <c r="B1780" s="10" t="n"/>
      <c r="C1780" s="14">
        <f>IF(B1780="","",IFERROR(INDEX('Sản phẩm'!$B$5:$B$304,MATCH(B1780,'Sản phẩm'!$A$5:$A$304,0)),""))</f>
        <v/>
      </c>
      <c r="D1780" s="12" t="n"/>
      <c r="E1780" s="11" t="n"/>
      <c r="F1780" s="16">
        <f>IF(OR(D1780="",E1780=""),"",D1780*E1780)</f>
        <v/>
      </c>
      <c r="G1780" s="10" t="n"/>
      <c r="H1780" s="14">
        <f>IF(A1780="","",MONTH(A1780))</f>
        <v/>
      </c>
      <c r="I1780" s="14">
        <f>IF(A1780="","",YEAR(A1780))</f>
        <v/>
      </c>
    </row>
    <row r="1781">
      <c r="A1781" s="15" t="n"/>
      <c r="B1781" s="10" t="n"/>
      <c r="C1781" s="14">
        <f>IF(B1781="","",IFERROR(INDEX('Sản phẩm'!$B$5:$B$304,MATCH(B1781,'Sản phẩm'!$A$5:$A$304,0)),""))</f>
        <v/>
      </c>
      <c r="D1781" s="12" t="n"/>
      <c r="E1781" s="11" t="n"/>
      <c r="F1781" s="16">
        <f>IF(OR(D1781="",E1781=""),"",D1781*E1781)</f>
        <v/>
      </c>
      <c r="G1781" s="10" t="n"/>
      <c r="H1781" s="14">
        <f>IF(A1781="","",MONTH(A1781))</f>
        <v/>
      </c>
      <c r="I1781" s="14">
        <f>IF(A1781="","",YEAR(A1781))</f>
        <v/>
      </c>
    </row>
    <row r="1782">
      <c r="A1782" s="15" t="n"/>
      <c r="B1782" s="10" t="n"/>
      <c r="C1782" s="14">
        <f>IF(B1782="","",IFERROR(INDEX('Sản phẩm'!$B$5:$B$304,MATCH(B1782,'Sản phẩm'!$A$5:$A$304,0)),""))</f>
        <v/>
      </c>
      <c r="D1782" s="12" t="n"/>
      <c r="E1782" s="11" t="n"/>
      <c r="F1782" s="16">
        <f>IF(OR(D1782="",E1782=""),"",D1782*E1782)</f>
        <v/>
      </c>
      <c r="G1782" s="10" t="n"/>
      <c r="H1782" s="14">
        <f>IF(A1782="","",MONTH(A1782))</f>
        <v/>
      </c>
      <c r="I1782" s="14">
        <f>IF(A1782="","",YEAR(A1782))</f>
        <v/>
      </c>
    </row>
    <row r="1783">
      <c r="A1783" s="15" t="n"/>
      <c r="B1783" s="10" t="n"/>
      <c r="C1783" s="14">
        <f>IF(B1783="","",IFERROR(INDEX('Sản phẩm'!$B$5:$B$304,MATCH(B1783,'Sản phẩm'!$A$5:$A$304,0)),""))</f>
        <v/>
      </c>
      <c r="D1783" s="12" t="n"/>
      <c r="E1783" s="11" t="n"/>
      <c r="F1783" s="16">
        <f>IF(OR(D1783="",E1783=""),"",D1783*E1783)</f>
        <v/>
      </c>
      <c r="G1783" s="10" t="n"/>
      <c r="H1783" s="14">
        <f>IF(A1783="","",MONTH(A1783))</f>
        <v/>
      </c>
      <c r="I1783" s="14">
        <f>IF(A1783="","",YEAR(A1783))</f>
        <v/>
      </c>
    </row>
    <row r="1784">
      <c r="A1784" s="15" t="n"/>
      <c r="B1784" s="10" t="n"/>
      <c r="C1784" s="14">
        <f>IF(B1784="","",IFERROR(INDEX('Sản phẩm'!$B$5:$B$304,MATCH(B1784,'Sản phẩm'!$A$5:$A$304,0)),""))</f>
        <v/>
      </c>
      <c r="D1784" s="12" t="n"/>
      <c r="E1784" s="11" t="n"/>
      <c r="F1784" s="16">
        <f>IF(OR(D1784="",E1784=""),"",D1784*E1784)</f>
        <v/>
      </c>
      <c r="G1784" s="10" t="n"/>
      <c r="H1784" s="14">
        <f>IF(A1784="","",MONTH(A1784))</f>
        <v/>
      </c>
      <c r="I1784" s="14">
        <f>IF(A1784="","",YEAR(A1784))</f>
        <v/>
      </c>
    </row>
    <row r="1785">
      <c r="A1785" s="15" t="n"/>
      <c r="B1785" s="10" t="n"/>
      <c r="C1785" s="14">
        <f>IF(B1785="","",IFERROR(INDEX('Sản phẩm'!$B$5:$B$304,MATCH(B1785,'Sản phẩm'!$A$5:$A$304,0)),""))</f>
        <v/>
      </c>
      <c r="D1785" s="12" t="n"/>
      <c r="E1785" s="11" t="n"/>
      <c r="F1785" s="16">
        <f>IF(OR(D1785="",E1785=""),"",D1785*E1785)</f>
        <v/>
      </c>
      <c r="G1785" s="10" t="n"/>
      <c r="H1785" s="14">
        <f>IF(A1785="","",MONTH(A1785))</f>
        <v/>
      </c>
      <c r="I1785" s="14">
        <f>IF(A1785="","",YEAR(A1785))</f>
        <v/>
      </c>
    </row>
    <row r="1786">
      <c r="A1786" s="15" t="n"/>
      <c r="B1786" s="10" t="n"/>
      <c r="C1786" s="14">
        <f>IF(B1786="","",IFERROR(INDEX('Sản phẩm'!$B$5:$B$304,MATCH(B1786,'Sản phẩm'!$A$5:$A$304,0)),""))</f>
        <v/>
      </c>
      <c r="D1786" s="12" t="n"/>
      <c r="E1786" s="11" t="n"/>
      <c r="F1786" s="16">
        <f>IF(OR(D1786="",E1786=""),"",D1786*E1786)</f>
        <v/>
      </c>
      <c r="G1786" s="10" t="n"/>
      <c r="H1786" s="14">
        <f>IF(A1786="","",MONTH(A1786))</f>
        <v/>
      </c>
      <c r="I1786" s="14">
        <f>IF(A1786="","",YEAR(A1786))</f>
        <v/>
      </c>
    </row>
    <row r="1787">
      <c r="A1787" s="15" t="n"/>
      <c r="B1787" s="10" t="n"/>
      <c r="C1787" s="14">
        <f>IF(B1787="","",IFERROR(INDEX('Sản phẩm'!$B$5:$B$304,MATCH(B1787,'Sản phẩm'!$A$5:$A$304,0)),""))</f>
        <v/>
      </c>
      <c r="D1787" s="12" t="n"/>
      <c r="E1787" s="11" t="n"/>
      <c r="F1787" s="16">
        <f>IF(OR(D1787="",E1787=""),"",D1787*E1787)</f>
        <v/>
      </c>
      <c r="G1787" s="10" t="n"/>
      <c r="H1787" s="14">
        <f>IF(A1787="","",MONTH(A1787))</f>
        <v/>
      </c>
      <c r="I1787" s="14">
        <f>IF(A1787="","",YEAR(A1787))</f>
        <v/>
      </c>
    </row>
    <row r="1788">
      <c r="A1788" s="15" t="n"/>
      <c r="B1788" s="10" t="n"/>
      <c r="C1788" s="14">
        <f>IF(B1788="","",IFERROR(INDEX('Sản phẩm'!$B$5:$B$304,MATCH(B1788,'Sản phẩm'!$A$5:$A$304,0)),""))</f>
        <v/>
      </c>
      <c r="D1788" s="12" t="n"/>
      <c r="E1788" s="11" t="n"/>
      <c r="F1788" s="16">
        <f>IF(OR(D1788="",E1788=""),"",D1788*E1788)</f>
        <v/>
      </c>
      <c r="G1788" s="10" t="n"/>
      <c r="H1788" s="14">
        <f>IF(A1788="","",MONTH(A1788))</f>
        <v/>
      </c>
      <c r="I1788" s="14">
        <f>IF(A1788="","",YEAR(A1788))</f>
        <v/>
      </c>
    </row>
    <row r="1789">
      <c r="A1789" s="15" t="n"/>
      <c r="B1789" s="10" t="n"/>
      <c r="C1789" s="14">
        <f>IF(B1789="","",IFERROR(INDEX('Sản phẩm'!$B$5:$B$304,MATCH(B1789,'Sản phẩm'!$A$5:$A$304,0)),""))</f>
        <v/>
      </c>
      <c r="D1789" s="12" t="n"/>
      <c r="E1789" s="11" t="n"/>
      <c r="F1789" s="16">
        <f>IF(OR(D1789="",E1789=""),"",D1789*E1789)</f>
        <v/>
      </c>
      <c r="G1789" s="10" t="n"/>
      <c r="H1789" s="14">
        <f>IF(A1789="","",MONTH(A1789))</f>
        <v/>
      </c>
      <c r="I1789" s="14">
        <f>IF(A1789="","",YEAR(A1789))</f>
        <v/>
      </c>
    </row>
    <row r="1790">
      <c r="A1790" s="15" t="n"/>
      <c r="B1790" s="10" t="n"/>
      <c r="C1790" s="14">
        <f>IF(B1790="","",IFERROR(INDEX('Sản phẩm'!$B$5:$B$304,MATCH(B1790,'Sản phẩm'!$A$5:$A$304,0)),""))</f>
        <v/>
      </c>
      <c r="D1790" s="12" t="n"/>
      <c r="E1790" s="11" t="n"/>
      <c r="F1790" s="16">
        <f>IF(OR(D1790="",E1790=""),"",D1790*E1790)</f>
        <v/>
      </c>
      <c r="G1790" s="10" t="n"/>
      <c r="H1790" s="14">
        <f>IF(A1790="","",MONTH(A1790))</f>
        <v/>
      </c>
      <c r="I1790" s="14">
        <f>IF(A1790="","",YEAR(A1790))</f>
        <v/>
      </c>
    </row>
    <row r="1791">
      <c r="A1791" s="15" t="n"/>
      <c r="B1791" s="10" t="n"/>
      <c r="C1791" s="14">
        <f>IF(B1791="","",IFERROR(INDEX('Sản phẩm'!$B$5:$B$304,MATCH(B1791,'Sản phẩm'!$A$5:$A$304,0)),""))</f>
        <v/>
      </c>
      <c r="D1791" s="12" t="n"/>
      <c r="E1791" s="11" t="n"/>
      <c r="F1791" s="16">
        <f>IF(OR(D1791="",E1791=""),"",D1791*E1791)</f>
        <v/>
      </c>
      <c r="G1791" s="10" t="n"/>
      <c r="H1791" s="14">
        <f>IF(A1791="","",MONTH(A1791))</f>
        <v/>
      </c>
      <c r="I1791" s="14">
        <f>IF(A1791="","",YEAR(A1791))</f>
        <v/>
      </c>
    </row>
    <row r="1792">
      <c r="A1792" s="15" t="n"/>
      <c r="B1792" s="10" t="n"/>
      <c r="C1792" s="14">
        <f>IF(B1792="","",IFERROR(INDEX('Sản phẩm'!$B$5:$B$304,MATCH(B1792,'Sản phẩm'!$A$5:$A$304,0)),""))</f>
        <v/>
      </c>
      <c r="D1792" s="12" t="n"/>
      <c r="E1792" s="11" t="n"/>
      <c r="F1792" s="16">
        <f>IF(OR(D1792="",E1792=""),"",D1792*E1792)</f>
        <v/>
      </c>
      <c r="G1792" s="10" t="n"/>
      <c r="H1792" s="14">
        <f>IF(A1792="","",MONTH(A1792))</f>
        <v/>
      </c>
      <c r="I1792" s="14">
        <f>IF(A1792="","",YEAR(A1792))</f>
        <v/>
      </c>
    </row>
    <row r="1793">
      <c r="A1793" s="15" t="n"/>
      <c r="B1793" s="10" t="n"/>
      <c r="C1793" s="14">
        <f>IF(B1793="","",IFERROR(INDEX('Sản phẩm'!$B$5:$B$304,MATCH(B1793,'Sản phẩm'!$A$5:$A$304,0)),""))</f>
        <v/>
      </c>
      <c r="D1793" s="12" t="n"/>
      <c r="E1793" s="11" t="n"/>
      <c r="F1793" s="16">
        <f>IF(OR(D1793="",E1793=""),"",D1793*E1793)</f>
        <v/>
      </c>
      <c r="G1793" s="10" t="n"/>
      <c r="H1793" s="14">
        <f>IF(A1793="","",MONTH(A1793))</f>
        <v/>
      </c>
      <c r="I1793" s="14">
        <f>IF(A1793="","",YEAR(A1793))</f>
        <v/>
      </c>
    </row>
    <row r="1794">
      <c r="A1794" s="15" t="n"/>
      <c r="B1794" s="10" t="n"/>
      <c r="C1794" s="14">
        <f>IF(B1794="","",IFERROR(INDEX('Sản phẩm'!$B$5:$B$304,MATCH(B1794,'Sản phẩm'!$A$5:$A$304,0)),""))</f>
        <v/>
      </c>
      <c r="D1794" s="12" t="n"/>
      <c r="E1794" s="11" t="n"/>
      <c r="F1794" s="16">
        <f>IF(OR(D1794="",E1794=""),"",D1794*E1794)</f>
        <v/>
      </c>
      <c r="G1794" s="10" t="n"/>
      <c r="H1794" s="14">
        <f>IF(A1794="","",MONTH(A1794))</f>
        <v/>
      </c>
      <c r="I1794" s="14">
        <f>IF(A1794="","",YEAR(A1794))</f>
        <v/>
      </c>
    </row>
    <row r="1795">
      <c r="A1795" s="15" t="n"/>
      <c r="B1795" s="10" t="n"/>
      <c r="C1795" s="14">
        <f>IF(B1795="","",IFERROR(INDEX('Sản phẩm'!$B$5:$B$304,MATCH(B1795,'Sản phẩm'!$A$5:$A$304,0)),""))</f>
        <v/>
      </c>
      <c r="D1795" s="12" t="n"/>
      <c r="E1795" s="11" t="n"/>
      <c r="F1795" s="16">
        <f>IF(OR(D1795="",E1795=""),"",D1795*E1795)</f>
        <v/>
      </c>
      <c r="G1795" s="10" t="n"/>
      <c r="H1795" s="14">
        <f>IF(A1795="","",MONTH(A1795))</f>
        <v/>
      </c>
      <c r="I1795" s="14">
        <f>IF(A1795="","",YEAR(A1795))</f>
        <v/>
      </c>
    </row>
    <row r="1796">
      <c r="A1796" s="15" t="n"/>
      <c r="B1796" s="10" t="n"/>
      <c r="C1796" s="14">
        <f>IF(B1796="","",IFERROR(INDEX('Sản phẩm'!$B$5:$B$304,MATCH(B1796,'Sản phẩm'!$A$5:$A$304,0)),""))</f>
        <v/>
      </c>
      <c r="D1796" s="12" t="n"/>
      <c r="E1796" s="11" t="n"/>
      <c r="F1796" s="16">
        <f>IF(OR(D1796="",E1796=""),"",D1796*E1796)</f>
        <v/>
      </c>
      <c r="G1796" s="10" t="n"/>
      <c r="H1796" s="14">
        <f>IF(A1796="","",MONTH(A1796))</f>
        <v/>
      </c>
      <c r="I1796" s="14">
        <f>IF(A1796="","",YEAR(A1796))</f>
        <v/>
      </c>
    </row>
    <row r="1797">
      <c r="A1797" s="15" t="n"/>
      <c r="B1797" s="10" t="n"/>
      <c r="C1797" s="14">
        <f>IF(B1797="","",IFERROR(INDEX('Sản phẩm'!$B$5:$B$304,MATCH(B1797,'Sản phẩm'!$A$5:$A$304,0)),""))</f>
        <v/>
      </c>
      <c r="D1797" s="12" t="n"/>
      <c r="E1797" s="11" t="n"/>
      <c r="F1797" s="16">
        <f>IF(OR(D1797="",E1797=""),"",D1797*E1797)</f>
        <v/>
      </c>
      <c r="G1797" s="10" t="n"/>
      <c r="H1797" s="14">
        <f>IF(A1797="","",MONTH(A1797))</f>
        <v/>
      </c>
      <c r="I1797" s="14">
        <f>IF(A1797="","",YEAR(A1797))</f>
        <v/>
      </c>
    </row>
    <row r="1798">
      <c r="A1798" s="15" t="n"/>
      <c r="B1798" s="10" t="n"/>
      <c r="C1798" s="14">
        <f>IF(B1798="","",IFERROR(INDEX('Sản phẩm'!$B$5:$B$304,MATCH(B1798,'Sản phẩm'!$A$5:$A$304,0)),""))</f>
        <v/>
      </c>
      <c r="D1798" s="12" t="n"/>
      <c r="E1798" s="11" t="n"/>
      <c r="F1798" s="16">
        <f>IF(OR(D1798="",E1798=""),"",D1798*E1798)</f>
        <v/>
      </c>
      <c r="G1798" s="10" t="n"/>
      <c r="H1798" s="14">
        <f>IF(A1798="","",MONTH(A1798))</f>
        <v/>
      </c>
      <c r="I1798" s="14">
        <f>IF(A1798="","",YEAR(A1798))</f>
        <v/>
      </c>
    </row>
    <row r="1799">
      <c r="A1799" s="15" t="n"/>
      <c r="B1799" s="10" t="n"/>
      <c r="C1799" s="14">
        <f>IF(B1799="","",IFERROR(INDEX('Sản phẩm'!$B$5:$B$304,MATCH(B1799,'Sản phẩm'!$A$5:$A$304,0)),""))</f>
        <v/>
      </c>
      <c r="D1799" s="12" t="n"/>
      <c r="E1799" s="11" t="n"/>
      <c r="F1799" s="16">
        <f>IF(OR(D1799="",E1799=""),"",D1799*E1799)</f>
        <v/>
      </c>
      <c r="G1799" s="10" t="n"/>
      <c r="H1799" s="14">
        <f>IF(A1799="","",MONTH(A1799))</f>
        <v/>
      </c>
      <c r="I1799" s="14">
        <f>IF(A1799="","",YEAR(A1799))</f>
        <v/>
      </c>
    </row>
    <row r="1800">
      <c r="A1800" s="15" t="n"/>
      <c r="B1800" s="10" t="n"/>
      <c r="C1800" s="14">
        <f>IF(B1800="","",IFERROR(INDEX('Sản phẩm'!$B$5:$B$304,MATCH(B1800,'Sản phẩm'!$A$5:$A$304,0)),""))</f>
        <v/>
      </c>
      <c r="D1800" s="12" t="n"/>
      <c r="E1800" s="11" t="n"/>
      <c r="F1800" s="16">
        <f>IF(OR(D1800="",E1800=""),"",D1800*E1800)</f>
        <v/>
      </c>
      <c r="G1800" s="10" t="n"/>
      <c r="H1800" s="14">
        <f>IF(A1800="","",MONTH(A1800))</f>
        <v/>
      </c>
      <c r="I1800" s="14">
        <f>IF(A1800="","",YEAR(A1800))</f>
        <v/>
      </c>
    </row>
    <row r="1801">
      <c r="A1801" s="15" t="n"/>
      <c r="B1801" s="10" t="n"/>
      <c r="C1801" s="14">
        <f>IF(B1801="","",IFERROR(INDEX('Sản phẩm'!$B$5:$B$304,MATCH(B1801,'Sản phẩm'!$A$5:$A$304,0)),""))</f>
        <v/>
      </c>
      <c r="D1801" s="12" t="n"/>
      <c r="E1801" s="11" t="n"/>
      <c r="F1801" s="16">
        <f>IF(OR(D1801="",E1801=""),"",D1801*E1801)</f>
        <v/>
      </c>
      <c r="G1801" s="10" t="n"/>
      <c r="H1801" s="14">
        <f>IF(A1801="","",MONTH(A1801))</f>
        <v/>
      </c>
      <c r="I1801" s="14">
        <f>IF(A1801="","",YEAR(A1801))</f>
        <v/>
      </c>
    </row>
    <row r="1802">
      <c r="A1802" s="15" t="n"/>
      <c r="B1802" s="10" t="n"/>
      <c r="C1802" s="14">
        <f>IF(B1802="","",IFERROR(INDEX('Sản phẩm'!$B$5:$B$304,MATCH(B1802,'Sản phẩm'!$A$5:$A$304,0)),""))</f>
        <v/>
      </c>
      <c r="D1802" s="12" t="n"/>
      <c r="E1802" s="11" t="n"/>
      <c r="F1802" s="16">
        <f>IF(OR(D1802="",E1802=""),"",D1802*E1802)</f>
        <v/>
      </c>
      <c r="G1802" s="10" t="n"/>
      <c r="H1802" s="14">
        <f>IF(A1802="","",MONTH(A1802))</f>
        <v/>
      </c>
      <c r="I1802" s="14">
        <f>IF(A1802="","",YEAR(A1802))</f>
        <v/>
      </c>
    </row>
    <row r="1803">
      <c r="A1803" s="15" t="n"/>
      <c r="B1803" s="10" t="n"/>
      <c r="C1803" s="14">
        <f>IF(B1803="","",IFERROR(INDEX('Sản phẩm'!$B$5:$B$304,MATCH(B1803,'Sản phẩm'!$A$5:$A$304,0)),""))</f>
        <v/>
      </c>
      <c r="D1803" s="12" t="n"/>
      <c r="E1803" s="11" t="n"/>
      <c r="F1803" s="16">
        <f>IF(OR(D1803="",E1803=""),"",D1803*E1803)</f>
        <v/>
      </c>
      <c r="G1803" s="10" t="n"/>
      <c r="H1803" s="14">
        <f>IF(A1803="","",MONTH(A1803))</f>
        <v/>
      </c>
      <c r="I1803" s="14">
        <f>IF(A1803="","",YEAR(A1803))</f>
        <v/>
      </c>
    </row>
    <row r="1804">
      <c r="A1804" s="15" t="n"/>
      <c r="B1804" s="10" t="n"/>
      <c r="C1804" s="14">
        <f>IF(B1804="","",IFERROR(INDEX('Sản phẩm'!$B$5:$B$304,MATCH(B1804,'Sản phẩm'!$A$5:$A$304,0)),""))</f>
        <v/>
      </c>
      <c r="D1804" s="12" t="n"/>
      <c r="E1804" s="11" t="n"/>
      <c r="F1804" s="16">
        <f>IF(OR(D1804="",E1804=""),"",D1804*E1804)</f>
        <v/>
      </c>
      <c r="G1804" s="10" t="n"/>
      <c r="H1804" s="14">
        <f>IF(A1804="","",MONTH(A1804))</f>
        <v/>
      </c>
      <c r="I1804" s="14">
        <f>IF(A1804="","",YEAR(A1804))</f>
        <v/>
      </c>
    </row>
    <row r="1805">
      <c r="A1805" s="15" t="n"/>
      <c r="B1805" s="10" t="n"/>
      <c r="C1805" s="14">
        <f>IF(B1805="","",IFERROR(INDEX('Sản phẩm'!$B$5:$B$304,MATCH(B1805,'Sản phẩm'!$A$5:$A$304,0)),""))</f>
        <v/>
      </c>
      <c r="D1805" s="12" t="n"/>
      <c r="E1805" s="11" t="n"/>
      <c r="F1805" s="16">
        <f>IF(OR(D1805="",E1805=""),"",D1805*E1805)</f>
        <v/>
      </c>
      <c r="G1805" s="10" t="n"/>
      <c r="H1805" s="14">
        <f>IF(A1805="","",MONTH(A1805))</f>
        <v/>
      </c>
      <c r="I1805" s="14">
        <f>IF(A1805="","",YEAR(A1805))</f>
        <v/>
      </c>
    </row>
    <row r="1806">
      <c r="A1806" s="15" t="n"/>
      <c r="B1806" s="10" t="n"/>
      <c r="C1806" s="14">
        <f>IF(B1806="","",IFERROR(INDEX('Sản phẩm'!$B$5:$B$304,MATCH(B1806,'Sản phẩm'!$A$5:$A$304,0)),""))</f>
        <v/>
      </c>
      <c r="D1806" s="12" t="n"/>
      <c r="E1806" s="11" t="n"/>
      <c r="F1806" s="16">
        <f>IF(OR(D1806="",E1806=""),"",D1806*E1806)</f>
        <v/>
      </c>
      <c r="G1806" s="10" t="n"/>
      <c r="H1806" s="14">
        <f>IF(A1806="","",MONTH(A1806))</f>
        <v/>
      </c>
      <c r="I1806" s="14">
        <f>IF(A1806="","",YEAR(A1806))</f>
        <v/>
      </c>
    </row>
    <row r="1807">
      <c r="A1807" s="15" t="n"/>
      <c r="B1807" s="10" t="n"/>
      <c r="C1807" s="14">
        <f>IF(B1807="","",IFERROR(INDEX('Sản phẩm'!$B$5:$B$304,MATCH(B1807,'Sản phẩm'!$A$5:$A$304,0)),""))</f>
        <v/>
      </c>
      <c r="D1807" s="12" t="n"/>
      <c r="E1807" s="11" t="n"/>
      <c r="F1807" s="16">
        <f>IF(OR(D1807="",E1807=""),"",D1807*E1807)</f>
        <v/>
      </c>
      <c r="G1807" s="10" t="n"/>
      <c r="H1807" s="14">
        <f>IF(A1807="","",MONTH(A1807))</f>
        <v/>
      </c>
      <c r="I1807" s="14">
        <f>IF(A1807="","",YEAR(A1807))</f>
        <v/>
      </c>
    </row>
    <row r="1808">
      <c r="A1808" s="15" t="n"/>
      <c r="B1808" s="10" t="n"/>
      <c r="C1808" s="14">
        <f>IF(B1808="","",IFERROR(INDEX('Sản phẩm'!$B$5:$B$304,MATCH(B1808,'Sản phẩm'!$A$5:$A$304,0)),""))</f>
        <v/>
      </c>
      <c r="D1808" s="12" t="n"/>
      <c r="E1808" s="11" t="n"/>
      <c r="F1808" s="16">
        <f>IF(OR(D1808="",E1808=""),"",D1808*E1808)</f>
        <v/>
      </c>
      <c r="G1808" s="10" t="n"/>
      <c r="H1808" s="14">
        <f>IF(A1808="","",MONTH(A1808))</f>
        <v/>
      </c>
      <c r="I1808" s="14">
        <f>IF(A1808="","",YEAR(A1808))</f>
        <v/>
      </c>
    </row>
    <row r="1809">
      <c r="A1809" s="15" t="n"/>
      <c r="B1809" s="10" t="n"/>
      <c r="C1809" s="14">
        <f>IF(B1809="","",IFERROR(INDEX('Sản phẩm'!$B$5:$B$304,MATCH(B1809,'Sản phẩm'!$A$5:$A$304,0)),""))</f>
        <v/>
      </c>
      <c r="D1809" s="12" t="n"/>
      <c r="E1809" s="11" t="n"/>
      <c r="F1809" s="16">
        <f>IF(OR(D1809="",E1809=""),"",D1809*E1809)</f>
        <v/>
      </c>
      <c r="G1809" s="10" t="n"/>
      <c r="H1809" s="14">
        <f>IF(A1809="","",MONTH(A1809))</f>
        <v/>
      </c>
      <c r="I1809" s="14">
        <f>IF(A1809="","",YEAR(A1809))</f>
        <v/>
      </c>
    </row>
    <row r="1810">
      <c r="A1810" s="15" t="n"/>
      <c r="B1810" s="10" t="n"/>
      <c r="C1810" s="14">
        <f>IF(B1810="","",IFERROR(INDEX('Sản phẩm'!$B$5:$B$304,MATCH(B1810,'Sản phẩm'!$A$5:$A$304,0)),""))</f>
        <v/>
      </c>
      <c r="D1810" s="12" t="n"/>
      <c r="E1810" s="11" t="n"/>
      <c r="F1810" s="16">
        <f>IF(OR(D1810="",E1810=""),"",D1810*E1810)</f>
        <v/>
      </c>
      <c r="G1810" s="10" t="n"/>
      <c r="H1810" s="14">
        <f>IF(A1810="","",MONTH(A1810))</f>
        <v/>
      </c>
      <c r="I1810" s="14">
        <f>IF(A1810="","",YEAR(A1810))</f>
        <v/>
      </c>
    </row>
    <row r="1811">
      <c r="A1811" s="15" t="n"/>
      <c r="B1811" s="10" t="n"/>
      <c r="C1811" s="14">
        <f>IF(B1811="","",IFERROR(INDEX('Sản phẩm'!$B$5:$B$304,MATCH(B1811,'Sản phẩm'!$A$5:$A$304,0)),""))</f>
        <v/>
      </c>
      <c r="D1811" s="12" t="n"/>
      <c r="E1811" s="11" t="n"/>
      <c r="F1811" s="16">
        <f>IF(OR(D1811="",E1811=""),"",D1811*E1811)</f>
        <v/>
      </c>
      <c r="G1811" s="10" t="n"/>
      <c r="H1811" s="14">
        <f>IF(A1811="","",MONTH(A1811))</f>
        <v/>
      </c>
      <c r="I1811" s="14">
        <f>IF(A1811="","",YEAR(A1811))</f>
        <v/>
      </c>
    </row>
    <row r="1812">
      <c r="A1812" s="15" t="n"/>
      <c r="B1812" s="10" t="n"/>
      <c r="C1812" s="14">
        <f>IF(B1812="","",IFERROR(INDEX('Sản phẩm'!$B$5:$B$304,MATCH(B1812,'Sản phẩm'!$A$5:$A$304,0)),""))</f>
        <v/>
      </c>
      <c r="D1812" s="12" t="n"/>
      <c r="E1812" s="11" t="n"/>
      <c r="F1812" s="16">
        <f>IF(OR(D1812="",E1812=""),"",D1812*E1812)</f>
        <v/>
      </c>
      <c r="G1812" s="10" t="n"/>
      <c r="H1812" s="14">
        <f>IF(A1812="","",MONTH(A1812))</f>
        <v/>
      </c>
      <c r="I1812" s="14">
        <f>IF(A1812="","",YEAR(A1812))</f>
        <v/>
      </c>
    </row>
    <row r="1813">
      <c r="A1813" s="15" t="n"/>
      <c r="B1813" s="10" t="n"/>
      <c r="C1813" s="14">
        <f>IF(B1813="","",IFERROR(INDEX('Sản phẩm'!$B$5:$B$304,MATCH(B1813,'Sản phẩm'!$A$5:$A$304,0)),""))</f>
        <v/>
      </c>
      <c r="D1813" s="12" t="n"/>
      <c r="E1813" s="11" t="n"/>
      <c r="F1813" s="16">
        <f>IF(OR(D1813="",E1813=""),"",D1813*E1813)</f>
        <v/>
      </c>
      <c r="G1813" s="10" t="n"/>
      <c r="H1813" s="14">
        <f>IF(A1813="","",MONTH(A1813))</f>
        <v/>
      </c>
      <c r="I1813" s="14">
        <f>IF(A1813="","",YEAR(A1813))</f>
        <v/>
      </c>
    </row>
    <row r="1814">
      <c r="A1814" s="15" t="n"/>
      <c r="B1814" s="10" t="n"/>
      <c r="C1814" s="14">
        <f>IF(B1814="","",IFERROR(INDEX('Sản phẩm'!$B$5:$B$304,MATCH(B1814,'Sản phẩm'!$A$5:$A$304,0)),""))</f>
        <v/>
      </c>
      <c r="D1814" s="12" t="n"/>
      <c r="E1814" s="11" t="n"/>
      <c r="F1814" s="16">
        <f>IF(OR(D1814="",E1814=""),"",D1814*E1814)</f>
        <v/>
      </c>
      <c r="G1814" s="10" t="n"/>
      <c r="H1814" s="14">
        <f>IF(A1814="","",MONTH(A1814))</f>
        <v/>
      </c>
      <c r="I1814" s="14">
        <f>IF(A1814="","",YEAR(A1814))</f>
        <v/>
      </c>
    </row>
    <row r="1815">
      <c r="A1815" s="15" t="n"/>
      <c r="B1815" s="10" t="n"/>
      <c r="C1815" s="14">
        <f>IF(B1815="","",IFERROR(INDEX('Sản phẩm'!$B$5:$B$304,MATCH(B1815,'Sản phẩm'!$A$5:$A$304,0)),""))</f>
        <v/>
      </c>
      <c r="D1815" s="12" t="n"/>
      <c r="E1815" s="11" t="n"/>
      <c r="F1815" s="16">
        <f>IF(OR(D1815="",E1815=""),"",D1815*E1815)</f>
        <v/>
      </c>
      <c r="G1815" s="10" t="n"/>
      <c r="H1815" s="14">
        <f>IF(A1815="","",MONTH(A1815))</f>
        <v/>
      </c>
      <c r="I1815" s="14">
        <f>IF(A1815="","",YEAR(A1815))</f>
        <v/>
      </c>
    </row>
    <row r="1816">
      <c r="A1816" s="15" t="n"/>
      <c r="B1816" s="10" t="n"/>
      <c r="C1816" s="14">
        <f>IF(B1816="","",IFERROR(INDEX('Sản phẩm'!$B$5:$B$304,MATCH(B1816,'Sản phẩm'!$A$5:$A$304,0)),""))</f>
        <v/>
      </c>
      <c r="D1816" s="12" t="n"/>
      <c r="E1816" s="11" t="n"/>
      <c r="F1816" s="16">
        <f>IF(OR(D1816="",E1816=""),"",D1816*E1816)</f>
        <v/>
      </c>
      <c r="G1816" s="10" t="n"/>
      <c r="H1816" s="14">
        <f>IF(A1816="","",MONTH(A1816))</f>
        <v/>
      </c>
      <c r="I1816" s="14">
        <f>IF(A1816="","",YEAR(A1816))</f>
        <v/>
      </c>
    </row>
    <row r="1817">
      <c r="A1817" s="15" t="n"/>
      <c r="B1817" s="10" t="n"/>
      <c r="C1817" s="14">
        <f>IF(B1817="","",IFERROR(INDEX('Sản phẩm'!$B$5:$B$304,MATCH(B1817,'Sản phẩm'!$A$5:$A$304,0)),""))</f>
        <v/>
      </c>
      <c r="D1817" s="12" t="n"/>
      <c r="E1817" s="11" t="n"/>
      <c r="F1817" s="16">
        <f>IF(OR(D1817="",E1817=""),"",D1817*E1817)</f>
        <v/>
      </c>
      <c r="G1817" s="10" t="n"/>
      <c r="H1817" s="14">
        <f>IF(A1817="","",MONTH(A1817))</f>
        <v/>
      </c>
      <c r="I1817" s="14">
        <f>IF(A1817="","",YEAR(A1817))</f>
        <v/>
      </c>
    </row>
    <row r="1818">
      <c r="A1818" s="15" t="n"/>
      <c r="B1818" s="10" t="n"/>
      <c r="C1818" s="14">
        <f>IF(B1818="","",IFERROR(INDEX('Sản phẩm'!$B$5:$B$304,MATCH(B1818,'Sản phẩm'!$A$5:$A$304,0)),""))</f>
        <v/>
      </c>
      <c r="D1818" s="12" t="n"/>
      <c r="E1818" s="11" t="n"/>
      <c r="F1818" s="16">
        <f>IF(OR(D1818="",E1818=""),"",D1818*E1818)</f>
        <v/>
      </c>
      <c r="G1818" s="10" t="n"/>
      <c r="H1818" s="14">
        <f>IF(A1818="","",MONTH(A1818))</f>
        <v/>
      </c>
      <c r="I1818" s="14">
        <f>IF(A1818="","",YEAR(A1818))</f>
        <v/>
      </c>
    </row>
    <row r="1819">
      <c r="A1819" s="15" t="n"/>
      <c r="B1819" s="10" t="n"/>
      <c r="C1819" s="14">
        <f>IF(B1819="","",IFERROR(INDEX('Sản phẩm'!$B$5:$B$304,MATCH(B1819,'Sản phẩm'!$A$5:$A$304,0)),""))</f>
        <v/>
      </c>
      <c r="D1819" s="12" t="n"/>
      <c r="E1819" s="11" t="n"/>
      <c r="F1819" s="16">
        <f>IF(OR(D1819="",E1819=""),"",D1819*E1819)</f>
        <v/>
      </c>
      <c r="G1819" s="10" t="n"/>
      <c r="H1819" s="14">
        <f>IF(A1819="","",MONTH(A1819))</f>
        <v/>
      </c>
      <c r="I1819" s="14">
        <f>IF(A1819="","",YEAR(A1819))</f>
        <v/>
      </c>
    </row>
    <row r="1820">
      <c r="A1820" s="15" t="n"/>
      <c r="B1820" s="10" t="n"/>
      <c r="C1820" s="14">
        <f>IF(B1820="","",IFERROR(INDEX('Sản phẩm'!$B$5:$B$304,MATCH(B1820,'Sản phẩm'!$A$5:$A$304,0)),""))</f>
        <v/>
      </c>
      <c r="D1820" s="12" t="n"/>
      <c r="E1820" s="11" t="n"/>
      <c r="F1820" s="16">
        <f>IF(OR(D1820="",E1820=""),"",D1820*E1820)</f>
        <v/>
      </c>
      <c r="G1820" s="10" t="n"/>
      <c r="H1820" s="14">
        <f>IF(A1820="","",MONTH(A1820))</f>
        <v/>
      </c>
      <c r="I1820" s="14">
        <f>IF(A1820="","",YEAR(A1820))</f>
        <v/>
      </c>
    </row>
    <row r="1821">
      <c r="A1821" s="15" t="n"/>
      <c r="B1821" s="10" t="n"/>
      <c r="C1821" s="14">
        <f>IF(B1821="","",IFERROR(INDEX('Sản phẩm'!$B$5:$B$304,MATCH(B1821,'Sản phẩm'!$A$5:$A$304,0)),""))</f>
        <v/>
      </c>
      <c r="D1821" s="12" t="n"/>
      <c r="E1821" s="11" t="n"/>
      <c r="F1821" s="16">
        <f>IF(OR(D1821="",E1821=""),"",D1821*E1821)</f>
        <v/>
      </c>
      <c r="G1821" s="10" t="n"/>
      <c r="H1821" s="14">
        <f>IF(A1821="","",MONTH(A1821))</f>
        <v/>
      </c>
      <c r="I1821" s="14">
        <f>IF(A1821="","",YEAR(A1821))</f>
        <v/>
      </c>
    </row>
    <row r="1822">
      <c r="A1822" s="15" t="n"/>
      <c r="B1822" s="10" t="n"/>
      <c r="C1822" s="14">
        <f>IF(B1822="","",IFERROR(INDEX('Sản phẩm'!$B$5:$B$304,MATCH(B1822,'Sản phẩm'!$A$5:$A$304,0)),""))</f>
        <v/>
      </c>
      <c r="D1822" s="12" t="n"/>
      <c r="E1822" s="11" t="n"/>
      <c r="F1822" s="16">
        <f>IF(OR(D1822="",E1822=""),"",D1822*E1822)</f>
        <v/>
      </c>
      <c r="G1822" s="10" t="n"/>
      <c r="H1822" s="14">
        <f>IF(A1822="","",MONTH(A1822))</f>
        <v/>
      </c>
      <c r="I1822" s="14">
        <f>IF(A1822="","",YEAR(A1822))</f>
        <v/>
      </c>
    </row>
    <row r="1823">
      <c r="A1823" s="15" t="n"/>
      <c r="B1823" s="10" t="n"/>
      <c r="C1823" s="14">
        <f>IF(B1823="","",IFERROR(INDEX('Sản phẩm'!$B$5:$B$304,MATCH(B1823,'Sản phẩm'!$A$5:$A$304,0)),""))</f>
        <v/>
      </c>
      <c r="D1823" s="12" t="n"/>
      <c r="E1823" s="11" t="n"/>
      <c r="F1823" s="16">
        <f>IF(OR(D1823="",E1823=""),"",D1823*E1823)</f>
        <v/>
      </c>
      <c r="G1823" s="10" t="n"/>
      <c r="H1823" s="14">
        <f>IF(A1823="","",MONTH(A1823))</f>
        <v/>
      </c>
      <c r="I1823" s="14">
        <f>IF(A1823="","",YEAR(A1823))</f>
        <v/>
      </c>
    </row>
    <row r="1824">
      <c r="A1824" s="15" t="n"/>
      <c r="B1824" s="10" t="n"/>
      <c r="C1824" s="14">
        <f>IF(B1824="","",IFERROR(INDEX('Sản phẩm'!$B$5:$B$304,MATCH(B1824,'Sản phẩm'!$A$5:$A$304,0)),""))</f>
        <v/>
      </c>
      <c r="D1824" s="12" t="n"/>
      <c r="E1824" s="11" t="n"/>
      <c r="F1824" s="16">
        <f>IF(OR(D1824="",E1824=""),"",D1824*E1824)</f>
        <v/>
      </c>
      <c r="G1824" s="10" t="n"/>
      <c r="H1824" s="14">
        <f>IF(A1824="","",MONTH(A1824))</f>
        <v/>
      </c>
      <c r="I1824" s="14">
        <f>IF(A1824="","",YEAR(A1824))</f>
        <v/>
      </c>
    </row>
    <row r="1825">
      <c r="A1825" s="15" t="n"/>
      <c r="B1825" s="10" t="n"/>
      <c r="C1825" s="14">
        <f>IF(B1825="","",IFERROR(INDEX('Sản phẩm'!$B$5:$B$304,MATCH(B1825,'Sản phẩm'!$A$5:$A$304,0)),""))</f>
        <v/>
      </c>
      <c r="D1825" s="12" t="n"/>
      <c r="E1825" s="11" t="n"/>
      <c r="F1825" s="16">
        <f>IF(OR(D1825="",E1825=""),"",D1825*E1825)</f>
        <v/>
      </c>
      <c r="G1825" s="10" t="n"/>
      <c r="H1825" s="14">
        <f>IF(A1825="","",MONTH(A1825))</f>
        <v/>
      </c>
      <c r="I1825" s="14">
        <f>IF(A1825="","",YEAR(A1825))</f>
        <v/>
      </c>
    </row>
    <row r="1826">
      <c r="A1826" s="15" t="n"/>
      <c r="B1826" s="10" t="n"/>
      <c r="C1826" s="14">
        <f>IF(B1826="","",IFERROR(INDEX('Sản phẩm'!$B$5:$B$304,MATCH(B1826,'Sản phẩm'!$A$5:$A$304,0)),""))</f>
        <v/>
      </c>
      <c r="D1826" s="12" t="n"/>
      <c r="E1826" s="11" t="n"/>
      <c r="F1826" s="16">
        <f>IF(OR(D1826="",E1826=""),"",D1826*E1826)</f>
        <v/>
      </c>
      <c r="G1826" s="10" t="n"/>
      <c r="H1826" s="14">
        <f>IF(A1826="","",MONTH(A1826))</f>
        <v/>
      </c>
      <c r="I1826" s="14">
        <f>IF(A1826="","",YEAR(A1826))</f>
        <v/>
      </c>
    </row>
    <row r="1827">
      <c r="A1827" s="15" t="n"/>
      <c r="B1827" s="10" t="n"/>
      <c r="C1827" s="14">
        <f>IF(B1827="","",IFERROR(INDEX('Sản phẩm'!$B$5:$B$304,MATCH(B1827,'Sản phẩm'!$A$5:$A$304,0)),""))</f>
        <v/>
      </c>
      <c r="D1827" s="12" t="n"/>
      <c r="E1827" s="11" t="n"/>
      <c r="F1827" s="16">
        <f>IF(OR(D1827="",E1827=""),"",D1827*E1827)</f>
        <v/>
      </c>
      <c r="G1827" s="10" t="n"/>
      <c r="H1827" s="14">
        <f>IF(A1827="","",MONTH(A1827))</f>
        <v/>
      </c>
      <c r="I1827" s="14">
        <f>IF(A1827="","",YEAR(A1827))</f>
        <v/>
      </c>
    </row>
    <row r="1828">
      <c r="A1828" s="15" t="n"/>
      <c r="B1828" s="10" t="n"/>
      <c r="C1828" s="14">
        <f>IF(B1828="","",IFERROR(INDEX('Sản phẩm'!$B$5:$B$304,MATCH(B1828,'Sản phẩm'!$A$5:$A$304,0)),""))</f>
        <v/>
      </c>
      <c r="D1828" s="12" t="n"/>
      <c r="E1828" s="11" t="n"/>
      <c r="F1828" s="16">
        <f>IF(OR(D1828="",E1828=""),"",D1828*E1828)</f>
        <v/>
      </c>
      <c r="G1828" s="10" t="n"/>
      <c r="H1828" s="14">
        <f>IF(A1828="","",MONTH(A1828))</f>
        <v/>
      </c>
      <c r="I1828" s="14">
        <f>IF(A1828="","",YEAR(A1828))</f>
        <v/>
      </c>
    </row>
    <row r="1829">
      <c r="A1829" s="15" t="n"/>
      <c r="B1829" s="10" t="n"/>
      <c r="C1829" s="14">
        <f>IF(B1829="","",IFERROR(INDEX('Sản phẩm'!$B$5:$B$304,MATCH(B1829,'Sản phẩm'!$A$5:$A$304,0)),""))</f>
        <v/>
      </c>
      <c r="D1829" s="12" t="n"/>
      <c r="E1829" s="11" t="n"/>
      <c r="F1829" s="16">
        <f>IF(OR(D1829="",E1829=""),"",D1829*E1829)</f>
        <v/>
      </c>
      <c r="G1829" s="10" t="n"/>
      <c r="H1829" s="14">
        <f>IF(A1829="","",MONTH(A1829))</f>
        <v/>
      </c>
      <c r="I1829" s="14">
        <f>IF(A1829="","",YEAR(A1829))</f>
        <v/>
      </c>
    </row>
    <row r="1830">
      <c r="A1830" s="15" t="n"/>
      <c r="B1830" s="10" t="n"/>
      <c r="C1830" s="14">
        <f>IF(B1830="","",IFERROR(INDEX('Sản phẩm'!$B$5:$B$304,MATCH(B1830,'Sản phẩm'!$A$5:$A$304,0)),""))</f>
        <v/>
      </c>
      <c r="D1830" s="12" t="n"/>
      <c r="E1830" s="11" t="n"/>
      <c r="F1830" s="16">
        <f>IF(OR(D1830="",E1830=""),"",D1830*E1830)</f>
        <v/>
      </c>
      <c r="G1830" s="10" t="n"/>
      <c r="H1830" s="14">
        <f>IF(A1830="","",MONTH(A1830))</f>
        <v/>
      </c>
      <c r="I1830" s="14">
        <f>IF(A1830="","",YEAR(A1830))</f>
        <v/>
      </c>
    </row>
    <row r="1831">
      <c r="A1831" s="15" t="n"/>
      <c r="B1831" s="10" t="n"/>
      <c r="C1831" s="14">
        <f>IF(B1831="","",IFERROR(INDEX('Sản phẩm'!$B$5:$B$304,MATCH(B1831,'Sản phẩm'!$A$5:$A$304,0)),""))</f>
        <v/>
      </c>
      <c r="D1831" s="12" t="n"/>
      <c r="E1831" s="11" t="n"/>
      <c r="F1831" s="16">
        <f>IF(OR(D1831="",E1831=""),"",D1831*E1831)</f>
        <v/>
      </c>
      <c r="G1831" s="10" t="n"/>
      <c r="H1831" s="14">
        <f>IF(A1831="","",MONTH(A1831))</f>
        <v/>
      </c>
      <c r="I1831" s="14">
        <f>IF(A1831="","",YEAR(A1831))</f>
        <v/>
      </c>
    </row>
    <row r="1832">
      <c r="A1832" s="15" t="n"/>
      <c r="B1832" s="10" t="n"/>
      <c r="C1832" s="14">
        <f>IF(B1832="","",IFERROR(INDEX('Sản phẩm'!$B$5:$B$304,MATCH(B1832,'Sản phẩm'!$A$5:$A$304,0)),""))</f>
        <v/>
      </c>
      <c r="D1832" s="12" t="n"/>
      <c r="E1832" s="11" t="n"/>
      <c r="F1832" s="16">
        <f>IF(OR(D1832="",E1832=""),"",D1832*E1832)</f>
        <v/>
      </c>
      <c r="G1832" s="10" t="n"/>
      <c r="H1832" s="14">
        <f>IF(A1832="","",MONTH(A1832))</f>
        <v/>
      </c>
      <c r="I1832" s="14">
        <f>IF(A1832="","",YEAR(A1832))</f>
        <v/>
      </c>
    </row>
    <row r="1833">
      <c r="A1833" s="15" t="n"/>
      <c r="B1833" s="10" t="n"/>
      <c r="C1833" s="14">
        <f>IF(B1833="","",IFERROR(INDEX('Sản phẩm'!$B$5:$B$304,MATCH(B1833,'Sản phẩm'!$A$5:$A$304,0)),""))</f>
        <v/>
      </c>
      <c r="D1833" s="12" t="n"/>
      <c r="E1833" s="11" t="n"/>
      <c r="F1833" s="16">
        <f>IF(OR(D1833="",E1833=""),"",D1833*E1833)</f>
        <v/>
      </c>
      <c r="G1833" s="10" t="n"/>
      <c r="H1833" s="14">
        <f>IF(A1833="","",MONTH(A1833))</f>
        <v/>
      </c>
      <c r="I1833" s="14">
        <f>IF(A1833="","",YEAR(A1833))</f>
        <v/>
      </c>
    </row>
    <row r="1834">
      <c r="A1834" s="15" t="n"/>
      <c r="B1834" s="10" t="n"/>
      <c r="C1834" s="14">
        <f>IF(B1834="","",IFERROR(INDEX('Sản phẩm'!$B$5:$B$304,MATCH(B1834,'Sản phẩm'!$A$5:$A$304,0)),""))</f>
        <v/>
      </c>
      <c r="D1834" s="12" t="n"/>
      <c r="E1834" s="11" t="n"/>
      <c r="F1834" s="16">
        <f>IF(OR(D1834="",E1834=""),"",D1834*E1834)</f>
        <v/>
      </c>
      <c r="G1834" s="10" t="n"/>
      <c r="H1834" s="14">
        <f>IF(A1834="","",MONTH(A1834))</f>
        <v/>
      </c>
      <c r="I1834" s="14">
        <f>IF(A1834="","",YEAR(A1834))</f>
        <v/>
      </c>
    </row>
    <row r="1835">
      <c r="A1835" s="15" t="n"/>
      <c r="B1835" s="10" t="n"/>
      <c r="C1835" s="14">
        <f>IF(B1835="","",IFERROR(INDEX('Sản phẩm'!$B$5:$B$304,MATCH(B1835,'Sản phẩm'!$A$5:$A$304,0)),""))</f>
        <v/>
      </c>
      <c r="D1835" s="12" t="n"/>
      <c r="E1835" s="11" t="n"/>
      <c r="F1835" s="16">
        <f>IF(OR(D1835="",E1835=""),"",D1835*E1835)</f>
        <v/>
      </c>
      <c r="G1835" s="10" t="n"/>
      <c r="H1835" s="14">
        <f>IF(A1835="","",MONTH(A1835))</f>
        <v/>
      </c>
      <c r="I1835" s="14">
        <f>IF(A1835="","",YEAR(A1835))</f>
        <v/>
      </c>
    </row>
    <row r="1836">
      <c r="A1836" s="15" t="n"/>
      <c r="B1836" s="10" t="n"/>
      <c r="C1836" s="14">
        <f>IF(B1836="","",IFERROR(INDEX('Sản phẩm'!$B$5:$B$304,MATCH(B1836,'Sản phẩm'!$A$5:$A$304,0)),""))</f>
        <v/>
      </c>
      <c r="D1836" s="12" t="n"/>
      <c r="E1836" s="11" t="n"/>
      <c r="F1836" s="16">
        <f>IF(OR(D1836="",E1836=""),"",D1836*E1836)</f>
        <v/>
      </c>
      <c r="G1836" s="10" t="n"/>
      <c r="H1836" s="14">
        <f>IF(A1836="","",MONTH(A1836))</f>
        <v/>
      </c>
      <c r="I1836" s="14">
        <f>IF(A1836="","",YEAR(A1836))</f>
        <v/>
      </c>
    </row>
    <row r="1837">
      <c r="A1837" s="15" t="n"/>
      <c r="B1837" s="10" t="n"/>
      <c r="C1837" s="14">
        <f>IF(B1837="","",IFERROR(INDEX('Sản phẩm'!$B$5:$B$304,MATCH(B1837,'Sản phẩm'!$A$5:$A$304,0)),""))</f>
        <v/>
      </c>
      <c r="D1837" s="12" t="n"/>
      <c r="E1837" s="11" t="n"/>
      <c r="F1837" s="16">
        <f>IF(OR(D1837="",E1837=""),"",D1837*E1837)</f>
        <v/>
      </c>
      <c r="G1837" s="10" t="n"/>
      <c r="H1837" s="14">
        <f>IF(A1837="","",MONTH(A1837))</f>
        <v/>
      </c>
      <c r="I1837" s="14">
        <f>IF(A1837="","",YEAR(A1837))</f>
        <v/>
      </c>
    </row>
    <row r="1838">
      <c r="A1838" s="15" t="n"/>
      <c r="B1838" s="10" t="n"/>
      <c r="C1838" s="14">
        <f>IF(B1838="","",IFERROR(INDEX('Sản phẩm'!$B$5:$B$304,MATCH(B1838,'Sản phẩm'!$A$5:$A$304,0)),""))</f>
        <v/>
      </c>
      <c r="D1838" s="12" t="n"/>
      <c r="E1838" s="11" t="n"/>
      <c r="F1838" s="16">
        <f>IF(OR(D1838="",E1838=""),"",D1838*E1838)</f>
        <v/>
      </c>
      <c r="G1838" s="10" t="n"/>
      <c r="H1838" s="14">
        <f>IF(A1838="","",MONTH(A1838))</f>
        <v/>
      </c>
      <c r="I1838" s="14">
        <f>IF(A1838="","",YEAR(A1838))</f>
        <v/>
      </c>
    </row>
    <row r="1839">
      <c r="A1839" s="15" t="n"/>
      <c r="B1839" s="10" t="n"/>
      <c r="C1839" s="14">
        <f>IF(B1839="","",IFERROR(INDEX('Sản phẩm'!$B$5:$B$304,MATCH(B1839,'Sản phẩm'!$A$5:$A$304,0)),""))</f>
        <v/>
      </c>
      <c r="D1839" s="12" t="n"/>
      <c r="E1839" s="11" t="n"/>
      <c r="F1839" s="16">
        <f>IF(OR(D1839="",E1839=""),"",D1839*E1839)</f>
        <v/>
      </c>
      <c r="G1839" s="10" t="n"/>
      <c r="H1839" s="14">
        <f>IF(A1839="","",MONTH(A1839))</f>
        <v/>
      </c>
      <c r="I1839" s="14">
        <f>IF(A1839="","",YEAR(A1839))</f>
        <v/>
      </c>
    </row>
    <row r="1840">
      <c r="A1840" s="15" t="n"/>
      <c r="B1840" s="10" t="n"/>
      <c r="C1840" s="14">
        <f>IF(B1840="","",IFERROR(INDEX('Sản phẩm'!$B$5:$B$304,MATCH(B1840,'Sản phẩm'!$A$5:$A$304,0)),""))</f>
        <v/>
      </c>
      <c r="D1840" s="12" t="n"/>
      <c r="E1840" s="11" t="n"/>
      <c r="F1840" s="16">
        <f>IF(OR(D1840="",E1840=""),"",D1840*E1840)</f>
        <v/>
      </c>
      <c r="G1840" s="10" t="n"/>
      <c r="H1840" s="14">
        <f>IF(A1840="","",MONTH(A1840))</f>
        <v/>
      </c>
      <c r="I1840" s="14">
        <f>IF(A1840="","",YEAR(A1840))</f>
        <v/>
      </c>
    </row>
    <row r="1841">
      <c r="A1841" s="15" t="n"/>
      <c r="B1841" s="10" t="n"/>
      <c r="C1841" s="14">
        <f>IF(B1841="","",IFERROR(INDEX('Sản phẩm'!$B$5:$B$304,MATCH(B1841,'Sản phẩm'!$A$5:$A$304,0)),""))</f>
        <v/>
      </c>
      <c r="D1841" s="12" t="n"/>
      <c r="E1841" s="11" t="n"/>
      <c r="F1841" s="16">
        <f>IF(OR(D1841="",E1841=""),"",D1841*E1841)</f>
        <v/>
      </c>
      <c r="G1841" s="10" t="n"/>
      <c r="H1841" s="14">
        <f>IF(A1841="","",MONTH(A1841))</f>
        <v/>
      </c>
      <c r="I1841" s="14">
        <f>IF(A1841="","",YEAR(A1841))</f>
        <v/>
      </c>
    </row>
    <row r="1842">
      <c r="A1842" s="15" t="n"/>
      <c r="B1842" s="10" t="n"/>
      <c r="C1842" s="14">
        <f>IF(B1842="","",IFERROR(INDEX('Sản phẩm'!$B$5:$B$304,MATCH(B1842,'Sản phẩm'!$A$5:$A$304,0)),""))</f>
        <v/>
      </c>
      <c r="D1842" s="12" t="n"/>
      <c r="E1842" s="11" t="n"/>
      <c r="F1842" s="16">
        <f>IF(OR(D1842="",E1842=""),"",D1842*E1842)</f>
        <v/>
      </c>
      <c r="G1842" s="10" t="n"/>
      <c r="H1842" s="14">
        <f>IF(A1842="","",MONTH(A1842))</f>
        <v/>
      </c>
      <c r="I1842" s="14">
        <f>IF(A1842="","",YEAR(A1842))</f>
        <v/>
      </c>
    </row>
    <row r="1843">
      <c r="A1843" s="15" t="n"/>
      <c r="B1843" s="10" t="n"/>
      <c r="C1843" s="14">
        <f>IF(B1843="","",IFERROR(INDEX('Sản phẩm'!$B$5:$B$304,MATCH(B1843,'Sản phẩm'!$A$5:$A$304,0)),""))</f>
        <v/>
      </c>
      <c r="D1843" s="12" t="n"/>
      <c r="E1843" s="11" t="n"/>
      <c r="F1843" s="16">
        <f>IF(OR(D1843="",E1843=""),"",D1843*E1843)</f>
        <v/>
      </c>
      <c r="G1843" s="10" t="n"/>
      <c r="H1843" s="14">
        <f>IF(A1843="","",MONTH(A1843))</f>
        <v/>
      </c>
      <c r="I1843" s="14">
        <f>IF(A1843="","",YEAR(A1843))</f>
        <v/>
      </c>
    </row>
    <row r="1844">
      <c r="A1844" s="15" t="n"/>
      <c r="B1844" s="10" t="n"/>
      <c r="C1844" s="14">
        <f>IF(B1844="","",IFERROR(INDEX('Sản phẩm'!$B$5:$B$304,MATCH(B1844,'Sản phẩm'!$A$5:$A$304,0)),""))</f>
        <v/>
      </c>
      <c r="D1844" s="12" t="n"/>
      <c r="E1844" s="11" t="n"/>
      <c r="F1844" s="16">
        <f>IF(OR(D1844="",E1844=""),"",D1844*E1844)</f>
        <v/>
      </c>
      <c r="G1844" s="10" t="n"/>
      <c r="H1844" s="14">
        <f>IF(A1844="","",MONTH(A1844))</f>
        <v/>
      </c>
      <c r="I1844" s="14">
        <f>IF(A1844="","",YEAR(A1844))</f>
        <v/>
      </c>
    </row>
    <row r="1845">
      <c r="A1845" s="15" t="n"/>
      <c r="B1845" s="10" t="n"/>
      <c r="C1845" s="14">
        <f>IF(B1845="","",IFERROR(INDEX('Sản phẩm'!$B$5:$B$304,MATCH(B1845,'Sản phẩm'!$A$5:$A$304,0)),""))</f>
        <v/>
      </c>
      <c r="D1845" s="12" t="n"/>
      <c r="E1845" s="11" t="n"/>
      <c r="F1845" s="16">
        <f>IF(OR(D1845="",E1845=""),"",D1845*E1845)</f>
        <v/>
      </c>
      <c r="G1845" s="10" t="n"/>
      <c r="H1845" s="14">
        <f>IF(A1845="","",MONTH(A1845))</f>
        <v/>
      </c>
      <c r="I1845" s="14">
        <f>IF(A1845="","",YEAR(A1845))</f>
        <v/>
      </c>
    </row>
    <row r="1846">
      <c r="A1846" s="15" t="n"/>
      <c r="B1846" s="10" t="n"/>
      <c r="C1846" s="14">
        <f>IF(B1846="","",IFERROR(INDEX('Sản phẩm'!$B$5:$B$304,MATCH(B1846,'Sản phẩm'!$A$5:$A$304,0)),""))</f>
        <v/>
      </c>
      <c r="D1846" s="12" t="n"/>
      <c r="E1846" s="11" t="n"/>
      <c r="F1846" s="16">
        <f>IF(OR(D1846="",E1846=""),"",D1846*E1846)</f>
        <v/>
      </c>
      <c r="G1846" s="10" t="n"/>
      <c r="H1846" s="14">
        <f>IF(A1846="","",MONTH(A1846))</f>
        <v/>
      </c>
      <c r="I1846" s="14">
        <f>IF(A1846="","",YEAR(A1846))</f>
        <v/>
      </c>
    </row>
    <row r="1847">
      <c r="A1847" s="15" t="n"/>
      <c r="B1847" s="10" t="n"/>
      <c r="C1847" s="14">
        <f>IF(B1847="","",IFERROR(INDEX('Sản phẩm'!$B$5:$B$304,MATCH(B1847,'Sản phẩm'!$A$5:$A$304,0)),""))</f>
        <v/>
      </c>
      <c r="D1847" s="12" t="n"/>
      <c r="E1847" s="11" t="n"/>
      <c r="F1847" s="16">
        <f>IF(OR(D1847="",E1847=""),"",D1847*E1847)</f>
        <v/>
      </c>
      <c r="G1847" s="10" t="n"/>
      <c r="H1847" s="14">
        <f>IF(A1847="","",MONTH(A1847))</f>
        <v/>
      </c>
      <c r="I1847" s="14">
        <f>IF(A1847="","",YEAR(A1847))</f>
        <v/>
      </c>
    </row>
    <row r="1848">
      <c r="A1848" s="15" t="n"/>
      <c r="B1848" s="10" t="n"/>
      <c r="C1848" s="14">
        <f>IF(B1848="","",IFERROR(INDEX('Sản phẩm'!$B$5:$B$304,MATCH(B1848,'Sản phẩm'!$A$5:$A$304,0)),""))</f>
        <v/>
      </c>
      <c r="D1848" s="12" t="n"/>
      <c r="E1848" s="11" t="n"/>
      <c r="F1848" s="16">
        <f>IF(OR(D1848="",E1848=""),"",D1848*E1848)</f>
        <v/>
      </c>
      <c r="G1848" s="10" t="n"/>
      <c r="H1848" s="14">
        <f>IF(A1848="","",MONTH(A1848))</f>
        <v/>
      </c>
      <c r="I1848" s="14">
        <f>IF(A1848="","",YEAR(A1848))</f>
        <v/>
      </c>
    </row>
    <row r="1849">
      <c r="A1849" s="15" t="n"/>
      <c r="B1849" s="10" t="n"/>
      <c r="C1849" s="14">
        <f>IF(B1849="","",IFERROR(INDEX('Sản phẩm'!$B$5:$B$304,MATCH(B1849,'Sản phẩm'!$A$5:$A$304,0)),""))</f>
        <v/>
      </c>
      <c r="D1849" s="12" t="n"/>
      <c r="E1849" s="11" t="n"/>
      <c r="F1849" s="16">
        <f>IF(OR(D1849="",E1849=""),"",D1849*E1849)</f>
        <v/>
      </c>
      <c r="G1849" s="10" t="n"/>
      <c r="H1849" s="14">
        <f>IF(A1849="","",MONTH(A1849))</f>
        <v/>
      </c>
      <c r="I1849" s="14">
        <f>IF(A1849="","",YEAR(A1849))</f>
        <v/>
      </c>
    </row>
    <row r="1850">
      <c r="A1850" s="15" t="n"/>
      <c r="B1850" s="10" t="n"/>
      <c r="C1850" s="14">
        <f>IF(B1850="","",IFERROR(INDEX('Sản phẩm'!$B$5:$B$304,MATCH(B1850,'Sản phẩm'!$A$5:$A$304,0)),""))</f>
        <v/>
      </c>
      <c r="D1850" s="12" t="n"/>
      <c r="E1850" s="11" t="n"/>
      <c r="F1850" s="16">
        <f>IF(OR(D1850="",E1850=""),"",D1850*E1850)</f>
        <v/>
      </c>
      <c r="G1850" s="10" t="n"/>
      <c r="H1850" s="14">
        <f>IF(A1850="","",MONTH(A1850))</f>
        <v/>
      </c>
      <c r="I1850" s="14">
        <f>IF(A1850="","",YEAR(A1850))</f>
        <v/>
      </c>
    </row>
    <row r="1851">
      <c r="A1851" s="15" t="n"/>
      <c r="B1851" s="10" t="n"/>
      <c r="C1851" s="14">
        <f>IF(B1851="","",IFERROR(INDEX('Sản phẩm'!$B$5:$B$304,MATCH(B1851,'Sản phẩm'!$A$5:$A$304,0)),""))</f>
        <v/>
      </c>
      <c r="D1851" s="12" t="n"/>
      <c r="E1851" s="11" t="n"/>
      <c r="F1851" s="16">
        <f>IF(OR(D1851="",E1851=""),"",D1851*E1851)</f>
        <v/>
      </c>
      <c r="G1851" s="10" t="n"/>
      <c r="H1851" s="14">
        <f>IF(A1851="","",MONTH(A1851))</f>
        <v/>
      </c>
      <c r="I1851" s="14">
        <f>IF(A1851="","",YEAR(A1851))</f>
        <v/>
      </c>
    </row>
    <row r="1852">
      <c r="A1852" s="15" t="n"/>
      <c r="B1852" s="10" t="n"/>
      <c r="C1852" s="14">
        <f>IF(B1852="","",IFERROR(INDEX('Sản phẩm'!$B$5:$B$304,MATCH(B1852,'Sản phẩm'!$A$5:$A$304,0)),""))</f>
        <v/>
      </c>
      <c r="D1852" s="12" t="n"/>
      <c r="E1852" s="11" t="n"/>
      <c r="F1852" s="16">
        <f>IF(OR(D1852="",E1852=""),"",D1852*E1852)</f>
        <v/>
      </c>
      <c r="G1852" s="10" t="n"/>
      <c r="H1852" s="14">
        <f>IF(A1852="","",MONTH(A1852))</f>
        <v/>
      </c>
      <c r="I1852" s="14">
        <f>IF(A1852="","",YEAR(A1852))</f>
        <v/>
      </c>
    </row>
    <row r="1853">
      <c r="A1853" s="15" t="n"/>
      <c r="B1853" s="10" t="n"/>
      <c r="C1853" s="14">
        <f>IF(B1853="","",IFERROR(INDEX('Sản phẩm'!$B$5:$B$304,MATCH(B1853,'Sản phẩm'!$A$5:$A$304,0)),""))</f>
        <v/>
      </c>
      <c r="D1853" s="12" t="n"/>
      <c r="E1853" s="11" t="n"/>
      <c r="F1853" s="16">
        <f>IF(OR(D1853="",E1853=""),"",D1853*E1853)</f>
        <v/>
      </c>
      <c r="G1853" s="10" t="n"/>
      <c r="H1853" s="14">
        <f>IF(A1853="","",MONTH(A1853))</f>
        <v/>
      </c>
      <c r="I1853" s="14">
        <f>IF(A1853="","",YEAR(A1853))</f>
        <v/>
      </c>
    </row>
    <row r="1854">
      <c r="A1854" s="15" t="n"/>
      <c r="B1854" s="10" t="n"/>
      <c r="C1854" s="14">
        <f>IF(B1854="","",IFERROR(INDEX('Sản phẩm'!$B$5:$B$304,MATCH(B1854,'Sản phẩm'!$A$5:$A$304,0)),""))</f>
        <v/>
      </c>
      <c r="D1854" s="12" t="n"/>
      <c r="E1854" s="11" t="n"/>
      <c r="F1854" s="16">
        <f>IF(OR(D1854="",E1854=""),"",D1854*E1854)</f>
        <v/>
      </c>
      <c r="G1854" s="10" t="n"/>
      <c r="H1854" s="14">
        <f>IF(A1854="","",MONTH(A1854))</f>
        <v/>
      </c>
      <c r="I1854" s="14">
        <f>IF(A1854="","",YEAR(A1854))</f>
        <v/>
      </c>
    </row>
    <row r="1855">
      <c r="A1855" s="15" t="n"/>
      <c r="B1855" s="10" t="n"/>
      <c r="C1855" s="14">
        <f>IF(B1855="","",IFERROR(INDEX('Sản phẩm'!$B$5:$B$304,MATCH(B1855,'Sản phẩm'!$A$5:$A$304,0)),""))</f>
        <v/>
      </c>
      <c r="D1855" s="12" t="n"/>
      <c r="E1855" s="11" t="n"/>
      <c r="F1855" s="16">
        <f>IF(OR(D1855="",E1855=""),"",D1855*E1855)</f>
        <v/>
      </c>
      <c r="G1855" s="10" t="n"/>
      <c r="H1855" s="14">
        <f>IF(A1855="","",MONTH(A1855))</f>
        <v/>
      </c>
      <c r="I1855" s="14">
        <f>IF(A1855="","",YEAR(A1855))</f>
        <v/>
      </c>
    </row>
    <row r="1856">
      <c r="A1856" s="15" t="n"/>
      <c r="B1856" s="10" t="n"/>
      <c r="C1856" s="14">
        <f>IF(B1856="","",IFERROR(INDEX('Sản phẩm'!$B$5:$B$304,MATCH(B1856,'Sản phẩm'!$A$5:$A$304,0)),""))</f>
        <v/>
      </c>
      <c r="D1856" s="12" t="n"/>
      <c r="E1856" s="11" t="n"/>
      <c r="F1856" s="16">
        <f>IF(OR(D1856="",E1856=""),"",D1856*E1856)</f>
        <v/>
      </c>
      <c r="G1856" s="10" t="n"/>
      <c r="H1856" s="14">
        <f>IF(A1856="","",MONTH(A1856))</f>
        <v/>
      </c>
      <c r="I1856" s="14">
        <f>IF(A1856="","",YEAR(A1856))</f>
        <v/>
      </c>
    </row>
    <row r="1857">
      <c r="A1857" s="15" t="n"/>
      <c r="B1857" s="10" t="n"/>
      <c r="C1857" s="14">
        <f>IF(B1857="","",IFERROR(INDEX('Sản phẩm'!$B$5:$B$304,MATCH(B1857,'Sản phẩm'!$A$5:$A$304,0)),""))</f>
        <v/>
      </c>
      <c r="D1857" s="12" t="n"/>
      <c r="E1857" s="11" t="n"/>
      <c r="F1857" s="16">
        <f>IF(OR(D1857="",E1857=""),"",D1857*E1857)</f>
        <v/>
      </c>
      <c r="G1857" s="10" t="n"/>
      <c r="H1857" s="14">
        <f>IF(A1857="","",MONTH(A1857))</f>
        <v/>
      </c>
      <c r="I1857" s="14">
        <f>IF(A1857="","",YEAR(A1857))</f>
        <v/>
      </c>
    </row>
    <row r="1858">
      <c r="A1858" s="15" t="n"/>
      <c r="B1858" s="10" t="n"/>
      <c r="C1858" s="14">
        <f>IF(B1858="","",IFERROR(INDEX('Sản phẩm'!$B$5:$B$304,MATCH(B1858,'Sản phẩm'!$A$5:$A$304,0)),""))</f>
        <v/>
      </c>
      <c r="D1858" s="12" t="n"/>
      <c r="E1858" s="11" t="n"/>
      <c r="F1858" s="16">
        <f>IF(OR(D1858="",E1858=""),"",D1858*E1858)</f>
        <v/>
      </c>
      <c r="G1858" s="10" t="n"/>
      <c r="H1858" s="14">
        <f>IF(A1858="","",MONTH(A1858))</f>
        <v/>
      </c>
      <c r="I1858" s="14">
        <f>IF(A1858="","",YEAR(A1858))</f>
        <v/>
      </c>
    </row>
    <row r="1859">
      <c r="A1859" s="15" t="n"/>
      <c r="B1859" s="10" t="n"/>
      <c r="C1859" s="14">
        <f>IF(B1859="","",IFERROR(INDEX('Sản phẩm'!$B$5:$B$304,MATCH(B1859,'Sản phẩm'!$A$5:$A$304,0)),""))</f>
        <v/>
      </c>
      <c r="D1859" s="12" t="n"/>
      <c r="E1859" s="11" t="n"/>
      <c r="F1859" s="16">
        <f>IF(OR(D1859="",E1859=""),"",D1859*E1859)</f>
        <v/>
      </c>
      <c r="G1859" s="10" t="n"/>
      <c r="H1859" s="14">
        <f>IF(A1859="","",MONTH(A1859))</f>
        <v/>
      </c>
      <c r="I1859" s="14">
        <f>IF(A1859="","",YEAR(A1859))</f>
        <v/>
      </c>
    </row>
    <row r="1860">
      <c r="A1860" s="15" t="n"/>
      <c r="B1860" s="10" t="n"/>
      <c r="C1860" s="14">
        <f>IF(B1860="","",IFERROR(INDEX('Sản phẩm'!$B$5:$B$304,MATCH(B1860,'Sản phẩm'!$A$5:$A$304,0)),""))</f>
        <v/>
      </c>
      <c r="D1860" s="12" t="n"/>
      <c r="E1860" s="11" t="n"/>
      <c r="F1860" s="16">
        <f>IF(OR(D1860="",E1860=""),"",D1860*E1860)</f>
        <v/>
      </c>
      <c r="G1860" s="10" t="n"/>
      <c r="H1860" s="14">
        <f>IF(A1860="","",MONTH(A1860))</f>
        <v/>
      </c>
      <c r="I1860" s="14">
        <f>IF(A1860="","",YEAR(A1860))</f>
        <v/>
      </c>
    </row>
    <row r="1861">
      <c r="A1861" s="15" t="n"/>
      <c r="B1861" s="10" t="n"/>
      <c r="C1861" s="14">
        <f>IF(B1861="","",IFERROR(INDEX('Sản phẩm'!$B$5:$B$304,MATCH(B1861,'Sản phẩm'!$A$5:$A$304,0)),""))</f>
        <v/>
      </c>
      <c r="D1861" s="12" t="n"/>
      <c r="E1861" s="11" t="n"/>
      <c r="F1861" s="16">
        <f>IF(OR(D1861="",E1861=""),"",D1861*E1861)</f>
        <v/>
      </c>
      <c r="G1861" s="10" t="n"/>
      <c r="H1861" s="14">
        <f>IF(A1861="","",MONTH(A1861))</f>
        <v/>
      </c>
      <c r="I1861" s="14">
        <f>IF(A1861="","",YEAR(A1861))</f>
        <v/>
      </c>
    </row>
    <row r="1862">
      <c r="A1862" s="15" t="n"/>
      <c r="B1862" s="10" t="n"/>
      <c r="C1862" s="14">
        <f>IF(B1862="","",IFERROR(INDEX('Sản phẩm'!$B$5:$B$304,MATCH(B1862,'Sản phẩm'!$A$5:$A$304,0)),""))</f>
        <v/>
      </c>
      <c r="D1862" s="12" t="n"/>
      <c r="E1862" s="11" t="n"/>
      <c r="F1862" s="16">
        <f>IF(OR(D1862="",E1862=""),"",D1862*E1862)</f>
        <v/>
      </c>
      <c r="G1862" s="10" t="n"/>
      <c r="H1862" s="14">
        <f>IF(A1862="","",MONTH(A1862))</f>
        <v/>
      </c>
      <c r="I1862" s="14">
        <f>IF(A1862="","",YEAR(A1862))</f>
        <v/>
      </c>
    </row>
    <row r="1863">
      <c r="A1863" s="15" t="n"/>
      <c r="B1863" s="10" t="n"/>
      <c r="C1863" s="14">
        <f>IF(B1863="","",IFERROR(INDEX('Sản phẩm'!$B$5:$B$304,MATCH(B1863,'Sản phẩm'!$A$5:$A$304,0)),""))</f>
        <v/>
      </c>
      <c r="D1863" s="12" t="n"/>
      <c r="E1863" s="11" t="n"/>
      <c r="F1863" s="16">
        <f>IF(OR(D1863="",E1863=""),"",D1863*E1863)</f>
        <v/>
      </c>
      <c r="G1863" s="10" t="n"/>
      <c r="H1863" s="14">
        <f>IF(A1863="","",MONTH(A1863))</f>
        <v/>
      </c>
      <c r="I1863" s="14">
        <f>IF(A1863="","",YEAR(A1863))</f>
        <v/>
      </c>
    </row>
    <row r="1864">
      <c r="A1864" s="15" t="n"/>
      <c r="B1864" s="10" t="n"/>
      <c r="C1864" s="14">
        <f>IF(B1864="","",IFERROR(INDEX('Sản phẩm'!$B$5:$B$304,MATCH(B1864,'Sản phẩm'!$A$5:$A$304,0)),""))</f>
        <v/>
      </c>
      <c r="D1864" s="12" t="n"/>
      <c r="E1864" s="11" t="n"/>
      <c r="F1864" s="16">
        <f>IF(OR(D1864="",E1864=""),"",D1864*E1864)</f>
        <v/>
      </c>
      <c r="G1864" s="10" t="n"/>
      <c r="H1864" s="14">
        <f>IF(A1864="","",MONTH(A1864))</f>
        <v/>
      </c>
      <c r="I1864" s="14">
        <f>IF(A1864="","",YEAR(A1864))</f>
        <v/>
      </c>
    </row>
    <row r="1865">
      <c r="A1865" s="15" t="n"/>
      <c r="B1865" s="10" t="n"/>
      <c r="C1865" s="14">
        <f>IF(B1865="","",IFERROR(INDEX('Sản phẩm'!$B$5:$B$304,MATCH(B1865,'Sản phẩm'!$A$5:$A$304,0)),""))</f>
        <v/>
      </c>
      <c r="D1865" s="12" t="n"/>
      <c r="E1865" s="11" t="n"/>
      <c r="F1865" s="16">
        <f>IF(OR(D1865="",E1865=""),"",D1865*E1865)</f>
        <v/>
      </c>
      <c r="G1865" s="10" t="n"/>
      <c r="H1865" s="14">
        <f>IF(A1865="","",MONTH(A1865))</f>
        <v/>
      </c>
      <c r="I1865" s="14">
        <f>IF(A1865="","",YEAR(A1865))</f>
        <v/>
      </c>
    </row>
    <row r="1866">
      <c r="A1866" s="15" t="n"/>
      <c r="B1866" s="10" t="n"/>
      <c r="C1866" s="14">
        <f>IF(B1866="","",IFERROR(INDEX('Sản phẩm'!$B$5:$B$304,MATCH(B1866,'Sản phẩm'!$A$5:$A$304,0)),""))</f>
        <v/>
      </c>
      <c r="D1866" s="12" t="n"/>
      <c r="E1866" s="11" t="n"/>
      <c r="F1866" s="16">
        <f>IF(OR(D1866="",E1866=""),"",D1866*E1866)</f>
        <v/>
      </c>
      <c r="G1866" s="10" t="n"/>
      <c r="H1866" s="14">
        <f>IF(A1866="","",MONTH(A1866))</f>
        <v/>
      </c>
      <c r="I1866" s="14">
        <f>IF(A1866="","",YEAR(A1866))</f>
        <v/>
      </c>
    </row>
    <row r="1867">
      <c r="A1867" s="15" t="n"/>
      <c r="B1867" s="10" t="n"/>
      <c r="C1867" s="14">
        <f>IF(B1867="","",IFERROR(INDEX('Sản phẩm'!$B$5:$B$304,MATCH(B1867,'Sản phẩm'!$A$5:$A$304,0)),""))</f>
        <v/>
      </c>
      <c r="D1867" s="12" t="n"/>
      <c r="E1867" s="11" t="n"/>
      <c r="F1867" s="16">
        <f>IF(OR(D1867="",E1867=""),"",D1867*E1867)</f>
        <v/>
      </c>
      <c r="G1867" s="10" t="n"/>
      <c r="H1867" s="14">
        <f>IF(A1867="","",MONTH(A1867))</f>
        <v/>
      </c>
      <c r="I1867" s="14">
        <f>IF(A1867="","",YEAR(A1867))</f>
        <v/>
      </c>
    </row>
    <row r="1868">
      <c r="A1868" s="15" t="n"/>
      <c r="B1868" s="10" t="n"/>
      <c r="C1868" s="14">
        <f>IF(B1868="","",IFERROR(INDEX('Sản phẩm'!$B$5:$B$304,MATCH(B1868,'Sản phẩm'!$A$5:$A$304,0)),""))</f>
        <v/>
      </c>
      <c r="D1868" s="12" t="n"/>
      <c r="E1868" s="11" t="n"/>
      <c r="F1868" s="16">
        <f>IF(OR(D1868="",E1868=""),"",D1868*E1868)</f>
        <v/>
      </c>
      <c r="G1868" s="10" t="n"/>
      <c r="H1868" s="14">
        <f>IF(A1868="","",MONTH(A1868))</f>
        <v/>
      </c>
      <c r="I1868" s="14">
        <f>IF(A1868="","",YEAR(A1868))</f>
        <v/>
      </c>
    </row>
    <row r="1869">
      <c r="A1869" s="15" t="n"/>
      <c r="B1869" s="10" t="n"/>
      <c r="C1869" s="14">
        <f>IF(B1869="","",IFERROR(INDEX('Sản phẩm'!$B$5:$B$304,MATCH(B1869,'Sản phẩm'!$A$5:$A$304,0)),""))</f>
        <v/>
      </c>
      <c r="D1869" s="12" t="n"/>
      <c r="E1869" s="11" t="n"/>
      <c r="F1869" s="16">
        <f>IF(OR(D1869="",E1869=""),"",D1869*E1869)</f>
        <v/>
      </c>
      <c r="G1869" s="10" t="n"/>
      <c r="H1869" s="14">
        <f>IF(A1869="","",MONTH(A1869))</f>
        <v/>
      </c>
      <c r="I1869" s="14">
        <f>IF(A1869="","",YEAR(A1869))</f>
        <v/>
      </c>
    </row>
    <row r="1870">
      <c r="A1870" s="15" t="n"/>
      <c r="B1870" s="10" t="n"/>
      <c r="C1870" s="14">
        <f>IF(B1870="","",IFERROR(INDEX('Sản phẩm'!$B$5:$B$304,MATCH(B1870,'Sản phẩm'!$A$5:$A$304,0)),""))</f>
        <v/>
      </c>
      <c r="D1870" s="12" t="n"/>
      <c r="E1870" s="11" t="n"/>
      <c r="F1870" s="16">
        <f>IF(OR(D1870="",E1870=""),"",D1870*E1870)</f>
        <v/>
      </c>
      <c r="G1870" s="10" t="n"/>
      <c r="H1870" s="14">
        <f>IF(A1870="","",MONTH(A1870))</f>
        <v/>
      </c>
      <c r="I1870" s="14">
        <f>IF(A1870="","",YEAR(A1870))</f>
        <v/>
      </c>
    </row>
    <row r="1871">
      <c r="A1871" s="15" t="n"/>
      <c r="B1871" s="10" t="n"/>
      <c r="C1871" s="14">
        <f>IF(B1871="","",IFERROR(INDEX('Sản phẩm'!$B$5:$B$304,MATCH(B1871,'Sản phẩm'!$A$5:$A$304,0)),""))</f>
        <v/>
      </c>
      <c r="D1871" s="12" t="n"/>
      <c r="E1871" s="11" t="n"/>
      <c r="F1871" s="16">
        <f>IF(OR(D1871="",E1871=""),"",D1871*E1871)</f>
        <v/>
      </c>
      <c r="G1871" s="10" t="n"/>
      <c r="H1871" s="14">
        <f>IF(A1871="","",MONTH(A1871))</f>
        <v/>
      </c>
      <c r="I1871" s="14">
        <f>IF(A1871="","",YEAR(A1871))</f>
        <v/>
      </c>
    </row>
    <row r="1872">
      <c r="A1872" s="15" t="n"/>
      <c r="B1872" s="10" t="n"/>
      <c r="C1872" s="14">
        <f>IF(B1872="","",IFERROR(INDEX('Sản phẩm'!$B$5:$B$304,MATCH(B1872,'Sản phẩm'!$A$5:$A$304,0)),""))</f>
        <v/>
      </c>
      <c r="D1872" s="12" t="n"/>
      <c r="E1872" s="11" t="n"/>
      <c r="F1872" s="16">
        <f>IF(OR(D1872="",E1872=""),"",D1872*E1872)</f>
        <v/>
      </c>
      <c r="G1872" s="10" t="n"/>
      <c r="H1872" s="14">
        <f>IF(A1872="","",MONTH(A1872))</f>
        <v/>
      </c>
      <c r="I1872" s="14">
        <f>IF(A1872="","",YEAR(A1872))</f>
        <v/>
      </c>
    </row>
    <row r="1873">
      <c r="A1873" s="15" t="n"/>
      <c r="B1873" s="10" t="n"/>
      <c r="C1873" s="14">
        <f>IF(B1873="","",IFERROR(INDEX('Sản phẩm'!$B$5:$B$304,MATCH(B1873,'Sản phẩm'!$A$5:$A$304,0)),""))</f>
        <v/>
      </c>
      <c r="D1873" s="12" t="n"/>
      <c r="E1873" s="11" t="n"/>
      <c r="F1873" s="16">
        <f>IF(OR(D1873="",E1873=""),"",D1873*E1873)</f>
        <v/>
      </c>
      <c r="G1873" s="10" t="n"/>
      <c r="H1873" s="14">
        <f>IF(A1873="","",MONTH(A1873))</f>
        <v/>
      </c>
      <c r="I1873" s="14">
        <f>IF(A1873="","",YEAR(A1873))</f>
        <v/>
      </c>
    </row>
    <row r="1874">
      <c r="A1874" s="15" t="n"/>
      <c r="B1874" s="10" t="n"/>
      <c r="C1874" s="14">
        <f>IF(B1874="","",IFERROR(INDEX('Sản phẩm'!$B$5:$B$304,MATCH(B1874,'Sản phẩm'!$A$5:$A$304,0)),""))</f>
        <v/>
      </c>
      <c r="D1874" s="12" t="n"/>
      <c r="E1874" s="11" t="n"/>
      <c r="F1874" s="16">
        <f>IF(OR(D1874="",E1874=""),"",D1874*E1874)</f>
        <v/>
      </c>
      <c r="G1874" s="10" t="n"/>
      <c r="H1874" s="14">
        <f>IF(A1874="","",MONTH(A1874))</f>
        <v/>
      </c>
      <c r="I1874" s="14">
        <f>IF(A1874="","",YEAR(A1874))</f>
        <v/>
      </c>
    </row>
    <row r="1875">
      <c r="A1875" s="15" t="n"/>
      <c r="B1875" s="10" t="n"/>
      <c r="C1875" s="14">
        <f>IF(B1875="","",IFERROR(INDEX('Sản phẩm'!$B$5:$B$304,MATCH(B1875,'Sản phẩm'!$A$5:$A$304,0)),""))</f>
        <v/>
      </c>
      <c r="D1875" s="12" t="n"/>
      <c r="E1875" s="11" t="n"/>
      <c r="F1875" s="16">
        <f>IF(OR(D1875="",E1875=""),"",D1875*E1875)</f>
        <v/>
      </c>
      <c r="G1875" s="10" t="n"/>
      <c r="H1875" s="14">
        <f>IF(A1875="","",MONTH(A1875))</f>
        <v/>
      </c>
      <c r="I1875" s="14">
        <f>IF(A1875="","",YEAR(A1875))</f>
        <v/>
      </c>
    </row>
    <row r="1876">
      <c r="A1876" s="15" t="n"/>
      <c r="B1876" s="10" t="n"/>
      <c r="C1876" s="14">
        <f>IF(B1876="","",IFERROR(INDEX('Sản phẩm'!$B$5:$B$304,MATCH(B1876,'Sản phẩm'!$A$5:$A$304,0)),""))</f>
        <v/>
      </c>
      <c r="D1876" s="12" t="n"/>
      <c r="E1876" s="11" t="n"/>
      <c r="F1876" s="16">
        <f>IF(OR(D1876="",E1876=""),"",D1876*E1876)</f>
        <v/>
      </c>
      <c r="G1876" s="10" t="n"/>
      <c r="H1876" s="14">
        <f>IF(A1876="","",MONTH(A1876))</f>
        <v/>
      </c>
      <c r="I1876" s="14">
        <f>IF(A1876="","",YEAR(A1876))</f>
        <v/>
      </c>
    </row>
    <row r="1877">
      <c r="A1877" s="15" t="n"/>
      <c r="B1877" s="10" t="n"/>
      <c r="C1877" s="14">
        <f>IF(B1877="","",IFERROR(INDEX('Sản phẩm'!$B$5:$B$304,MATCH(B1877,'Sản phẩm'!$A$5:$A$304,0)),""))</f>
        <v/>
      </c>
      <c r="D1877" s="12" t="n"/>
      <c r="E1877" s="11" t="n"/>
      <c r="F1877" s="16">
        <f>IF(OR(D1877="",E1877=""),"",D1877*E1877)</f>
        <v/>
      </c>
      <c r="G1877" s="10" t="n"/>
      <c r="H1877" s="14">
        <f>IF(A1877="","",MONTH(A1877))</f>
        <v/>
      </c>
      <c r="I1877" s="14">
        <f>IF(A1877="","",YEAR(A1877))</f>
        <v/>
      </c>
    </row>
    <row r="1878">
      <c r="A1878" s="15" t="n"/>
      <c r="B1878" s="10" t="n"/>
      <c r="C1878" s="14">
        <f>IF(B1878="","",IFERROR(INDEX('Sản phẩm'!$B$5:$B$304,MATCH(B1878,'Sản phẩm'!$A$5:$A$304,0)),""))</f>
        <v/>
      </c>
      <c r="D1878" s="12" t="n"/>
      <c r="E1878" s="11" t="n"/>
      <c r="F1878" s="16">
        <f>IF(OR(D1878="",E1878=""),"",D1878*E1878)</f>
        <v/>
      </c>
      <c r="G1878" s="10" t="n"/>
      <c r="H1878" s="14">
        <f>IF(A1878="","",MONTH(A1878))</f>
        <v/>
      </c>
      <c r="I1878" s="14">
        <f>IF(A1878="","",YEAR(A1878))</f>
        <v/>
      </c>
    </row>
    <row r="1879">
      <c r="A1879" s="15" t="n"/>
      <c r="B1879" s="10" t="n"/>
      <c r="C1879" s="14">
        <f>IF(B1879="","",IFERROR(INDEX('Sản phẩm'!$B$5:$B$304,MATCH(B1879,'Sản phẩm'!$A$5:$A$304,0)),""))</f>
        <v/>
      </c>
      <c r="D1879" s="12" t="n"/>
      <c r="E1879" s="11" t="n"/>
      <c r="F1879" s="16">
        <f>IF(OR(D1879="",E1879=""),"",D1879*E1879)</f>
        <v/>
      </c>
      <c r="G1879" s="10" t="n"/>
      <c r="H1879" s="14">
        <f>IF(A1879="","",MONTH(A1879))</f>
        <v/>
      </c>
      <c r="I1879" s="14">
        <f>IF(A1879="","",YEAR(A1879))</f>
        <v/>
      </c>
    </row>
    <row r="1880">
      <c r="A1880" s="15" t="n"/>
      <c r="B1880" s="10" t="n"/>
      <c r="C1880" s="14">
        <f>IF(B1880="","",IFERROR(INDEX('Sản phẩm'!$B$5:$B$304,MATCH(B1880,'Sản phẩm'!$A$5:$A$304,0)),""))</f>
        <v/>
      </c>
      <c r="D1880" s="12" t="n"/>
      <c r="E1880" s="11" t="n"/>
      <c r="F1880" s="16">
        <f>IF(OR(D1880="",E1880=""),"",D1880*E1880)</f>
        <v/>
      </c>
      <c r="G1880" s="10" t="n"/>
      <c r="H1880" s="14">
        <f>IF(A1880="","",MONTH(A1880))</f>
        <v/>
      </c>
      <c r="I1880" s="14">
        <f>IF(A1880="","",YEAR(A1880))</f>
        <v/>
      </c>
    </row>
    <row r="1881">
      <c r="A1881" s="15" t="n"/>
      <c r="B1881" s="10" t="n"/>
      <c r="C1881" s="14">
        <f>IF(B1881="","",IFERROR(INDEX('Sản phẩm'!$B$5:$B$304,MATCH(B1881,'Sản phẩm'!$A$5:$A$304,0)),""))</f>
        <v/>
      </c>
      <c r="D1881" s="12" t="n"/>
      <c r="E1881" s="11" t="n"/>
      <c r="F1881" s="16">
        <f>IF(OR(D1881="",E1881=""),"",D1881*E1881)</f>
        <v/>
      </c>
      <c r="G1881" s="10" t="n"/>
      <c r="H1881" s="14">
        <f>IF(A1881="","",MONTH(A1881))</f>
        <v/>
      </c>
      <c r="I1881" s="14">
        <f>IF(A1881="","",YEAR(A1881))</f>
        <v/>
      </c>
    </row>
    <row r="1882">
      <c r="A1882" s="15" t="n"/>
      <c r="B1882" s="10" t="n"/>
      <c r="C1882" s="14">
        <f>IF(B1882="","",IFERROR(INDEX('Sản phẩm'!$B$5:$B$304,MATCH(B1882,'Sản phẩm'!$A$5:$A$304,0)),""))</f>
        <v/>
      </c>
      <c r="D1882" s="12" t="n"/>
      <c r="E1882" s="11" t="n"/>
      <c r="F1882" s="16">
        <f>IF(OR(D1882="",E1882=""),"",D1882*E1882)</f>
        <v/>
      </c>
      <c r="G1882" s="10" t="n"/>
      <c r="H1882" s="14">
        <f>IF(A1882="","",MONTH(A1882))</f>
        <v/>
      </c>
      <c r="I1882" s="14">
        <f>IF(A1882="","",YEAR(A1882))</f>
        <v/>
      </c>
    </row>
    <row r="1883">
      <c r="A1883" s="15" t="n"/>
      <c r="B1883" s="10" t="n"/>
      <c r="C1883" s="14">
        <f>IF(B1883="","",IFERROR(INDEX('Sản phẩm'!$B$5:$B$304,MATCH(B1883,'Sản phẩm'!$A$5:$A$304,0)),""))</f>
        <v/>
      </c>
      <c r="D1883" s="12" t="n"/>
      <c r="E1883" s="11" t="n"/>
      <c r="F1883" s="16">
        <f>IF(OR(D1883="",E1883=""),"",D1883*E1883)</f>
        <v/>
      </c>
      <c r="G1883" s="10" t="n"/>
      <c r="H1883" s="14">
        <f>IF(A1883="","",MONTH(A1883))</f>
        <v/>
      </c>
      <c r="I1883" s="14">
        <f>IF(A1883="","",YEAR(A1883))</f>
        <v/>
      </c>
    </row>
    <row r="1884">
      <c r="A1884" s="15" t="n"/>
      <c r="B1884" s="10" t="n"/>
      <c r="C1884" s="14">
        <f>IF(B1884="","",IFERROR(INDEX('Sản phẩm'!$B$5:$B$304,MATCH(B1884,'Sản phẩm'!$A$5:$A$304,0)),""))</f>
        <v/>
      </c>
      <c r="D1884" s="12" t="n"/>
      <c r="E1884" s="11" t="n"/>
      <c r="F1884" s="16">
        <f>IF(OR(D1884="",E1884=""),"",D1884*E1884)</f>
        <v/>
      </c>
      <c r="G1884" s="10" t="n"/>
      <c r="H1884" s="14">
        <f>IF(A1884="","",MONTH(A1884))</f>
        <v/>
      </c>
      <c r="I1884" s="14">
        <f>IF(A1884="","",YEAR(A1884))</f>
        <v/>
      </c>
    </row>
    <row r="1885">
      <c r="A1885" s="15" t="n"/>
      <c r="B1885" s="10" t="n"/>
      <c r="C1885" s="14">
        <f>IF(B1885="","",IFERROR(INDEX('Sản phẩm'!$B$5:$B$304,MATCH(B1885,'Sản phẩm'!$A$5:$A$304,0)),""))</f>
        <v/>
      </c>
      <c r="D1885" s="12" t="n"/>
      <c r="E1885" s="11" t="n"/>
      <c r="F1885" s="16">
        <f>IF(OR(D1885="",E1885=""),"",D1885*E1885)</f>
        <v/>
      </c>
      <c r="G1885" s="10" t="n"/>
      <c r="H1885" s="14">
        <f>IF(A1885="","",MONTH(A1885))</f>
        <v/>
      </c>
      <c r="I1885" s="14">
        <f>IF(A1885="","",YEAR(A1885))</f>
        <v/>
      </c>
    </row>
    <row r="1886">
      <c r="A1886" s="15" t="n"/>
      <c r="B1886" s="10" t="n"/>
      <c r="C1886" s="14">
        <f>IF(B1886="","",IFERROR(INDEX('Sản phẩm'!$B$5:$B$304,MATCH(B1886,'Sản phẩm'!$A$5:$A$304,0)),""))</f>
        <v/>
      </c>
      <c r="D1886" s="12" t="n"/>
      <c r="E1886" s="11" t="n"/>
      <c r="F1886" s="16">
        <f>IF(OR(D1886="",E1886=""),"",D1886*E1886)</f>
        <v/>
      </c>
      <c r="G1886" s="10" t="n"/>
      <c r="H1886" s="14">
        <f>IF(A1886="","",MONTH(A1886))</f>
        <v/>
      </c>
      <c r="I1886" s="14">
        <f>IF(A1886="","",YEAR(A1886))</f>
        <v/>
      </c>
    </row>
    <row r="1887">
      <c r="A1887" s="15" t="n"/>
      <c r="B1887" s="10" t="n"/>
      <c r="C1887" s="14">
        <f>IF(B1887="","",IFERROR(INDEX('Sản phẩm'!$B$5:$B$304,MATCH(B1887,'Sản phẩm'!$A$5:$A$304,0)),""))</f>
        <v/>
      </c>
      <c r="D1887" s="12" t="n"/>
      <c r="E1887" s="11" t="n"/>
      <c r="F1887" s="16">
        <f>IF(OR(D1887="",E1887=""),"",D1887*E1887)</f>
        <v/>
      </c>
      <c r="G1887" s="10" t="n"/>
      <c r="H1887" s="14">
        <f>IF(A1887="","",MONTH(A1887))</f>
        <v/>
      </c>
      <c r="I1887" s="14">
        <f>IF(A1887="","",YEAR(A1887))</f>
        <v/>
      </c>
    </row>
    <row r="1888">
      <c r="A1888" s="15" t="n"/>
      <c r="B1888" s="10" t="n"/>
      <c r="C1888" s="14">
        <f>IF(B1888="","",IFERROR(INDEX('Sản phẩm'!$B$5:$B$304,MATCH(B1888,'Sản phẩm'!$A$5:$A$304,0)),""))</f>
        <v/>
      </c>
      <c r="D1888" s="12" t="n"/>
      <c r="E1888" s="11" t="n"/>
      <c r="F1888" s="16">
        <f>IF(OR(D1888="",E1888=""),"",D1888*E1888)</f>
        <v/>
      </c>
      <c r="G1888" s="10" t="n"/>
      <c r="H1888" s="14">
        <f>IF(A1888="","",MONTH(A1888))</f>
        <v/>
      </c>
      <c r="I1888" s="14">
        <f>IF(A1888="","",YEAR(A1888))</f>
        <v/>
      </c>
    </row>
    <row r="1889">
      <c r="A1889" s="15" t="n"/>
      <c r="B1889" s="10" t="n"/>
      <c r="C1889" s="14">
        <f>IF(B1889="","",IFERROR(INDEX('Sản phẩm'!$B$5:$B$304,MATCH(B1889,'Sản phẩm'!$A$5:$A$304,0)),""))</f>
        <v/>
      </c>
      <c r="D1889" s="12" t="n"/>
      <c r="E1889" s="11" t="n"/>
      <c r="F1889" s="16">
        <f>IF(OR(D1889="",E1889=""),"",D1889*E1889)</f>
        <v/>
      </c>
      <c r="G1889" s="10" t="n"/>
      <c r="H1889" s="14">
        <f>IF(A1889="","",MONTH(A1889))</f>
        <v/>
      </c>
      <c r="I1889" s="14">
        <f>IF(A1889="","",YEAR(A1889))</f>
        <v/>
      </c>
    </row>
    <row r="1890">
      <c r="A1890" s="15" t="n"/>
      <c r="B1890" s="10" t="n"/>
      <c r="C1890" s="14">
        <f>IF(B1890="","",IFERROR(INDEX('Sản phẩm'!$B$5:$B$304,MATCH(B1890,'Sản phẩm'!$A$5:$A$304,0)),""))</f>
        <v/>
      </c>
      <c r="D1890" s="12" t="n"/>
      <c r="E1890" s="11" t="n"/>
      <c r="F1890" s="16">
        <f>IF(OR(D1890="",E1890=""),"",D1890*E1890)</f>
        <v/>
      </c>
      <c r="G1890" s="10" t="n"/>
      <c r="H1890" s="14">
        <f>IF(A1890="","",MONTH(A1890))</f>
        <v/>
      </c>
      <c r="I1890" s="14">
        <f>IF(A1890="","",YEAR(A1890))</f>
        <v/>
      </c>
    </row>
    <row r="1891">
      <c r="A1891" s="15" t="n"/>
      <c r="B1891" s="10" t="n"/>
      <c r="C1891" s="14">
        <f>IF(B1891="","",IFERROR(INDEX('Sản phẩm'!$B$5:$B$304,MATCH(B1891,'Sản phẩm'!$A$5:$A$304,0)),""))</f>
        <v/>
      </c>
      <c r="D1891" s="12" t="n"/>
      <c r="E1891" s="11" t="n"/>
      <c r="F1891" s="16">
        <f>IF(OR(D1891="",E1891=""),"",D1891*E1891)</f>
        <v/>
      </c>
      <c r="G1891" s="10" t="n"/>
      <c r="H1891" s="14">
        <f>IF(A1891="","",MONTH(A1891))</f>
        <v/>
      </c>
      <c r="I1891" s="14">
        <f>IF(A1891="","",YEAR(A1891))</f>
        <v/>
      </c>
    </row>
    <row r="1892">
      <c r="A1892" s="15" t="n"/>
      <c r="B1892" s="10" t="n"/>
      <c r="C1892" s="14">
        <f>IF(B1892="","",IFERROR(INDEX('Sản phẩm'!$B$5:$B$304,MATCH(B1892,'Sản phẩm'!$A$5:$A$304,0)),""))</f>
        <v/>
      </c>
      <c r="D1892" s="12" t="n"/>
      <c r="E1892" s="11" t="n"/>
      <c r="F1892" s="16">
        <f>IF(OR(D1892="",E1892=""),"",D1892*E1892)</f>
        <v/>
      </c>
      <c r="G1892" s="10" t="n"/>
      <c r="H1892" s="14">
        <f>IF(A1892="","",MONTH(A1892))</f>
        <v/>
      </c>
      <c r="I1892" s="14">
        <f>IF(A1892="","",YEAR(A1892))</f>
        <v/>
      </c>
    </row>
    <row r="1893">
      <c r="A1893" s="15" t="n"/>
      <c r="B1893" s="10" t="n"/>
      <c r="C1893" s="14">
        <f>IF(B1893="","",IFERROR(INDEX('Sản phẩm'!$B$5:$B$304,MATCH(B1893,'Sản phẩm'!$A$5:$A$304,0)),""))</f>
        <v/>
      </c>
      <c r="D1893" s="12" t="n"/>
      <c r="E1893" s="11" t="n"/>
      <c r="F1893" s="16">
        <f>IF(OR(D1893="",E1893=""),"",D1893*E1893)</f>
        <v/>
      </c>
      <c r="G1893" s="10" t="n"/>
      <c r="H1893" s="14">
        <f>IF(A1893="","",MONTH(A1893))</f>
        <v/>
      </c>
      <c r="I1893" s="14">
        <f>IF(A1893="","",YEAR(A1893))</f>
        <v/>
      </c>
    </row>
    <row r="1894">
      <c r="A1894" s="15" t="n"/>
      <c r="B1894" s="10" t="n"/>
      <c r="C1894" s="14">
        <f>IF(B1894="","",IFERROR(INDEX('Sản phẩm'!$B$5:$B$304,MATCH(B1894,'Sản phẩm'!$A$5:$A$304,0)),""))</f>
        <v/>
      </c>
      <c r="D1894" s="12" t="n"/>
      <c r="E1894" s="11" t="n"/>
      <c r="F1894" s="16">
        <f>IF(OR(D1894="",E1894=""),"",D1894*E1894)</f>
        <v/>
      </c>
      <c r="G1894" s="10" t="n"/>
      <c r="H1894" s="14">
        <f>IF(A1894="","",MONTH(A1894))</f>
        <v/>
      </c>
      <c r="I1894" s="14">
        <f>IF(A1894="","",YEAR(A1894))</f>
        <v/>
      </c>
    </row>
    <row r="1895">
      <c r="A1895" s="15" t="n"/>
      <c r="B1895" s="10" t="n"/>
      <c r="C1895" s="14">
        <f>IF(B1895="","",IFERROR(INDEX('Sản phẩm'!$B$5:$B$304,MATCH(B1895,'Sản phẩm'!$A$5:$A$304,0)),""))</f>
        <v/>
      </c>
      <c r="D1895" s="12" t="n"/>
      <c r="E1895" s="11" t="n"/>
      <c r="F1895" s="16">
        <f>IF(OR(D1895="",E1895=""),"",D1895*E1895)</f>
        <v/>
      </c>
      <c r="G1895" s="10" t="n"/>
      <c r="H1895" s="14">
        <f>IF(A1895="","",MONTH(A1895))</f>
        <v/>
      </c>
      <c r="I1895" s="14">
        <f>IF(A1895="","",YEAR(A1895))</f>
        <v/>
      </c>
    </row>
    <row r="1896">
      <c r="A1896" s="15" t="n"/>
      <c r="B1896" s="10" t="n"/>
      <c r="C1896" s="14">
        <f>IF(B1896="","",IFERROR(INDEX('Sản phẩm'!$B$5:$B$304,MATCH(B1896,'Sản phẩm'!$A$5:$A$304,0)),""))</f>
        <v/>
      </c>
      <c r="D1896" s="12" t="n"/>
      <c r="E1896" s="11" t="n"/>
      <c r="F1896" s="16">
        <f>IF(OR(D1896="",E1896=""),"",D1896*E1896)</f>
        <v/>
      </c>
      <c r="G1896" s="10" t="n"/>
      <c r="H1896" s="14">
        <f>IF(A1896="","",MONTH(A1896))</f>
        <v/>
      </c>
      <c r="I1896" s="14">
        <f>IF(A1896="","",YEAR(A1896))</f>
        <v/>
      </c>
    </row>
    <row r="1897">
      <c r="A1897" s="15" t="n"/>
      <c r="B1897" s="10" t="n"/>
      <c r="C1897" s="14">
        <f>IF(B1897="","",IFERROR(INDEX('Sản phẩm'!$B$5:$B$304,MATCH(B1897,'Sản phẩm'!$A$5:$A$304,0)),""))</f>
        <v/>
      </c>
      <c r="D1897" s="12" t="n"/>
      <c r="E1897" s="11" t="n"/>
      <c r="F1897" s="16">
        <f>IF(OR(D1897="",E1897=""),"",D1897*E1897)</f>
        <v/>
      </c>
      <c r="G1897" s="10" t="n"/>
      <c r="H1897" s="14">
        <f>IF(A1897="","",MONTH(A1897))</f>
        <v/>
      </c>
      <c r="I1897" s="14">
        <f>IF(A1897="","",YEAR(A1897))</f>
        <v/>
      </c>
    </row>
    <row r="1898">
      <c r="A1898" s="15" t="n"/>
      <c r="B1898" s="10" t="n"/>
      <c r="C1898" s="14">
        <f>IF(B1898="","",IFERROR(INDEX('Sản phẩm'!$B$5:$B$304,MATCH(B1898,'Sản phẩm'!$A$5:$A$304,0)),""))</f>
        <v/>
      </c>
      <c r="D1898" s="12" t="n"/>
      <c r="E1898" s="11" t="n"/>
      <c r="F1898" s="16">
        <f>IF(OR(D1898="",E1898=""),"",D1898*E1898)</f>
        <v/>
      </c>
      <c r="G1898" s="10" t="n"/>
      <c r="H1898" s="14">
        <f>IF(A1898="","",MONTH(A1898))</f>
        <v/>
      </c>
      <c r="I1898" s="14">
        <f>IF(A1898="","",YEAR(A1898))</f>
        <v/>
      </c>
    </row>
    <row r="1899">
      <c r="A1899" s="15" t="n"/>
      <c r="B1899" s="10" t="n"/>
      <c r="C1899" s="14">
        <f>IF(B1899="","",IFERROR(INDEX('Sản phẩm'!$B$5:$B$304,MATCH(B1899,'Sản phẩm'!$A$5:$A$304,0)),""))</f>
        <v/>
      </c>
      <c r="D1899" s="12" t="n"/>
      <c r="E1899" s="11" t="n"/>
      <c r="F1899" s="16">
        <f>IF(OR(D1899="",E1899=""),"",D1899*E1899)</f>
        <v/>
      </c>
      <c r="G1899" s="10" t="n"/>
      <c r="H1899" s="14">
        <f>IF(A1899="","",MONTH(A1899))</f>
        <v/>
      </c>
      <c r="I1899" s="14">
        <f>IF(A1899="","",YEAR(A1899))</f>
        <v/>
      </c>
    </row>
    <row r="1900">
      <c r="A1900" s="15" t="n"/>
      <c r="B1900" s="10" t="n"/>
      <c r="C1900" s="14">
        <f>IF(B1900="","",IFERROR(INDEX('Sản phẩm'!$B$5:$B$304,MATCH(B1900,'Sản phẩm'!$A$5:$A$304,0)),""))</f>
        <v/>
      </c>
      <c r="D1900" s="12" t="n"/>
      <c r="E1900" s="11" t="n"/>
      <c r="F1900" s="16">
        <f>IF(OR(D1900="",E1900=""),"",D1900*E1900)</f>
        <v/>
      </c>
      <c r="G1900" s="10" t="n"/>
      <c r="H1900" s="14">
        <f>IF(A1900="","",MONTH(A1900))</f>
        <v/>
      </c>
      <c r="I1900" s="14">
        <f>IF(A1900="","",YEAR(A1900))</f>
        <v/>
      </c>
    </row>
    <row r="1901">
      <c r="A1901" s="15" t="n"/>
      <c r="B1901" s="10" t="n"/>
      <c r="C1901" s="14">
        <f>IF(B1901="","",IFERROR(INDEX('Sản phẩm'!$B$5:$B$304,MATCH(B1901,'Sản phẩm'!$A$5:$A$304,0)),""))</f>
        <v/>
      </c>
      <c r="D1901" s="12" t="n"/>
      <c r="E1901" s="11" t="n"/>
      <c r="F1901" s="16">
        <f>IF(OR(D1901="",E1901=""),"",D1901*E1901)</f>
        <v/>
      </c>
      <c r="G1901" s="10" t="n"/>
      <c r="H1901" s="14">
        <f>IF(A1901="","",MONTH(A1901))</f>
        <v/>
      </c>
      <c r="I1901" s="14">
        <f>IF(A1901="","",YEAR(A1901))</f>
        <v/>
      </c>
    </row>
    <row r="1902">
      <c r="A1902" s="15" t="n"/>
      <c r="B1902" s="10" t="n"/>
      <c r="C1902" s="14">
        <f>IF(B1902="","",IFERROR(INDEX('Sản phẩm'!$B$5:$B$304,MATCH(B1902,'Sản phẩm'!$A$5:$A$304,0)),""))</f>
        <v/>
      </c>
      <c r="D1902" s="12" t="n"/>
      <c r="E1902" s="11" t="n"/>
      <c r="F1902" s="16">
        <f>IF(OR(D1902="",E1902=""),"",D1902*E1902)</f>
        <v/>
      </c>
      <c r="G1902" s="10" t="n"/>
      <c r="H1902" s="14">
        <f>IF(A1902="","",MONTH(A1902))</f>
        <v/>
      </c>
      <c r="I1902" s="14">
        <f>IF(A1902="","",YEAR(A1902))</f>
        <v/>
      </c>
    </row>
    <row r="1903">
      <c r="A1903" s="15" t="n"/>
      <c r="B1903" s="10" t="n"/>
      <c r="C1903" s="14">
        <f>IF(B1903="","",IFERROR(INDEX('Sản phẩm'!$B$5:$B$304,MATCH(B1903,'Sản phẩm'!$A$5:$A$304,0)),""))</f>
        <v/>
      </c>
      <c r="D1903" s="12" t="n"/>
      <c r="E1903" s="11" t="n"/>
      <c r="F1903" s="16">
        <f>IF(OR(D1903="",E1903=""),"",D1903*E1903)</f>
        <v/>
      </c>
      <c r="G1903" s="10" t="n"/>
      <c r="H1903" s="14">
        <f>IF(A1903="","",MONTH(A1903))</f>
        <v/>
      </c>
      <c r="I1903" s="14">
        <f>IF(A1903="","",YEAR(A1903))</f>
        <v/>
      </c>
    </row>
    <row r="1904">
      <c r="A1904" s="15" t="n"/>
      <c r="B1904" s="10" t="n"/>
      <c r="C1904" s="14">
        <f>IF(B1904="","",IFERROR(INDEX('Sản phẩm'!$B$5:$B$304,MATCH(B1904,'Sản phẩm'!$A$5:$A$304,0)),""))</f>
        <v/>
      </c>
      <c r="D1904" s="12" t="n"/>
      <c r="E1904" s="11" t="n"/>
      <c r="F1904" s="16">
        <f>IF(OR(D1904="",E1904=""),"",D1904*E1904)</f>
        <v/>
      </c>
      <c r="G1904" s="10" t="n"/>
      <c r="H1904" s="14">
        <f>IF(A1904="","",MONTH(A1904))</f>
        <v/>
      </c>
      <c r="I1904" s="14">
        <f>IF(A1904="","",YEAR(A1904))</f>
        <v/>
      </c>
    </row>
    <row r="1905">
      <c r="A1905" s="15" t="n"/>
      <c r="B1905" s="10" t="n"/>
      <c r="C1905" s="14">
        <f>IF(B1905="","",IFERROR(INDEX('Sản phẩm'!$B$5:$B$304,MATCH(B1905,'Sản phẩm'!$A$5:$A$304,0)),""))</f>
        <v/>
      </c>
      <c r="D1905" s="12" t="n"/>
      <c r="E1905" s="11" t="n"/>
      <c r="F1905" s="16">
        <f>IF(OR(D1905="",E1905=""),"",D1905*E1905)</f>
        <v/>
      </c>
      <c r="G1905" s="10" t="n"/>
      <c r="H1905" s="14">
        <f>IF(A1905="","",MONTH(A1905))</f>
        <v/>
      </c>
      <c r="I1905" s="14">
        <f>IF(A1905="","",YEAR(A1905))</f>
        <v/>
      </c>
    </row>
    <row r="1906">
      <c r="A1906" s="15" t="n"/>
      <c r="B1906" s="10" t="n"/>
      <c r="C1906" s="14">
        <f>IF(B1906="","",IFERROR(INDEX('Sản phẩm'!$B$5:$B$304,MATCH(B1906,'Sản phẩm'!$A$5:$A$304,0)),""))</f>
        <v/>
      </c>
      <c r="D1906" s="12" t="n"/>
      <c r="E1906" s="11" t="n"/>
      <c r="F1906" s="16">
        <f>IF(OR(D1906="",E1906=""),"",D1906*E1906)</f>
        <v/>
      </c>
      <c r="G1906" s="10" t="n"/>
      <c r="H1906" s="14">
        <f>IF(A1906="","",MONTH(A1906))</f>
        <v/>
      </c>
      <c r="I1906" s="14">
        <f>IF(A1906="","",YEAR(A1906))</f>
        <v/>
      </c>
    </row>
    <row r="1907">
      <c r="A1907" s="15" t="n"/>
      <c r="B1907" s="10" t="n"/>
      <c r="C1907" s="14">
        <f>IF(B1907="","",IFERROR(INDEX('Sản phẩm'!$B$5:$B$304,MATCH(B1907,'Sản phẩm'!$A$5:$A$304,0)),""))</f>
        <v/>
      </c>
      <c r="D1907" s="12" t="n"/>
      <c r="E1907" s="11" t="n"/>
      <c r="F1907" s="16">
        <f>IF(OR(D1907="",E1907=""),"",D1907*E1907)</f>
        <v/>
      </c>
      <c r="G1907" s="10" t="n"/>
      <c r="H1907" s="14">
        <f>IF(A1907="","",MONTH(A1907))</f>
        <v/>
      </c>
      <c r="I1907" s="14">
        <f>IF(A1907="","",YEAR(A1907))</f>
        <v/>
      </c>
    </row>
    <row r="1908">
      <c r="A1908" s="15" t="n"/>
      <c r="B1908" s="10" t="n"/>
      <c r="C1908" s="14">
        <f>IF(B1908="","",IFERROR(INDEX('Sản phẩm'!$B$5:$B$304,MATCH(B1908,'Sản phẩm'!$A$5:$A$304,0)),""))</f>
        <v/>
      </c>
      <c r="D1908" s="12" t="n"/>
      <c r="E1908" s="11" t="n"/>
      <c r="F1908" s="16">
        <f>IF(OR(D1908="",E1908=""),"",D1908*E1908)</f>
        <v/>
      </c>
      <c r="G1908" s="10" t="n"/>
      <c r="H1908" s="14">
        <f>IF(A1908="","",MONTH(A1908))</f>
        <v/>
      </c>
      <c r="I1908" s="14">
        <f>IF(A1908="","",YEAR(A1908))</f>
        <v/>
      </c>
    </row>
    <row r="1909">
      <c r="A1909" s="15" t="n"/>
      <c r="B1909" s="10" t="n"/>
      <c r="C1909" s="14">
        <f>IF(B1909="","",IFERROR(INDEX('Sản phẩm'!$B$5:$B$304,MATCH(B1909,'Sản phẩm'!$A$5:$A$304,0)),""))</f>
        <v/>
      </c>
      <c r="D1909" s="12" t="n"/>
      <c r="E1909" s="11" t="n"/>
      <c r="F1909" s="16">
        <f>IF(OR(D1909="",E1909=""),"",D1909*E1909)</f>
        <v/>
      </c>
      <c r="G1909" s="10" t="n"/>
      <c r="H1909" s="14">
        <f>IF(A1909="","",MONTH(A1909))</f>
        <v/>
      </c>
      <c r="I1909" s="14">
        <f>IF(A1909="","",YEAR(A1909))</f>
        <v/>
      </c>
    </row>
    <row r="1910">
      <c r="A1910" s="15" t="n"/>
      <c r="B1910" s="10" t="n"/>
      <c r="C1910" s="14">
        <f>IF(B1910="","",IFERROR(INDEX('Sản phẩm'!$B$5:$B$304,MATCH(B1910,'Sản phẩm'!$A$5:$A$304,0)),""))</f>
        <v/>
      </c>
      <c r="D1910" s="12" t="n"/>
      <c r="E1910" s="11" t="n"/>
      <c r="F1910" s="16">
        <f>IF(OR(D1910="",E1910=""),"",D1910*E1910)</f>
        <v/>
      </c>
      <c r="G1910" s="10" t="n"/>
      <c r="H1910" s="14">
        <f>IF(A1910="","",MONTH(A1910))</f>
        <v/>
      </c>
      <c r="I1910" s="14">
        <f>IF(A1910="","",YEAR(A1910))</f>
        <v/>
      </c>
    </row>
    <row r="1911">
      <c r="A1911" s="15" t="n"/>
      <c r="B1911" s="10" t="n"/>
      <c r="C1911" s="14">
        <f>IF(B1911="","",IFERROR(INDEX('Sản phẩm'!$B$5:$B$304,MATCH(B1911,'Sản phẩm'!$A$5:$A$304,0)),""))</f>
        <v/>
      </c>
      <c r="D1911" s="12" t="n"/>
      <c r="E1911" s="11" t="n"/>
      <c r="F1911" s="16">
        <f>IF(OR(D1911="",E1911=""),"",D1911*E1911)</f>
        <v/>
      </c>
      <c r="G1911" s="10" t="n"/>
      <c r="H1911" s="14">
        <f>IF(A1911="","",MONTH(A1911))</f>
        <v/>
      </c>
      <c r="I1911" s="14">
        <f>IF(A1911="","",YEAR(A1911))</f>
        <v/>
      </c>
    </row>
    <row r="1912">
      <c r="A1912" s="15" t="n"/>
      <c r="B1912" s="10" t="n"/>
      <c r="C1912" s="14">
        <f>IF(B1912="","",IFERROR(INDEX('Sản phẩm'!$B$5:$B$304,MATCH(B1912,'Sản phẩm'!$A$5:$A$304,0)),""))</f>
        <v/>
      </c>
      <c r="D1912" s="12" t="n"/>
      <c r="E1912" s="11" t="n"/>
      <c r="F1912" s="16">
        <f>IF(OR(D1912="",E1912=""),"",D1912*E1912)</f>
        <v/>
      </c>
      <c r="G1912" s="10" t="n"/>
      <c r="H1912" s="14">
        <f>IF(A1912="","",MONTH(A1912))</f>
        <v/>
      </c>
      <c r="I1912" s="14">
        <f>IF(A1912="","",YEAR(A1912))</f>
        <v/>
      </c>
    </row>
    <row r="1913">
      <c r="A1913" s="15" t="n"/>
      <c r="B1913" s="10" t="n"/>
      <c r="C1913" s="14">
        <f>IF(B1913="","",IFERROR(INDEX('Sản phẩm'!$B$5:$B$304,MATCH(B1913,'Sản phẩm'!$A$5:$A$304,0)),""))</f>
        <v/>
      </c>
      <c r="D1913" s="12" t="n"/>
      <c r="E1913" s="11" t="n"/>
      <c r="F1913" s="16">
        <f>IF(OR(D1913="",E1913=""),"",D1913*E1913)</f>
        <v/>
      </c>
      <c r="G1913" s="10" t="n"/>
      <c r="H1913" s="14">
        <f>IF(A1913="","",MONTH(A1913))</f>
        <v/>
      </c>
      <c r="I1913" s="14">
        <f>IF(A1913="","",YEAR(A1913))</f>
        <v/>
      </c>
    </row>
    <row r="1914">
      <c r="A1914" s="15" t="n"/>
      <c r="B1914" s="10" t="n"/>
      <c r="C1914" s="14">
        <f>IF(B1914="","",IFERROR(INDEX('Sản phẩm'!$B$5:$B$304,MATCH(B1914,'Sản phẩm'!$A$5:$A$304,0)),""))</f>
        <v/>
      </c>
      <c r="D1914" s="12" t="n"/>
      <c r="E1914" s="11" t="n"/>
      <c r="F1914" s="16">
        <f>IF(OR(D1914="",E1914=""),"",D1914*E1914)</f>
        <v/>
      </c>
      <c r="G1914" s="10" t="n"/>
      <c r="H1914" s="14">
        <f>IF(A1914="","",MONTH(A1914))</f>
        <v/>
      </c>
      <c r="I1914" s="14">
        <f>IF(A1914="","",YEAR(A1914))</f>
        <v/>
      </c>
    </row>
    <row r="1915">
      <c r="A1915" s="15" t="n"/>
      <c r="B1915" s="10" t="n"/>
      <c r="C1915" s="14">
        <f>IF(B1915="","",IFERROR(INDEX('Sản phẩm'!$B$5:$B$304,MATCH(B1915,'Sản phẩm'!$A$5:$A$304,0)),""))</f>
        <v/>
      </c>
      <c r="D1915" s="12" t="n"/>
      <c r="E1915" s="11" t="n"/>
      <c r="F1915" s="16">
        <f>IF(OR(D1915="",E1915=""),"",D1915*E1915)</f>
        <v/>
      </c>
      <c r="G1915" s="10" t="n"/>
      <c r="H1915" s="14">
        <f>IF(A1915="","",MONTH(A1915))</f>
        <v/>
      </c>
      <c r="I1915" s="14">
        <f>IF(A1915="","",YEAR(A1915))</f>
        <v/>
      </c>
    </row>
    <row r="1916">
      <c r="A1916" s="15" t="n"/>
      <c r="B1916" s="10" t="n"/>
      <c r="C1916" s="14">
        <f>IF(B1916="","",IFERROR(INDEX('Sản phẩm'!$B$5:$B$304,MATCH(B1916,'Sản phẩm'!$A$5:$A$304,0)),""))</f>
        <v/>
      </c>
      <c r="D1916" s="12" t="n"/>
      <c r="E1916" s="11" t="n"/>
      <c r="F1916" s="16">
        <f>IF(OR(D1916="",E1916=""),"",D1916*E1916)</f>
        <v/>
      </c>
      <c r="G1916" s="10" t="n"/>
      <c r="H1916" s="14">
        <f>IF(A1916="","",MONTH(A1916))</f>
        <v/>
      </c>
      <c r="I1916" s="14">
        <f>IF(A1916="","",YEAR(A1916))</f>
        <v/>
      </c>
    </row>
    <row r="1917">
      <c r="A1917" s="15" t="n"/>
      <c r="B1917" s="10" t="n"/>
      <c r="C1917" s="14">
        <f>IF(B1917="","",IFERROR(INDEX('Sản phẩm'!$B$5:$B$304,MATCH(B1917,'Sản phẩm'!$A$5:$A$304,0)),""))</f>
        <v/>
      </c>
      <c r="D1917" s="12" t="n"/>
      <c r="E1917" s="11" t="n"/>
      <c r="F1917" s="16">
        <f>IF(OR(D1917="",E1917=""),"",D1917*E1917)</f>
        <v/>
      </c>
      <c r="G1917" s="10" t="n"/>
      <c r="H1917" s="14">
        <f>IF(A1917="","",MONTH(A1917))</f>
        <v/>
      </c>
      <c r="I1917" s="14">
        <f>IF(A1917="","",YEAR(A1917))</f>
        <v/>
      </c>
    </row>
    <row r="1918">
      <c r="A1918" s="15" t="n"/>
      <c r="B1918" s="10" t="n"/>
      <c r="C1918" s="14">
        <f>IF(B1918="","",IFERROR(INDEX('Sản phẩm'!$B$5:$B$304,MATCH(B1918,'Sản phẩm'!$A$5:$A$304,0)),""))</f>
        <v/>
      </c>
      <c r="D1918" s="12" t="n"/>
      <c r="E1918" s="11" t="n"/>
      <c r="F1918" s="16">
        <f>IF(OR(D1918="",E1918=""),"",D1918*E1918)</f>
        <v/>
      </c>
      <c r="G1918" s="10" t="n"/>
      <c r="H1918" s="14">
        <f>IF(A1918="","",MONTH(A1918))</f>
        <v/>
      </c>
      <c r="I1918" s="14">
        <f>IF(A1918="","",YEAR(A1918))</f>
        <v/>
      </c>
    </row>
    <row r="1919">
      <c r="A1919" s="15" t="n"/>
      <c r="B1919" s="10" t="n"/>
      <c r="C1919" s="14">
        <f>IF(B1919="","",IFERROR(INDEX('Sản phẩm'!$B$5:$B$304,MATCH(B1919,'Sản phẩm'!$A$5:$A$304,0)),""))</f>
        <v/>
      </c>
      <c r="D1919" s="12" t="n"/>
      <c r="E1919" s="11" t="n"/>
      <c r="F1919" s="16">
        <f>IF(OR(D1919="",E1919=""),"",D1919*E1919)</f>
        <v/>
      </c>
      <c r="G1919" s="10" t="n"/>
      <c r="H1919" s="14">
        <f>IF(A1919="","",MONTH(A1919))</f>
        <v/>
      </c>
      <c r="I1919" s="14">
        <f>IF(A1919="","",YEAR(A1919))</f>
        <v/>
      </c>
    </row>
    <row r="1920">
      <c r="A1920" s="15" t="n"/>
      <c r="B1920" s="10" t="n"/>
      <c r="C1920" s="14">
        <f>IF(B1920="","",IFERROR(INDEX('Sản phẩm'!$B$5:$B$304,MATCH(B1920,'Sản phẩm'!$A$5:$A$304,0)),""))</f>
        <v/>
      </c>
      <c r="D1920" s="12" t="n"/>
      <c r="E1920" s="11" t="n"/>
      <c r="F1920" s="16">
        <f>IF(OR(D1920="",E1920=""),"",D1920*E1920)</f>
        <v/>
      </c>
      <c r="G1920" s="10" t="n"/>
      <c r="H1920" s="14">
        <f>IF(A1920="","",MONTH(A1920))</f>
        <v/>
      </c>
      <c r="I1920" s="14">
        <f>IF(A1920="","",YEAR(A1920))</f>
        <v/>
      </c>
    </row>
    <row r="1921">
      <c r="A1921" s="15" t="n"/>
      <c r="B1921" s="10" t="n"/>
      <c r="C1921" s="14">
        <f>IF(B1921="","",IFERROR(INDEX('Sản phẩm'!$B$5:$B$304,MATCH(B1921,'Sản phẩm'!$A$5:$A$304,0)),""))</f>
        <v/>
      </c>
      <c r="D1921" s="12" t="n"/>
      <c r="E1921" s="11" t="n"/>
      <c r="F1921" s="16">
        <f>IF(OR(D1921="",E1921=""),"",D1921*E1921)</f>
        <v/>
      </c>
      <c r="G1921" s="10" t="n"/>
      <c r="H1921" s="14">
        <f>IF(A1921="","",MONTH(A1921))</f>
        <v/>
      </c>
      <c r="I1921" s="14">
        <f>IF(A1921="","",YEAR(A1921))</f>
        <v/>
      </c>
    </row>
    <row r="1922">
      <c r="A1922" s="15" t="n"/>
      <c r="B1922" s="10" t="n"/>
      <c r="C1922" s="14">
        <f>IF(B1922="","",IFERROR(INDEX('Sản phẩm'!$B$5:$B$304,MATCH(B1922,'Sản phẩm'!$A$5:$A$304,0)),""))</f>
        <v/>
      </c>
      <c r="D1922" s="12" t="n"/>
      <c r="E1922" s="11" t="n"/>
      <c r="F1922" s="16">
        <f>IF(OR(D1922="",E1922=""),"",D1922*E1922)</f>
        <v/>
      </c>
      <c r="G1922" s="10" t="n"/>
      <c r="H1922" s="14">
        <f>IF(A1922="","",MONTH(A1922))</f>
        <v/>
      </c>
      <c r="I1922" s="14">
        <f>IF(A1922="","",YEAR(A1922))</f>
        <v/>
      </c>
    </row>
    <row r="1923">
      <c r="A1923" s="15" t="n"/>
      <c r="B1923" s="10" t="n"/>
      <c r="C1923" s="14">
        <f>IF(B1923="","",IFERROR(INDEX('Sản phẩm'!$B$5:$B$304,MATCH(B1923,'Sản phẩm'!$A$5:$A$304,0)),""))</f>
        <v/>
      </c>
      <c r="D1923" s="12" t="n"/>
      <c r="E1923" s="11" t="n"/>
      <c r="F1923" s="16">
        <f>IF(OR(D1923="",E1923=""),"",D1923*E1923)</f>
        <v/>
      </c>
      <c r="G1923" s="10" t="n"/>
      <c r="H1923" s="14">
        <f>IF(A1923="","",MONTH(A1923))</f>
        <v/>
      </c>
      <c r="I1923" s="14">
        <f>IF(A1923="","",YEAR(A1923))</f>
        <v/>
      </c>
    </row>
    <row r="1924">
      <c r="A1924" s="15" t="n"/>
      <c r="B1924" s="10" t="n"/>
      <c r="C1924" s="14">
        <f>IF(B1924="","",IFERROR(INDEX('Sản phẩm'!$B$5:$B$304,MATCH(B1924,'Sản phẩm'!$A$5:$A$304,0)),""))</f>
        <v/>
      </c>
      <c r="D1924" s="12" t="n"/>
      <c r="E1924" s="11" t="n"/>
      <c r="F1924" s="16">
        <f>IF(OR(D1924="",E1924=""),"",D1924*E1924)</f>
        <v/>
      </c>
      <c r="G1924" s="10" t="n"/>
      <c r="H1924" s="14">
        <f>IF(A1924="","",MONTH(A1924))</f>
        <v/>
      </c>
      <c r="I1924" s="14">
        <f>IF(A1924="","",YEAR(A1924))</f>
        <v/>
      </c>
    </row>
    <row r="1925">
      <c r="A1925" s="15" t="n"/>
      <c r="B1925" s="10" t="n"/>
      <c r="C1925" s="14">
        <f>IF(B1925="","",IFERROR(INDEX('Sản phẩm'!$B$5:$B$304,MATCH(B1925,'Sản phẩm'!$A$5:$A$304,0)),""))</f>
        <v/>
      </c>
      <c r="D1925" s="12" t="n"/>
      <c r="E1925" s="11" t="n"/>
      <c r="F1925" s="16">
        <f>IF(OR(D1925="",E1925=""),"",D1925*E1925)</f>
        <v/>
      </c>
      <c r="G1925" s="10" t="n"/>
      <c r="H1925" s="14">
        <f>IF(A1925="","",MONTH(A1925))</f>
        <v/>
      </c>
      <c r="I1925" s="14">
        <f>IF(A1925="","",YEAR(A1925))</f>
        <v/>
      </c>
    </row>
    <row r="1926">
      <c r="A1926" s="15" t="n"/>
      <c r="B1926" s="10" t="n"/>
      <c r="C1926" s="14">
        <f>IF(B1926="","",IFERROR(INDEX('Sản phẩm'!$B$5:$B$304,MATCH(B1926,'Sản phẩm'!$A$5:$A$304,0)),""))</f>
        <v/>
      </c>
      <c r="D1926" s="12" t="n"/>
      <c r="E1926" s="11" t="n"/>
      <c r="F1926" s="16">
        <f>IF(OR(D1926="",E1926=""),"",D1926*E1926)</f>
        <v/>
      </c>
      <c r="G1926" s="10" t="n"/>
      <c r="H1926" s="14">
        <f>IF(A1926="","",MONTH(A1926))</f>
        <v/>
      </c>
      <c r="I1926" s="14">
        <f>IF(A1926="","",YEAR(A1926))</f>
        <v/>
      </c>
    </row>
    <row r="1927">
      <c r="A1927" s="15" t="n"/>
      <c r="B1927" s="10" t="n"/>
      <c r="C1927" s="14">
        <f>IF(B1927="","",IFERROR(INDEX('Sản phẩm'!$B$5:$B$304,MATCH(B1927,'Sản phẩm'!$A$5:$A$304,0)),""))</f>
        <v/>
      </c>
      <c r="D1927" s="12" t="n"/>
      <c r="E1927" s="11" t="n"/>
      <c r="F1927" s="16">
        <f>IF(OR(D1927="",E1927=""),"",D1927*E1927)</f>
        <v/>
      </c>
      <c r="G1927" s="10" t="n"/>
      <c r="H1927" s="14">
        <f>IF(A1927="","",MONTH(A1927))</f>
        <v/>
      </c>
      <c r="I1927" s="14">
        <f>IF(A1927="","",YEAR(A1927))</f>
        <v/>
      </c>
    </row>
    <row r="1928">
      <c r="A1928" s="15" t="n"/>
      <c r="B1928" s="10" t="n"/>
      <c r="C1928" s="14">
        <f>IF(B1928="","",IFERROR(INDEX('Sản phẩm'!$B$5:$B$304,MATCH(B1928,'Sản phẩm'!$A$5:$A$304,0)),""))</f>
        <v/>
      </c>
      <c r="D1928" s="12" t="n"/>
      <c r="E1928" s="11" t="n"/>
      <c r="F1928" s="16">
        <f>IF(OR(D1928="",E1928=""),"",D1928*E1928)</f>
        <v/>
      </c>
      <c r="G1928" s="10" t="n"/>
      <c r="H1928" s="14">
        <f>IF(A1928="","",MONTH(A1928))</f>
        <v/>
      </c>
      <c r="I1928" s="14">
        <f>IF(A1928="","",YEAR(A1928))</f>
        <v/>
      </c>
    </row>
    <row r="1929">
      <c r="A1929" s="15" t="n"/>
      <c r="B1929" s="10" t="n"/>
      <c r="C1929" s="14">
        <f>IF(B1929="","",IFERROR(INDEX('Sản phẩm'!$B$5:$B$304,MATCH(B1929,'Sản phẩm'!$A$5:$A$304,0)),""))</f>
        <v/>
      </c>
      <c r="D1929" s="12" t="n"/>
      <c r="E1929" s="11" t="n"/>
      <c r="F1929" s="16">
        <f>IF(OR(D1929="",E1929=""),"",D1929*E1929)</f>
        <v/>
      </c>
      <c r="G1929" s="10" t="n"/>
      <c r="H1929" s="14">
        <f>IF(A1929="","",MONTH(A1929))</f>
        <v/>
      </c>
      <c r="I1929" s="14">
        <f>IF(A1929="","",YEAR(A1929))</f>
        <v/>
      </c>
    </row>
    <row r="1930">
      <c r="A1930" s="15" t="n"/>
      <c r="B1930" s="10" t="n"/>
      <c r="C1930" s="14">
        <f>IF(B1930="","",IFERROR(INDEX('Sản phẩm'!$B$5:$B$304,MATCH(B1930,'Sản phẩm'!$A$5:$A$304,0)),""))</f>
        <v/>
      </c>
      <c r="D1930" s="12" t="n"/>
      <c r="E1930" s="11" t="n"/>
      <c r="F1930" s="16">
        <f>IF(OR(D1930="",E1930=""),"",D1930*E1930)</f>
        <v/>
      </c>
      <c r="G1930" s="10" t="n"/>
      <c r="H1930" s="14">
        <f>IF(A1930="","",MONTH(A1930))</f>
        <v/>
      </c>
      <c r="I1930" s="14">
        <f>IF(A1930="","",YEAR(A1930))</f>
        <v/>
      </c>
    </row>
    <row r="1931">
      <c r="A1931" s="15" t="n"/>
      <c r="B1931" s="10" t="n"/>
      <c r="C1931" s="14">
        <f>IF(B1931="","",IFERROR(INDEX('Sản phẩm'!$B$5:$B$304,MATCH(B1931,'Sản phẩm'!$A$5:$A$304,0)),""))</f>
        <v/>
      </c>
      <c r="D1931" s="12" t="n"/>
      <c r="E1931" s="11" t="n"/>
      <c r="F1931" s="16">
        <f>IF(OR(D1931="",E1931=""),"",D1931*E1931)</f>
        <v/>
      </c>
      <c r="G1931" s="10" t="n"/>
      <c r="H1931" s="14">
        <f>IF(A1931="","",MONTH(A1931))</f>
        <v/>
      </c>
      <c r="I1931" s="14">
        <f>IF(A1931="","",YEAR(A1931))</f>
        <v/>
      </c>
    </row>
    <row r="1932">
      <c r="A1932" s="15" t="n"/>
      <c r="B1932" s="10" t="n"/>
      <c r="C1932" s="14">
        <f>IF(B1932="","",IFERROR(INDEX('Sản phẩm'!$B$5:$B$304,MATCH(B1932,'Sản phẩm'!$A$5:$A$304,0)),""))</f>
        <v/>
      </c>
      <c r="D1932" s="12" t="n"/>
      <c r="E1932" s="11" t="n"/>
      <c r="F1932" s="16">
        <f>IF(OR(D1932="",E1932=""),"",D1932*E1932)</f>
        <v/>
      </c>
      <c r="G1932" s="10" t="n"/>
      <c r="H1932" s="14">
        <f>IF(A1932="","",MONTH(A1932))</f>
        <v/>
      </c>
      <c r="I1932" s="14">
        <f>IF(A1932="","",YEAR(A1932))</f>
        <v/>
      </c>
    </row>
    <row r="1933">
      <c r="A1933" s="15" t="n"/>
      <c r="B1933" s="10" t="n"/>
      <c r="C1933" s="14">
        <f>IF(B1933="","",IFERROR(INDEX('Sản phẩm'!$B$5:$B$304,MATCH(B1933,'Sản phẩm'!$A$5:$A$304,0)),""))</f>
        <v/>
      </c>
      <c r="D1933" s="12" t="n"/>
      <c r="E1933" s="11" t="n"/>
      <c r="F1933" s="16">
        <f>IF(OR(D1933="",E1933=""),"",D1933*E1933)</f>
        <v/>
      </c>
      <c r="G1933" s="10" t="n"/>
      <c r="H1933" s="14">
        <f>IF(A1933="","",MONTH(A1933))</f>
        <v/>
      </c>
      <c r="I1933" s="14">
        <f>IF(A1933="","",YEAR(A1933))</f>
        <v/>
      </c>
    </row>
    <row r="1934">
      <c r="A1934" s="15" t="n"/>
      <c r="B1934" s="10" t="n"/>
      <c r="C1934" s="14">
        <f>IF(B1934="","",IFERROR(INDEX('Sản phẩm'!$B$5:$B$304,MATCH(B1934,'Sản phẩm'!$A$5:$A$304,0)),""))</f>
        <v/>
      </c>
      <c r="D1934" s="12" t="n"/>
      <c r="E1934" s="11" t="n"/>
      <c r="F1934" s="16">
        <f>IF(OR(D1934="",E1934=""),"",D1934*E1934)</f>
        <v/>
      </c>
      <c r="G1934" s="10" t="n"/>
      <c r="H1934" s="14">
        <f>IF(A1934="","",MONTH(A1934))</f>
        <v/>
      </c>
      <c r="I1934" s="14">
        <f>IF(A1934="","",YEAR(A1934))</f>
        <v/>
      </c>
    </row>
    <row r="1935">
      <c r="A1935" s="15" t="n"/>
      <c r="B1935" s="10" t="n"/>
      <c r="C1935" s="14">
        <f>IF(B1935="","",IFERROR(INDEX('Sản phẩm'!$B$5:$B$304,MATCH(B1935,'Sản phẩm'!$A$5:$A$304,0)),""))</f>
        <v/>
      </c>
      <c r="D1935" s="12" t="n"/>
      <c r="E1935" s="11" t="n"/>
      <c r="F1935" s="16">
        <f>IF(OR(D1935="",E1935=""),"",D1935*E1935)</f>
        <v/>
      </c>
      <c r="G1935" s="10" t="n"/>
      <c r="H1935" s="14">
        <f>IF(A1935="","",MONTH(A1935))</f>
        <v/>
      </c>
      <c r="I1935" s="14">
        <f>IF(A1935="","",YEAR(A1935))</f>
        <v/>
      </c>
    </row>
    <row r="1936">
      <c r="A1936" s="15" t="n"/>
      <c r="B1936" s="10" t="n"/>
      <c r="C1936" s="14">
        <f>IF(B1936="","",IFERROR(INDEX('Sản phẩm'!$B$5:$B$304,MATCH(B1936,'Sản phẩm'!$A$5:$A$304,0)),""))</f>
        <v/>
      </c>
      <c r="D1936" s="12" t="n"/>
      <c r="E1936" s="11" t="n"/>
      <c r="F1936" s="16">
        <f>IF(OR(D1936="",E1936=""),"",D1936*E1936)</f>
        <v/>
      </c>
      <c r="G1936" s="10" t="n"/>
      <c r="H1936" s="14">
        <f>IF(A1936="","",MONTH(A1936))</f>
        <v/>
      </c>
      <c r="I1936" s="14">
        <f>IF(A1936="","",YEAR(A1936))</f>
        <v/>
      </c>
    </row>
    <row r="1937">
      <c r="A1937" s="15" t="n"/>
      <c r="B1937" s="10" t="n"/>
      <c r="C1937" s="14">
        <f>IF(B1937="","",IFERROR(INDEX('Sản phẩm'!$B$5:$B$304,MATCH(B1937,'Sản phẩm'!$A$5:$A$304,0)),""))</f>
        <v/>
      </c>
      <c r="D1937" s="12" t="n"/>
      <c r="E1937" s="11" t="n"/>
      <c r="F1937" s="16">
        <f>IF(OR(D1937="",E1937=""),"",D1937*E1937)</f>
        <v/>
      </c>
      <c r="G1937" s="10" t="n"/>
      <c r="H1937" s="14">
        <f>IF(A1937="","",MONTH(A1937))</f>
        <v/>
      </c>
      <c r="I1937" s="14">
        <f>IF(A1937="","",YEAR(A1937))</f>
        <v/>
      </c>
    </row>
    <row r="1938">
      <c r="A1938" s="15" t="n"/>
      <c r="B1938" s="10" t="n"/>
      <c r="C1938" s="14">
        <f>IF(B1938="","",IFERROR(INDEX('Sản phẩm'!$B$5:$B$304,MATCH(B1938,'Sản phẩm'!$A$5:$A$304,0)),""))</f>
        <v/>
      </c>
      <c r="D1938" s="12" t="n"/>
      <c r="E1938" s="11" t="n"/>
      <c r="F1938" s="16">
        <f>IF(OR(D1938="",E1938=""),"",D1938*E1938)</f>
        <v/>
      </c>
      <c r="G1938" s="10" t="n"/>
      <c r="H1938" s="14">
        <f>IF(A1938="","",MONTH(A1938))</f>
        <v/>
      </c>
      <c r="I1938" s="14">
        <f>IF(A1938="","",YEAR(A1938))</f>
        <v/>
      </c>
    </row>
    <row r="1939">
      <c r="A1939" s="15" t="n"/>
      <c r="B1939" s="10" t="n"/>
      <c r="C1939" s="14">
        <f>IF(B1939="","",IFERROR(INDEX('Sản phẩm'!$B$5:$B$304,MATCH(B1939,'Sản phẩm'!$A$5:$A$304,0)),""))</f>
        <v/>
      </c>
      <c r="D1939" s="12" t="n"/>
      <c r="E1939" s="11" t="n"/>
      <c r="F1939" s="16">
        <f>IF(OR(D1939="",E1939=""),"",D1939*E1939)</f>
        <v/>
      </c>
      <c r="G1939" s="10" t="n"/>
      <c r="H1939" s="14">
        <f>IF(A1939="","",MONTH(A1939))</f>
        <v/>
      </c>
      <c r="I1939" s="14">
        <f>IF(A1939="","",YEAR(A1939))</f>
        <v/>
      </c>
    </row>
    <row r="1940">
      <c r="A1940" s="15" t="n"/>
      <c r="B1940" s="10" t="n"/>
      <c r="C1940" s="14">
        <f>IF(B1940="","",IFERROR(INDEX('Sản phẩm'!$B$5:$B$304,MATCH(B1940,'Sản phẩm'!$A$5:$A$304,0)),""))</f>
        <v/>
      </c>
      <c r="D1940" s="12" t="n"/>
      <c r="E1940" s="11" t="n"/>
      <c r="F1940" s="16">
        <f>IF(OR(D1940="",E1940=""),"",D1940*E1940)</f>
        <v/>
      </c>
      <c r="G1940" s="10" t="n"/>
      <c r="H1940" s="14">
        <f>IF(A1940="","",MONTH(A1940))</f>
        <v/>
      </c>
      <c r="I1940" s="14">
        <f>IF(A1940="","",YEAR(A1940))</f>
        <v/>
      </c>
    </row>
    <row r="1941">
      <c r="A1941" s="15" t="n"/>
      <c r="B1941" s="10" t="n"/>
      <c r="C1941" s="14">
        <f>IF(B1941="","",IFERROR(INDEX('Sản phẩm'!$B$5:$B$304,MATCH(B1941,'Sản phẩm'!$A$5:$A$304,0)),""))</f>
        <v/>
      </c>
      <c r="D1941" s="12" t="n"/>
      <c r="E1941" s="11" t="n"/>
      <c r="F1941" s="16">
        <f>IF(OR(D1941="",E1941=""),"",D1941*E1941)</f>
        <v/>
      </c>
      <c r="G1941" s="10" t="n"/>
      <c r="H1941" s="14">
        <f>IF(A1941="","",MONTH(A1941))</f>
        <v/>
      </c>
      <c r="I1941" s="14">
        <f>IF(A1941="","",YEAR(A1941))</f>
        <v/>
      </c>
    </row>
    <row r="1942">
      <c r="A1942" s="15" t="n"/>
      <c r="B1942" s="10" t="n"/>
      <c r="C1942" s="14">
        <f>IF(B1942="","",IFERROR(INDEX('Sản phẩm'!$B$5:$B$304,MATCH(B1942,'Sản phẩm'!$A$5:$A$304,0)),""))</f>
        <v/>
      </c>
      <c r="D1942" s="12" t="n"/>
      <c r="E1942" s="11" t="n"/>
      <c r="F1942" s="16">
        <f>IF(OR(D1942="",E1942=""),"",D1942*E1942)</f>
        <v/>
      </c>
      <c r="G1942" s="10" t="n"/>
      <c r="H1942" s="14">
        <f>IF(A1942="","",MONTH(A1942))</f>
        <v/>
      </c>
      <c r="I1942" s="14">
        <f>IF(A1942="","",YEAR(A1942))</f>
        <v/>
      </c>
    </row>
    <row r="1943">
      <c r="A1943" s="15" t="n"/>
      <c r="B1943" s="10" t="n"/>
      <c r="C1943" s="14">
        <f>IF(B1943="","",IFERROR(INDEX('Sản phẩm'!$B$5:$B$304,MATCH(B1943,'Sản phẩm'!$A$5:$A$304,0)),""))</f>
        <v/>
      </c>
      <c r="D1943" s="12" t="n"/>
      <c r="E1943" s="11" t="n"/>
      <c r="F1943" s="16">
        <f>IF(OR(D1943="",E1943=""),"",D1943*E1943)</f>
        <v/>
      </c>
      <c r="G1943" s="10" t="n"/>
      <c r="H1943" s="14">
        <f>IF(A1943="","",MONTH(A1943))</f>
        <v/>
      </c>
      <c r="I1943" s="14">
        <f>IF(A1943="","",YEAR(A1943))</f>
        <v/>
      </c>
    </row>
    <row r="1944">
      <c r="A1944" s="15" t="n"/>
      <c r="B1944" s="10" t="n"/>
      <c r="C1944" s="14">
        <f>IF(B1944="","",IFERROR(INDEX('Sản phẩm'!$B$5:$B$304,MATCH(B1944,'Sản phẩm'!$A$5:$A$304,0)),""))</f>
        <v/>
      </c>
      <c r="D1944" s="12" t="n"/>
      <c r="E1944" s="11" t="n"/>
      <c r="F1944" s="16">
        <f>IF(OR(D1944="",E1944=""),"",D1944*E1944)</f>
        <v/>
      </c>
      <c r="G1944" s="10" t="n"/>
      <c r="H1944" s="14">
        <f>IF(A1944="","",MONTH(A1944))</f>
        <v/>
      </c>
      <c r="I1944" s="14">
        <f>IF(A1944="","",YEAR(A1944))</f>
        <v/>
      </c>
    </row>
    <row r="1945">
      <c r="A1945" s="15" t="n"/>
      <c r="B1945" s="10" t="n"/>
      <c r="C1945" s="14">
        <f>IF(B1945="","",IFERROR(INDEX('Sản phẩm'!$B$5:$B$304,MATCH(B1945,'Sản phẩm'!$A$5:$A$304,0)),""))</f>
        <v/>
      </c>
      <c r="D1945" s="12" t="n"/>
      <c r="E1945" s="11" t="n"/>
      <c r="F1945" s="16">
        <f>IF(OR(D1945="",E1945=""),"",D1945*E1945)</f>
        <v/>
      </c>
      <c r="G1945" s="10" t="n"/>
      <c r="H1945" s="14">
        <f>IF(A1945="","",MONTH(A1945))</f>
        <v/>
      </c>
      <c r="I1945" s="14">
        <f>IF(A1945="","",YEAR(A1945))</f>
        <v/>
      </c>
    </row>
    <row r="1946">
      <c r="A1946" s="15" t="n"/>
      <c r="B1946" s="10" t="n"/>
      <c r="C1946" s="14">
        <f>IF(B1946="","",IFERROR(INDEX('Sản phẩm'!$B$5:$B$304,MATCH(B1946,'Sản phẩm'!$A$5:$A$304,0)),""))</f>
        <v/>
      </c>
      <c r="D1946" s="12" t="n"/>
      <c r="E1946" s="11" t="n"/>
      <c r="F1946" s="16">
        <f>IF(OR(D1946="",E1946=""),"",D1946*E1946)</f>
        <v/>
      </c>
      <c r="G1946" s="10" t="n"/>
      <c r="H1946" s="14">
        <f>IF(A1946="","",MONTH(A1946))</f>
        <v/>
      </c>
      <c r="I1946" s="14">
        <f>IF(A1946="","",YEAR(A1946))</f>
        <v/>
      </c>
    </row>
    <row r="1947">
      <c r="A1947" s="15" t="n"/>
      <c r="B1947" s="10" t="n"/>
      <c r="C1947" s="14">
        <f>IF(B1947="","",IFERROR(INDEX('Sản phẩm'!$B$5:$B$304,MATCH(B1947,'Sản phẩm'!$A$5:$A$304,0)),""))</f>
        <v/>
      </c>
      <c r="D1947" s="12" t="n"/>
      <c r="E1947" s="11" t="n"/>
      <c r="F1947" s="16">
        <f>IF(OR(D1947="",E1947=""),"",D1947*E1947)</f>
        <v/>
      </c>
      <c r="G1947" s="10" t="n"/>
      <c r="H1947" s="14">
        <f>IF(A1947="","",MONTH(A1947))</f>
        <v/>
      </c>
      <c r="I1947" s="14">
        <f>IF(A1947="","",YEAR(A1947))</f>
        <v/>
      </c>
    </row>
    <row r="1948">
      <c r="A1948" s="15" t="n"/>
      <c r="B1948" s="10" t="n"/>
      <c r="C1948" s="14">
        <f>IF(B1948="","",IFERROR(INDEX('Sản phẩm'!$B$5:$B$304,MATCH(B1948,'Sản phẩm'!$A$5:$A$304,0)),""))</f>
        <v/>
      </c>
      <c r="D1948" s="12" t="n"/>
      <c r="E1948" s="11" t="n"/>
      <c r="F1948" s="16">
        <f>IF(OR(D1948="",E1948=""),"",D1948*E1948)</f>
        <v/>
      </c>
      <c r="G1948" s="10" t="n"/>
      <c r="H1948" s="14">
        <f>IF(A1948="","",MONTH(A1948))</f>
        <v/>
      </c>
      <c r="I1948" s="14">
        <f>IF(A1948="","",YEAR(A1948))</f>
        <v/>
      </c>
    </row>
    <row r="1949">
      <c r="A1949" s="15" t="n"/>
      <c r="B1949" s="10" t="n"/>
      <c r="C1949" s="14">
        <f>IF(B1949="","",IFERROR(INDEX('Sản phẩm'!$B$5:$B$304,MATCH(B1949,'Sản phẩm'!$A$5:$A$304,0)),""))</f>
        <v/>
      </c>
      <c r="D1949" s="12" t="n"/>
      <c r="E1949" s="11" t="n"/>
      <c r="F1949" s="16">
        <f>IF(OR(D1949="",E1949=""),"",D1949*E1949)</f>
        <v/>
      </c>
      <c r="G1949" s="10" t="n"/>
      <c r="H1949" s="14">
        <f>IF(A1949="","",MONTH(A1949))</f>
        <v/>
      </c>
      <c r="I1949" s="14">
        <f>IF(A1949="","",YEAR(A1949))</f>
        <v/>
      </c>
    </row>
    <row r="1950">
      <c r="A1950" s="15" t="n"/>
      <c r="B1950" s="10" t="n"/>
      <c r="C1950" s="14">
        <f>IF(B1950="","",IFERROR(INDEX('Sản phẩm'!$B$5:$B$304,MATCH(B1950,'Sản phẩm'!$A$5:$A$304,0)),""))</f>
        <v/>
      </c>
      <c r="D1950" s="12" t="n"/>
      <c r="E1950" s="11" t="n"/>
      <c r="F1950" s="16">
        <f>IF(OR(D1950="",E1950=""),"",D1950*E1950)</f>
        <v/>
      </c>
      <c r="G1950" s="10" t="n"/>
      <c r="H1950" s="14">
        <f>IF(A1950="","",MONTH(A1950))</f>
        <v/>
      </c>
      <c r="I1950" s="14">
        <f>IF(A1950="","",YEAR(A1950))</f>
        <v/>
      </c>
    </row>
    <row r="1951">
      <c r="A1951" s="15" t="n"/>
      <c r="B1951" s="10" t="n"/>
      <c r="C1951" s="14">
        <f>IF(B1951="","",IFERROR(INDEX('Sản phẩm'!$B$5:$B$304,MATCH(B1951,'Sản phẩm'!$A$5:$A$304,0)),""))</f>
        <v/>
      </c>
      <c r="D1951" s="12" t="n"/>
      <c r="E1951" s="11" t="n"/>
      <c r="F1951" s="16">
        <f>IF(OR(D1951="",E1951=""),"",D1951*E1951)</f>
        <v/>
      </c>
      <c r="G1951" s="10" t="n"/>
      <c r="H1951" s="14">
        <f>IF(A1951="","",MONTH(A1951))</f>
        <v/>
      </c>
      <c r="I1951" s="14">
        <f>IF(A1951="","",YEAR(A1951))</f>
        <v/>
      </c>
    </row>
    <row r="1952">
      <c r="A1952" s="15" t="n"/>
      <c r="B1952" s="10" t="n"/>
      <c r="C1952" s="14">
        <f>IF(B1952="","",IFERROR(INDEX('Sản phẩm'!$B$5:$B$304,MATCH(B1952,'Sản phẩm'!$A$5:$A$304,0)),""))</f>
        <v/>
      </c>
      <c r="D1952" s="12" t="n"/>
      <c r="E1952" s="11" t="n"/>
      <c r="F1952" s="16">
        <f>IF(OR(D1952="",E1952=""),"",D1952*E1952)</f>
        <v/>
      </c>
      <c r="G1952" s="10" t="n"/>
      <c r="H1952" s="14">
        <f>IF(A1952="","",MONTH(A1952))</f>
        <v/>
      </c>
      <c r="I1952" s="14">
        <f>IF(A1952="","",YEAR(A1952))</f>
        <v/>
      </c>
    </row>
    <row r="1953">
      <c r="A1953" s="15" t="n"/>
      <c r="B1953" s="10" t="n"/>
      <c r="C1953" s="14">
        <f>IF(B1953="","",IFERROR(INDEX('Sản phẩm'!$B$5:$B$304,MATCH(B1953,'Sản phẩm'!$A$5:$A$304,0)),""))</f>
        <v/>
      </c>
      <c r="D1953" s="12" t="n"/>
      <c r="E1953" s="11" t="n"/>
      <c r="F1953" s="16">
        <f>IF(OR(D1953="",E1953=""),"",D1953*E1953)</f>
        <v/>
      </c>
      <c r="G1953" s="10" t="n"/>
      <c r="H1953" s="14">
        <f>IF(A1953="","",MONTH(A1953))</f>
        <v/>
      </c>
      <c r="I1953" s="14">
        <f>IF(A1953="","",YEAR(A1953))</f>
        <v/>
      </c>
    </row>
    <row r="1954">
      <c r="A1954" s="15" t="n"/>
      <c r="B1954" s="10" t="n"/>
      <c r="C1954" s="14">
        <f>IF(B1954="","",IFERROR(INDEX('Sản phẩm'!$B$5:$B$304,MATCH(B1954,'Sản phẩm'!$A$5:$A$304,0)),""))</f>
        <v/>
      </c>
      <c r="D1954" s="12" t="n"/>
      <c r="E1954" s="11" t="n"/>
      <c r="F1954" s="16">
        <f>IF(OR(D1954="",E1954=""),"",D1954*E1954)</f>
        <v/>
      </c>
      <c r="G1954" s="10" t="n"/>
      <c r="H1954" s="14">
        <f>IF(A1954="","",MONTH(A1954))</f>
        <v/>
      </c>
      <c r="I1954" s="14">
        <f>IF(A1954="","",YEAR(A1954))</f>
        <v/>
      </c>
    </row>
    <row r="1955">
      <c r="A1955" s="15" t="n"/>
      <c r="B1955" s="10" t="n"/>
      <c r="C1955" s="14">
        <f>IF(B1955="","",IFERROR(INDEX('Sản phẩm'!$B$5:$B$304,MATCH(B1955,'Sản phẩm'!$A$5:$A$304,0)),""))</f>
        <v/>
      </c>
      <c r="D1955" s="12" t="n"/>
      <c r="E1955" s="11" t="n"/>
      <c r="F1955" s="16">
        <f>IF(OR(D1955="",E1955=""),"",D1955*E1955)</f>
        <v/>
      </c>
      <c r="G1955" s="10" t="n"/>
      <c r="H1955" s="14">
        <f>IF(A1955="","",MONTH(A1955))</f>
        <v/>
      </c>
      <c r="I1955" s="14">
        <f>IF(A1955="","",YEAR(A1955))</f>
        <v/>
      </c>
    </row>
    <row r="1956">
      <c r="A1956" s="15" t="n"/>
      <c r="B1956" s="10" t="n"/>
      <c r="C1956" s="14">
        <f>IF(B1956="","",IFERROR(INDEX('Sản phẩm'!$B$5:$B$304,MATCH(B1956,'Sản phẩm'!$A$5:$A$304,0)),""))</f>
        <v/>
      </c>
      <c r="D1956" s="12" t="n"/>
      <c r="E1956" s="11" t="n"/>
      <c r="F1956" s="16">
        <f>IF(OR(D1956="",E1956=""),"",D1956*E1956)</f>
        <v/>
      </c>
      <c r="G1956" s="10" t="n"/>
      <c r="H1956" s="14">
        <f>IF(A1956="","",MONTH(A1956))</f>
        <v/>
      </c>
      <c r="I1956" s="14">
        <f>IF(A1956="","",YEAR(A1956))</f>
        <v/>
      </c>
    </row>
    <row r="1957">
      <c r="A1957" s="15" t="n"/>
      <c r="B1957" s="10" t="n"/>
      <c r="C1957" s="14">
        <f>IF(B1957="","",IFERROR(INDEX('Sản phẩm'!$B$5:$B$304,MATCH(B1957,'Sản phẩm'!$A$5:$A$304,0)),""))</f>
        <v/>
      </c>
      <c r="D1957" s="12" t="n"/>
      <c r="E1957" s="11" t="n"/>
      <c r="F1957" s="16">
        <f>IF(OR(D1957="",E1957=""),"",D1957*E1957)</f>
        <v/>
      </c>
      <c r="G1957" s="10" t="n"/>
      <c r="H1957" s="14">
        <f>IF(A1957="","",MONTH(A1957))</f>
        <v/>
      </c>
      <c r="I1957" s="14">
        <f>IF(A1957="","",YEAR(A1957))</f>
        <v/>
      </c>
    </row>
    <row r="1958">
      <c r="A1958" s="15" t="n"/>
      <c r="B1958" s="10" t="n"/>
      <c r="C1958" s="14">
        <f>IF(B1958="","",IFERROR(INDEX('Sản phẩm'!$B$5:$B$304,MATCH(B1958,'Sản phẩm'!$A$5:$A$304,0)),""))</f>
        <v/>
      </c>
      <c r="D1958" s="12" t="n"/>
      <c r="E1958" s="11" t="n"/>
      <c r="F1958" s="16">
        <f>IF(OR(D1958="",E1958=""),"",D1958*E1958)</f>
        <v/>
      </c>
      <c r="G1958" s="10" t="n"/>
      <c r="H1958" s="14">
        <f>IF(A1958="","",MONTH(A1958))</f>
        <v/>
      </c>
      <c r="I1958" s="14">
        <f>IF(A1958="","",YEAR(A1958))</f>
        <v/>
      </c>
    </row>
    <row r="1959">
      <c r="A1959" s="15" t="n"/>
      <c r="B1959" s="10" t="n"/>
      <c r="C1959" s="14">
        <f>IF(B1959="","",IFERROR(INDEX('Sản phẩm'!$B$5:$B$304,MATCH(B1959,'Sản phẩm'!$A$5:$A$304,0)),""))</f>
        <v/>
      </c>
      <c r="D1959" s="12" t="n"/>
      <c r="E1959" s="11" t="n"/>
      <c r="F1959" s="16">
        <f>IF(OR(D1959="",E1959=""),"",D1959*E1959)</f>
        <v/>
      </c>
      <c r="G1959" s="10" t="n"/>
      <c r="H1959" s="14">
        <f>IF(A1959="","",MONTH(A1959))</f>
        <v/>
      </c>
      <c r="I1959" s="14">
        <f>IF(A1959="","",YEAR(A1959))</f>
        <v/>
      </c>
    </row>
    <row r="1960">
      <c r="A1960" s="15" t="n"/>
      <c r="B1960" s="10" t="n"/>
      <c r="C1960" s="14">
        <f>IF(B1960="","",IFERROR(INDEX('Sản phẩm'!$B$5:$B$304,MATCH(B1960,'Sản phẩm'!$A$5:$A$304,0)),""))</f>
        <v/>
      </c>
      <c r="D1960" s="12" t="n"/>
      <c r="E1960" s="11" t="n"/>
      <c r="F1960" s="16">
        <f>IF(OR(D1960="",E1960=""),"",D1960*E1960)</f>
        <v/>
      </c>
      <c r="G1960" s="10" t="n"/>
      <c r="H1960" s="14">
        <f>IF(A1960="","",MONTH(A1960))</f>
        <v/>
      </c>
      <c r="I1960" s="14">
        <f>IF(A1960="","",YEAR(A1960))</f>
        <v/>
      </c>
    </row>
    <row r="1961">
      <c r="A1961" s="15" t="n"/>
      <c r="B1961" s="10" t="n"/>
      <c r="C1961" s="14">
        <f>IF(B1961="","",IFERROR(INDEX('Sản phẩm'!$B$5:$B$304,MATCH(B1961,'Sản phẩm'!$A$5:$A$304,0)),""))</f>
        <v/>
      </c>
      <c r="D1961" s="12" t="n"/>
      <c r="E1961" s="11" t="n"/>
      <c r="F1961" s="16">
        <f>IF(OR(D1961="",E1961=""),"",D1961*E1961)</f>
        <v/>
      </c>
      <c r="G1961" s="10" t="n"/>
      <c r="H1961" s="14">
        <f>IF(A1961="","",MONTH(A1961))</f>
        <v/>
      </c>
      <c r="I1961" s="14">
        <f>IF(A1961="","",YEAR(A1961))</f>
        <v/>
      </c>
    </row>
    <row r="1962">
      <c r="A1962" s="15" t="n"/>
      <c r="B1962" s="10" t="n"/>
      <c r="C1962" s="14">
        <f>IF(B1962="","",IFERROR(INDEX('Sản phẩm'!$B$5:$B$304,MATCH(B1962,'Sản phẩm'!$A$5:$A$304,0)),""))</f>
        <v/>
      </c>
      <c r="D1962" s="12" t="n"/>
      <c r="E1962" s="11" t="n"/>
      <c r="F1962" s="16">
        <f>IF(OR(D1962="",E1962=""),"",D1962*E1962)</f>
        <v/>
      </c>
      <c r="G1962" s="10" t="n"/>
      <c r="H1962" s="14">
        <f>IF(A1962="","",MONTH(A1962))</f>
        <v/>
      </c>
      <c r="I1962" s="14">
        <f>IF(A1962="","",YEAR(A1962))</f>
        <v/>
      </c>
    </row>
    <row r="1963">
      <c r="A1963" s="15" t="n"/>
      <c r="B1963" s="10" t="n"/>
      <c r="C1963" s="14">
        <f>IF(B1963="","",IFERROR(INDEX('Sản phẩm'!$B$5:$B$304,MATCH(B1963,'Sản phẩm'!$A$5:$A$304,0)),""))</f>
        <v/>
      </c>
      <c r="D1963" s="12" t="n"/>
      <c r="E1963" s="11" t="n"/>
      <c r="F1963" s="16">
        <f>IF(OR(D1963="",E1963=""),"",D1963*E1963)</f>
        <v/>
      </c>
      <c r="G1963" s="10" t="n"/>
      <c r="H1963" s="14">
        <f>IF(A1963="","",MONTH(A1963))</f>
        <v/>
      </c>
      <c r="I1963" s="14">
        <f>IF(A1963="","",YEAR(A1963))</f>
        <v/>
      </c>
    </row>
    <row r="1964">
      <c r="A1964" s="15" t="n"/>
      <c r="B1964" s="10" t="n"/>
      <c r="C1964" s="14">
        <f>IF(B1964="","",IFERROR(INDEX('Sản phẩm'!$B$5:$B$304,MATCH(B1964,'Sản phẩm'!$A$5:$A$304,0)),""))</f>
        <v/>
      </c>
      <c r="D1964" s="12" t="n"/>
      <c r="E1964" s="11" t="n"/>
      <c r="F1964" s="16">
        <f>IF(OR(D1964="",E1964=""),"",D1964*E1964)</f>
        <v/>
      </c>
      <c r="G1964" s="10" t="n"/>
      <c r="H1964" s="14">
        <f>IF(A1964="","",MONTH(A1964))</f>
        <v/>
      </c>
      <c r="I1964" s="14">
        <f>IF(A1964="","",YEAR(A1964))</f>
        <v/>
      </c>
    </row>
    <row r="1965">
      <c r="A1965" s="15" t="n"/>
      <c r="B1965" s="10" t="n"/>
      <c r="C1965" s="14">
        <f>IF(B1965="","",IFERROR(INDEX('Sản phẩm'!$B$5:$B$304,MATCH(B1965,'Sản phẩm'!$A$5:$A$304,0)),""))</f>
        <v/>
      </c>
      <c r="D1965" s="12" t="n"/>
      <c r="E1965" s="11" t="n"/>
      <c r="F1965" s="16">
        <f>IF(OR(D1965="",E1965=""),"",D1965*E1965)</f>
        <v/>
      </c>
      <c r="G1965" s="10" t="n"/>
      <c r="H1965" s="14">
        <f>IF(A1965="","",MONTH(A1965))</f>
        <v/>
      </c>
      <c r="I1965" s="14">
        <f>IF(A1965="","",YEAR(A1965))</f>
        <v/>
      </c>
    </row>
    <row r="1966">
      <c r="A1966" s="15" t="n"/>
      <c r="B1966" s="10" t="n"/>
      <c r="C1966" s="14">
        <f>IF(B1966="","",IFERROR(INDEX('Sản phẩm'!$B$5:$B$304,MATCH(B1966,'Sản phẩm'!$A$5:$A$304,0)),""))</f>
        <v/>
      </c>
      <c r="D1966" s="12" t="n"/>
      <c r="E1966" s="11" t="n"/>
      <c r="F1966" s="16">
        <f>IF(OR(D1966="",E1966=""),"",D1966*E1966)</f>
        <v/>
      </c>
      <c r="G1966" s="10" t="n"/>
      <c r="H1966" s="14">
        <f>IF(A1966="","",MONTH(A1966))</f>
        <v/>
      </c>
      <c r="I1966" s="14">
        <f>IF(A1966="","",YEAR(A1966))</f>
        <v/>
      </c>
    </row>
    <row r="1967">
      <c r="A1967" s="15" t="n"/>
      <c r="B1967" s="10" t="n"/>
      <c r="C1967" s="14">
        <f>IF(B1967="","",IFERROR(INDEX('Sản phẩm'!$B$5:$B$304,MATCH(B1967,'Sản phẩm'!$A$5:$A$304,0)),""))</f>
        <v/>
      </c>
      <c r="D1967" s="12" t="n"/>
      <c r="E1967" s="11" t="n"/>
      <c r="F1967" s="16">
        <f>IF(OR(D1967="",E1967=""),"",D1967*E1967)</f>
        <v/>
      </c>
      <c r="G1967" s="10" t="n"/>
      <c r="H1967" s="14">
        <f>IF(A1967="","",MONTH(A1967))</f>
        <v/>
      </c>
      <c r="I1967" s="14">
        <f>IF(A1967="","",YEAR(A1967))</f>
        <v/>
      </c>
    </row>
    <row r="1968">
      <c r="A1968" s="15" t="n"/>
      <c r="B1968" s="10" t="n"/>
      <c r="C1968" s="14">
        <f>IF(B1968="","",IFERROR(INDEX('Sản phẩm'!$B$5:$B$304,MATCH(B1968,'Sản phẩm'!$A$5:$A$304,0)),""))</f>
        <v/>
      </c>
      <c r="D1968" s="12" t="n"/>
      <c r="E1968" s="11" t="n"/>
      <c r="F1968" s="16">
        <f>IF(OR(D1968="",E1968=""),"",D1968*E1968)</f>
        <v/>
      </c>
      <c r="G1968" s="10" t="n"/>
      <c r="H1968" s="14">
        <f>IF(A1968="","",MONTH(A1968))</f>
        <v/>
      </c>
      <c r="I1968" s="14">
        <f>IF(A1968="","",YEAR(A1968))</f>
        <v/>
      </c>
    </row>
    <row r="1969">
      <c r="A1969" s="15" t="n"/>
      <c r="B1969" s="10" t="n"/>
      <c r="C1969" s="14">
        <f>IF(B1969="","",IFERROR(INDEX('Sản phẩm'!$B$5:$B$304,MATCH(B1969,'Sản phẩm'!$A$5:$A$304,0)),""))</f>
        <v/>
      </c>
      <c r="D1969" s="12" t="n"/>
      <c r="E1969" s="11" t="n"/>
      <c r="F1969" s="16">
        <f>IF(OR(D1969="",E1969=""),"",D1969*E1969)</f>
        <v/>
      </c>
      <c r="G1969" s="10" t="n"/>
      <c r="H1969" s="14">
        <f>IF(A1969="","",MONTH(A1969))</f>
        <v/>
      </c>
      <c r="I1969" s="14">
        <f>IF(A1969="","",YEAR(A1969))</f>
        <v/>
      </c>
    </row>
    <row r="1970">
      <c r="A1970" s="15" t="n"/>
      <c r="B1970" s="10" t="n"/>
      <c r="C1970" s="14">
        <f>IF(B1970="","",IFERROR(INDEX('Sản phẩm'!$B$5:$B$304,MATCH(B1970,'Sản phẩm'!$A$5:$A$304,0)),""))</f>
        <v/>
      </c>
      <c r="D1970" s="12" t="n"/>
      <c r="E1970" s="11" t="n"/>
      <c r="F1970" s="16">
        <f>IF(OR(D1970="",E1970=""),"",D1970*E1970)</f>
        <v/>
      </c>
      <c r="G1970" s="10" t="n"/>
      <c r="H1970" s="14">
        <f>IF(A1970="","",MONTH(A1970))</f>
        <v/>
      </c>
      <c r="I1970" s="14">
        <f>IF(A1970="","",YEAR(A1970))</f>
        <v/>
      </c>
    </row>
    <row r="1971">
      <c r="A1971" s="15" t="n"/>
      <c r="B1971" s="10" t="n"/>
      <c r="C1971" s="14">
        <f>IF(B1971="","",IFERROR(INDEX('Sản phẩm'!$B$5:$B$304,MATCH(B1971,'Sản phẩm'!$A$5:$A$304,0)),""))</f>
        <v/>
      </c>
      <c r="D1971" s="12" t="n"/>
      <c r="E1971" s="11" t="n"/>
      <c r="F1971" s="16">
        <f>IF(OR(D1971="",E1971=""),"",D1971*E1971)</f>
        <v/>
      </c>
      <c r="G1971" s="10" t="n"/>
      <c r="H1971" s="14">
        <f>IF(A1971="","",MONTH(A1971))</f>
        <v/>
      </c>
      <c r="I1971" s="14">
        <f>IF(A1971="","",YEAR(A1971))</f>
        <v/>
      </c>
    </row>
    <row r="1972">
      <c r="A1972" s="15" t="n"/>
      <c r="B1972" s="10" t="n"/>
      <c r="C1972" s="14">
        <f>IF(B1972="","",IFERROR(INDEX('Sản phẩm'!$B$5:$B$304,MATCH(B1972,'Sản phẩm'!$A$5:$A$304,0)),""))</f>
        <v/>
      </c>
      <c r="D1972" s="12" t="n"/>
      <c r="E1972" s="11" t="n"/>
      <c r="F1972" s="16">
        <f>IF(OR(D1972="",E1972=""),"",D1972*E1972)</f>
        <v/>
      </c>
      <c r="G1972" s="10" t="n"/>
      <c r="H1972" s="14">
        <f>IF(A1972="","",MONTH(A1972))</f>
        <v/>
      </c>
      <c r="I1972" s="14">
        <f>IF(A1972="","",YEAR(A1972))</f>
        <v/>
      </c>
    </row>
    <row r="1973">
      <c r="A1973" s="15" t="n"/>
      <c r="B1973" s="10" t="n"/>
      <c r="C1973" s="14">
        <f>IF(B1973="","",IFERROR(INDEX('Sản phẩm'!$B$5:$B$304,MATCH(B1973,'Sản phẩm'!$A$5:$A$304,0)),""))</f>
        <v/>
      </c>
      <c r="D1973" s="12" t="n"/>
      <c r="E1973" s="11" t="n"/>
      <c r="F1973" s="16">
        <f>IF(OR(D1973="",E1973=""),"",D1973*E1973)</f>
        <v/>
      </c>
      <c r="G1973" s="10" t="n"/>
      <c r="H1973" s="14">
        <f>IF(A1973="","",MONTH(A1973))</f>
        <v/>
      </c>
      <c r="I1973" s="14">
        <f>IF(A1973="","",YEAR(A1973))</f>
        <v/>
      </c>
    </row>
    <row r="1974">
      <c r="A1974" s="15" t="n"/>
      <c r="B1974" s="10" t="n"/>
      <c r="C1974" s="14">
        <f>IF(B1974="","",IFERROR(INDEX('Sản phẩm'!$B$5:$B$304,MATCH(B1974,'Sản phẩm'!$A$5:$A$304,0)),""))</f>
        <v/>
      </c>
      <c r="D1974" s="12" t="n"/>
      <c r="E1974" s="11" t="n"/>
      <c r="F1974" s="16">
        <f>IF(OR(D1974="",E1974=""),"",D1974*E1974)</f>
        <v/>
      </c>
      <c r="G1974" s="10" t="n"/>
      <c r="H1974" s="14">
        <f>IF(A1974="","",MONTH(A1974))</f>
        <v/>
      </c>
      <c r="I1974" s="14">
        <f>IF(A1974="","",YEAR(A1974))</f>
        <v/>
      </c>
    </row>
    <row r="1975">
      <c r="A1975" s="15" t="n"/>
      <c r="B1975" s="10" t="n"/>
      <c r="C1975" s="14">
        <f>IF(B1975="","",IFERROR(INDEX('Sản phẩm'!$B$5:$B$304,MATCH(B1975,'Sản phẩm'!$A$5:$A$304,0)),""))</f>
        <v/>
      </c>
      <c r="D1975" s="12" t="n"/>
      <c r="E1975" s="11" t="n"/>
      <c r="F1975" s="16">
        <f>IF(OR(D1975="",E1975=""),"",D1975*E1975)</f>
        <v/>
      </c>
      <c r="G1975" s="10" t="n"/>
      <c r="H1975" s="14">
        <f>IF(A1975="","",MONTH(A1975))</f>
        <v/>
      </c>
      <c r="I1975" s="14">
        <f>IF(A1975="","",YEAR(A1975))</f>
        <v/>
      </c>
    </row>
    <row r="1976">
      <c r="A1976" s="15" t="n"/>
      <c r="B1976" s="10" t="n"/>
      <c r="C1976" s="14">
        <f>IF(B1976="","",IFERROR(INDEX('Sản phẩm'!$B$5:$B$304,MATCH(B1976,'Sản phẩm'!$A$5:$A$304,0)),""))</f>
        <v/>
      </c>
      <c r="D1976" s="12" t="n"/>
      <c r="E1976" s="11" t="n"/>
      <c r="F1976" s="16">
        <f>IF(OR(D1976="",E1976=""),"",D1976*E1976)</f>
        <v/>
      </c>
      <c r="G1976" s="10" t="n"/>
      <c r="H1976" s="14">
        <f>IF(A1976="","",MONTH(A1976))</f>
        <v/>
      </c>
      <c r="I1976" s="14">
        <f>IF(A1976="","",YEAR(A1976))</f>
        <v/>
      </c>
    </row>
    <row r="1977">
      <c r="A1977" s="15" t="n"/>
      <c r="B1977" s="10" t="n"/>
      <c r="C1977" s="14">
        <f>IF(B1977="","",IFERROR(INDEX('Sản phẩm'!$B$5:$B$304,MATCH(B1977,'Sản phẩm'!$A$5:$A$304,0)),""))</f>
        <v/>
      </c>
      <c r="D1977" s="12" t="n"/>
      <c r="E1977" s="11" t="n"/>
      <c r="F1977" s="16">
        <f>IF(OR(D1977="",E1977=""),"",D1977*E1977)</f>
        <v/>
      </c>
      <c r="G1977" s="10" t="n"/>
      <c r="H1977" s="14">
        <f>IF(A1977="","",MONTH(A1977))</f>
        <v/>
      </c>
      <c r="I1977" s="14">
        <f>IF(A1977="","",YEAR(A1977))</f>
        <v/>
      </c>
    </row>
    <row r="1978">
      <c r="A1978" s="15" t="n"/>
      <c r="B1978" s="10" t="n"/>
      <c r="C1978" s="14">
        <f>IF(B1978="","",IFERROR(INDEX('Sản phẩm'!$B$5:$B$304,MATCH(B1978,'Sản phẩm'!$A$5:$A$304,0)),""))</f>
        <v/>
      </c>
      <c r="D1978" s="12" t="n"/>
      <c r="E1978" s="11" t="n"/>
      <c r="F1978" s="16">
        <f>IF(OR(D1978="",E1978=""),"",D1978*E1978)</f>
        <v/>
      </c>
      <c r="G1978" s="10" t="n"/>
      <c r="H1978" s="14">
        <f>IF(A1978="","",MONTH(A1978))</f>
        <v/>
      </c>
      <c r="I1978" s="14">
        <f>IF(A1978="","",YEAR(A1978))</f>
        <v/>
      </c>
    </row>
    <row r="1979">
      <c r="A1979" s="15" t="n"/>
      <c r="B1979" s="10" t="n"/>
      <c r="C1979" s="14">
        <f>IF(B1979="","",IFERROR(INDEX('Sản phẩm'!$B$5:$B$304,MATCH(B1979,'Sản phẩm'!$A$5:$A$304,0)),""))</f>
        <v/>
      </c>
      <c r="D1979" s="12" t="n"/>
      <c r="E1979" s="11" t="n"/>
      <c r="F1979" s="16">
        <f>IF(OR(D1979="",E1979=""),"",D1979*E1979)</f>
        <v/>
      </c>
      <c r="G1979" s="10" t="n"/>
      <c r="H1979" s="14">
        <f>IF(A1979="","",MONTH(A1979))</f>
        <v/>
      </c>
      <c r="I1979" s="14">
        <f>IF(A1979="","",YEAR(A1979))</f>
        <v/>
      </c>
    </row>
    <row r="1980">
      <c r="A1980" s="15" t="n"/>
      <c r="B1980" s="10" t="n"/>
      <c r="C1980" s="14">
        <f>IF(B1980="","",IFERROR(INDEX('Sản phẩm'!$B$5:$B$304,MATCH(B1980,'Sản phẩm'!$A$5:$A$304,0)),""))</f>
        <v/>
      </c>
      <c r="D1980" s="12" t="n"/>
      <c r="E1980" s="11" t="n"/>
      <c r="F1980" s="16">
        <f>IF(OR(D1980="",E1980=""),"",D1980*E1980)</f>
        <v/>
      </c>
      <c r="G1980" s="10" t="n"/>
      <c r="H1980" s="14">
        <f>IF(A1980="","",MONTH(A1980))</f>
        <v/>
      </c>
      <c r="I1980" s="14">
        <f>IF(A1980="","",YEAR(A1980))</f>
        <v/>
      </c>
    </row>
    <row r="1981">
      <c r="A1981" s="15" t="n"/>
      <c r="B1981" s="10" t="n"/>
      <c r="C1981" s="14">
        <f>IF(B1981="","",IFERROR(INDEX('Sản phẩm'!$B$5:$B$304,MATCH(B1981,'Sản phẩm'!$A$5:$A$304,0)),""))</f>
        <v/>
      </c>
      <c r="D1981" s="12" t="n"/>
      <c r="E1981" s="11" t="n"/>
      <c r="F1981" s="16">
        <f>IF(OR(D1981="",E1981=""),"",D1981*E1981)</f>
        <v/>
      </c>
      <c r="G1981" s="10" t="n"/>
      <c r="H1981" s="14">
        <f>IF(A1981="","",MONTH(A1981))</f>
        <v/>
      </c>
      <c r="I1981" s="14">
        <f>IF(A1981="","",YEAR(A1981))</f>
        <v/>
      </c>
    </row>
    <row r="1982">
      <c r="A1982" s="15" t="n"/>
      <c r="B1982" s="10" t="n"/>
      <c r="C1982" s="14">
        <f>IF(B1982="","",IFERROR(INDEX('Sản phẩm'!$B$5:$B$304,MATCH(B1982,'Sản phẩm'!$A$5:$A$304,0)),""))</f>
        <v/>
      </c>
      <c r="D1982" s="12" t="n"/>
      <c r="E1982" s="11" t="n"/>
      <c r="F1982" s="16">
        <f>IF(OR(D1982="",E1982=""),"",D1982*E1982)</f>
        <v/>
      </c>
      <c r="G1982" s="10" t="n"/>
      <c r="H1982" s="14">
        <f>IF(A1982="","",MONTH(A1982))</f>
        <v/>
      </c>
      <c r="I1982" s="14">
        <f>IF(A1982="","",YEAR(A1982))</f>
        <v/>
      </c>
    </row>
    <row r="1983">
      <c r="A1983" s="15" t="n"/>
      <c r="B1983" s="10" t="n"/>
      <c r="C1983" s="14">
        <f>IF(B1983="","",IFERROR(INDEX('Sản phẩm'!$B$5:$B$304,MATCH(B1983,'Sản phẩm'!$A$5:$A$304,0)),""))</f>
        <v/>
      </c>
      <c r="D1983" s="12" t="n"/>
      <c r="E1983" s="11" t="n"/>
      <c r="F1983" s="16">
        <f>IF(OR(D1983="",E1983=""),"",D1983*E1983)</f>
        <v/>
      </c>
      <c r="G1983" s="10" t="n"/>
      <c r="H1983" s="14">
        <f>IF(A1983="","",MONTH(A1983))</f>
        <v/>
      </c>
      <c r="I1983" s="14">
        <f>IF(A1983="","",YEAR(A1983))</f>
        <v/>
      </c>
    </row>
    <row r="1984">
      <c r="A1984" s="15" t="n"/>
      <c r="B1984" s="10" t="n"/>
      <c r="C1984" s="14">
        <f>IF(B1984="","",IFERROR(INDEX('Sản phẩm'!$B$5:$B$304,MATCH(B1984,'Sản phẩm'!$A$5:$A$304,0)),""))</f>
        <v/>
      </c>
      <c r="D1984" s="12" t="n"/>
      <c r="E1984" s="11" t="n"/>
      <c r="F1984" s="16">
        <f>IF(OR(D1984="",E1984=""),"",D1984*E1984)</f>
        <v/>
      </c>
      <c r="G1984" s="10" t="n"/>
      <c r="H1984" s="14">
        <f>IF(A1984="","",MONTH(A1984))</f>
        <v/>
      </c>
      <c r="I1984" s="14">
        <f>IF(A1984="","",YEAR(A1984))</f>
        <v/>
      </c>
    </row>
    <row r="1985">
      <c r="A1985" s="15" t="n"/>
      <c r="B1985" s="10" t="n"/>
      <c r="C1985" s="14">
        <f>IF(B1985="","",IFERROR(INDEX('Sản phẩm'!$B$5:$B$304,MATCH(B1985,'Sản phẩm'!$A$5:$A$304,0)),""))</f>
        <v/>
      </c>
      <c r="D1985" s="12" t="n"/>
      <c r="E1985" s="11" t="n"/>
      <c r="F1985" s="16">
        <f>IF(OR(D1985="",E1985=""),"",D1985*E1985)</f>
        <v/>
      </c>
      <c r="G1985" s="10" t="n"/>
      <c r="H1985" s="14">
        <f>IF(A1985="","",MONTH(A1985))</f>
        <v/>
      </c>
      <c r="I1985" s="14">
        <f>IF(A1985="","",YEAR(A1985))</f>
        <v/>
      </c>
    </row>
    <row r="1986">
      <c r="A1986" s="15" t="n"/>
      <c r="B1986" s="10" t="n"/>
      <c r="C1986" s="14">
        <f>IF(B1986="","",IFERROR(INDEX('Sản phẩm'!$B$5:$B$304,MATCH(B1986,'Sản phẩm'!$A$5:$A$304,0)),""))</f>
        <v/>
      </c>
      <c r="D1986" s="12" t="n"/>
      <c r="E1986" s="11" t="n"/>
      <c r="F1986" s="16">
        <f>IF(OR(D1986="",E1986=""),"",D1986*E1986)</f>
        <v/>
      </c>
      <c r="G1986" s="10" t="n"/>
      <c r="H1986" s="14">
        <f>IF(A1986="","",MONTH(A1986))</f>
        <v/>
      </c>
      <c r="I1986" s="14">
        <f>IF(A1986="","",YEAR(A1986))</f>
        <v/>
      </c>
    </row>
    <row r="1987">
      <c r="A1987" s="15" t="n"/>
      <c r="B1987" s="10" t="n"/>
      <c r="C1987" s="14">
        <f>IF(B1987="","",IFERROR(INDEX('Sản phẩm'!$B$5:$B$304,MATCH(B1987,'Sản phẩm'!$A$5:$A$304,0)),""))</f>
        <v/>
      </c>
      <c r="D1987" s="12" t="n"/>
      <c r="E1987" s="11" t="n"/>
      <c r="F1987" s="16">
        <f>IF(OR(D1987="",E1987=""),"",D1987*E1987)</f>
        <v/>
      </c>
      <c r="G1987" s="10" t="n"/>
      <c r="H1987" s="14">
        <f>IF(A1987="","",MONTH(A1987))</f>
        <v/>
      </c>
      <c r="I1987" s="14">
        <f>IF(A1987="","",YEAR(A1987))</f>
        <v/>
      </c>
    </row>
    <row r="1988">
      <c r="A1988" s="15" t="n"/>
      <c r="B1988" s="10" t="n"/>
      <c r="C1988" s="14">
        <f>IF(B1988="","",IFERROR(INDEX('Sản phẩm'!$B$5:$B$304,MATCH(B1988,'Sản phẩm'!$A$5:$A$304,0)),""))</f>
        <v/>
      </c>
      <c r="D1988" s="12" t="n"/>
      <c r="E1988" s="11" t="n"/>
      <c r="F1988" s="16">
        <f>IF(OR(D1988="",E1988=""),"",D1988*E1988)</f>
        <v/>
      </c>
      <c r="G1988" s="10" t="n"/>
      <c r="H1988" s="14">
        <f>IF(A1988="","",MONTH(A1988))</f>
        <v/>
      </c>
      <c r="I1988" s="14">
        <f>IF(A1988="","",YEAR(A1988))</f>
        <v/>
      </c>
    </row>
    <row r="1989">
      <c r="A1989" s="15" t="n"/>
      <c r="B1989" s="10" t="n"/>
      <c r="C1989" s="14">
        <f>IF(B1989="","",IFERROR(INDEX('Sản phẩm'!$B$5:$B$304,MATCH(B1989,'Sản phẩm'!$A$5:$A$304,0)),""))</f>
        <v/>
      </c>
      <c r="D1989" s="12" t="n"/>
      <c r="E1989" s="11" t="n"/>
      <c r="F1989" s="16">
        <f>IF(OR(D1989="",E1989=""),"",D1989*E1989)</f>
        <v/>
      </c>
      <c r="G1989" s="10" t="n"/>
      <c r="H1989" s="14">
        <f>IF(A1989="","",MONTH(A1989))</f>
        <v/>
      </c>
      <c r="I1989" s="14">
        <f>IF(A1989="","",YEAR(A1989))</f>
        <v/>
      </c>
    </row>
    <row r="1990">
      <c r="A1990" s="15" t="n"/>
      <c r="B1990" s="10" t="n"/>
      <c r="C1990" s="14">
        <f>IF(B1990="","",IFERROR(INDEX('Sản phẩm'!$B$5:$B$304,MATCH(B1990,'Sản phẩm'!$A$5:$A$304,0)),""))</f>
        <v/>
      </c>
      <c r="D1990" s="12" t="n"/>
      <c r="E1990" s="11" t="n"/>
      <c r="F1990" s="16">
        <f>IF(OR(D1990="",E1990=""),"",D1990*E1990)</f>
        <v/>
      </c>
      <c r="G1990" s="10" t="n"/>
      <c r="H1990" s="14">
        <f>IF(A1990="","",MONTH(A1990))</f>
        <v/>
      </c>
      <c r="I1990" s="14">
        <f>IF(A1990="","",YEAR(A1990))</f>
        <v/>
      </c>
    </row>
    <row r="1991">
      <c r="A1991" s="15" t="n"/>
      <c r="B1991" s="10" t="n"/>
      <c r="C1991" s="14">
        <f>IF(B1991="","",IFERROR(INDEX('Sản phẩm'!$B$5:$B$304,MATCH(B1991,'Sản phẩm'!$A$5:$A$304,0)),""))</f>
        <v/>
      </c>
      <c r="D1991" s="12" t="n"/>
      <c r="E1991" s="11" t="n"/>
      <c r="F1991" s="16">
        <f>IF(OR(D1991="",E1991=""),"",D1991*E1991)</f>
        <v/>
      </c>
      <c r="G1991" s="10" t="n"/>
      <c r="H1991" s="14">
        <f>IF(A1991="","",MONTH(A1991))</f>
        <v/>
      </c>
      <c r="I1991" s="14">
        <f>IF(A1991="","",YEAR(A1991))</f>
        <v/>
      </c>
    </row>
    <row r="1992">
      <c r="A1992" s="15" t="n"/>
      <c r="B1992" s="10" t="n"/>
      <c r="C1992" s="14">
        <f>IF(B1992="","",IFERROR(INDEX('Sản phẩm'!$B$5:$B$304,MATCH(B1992,'Sản phẩm'!$A$5:$A$304,0)),""))</f>
        <v/>
      </c>
      <c r="D1992" s="12" t="n"/>
      <c r="E1992" s="11" t="n"/>
      <c r="F1992" s="16">
        <f>IF(OR(D1992="",E1992=""),"",D1992*E1992)</f>
        <v/>
      </c>
      <c r="G1992" s="10" t="n"/>
      <c r="H1992" s="14">
        <f>IF(A1992="","",MONTH(A1992))</f>
        <v/>
      </c>
      <c r="I1992" s="14">
        <f>IF(A1992="","",YEAR(A1992))</f>
        <v/>
      </c>
    </row>
    <row r="1993">
      <c r="A1993" s="15" t="n"/>
      <c r="B1993" s="10" t="n"/>
      <c r="C1993" s="14">
        <f>IF(B1993="","",IFERROR(INDEX('Sản phẩm'!$B$5:$B$304,MATCH(B1993,'Sản phẩm'!$A$5:$A$304,0)),""))</f>
        <v/>
      </c>
      <c r="D1993" s="12" t="n"/>
      <c r="E1993" s="11" t="n"/>
      <c r="F1993" s="16">
        <f>IF(OR(D1993="",E1993=""),"",D1993*E1993)</f>
        <v/>
      </c>
      <c r="G1993" s="10" t="n"/>
      <c r="H1993" s="14">
        <f>IF(A1993="","",MONTH(A1993))</f>
        <v/>
      </c>
      <c r="I1993" s="14">
        <f>IF(A1993="","",YEAR(A1993))</f>
        <v/>
      </c>
    </row>
    <row r="1994">
      <c r="A1994" s="15" t="n"/>
      <c r="B1994" s="10" t="n"/>
      <c r="C1994" s="14">
        <f>IF(B1994="","",IFERROR(INDEX('Sản phẩm'!$B$5:$B$304,MATCH(B1994,'Sản phẩm'!$A$5:$A$304,0)),""))</f>
        <v/>
      </c>
      <c r="D1994" s="12" t="n"/>
      <c r="E1994" s="11" t="n"/>
      <c r="F1994" s="16">
        <f>IF(OR(D1994="",E1994=""),"",D1994*E1994)</f>
        <v/>
      </c>
      <c r="G1994" s="10" t="n"/>
      <c r="H1994" s="14">
        <f>IF(A1994="","",MONTH(A1994))</f>
        <v/>
      </c>
      <c r="I1994" s="14">
        <f>IF(A1994="","",YEAR(A1994))</f>
        <v/>
      </c>
    </row>
    <row r="1995">
      <c r="A1995" s="15" t="n"/>
      <c r="B1995" s="10" t="n"/>
      <c r="C1995" s="14">
        <f>IF(B1995="","",IFERROR(INDEX('Sản phẩm'!$B$5:$B$304,MATCH(B1995,'Sản phẩm'!$A$5:$A$304,0)),""))</f>
        <v/>
      </c>
      <c r="D1995" s="12" t="n"/>
      <c r="E1995" s="11" t="n"/>
      <c r="F1995" s="16">
        <f>IF(OR(D1995="",E1995=""),"",D1995*E1995)</f>
        <v/>
      </c>
      <c r="G1995" s="10" t="n"/>
      <c r="H1995" s="14">
        <f>IF(A1995="","",MONTH(A1995))</f>
        <v/>
      </c>
      <c r="I1995" s="14">
        <f>IF(A1995="","",YEAR(A1995))</f>
        <v/>
      </c>
    </row>
    <row r="1996">
      <c r="A1996" s="15" t="n"/>
      <c r="B1996" s="10" t="n"/>
      <c r="C1996" s="14">
        <f>IF(B1996="","",IFERROR(INDEX('Sản phẩm'!$B$5:$B$304,MATCH(B1996,'Sản phẩm'!$A$5:$A$304,0)),""))</f>
        <v/>
      </c>
      <c r="D1996" s="12" t="n"/>
      <c r="E1996" s="11" t="n"/>
      <c r="F1996" s="16">
        <f>IF(OR(D1996="",E1996=""),"",D1996*E1996)</f>
        <v/>
      </c>
      <c r="G1996" s="10" t="n"/>
      <c r="H1996" s="14">
        <f>IF(A1996="","",MONTH(A1996))</f>
        <v/>
      </c>
      <c r="I1996" s="14">
        <f>IF(A1996="","",YEAR(A1996))</f>
        <v/>
      </c>
    </row>
    <row r="1997">
      <c r="A1997" s="15" t="n"/>
      <c r="B1997" s="10" t="n"/>
      <c r="C1997" s="14">
        <f>IF(B1997="","",IFERROR(INDEX('Sản phẩm'!$B$5:$B$304,MATCH(B1997,'Sản phẩm'!$A$5:$A$304,0)),""))</f>
        <v/>
      </c>
      <c r="D1997" s="12" t="n"/>
      <c r="E1997" s="11" t="n"/>
      <c r="F1997" s="16">
        <f>IF(OR(D1997="",E1997=""),"",D1997*E1997)</f>
        <v/>
      </c>
      <c r="G1997" s="10" t="n"/>
      <c r="H1997" s="14">
        <f>IF(A1997="","",MONTH(A1997))</f>
        <v/>
      </c>
      <c r="I1997" s="14">
        <f>IF(A1997="","",YEAR(A1997))</f>
        <v/>
      </c>
    </row>
    <row r="1998">
      <c r="A1998" s="15" t="n"/>
      <c r="B1998" s="10" t="n"/>
      <c r="C1998" s="14">
        <f>IF(B1998="","",IFERROR(INDEX('Sản phẩm'!$B$5:$B$304,MATCH(B1998,'Sản phẩm'!$A$5:$A$304,0)),""))</f>
        <v/>
      </c>
      <c r="D1998" s="12" t="n"/>
      <c r="E1998" s="11" t="n"/>
      <c r="F1998" s="16">
        <f>IF(OR(D1998="",E1998=""),"",D1998*E1998)</f>
        <v/>
      </c>
      <c r="G1998" s="10" t="n"/>
      <c r="H1998" s="14">
        <f>IF(A1998="","",MONTH(A1998))</f>
        <v/>
      </c>
      <c r="I1998" s="14">
        <f>IF(A1998="","",YEAR(A1998))</f>
        <v/>
      </c>
    </row>
    <row r="1999">
      <c r="A1999" s="15" t="n"/>
      <c r="B1999" s="10" t="n"/>
      <c r="C1999" s="14">
        <f>IF(B1999="","",IFERROR(INDEX('Sản phẩm'!$B$5:$B$304,MATCH(B1999,'Sản phẩm'!$A$5:$A$304,0)),""))</f>
        <v/>
      </c>
      <c r="D1999" s="12" t="n"/>
      <c r="E1999" s="11" t="n"/>
      <c r="F1999" s="16">
        <f>IF(OR(D1999="",E1999=""),"",D1999*E1999)</f>
        <v/>
      </c>
      <c r="G1999" s="10" t="n"/>
      <c r="H1999" s="14">
        <f>IF(A1999="","",MONTH(A1999))</f>
        <v/>
      </c>
      <c r="I1999" s="14">
        <f>IF(A1999="","",YEAR(A1999))</f>
        <v/>
      </c>
    </row>
    <row r="2000">
      <c r="A2000" s="15" t="n"/>
      <c r="B2000" s="10" t="n"/>
      <c r="C2000" s="14">
        <f>IF(B2000="","",IFERROR(INDEX('Sản phẩm'!$B$5:$B$304,MATCH(B2000,'Sản phẩm'!$A$5:$A$304,0)),""))</f>
        <v/>
      </c>
      <c r="D2000" s="12" t="n"/>
      <c r="E2000" s="11" t="n"/>
      <c r="F2000" s="16">
        <f>IF(OR(D2000="",E2000=""),"",D2000*E2000)</f>
        <v/>
      </c>
      <c r="G2000" s="10" t="n"/>
      <c r="H2000" s="14">
        <f>IF(A2000="","",MONTH(A2000))</f>
        <v/>
      </c>
      <c r="I2000" s="14">
        <f>IF(A2000="","",YEAR(A2000))</f>
        <v/>
      </c>
    </row>
    <row r="2001">
      <c r="A2001" s="15" t="n"/>
      <c r="B2001" s="10" t="n"/>
      <c r="C2001" s="14">
        <f>IF(B2001="","",IFERROR(INDEX('Sản phẩm'!$B$5:$B$304,MATCH(B2001,'Sản phẩm'!$A$5:$A$304,0)),""))</f>
        <v/>
      </c>
      <c r="D2001" s="12" t="n"/>
      <c r="E2001" s="11" t="n"/>
      <c r="F2001" s="16">
        <f>IF(OR(D2001="",E2001=""),"",D2001*E2001)</f>
        <v/>
      </c>
      <c r="G2001" s="10" t="n"/>
      <c r="H2001" s="14">
        <f>IF(A2001="","",MONTH(A2001))</f>
        <v/>
      </c>
      <c r="I2001" s="14">
        <f>IF(A2001="","",YEAR(A2001))</f>
        <v/>
      </c>
    </row>
    <row r="2002">
      <c r="A2002" s="15" t="n"/>
      <c r="B2002" s="10" t="n"/>
      <c r="C2002" s="14">
        <f>IF(B2002="","",IFERROR(INDEX('Sản phẩm'!$B$5:$B$304,MATCH(B2002,'Sản phẩm'!$A$5:$A$304,0)),""))</f>
        <v/>
      </c>
      <c r="D2002" s="12" t="n"/>
      <c r="E2002" s="11" t="n"/>
      <c r="F2002" s="16">
        <f>IF(OR(D2002="",E2002=""),"",D2002*E2002)</f>
        <v/>
      </c>
      <c r="G2002" s="10" t="n"/>
      <c r="H2002" s="14">
        <f>IF(A2002="","",MONTH(A2002))</f>
        <v/>
      </c>
      <c r="I2002" s="14">
        <f>IF(A2002="","",YEAR(A2002))</f>
        <v/>
      </c>
    </row>
    <row r="2003">
      <c r="A2003" s="15" t="n"/>
      <c r="B2003" s="10" t="n"/>
      <c r="C2003" s="14">
        <f>IF(B2003="","",IFERROR(INDEX('Sản phẩm'!$B$5:$B$304,MATCH(B2003,'Sản phẩm'!$A$5:$A$304,0)),""))</f>
        <v/>
      </c>
      <c r="D2003" s="12" t="n"/>
      <c r="E2003" s="11" t="n"/>
      <c r="F2003" s="16">
        <f>IF(OR(D2003="",E2003=""),"",D2003*E2003)</f>
        <v/>
      </c>
      <c r="G2003" s="10" t="n"/>
      <c r="H2003" s="14">
        <f>IF(A2003="","",MONTH(A2003))</f>
        <v/>
      </c>
      <c r="I2003" s="14">
        <f>IF(A2003="","",YEAR(A2003))</f>
        <v/>
      </c>
    </row>
    <row r="2004">
      <c r="A2004" s="15" t="n"/>
      <c r="B2004" s="10" t="n"/>
      <c r="C2004" s="14">
        <f>IF(B2004="","",IFERROR(INDEX('Sản phẩm'!$B$5:$B$304,MATCH(B2004,'Sản phẩm'!$A$5:$A$304,0)),""))</f>
        <v/>
      </c>
      <c r="D2004" s="12" t="n"/>
      <c r="E2004" s="11" t="n"/>
      <c r="F2004" s="16">
        <f>IF(OR(D2004="",E2004=""),"",D2004*E2004)</f>
        <v/>
      </c>
      <c r="G2004" s="10" t="n"/>
      <c r="H2004" s="14">
        <f>IF(A2004="","",MONTH(A2004))</f>
        <v/>
      </c>
      <c r="I2004" s="14">
        <f>IF(A2004="","",YEAR(A2004))</f>
        <v/>
      </c>
    </row>
  </sheetData>
  <dataValidations count="1">
    <dataValidation sqref="B5:B2004" showDropDown="0" showInputMessage="0" showErrorMessage="1" allowBlank="1" errorTitle="Giá trị không có trong danh sách" error="Chọn một mục trong danh sách." type="list">
      <formula1>=DS_MASP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10" customWidth="1" min="4" max="4"/>
    <col width="28" customWidth="1" min="5" max="5"/>
    <col width="10" customWidth="1" min="6" max="6"/>
    <col width="14" customWidth="1" min="7" max="7"/>
    <col width="12" customWidth="1" min="8" max="8"/>
    <col width="14" customWidth="1" min="9" max="9"/>
    <col width="15" customWidth="1" min="10" max="10"/>
    <col width="15" customWidth="1" min="11" max="11"/>
    <col width="15" customWidth="1" min="12" max="12"/>
    <col width="8" customWidth="1" min="13" max="13"/>
    <col width="8" customWidth="1" min="14" max="14"/>
  </cols>
  <sheetData>
    <row r="1">
      <c r="A1" s="7" t="inlineStr">
        <is>
          <t>Sổ bán hàng</t>
        </is>
      </c>
    </row>
    <row r="2">
      <c r="A2" s="8" t="inlineStr">
        <is>
          <t>Đơn nhiều sản phẩm: mỗi sản phẩm một dòng, cùng Mã đơn.</t>
        </is>
      </c>
    </row>
    <row r="4" ht="32" customHeight="1">
      <c r="A4" s="9" t="inlineStr">
        <is>
          <t>Ngày</t>
        </is>
      </c>
      <c r="B4" s="9" t="inlineStr">
        <is>
          <t>Mã đơn</t>
        </is>
      </c>
      <c r="C4" s="9" t="inlineStr">
        <is>
          <t>Khách hàng</t>
        </is>
      </c>
      <c r="D4" s="9" t="inlineStr">
        <is>
          <t>Mã SP</t>
        </is>
      </c>
      <c r="E4" s="9" t="inlineStr">
        <is>
          <t>Tên sản phẩm</t>
        </is>
      </c>
      <c r="F4" s="9" t="inlineStr">
        <is>
          <t>Số lượng</t>
        </is>
      </c>
      <c r="G4" s="9" t="inlineStr">
        <is>
          <t>Giá bán khác (nếu có)</t>
        </is>
      </c>
      <c r="H4" s="9" t="inlineStr">
        <is>
          <t>Giảm giá (đ)</t>
        </is>
      </c>
      <c r="I4" s="9" t="inlineStr">
        <is>
          <t>Giá bán áp dụng</t>
        </is>
      </c>
      <c r="J4" s="9" t="inlineStr">
        <is>
          <t>Doanh thu (đ)</t>
        </is>
      </c>
      <c r="K4" s="9" t="inlineStr">
        <is>
          <t>Tiền vốn (đ)</t>
        </is>
      </c>
      <c r="L4" s="9" t="inlineStr">
        <is>
          <t>Lãi gộp (đ)</t>
        </is>
      </c>
      <c r="M4" s="9" t="inlineStr">
        <is>
          <t>Tháng</t>
        </is>
      </c>
      <c r="N4" s="9" t="inlineStr">
        <is>
          <t>Năm</t>
        </is>
      </c>
    </row>
    <row r="5">
      <c r="A5" s="15" t="n">
        <v>46297</v>
      </c>
      <c r="B5" s="10" t="inlineStr">
        <is>
          <t>DH001</t>
        </is>
      </c>
      <c r="C5" s="10" t="inlineStr">
        <is>
          <t>Chị Lan (ví dụ)</t>
        </is>
      </c>
      <c r="D5" s="10" t="inlineStr">
        <is>
          <t>SP01</t>
        </is>
      </c>
      <c r="E5" s="14">
        <f>IF(D5="","",IFERROR(INDEX('Sản phẩm'!$B$5:$B$304,MATCH(D5,'Sản phẩm'!$A$5:$A$304,0)),""))</f>
        <v/>
      </c>
      <c r="F5" s="12" t="n">
        <v>2</v>
      </c>
      <c r="G5" s="11" t="n"/>
      <c r="H5" s="11" t="n">
        <v>20000</v>
      </c>
      <c r="I5" s="16">
        <f>IF(D5="","",IF(G5&lt;&gt;"",G5,IFERROR(INDEX('Sản phẩm'!$E$5:$E$304,MATCH(D5,'Sản phẩm'!$A$5:$A$304,0)),"")))</f>
        <v/>
      </c>
      <c r="J5" s="16">
        <f>IF(OR(D5="",F5=""),"",F5*I5-N(H5))</f>
        <v/>
      </c>
      <c r="K5" s="16">
        <f>IF(OR(D5="",F5=""),"",F5*IFERROR(INDEX('Sản phẩm'!$D$5:$D$304,MATCH(D5,'Sản phẩm'!$A$5:$A$304,0)),""))</f>
        <v/>
      </c>
      <c r="L5" s="16">
        <f>IF(J5="","",J5-K5)</f>
        <v/>
      </c>
      <c r="M5" s="14">
        <f>IF(A5="","",MONTH(A5))</f>
        <v/>
      </c>
      <c r="N5" s="14">
        <f>IF(A5="","",YEAR(A5))</f>
        <v/>
      </c>
    </row>
    <row r="6">
      <c r="A6" s="15" t="n">
        <v>46297</v>
      </c>
      <c r="B6" s="10" t="inlineStr">
        <is>
          <t>DH001</t>
        </is>
      </c>
      <c r="C6" s="10" t="inlineStr">
        <is>
          <t>Chị Lan (ví dụ)</t>
        </is>
      </c>
      <c r="D6" s="10" t="inlineStr">
        <is>
          <t>SP02</t>
        </is>
      </c>
      <c r="E6" s="14">
        <f>IF(D6="","",IFERROR(INDEX('Sản phẩm'!$B$5:$B$304,MATCH(D6,'Sản phẩm'!$A$5:$A$304,0)),""))</f>
        <v/>
      </c>
      <c r="F6" s="12" t="n">
        <v>1</v>
      </c>
      <c r="G6" s="11" t="n"/>
      <c r="H6" s="11" t="n"/>
      <c r="I6" s="16">
        <f>IF(D6="","",IF(G6&lt;&gt;"",G6,IFERROR(INDEX('Sản phẩm'!$E$5:$E$304,MATCH(D6,'Sản phẩm'!$A$5:$A$304,0)),"")))</f>
        <v/>
      </c>
      <c r="J6" s="16">
        <f>IF(OR(D6="",F6=""),"",F6*I6-N(H6))</f>
        <v/>
      </c>
      <c r="K6" s="16">
        <f>IF(OR(D6="",F6=""),"",F6*IFERROR(INDEX('Sản phẩm'!$D$5:$D$304,MATCH(D6,'Sản phẩm'!$A$5:$A$304,0)),""))</f>
        <v/>
      </c>
      <c r="L6" s="16">
        <f>IF(J6="","",J6-K6)</f>
        <v/>
      </c>
      <c r="M6" s="14">
        <f>IF(A6="","",MONTH(A6))</f>
        <v/>
      </c>
      <c r="N6" s="14">
        <f>IF(A6="","",YEAR(A6))</f>
        <v/>
      </c>
    </row>
    <row r="7">
      <c r="A7" s="15" t="n">
        <v>46300</v>
      </c>
      <c r="B7" s="10" t="inlineStr">
        <is>
          <t>DH002</t>
        </is>
      </c>
      <c r="C7" s="10" t="inlineStr">
        <is>
          <t>Anh Minh (ví dụ)</t>
        </is>
      </c>
      <c r="D7" s="10" t="inlineStr">
        <is>
          <t>SP01</t>
        </is>
      </c>
      <c r="E7" s="14">
        <f>IF(D7="","",IFERROR(INDEX('Sản phẩm'!$B$5:$B$304,MATCH(D7,'Sản phẩm'!$A$5:$A$304,0)),""))</f>
        <v/>
      </c>
      <c r="F7" s="12" t="n">
        <v>1</v>
      </c>
      <c r="G7" s="11" t="n">
        <v>260000</v>
      </c>
      <c r="H7" s="11" t="n"/>
      <c r="I7" s="16">
        <f>IF(D7="","",IF(G7&lt;&gt;"",G7,IFERROR(INDEX('Sản phẩm'!$E$5:$E$304,MATCH(D7,'Sản phẩm'!$A$5:$A$304,0)),"")))</f>
        <v/>
      </c>
      <c r="J7" s="16">
        <f>IF(OR(D7="",F7=""),"",F7*I7-N(H7))</f>
        <v/>
      </c>
      <c r="K7" s="16">
        <f>IF(OR(D7="",F7=""),"",F7*IFERROR(INDEX('Sản phẩm'!$D$5:$D$304,MATCH(D7,'Sản phẩm'!$A$5:$A$304,0)),""))</f>
        <v/>
      </c>
      <c r="L7" s="16">
        <f>IF(J7="","",J7-K7)</f>
        <v/>
      </c>
      <c r="M7" s="14">
        <f>IF(A7="","",MONTH(A7))</f>
        <v/>
      </c>
      <c r="N7" s="14">
        <f>IF(A7="","",YEAR(A7))</f>
        <v/>
      </c>
    </row>
    <row r="8">
      <c r="A8" s="15" t="n"/>
      <c r="B8" s="10" t="n"/>
      <c r="C8" s="10" t="n"/>
      <c r="D8" s="10" t="n"/>
      <c r="E8" s="14">
        <f>IF(D8="","",IFERROR(INDEX('Sản phẩm'!$B$5:$B$304,MATCH(D8,'Sản phẩm'!$A$5:$A$304,0)),""))</f>
        <v/>
      </c>
      <c r="F8" s="12" t="n"/>
      <c r="G8" s="11" t="n"/>
      <c r="H8" s="11" t="n"/>
      <c r="I8" s="16">
        <f>IF(D8="","",IF(G8&lt;&gt;"",G8,IFERROR(INDEX('Sản phẩm'!$E$5:$E$304,MATCH(D8,'Sản phẩm'!$A$5:$A$304,0)),"")))</f>
        <v/>
      </c>
      <c r="J8" s="16">
        <f>IF(OR(D8="",F8=""),"",F8*I8-N(H8))</f>
        <v/>
      </c>
      <c r="K8" s="16">
        <f>IF(OR(D8="",F8=""),"",F8*IFERROR(INDEX('Sản phẩm'!$D$5:$D$304,MATCH(D8,'Sản phẩm'!$A$5:$A$304,0)),""))</f>
        <v/>
      </c>
      <c r="L8" s="16">
        <f>IF(J8="","",J8-K8)</f>
        <v/>
      </c>
      <c r="M8" s="14">
        <f>IF(A8="","",MONTH(A8))</f>
        <v/>
      </c>
      <c r="N8" s="14">
        <f>IF(A8="","",YEAR(A8))</f>
        <v/>
      </c>
    </row>
    <row r="9">
      <c r="A9" s="15" t="n"/>
      <c r="B9" s="10" t="n"/>
      <c r="C9" s="10" t="n"/>
      <c r="D9" s="10" t="n"/>
      <c r="E9" s="14">
        <f>IF(D9="","",IFERROR(INDEX('Sản phẩm'!$B$5:$B$304,MATCH(D9,'Sản phẩm'!$A$5:$A$304,0)),""))</f>
        <v/>
      </c>
      <c r="F9" s="12" t="n"/>
      <c r="G9" s="11" t="n"/>
      <c r="H9" s="11" t="n"/>
      <c r="I9" s="16">
        <f>IF(D9="","",IF(G9&lt;&gt;"",G9,IFERROR(INDEX('Sản phẩm'!$E$5:$E$304,MATCH(D9,'Sản phẩm'!$A$5:$A$304,0)),"")))</f>
        <v/>
      </c>
      <c r="J9" s="16">
        <f>IF(OR(D9="",F9=""),"",F9*I9-N(H9))</f>
        <v/>
      </c>
      <c r="K9" s="16">
        <f>IF(OR(D9="",F9=""),"",F9*IFERROR(INDEX('Sản phẩm'!$D$5:$D$304,MATCH(D9,'Sản phẩm'!$A$5:$A$304,0)),""))</f>
        <v/>
      </c>
      <c r="L9" s="16">
        <f>IF(J9="","",J9-K9)</f>
        <v/>
      </c>
      <c r="M9" s="14">
        <f>IF(A9="","",MONTH(A9))</f>
        <v/>
      </c>
      <c r="N9" s="14">
        <f>IF(A9="","",YEAR(A9))</f>
        <v/>
      </c>
    </row>
    <row r="10">
      <c r="A10" s="15" t="n"/>
      <c r="B10" s="10" t="n"/>
      <c r="C10" s="10" t="n"/>
      <c r="D10" s="10" t="n"/>
      <c r="E10" s="14">
        <f>IF(D10="","",IFERROR(INDEX('Sản phẩm'!$B$5:$B$304,MATCH(D10,'Sản phẩm'!$A$5:$A$304,0)),""))</f>
        <v/>
      </c>
      <c r="F10" s="12" t="n"/>
      <c r="G10" s="11" t="n"/>
      <c r="H10" s="11" t="n"/>
      <c r="I10" s="16">
        <f>IF(D10="","",IF(G10&lt;&gt;"",G10,IFERROR(INDEX('Sản phẩm'!$E$5:$E$304,MATCH(D10,'Sản phẩm'!$A$5:$A$304,0)),"")))</f>
        <v/>
      </c>
      <c r="J10" s="16">
        <f>IF(OR(D10="",F10=""),"",F10*I10-N(H10))</f>
        <v/>
      </c>
      <c r="K10" s="16">
        <f>IF(OR(D10="",F10=""),"",F10*IFERROR(INDEX('Sản phẩm'!$D$5:$D$304,MATCH(D10,'Sản phẩm'!$A$5:$A$304,0)),""))</f>
        <v/>
      </c>
      <c r="L10" s="16">
        <f>IF(J10="","",J10-K10)</f>
        <v/>
      </c>
      <c r="M10" s="14">
        <f>IF(A10="","",MONTH(A10))</f>
        <v/>
      </c>
      <c r="N10" s="14">
        <f>IF(A10="","",YEAR(A10))</f>
        <v/>
      </c>
    </row>
    <row r="11">
      <c r="A11" s="15" t="n"/>
      <c r="B11" s="10" t="n"/>
      <c r="C11" s="10" t="n"/>
      <c r="D11" s="10" t="n"/>
      <c r="E11" s="14">
        <f>IF(D11="","",IFERROR(INDEX('Sản phẩm'!$B$5:$B$304,MATCH(D11,'Sản phẩm'!$A$5:$A$304,0)),""))</f>
        <v/>
      </c>
      <c r="F11" s="12" t="n"/>
      <c r="G11" s="11" t="n"/>
      <c r="H11" s="11" t="n"/>
      <c r="I11" s="16">
        <f>IF(D11="","",IF(G11&lt;&gt;"",G11,IFERROR(INDEX('Sản phẩm'!$E$5:$E$304,MATCH(D11,'Sản phẩm'!$A$5:$A$304,0)),"")))</f>
        <v/>
      </c>
      <c r="J11" s="16">
        <f>IF(OR(D11="",F11=""),"",F11*I11-N(H11))</f>
        <v/>
      </c>
      <c r="K11" s="16">
        <f>IF(OR(D11="",F11=""),"",F11*IFERROR(INDEX('Sản phẩm'!$D$5:$D$304,MATCH(D11,'Sản phẩm'!$A$5:$A$304,0)),""))</f>
        <v/>
      </c>
      <c r="L11" s="16">
        <f>IF(J11="","",J11-K11)</f>
        <v/>
      </c>
      <c r="M11" s="14">
        <f>IF(A11="","",MONTH(A11))</f>
        <v/>
      </c>
      <c r="N11" s="14">
        <f>IF(A11="","",YEAR(A11))</f>
        <v/>
      </c>
    </row>
    <row r="12">
      <c r="A12" s="15" t="n"/>
      <c r="B12" s="10" t="n"/>
      <c r="C12" s="10" t="n"/>
      <c r="D12" s="10" t="n"/>
      <c r="E12" s="14">
        <f>IF(D12="","",IFERROR(INDEX('Sản phẩm'!$B$5:$B$304,MATCH(D12,'Sản phẩm'!$A$5:$A$304,0)),""))</f>
        <v/>
      </c>
      <c r="F12" s="12" t="n"/>
      <c r="G12" s="11" t="n"/>
      <c r="H12" s="11" t="n"/>
      <c r="I12" s="16">
        <f>IF(D12="","",IF(G12&lt;&gt;"",G12,IFERROR(INDEX('Sản phẩm'!$E$5:$E$304,MATCH(D12,'Sản phẩm'!$A$5:$A$304,0)),"")))</f>
        <v/>
      </c>
      <c r="J12" s="16">
        <f>IF(OR(D12="",F12=""),"",F12*I12-N(H12))</f>
        <v/>
      </c>
      <c r="K12" s="16">
        <f>IF(OR(D12="",F12=""),"",F12*IFERROR(INDEX('Sản phẩm'!$D$5:$D$304,MATCH(D12,'Sản phẩm'!$A$5:$A$304,0)),""))</f>
        <v/>
      </c>
      <c r="L12" s="16">
        <f>IF(J12="","",J12-K12)</f>
        <v/>
      </c>
      <c r="M12" s="14">
        <f>IF(A12="","",MONTH(A12))</f>
        <v/>
      </c>
      <c r="N12" s="14">
        <f>IF(A12="","",YEAR(A12))</f>
        <v/>
      </c>
    </row>
    <row r="13">
      <c r="A13" s="15" t="n"/>
      <c r="B13" s="10" t="n"/>
      <c r="C13" s="10" t="n"/>
      <c r="D13" s="10" t="n"/>
      <c r="E13" s="14">
        <f>IF(D13="","",IFERROR(INDEX('Sản phẩm'!$B$5:$B$304,MATCH(D13,'Sản phẩm'!$A$5:$A$304,0)),""))</f>
        <v/>
      </c>
      <c r="F13" s="12" t="n"/>
      <c r="G13" s="11" t="n"/>
      <c r="H13" s="11" t="n"/>
      <c r="I13" s="16">
        <f>IF(D13="","",IF(G13&lt;&gt;"",G13,IFERROR(INDEX('Sản phẩm'!$E$5:$E$304,MATCH(D13,'Sản phẩm'!$A$5:$A$304,0)),"")))</f>
        <v/>
      </c>
      <c r="J13" s="16">
        <f>IF(OR(D13="",F13=""),"",F13*I13-N(H13))</f>
        <v/>
      </c>
      <c r="K13" s="16">
        <f>IF(OR(D13="",F13=""),"",F13*IFERROR(INDEX('Sản phẩm'!$D$5:$D$304,MATCH(D13,'Sản phẩm'!$A$5:$A$304,0)),""))</f>
        <v/>
      </c>
      <c r="L13" s="16">
        <f>IF(J13="","",J13-K13)</f>
        <v/>
      </c>
      <c r="M13" s="14">
        <f>IF(A13="","",MONTH(A13))</f>
        <v/>
      </c>
      <c r="N13" s="14">
        <f>IF(A13="","",YEAR(A13))</f>
        <v/>
      </c>
    </row>
    <row r="14">
      <c r="A14" s="15" t="n"/>
      <c r="B14" s="10" t="n"/>
      <c r="C14" s="10" t="n"/>
      <c r="D14" s="10" t="n"/>
      <c r="E14" s="14">
        <f>IF(D14="","",IFERROR(INDEX('Sản phẩm'!$B$5:$B$304,MATCH(D14,'Sản phẩm'!$A$5:$A$304,0)),""))</f>
        <v/>
      </c>
      <c r="F14" s="12" t="n"/>
      <c r="G14" s="11" t="n"/>
      <c r="H14" s="11" t="n"/>
      <c r="I14" s="16">
        <f>IF(D14="","",IF(G14&lt;&gt;"",G14,IFERROR(INDEX('Sản phẩm'!$E$5:$E$304,MATCH(D14,'Sản phẩm'!$A$5:$A$304,0)),"")))</f>
        <v/>
      </c>
      <c r="J14" s="16">
        <f>IF(OR(D14="",F14=""),"",F14*I14-N(H14))</f>
        <v/>
      </c>
      <c r="K14" s="16">
        <f>IF(OR(D14="",F14=""),"",F14*IFERROR(INDEX('Sản phẩm'!$D$5:$D$304,MATCH(D14,'Sản phẩm'!$A$5:$A$304,0)),""))</f>
        <v/>
      </c>
      <c r="L14" s="16">
        <f>IF(J14="","",J14-K14)</f>
        <v/>
      </c>
      <c r="M14" s="14">
        <f>IF(A14="","",MONTH(A14))</f>
        <v/>
      </c>
      <c r="N14" s="14">
        <f>IF(A14="","",YEAR(A14))</f>
        <v/>
      </c>
    </row>
    <row r="15">
      <c r="A15" s="15" t="n"/>
      <c r="B15" s="10" t="n"/>
      <c r="C15" s="10" t="n"/>
      <c r="D15" s="10" t="n"/>
      <c r="E15" s="14">
        <f>IF(D15="","",IFERROR(INDEX('Sản phẩm'!$B$5:$B$304,MATCH(D15,'Sản phẩm'!$A$5:$A$304,0)),""))</f>
        <v/>
      </c>
      <c r="F15" s="12" t="n"/>
      <c r="G15" s="11" t="n"/>
      <c r="H15" s="11" t="n"/>
      <c r="I15" s="16">
        <f>IF(D15="","",IF(G15&lt;&gt;"",G15,IFERROR(INDEX('Sản phẩm'!$E$5:$E$304,MATCH(D15,'Sản phẩm'!$A$5:$A$304,0)),"")))</f>
        <v/>
      </c>
      <c r="J15" s="16">
        <f>IF(OR(D15="",F15=""),"",F15*I15-N(H15))</f>
        <v/>
      </c>
      <c r="K15" s="16">
        <f>IF(OR(D15="",F15=""),"",F15*IFERROR(INDEX('Sản phẩm'!$D$5:$D$304,MATCH(D15,'Sản phẩm'!$A$5:$A$304,0)),""))</f>
        <v/>
      </c>
      <c r="L15" s="16">
        <f>IF(J15="","",J15-K15)</f>
        <v/>
      </c>
      <c r="M15" s="14">
        <f>IF(A15="","",MONTH(A15))</f>
        <v/>
      </c>
      <c r="N15" s="14">
        <f>IF(A15="","",YEAR(A15))</f>
        <v/>
      </c>
    </row>
    <row r="16">
      <c r="A16" s="15" t="n"/>
      <c r="B16" s="10" t="n"/>
      <c r="C16" s="10" t="n"/>
      <c r="D16" s="10" t="n"/>
      <c r="E16" s="14">
        <f>IF(D16="","",IFERROR(INDEX('Sản phẩm'!$B$5:$B$304,MATCH(D16,'Sản phẩm'!$A$5:$A$304,0)),""))</f>
        <v/>
      </c>
      <c r="F16" s="12" t="n"/>
      <c r="G16" s="11" t="n"/>
      <c r="H16" s="11" t="n"/>
      <c r="I16" s="16">
        <f>IF(D16="","",IF(G16&lt;&gt;"",G16,IFERROR(INDEX('Sản phẩm'!$E$5:$E$304,MATCH(D16,'Sản phẩm'!$A$5:$A$304,0)),"")))</f>
        <v/>
      </c>
      <c r="J16" s="16">
        <f>IF(OR(D16="",F16=""),"",F16*I16-N(H16))</f>
        <v/>
      </c>
      <c r="K16" s="16">
        <f>IF(OR(D16="",F16=""),"",F16*IFERROR(INDEX('Sản phẩm'!$D$5:$D$304,MATCH(D16,'Sản phẩm'!$A$5:$A$304,0)),""))</f>
        <v/>
      </c>
      <c r="L16" s="16">
        <f>IF(J16="","",J16-K16)</f>
        <v/>
      </c>
      <c r="M16" s="14">
        <f>IF(A16="","",MONTH(A16))</f>
        <v/>
      </c>
      <c r="N16" s="14">
        <f>IF(A16="","",YEAR(A16))</f>
        <v/>
      </c>
    </row>
    <row r="17">
      <c r="A17" s="15" t="n"/>
      <c r="B17" s="10" t="n"/>
      <c r="C17" s="10" t="n"/>
      <c r="D17" s="10" t="n"/>
      <c r="E17" s="14">
        <f>IF(D17="","",IFERROR(INDEX('Sản phẩm'!$B$5:$B$304,MATCH(D17,'Sản phẩm'!$A$5:$A$304,0)),""))</f>
        <v/>
      </c>
      <c r="F17" s="12" t="n"/>
      <c r="G17" s="11" t="n"/>
      <c r="H17" s="11" t="n"/>
      <c r="I17" s="16">
        <f>IF(D17="","",IF(G17&lt;&gt;"",G17,IFERROR(INDEX('Sản phẩm'!$E$5:$E$304,MATCH(D17,'Sản phẩm'!$A$5:$A$304,0)),"")))</f>
        <v/>
      </c>
      <c r="J17" s="16">
        <f>IF(OR(D17="",F17=""),"",F17*I17-N(H17))</f>
        <v/>
      </c>
      <c r="K17" s="16">
        <f>IF(OR(D17="",F17=""),"",F17*IFERROR(INDEX('Sản phẩm'!$D$5:$D$304,MATCH(D17,'Sản phẩm'!$A$5:$A$304,0)),""))</f>
        <v/>
      </c>
      <c r="L17" s="16">
        <f>IF(J17="","",J17-K17)</f>
        <v/>
      </c>
      <c r="M17" s="14">
        <f>IF(A17="","",MONTH(A17))</f>
        <v/>
      </c>
      <c r="N17" s="14">
        <f>IF(A17="","",YEAR(A17))</f>
        <v/>
      </c>
    </row>
    <row r="18">
      <c r="A18" s="15" t="n"/>
      <c r="B18" s="10" t="n"/>
      <c r="C18" s="10" t="n"/>
      <c r="D18" s="10" t="n"/>
      <c r="E18" s="14">
        <f>IF(D18="","",IFERROR(INDEX('Sản phẩm'!$B$5:$B$304,MATCH(D18,'Sản phẩm'!$A$5:$A$304,0)),""))</f>
        <v/>
      </c>
      <c r="F18" s="12" t="n"/>
      <c r="G18" s="11" t="n"/>
      <c r="H18" s="11" t="n"/>
      <c r="I18" s="16">
        <f>IF(D18="","",IF(G18&lt;&gt;"",G18,IFERROR(INDEX('Sản phẩm'!$E$5:$E$304,MATCH(D18,'Sản phẩm'!$A$5:$A$304,0)),"")))</f>
        <v/>
      </c>
      <c r="J18" s="16">
        <f>IF(OR(D18="",F18=""),"",F18*I18-N(H18))</f>
        <v/>
      </c>
      <c r="K18" s="16">
        <f>IF(OR(D18="",F18=""),"",F18*IFERROR(INDEX('Sản phẩm'!$D$5:$D$304,MATCH(D18,'Sản phẩm'!$A$5:$A$304,0)),""))</f>
        <v/>
      </c>
      <c r="L18" s="16">
        <f>IF(J18="","",J18-K18)</f>
        <v/>
      </c>
      <c r="M18" s="14">
        <f>IF(A18="","",MONTH(A18))</f>
        <v/>
      </c>
      <c r="N18" s="14">
        <f>IF(A18="","",YEAR(A18))</f>
        <v/>
      </c>
    </row>
    <row r="19">
      <c r="A19" s="15" t="n"/>
      <c r="B19" s="10" t="n"/>
      <c r="C19" s="10" t="n"/>
      <c r="D19" s="10" t="n"/>
      <c r="E19" s="14">
        <f>IF(D19="","",IFERROR(INDEX('Sản phẩm'!$B$5:$B$304,MATCH(D19,'Sản phẩm'!$A$5:$A$304,0)),""))</f>
        <v/>
      </c>
      <c r="F19" s="12" t="n"/>
      <c r="G19" s="11" t="n"/>
      <c r="H19" s="11" t="n"/>
      <c r="I19" s="16">
        <f>IF(D19="","",IF(G19&lt;&gt;"",G19,IFERROR(INDEX('Sản phẩm'!$E$5:$E$304,MATCH(D19,'Sản phẩm'!$A$5:$A$304,0)),"")))</f>
        <v/>
      </c>
      <c r="J19" s="16">
        <f>IF(OR(D19="",F19=""),"",F19*I19-N(H19))</f>
        <v/>
      </c>
      <c r="K19" s="16">
        <f>IF(OR(D19="",F19=""),"",F19*IFERROR(INDEX('Sản phẩm'!$D$5:$D$304,MATCH(D19,'Sản phẩm'!$A$5:$A$304,0)),""))</f>
        <v/>
      </c>
      <c r="L19" s="16">
        <f>IF(J19="","",J19-K19)</f>
        <v/>
      </c>
      <c r="M19" s="14">
        <f>IF(A19="","",MONTH(A19))</f>
        <v/>
      </c>
      <c r="N19" s="14">
        <f>IF(A19="","",YEAR(A19))</f>
        <v/>
      </c>
    </row>
    <row r="20">
      <c r="A20" s="15" t="n"/>
      <c r="B20" s="10" t="n"/>
      <c r="C20" s="10" t="n"/>
      <c r="D20" s="10" t="n"/>
      <c r="E20" s="14">
        <f>IF(D20="","",IFERROR(INDEX('Sản phẩm'!$B$5:$B$304,MATCH(D20,'Sản phẩm'!$A$5:$A$304,0)),""))</f>
        <v/>
      </c>
      <c r="F20" s="12" t="n"/>
      <c r="G20" s="11" t="n"/>
      <c r="H20" s="11" t="n"/>
      <c r="I20" s="16">
        <f>IF(D20="","",IF(G20&lt;&gt;"",G20,IFERROR(INDEX('Sản phẩm'!$E$5:$E$304,MATCH(D20,'Sản phẩm'!$A$5:$A$304,0)),"")))</f>
        <v/>
      </c>
      <c r="J20" s="16">
        <f>IF(OR(D20="",F20=""),"",F20*I20-N(H20))</f>
        <v/>
      </c>
      <c r="K20" s="16">
        <f>IF(OR(D20="",F20=""),"",F20*IFERROR(INDEX('Sản phẩm'!$D$5:$D$304,MATCH(D20,'Sản phẩm'!$A$5:$A$304,0)),""))</f>
        <v/>
      </c>
      <c r="L20" s="16">
        <f>IF(J20="","",J20-K20)</f>
        <v/>
      </c>
      <c r="M20" s="14">
        <f>IF(A20="","",MONTH(A20))</f>
        <v/>
      </c>
      <c r="N20" s="14">
        <f>IF(A20="","",YEAR(A20))</f>
        <v/>
      </c>
    </row>
    <row r="21">
      <c r="A21" s="15" t="n"/>
      <c r="B21" s="10" t="n"/>
      <c r="C21" s="10" t="n"/>
      <c r="D21" s="10" t="n"/>
      <c r="E21" s="14">
        <f>IF(D21="","",IFERROR(INDEX('Sản phẩm'!$B$5:$B$304,MATCH(D21,'Sản phẩm'!$A$5:$A$304,0)),""))</f>
        <v/>
      </c>
      <c r="F21" s="12" t="n"/>
      <c r="G21" s="11" t="n"/>
      <c r="H21" s="11" t="n"/>
      <c r="I21" s="16">
        <f>IF(D21="","",IF(G21&lt;&gt;"",G21,IFERROR(INDEX('Sản phẩm'!$E$5:$E$304,MATCH(D21,'Sản phẩm'!$A$5:$A$304,0)),"")))</f>
        <v/>
      </c>
      <c r="J21" s="16">
        <f>IF(OR(D21="",F21=""),"",F21*I21-N(H21))</f>
        <v/>
      </c>
      <c r="K21" s="16">
        <f>IF(OR(D21="",F21=""),"",F21*IFERROR(INDEX('Sản phẩm'!$D$5:$D$304,MATCH(D21,'Sản phẩm'!$A$5:$A$304,0)),""))</f>
        <v/>
      </c>
      <c r="L21" s="16">
        <f>IF(J21="","",J21-K21)</f>
        <v/>
      </c>
      <c r="M21" s="14">
        <f>IF(A21="","",MONTH(A21))</f>
        <v/>
      </c>
      <c r="N21" s="14">
        <f>IF(A21="","",YEAR(A21))</f>
        <v/>
      </c>
    </row>
    <row r="22">
      <c r="A22" s="15" t="n"/>
      <c r="B22" s="10" t="n"/>
      <c r="C22" s="10" t="n"/>
      <c r="D22" s="10" t="n"/>
      <c r="E22" s="14">
        <f>IF(D22="","",IFERROR(INDEX('Sản phẩm'!$B$5:$B$304,MATCH(D22,'Sản phẩm'!$A$5:$A$304,0)),""))</f>
        <v/>
      </c>
      <c r="F22" s="12" t="n"/>
      <c r="G22" s="11" t="n"/>
      <c r="H22" s="11" t="n"/>
      <c r="I22" s="16">
        <f>IF(D22="","",IF(G22&lt;&gt;"",G22,IFERROR(INDEX('Sản phẩm'!$E$5:$E$304,MATCH(D22,'Sản phẩm'!$A$5:$A$304,0)),"")))</f>
        <v/>
      </c>
      <c r="J22" s="16">
        <f>IF(OR(D22="",F22=""),"",F22*I22-N(H22))</f>
        <v/>
      </c>
      <c r="K22" s="16">
        <f>IF(OR(D22="",F22=""),"",F22*IFERROR(INDEX('Sản phẩm'!$D$5:$D$304,MATCH(D22,'Sản phẩm'!$A$5:$A$304,0)),""))</f>
        <v/>
      </c>
      <c r="L22" s="16">
        <f>IF(J22="","",J22-K22)</f>
        <v/>
      </c>
      <c r="M22" s="14">
        <f>IF(A22="","",MONTH(A22))</f>
        <v/>
      </c>
      <c r="N22" s="14">
        <f>IF(A22="","",YEAR(A22))</f>
        <v/>
      </c>
    </row>
    <row r="23">
      <c r="A23" s="15" t="n"/>
      <c r="B23" s="10" t="n"/>
      <c r="C23" s="10" t="n"/>
      <c r="D23" s="10" t="n"/>
      <c r="E23" s="14">
        <f>IF(D23="","",IFERROR(INDEX('Sản phẩm'!$B$5:$B$304,MATCH(D23,'Sản phẩm'!$A$5:$A$304,0)),""))</f>
        <v/>
      </c>
      <c r="F23" s="12" t="n"/>
      <c r="G23" s="11" t="n"/>
      <c r="H23" s="11" t="n"/>
      <c r="I23" s="16">
        <f>IF(D23="","",IF(G23&lt;&gt;"",G23,IFERROR(INDEX('Sản phẩm'!$E$5:$E$304,MATCH(D23,'Sản phẩm'!$A$5:$A$304,0)),"")))</f>
        <v/>
      </c>
      <c r="J23" s="16">
        <f>IF(OR(D23="",F23=""),"",F23*I23-N(H23))</f>
        <v/>
      </c>
      <c r="K23" s="16">
        <f>IF(OR(D23="",F23=""),"",F23*IFERROR(INDEX('Sản phẩm'!$D$5:$D$304,MATCH(D23,'Sản phẩm'!$A$5:$A$304,0)),""))</f>
        <v/>
      </c>
      <c r="L23" s="16">
        <f>IF(J23="","",J23-K23)</f>
        <v/>
      </c>
      <c r="M23" s="14">
        <f>IF(A23="","",MONTH(A23))</f>
        <v/>
      </c>
      <c r="N23" s="14">
        <f>IF(A23="","",YEAR(A23))</f>
        <v/>
      </c>
    </row>
    <row r="24">
      <c r="A24" s="15" t="n"/>
      <c r="B24" s="10" t="n"/>
      <c r="C24" s="10" t="n"/>
      <c r="D24" s="10" t="n"/>
      <c r="E24" s="14">
        <f>IF(D24="","",IFERROR(INDEX('Sản phẩm'!$B$5:$B$304,MATCH(D24,'Sản phẩm'!$A$5:$A$304,0)),""))</f>
        <v/>
      </c>
      <c r="F24" s="12" t="n"/>
      <c r="G24" s="11" t="n"/>
      <c r="H24" s="11" t="n"/>
      <c r="I24" s="16">
        <f>IF(D24="","",IF(G24&lt;&gt;"",G24,IFERROR(INDEX('Sản phẩm'!$E$5:$E$304,MATCH(D24,'Sản phẩm'!$A$5:$A$304,0)),"")))</f>
        <v/>
      </c>
      <c r="J24" s="16">
        <f>IF(OR(D24="",F24=""),"",F24*I24-N(H24))</f>
        <v/>
      </c>
      <c r="K24" s="16">
        <f>IF(OR(D24="",F24=""),"",F24*IFERROR(INDEX('Sản phẩm'!$D$5:$D$304,MATCH(D24,'Sản phẩm'!$A$5:$A$304,0)),""))</f>
        <v/>
      </c>
      <c r="L24" s="16">
        <f>IF(J24="","",J24-K24)</f>
        <v/>
      </c>
      <c r="M24" s="14">
        <f>IF(A24="","",MONTH(A24))</f>
        <v/>
      </c>
      <c r="N24" s="14">
        <f>IF(A24="","",YEAR(A24))</f>
        <v/>
      </c>
    </row>
    <row r="25">
      <c r="A25" s="15" t="n"/>
      <c r="B25" s="10" t="n"/>
      <c r="C25" s="10" t="n"/>
      <c r="D25" s="10" t="n"/>
      <c r="E25" s="14">
        <f>IF(D25="","",IFERROR(INDEX('Sản phẩm'!$B$5:$B$304,MATCH(D25,'Sản phẩm'!$A$5:$A$304,0)),""))</f>
        <v/>
      </c>
      <c r="F25" s="12" t="n"/>
      <c r="G25" s="11" t="n"/>
      <c r="H25" s="11" t="n"/>
      <c r="I25" s="16">
        <f>IF(D25="","",IF(G25&lt;&gt;"",G25,IFERROR(INDEX('Sản phẩm'!$E$5:$E$304,MATCH(D25,'Sản phẩm'!$A$5:$A$304,0)),"")))</f>
        <v/>
      </c>
      <c r="J25" s="16">
        <f>IF(OR(D25="",F25=""),"",F25*I25-N(H25))</f>
        <v/>
      </c>
      <c r="K25" s="16">
        <f>IF(OR(D25="",F25=""),"",F25*IFERROR(INDEX('Sản phẩm'!$D$5:$D$304,MATCH(D25,'Sản phẩm'!$A$5:$A$304,0)),""))</f>
        <v/>
      </c>
      <c r="L25" s="16">
        <f>IF(J25="","",J25-K25)</f>
        <v/>
      </c>
      <c r="M25" s="14">
        <f>IF(A25="","",MONTH(A25))</f>
        <v/>
      </c>
      <c r="N25" s="14">
        <f>IF(A25="","",YEAR(A25))</f>
        <v/>
      </c>
    </row>
    <row r="26">
      <c r="A26" s="15" t="n"/>
      <c r="B26" s="10" t="n"/>
      <c r="C26" s="10" t="n"/>
      <c r="D26" s="10" t="n"/>
      <c r="E26" s="14">
        <f>IF(D26="","",IFERROR(INDEX('Sản phẩm'!$B$5:$B$304,MATCH(D26,'Sản phẩm'!$A$5:$A$304,0)),""))</f>
        <v/>
      </c>
      <c r="F26" s="12" t="n"/>
      <c r="G26" s="11" t="n"/>
      <c r="H26" s="11" t="n"/>
      <c r="I26" s="16">
        <f>IF(D26="","",IF(G26&lt;&gt;"",G26,IFERROR(INDEX('Sản phẩm'!$E$5:$E$304,MATCH(D26,'Sản phẩm'!$A$5:$A$304,0)),"")))</f>
        <v/>
      </c>
      <c r="J26" s="16">
        <f>IF(OR(D26="",F26=""),"",F26*I26-N(H26))</f>
        <v/>
      </c>
      <c r="K26" s="16">
        <f>IF(OR(D26="",F26=""),"",F26*IFERROR(INDEX('Sản phẩm'!$D$5:$D$304,MATCH(D26,'Sản phẩm'!$A$5:$A$304,0)),""))</f>
        <v/>
      </c>
      <c r="L26" s="16">
        <f>IF(J26="","",J26-K26)</f>
        <v/>
      </c>
      <c r="M26" s="14">
        <f>IF(A26="","",MONTH(A26))</f>
        <v/>
      </c>
      <c r="N26" s="14">
        <f>IF(A26="","",YEAR(A26))</f>
        <v/>
      </c>
    </row>
    <row r="27">
      <c r="A27" s="15" t="n"/>
      <c r="B27" s="10" t="n"/>
      <c r="C27" s="10" t="n"/>
      <c r="D27" s="10" t="n"/>
      <c r="E27" s="14">
        <f>IF(D27="","",IFERROR(INDEX('Sản phẩm'!$B$5:$B$304,MATCH(D27,'Sản phẩm'!$A$5:$A$304,0)),""))</f>
        <v/>
      </c>
      <c r="F27" s="12" t="n"/>
      <c r="G27" s="11" t="n"/>
      <c r="H27" s="11" t="n"/>
      <c r="I27" s="16">
        <f>IF(D27="","",IF(G27&lt;&gt;"",G27,IFERROR(INDEX('Sản phẩm'!$E$5:$E$304,MATCH(D27,'Sản phẩm'!$A$5:$A$304,0)),"")))</f>
        <v/>
      </c>
      <c r="J27" s="16">
        <f>IF(OR(D27="",F27=""),"",F27*I27-N(H27))</f>
        <v/>
      </c>
      <c r="K27" s="16">
        <f>IF(OR(D27="",F27=""),"",F27*IFERROR(INDEX('Sản phẩm'!$D$5:$D$304,MATCH(D27,'Sản phẩm'!$A$5:$A$304,0)),""))</f>
        <v/>
      </c>
      <c r="L27" s="16">
        <f>IF(J27="","",J27-K27)</f>
        <v/>
      </c>
      <c r="M27" s="14">
        <f>IF(A27="","",MONTH(A27))</f>
        <v/>
      </c>
      <c r="N27" s="14">
        <f>IF(A27="","",YEAR(A27))</f>
        <v/>
      </c>
    </row>
    <row r="28">
      <c r="A28" s="15" t="n"/>
      <c r="B28" s="10" t="n"/>
      <c r="C28" s="10" t="n"/>
      <c r="D28" s="10" t="n"/>
      <c r="E28" s="14">
        <f>IF(D28="","",IFERROR(INDEX('Sản phẩm'!$B$5:$B$304,MATCH(D28,'Sản phẩm'!$A$5:$A$304,0)),""))</f>
        <v/>
      </c>
      <c r="F28" s="12" t="n"/>
      <c r="G28" s="11" t="n"/>
      <c r="H28" s="11" t="n"/>
      <c r="I28" s="16">
        <f>IF(D28="","",IF(G28&lt;&gt;"",G28,IFERROR(INDEX('Sản phẩm'!$E$5:$E$304,MATCH(D28,'Sản phẩm'!$A$5:$A$304,0)),"")))</f>
        <v/>
      </c>
      <c r="J28" s="16">
        <f>IF(OR(D28="",F28=""),"",F28*I28-N(H28))</f>
        <v/>
      </c>
      <c r="K28" s="16">
        <f>IF(OR(D28="",F28=""),"",F28*IFERROR(INDEX('Sản phẩm'!$D$5:$D$304,MATCH(D28,'Sản phẩm'!$A$5:$A$304,0)),""))</f>
        <v/>
      </c>
      <c r="L28" s="16">
        <f>IF(J28="","",J28-K28)</f>
        <v/>
      </c>
      <c r="M28" s="14">
        <f>IF(A28="","",MONTH(A28))</f>
        <v/>
      </c>
      <c r="N28" s="14">
        <f>IF(A28="","",YEAR(A28))</f>
        <v/>
      </c>
    </row>
    <row r="29">
      <c r="A29" s="15" t="n"/>
      <c r="B29" s="10" t="n"/>
      <c r="C29" s="10" t="n"/>
      <c r="D29" s="10" t="n"/>
      <c r="E29" s="14">
        <f>IF(D29="","",IFERROR(INDEX('Sản phẩm'!$B$5:$B$304,MATCH(D29,'Sản phẩm'!$A$5:$A$304,0)),""))</f>
        <v/>
      </c>
      <c r="F29" s="12" t="n"/>
      <c r="G29" s="11" t="n"/>
      <c r="H29" s="11" t="n"/>
      <c r="I29" s="16">
        <f>IF(D29="","",IF(G29&lt;&gt;"",G29,IFERROR(INDEX('Sản phẩm'!$E$5:$E$304,MATCH(D29,'Sản phẩm'!$A$5:$A$304,0)),"")))</f>
        <v/>
      </c>
      <c r="J29" s="16">
        <f>IF(OR(D29="",F29=""),"",F29*I29-N(H29))</f>
        <v/>
      </c>
      <c r="K29" s="16">
        <f>IF(OR(D29="",F29=""),"",F29*IFERROR(INDEX('Sản phẩm'!$D$5:$D$304,MATCH(D29,'Sản phẩm'!$A$5:$A$304,0)),""))</f>
        <v/>
      </c>
      <c r="L29" s="16">
        <f>IF(J29="","",J29-K29)</f>
        <v/>
      </c>
      <c r="M29" s="14">
        <f>IF(A29="","",MONTH(A29))</f>
        <v/>
      </c>
      <c r="N29" s="14">
        <f>IF(A29="","",YEAR(A29))</f>
        <v/>
      </c>
    </row>
    <row r="30">
      <c r="A30" s="15" t="n"/>
      <c r="B30" s="10" t="n"/>
      <c r="C30" s="10" t="n"/>
      <c r="D30" s="10" t="n"/>
      <c r="E30" s="14">
        <f>IF(D30="","",IFERROR(INDEX('Sản phẩm'!$B$5:$B$304,MATCH(D30,'Sản phẩm'!$A$5:$A$304,0)),""))</f>
        <v/>
      </c>
      <c r="F30" s="12" t="n"/>
      <c r="G30" s="11" t="n"/>
      <c r="H30" s="11" t="n"/>
      <c r="I30" s="16">
        <f>IF(D30="","",IF(G30&lt;&gt;"",G30,IFERROR(INDEX('Sản phẩm'!$E$5:$E$304,MATCH(D30,'Sản phẩm'!$A$5:$A$304,0)),"")))</f>
        <v/>
      </c>
      <c r="J30" s="16">
        <f>IF(OR(D30="",F30=""),"",F30*I30-N(H30))</f>
        <v/>
      </c>
      <c r="K30" s="16">
        <f>IF(OR(D30="",F30=""),"",F30*IFERROR(INDEX('Sản phẩm'!$D$5:$D$304,MATCH(D30,'Sản phẩm'!$A$5:$A$304,0)),""))</f>
        <v/>
      </c>
      <c r="L30" s="16">
        <f>IF(J30="","",J30-K30)</f>
        <v/>
      </c>
      <c r="M30" s="14">
        <f>IF(A30="","",MONTH(A30))</f>
        <v/>
      </c>
      <c r="N30" s="14">
        <f>IF(A30="","",YEAR(A30))</f>
        <v/>
      </c>
    </row>
    <row r="31">
      <c r="A31" s="15" t="n"/>
      <c r="B31" s="10" t="n"/>
      <c r="C31" s="10" t="n"/>
      <c r="D31" s="10" t="n"/>
      <c r="E31" s="14">
        <f>IF(D31="","",IFERROR(INDEX('Sản phẩm'!$B$5:$B$304,MATCH(D31,'Sản phẩm'!$A$5:$A$304,0)),""))</f>
        <v/>
      </c>
      <c r="F31" s="12" t="n"/>
      <c r="G31" s="11" t="n"/>
      <c r="H31" s="11" t="n"/>
      <c r="I31" s="16">
        <f>IF(D31="","",IF(G31&lt;&gt;"",G31,IFERROR(INDEX('Sản phẩm'!$E$5:$E$304,MATCH(D31,'Sản phẩm'!$A$5:$A$304,0)),"")))</f>
        <v/>
      </c>
      <c r="J31" s="16">
        <f>IF(OR(D31="",F31=""),"",F31*I31-N(H31))</f>
        <v/>
      </c>
      <c r="K31" s="16">
        <f>IF(OR(D31="",F31=""),"",F31*IFERROR(INDEX('Sản phẩm'!$D$5:$D$304,MATCH(D31,'Sản phẩm'!$A$5:$A$304,0)),""))</f>
        <v/>
      </c>
      <c r="L31" s="16">
        <f>IF(J31="","",J31-K31)</f>
        <v/>
      </c>
      <c r="M31" s="14">
        <f>IF(A31="","",MONTH(A31))</f>
        <v/>
      </c>
      <c r="N31" s="14">
        <f>IF(A31="","",YEAR(A31))</f>
        <v/>
      </c>
    </row>
    <row r="32">
      <c r="A32" s="15" t="n"/>
      <c r="B32" s="10" t="n"/>
      <c r="C32" s="10" t="n"/>
      <c r="D32" s="10" t="n"/>
      <c r="E32" s="14">
        <f>IF(D32="","",IFERROR(INDEX('Sản phẩm'!$B$5:$B$304,MATCH(D32,'Sản phẩm'!$A$5:$A$304,0)),""))</f>
        <v/>
      </c>
      <c r="F32" s="12" t="n"/>
      <c r="G32" s="11" t="n"/>
      <c r="H32" s="11" t="n"/>
      <c r="I32" s="16">
        <f>IF(D32="","",IF(G32&lt;&gt;"",G32,IFERROR(INDEX('Sản phẩm'!$E$5:$E$304,MATCH(D32,'Sản phẩm'!$A$5:$A$304,0)),"")))</f>
        <v/>
      </c>
      <c r="J32" s="16">
        <f>IF(OR(D32="",F32=""),"",F32*I32-N(H32))</f>
        <v/>
      </c>
      <c r="K32" s="16">
        <f>IF(OR(D32="",F32=""),"",F32*IFERROR(INDEX('Sản phẩm'!$D$5:$D$304,MATCH(D32,'Sản phẩm'!$A$5:$A$304,0)),""))</f>
        <v/>
      </c>
      <c r="L32" s="16">
        <f>IF(J32="","",J32-K32)</f>
        <v/>
      </c>
      <c r="M32" s="14">
        <f>IF(A32="","",MONTH(A32))</f>
        <v/>
      </c>
      <c r="N32" s="14">
        <f>IF(A32="","",YEAR(A32))</f>
        <v/>
      </c>
    </row>
    <row r="33">
      <c r="A33" s="15" t="n"/>
      <c r="B33" s="10" t="n"/>
      <c r="C33" s="10" t="n"/>
      <c r="D33" s="10" t="n"/>
      <c r="E33" s="14">
        <f>IF(D33="","",IFERROR(INDEX('Sản phẩm'!$B$5:$B$304,MATCH(D33,'Sản phẩm'!$A$5:$A$304,0)),""))</f>
        <v/>
      </c>
      <c r="F33" s="12" t="n"/>
      <c r="G33" s="11" t="n"/>
      <c r="H33" s="11" t="n"/>
      <c r="I33" s="16">
        <f>IF(D33="","",IF(G33&lt;&gt;"",G33,IFERROR(INDEX('Sản phẩm'!$E$5:$E$304,MATCH(D33,'Sản phẩm'!$A$5:$A$304,0)),"")))</f>
        <v/>
      </c>
      <c r="J33" s="16">
        <f>IF(OR(D33="",F33=""),"",F33*I33-N(H33))</f>
        <v/>
      </c>
      <c r="K33" s="16">
        <f>IF(OR(D33="",F33=""),"",F33*IFERROR(INDEX('Sản phẩm'!$D$5:$D$304,MATCH(D33,'Sản phẩm'!$A$5:$A$304,0)),""))</f>
        <v/>
      </c>
      <c r="L33" s="16">
        <f>IF(J33="","",J33-K33)</f>
        <v/>
      </c>
      <c r="M33" s="14">
        <f>IF(A33="","",MONTH(A33))</f>
        <v/>
      </c>
      <c r="N33" s="14">
        <f>IF(A33="","",YEAR(A33))</f>
        <v/>
      </c>
    </row>
    <row r="34">
      <c r="A34" s="15" t="n"/>
      <c r="B34" s="10" t="n"/>
      <c r="C34" s="10" t="n"/>
      <c r="D34" s="10" t="n"/>
      <c r="E34" s="14">
        <f>IF(D34="","",IFERROR(INDEX('Sản phẩm'!$B$5:$B$304,MATCH(D34,'Sản phẩm'!$A$5:$A$304,0)),""))</f>
        <v/>
      </c>
      <c r="F34" s="12" t="n"/>
      <c r="G34" s="11" t="n"/>
      <c r="H34" s="11" t="n"/>
      <c r="I34" s="16">
        <f>IF(D34="","",IF(G34&lt;&gt;"",G34,IFERROR(INDEX('Sản phẩm'!$E$5:$E$304,MATCH(D34,'Sản phẩm'!$A$5:$A$304,0)),"")))</f>
        <v/>
      </c>
      <c r="J34" s="16">
        <f>IF(OR(D34="",F34=""),"",F34*I34-N(H34))</f>
        <v/>
      </c>
      <c r="K34" s="16">
        <f>IF(OR(D34="",F34=""),"",F34*IFERROR(INDEX('Sản phẩm'!$D$5:$D$304,MATCH(D34,'Sản phẩm'!$A$5:$A$304,0)),""))</f>
        <v/>
      </c>
      <c r="L34" s="16">
        <f>IF(J34="","",J34-K34)</f>
        <v/>
      </c>
      <c r="M34" s="14">
        <f>IF(A34="","",MONTH(A34))</f>
        <v/>
      </c>
      <c r="N34" s="14">
        <f>IF(A34="","",YEAR(A34))</f>
        <v/>
      </c>
    </row>
    <row r="35">
      <c r="A35" s="15" t="n"/>
      <c r="B35" s="10" t="n"/>
      <c r="C35" s="10" t="n"/>
      <c r="D35" s="10" t="n"/>
      <c r="E35" s="14">
        <f>IF(D35="","",IFERROR(INDEX('Sản phẩm'!$B$5:$B$304,MATCH(D35,'Sản phẩm'!$A$5:$A$304,0)),""))</f>
        <v/>
      </c>
      <c r="F35" s="12" t="n"/>
      <c r="G35" s="11" t="n"/>
      <c r="H35" s="11" t="n"/>
      <c r="I35" s="16">
        <f>IF(D35="","",IF(G35&lt;&gt;"",G35,IFERROR(INDEX('Sản phẩm'!$E$5:$E$304,MATCH(D35,'Sản phẩm'!$A$5:$A$304,0)),"")))</f>
        <v/>
      </c>
      <c r="J35" s="16">
        <f>IF(OR(D35="",F35=""),"",F35*I35-N(H35))</f>
        <v/>
      </c>
      <c r="K35" s="16">
        <f>IF(OR(D35="",F35=""),"",F35*IFERROR(INDEX('Sản phẩm'!$D$5:$D$304,MATCH(D35,'Sản phẩm'!$A$5:$A$304,0)),""))</f>
        <v/>
      </c>
      <c r="L35" s="16">
        <f>IF(J35="","",J35-K35)</f>
        <v/>
      </c>
      <c r="M35" s="14">
        <f>IF(A35="","",MONTH(A35))</f>
        <v/>
      </c>
      <c r="N35" s="14">
        <f>IF(A35="","",YEAR(A35))</f>
        <v/>
      </c>
    </row>
    <row r="36">
      <c r="A36" s="15" t="n"/>
      <c r="B36" s="10" t="n"/>
      <c r="C36" s="10" t="n"/>
      <c r="D36" s="10" t="n"/>
      <c r="E36" s="14">
        <f>IF(D36="","",IFERROR(INDEX('Sản phẩm'!$B$5:$B$304,MATCH(D36,'Sản phẩm'!$A$5:$A$304,0)),""))</f>
        <v/>
      </c>
      <c r="F36" s="12" t="n"/>
      <c r="G36" s="11" t="n"/>
      <c r="H36" s="11" t="n"/>
      <c r="I36" s="16">
        <f>IF(D36="","",IF(G36&lt;&gt;"",G36,IFERROR(INDEX('Sản phẩm'!$E$5:$E$304,MATCH(D36,'Sản phẩm'!$A$5:$A$304,0)),"")))</f>
        <v/>
      </c>
      <c r="J36" s="16">
        <f>IF(OR(D36="",F36=""),"",F36*I36-N(H36))</f>
        <v/>
      </c>
      <c r="K36" s="16">
        <f>IF(OR(D36="",F36=""),"",F36*IFERROR(INDEX('Sản phẩm'!$D$5:$D$304,MATCH(D36,'Sản phẩm'!$A$5:$A$304,0)),""))</f>
        <v/>
      </c>
      <c r="L36" s="16">
        <f>IF(J36="","",J36-K36)</f>
        <v/>
      </c>
      <c r="M36" s="14">
        <f>IF(A36="","",MONTH(A36))</f>
        <v/>
      </c>
      <c r="N36" s="14">
        <f>IF(A36="","",YEAR(A36))</f>
        <v/>
      </c>
    </row>
    <row r="37">
      <c r="A37" s="15" t="n"/>
      <c r="B37" s="10" t="n"/>
      <c r="C37" s="10" t="n"/>
      <c r="D37" s="10" t="n"/>
      <c r="E37" s="14">
        <f>IF(D37="","",IFERROR(INDEX('Sản phẩm'!$B$5:$B$304,MATCH(D37,'Sản phẩm'!$A$5:$A$304,0)),""))</f>
        <v/>
      </c>
      <c r="F37" s="12" t="n"/>
      <c r="G37" s="11" t="n"/>
      <c r="H37" s="11" t="n"/>
      <c r="I37" s="16">
        <f>IF(D37="","",IF(G37&lt;&gt;"",G37,IFERROR(INDEX('Sản phẩm'!$E$5:$E$304,MATCH(D37,'Sản phẩm'!$A$5:$A$304,0)),"")))</f>
        <v/>
      </c>
      <c r="J37" s="16">
        <f>IF(OR(D37="",F37=""),"",F37*I37-N(H37))</f>
        <v/>
      </c>
      <c r="K37" s="16">
        <f>IF(OR(D37="",F37=""),"",F37*IFERROR(INDEX('Sản phẩm'!$D$5:$D$304,MATCH(D37,'Sản phẩm'!$A$5:$A$304,0)),""))</f>
        <v/>
      </c>
      <c r="L37" s="16">
        <f>IF(J37="","",J37-K37)</f>
        <v/>
      </c>
      <c r="M37" s="14">
        <f>IF(A37="","",MONTH(A37))</f>
        <v/>
      </c>
      <c r="N37" s="14">
        <f>IF(A37="","",YEAR(A37))</f>
        <v/>
      </c>
    </row>
    <row r="38">
      <c r="A38" s="15" t="n"/>
      <c r="B38" s="10" t="n"/>
      <c r="C38" s="10" t="n"/>
      <c r="D38" s="10" t="n"/>
      <c r="E38" s="14">
        <f>IF(D38="","",IFERROR(INDEX('Sản phẩm'!$B$5:$B$304,MATCH(D38,'Sản phẩm'!$A$5:$A$304,0)),""))</f>
        <v/>
      </c>
      <c r="F38" s="12" t="n"/>
      <c r="G38" s="11" t="n"/>
      <c r="H38" s="11" t="n"/>
      <c r="I38" s="16">
        <f>IF(D38="","",IF(G38&lt;&gt;"",G38,IFERROR(INDEX('Sản phẩm'!$E$5:$E$304,MATCH(D38,'Sản phẩm'!$A$5:$A$304,0)),"")))</f>
        <v/>
      </c>
      <c r="J38" s="16">
        <f>IF(OR(D38="",F38=""),"",F38*I38-N(H38))</f>
        <v/>
      </c>
      <c r="K38" s="16">
        <f>IF(OR(D38="",F38=""),"",F38*IFERROR(INDEX('Sản phẩm'!$D$5:$D$304,MATCH(D38,'Sản phẩm'!$A$5:$A$304,0)),""))</f>
        <v/>
      </c>
      <c r="L38" s="16">
        <f>IF(J38="","",J38-K38)</f>
        <v/>
      </c>
      <c r="M38" s="14">
        <f>IF(A38="","",MONTH(A38))</f>
        <v/>
      </c>
      <c r="N38" s="14">
        <f>IF(A38="","",YEAR(A38))</f>
        <v/>
      </c>
    </row>
    <row r="39">
      <c r="A39" s="15" t="n"/>
      <c r="B39" s="10" t="n"/>
      <c r="C39" s="10" t="n"/>
      <c r="D39" s="10" t="n"/>
      <c r="E39" s="14">
        <f>IF(D39="","",IFERROR(INDEX('Sản phẩm'!$B$5:$B$304,MATCH(D39,'Sản phẩm'!$A$5:$A$304,0)),""))</f>
        <v/>
      </c>
      <c r="F39" s="12" t="n"/>
      <c r="G39" s="11" t="n"/>
      <c r="H39" s="11" t="n"/>
      <c r="I39" s="16">
        <f>IF(D39="","",IF(G39&lt;&gt;"",G39,IFERROR(INDEX('Sản phẩm'!$E$5:$E$304,MATCH(D39,'Sản phẩm'!$A$5:$A$304,0)),"")))</f>
        <v/>
      </c>
      <c r="J39" s="16">
        <f>IF(OR(D39="",F39=""),"",F39*I39-N(H39))</f>
        <v/>
      </c>
      <c r="K39" s="16">
        <f>IF(OR(D39="",F39=""),"",F39*IFERROR(INDEX('Sản phẩm'!$D$5:$D$304,MATCH(D39,'Sản phẩm'!$A$5:$A$304,0)),""))</f>
        <v/>
      </c>
      <c r="L39" s="16">
        <f>IF(J39="","",J39-K39)</f>
        <v/>
      </c>
      <c r="M39" s="14">
        <f>IF(A39="","",MONTH(A39))</f>
        <v/>
      </c>
      <c r="N39" s="14">
        <f>IF(A39="","",YEAR(A39))</f>
        <v/>
      </c>
    </row>
    <row r="40">
      <c r="A40" s="15" t="n"/>
      <c r="B40" s="10" t="n"/>
      <c r="C40" s="10" t="n"/>
      <c r="D40" s="10" t="n"/>
      <c r="E40" s="14">
        <f>IF(D40="","",IFERROR(INDEX('Sản phẩm'!$B$5:$B$304,MATCH(D40,'Sản phẩm'!$A$5:$A$304,0)),""))</f>
        <v/>
      </c>
      <c r="F40" s="12" t="n"/>
      <c r="G40" s="11" t="n"/>
      <c r="H40" s="11" t="n"/>
      <c r="I40" s="16">
        <f>IF(D40="","",IF(G40&lt;&gt;"",G40,IFERROR(INDEX('Sản phẩm'!$E$5:$E$304,MATCH(D40,'Sản phẩm'!$A$5:$A$304,0)),"")))</f>
        <v/>
      </c>
      <c r="J40" s="16">
        <f>IF(OR(D40="",F40=""),"",F40*I40-N(H40))</f>
        <v/>
      </c>
      <c r="K40" s="16">
        <f>IF(OR(D40="",F40=""),"",F40*IFERROR(INDEX('Sản phẩm'!$D$5:$D$304,MATCH(D40,'Sản phẩm'!$A$5:$A$304,0)),""))</f>
        <v/>
      </c>
      <c r="L40" s="16">
        <f>IF(J40="","",J40-K40)</f>
        <v/>
      </c>
      <c r="M40" s="14">
        <f>IF(A40="","",MONTH(A40))</f>
        <v/>
      </c>
      <c r="N40" s="14">
        <f>IF(A40="","",YEAR(A40))</f>
        <v/>
      </c>
    </row>
    <row r="41">
      <c r="A41" s="15" t="n"/>
      <c r="B41" s="10" t="n"/>
      <c r="C41" s="10" t="n"/>
      <c r="D41" s="10" t="n"/>
      <c r="E41" s="14">
        <f>IF(D41="","",IFERROR(INDEX('Sản phẩm'!$B$5:$B$304,MATCH(D41,'Sản phẩm'!$A$5:$A$304,0)),""))</f>
        <v/>
      </c>
      <c r="F41" s="12" t="n"/>
      <c r="G41" s="11" t="n"/>
      <c r="H41" s="11" t="n"/>
      <c r="I41" s="16">
        <f>IF(D41="","",IF(G41&lt;&gt;"",G41,IFERROR(INDEX('Sản phẩm'!$E$5:$E$304,MATCH(D41,'Sản phẩm'!$A$5:$A$304,0)),"")))</f>
        <v/>
      </c>
      <c r="J41" s="16">
        <f>IF(OR(D41="",F41=""),"",F41*I41-N(H41))</f>
        <v/>
      </c>
      <c r="K41" s="16">
        <f>IF(OR(D41="",F41=""),"",F41*IFERROR(INDEX('Sản phẩm'!$D$5:$D$304,MATCH(D41,'Sản phẩm'!$A$5:$A$304,0)),""))</f>
        <v/>
      </c>
      <c r="L41" s="16">
        <f>IF(J41="","",J41-K41)</f>
        <v/>
      </c>
      <c r="M41" s="14">
        <f>IF(A41="","",MONTH(A41))</f>
        <v/>
      </c>
      <c r="N41" s="14">
        <f>IF(A41="","",YEAR(A41))</f>
        <v/>
      </c>
    </row>
    <row r="42">
      <c r="A42" s="15" t="n"/>
      <c r="B42" s="10" t="n"/>
      <c r="C42" s="10" t="n"/>
      <c r="D42" s="10" t="n"/>
      <c r="E42" s="14">
        <f>IF(D42="","",IFERROR(INDEX('Sản phẩm'!$B$5:$B$304,MATCH(D42,'Sản phẩm'!$A$5:$A$304,0)),""))</f>
        <v/>
      </c>
      <c r="F42" s="12" t="n"/>
      <c r="G42" s="11" t="n"/>
      <c r="H42" s="11" t="n"/>
      <c r="I42" s="16">
        <f>IF(D42="","",IF(G42&lt;&gt;"",G42,IFERROR(INDEX('Sản phẩm'!$E$5:$E$304,MATCH(D42,'Sản phẩm'!$A$5:$A$304,0)),"")))</f>
        <v/>
      </c>
      <c r="J42" s="16">
        <f>IF(OR(D42="",F42=""),"",F42*I42-N(H42))</f>
        <v/>
      </c>
      <c r="K42" s="16">
        <f>IF(OR(D42="",F42=""),"",F42*IFERROR(INDEX('Sản phẩm'!$D$5:$D$304,MATCH(D42,'Sản phẩm'!$A$5:$A$304,0)),""))</f>
        <v/>
      </c>
      <c r="L42" s="16">
        <f>IF(J42="","",J42-K42)</f>
        <v/>
      </c>
      <c r="M42" s="14">
        <f>IF(A42="","",MONTH(A42))</f>
        <v/>
      </c>
      <c r="N42" s="14">
        <f>IF(A42="","",YEAR(A42))</f>
        <v/>
      </c>
    </row>
    <row r="43">
      <c r="A43" s="15" t="n"/>
      <c r="B43" s="10" t="n"/>
      <c r="C43" s="10" t="n"/>
      <c r="D43" s="10" t="n"/>
      <c r="E43" s="14">
        <f>IF(D43="","",IFERROR(INDEX('Sản phẩm'!$B$5:$B$304,MATCH(D43,'Sản phẩm'!$A$5:$A$304,0)),""))</f>
        <v/>
      </c>
      <c r="F43" s="12" t="n"/>
      <c r="G43" s="11" t="n"/>
      <c r="H43" s="11" t="n"/>
      <c r="I43" s="16">
        <f>IF(D43="","",IF(G43&lt;&gt;"",G43,IFERROR(INDEX('Sản phẩm'!$E$5:$E$304,MATCH(D43,'Sản phẩm'!$A$5:$A$304,0)),"")))</f>
        <v/>
      </c>
      <c r="J43" s="16">
        <f>IF(OR(D43="",F43=""),"",F43*I43-N(H43))</f>
        <v/>
      </c>
      <c r="K43" s="16">
        <f>IF(OR(D43="",F43=""),"",F43*IFERROR(INDEX('Sản phẩm'!$D$5:$D$304,MATCH(D43,'Sản phẩm'!$A$5:$A$304,0)),""))</f>
        <v/>
      </c>
      <c r="L43" s="16">
        <f>IF(J43="","",J43-K43)</f>
        <v/>
      </c>
      <c r="M43" s="14">
        <f>IF(A43="","",MONTH(A43))</f>
        <v/>
      </c>
      <c r="N43" s="14">
        <f>IF(A43="","",YEAR(A43))</f>
        <v/>
      </c>
    </row>
    <row r="44">
      <c r="A44" s="15" t="n"/>
      <c r="B44" s="10" t="n"/>
      <c r="C44" s="10" t="n"/>
      <c r="D44" s="10" t="n"/>
      <c r="E44" s="14">
        <f>IF(D44="","",IFERROR(INDEX('Sản phẩm'!$B$5:$B$304,MATCH(D44,'Sản phẩm'!$A$5:$A$304,0)),""))</f>
        <v/>
      </c>
      <c r="F44" s="12" t="n"/>
      <c r="G44" s="11" t="n"/>
      <c r="H44" s="11" t="n"/>
      <c r="I44" s="16">
        <f>IF(D44="","",IF(G44&lt;&gt;"",G44,IFERROR(INDEX('Sản phẩm'!$E$5:$E$304,MATCH(D44,'Sản phẩm'!$A$5:$A$304,0)),"")))</f>
        <v/>
      </c>
      <c r="J44" s="16">
        <f>IF(OR(D44="",F44=""),"",F44*I44-N(H44))</f>
        <v/>
      </c>
      <c r="K44" s="16">
        <f>IF(OR(D44="",F44=""),"",F44*IFERROR(INDEX('Sản phẩm'!$D$5:$D$304,MATCH(D44,'Sản phẩm'!$A$5:$A$304,0)),""))</f>
        <v/>
      </c>
      <c r="L44" s="16">
        <f>IF(J44="","",J44-K44)</f>
        <v/>
      </c>
      <c r="M44" s="14">
        <f>IF(A44="","",MONTH(A44))</f>
        <v/>
      </c>
      <c r="N44" s="14">
        <f>IF(A44="","",YEAR(A44))</f>
        <v/>
      </c>
    </row>
    <row r="45">
      <c r="A45" s="15" t="n"/>
      <c r="B45" s="10" t="n"/>
      <c r="C45" s="10" t="n"/>
      <c r="D45" s="10" t="n"/>
      <c r="E45" s="14">
        <f>IF(D45="","",IFERROR(INDEX('Sản phẩm'!$B$5:$B$304,MATCH(D45,'Sản phẩm'!$A$5:$A$304,0)),""))</f>
        <v/>
      </c>
      <c r="F45" s="12" t="n"/>
      <c r="G45" s="11" t="n"/>
      <c r="H45" s="11" t="n"/>
      <c r="I45" s="16">
        <f>IF(D45="","",IF(G45&lt;&gt;"",G45,IFERROR(INDEX('Sản phẩm'!$E$5:$E$304,MATCH(D45,'Sản phẩm'!$A$5:$A$304,0)),"")))</f>
        <v/>
      </c>
      <c r="J45" s="16">
        <f>IF(OR(D45="",F45=""),"",F45*I45-N(H45))</f>
        <v/>
      </c>
      <c r="K45" s="16">
        <f>IF(OR(D45="",F45=""),"",F45*IFERROR(INDEX('Sản phẩm'!$D$5:$D$304,MATCH(D45,'Sản phẩm'!$A$5:$A$304,0)),""))</f>
        <v/>
      </c>
      <c r="L45" s="16">
        <f>IF(J45="","",J45-K45)</f>
        <v/>
      </c>
      <c r="M45" s="14">
        <f>IF(A45="","",MONTH(A45))</f>
        <v/>
      </c>
      <c r="N45" s="14">
        <f>IF(A45="","",YEAR(A45))</f>
        <v/>
      </c>
    </row>
    <row r="46">
      <c r="A46" s="15" t="n"/>
      <c r="B46" s="10" t="n"/>
      <c r="C46" s="10" t="n"/>
      <c r="D46" s="10" t="n"/>
      <c r="E46" s="14">
        <f>IF(D46="","",IFERROR(INDEX('Sản phẩm'!$B$5:$B$304,MATCH(D46,'Sản phẩm'!$A$5:$A$304,0)),""))</f>
        <v/>
      </c>
      <c r="F46" s="12" t="n"/>
      <c r="G46" s="11" t="n"/>
      <c r="H46" s="11" t="n"/>
      <c r="I46" s="16">
        <f>IF(D46="","",IF(G46&lt;&gt;"",G46,IFERROR(INDEX('Sản phẩm'!$E$5:$E$304,MATCH(D46,'Sản phẩm'!$A$5:$A$304,0)),"")))</f>
        <v/>
      </c>
      <c r="J46" s="16">
        <f>IF(OR(D46="",F46=""),"",F46*I46-N(H46))</f>
        <v/>
      </c>
      <c r="K46" s="16">
        <f>IF(OR(D46="",F46=""),"",F46*IFERROR(INDEX('Sản phẩm'!$D$5:$D$304,MATCH(D46,'Sản phẩm'!$A$5:$A$304,0)),""))</f>
        <v/>
      </c>
      <c r="L46" s="16">
        <f>IF(J46="","",J46-K46)</f>
        <v/>
      </c>
      <c r="M46" s="14">
        <f>IF(A46="","",MONTH(A46))</f>
        <v/>
      </c>
      <c r="N46" s="14">
        <f>IF(A46="","",YEAR(A46))</f>
        <v/>
      </c>
    </row>
    <row r="47">
      <c r="A47" s="15" t="n"/>
      <c r="B47" s="10" t="n"/>
      <c r="C47" s="10" t="n"/>
      <c r="D47" s="10" t="n"/>
      <c r="E47" s="14">
        <f>IF(D47="","",IFERROR(INDEX('Sản phẩm'!$B$5:$B$304,MATCH(D47,'Sản phẩm'!$A$5:$A$304,0)),""))</f>
        <v/>
      </c>
      <c r="F47" s="12" t="n"/>
      <c r="G47" s="11" t="n"/>
      <c r="H47" s="11" t="n"/>
      <c r="I47" s="16">
        <f>IF(D47="","",IF(G47&lt;&gt;"",G47,IFERROR(INDEX('Sản phẩm'!$E$5:$E$304,MATCH(D47,'Sản phẩm'!$A$5:$A$304,0)),"")))</f>
        <v/>
      </c>
      <c r="J47" s="16">
        <f>IF(OR(D47="",F47=""),"",F47*I47-N(H47))</f>
        <v/>
      </c>
      <c r="K47" s="16">
        <f>IF(OR(D47="",F47=""),"",F47*IFERROR(INDEX('Sản phẩm'!$D$5:$D$304,MATCH(D47,'Sản phẩm'!$A$5:$A$304,0)),""))</f>
        <v/>
      </c>
      <c r="L47" s="16">
        <f>IF(J47="","",J47-K47)</f>
        <v/>
      </c>
      <c r="M47" s="14">
        <f>IF(A47="","",MONTH(A47))</f>
        <v/>
      </c>
      <c r="N47" s="14">
        <f>IF(A47="","",YEAR(A47))</f>
        <v/>
      </c>
    </row>
    <row r="48">
      <c r="A48" s="15" t="n"/>
      <c r="B48" s="10" t="n"/>
      <c r="C48" s="10" t="n"/>
      <c r="D48" s="10" t="n"/>
      <c r="E48" s="14">
        <f>IF(D48="","",IFERROR(INDEX('Sản phẩm'!$B$5:$B$304,MATCH(D48,'Sản phẩm'!$A$5:$A$304,0)),""))</f>
        <v/>
      </c>
      <c r="F48" s="12" t="n"/>
      <c r="G48" s="11" t="n"/>
      <c r="H48" s="11" t="n"/>
      <c r="I48" s="16">
        <f>IF(D48="","",IF(G48&lt;&gt;"",G48,IFERROR(INDEX('Sản phẩm'!$E$5:$E$304,MATCH(D48,'Sản phẩm'!$A$5:$A$304,0)),"")))</f>
        <v/>
      </c>
      <c r="J48" s="16">
        <f>IF(OR(D48="",F48=""),"",F48*I48-N(H48))</f>
        <v/>
      </c>
      <c r="K48" s="16">
        <f>IF(OR(D48="",F48=""),"",F48*IFERROR(INDEX('Sản phẩm'!$D$5:$D$304,MATCH(D48,'Sản phẩm'!$A$5:$A$304,0)),""))</f>
        <v/>
      </c>
      <c r="L48" s="16">
        <f>IF(J48="","",J48-K48)</f>
        <v/>
      </c>
      <c r="M48" s="14">
        <f>IF(A48="","",MONTH(A48))</f>
        <v/>
      </c>
      <c r="N48" s="14">
        <f>IF(A48="","",YEAR(A48))</f>
        <v/>
      </c>
    </row>
    <row r="49">
      <c r="A49" s="15" t="n"/>
      <c r="B49" s="10" t="n"/>
      <c r="C49" s="10" t="n"/>
      <c r="D49" s="10" t="n"/>
      <c r="E49" s="14">
        <f>IF(D49="","",IFERROR(INDEX('Sản phẩm'!$B$5:$B$304,MATCH(D49,'Sản phẩm'!$A$5:$A$304,0)),""))</f>
        <v/>
      </c>
      <c r="F49" s="12" t="n"/>
      <c r="G49" s="11" t="n"/>
      <c r="H49" s="11" t="n"/>
      <c r="I49" s="16">
        <f>IF(D49="","",IF(G49&lt;&gt;"",G49,IFERROR(INDEX('Sản phẩm'!$E$5:$E$304,MATCH(D49,'Sản phẩm'!$A$5:$A$304,0)),"")))</f>
        <v/>
      </c>
      <c r="J49" s="16">
        <f>IF(OR(D49="",F49=""),"",F49*I49-N(H49))</f>
        <v/>
      </c>
      <c r="K49" s="16">
        <f>IF(OR(D49="",F49=""),"",F49*IFERROR(INDEX('Sản phẩm'!$D$5:$D$304,MATCH(D49,'Sản phẩm'!$A$5:$A$304,0)),""))</f>
        <v/>
      </c>
      <c r="L49" s="16">
        <f>IF(J49="","",J49-K49)</f>
        <v/>
      </c>
      <c r="M49" s="14">
        <f>IF(A49="","",MONTH(A49))</f>
        <v/>
      </c>
      <c r="N49" s="14">
        <f>IF(A49="","",YEAR(A49))</f>
        <v/>
      </c>
    </row>
    <row r="50">
      <c r="A50" s="15" t="n"/>
      <c r="B50" s="10" t="n"/>
      <c r="C50" s="10" t="n"/>
      <c r="D50" s="10" t="n"/>
      <c r="E50" s="14">
        <f>IF(D50="","",IFERROR(INDEX('Sản phẩm'!$B$5:$B$304,MATCH(D50,'Sản phẩm'!$A$5:$A$304,0)),""))</f>
        <v/>
      </c>
      <c r="F50" s="12" t="n"/>
      <c r="G50" s="11" t="n"/>
      <c r="H50" s="11" t="n"/>
      <c r="I50" s="16">
        <f>IF(D50="","",IF(G50&lt;&gt;"",G50,IFERROR(INDEX('Sản phẩm'!$E$5:$E$304,MATCH(D50,'Sản phẩm'!$A$5:$A$304,0)),"")))</f>
        <v/>
      </c>
      <c r="J50" s="16">
        <f>IF(OR(D50="",F50=""),"",F50*I50-N(H50))</f>
        <v/>
      </c>
      <c r="K50" s="16">
        <f>IF(OR(D50="",F50=""),"",F50*IFERROR(INDEX('Sản phẩm'!$D$5:$D$304,MATCH(D50,'Sản phẩm'!$A$5:$A$304,0)),""))</f>
        <v/>
      </c>
      <c r="L50" s="16">
        <f>IF(J50="","",J50-K50)</f>
        <v/>
      </c>
      <c r="M50" s="14">
        <f>IF(A50="","",MONTH(A50))</f>
        <v/>
      </c>
      <c r="N50" s="14">
        <f>IF(A50="","",YEAR(A50))</f>
        <v/>
      </c>
    </row>
    <row r="51">
      <c r="A51" s="15" t="n"/>
      <c r="B51" s="10" t="n"/>
      <c r="C51" s="10" t="n"/>
      <c r="D51" s="10" t="n"/>
      <c r="E51" s="14">
        <f>IF(D51="","",IFERROR(INDEX('Sản phẩm'!$B$5:$B$304,MATCH(D51,'Sản phẩm'!$A$5:$A$304,0)),""))</f>
        <v/>
      </c>
      <c r="F51" s="12" t="n"/>
      <c r="G51" s="11" t="n"/>
      <c r="H51" s="11" t="n"/>
      <c r="I51" s="16">
        <f>IF(D51="","",IF(G51&lt;&gt;"",G51,IFERROR(INDEX('Sản phẩm'!$E$5:$E$304,MATCH(D51,'Sản phẩm'!$A$5:$A$304,0)),"")))</f>
        <v/>
      </c>
      <c r="J51" s="16">
        <f>IF(OR(D51="",F51=""),"",F51*I51-N(H51))</f>
        <v/>
      </c>
      <c r="K51" s="16">
        <f>IF(OR(D51="",F51=""),"",F51*IFERROR(INDEX('Sản phẩm'!$D$5:$D$304,MATCH(D51,'Sản phẩm'!$A$5:$A$304,0)),""))</f>
        <v/>
      </c>
      <c r="L51" s="16">
        <f>IF(J51="","",J51-K51)</f>
        <v/>
      </c>
      <c r="M51" s="14">
        <f>IF(A51="","",MONTH(A51))</f>
        <v/>
      </c>
      <c r="N51" s="14">
        <f>IF(A51="","",YEAR(A51))</f>
        <v/>
      </c>
    </row>
    <row r="52">
      <c r="A52" s="15" t="n"/>
      <c r="B52" s="10" t="n"/>
      <c r="C52" s="10" t="n"/>
      <c r="D52" s="10" t="n"/>
      <c r="E52" s="14">
        <f>IF(D52="","",IFERROR(INDEX('Sản phẩm'!$B$5:$B$304,MATCH(D52,'Sản phẩm'!$A$5:$A$304,0)),""))</f>
        <v/>
      </c>
      <c r="F52" s="12" t="n"/>
      <c r="G52" s="11" t="n"/>
      <c r="H52" s="11" t="n"/>
      <c r="I52" s="16">
        <f>IF(D52="","",IF(G52&lt;&gt;"",G52,IFERROR(INDEX('Sản phẩm'!$E$5:$E$304,MATCH(D52,'Sản phẩm'!$A$5:$A$304,0)),"")))</f>
        <v/>
      </c>
      <c r="J52" s="16">
        <f>IF(OR(D52="",F52=""),"",F52*I52-N(H52))</f>
        <v/>
      </c>
      <c r="K52" s="16">
        <f>IF(OR(D52="",F52=""),"",F52*IFERROR(INDEX('Sản phẩm'!$D$5:$D$304,MATCH(D52,'Sản phẩm'!$A$5:$A$304,0)),""))</f>
        <v/>
      </c>
      <c r="L52" s="16">
        <f>IF(J52="","",J52-K52)</f>
        <v/>
      </c>
      <c r="M52" s="14">
        <f>IF(A52="","",MONTH(A52))</f>
        <v/>
      </c>
      <c r="N52" s="14">
        <f>IF(A52="","",YEAR(A52))</f>
        <v/>
      </c>
    </row>
    <row r="53">
      <c r="A53" s="15" t="n"/>
      <c r="B53" s="10" t="n"/>
      <c r="C53" s="10" t="n"/>
      <c r="D53" s="10" t="n"/>
      <c r="E53" s="14">
        <f>IF(D53="","",IFERROR(INDEX('Sản phẩm'!$B$5:$B$304,MATCH(D53,'Sản phẩm'!$A$5:$A$304,0)),""))</f>
        <v/>
      </c>
      <c r="F53" s="12" t="n"/>
      <c r="G53" s="11" t="n"/>
      <c r="H53" s="11" t="n"/>
      <c r="I53" s="16">
        <f>IF(D53="","",IF(G53&lt;&gt;"",G53,IFERROR(INDEX('Sản phẩm'!$E$5:$E$304,MATCH(D53,'Sản phẩm'!$A$5:$A$304,0)),"")))</f>
        <v/>
      </c>
      <c r="J53" s="16">
        <f>IF(OR(D53="",F53=""),"",F53*I53-N(H53))</f>
        <v/>
      </c>
      <c r="K53" s="16">
        <f>IF(OR(D53="",F53=""),"",F53*IFERROR(INDEX('Sản phẩm'!$D$5:$D$304,MATCH(D53,'Sản phẩm'!$A$5:$A$304,0)),""))</f>
        <v/>
      </c>
      <c r="L53" s="16">
        <f>IF(J53="","",J53-K53)</f>
        <v/>
      </c>
      <c r="M53" s="14">
        <f>IF(A53="","",MONTH(A53))</f>
        <v/>
      </c>
      <c r="N53" s="14">
        <f>IF(A53="","",YEAR(A53))</f>
        <v/>
      </c>
    </row>
    <row r="54">
      <c r="A54" s="15" t="n"/>
      <c r="B54" s="10" t="n"/>
      <c r="C54" s="10" t="n"/>
      <c r="D54" s="10" t="n"/>
      <c r="E54" s="14">
        <f>IF(D54="","",IFERROR(INDEX('Sản phẩm'!$B$5:$B$304,MATCH(D54,'Sản phẩm'!$A$5:$A$304,0)),""))</f>
        <v/>
      </c>
      <c r="F54" s="12" t="n"/>
      <c r="G54" s="11" t="n"/>
      <c r="H54" s="11" t="n"/>
      <c r="I54" s="16">
        <f>IF(D54="","",IF(G54&lt;&gt;"",G54,IFERROR(INDEX('Sản phẩm'!$E$5:$E$304,MATCH(D54,'Sản phẩm'!$A$5:$A$304,0)),"")))</f>
        <v/>
      </c>
      <c r="J54" s="16">
        <f>IF(OR(D54="",F54=""),"",F54*I54-N(H54))</f>
        <v/>
      </c>
      <c r="K54" s="16">
        <f>IF(OR(D54="",F54=""),"",F54*IFERROR(INDEX('Sản phẩm'!$D$5:$D$304,MATCH(D54,'Sản phẩm'!$A$5:$A$304,0)),""))</f>
        <v/>
      </c>
      <c r="L54" s="16">
        <f>IF(J54="","",J54-K54)</f>
        <v/>
      </c>
      <c r="M54" s="14">
        <f>IF(A54="","",MONTH(A54))</f>
        <v/>
      </c>
      <c r="N54" s="14">
        <f>IF(A54="","",YEAR(A54))</f>
        <v/>
      </c>
    </row>
    <row r="55">
      <c r="A55" s="15" t="n"/>
      <c r="B55" s="10" t="n"/>
      <c r="C55" s="10" t="n"/>
      <c r="D55" s="10" t="n"/>
      <c r="E55" s="14">
        <f>IF(D55="","",IFERROR(INDEX('Sản phẩm'!$B$5:$B$304,MATCH(D55,'Sản phẩm'!$A$5:$A$304,0)),""))</f>
        <v/>
      </c>
      <c r="F55" s="12" t="n"/>
      <c r="G55" s="11" t="n"/>
      <c r="H55" s="11" t="n"/>
      <c r="I55" s="16">
        <f>IF(D55="","",IF(G55&lt;&gt;"",G55,IFERROR(INDEX('Sản phẩm'!$E$5:$E$304,MATCH(D55,'Sản phẩm'!$A$5:$A$304,0)),"")))</f>
        <v/>
      </c>
      <c r="J55" s="16">
        <f>IF(OR(D55="",F55=""),"",F55*I55-N(H55))</f>
        <v/>
      </c>
      <c r="K55" s="16">
        <f>IF(OR(D55="",F55=""),"",F55*IFERROR(INDEX('Sản phẩm'!$D$5:$D$304,MATCH(D55,'Sản phẩm'!$A$5:$A$304,0)),""))</f>
        <v/>
      </c>
      <c r="L55" s="16">
        <f>IF(J55="","",J55-K55)</f>
        <v/>
      </c>
      <c r="M55" s="14">
        <f>IF(A55="","",MONTH(A55))</f>
        <v/>
      </c>
      <c r="N55" s="14">
        <f>IF(A55="","",YEAR(A55))</f>
        <v/>
      </c>
    </row>
    <row r="56">
      <c r="A56" s="15" t="n"/>
      <c r="B56" s="10" t="n"/>
      <c r="C56" s="10" t="n"/>
      <c r="D56" s="10" t="n"/>
      <c r="E56" s="14">
        <f>IF(D56="","",IFERROR(INDEX('Sản phẩm'!$B$5:$B$304,MATCH(D56,'Sản phẩm'!$A$5:$A$304,0)),""))</f>
        <v/>
      </c>
      <c r="F56" s="12" t="n"/>
      <c r="G56" s="11" t="n"/>
      <c r="H56" s="11" t="n"/>
      <c r="I56" s="16">
        <f>IF(D56="","",IF(G56&lt;&gt;"",G56,IFERROR(INDEX('Sản phẩm'!$E$5:$E$304,MATCH(D56,'Sản phẩm'!$A$5:$A$304,0)),"")))</f>
        <v/>
      </c>
      <c r="J56" s="16">
        <f>IF(OR(D56="",F56=""),"",F56*I56-N(H56))</f>
        <v/>
      </c>
      <c r="K56" s="16">
        <f>IF(OR(D56="",F56=""),"",F56*IFERROR(INDEX('Sản phẩm'!$D$5:$D$304,MATCH(D56,'Sản phẩm'!$A$5:$A$304,0)),""))</f>
        <v/>
      </c>
      <c r="L56" s="16">
        <f>IF(J56="","",J56-K56)</f>
        <v/>
      </c>
      <c r="M56" s="14">
        <f>IF(A56="","",MONTH(A56))</f>
        <v/>
      </c>
      <c r="N56" s="14">
        <f>IF(A56="","",YEAR(A56))</f>
        <v/>
      </c>
    </row>
    <row r="57">
      <c r="A57" s="15" t="n"/>
      <c r="B57" s="10" t="n"/>
      <c r="C57" s="10" t="n"/>
      <c r="D57" s="10" t="n"/>
      <c r="E57" s="14">
        <f>IF(D57="","",IFERROR(INDEX('Sản phẩm'!$B$5:$B$304,MATCH(D57,'Sản phẩm'!$A$5:$A$304,0)),""))</f>
        <v/>
      </c>
      <c r="F57" s="12" t="n"/>
      <c r="G57" s="11" t="n"/>
      <c r="H57" s="11" t="n"/>
      <c r="I57" s="16">
        <f>IF(D57="","",IF(G57&lt;&gt;"",G57,IFERROR(INDEX('Sản phẩm'!$E$5:$E$304,MATCH(D57,'Sản phẩm'!$A$5:$A$304,0)),"")))</f>
        <v/>
      </c>
      <c r="J57" s="16">
        <f>IF(OR(D57="",F57=""),"",F57*I57-N(H57))</f>
        <v/>
      </c>
      <c r="K57" s="16">
        <f>IF(OR(D57="",F57=""),"",F57*IFERROR(INDEX('Sản phẩm'!$D$5:$D$304,MATCH(D57,'Sản phẩm'!$A$5:$A$304,0)),""))</f>
        <v/>
      </c>
      <c r="L57" s="16">
        <f>IF(J57="","",J57-K57)</f>
        <v/>
      </c>
      <c r="M57" s="14">
        <f>IF(A57="","",MONTH(A57))</f>
        <v/>
      </c>
      <c r="N57" s="14">
        <f>IF(A57="","",YEAR(A57))</f>
        <v/>
      </c>
    </row>
    <row r="58">
      <c r="A58" s="15" t="n"/>
      <c r="B58" s="10" t="n"/>
      <c r="C58" s="10" t="n"/>
      <c r="D58" s="10" t="n"/>
      <c r="E58" s="14">
        <f>IF(D58="","",IFERROR(INDEX('Sản phẩm'!$B$5:$B$304,MATCH(D58,'Sản phẩm'!$A$5:$A$304,0)),""))</f>
        <v/>
      </c>
      <c r="F58" s="12" t="n"/>
      <c r="G58" s="11" t="n"/>
      <c r="H58" s="11" t="n"/>
      <c r="I58" s="16">
        <f>IF(D58="","",IF(G58&lt;&gt;"",G58,IFERROR(INDEX('Sản phẩm'!$E$5:$E$304,MATCH(D58,'Sản phẩm'!$A$5:$A$304,0)),"")))</f>
        <v/>
      </c>
      <c r="J58" s="16">
        <f>IF(OR(D58="",F58=""),"",F58*I58-N(H58))</f>
        <v/>
      </c>
      <c r="K58" s="16">
        <f>IF(OR(D58="",F58=""),"",F58*IFERROR(INDEX('Sản phẩm'!$D$5:$D$304,MATCH(D58,'Sản phẩm'!$A$5:$A$304,0)),""))</f>
        <v/>
      </c>
      <c r="L58" s="16">
        <f>IF(J58="","",J58-K58)</f>
        <v/>
      </c>
      <c r="M58" s="14">
        <f>IF(A58="","",MONTH(A58))</f>
        <v/>
      </c>
      <c r="N58" s="14">
        <f>IF(A58="","",YEAR(A58))</f>
        <v/>
      </c>
    </row>
    <row r="59">
      <c r="A59" s="15" t="n"/>
      <c r="B59" s="10" t="n"/>
      <c r="C59" s="10" t="n"/>
      <c r="D59" s="10" t="n"/>
      <c r="E59" s="14">
        <f>IF(D59="","",IFERROR(INDEX('Sản phẩm'!$B$5:$B$304,MATCH(D59,'Sản phẩm'!$A$5:$A$304,0)),""))</f>
        <v/>
      </c>
      <c r="F59" s="12" t="n"/>
      <c r="G59" s="11" t="n"/>
      <c r="H59" s="11" t="n"/>
      <c r="I59" s="16">
        <f>IF(D59="","",IF(G59&lt;&gt;"",G59,IFERROR(INDEX('Sản phẩm'!$E$5:$E$304,MATCH(D59,'Sản phẩm'!$A$5:$A$304,0)),"")))</f>
        <v/>
      </c>
      <c r="J59" s="16">
        <f>IF(OR(D59="",F59=""),"",F59*I59-N(H59))</f>
        <v/>
      </c>
      <c r="K59" s="16">
        <f>IF(OR(D59="",F59=""),"",F59*IFERROR(INDEX('Sản phẩm'!$D$5:$D$304,MATCH(D59,'Sản phẩm'!$A$5:$A$304,0)),""))</f>
        <v/>
      </c>
      <c r="L59" s="16">
        <f>IF(J59="","",J59-K59)</f>
        <v/>
      </c>
      <c r="M59" s="14">
        <f>IF(A59="","",MONTH(A59))</f>
        <v/>
      </c>
      <c r="N59" s="14">
        <f>IF(A59="","",YEAR(A59))</f>
        <v/>
      </c>
    </row>
    <row r="60">
      <c r="A60" s="15" t="n"/>
      <c r="B60" s="10" t="n"/>
      <c r="C60" s="10" t="n"/>
      <c r="D60" s="10" t="n"/>
      <c r="E60" s="14">
        <f>IF(D60="","",IFERROR(INDEX('Sản phẩm'!$B$5:$B$304,MATCH(D60,'Sản phẩm'!$A$5:$A$304,0)),""))</f>
        <v/>
      </c>
      <c r="F60" s="12" t="n"/>
      <c r="G60" s="11" t="n"/>
      <c r="H60" s="11" t="n"/>
      <c r="I60" s="16">
        <f>IF(D60="","",IF(G60&lt;&gt;"",G60,IFERROR(INDEX('Sản phẩm'!$E$5:$E$304,MATCH(D60,'Sản phẩm'!$A$5:$A$304,0)),"")))</f>
        <v/>
      </c>
      <c r="J60" s="16">
        <f>IF(OR(D60="",F60=""),"",F60*I60-N(H60))</f>
        <v/>
      </c>
      <c r="K60" s="16">
        <f>IF(OR(D60="",F60=""),"",F60*IFERROR(INDEX('Sản phẩm'!$D$5:$D$304,MATCH(D60,'Sản phẩm'!$A$5:$A$304,0)),""))</f>
        <v/>
      </c>
      <c r="L60" s="16">
        <f>IF(J60="","",J60-K60)</f>
        <v/>
      </c>
      <c r="M60" s="14">
        <f>IF(A60="","",MONTH(A60))</f>
        <v/>
      </c>
      <c r="N60" s="14">
        <f>IF(A60="","",YEAR(A60))</f>
        <v/>
      </c>
    </row>
    <row r="61">
      <c r="A61" s="15" t="n"/>
      <c r="B61" s="10" t="n"/>
      <c r="C61" s="10" t="n"/>
      <c r="D61" s="10" t="n"/>
      <c r="E61" s="14">
        <f>IF(D61="","",IFERROR(INDEX('Sản phẩm'!$B$5:$B$304,MATCH(D61,'Sản phẩm'!$A$5:$A$304,0)),""))</f>
        <v/>
      </c>
      <c r="F61" s="12" t="n"/>
      <c r="G61" s="11" t="n"/>
      <c r="H61" s="11" t="n"/>
      <c r="I61" s="16">
        <f>IF(D61="","",IF(G61&lt;&gt;"",G61,IFERROR(INDEX('Sản phẩm'!$E$5:$E$304,MATCH(D61,'Sản phẩm'!$A$5:$A$304,0)),"")))</f>
        <v/>
      </c>
      <c r="J61" s="16">
        <f>IF(OR(D61="",F61=""),"",F61*I61-N(H61))</f>
        <v/>
      </c>
      <c r="K61" s="16">
        <f>IF(OR(D61="",F61=""),"",F61*IFERROR(INDEX('Sản phẩm'!$D$5:$D$304,MATCH(D61,'Sản phẩm'!$A$5:$A$304,0)),""))</f>
        <v/>
      </c>
      <c r="L61" s="16">
        <f>IF(J61="","",J61-K61)</f>
        <v/>
      </c>
      <c r="M61" s="14">
        <f>IF(A61="","",MONTH(A61))</f>
        <v/>
      </c>
      <c r="N61" s="14">
        <f>IF(A61="","",YEAR(A61))</f>
        <v/>
      </c>
    </row>
    <row r="62">
      <c r="A62" s="15" t="n"/>
      <c r="B62" s="10" t="n"/>
      <c r="C62" s="10" t="n"/>
      <c r="D62" s="10" t="n"/>
      <c r="E62" s="14">
        <f>IF(D62="","",IFERROR(INDEX('Sản phẩm'!$B$5:$B$304,MATCH(D62,'Sản phẩm'!$A$5:$A$304,0)),""))</f>
        <v/>
      </c>
      <c r="F62" s="12" t="n"/>
      <c r="G62" s="11" t="n"/>
      <c r="H62" s="11" t="n"/>
      <c r="I62" s="16">
        <f>IF(D62="","",IF(G62&lt;&gt;"",G62,IFERROR(INDEX('Sản phẩm'!$E$5:$E$304,MATCH(D62,'Sản phẩm'!$A$5:$A$304,0)),"")))</f>
        <v/>
      </c>
      <c r="J62" s="16">
        <f>IF(OR(D62="",F62=""),"",F62*I62-N(H62))</f>
        <v/>
      </c>
      <c r="K62" s="16">
        <f>IF(OR(D62="",F62=""),"",F62*IFERROR(INDEX('Sản phẩm'!$D$5:$D$304,MATCH(D62,'Sản phẩm'!$A$5:$A$304,0)),""))</f>
        <v/>
      </c>
      <c r="L62" s="16">
        <f>IF(J62="","",J62-K62)</f>
        <v/>
      </c>
      <c r="M62" s="14">
        <f>IF(A62="","",MONTH(A62))</f>
        <v/>
      </c>
      <c r="N62" s="14">
        <f>IF(A62="","",YEAR(A62))</f>
        <v/>
      </c>
    </row>
    <row r="63">
      <c r="A63" s="15" t="n"/>
      <c r="B63" s="10" t="n"/>
      <c r="C63" s="10" t="n"/>
      <c r="D63" s="10" t="n"/>
      <c r="E63" s="14">
        <f>IF(D63="","",IFERROR(INDEX('Sản phẩm'!$B$5:$B$304,MATCH(D63,'Sản phẩm'!$A$5:$A$304,0)),""))</f>
        <v/>
      </c>
      <c r="F63" s="12" t="n"/>
      <c r="G63" s="11" t="n"/>
      <c r="H63" s="11" t="n"/>
      <c r="I63" s="16">
        <f>IF(D63="","",IF(G63&lt;&gt;"",G63,IFERROR(INDEX('Sản phẩm'!$E$5:$E$304,MATCH(D63,'Sản phẩm'!$A$5:$A$304,0)),"")))</f>
        <v/>
      </c>
      <c r="J63" s="16">
        <f>IF(OR(D63="",F63=""),"",F63*I63-N(H63))</f>
        <v/>
      </c>
      <c r="K63" s="16">
        <f>IF(OR(D63="",F63=""),"",F63*IFERROR(INDEX('Sản phẩm'!$D$5:$D$304,MATCH(D63,'Sản phẩm'!$A$5:$A$304,0)),""))</f>
        <v/>
      </c>
      <c r="L63" s="16">
        <f>IF(J63="","",J63-K63)</f>
        <v/>
      </c>
      <c r="M63" s="14">
        <f>IF(A63="","",MONTH(A63))</f>
        <v/>
      </c>
      <c r="N63" s="14">
        <f>IF(A63="","",YEAR(A63))</f>
        <v/>
      </c>
    </row>
    <row r="64">
      <c r="A64" s="15" t="n"/>
      <c r="B64" s="10" t="n"/>
      <c r="C64" s="10" t="n"/>
      <c r="D64" s="10" t="n"/>
      <c r="E64" s="14">
        <f>IF(D64="","",IFERROR(INDEX('Sản phẩm'!$B$5:$B$304,MATCH(D64,'Sản phẩm'!$A$5:$A$304,0)),""))</f>
        <v/>
      </c>
      <c r="F64" s="12" t="n"/>
      <c r="G64" s="11" t="n"/>
      <c r="H64" s="11" t="n"/>
      <c r="I64" s="16">
        <f>IF(D64="","",IF(G64&lt;&gt;"",G64,IFERROR(INDEX('Sản phẩm'!$E$5:$E$304,MATCH(D64,'Sản phẩm'!$A$5:$A$304,0)),"")))</f>
        <v/>
      </c>
      <c r="J64" s="16">
        <f>IF(OR(D64="",F64=""),"",F64*I64-N(H64))</f>
        <v/>
      </c>
      <c r="K64" s="16">
        <f>IF(OR(D64="",F64=""),"",F64*IFERROR(INDEX('Sản phẩm'!$D$5:$D$304,MATCH(D64,'Sản phẩm'!$A$5:$A$304,0)),""))</f>
        <v/>
      </c>
      <c r="L64" s="16">
        <f>IF(J64="","",J64-K64)</f>
        <v/>
      </c>
      <c r="M64" s="14">
        <f>IF(A64="","",MONTH(A64))</f>
        <v/>
      </c>
      <c r="N64" s="14">
        <f>IF(A64="","",YEAR(A64))</f>
        <v/>
      </c>
    </row>
    <row r="65">
      <c r="A65" s="15" t="n"/>
      <c r="B65" s="10" t="n"/>
      <c r="C65" s="10" t="n"/>
      <c r="D65" s="10" t="n"/>
      <c r="E65" s="14">
        <f>IF(D65="","",IFERROR(INDEX('Sản phẩm'!$B$5:$B$304,MATCH(D65,'Sản phẩm'!$A$5:$A$304,0)),""))</f>
        <v/>
      </c>
      <c r="F65" s="12" t="n"/>
      <c r="G65" s="11" t="n"/>
      <c r="H65" s="11" t="n"/>
      <c r="I65" s="16">
        <f>IF(D65="","",IF(G65&lt;&gt;"",G65,IFERROR(INDEX('Sản phẩm'!$E$5:$E$304,MATCH(D65,'Sản phẩm'!$A$5:$A$304,0)),"")))</f>
        <v/>
      </c>
      <c r="J65" s="16">
        <f>IF(OR(D65="",F65=""),"",F65*I65-N(H65))</f>
        <v/>
      </c>
      <c r="K65" s="16">
        <f>IF(OR(D65="",F65=""),"",F65*IFERROR(INDEX('Sản phẩm'!$D$5:$D$304,MATCH(D65,'Sản phẩm'!$A$5:$A$304,0)),""))</f>
        <v/>
      </c>
      <c r="L65" s="16">
        <f>IF(J65="","",J65-K65)</f>
        <v/>
      </c>
      <c r="M65" s="14">
        <f>IF(A65="","",MONTH(A65))</f>
        <v/>
      </c>
      <c r="N65" s="14">
        <f>IF(A65="","",YEAR(A65))</f>
        <v/>
      </c>
    </row>
    <row r="66">
      <c r="A66" s="15" t="n"/>
      <c r="B66" s="10" t="n"/>
      <c r="C66" s="10" t="n"/>
      <c r="D66" s="10" t="n"/>
      <c r="E66" s="14">
        <f>IF(D66="","",IFERROR(INDEX('Sản phẩm'!$B$5:$B$304,MATCH(D66,'Sản phẩm'!$A$5:$A$304,0)),""))</f>
        <v/>
      </c>
      <c r="F66" s="12" t="n"/>
      <c r="G66" s="11" t="n"/>
      <c r="H66" s="11" t="n"/>
      <c r="I66" s="16">
        <f>IF(D66="","",IF(G66&lt;&gt;"",G66,IFERROR(INDEX('Sản phẩm'!$E$5:$E$304,MATCH(D66,'Sản phẩm'!$A$5:$A$304,0)),"")))</f>
        <v/>
      </c>
      <c r="J66" s="16">
        <f>IF(OR(D66="",F66=""),"",F66*I66-N(H66))</f>
        <v/>
      </c>
      <c r="K66" s="16">
        <f>IF(OR(D66="",F66=""),"",F66*IFERROR(INDEX('Sản phẩm'!$D$5:$D$304,MATCH(D66,'Sản phẩm'!$A$5:$A$304,0)),""))</f>
        <v/>
      </c>
      <c r="L66" s="16">
        <f>IF(J66="","",J66-K66)</f>
        <v/>
      </c>
      <c r="M66" s="14">
        <f>IF(A66="","",MONTH(A66))</f>
        <v/>
      </c>
      <c r="N66" s="14">
        <f>IF(A66="","",YEAR(A66))</f>
        <v/>
      </c>
    </row>
    <row r="67">
      <c r="A67" s="15" t="n"/>
      <c r="B67" s="10" t="n"/>
      <c r="C67" s="10" t="n"/>
      <c r="D67" s="10" t="n"/>
      <c r="E67" s="14">
        <f>IF(D67="","",IFERROR(INDEX('Sản phẩm'!$B$5:$B$304,MATCH(D67,'Sản phẩm'!$A$5:$A$304,0)),""))</f>
        <v/>
      </c>
      <c r="F67" s="12" t="n"/>
      <c r="G67" s="11" t="n"/>
      <c r="H67" s="11" t="n"/>
      <c r="I67" s="16">
        <f>IF(D67="","",IF(G67&lt;&gt;"",G67,IFERROR(INDEX('Sản phẩm'!$E$5:$E$304,MATCH(D67,'Sản phẩm'!$A$5:$A$304,0)),"")))</f>
        <v/>
      </c>
      <c r="J67" s="16">
        <f>IF(OR(D67="",F67=""),"",F67*I67-N(H67))</f>
        <v/>
      </c>
      <c r="K67" s="16">
        <f>IF(OR(D67="",F67=""),"",F67*IFERROR(INDEX('Sản phẩm'!$D$5:$D$304,MATCH(D67,'Sản phẩm'!$A$5:$A$304,0)),""))</f>
        <v/>
      </c>
      <c r="L67" s="16">
        <f>IF(J67="","",J67-K67)</f>
        <v/>
      </c>
      <c r="M67" s="14">
        <f>IF(A67="","",MONTH(A67))</f>
        <v/>
      </c>
      <c r="N67" s="14">
        <f>IF(A67="","",YEAR(A67))</f>
        <v/>
      </c>
    </row>
    <row r="68">
      <c r="A68" s="15" t="n"/>
      <c r="B68" s="10" t="n"/>
      <c r="C68" s="10" t="n"/>
      <c r="D68" s="10" t="n"/>
      <c r="E68" s="14">
        <f>IF(D68="","",IFERROR(INDEX('Sản phẩm'!$B$5:$B$304,MATCH(D68,'Sản phẩm'!$A$5:$A$304,0)),""))</f>
        <v/>
      </c>
      <c r="F68" s="12" t="n"/>
      <c r="G68" s="11" t="n"/>
      <c r="H68" s="11" t="n"/>
      <c r="I68" s="16">
        <f>IF(D68="","",IF(G68&lt;&gt;"",G68,IFERROR(INDEX('Sản phẩm'!$E$5:$E$304,MATCH(D68,'Sản phẩm'!$A$5:$A$304,0)),"")))</f>
        <v/>
      </c>
      <c r="J68" s="16">
        <f>IF(OR(D68="",F68=""),"",F68*I68-N(H68))</f>
        <v/>
      </c>
      <c r="K68" s="16">
        <f>IF(OR(D68="",F68=""),"",F68*IFERROR(INDEX('Sản phẩm'!$D$5:$D$304,MATCH(D68,'Sản phẩm'!$A$5:$A$304,0)),""))</f>
        <v/>
      </c>
      <c r="L68" s="16">
        <f>IF(J68="","",J68-K68)</f>
        <v/>
      </c>
      <c r="M68" s="14">
        <f>IF(A68="","",MONTH(A68))</f>
        <v/>
      </c>
      <c r="N68" s="14">
        <f>IF(A68="","",YEAR(A68))</f>
        <v/>
      </c>
    </row>
    <row r="69">
      <c r="A69" s="15" t="n"/>
      <c r="B69" s="10" t="n"/>
      <c r="C69" s="10" t="n"/>
      <c r="D69" s="10" t="n"/>
      <c r="E69" s="14">
        <f>IF(D69="","",IFERROR(INDEX('Sản phẩm'!$B$5:$B$304,MATCH(D69,'Sản phẩm'!$A$5:$A$304,0)),""))</f>
        <v/>
      </c>
      <c r="F69" s="12" t="n"/>
      <c r="G69" s="11" t="n"/>
      <c r="H69" s="11" t="n"/>
      <c r="I69" s="16">
        <f>IF(D69="","",IF(G69&lt;&gt;"",G69,IFERROR(INDEX('Sản phẩm'!$E$5:$E$304,MATCH(D69,'Sản phẩm'!$A$5:$A$304,0)),"")))</f>
        <v/>
      </c>
      <c r="J69" s="16">
        <f>IF(OR(D69="",F69=""),"",F69*I69-N(H69))</f>
        <v/>
      </c>
      <c r="K69" s="16">
        <f>IF(OR(D69="",F69=""),"",F69*IFERROR(INDEX('Sản phẩm'!$D$5:$D$304,MATCH(D69,'Sản phẩm'!$A$5:$A$304,0)),""))</f>
        <v/>
      </c>
      <c r="L69" s="16">
        <f>IF(J69="","",J69-K69)</f>
        <v/>
      </c>
      <c r="M69" s="14">
        <f>IF(A69="","",MONTH(A69))</f>
        <v/>
      </c>
      <c r="N69" s="14">
        <f>IF(A69="","",YEAR(A69))</f>
        <v/>
      </c>
    </row>
    <row r="70">
      <c r="A70" s="15" t="n"/>
      <c r="B70" s="10" t="n"/>
      <c r="C70" s="10" t="n"/>
      <c r="D70" s="10" t="n"/>
      <c r="E70" s="14">
        <f>IF(D70="","",IFERROR(INDEX('Sản phẩm'!$B$5:$B$304,MATCH(D70,'Sản phẩm'!$A$5:$A$304,0)),""))</f>
        <v/>
      </c>
      <c r="F70" s="12" t="n"/>
      <c r="G70" s="11" t="n"/>
      <c r="H70" s="11" t="n"/>
      <c r="I70" s="16">
        <f>IF(D70="","",IF(G70&lt;&gt;"",G70,IFERROR(INDEX('Sản phẩm'!$E$5:$E$304,MATCH(D70,'Sản phẩm'!$A$5:$A$304,0)),"")))</f>
        <v/>
      </c>
      <c r="J70" s="16">
        <f>IF(OR(D70="",F70=""),"",F70*I70-N(H70))</f>
        <v/>
      </c>
      <c r="K70" s="16">
        <f>IF(OR(D70="",F70=""),"",F70*IFERROR(INDEX('Sản phẩm'!$D$5:$D$304,MATCH(D70,'Sản phẩm'!$A$5:$A$304,0)),""))</f>
        <v/>
      </c>
      <c r="L70" s="16">
        <f>IF(J70="","",J70-K70)</f>
        <v/>
      </c>
      <c r="M70" s="14">
        <f>IF(A70="","",MONTH(A70))</f>
        <v/>
      </c>
      <c r="N70" s="14">
        <f>IF(A70="","",YEAR(A70))</f>
        <v/>
      </c>
    </row>
    <row r="71">
      <c r="A71" s="15" t="n"/>
      <c r="B71" s="10" t="n"/>
      <c r="C71" s="10" t="n"/>
      <c r="D71" s="10" t="n"/>
      <c r="E71" s="14">
        <f>IF(D71="","",IFERROR(INDEX('Sản phẩm'!$B$5:$B$304,MATCH(D71,'Sản phẩm'!$A$5:$A$304,0)),""))</f>
        <v/>
      </c>
      <c r="F71" s="12" t="n"/>
      <c r="G71" s="11" t="n"/>
      <c r="H71" s="11" t="n"/>
      <c r="I71" s="16">
        <f>IF(D71="","",IF(G71&lt;&gt;"",G71,IFERROR(INDEX('Sản phẩm'!$E$5:$E$304,MATCH(D71,'Sản phẩm'!$A$5:$A$304,0)),"")))</f>
        <v/>
      </c>
      <c r="J71" s="16">
        <f>IF(OR(D71="",F71=""),"",F71*I71-N(H71))</f>
        <v/>
      </c>
      <c r="K71" s="16">
        <f>IF(OR(D71="",F71=""),"",F71*IFERROR(INDEX('Sản phẩm'!$D$5:$D$304,MATCH(D71,'Sản phẩm'!$A$5:$A$304,0)),""))</f>
        <v/>
      </c>
      <c r="L71" s="16">
        <f>IF(J71="","",J71-K71)</f>
        <v/>
      </c>
      <c r="M71" s="14">
        <f>IF(A71="","",MONTH(A71))</f>
        <v/>
      </c>
      <c r="N71" s="14">
        <f>IF(A71="","",YEAR(A71))</f>
        <v/>
      </c>
    </row>
    <row r="72">
      <c r="A72" s="15" t="n"/>
      <c r="B72" s="10" t="n"/>
      <c r="C72" s="10" t="n"/>
      <c r="D72" s="10" t="n"/>
      <c r="E72" s="14">
        <f>IF(D72="","",IFERROR(INDEX('Sản phẩm'!$B$5:$B$304,MATCH(D72,'Sản phẩm'!$A$5:$A$304,0)),""))</f>
        <v/>
      </c>
      <c r="F72" s="12" t="n"/>
      <c r="G72" s="11" t="n"/>
      <c r="H72" s="11" t="n"/>
      <c r="I72" s="16">
        <f>IF(D72="","",IF(G72&lt;&gt;"",G72,IFERROR(INDEX('Sản phẩm'!$E$5:$E$304,MATCH(D72,'Sản phẩm'!$A$5:$A$304,0)),"")))</f>
        <v/>
      </c>
      <c r="J72" s="16">
        <f>IF(OR(D72="",F72=""),"",F72*I72-N(H72))</f>
        <v/>
      </c>
      <c r="K72" s="16">
        <f>IF(OR(D72="",F72=""),"",F72*IFERROR(INDEX('Sản phẩm'!$D$5:$D$304,MATCH(D72,'Sản phẩm'!$A$5:$A$304,0)),""))</f>
        <v/>
      </c>
      <c r="L72" s="16">
        <f>IF(J72="","",J72-K72)</f>
        <v/>
      </c>
      <c r="M72" s="14">
        <f>IF(A72="","",MONTH(A72))</f>
        <v/>
      </c>
      <c r="N72" s="14">
        <f>IF(A72="","",YEAR(A72))</f>
        <v/>
      </c>
    </row>
    <row r="73">
      <c r="A73" s="15" t="n"/>
      <c r="B73" s="10" t="n"/>
      <c r="C73" s="10" t="n"/>
      <c r="D73" s="10" t="n"/>
      <c r="E73" s="14">
        <f>IF(D73="","",IFERROR(INDEX('Sản phẩm'!$B$5:$B$304,MATCH(D73,'Sản phẩm'!$A$5:$A$304,0)),""))</f>
        <v/>
      </c>
      <c r="F73" s="12" t="n"/>
      <c r="G73" s="11" t="n"/>
      <c r="H73" s="11" t="n"/>
      <c r="I73" s="16">
        <f>IF(D73="","",IF(G73&lt;&gt;"",G73,IFERROR(INDEX('Sản phẩm'!$E$5:$E$304,MATCH(D73,'Sản phẩm'!$A$5:$A$304,0)),"")))</f>
        <v/>
      </c>
      <c r="J73" s="16">
        <f>IF(OR(D73="",F73=""),"",F73*I73-N(H73))</f>
        <v/>
      </c>
      <c r="K73" s="16">
        <f>IF(OR(D73="",F73=""),"",F73*IFERROR(INDEX('Sản phẩm'!$D$5:$D$304,MATCH(D73,'Sản phẩm'!$A$5:$A$304,0)),""))</f>
        <v/>
      </c>
      <c r="L73" s="16">
        <f>IF(J73="","",J73-K73)</f>
        <v/>
      </c>
      <c r="M73" s="14">
        <f>IF(A73="","",MONTH(A73))</f>
        <v/>
      </c>
      <c r="N73" s="14">
        <f>IF(A73="","",YEAR(A73))</f>
        <v/>
      </c>
    </row>
    <row r="74">
      <c r="A74" s="15" t="n"/>
      <c r="B74" s="10" t="n"/>
      <c r="C74" s="10" t="n"/>
      <c r="D74" s="10" t="n"/>
      <c r="E74" s="14">
        <f>IF(D74="","",IFERROR(INDEX('Sản phẩm'!$B$5:$B$304,MATCH(D74,'Sản phẩm'!$A$5:$A$304,0)),""))</f>
        <v/>
      </c>
      <c r="F74" s="12" t="n"/>
      <c r="G74" s="11" t="n"/>
      <c r="H74" s="11" t="n"/>
      <c r="I74" s="16">
        <f>IF(D74="","",IF(G74&lt;&gt;"",G74,IFERROR(INDEX('Sản phẩm'!$E$5:$E$304,MATCH(D74,'Sản phẩm'!$A$5:$A$304,0)),"")))</f>
        <v/>
      </c>
      <c r="J74" s="16">
        <f>IF(OR(D74="",F74=""),"",F74*I74-N(H74))</f>
        <v/>
      </c>
      <c r="K74" s="16">
        <f>IF(OR(D74="",F74=""),"",F74*IFERROR(INDEX('Sản phẩm'!$D$5:$D$304,MATCH(D74,'Sản phẩm'!$A$5:$A$304,0)),""))</f>
        <v/>
      </c>
      <c r="L74" s="16">
        <f>IF(J74="","",J74-K74)</f>
        <v/>
      </c>
      <c r="M74" s="14">
        <f>IF(A74="","",MONTH(A74))</f>
        <v/>
      </c>
      <c r="N74" s="14">
        <f>IF(A74="","",YEAR(A74))</f>
        <v/>
      </c>
    </row>
    <row r="75">
      <c r="A75" s="15" t="n"/>
      <c r="B75" s="10" t="n"/>
      <c r="C75" s="10" t="n"/>
      <c r="D75" s="10" t="n"/>
      <c r="E75" s="14">
        <f>IF(D75="","",IFERROR(INDEX('Sản phẩm'!$B$5:$B$304,MATCH(D75,'Sản phẩm'!$A$5:$A$304,0)),""))</f>
        <v/>
      </c>
      <c r="F75" s="12" t="n"/>
      <c r="G75" s="11" t="n"/>
      <c r="H75" s="11" t="n"/>
      <c r="I75" s="16">
        <f>IF(D75="","",IF(G75&lt;&gt;"",G75,IFERROR(INDEX('Sản phẩm'!$E$5:$E$304,MATCH(D75,'Sản phẩm'!$A$5:$A$304,0)),"")))</f>
        <v/>
      </c>
      <c r="J75" s="16">
        <f>IF(OR(D75="",F75=""),"",F75*I75-N(H75))</f>
        <v/>
      </c>
      <c r="K75" s="16">
        <f>IF(OR(D75="",F75=""),"",F75*IFERROR(INDEX('Sản phẩm'!$D$5:$D$304,MATCH(D75,'Sản phẩm'!$A$5:$A$304,0)),""))</f>
        <v/>
      </c>
      <c r="L75" s="16">
        <f>IF(J75="","",J75-K75)</f>
        <v/>
      </c>
      <c r="M75" s="14">
        <f>IF(A75="","",MONTH(A75))</f>
        <v/>
      </c>
      <c r="N75" s="14">
        <f>IF(A75="","",YEAR(A75))</f>
        <v/>
      </c>
    </row>
    <row r="76">
      <c r="A76" s="15" t="n"/>
      <c r="B76" s="10" t="n"/>
      <c r="C76" s="10" t="n"/>
      <c r="D76" s="10" t="n"/>
      <c r="E76" s="14">
        <f>IF(D76="","",IFERROR(INDEX('Sản phẩm'!$B$5:$B$304,MATCH(D76,'Sản phẩm'!$A$5:$A$304,0)),""))</f>
        <v/>
      </c>
      <c r="F76" s="12" t="n"/>
      <c r="G76" s="11" t="n"/>
      <c r="H76" s="11" t="n"/>
      <c r="I76" s="16">
        <f>IF(D76="","",IF(G76&lt;&gt;"",G76,IFERROR(INDEX('Sản phẩm'!$E$5:$E$304,MATCH(D76,'Sản phẩm'!$A$5:$A$304,0)),"")))</f>
        <v/>
      </c>
      <c r="J76" s="16">
        <f>IF(OR(D76="",F76=""),"",F76*I76-N(H76))</f>
        <v/>
      </c>
      <c r="K76" s="16">
        <f>IF(OR(D76="",F76=""),"",F76*IFERROR(INDEX('Sản phẩm'!$D$5:$D$304,MATCH(D76,'Sản phẩm'!$A$5:$A$304,0)),""))</f>
        <v/>
      </c>
      <c r="L76" s="16">
        <f>IF(J76="","",J76-K76)</f>
        <v/>
      </c>
      <c r="M76" s="14">
        <f>IF(A76="","",MONTH(A76))</f>
        <v/>
      </c>
      <c r="N76" s="14">
        <f>IF(A76="","",YEAR(A76))</f>
        <v/>
      </c>
    </row>
    <row r="77">
      <c r="A77" s="15" t="n"/>
      <c r="B77" s="10" t="n"/>
      <c r="C77" s="10" t="n"/>
      <c r="D77" s="10" t="n"/>
      <c r="E77" s="14">
        <f>IF(D77="","",IFERROR(INDEX('Sản phẩm'!$B$5:$B$304,MATCH(D77,'Sản phẩm'!$A$5:$A$304,0)),""))</f>
        <v/>
      </c>
      <c r="F77" s="12" t="n"/>
      <c r="G77" s="11" t="n"/>
      <c r="H77" s="11" t="n"/>
      <c r="I77" s="16">
        <f>IF(D77="","",IF(G77&lt;&gt;"",G77,IFERROR(INDEX('Sản phẩm'!$E$5:$E$304,MATCH(D77,'Sản phẩm'!$A$5:$A$304,0)),"")))</f>
        <v/>
      </c>
      <c r="J77" s="16">
        <f>IF(OR(D77="",F77=""),"",F77*I77-N(H77))</f>
        <v/>
      </c>
      <c r="K77" s="16">
        <f>IF(OR(D77="",F77=""),"",F77*IFERROR(INDEX('Sản phẩm'!$D$5:$D$304,MATCH(D77,'Sản phẩm'!$A$5:$A$304,0)),""))</f>
        <v/>
      </c>
      <c r="L77" s="16">
        <f>IF(J77="","",J77-K77)</f>
        <v/>
      </c>
      <c r="M77" s="14">
        <f>IF(A77="","",MONTH(A77))</f>
        <v/>
      </c>
      <c r="N77" s="14">
        <f>IF(A77="","",YEAR(A77))</f>
        <v/>
      </c>
    </row>
    <row r="78">
      <c r="A78" s="15" t="n"/>
      <c r="B78" s="10" t="n"/>
      <c r="C78" s="10" t="n"/>
      <c r="D78" s="10" t="n"/>
      <c r="E78" s="14">
        <f>IF(D78="","",IFERROR(INDEX('Sản phẩm'!$B$5:$B$304,MATCH(D78,'Sản phẩm'!$A$5:$A$304,0)),""))</f>
        <v/>
      </c>
      <c r="F78" s="12" t="n"/>
      <c r="G78" s="11" t="n"/>
      <c r="H78" s="11" t="n"/>
      <c r="I78" s="16">
        <f>IF(D78="","",IF(G78&lt;&gt;"",G78,IFERROR(INDEX('Sản phẩm'!$E$5:$E$304,MATCH(D78,'Sản phẩm'!$A$5:$A$304,0)),"")))</f>
        <v/>
      </c>
      <c r="J78" s="16">
        <f>IF(OR(D78="",F78=""),"",F78*I78-N(H78))</f>
        <v/>
      </c>
      <c r="K78" s="16">
        <f>IF(OR(D78="",F78=""),"",F78*IFERROR(INDEX('Sản phẩm'!$D$5:$D$304,MATCH(D78,'Sản phẩm'!$A$5:$A$304,0)),""))</f>
        <v/>
      </c>
      <c r="L78" s="16">
        <f>IF(J78="","",J78-K78)</f>
        <v/>
      </c>
      <c r="M78" s="14">
        <f>IF(A78="","",MONTH(A78))</f>
        <v/>
      </c>
      <c r="N78" s="14">
        <f>IF(A78="","",YEAR(A78))</f>
        <v/>
      </c>
    </row>
    <row r="79">
      <c r="A79" s="15" t="n"/>
      <c r="B79" s="10" t="n"/>
      <c r="C79" s="10" t="n"/>
      <c r="D79" s="10" t="n"/>
      <c r="E79" s="14">
        <f>IF(D79="","",IFERROR(INDEX('Sản phẩm'!$B$5:$B$304,MATCH(D79,'Sản phẩm'!$A$5:$A$304,0)),""))</f>
        <v/>
      </c>
      <c r="F79" s="12" t="n"/>
      <c r="G79" s="11" t="n"/>
      <c r="H79" s="11" t="n"/>
      <c r="I79" s="16">
        <f>IF(D79="","",IF(G79&lt;&gt;"",G79,IFERROR(INDEX('Sản phẩm'!$E$5:$E$304,MATCH(D79,'Sản phẩm'!$A$5:$A$304,0)),"")))</f>
        <v/>
      </c>
      <c r="J79" s="16">
        <f>IF(OR(D79="",F79=""),"",F79*I79-N(H79))</f>
        <v/>
      </c>
      <c r="K79" s="16">
        <f>IF(OR(D79="",F79=""),"",F79*IFERROR(INDEX('Sản phẩm'!$D$5:$D$304,MATCH(D79,'Sản phẩm'!$A$5:$A$304,0)),""))</f>
        <v/>
      </c>
      <c r="L79" s="16">
        <f>IF(J79="","",J79-K79)</f>
        <v/>
      </c>
      <c r="M79" s="14">
        <f>IF(A79="","",MONTH(A79))</f>
        <v/>
      </c>
      <c r="N79" s="14">
        <f>IF(A79="","",YEAR(A79))</f>
        <v/>
      </c>
    </row>
    <row r="80">
      <c r="A80" s="15" t="n"/>
      <c r="B80" s="10" t="n"/>
      <c r="C80" s="10" t="n"/>
      <c r="D80" s="10" t="n"/>
      <c r="E80" s="14">
        <f>IF(D80="","",IFERROR(INDEX('Sản phẩm'!$B$5:$B$304,MATCH(D80,'Sản phẩm'!$A$5:$A$304,0)),""))</f>
        <v/>
      </c>
      <c r="F80" s="12" t="n"/>
      <c r="G80" s="11" t="n"/>
      <c r="H80" s="11" t="n"/>
      <c r="I80" s="16">
        <f>IF(D80="","",IF(G80&lt;&gt;"",G80,IFERROR(INDEX('Sản phẩm'!$E$5:$E$304,MATCH(D80,'Sản phẩm'!$A$5:$A$304,0)),"")))</f>
        <v/>
      </c>
      <c r="J80" s="16">
        <f>IF(OR(D80="",F80=""),"",F80*I80-N(H80))</f>
        <v/>
      </c>
      <c r="K80" s="16">
        <f>IF(OR(D80="",F80=""),"",F80*IFERROR(INDEX('Sản phẩm'!$D$5:$D$304,MATCH(D80,'Sản phẩm'!$A$5:$A$304,0)),""))</f>
        <v/>
      </c>
      <c r="L80" s="16">
        <f>IF(J80="","",J80-K80)</f>
        <v/>
      </c>
      <c r="M80" s="14">
        <f>IF(A80="","",MONTH(A80))</f>
        <v/>
      </c>
      <c r="N80" s="14">
        <f>IF(A80="","",YEAR(A80))</f>
        <v/>
      </c>
    </row>
    <row r="81">
      <c r="A81" s="15" t="n"/>
      <c r="B81" s="10" t="n"/>
      <c r="C81" s="10" t="n"/>
      <c r="D81" s="10" t="n"/>
      <c r="E81" s="14">
        <f>IF(D81="","",IFERROR(INDEX('Sản phẩm'!$B$5:$B$304,MATCH(D81,'Sản phẩm'!$A$5:$A$304,0)),""))</f>
        <v/>
      </c>
      <c r="F81" s="12" t="n"/>
      <c r="G81" s="11" t="n"/>
      <c r="H81" s="11" t="n"/>
      <c r="I81" s="16">
        <f>IF(D81="","",IF(G81&lt;&gt;"",G81,IFERROR(INDEX('Sản phẩm'!$E$5:$E$304,MATCH(D81,'Sản phẩm'!$A$5:$A$304,0)),"")))</f>
        <v/>
      </c>
      <c r="J81" s="16">
        <f>IF(OR(D81="",F81=""),"",F81*I81-N(H81))</f>
        <v/>
      </c>
      <c r="K81" s="16">
        <f>IF(OR(D81="",F81=""),"",F81*IFERROR(INDEX('Sản phẩm'!$D$5:$D$304,MATCH(D81,'Sản phẩm'!$A$5:$A$304,0)),""))</f>
        <v/>
      </c>
      <c r="L81" s="16">
        <f>IF(J81="","",J81-K81)</f>
        <v/>
      </c>
      <c r="M81" s="14">
        <f>IF(A81="","",MONTH(A81))</f>
        <v/>
      </c>
      <c r="N81" s="14">
        <f>IF(A81="","",YEAR(A81))</f>
        <v/>
      </c>
    </row>
    <row r="82">
      <c r="A82" s="15" t="n"/>
      <c r="B82" s="10" t="n"/>
      <c r="C82" s="10" t="n"/>
      <c r="D82" s="10" t="n"/>
      <c r="E82" s="14">
        <f>IF(D82="","",IFERROR(INDEX('Sản phẩm'!$B$5:$B$304,MATCH(D82,'Sản phẩm'!$A$5:$A$304,0)),""))</f>
        <v/>
      </c>
      <c r="F82" s="12" t="n"/>
      <c r="G82" s="11" t="n"/>
      <c r="H82" s="11" t="n"/>
      <c r="I82" s="16">
        <f>IF(D82="","",IF(G82&lt;&gt;"",G82,IFERROR(INDEX('Sản phẩm'!$E$5:$E$304,MATCH(D82,'Sản phẩm'!$A$5:$A$304,0)),"")))</f>
        <v/>
      </c>
      <c r="J82" s="16">
        <f>IF(OR(D82="",F82=""),"",F82*I82-N(H82))</f>
        <v/>
      </c>
      <c r="K82" s="16">
        <f>IF(OR(D82="",F82=""),"",F82*IFERROR(INDEX('Sản phẩm'!$D$5:$D$304,MATCH(D82,'Sản phẩm'!$A$5:$A$304,0)),""))</f>
        <v/>
      </c>
      <c r="L82" s="16">
        <f>IF(J82="","",J82-K82)</f>
        <v/>
      </c>
      <c r="M82" s="14">
        <f>IF(A82="","",MONTH(A82))</f>
        <v/>
      </c>
      <c r="N82" s="14">
        <f>IF(A82="","",YEAR(A82))</f>
        <v/>
      </c>
    </row>
    <row r="83">
      <c r="A83" s="15" t="n"/>
      <c r="B83" s="10" t="n"/>
      <c r="C83" s="10" t="n"/>
      <c r="D83" s="10" t="n"/>
      <c r="E83" s="14">
        <f>IF(D83="","",IFERROR(INDEX('Sản phẩm'!$B$5:$B$304,MATCH(D83,'Sản phẩm'!$A$5:$A$304,0)),""))</f>
        <v/>
      </c>
      <c r="F83" s="12" t="n"/>
      <c r="G83" s="11" t="n"/>
      <c r="H83" s="11" t="n"/>
      <c r="I83" s="16">
        <f>IF(D83="","",IF(G83&lt;&gt;"",G83,IFERROR(INDEX('Sản phẩm'!$E$5:$E$304,MATCH(D83,'Sản phẩm'!$A$5:$A$304,0)),"")))</f>
        <v/>
      </c>
      <c r="J83" s="16">
        <f>IF(OR(D83="",F83=""),"",F83*I83-N(H83))</f>
        <v/>
      </c>
      <c r="K83" s="16">
        <f>IF(OR(D83="",F83=""),"",F83*IFERROR(INDEX('Sản phẩm'!$D$5:$D$304,MATCH(D83,'Sản phẩm'!$A$5:$A$304,0)),""))</f>
        <v/>
      </c>
      <c r="L83" s="16">
        <f>IF(J83="","",J83-K83)</f>
        <v/>
      </c>
      <c r="M83" s="14">
        <f>IF(A83="","",MONTH(A83))</f>
        <v/>
      </c>
      <c r="N83" s="14">
        <f>IF(A83="","",YEAR(A83))</f>
        <v/>
      </c>
    </row>
    <row r="84">
      <c r="A84" s="15" t="n"/>
      <c r="B84" s="10" t="n"/>
      <c r="C84" s="10" t="n"/>
      <c r="D84" s="10" t="n"/>
      <c r="E84" s="14">
        <f>IF(D84="","",IFERROR(INDEX('Sản phẩm'!$B$5:$B$304,MATCH(D84,'Sản phẩm'!$A$5:$A$304,0)),""))</f>
        <v/>
      </c>
      <c r="F84" s="12" t="n"/>
      <c r="G84" s="11" t="n"/>
      <c r="H84" s="11" t="n"/>
      <c r="I84" s="16">
        <f>IF(D84="","",IF(G84&lt;&gt;"",G84,IFERROR(INDEX('Sản phẩm'!$E$5:$E$304,MATCH(D84,'Sản phẩm'!$A$5:$A$304,0)),"")))</f>
        <v/>
      </c>
      <c r="J84" s="16">
        <f>IF(OR(D84="",F84=""),"",F84*I84-N(H84))</f>
        <v/>
      </c>
      <c r="K84" s="16">
        <f>IF(OR(D84="",F84=""),"",F84*IFERROR(INDEX('Sản phẩm'!$D$5:$D$304,MATCH(D84,'Sản phẩm'!$A$5:$A$304,0)),""))</f>
        <v/>
      </c>
      <c r="L84" s="16">
        <f>IF(J84="","",J84-K84)</f>
        <v/>
      </c>
      <c r="M84" s="14">
        <f>IF(A84="","",MONTH(A84))</f>
        <v/>
      </c>
      <c r="N84" s="14">
        <f>IF(A84="","",YEAR(A84))</f>
        <v/>
      </c>
    </row>
    <row r="85">
      <c r="A85" s="15" t="n"/>
      <c r="B85" s="10" t="n"/>
      <c r="C85" s="10" t="n"/>
      <c r="D85" s="10" t="n"/>
      <c r="E85" s="14">
        <f>IF(D85="","",IFERROR(INDEX('Sản phẩm'!$B$5:$B$304,MATCH(D85,'Sản phẩm'!$A$5:$A$304,0)),""))</f>
        <v/>
      </c>
      <c r="F85" s="12" t="n"/>
      <c r="G85" s="11" t="n"/>
      <c r="H85" s="11" t="n"/>
      <c r="I85" s="16">
        <f>IF(D85="","",IF(G85&lt;&gt;"",G85,IFERROR(INDEX('Sản phẩm'!$E$5:$E$304,MATCH(D85,'Sản phẩm'!$A$5:$A$304,0)),"")))</f>
        <v/>
      </c>
      <c r="J85" s="16">
        <f>IF(OR(D85="",F85=""),"",F85*I85-N(H85))</f>
        <v/>
      </c>
      <c r="K85" s="16">
        <f>IF(OR(D85="",F85=""),"",F85*IFERROR(INDEX('Sản phẩm'!$D$5:$D$304,MATCH(D85,'Sản phẩm'!$A$5:$A$304,0)),""))</f>
        <v/>
      </c>
      <c r="L85" s="16">
        <f>IF(J85="","",J85-K85)</f>
        <v/>
      </c>
      <c r="M85" s="14">
        <f>IF(A85="","",MONTH(A85))</f>
        <v/>
      </c>
      <c r="N85" s="14">
        <f>IF(A85="","",YEAR(A85))</f>
        <v/>
      </c>
    </row>
    <row r="86">
      <c r="A86" s="15" t="n"/>
      <c r="B86" s="10" t="n"/>
      <c r="C86" s="10" t="n"/>
      <c r="D86" s="10" t="n"/>
      <c r="E86" s="14">
        <f>IF(D86="","",IFERROR(INDEX('Sản phẩm'!$B$5:$B$304,MATCH(D86,'Sản phẩm'!$A$5:$A$304,0)),""))</f>
        <v/>
      </c>
      <c r="F86" s="12" t="n"/>
      <c r="G86" s="11" t="n"/>
      <c r="H86" s="11" t="n"/>
      <c r="I86" s="16">
        <f>IF(D86="","",IF(G86&lt;&gt;"",G86,IFERROR(INDEX('Sản phẩm'!$E$5:$E$304,MATCH(D86,'Sản phẩm'!$A$5:$A$304,0)),"")))</f>
        <v/>
      </c>
      <c r="J86" s="16">
        <f>IF(OR(D86="",F86=""),"",F86*I86-N(H86))</f>
        <v/>
      </c>
      <c r="K86" s="16">
        <f>IF(OR(D86="",F86=""),"",F86*IFERROR(INDEX('Sản phẩm'!$D$5:$D$304,MATCH(D86,'Sản phẩm'!$A$5:$A$304,0)),""))</f>
        <v/>
      </c>
      <c r="L86" s="16">
        <f>IF(J86="","",J86-K86)</f>
        <v/>
      </c>
      <c r="M86" s="14">
        <f>IF(A86="","",MONTH(A86))</f>
        <v/>
      </c>
      <c r="N86" s="14">
        <f>IF(A86="","",YEAR(A86))</f>
        <v/>
      </c>
    </row>
    <row r="87">
      <c r="A87" s="15" t="n"/>
      <c r="B87" s="10" t="n"/>
      <c r="C87" s="10" t="n"/>
      <c r="D87" s="10" t="n"/>
      <c r="E87" s="14">
        <f>IF(D87="","",IFERROR(INDEX('Sản phẩm'!$B$5:$B$304,MATCH(D87,'Sản phẩm'!$A$5:$A$304,0)),""))</f>
        <v/>
      </c>
      <c r="F87" s="12" t="n"/>
      <c r="G87" s="11" t="n"/>
      <c r="H87" s="11" t="n"/>
      <c r="I87" s="16">
        <f>IF(D87="","",IF(G87&lt;&gt;"",G87,IFERROR(INDEX('Sản phẩm'!$E$5:$E$304,MATCH(D87,'Sản phẩm'!$A$5:$A$304,0)),"")))</f>
        <v/>
      </c>
      <c r="J87" s="16">
        <f>IF(OR(D87="",F87=""),"",F87*I87-N(H87))</f>
        <v/>
      </c>
      <c r="K87" s="16">
        <f>IF(OR(D87="",F87=""),"",F87*IFERROR(INDEX('Sản phẩm'!$D$5:$D$304,MATCH(D87,'Sản phẩm'!$A$5:$A$304,0)),""))</f>
        <v/>
      </c>
      <c r="L87" s="16">
        <f>IF(J87="","",J87-K87)</f>
        <v/>
      </c>
      <c r="M87" s="14">
        <f>IF(A87="","",MONTH(A87))</f>
        <v/>
      </c>
      <c r="N87" s="14">
        <f>IF(A87="","",YEAR(A87))</f>
        <v/>
      </c>
    </row>
    <row r="88">
      <c r="A88" s="15" t="n"/>
      <c r="B88" s="10" t="n"/>
      <c r="C88" s="10" t="n"/>
      <c r="D88" s="10" t="n"/>
      <c r="E88" s="14">
        <f>IF(D88="","",IFERROR(INDEX('Sản phẩm'!$B$5:$B$304,MATCH(D88,'Sản phẩm'!$A$5:$A$304,0)),""))</f>
        <v/>
      </c>
      <c r="F88" s="12" t="n"/>
      <c r="G88" s="11" t="n"/>
      <c r="H88" s="11" t="n"/>
      <c r="I88" s="16">
        <f>IF(D88="","",IF(G88&lt;&gt;"",G88,IFERROR(INDEX('Sản phẩm'!$E$5:$E$304,MATCH(D88,'Sản phẩm'!$A$5:$A$304,0)),"")))</f>
        <v/>
      </c>
      <c r="J88" s="16">
        <f>IF(OR(D88="",F88=""),"",F88*I88-N(H88))</f>
        <v/>
      </c>
      <c r="K88" s="16">
        <f>IF(OR(D88="",F88=""),"",F88*IFERROR(INDEX('Sản phẩm'!$D$5:$D$304,MATCH(D88,'Sản phẩm'!$A$5:$A$304,0)),""))</f>
        <v/>
      </c>
      <c r="L88" s="16">
        <f>IF(J88="","",J88-K88)</f>
        <v/>
      </c>
      <c r="M88" s="14">
        <f>IF(A88="","",MONTH(A88))</f>
        <v/>
      </c>
      <c r="N88" s="14">
        <f>IF(A88="","",YEAR(A88))</f>
        <v/>
      </c>
    </row>
    <row r="89">
      <c r="A89" s="15" t="n"/>
      <c r="B89" s="10" t="n"/>
      <c r="C89" s="10" t="n"/>
      <c r="D89" s="10" t="n"/>
      <c r="E89" s="14">
        <f>IF(D89="","",IFERROR(INDEX('Sản phẩm'!$B$5:$B$304,MATCH(D89,'Sản phẩm'!$A$5:$A$304,0)),""))</f>
        <v/>
      </c>
      <c r="F89" s="12" t="n"/>
      <c r="G89" s="11" t="n"/>
      <c r="H89" s="11" t="n"/>
      <c r="I89" s="16">
        <f>IF(D89="","",IF(G89&lt;&gt;"",G89,IFERROR(INDEX('Sản phẩm'!$E$5:$E$304,MATCH(D89,'Sản phẩm'!$A$5:$A$304,0)),"")))</f>
        <v/>
      </c>
      <c r="J89" s="16">
        <f>IF(OR(D89="",F89=""),"",F89*I89-N(H89))</f>
        <v/>
      </c>
      <c r="K89" s="16">
        <f>IF(OR(D89="",F89=""),"",F89*IFERROR(INDEX('Sản phẩm'!$D$5:$D$304,MATCH(D89,'Sản phẩm'!$A$5:$A$304,0)),""))</f>
        <v/>
      </c>
      <c r="L89" s="16">
        <f>IF(J89="","",J89-K89)</f>
        <v/>
      </c>
      <c r="M89" s="14">
        <f>IF(A89="","",MONTH(A89))</f>
        <v/>
      </c>
      <c r="N89" s="14">
        <f>IF(A89="","",YEAR(A89))</f>
        <v/>
      </c>
    </row>
    <row r="90">
      <c r="A90" s="15" t="n"/>
      <c r="B90" s="10" t="n"/>
      <c r="C90" s="10" t="n"/>
      <c r="D90" s="10" t="n"/>
      <c r="E90" s="14">
        <f>IF(D90="","",IFERROR(INDEX('Sản phẩm'!$B$5:$B$304,MATCH(D90,'Sản phẩm'!$A$5:$A$304,0)),""))</f>
        <v/>
      </c>
      <c r="F90" s="12" t="n"/>
      <c r="G90" s="11" t="n"/>
      <c r="H90" s="11" t="n"/>
      <c r="I90" s="16">
        <f>IF(D90="","",IF(G90&lt;&gt;"",G90,IFERROR(INDEX('Sản phẩm'!$E$5:$E$304,MATCH(D90,'Sản phẩm'!$A$5:$A$304,0)),"")))</f>
        <v/>
      </c>
      <c r="J90" s="16">
        <f>IF(OR(D90="",F90=""),"",F90*I90-N(H90))</f>
        <v/>
      </c>
      <c r="K90" s="16">
        <f>IF(OR(D90="",F90=""),"",F90*IFERROR(INDEX('Sản phẩm'!$D$5:$D$304,MATCH(D90,'Sản phẩm'!$A$5:$A$304,0)),""))</f>
        <v/>
      </c>
      <c r="L90" s="16">
        <f>IF(J90="","",J90-K90)</f>
        <v/>
      </c>
      <c r="M90" s="14">
        <f>IF(A90="","",MONTH(A90))</f>
        <v/>
      </c>
      <c r="N90" s="14">
        <f>IF(A90="","",YEAR(A90))</f>
        <v/>
      </c>
    </row>
    <row r="91">
      <c r="A91" s="15" t="n"/>
      <c r="B91" s="10" t="n"/>
      <c r="C91" s="10" t="n"/>
      <c r="D91" s="10" t="n"/>
      <c r="E91" s="14">
        <f>IF(D91="","",IFERROR(INDEX('Sản phẩm'!$B$5:$B$304,MATCH(D91,'Sản phẩm'!$A$5:$A$304,0)),""))</f>
        <v/>
      </c>
      <c r="F91" s="12" t="n"/>
      <c r="G91" s="11" t="n"/>
      <c r="H91" s="11" t="n"/>
      <c r="I91" s="16">
        <f>IF(D91="","",IF(G91&lt;&gt;"",G91,IFERROR(INDEX('Sản phẩm'!$E$5:$E$304,MATCH(D91,'Sản phẩm'!$A$5:$A$304,0)),"")))</f>
        <v/>
      </c>
      <c r="J91" s="16">
        <f>IF(OR(D91="",F91=""),"",F91*I91-N(H91))</f>
        <v/>
      </c>
      <c r="K91" s="16">
        <f>IF(OR(D91="",F91=""),"",F91*IFERROR(INDEX('Sản phẩm'!$D$5:$D$304,MATCH(D91,'Sản phẩm'!$A$5:$A$304,0)),""))</f>
        <v/>
      </c>
      <c r="L91" s="16">
        <f>IF(J91="","",J91-K91)</f>
        <v/>
      </c>
      <c r="M91" s="14">
        <f>IF(A91="","",MONTH(A91))</f>
        <v/>
      </c>
      <c r="N91" s="14">
        <f>IF(A91="","",YEAR(A91))</f>
        <v/>
      </c>
    </row>
    <row r="92">
      <c r="A92" s="15" t="n"/>
      <c r="B92" s="10" t="n"/>
      <c r="C92" s="10" t="n"/>
      <c r="D92" s="10" t="n"/>
      <c r="E92" s="14">
        <f>IF(D92="","",IFERROR(INDEX('Sản phẩm'!$B$5:$B$304,MATCH(D92,'Sản phẩm'!$A$5:$A$304,0)),""))</f>
        <v/>
      </c>
      <c r="F92" s="12" t="n"/>
      <c r="G92" s="11" t="n"/>
      <c r="H92" s="11" t="n"/>
      <c r="I92" s="16">
        <f>IF(D92="","",IF(G92&lt;&gt;"",G92,IFERROR(INDEX('Sản phẩm'!$E$5:$E$304,MATCH(D92,'Sản phẩm'!$A$5:$A$304,0)),"")))</f>
        <v/>
      </c>
      <c r="J92" s="16">
        <f>IF(OR(D92="",F92=""),"",F92*I92-N(H92))</f>
        <v/>
      </c>
      <c r="K92" s="16">
        <f>IF(OR(D92="",F92=""),"",F92*IFERROR(INDEX('Sản phẩm'!$D$5:$D$304,MATCH(D92,'Sản phẩm'!$A$5:$A$304,0)),""))</f>
        <v/>
      </c>
      <c r="L92" s="16">
        <f>IF(J92="","",J92-K92)</f>
        <v/>
      </c>
      <c r="M92" s="14">
        <f>IF(A92="","",MONTH(A92))</f>
        <v/>
      </c>
      <c r="N92" s="14">
        <f>IF(A92="","",YEAR(A92))</f>
        <v/>
      </c>
    </row>
    <row r="93">
      <c r="A93" s="15" t="n"/>
      <c r="B93" s="10" t="n"/>
      <c r="C93" s="10" t="n"/>
      <c r="D93" s="10" t="n"/>
      <c r="E93" s="14">
        <f>IF(D93="","",IFERROR(INDEX('Sản phẩm'!$B$5:$B$304,MATCH(D93,'Sản phẩm'!$A$5:$A$304,0)),""))</f>
        <v/>
      </c>
      <c r="F93" s="12" t="n"/>
      <c r="G93" s="11" t="n"/>
      <c r="H93" s="11" t="n"/>
      <c r="I93" s="16">
        <f>IF(D93="","",IF(G93&lt;&gt;"",G93,IFERROR(INDEX('Sản phẩm'!$E$5:$E$304,MATCH(D93,'Sản phẩm'!$A$5:$A$304,0)),"")))</f>
        <v/>
      </c>
      <c r="J93" s="16">
        <f>IF(OR(D93="",F93=""),"",F93*I93-N(H93))</f>
        <v/>
      </c>
      <c r="K93" s="16">
        <f>IF(OR(D93="",F93=""),"",F93*IFERROR(INDEX('Sản phẩm'!$D$5:$D$304,MATCH(D93,'Sản phẩm'!$A$5:$A$304,0)),""))</f>
        <v/>
      </c>
      <c r="L93" s="16">
        <f>IF(J93="","",J93-K93)</f>
        <v/>
      </c>
      <c r="M93" s="14">
        <f>IF(A93="","",MONTH(A93))</f>
        <v/>
      </c>
      <c r="N93" s="14">
        <f>IF(A93="","",YEAR(A93))</f>
        <v/>
      </c>
    </row>
    <row r="94">
      <c r="A94" s="15" t="n"/>
      <c r="B94" s="10" t="n"/>
      <c r="C94" s="10" t="n"/>
      <c r="D94" s="10" t="n"/>
      <c r="E94" s="14">
        <f>IF(D94="","",IFERROR(INDEX('Sản phẩm'!$B$5:$B$304,MATCH(D94,'Sản phẩm'!$A$5:$A$304,0)),""))</f>
        <v/>
      </c>
      <c r="F94" s="12" t="n"/>
      <c r="G94" s="11" t="n"/>
      <c r="H94" s="11" t="n"/>
      <c r="I94" s="16">
        <f>IF(D94="","",IF(G94&lt;&gt;"",G94,IFERROR(INDEX('Sản phẩm'!$E$5:$E$304,MATCH(D94,'Sản phẩm'!$A$5:$A$304,0)),"")))</f>
        <v/>
      </c>
      <c r="J94" s="16">
        <f>IF(OR(D94="",F94=""),"",F94*I94-N(H94))</f>
        <v/>
      </c>
      <c r="K94" s="16">
        <f>IF(OR(D94="",F94=""),"",F94*IFERROR(INDEX('Sản phẩm'!$D$5:$D$304,MATCH(D94,'Sản phẩm'!$A$5:$A$304,0)),""))</f>
        <v/>
      </c>
      <c r="L94" s="16">
        <f>IF(J94="","",J94-K94)</f>
        <v/>
      </c>
      <c r="M94" s="14">
        <f>IF(A94="","",MONTH(A94))</f>
        <v/>
      </c>
      <c r="N94" s="14">
        <f>IF(A94="","",YEAR(A94))</f>
        <v/>
      </c>
    </row>
    <row r="95">
      <c r="A95" s="15" t="n"/>
      <c r="B95" s="10" t="n"/>
      <c r="C95" s="10" t="n"/>
      <c r="D95" s="10" t="n"/>
      <c r="E95" s="14">
        <f>IF(D95="","",IFERROR(INDEX('Sản phẩm'!$B$5:$B$304,MATCH(D95,'Sản phẩm'!$A$5:$A$304,0)),""))</f>
        <v/>
      </c>
      <c r="F95" s="12" t="n"/>
      <c r="G95" s="11" t="n"/>
      <c r="H95" s="11" t="n"/>
      <c r="I95" s="16">
        <f>IF(D95="","",IF(G95&lt;&gt;"",G95,IFERROR(INDEX('Sản phẩm'!$E$5:$E$304,MATCH(D95,'Sản phẩm'!$A$5:$A$304,0)),"")))</f>
        <v/>
      </c>
      <c r="J95" s="16">
        <f>IF(OR(D95="",F95=""),"",F95*I95-N(H95))</f>
        <v/>
      </c>
      <c r="K95" s="16">
        <f>IF(OR(D95="",F95=""),"",F95*IFERROR(INDEX('Sản phẩm'!$D$5:$D$304,MATCH(D95,'Sản phẩm'!$A$5:$A$304,0)),""))</f>
        <v/>
      </c>
      <c r="L95" s="16">
        <f>IF(J95="","",J95-K95)</f>
        <v/>
      </c>
      <c r="M95" s="14">
        <f>IF(A95="","",MONTH(A95))</f>
        <v/>
      </c>
      <c r="N95" s="14">
        <f>IF(A95="","",YEAR(A95))</f>
        <v/>
      </c>
    </row>
    <row r="96">
      <c r="A96" s="15" t="n"/>
      <c r="B96" s="10" t="n"/>
      <c r="C96" s="10" t="n"/>
      <c r="D96" s="10" t="n"/>
      <c r="E96" s="14">
        <f>IF(D96="","",IFERROR(INDEX('Sản phẩm'!$B$5:$B$304,MATCH(D96,'Sản phẩm'!$A$5:$A$304,0)),""))</f>
        <v/>
      </c>
      <c r="F96" s="12" t="n"/>
      <c r="G96" s="11" t="n"/>
      <c r="H96" s="11" t="n"/>
      <c r="I96" s="16">
        <f>IF(D96="","",IF(G96&lt;&gt;"",G96,IFERROR(INDEX('Sản phẩm'!$E$5:$E$304,MATCH(D96,'Sản phẩm'!$A$5:$A$304,0)),"")))</f>
        <v/>
      </c>
      <c r="J96" s="16">
        <f>IF(OR(D96="",F96=""),"",F96*I96-N(H96))</f>
        <v/>
      </c>
      <c r="K96" s="16">
        <f>IF(OR(D96="",F96=""),"",F96*IFERROR(INDEX('Sản phẩm'!$D$5:$D$304,MATCH(D96,'Sản phẩm'!$A$5:$A$304,0)),""))</f>
        <v/>
      </c>
      <c r="L96" s="16">
        <f>IF(J96="","",J96-K96)</f>
        <v/>
      </c>
      <c r="M96" s="14">
        <f>IF(A96="","",MONTH(A96))</f>
        <v/>
      </c>
      <c r="N96" s="14">
        <f>IF(A96="","",YEAR(A96))</f>
        <v/>
      </c>
    </row>
    <row r="97">
      <c r="A97" s="15" t="n"/>
      <c r="B97" s="10" t="n"/>
      <c r="C97" s="10" t="n"/>
      <c r="D97" s="10" t="n"/>
      <c r="E97" s="14">
        <f>IF(D97="","",IFERROR(INDEX('Sản phẩm'!$B$5:$B$304,MATCH(D97,'Sản phẩm'!$A$5:$A$304,0)),""))</f>
        <v/>
      </c>
      <c r="F97" s="12" t="n"/>
      <c r="G97" s="11" t="n"/>
      <c r="H97" s="11" t="n"/>
      <c r="I97" s="16">
        <f>IF(D97="","",IF(G97&lt;&gt;"",G97,IFERROR(INDEX('Sản phẩm'!$E$5:$E$304,MATCH(D97,'Sản phẩm'!$A$5:$A$304,0)),"")))</f>
        <v/>
      </c>
      <c r="J97" s="16">
        <f>IF(OR(D97="",F97=""),"",F97*I97-N(H97))</f>
        <v/>
      </c>
      <c r="K97" s="16">
        <f>IF(OR(D97="",F97=""),"",F97*IFERROR(INDEX('Sản phẩm'!$D$5:$D$304,MATCH(D97,'Sản phẩm'!$A$5:$A$304,0)),""))</f>
        <v/>
      </c>
      <c r="L97" s="16">
        <f>IF(J97="","",J97-K97)</f>
        <v/>
      </c>
      <c r="M97" s="14">
        <f>IF(A97="","",MONTH(A97))</f>
        <v/>
      </c>
      <c r="N97" s="14">
        <f>IF(A97="","",YEAR(A97))</f>
        <v/>
      </c>
    </row>
    <row r="98">
      <c r="A98" s="15" t="n"/>
      <c r="B98" s="10" t="n"/>
      <c r="C98" s="10" t="n"/>
      <c r="D98" s="10" t="n"/>
      <c r="E98" s="14">
        <f>IF(D98="","",IFERROR(INDEX('Sản phẩm'!$B$5:$B$304,MATCH(D98,'Sản phẩm'!$A$5:$A$304,0)),""))</f>
        <v/>
      </c>
      <c r="F98" s="12" t="n"/>
      <c r="G98" s="11" t="n"/>
      <c r="H98" s="11" t="n"/>
      <c r="I98" s="16">
        <f>IF(D98="","",IF(G98&lt;&gt;"",G98,IFERROR(INDEX('Sản phẩm'!$E$5:$E$304,MATCH(D98,'Sản phẩm'!$A$5:$A$304,0)),"")))</f>
        <v/>
      </c>
      <c r="J98" s="16">
        <f>IF(OR(D98="",F98=""),"",F98*I98-N(H98))</f>
        <v/>
      </c>
      <c r="K98" s="16">
        <f>IF(OR(D98="",F98=""),"",F98*IFERROR(INDEX('Sản phẩm'!$D$5:$D$304,MATCH(D98,'Sản phẩm'!$A$5:$A$304,0)),""))</f>
        <v/>
      </c>
      <c r="L98" s="16">
        <f>IF(J98="","",J98-K98)</f>
        <v/>
      </c>
      <c r="M98" s="14">
        <f>IF(A98="","",MONTH(A98))</f>
        <v/>
      </c>
      <c r="N98" s="14">
        <f>IF(A98="","",YEAR(A98))</f>
        <v/>
      </c>
    </row>
    <row r="99">
      <c r="A99" s="15" t="n"/>
      <c r="B99" s="10" t="n"/>
      <c r="C99" s="10" t="n"/>
      <c r="D99" s="10" t="n"/>
      <c r="E99" s="14">
        <f>IF(D99="","",IFERROR(INDEX('Sản phẩm'!$B$5:$B$304,MATCH(D99,'Sản phẩm'!$A$5:$A$304,0)),""))</f>
        <v/>
      </c>
      <c r="F99" s="12" t="n"/>
      <c r="G99" s="11" t="n"/>
      <c r="H99" s="11" t="n"/>
      <c r="I99" s="16">
        <f>IF(D99="","",IF(G99&lt;&gt;"",G99,IFERROR(INDEX('Sản phẩm'!$E$5:$E$304,MATCH(D99,'Sản phẩm'!$A$5:$A$304,0)),"")))</f>
        <v/>
      </c>
      <c r="J99" s="16">
        <f>IF(OR(D99="",F99=""),"",F99*I99-N(H99))</f>
        <v/>
      </c>
      <c r="K99" s="16">
        <f>IF(OR(D99="",F99=""),"",F99*IFERROR(INDEX('Sản phẩm'!$D$5:$D$304,MATCH(D99,'Sản phẩm'!$A$5:$A$304,0)),""))</f>
        <v/>
      </c>
      <c r="L99" s="16">
        <f>IF(J99="","",J99-K99)</f>
        <v/>
      </c>
      <c r="M99" s="14">
        <f>IF(A99="","",MONTH(A99))</f>
        <v/>
      </c>
      <c r="N99" s="14">
        <f>IF(A99="","",YEAR(A99))</f>
        <v/>
      </c>
    </row>
    <row r="100">
      <c r="A100" s="15" t="n"/>
      <c r="B100" s="10" t="n"/>
      <c r="C100" s="10" t="n"/>
      <c r="D100" s="10" t="n"/>
      <c r="E100" s="14">
        <f>IF(D100="","",IFERROR(INDEX('Sản phẩm'!$B$5:$B$304,MATCH(D100,'Sản phẩm'!$A$5:$A$304,0)),""))</f>
        <v/>
      </c>
      <c r="F100" s="12" t="n"/>
      <c r="G100" s="11" t="n"/>
      <c r="H100" s="11" t="n"/>
      <c r="I100" s="16">
        <f>IF(D100="","",IF(G100&lt;&gt;"",G100,IFERROR(INDEX('Sản phẩm'!$E$5:$E$304,MATCH(D100,'Sản phẩm'!$A$5:$A$304,0)),"")))</f>
        <v/>
      </c>
      <c r="J100" s="16">
        <f>IF(OR(D100="",F100=""),"",F100*I100-N(H100))</f>
        <v/>
      </c>
      <c r="K100" s="16">
        <f>IF(OR(D100="",F100=""),"",F100*IFERROR(INDEX('Sản phẩm'!$D$5:$D$304,MATCH(D100,'Sản phẩm'!$A$5:$A$304,0)),""))</f>
        <v/>
      </c>
      <c r="L100" s="16">
        <f>IF(J100="","",J100-K100)</f>
        <v/>
      </c>
      <c r="M100" s="14">
        <f>IF(A100="","",MONTH(A100))</f>
        <v/>
      </c>
      <c r="N100" s="14">
        <f>IF(A100="","",YEAR(A100))</f>
        <v/>
      </c>
    </row>
    <row r="101">
      <c r="A101" s="15" t="n"/>
      <c r="B101" s="10" t="n"/>
      <c r="C101" s="10" t="n"/>
      <c r="D101" s="10" t="n"/>
      <c r="E101" s="14">
        <f>IF(D101="","",IFERROR(INDEX('Sản phẩm'!$B$5:$B$304,MATCH(D101,'Sản phẩm'!$A$5:$A$304,0)),""))</f>
        <v/>
      </c>
      <c r="F101" s="12" t="n"/>
      <c r="G101" s="11" t="n"/>
      <c r="H101" s="11" t="n"/>
      <c r="I101" s="16">
        <f>IF(D101="","",IF(G101&lt;&gt;"",G101,IFERROR(INDEX('Sản phẩm'!$E$5:$E$304,MATCH(D101,'Sản phẩm'!$A$5:$A$304,0)),"")))</f>
        <v/>
      </c>
      <c r="J101" s="16">
        <f>IF(OR(D101="",F101=""),"",F101*I101-N(H101))</f>
        <v/>
      </c>
      <c r="K101" s="16">
        <f>IF(OR(D101="",F101=""),"",F101*IFERROR(INDEX('Sản phẩm'!$D$5:$D$304,MATCH(D101,'Sản phẩm'!$A$5:$A$304,0)),""))</f>
        <v/>
      </c>
      <c r="L101" s="16">
        <f>IF(J101="","",J101-K101)</f>
        <v/>
      </c>
      <c r="M101" s="14">
        <f>IF(A101="","",MONTH(A101))</f>
        <v/>
      </c>
      <c r="N101" s="14">
        <f>IF(A101="","",YEAR(A101))</f>
        <v/>
      </c>
    </row>
    <row r="102">
      <c r="A102" s="15" t="n"/>
      <c r="B102" s="10" t="n"/>
      <c r="C102" s="10" t="n"/>
      <c r="D102" s="10" t="n"/>
      <c r="E102" s="14">
        <f>IF(D102="","",IFERROR(INDEX('Sản phẩm'!$B$5:$B$304,MATCH(D102,'Sản phẩm'!$A$5:$A$304,0)),""))</f>
        <v/>
      </c>
      <c r="F102" s="12" t="n"/>
      <c r="G102" s="11" t="n"/>
      <c r="H102" s="11" t="n"/>
      <c r="I102" s="16">
        <f>IF(D102="","",IF(G102&lt;&gt;"",G102,IFERROR(INDEX('Sản phẩm'!$E$5:$E$304,MATCH(D102,'Sản phẩm'!$A$5:$A$304,0)),"")))</f>
        <v/>
      </c>
      <c r="J102" s="16">
        <f>IF(OR(D102="",F102=""),"",F102*I102-N(H102))</f>
        <v/>
      </c>
      <c r="K102" s="16">
        <f>IF(OR(D102="",F102=""),"",F102*IFERROR(INDEX('Sản phẩm'!$D$5:$D$304,MATCH(D102,'Sản phẩm'!$A$5:$A$304,0)),""))</f>
        <v/>
      </c>
      <c r="L102" s="16">
        <f>IF(J102="","",J102-K102)</f>
        <v/>
      </c>
      <c r="M102" s="14">
        <f>IF(A102="","",MONTH(A102))</f>
        <v/>
      </c>
      <c r="N102" s="14">
        <f>IF(A102="","",YEAR(A102))</f>
        <v/>
      </c>
    </row>
    <row r="103">
      <c r="A103" s="15" t="n"/>
      <c r="B103" s="10" t="n"/>
      <c r="C103" s="10" t="n"/>
      <c r="D103" s="10" t="n"/>
      <c r="E103" s="14">
        <f>IF(D103="","",IFERROR(INDEX('Sản phẩm'!$B$5:$B$304,MATCH(D103,'Sản phẩm'!$A$5:$A$304,0)),""))</f>
        <v/>
      </c>
      <c r="F103" s="12" t="n"/>
      <c r="G103" s="11" t="n"/>
      <c r="H103" s="11" t="n"/>
      <c r="I103" s="16">
        <f>IF(D103="","",IF(G103&lt;&gt;"",G103,IFERROR(INDEX('Sản phẩm'!$E$5:$E$304,MATCH(D103,'Sản phẩm'!$A$5:$A$304,0)),"")))</f>
        <v/>
      </c>
      <c r="J103" s="16">
        <f>IF(OR(D103="",F103=""),"",F103*I103-N(H103))</f>
        <v/>
      </c>
      <c r="K103" s="16">
        <f>IF(OR(D103="",F103=""),"",F103*IFERROR(INDEX('Sản phẩm'!$D$5:$D$304,MATCH(D103,'Sản phẩm'!$A$5:$A$304,0)),""))</f>
        <v/>
      </c>
      <c r="L103" s="16">
        <f>IF(J103="","",J103-K103)</f>
        <v/>
      </c>
      <c r="M103" s="14">
        <f>IF(A103="","",MONTH(A103))</f>
        <v/>
      </c>
      <c r="N103" s="14">
        <f>IF(A103="","",YEAR(A103))</f>
        <v/>
      </c>
    </row>
    <row r="104">
      <c r="A104" s="15" t="n"/>
      <c r="B104" s="10" t="n"/>
      <c r="C104" s="10" t="n"/>
      <c r="D104" s="10" t="n"/>
      <c r="E104" s="14">
        <f>IF(D104="","",IFERROR(INDEX('Sản phẩm'!$B$5:$B$304,MATCH(D104,'Sản phẩm'!$A$5:$A$304,0)),""))</f>
        <v/>
      </c>
      <c r="F104" s="12" t="n"/>
      <c r="G104" s="11" t="n"/>
      <c r="H104" s="11" t="n"/>
      <c r="I104" s="16">
        <f>IF(D104="","",IF(G104&lt;&gt;"",G104,IFERROR(INDEX('Sản phẩm'!$E$5:$E$304,MATCH(D104,'Sản phẩm'!$A$5:$A$304,0)),"")))</f>
        <v/>
      </c>
      <c r="J104" s="16">
        <f>IF(OR(D104="",F104=""),"",F104*I104-N(H104))</f>
        <v/>
      </c>
      <c r="K104" s="16">
        <f>IF(OR(D104="",F104=""),"",F104*IFERROR(INDEX('Sản phẩm'!$D$5:$D$304,MATCH(D104,'Sản phẩm'!$A$5:$A$304,0)),""))</f>
        <v/>
      </c>
      <c r="L104" s="16">
        <f>IF(J104="","",J104-K104)</f>
        <v/>
      </c>
      <c r="M104" s="14">
        <f>IF(A104="","",MONTH(A104))</f>
        <v/>
      </c>
      <c r="N104" s="14">
        <f>IF(A104="","",YEAR(A104))</f>
        <v/>
      </c>
    </row>
    <row r="105">
      <c r="A105" s="15" t="n"/>
      <c r="B105" s="10" t="n"/>
      <c r="C105" s="10" t="n"/>
      <c r="D105" s="10" t="n"/>
      <c r="E105" s="14">
        <f>IF(D105="","",IFERROR(INDEX('Sản phẩm'!$B$5:$B$304,MATCH(D105,'Sản phẩm'!$A$5:$A$304,0)),""))</f>
        <v/>
      </c>
      <c r="F105" s="12" t="n"/>
      <c r="G105" s="11" t="n"/>
      <c r="H105" s="11" t="n"/>
      <c r="I105" s="16">
        <f>IF(D105="","",IF(G105&lt;&gt;"",G105,IFERROR(INDEX('Sản phẩm'!$E$5:$E$304,MATCH(D105,'Sản phẩm'!$A$5:$A$304,0)),"")))</f>
        <v/>
      </c>
      <c r="J105" s="16">
        <f>IF(OR(D105="",F105=""),"",F105*I105-N(H105))</f>
        <v/>
      </c>
      <c r="K105" s="16">
        <f>IF(OR(D105="",F105=""),"",F105*IFERROR(INDEX('Sản phẩm'!$D$5:$D$304,MATCH(D105,'Sản phẩm'!$A$5:$A$304,0)),""))</f>
        <v/>
      </c>
      <c r="L105" s="16">
        <f>IF(J105="","",J105-K105)</f>
        <v/>
      </c>
      <c r="M105" s="14">
        <f>IF(A105="","",MONTH(A105))</f>
        <v/>
      </c>
      <c r="N105" s="14">
        <f>IF(A105="","",YEAR(A105))</f>
        <v/>
      </c>
    </row>
    <row r="106">
      <c r="A106" s="15" t="n"/>
      <c r="B106" s="10" t="n"/>
      <c r="C106" s="10" t="n"/>
      <c r="D106" s="10" t="n"/>
      <c r="E106" s="14">
        <f>IF(D106="","",IFERROR(INDEX('Sản phẩm'!$B$5:$B$304,MATCH(D106,'Sản phẩm'!$A$5:$A$304,0)),""))</f>
        <v/>
      </c>
      <c r="F106" s="12" t="n"/>
      <c r="G106" s="11" t="n"/>
      <c r="H106" s="11" t="n"/>
      <c r="I106" s="16">
        <f>IF(D106="","",IF(G106&lt;&gt;"",G106,IFERROR(INDEX('Sản phẩm'!$E$5:$E$304,MATCH(D106,'Sản phẩm'!$A$5:$A$304,0)),"")))</f>
        <v/>
      </c>
      <c r="J106" s="16">
        <f>IF(OR(D106="",F106=""),"",F106*I106-N(H106))</f>
        <v/>
      </c>
      <c r="K106" s="16">
        <f>IF(OR(D106="",F106=""),"",F106*IFERROR(INDEX('Sản phẩm'!$D$5:$D$304,MATCH(D106,'Sản phẩm'!$A$5:$A$304,0)),""))</f>
        <v/>
      </c>
      <c r="L106" s="16">
        <f>IF(J106="","",J106-K106)</f>
        <v/>
      </c>
      <c r="M106" s="14">
        <f>IF(A106="","",MONTH(A106))</f>
        <v/>
      </c>
      <c r="N106" s="14">
        <f>IF(A106="","",YEAR(A106))</f>
        <v/>
      </c>
    </row>
    <row r="107">
      <c r="A107" s="15" t="n"/>
      <c r="B107" s="10" t="n"/>
      <c r="C107" s="10" t="n"/>
      <c r="D107" s="10" t="n"/>
      <c r="E107" s="14">
        <f>IF(D107="","",IFERROR(INDEX('Sản phẩm'!$B$5:$B$304,MATCH(D107,'Sản phẩm'!$A$5:$A$304,0)),""))</f>
        <v/>
      </c>
      <c r="F107" s="12" t="n"/>
      <c r="G107" s="11" t="n"/>
      <c r="H107" s="11" t="n"/>
      <c r="I107" s="16">
        <f>IF(D107="","",IF(G107&lt;&gt;"",G107,IFERROR(INDEX('Sản phẩm'!$E$5:$E$304,MATCH(D107,'Sản phẩm'!$A$5:$A$304,0)),"")))</f>
        <v/>
      </c>
      <c r="J107" s="16">
        <f>IF(OR(D107="",F107=""),"",F107*I107-N(H107))</f>
        <v/>
      </c>
      <c r="K107" s="16">
        <f>IF(OR(D107="",F107=""),"",F107*IFERROR(INDEX('Sản phẩm'!$D$5:$D$304,MATCH(D107,'Sản phẩm'!$A$5:$A$304,0)),""))</f>
        <v/>
      </c>
      <c r="L107" s="16">
        <f>IF(J107="","",J107-K107)</f>
        <v/>
      </c>
      <c r="M107" s="14">
        <f>IF(A107="","",MONTH(A107))</f>
        <v/>
      </c>
      <c r="N107" s="14">
        <f>IF(A107="","",YEAR(A107))</f>
        <v/>
      </c>
    </row>
    <row r="108">
      <c r="A108" s="15" t="n"/>
      <c r="B108" s="10" t="n"/>
      <c r="C108" s="10" t="n"/>
      <c r="D108" s="10" t="n"/>
      <c r="E108" s="14">
        <f>IF(D108="","",IFERROR(INDEX('Sản phẩm'!$B$5:$B$304,MATCH(D108,'Sản phẩm'!$A$5:$A$304,0)),""))</f>
        <v/>
      </c>
      <c r="F108" s="12" t="n"/>
      <c r="G108" s="11" t="n"/>
      <c r="H108" s="11" t="n"/>
      <c r="I108" s="16">
        <f>IF(D108="","",IF(G108&lt;&gt;"",G108,IFERROR(INDEX('Sản phẩm'!$E$5:$E$304,MATCH(D108,'Sản phẩm'!$A$5:$A$304,0)),"")))</f>
        <v/>
      </c>
      <c r="J108" s="16">
        <f>IF(OR(D108="",F108=""),"",F108*I108-N(H108))</f>
        <v/>
      </c>
      <c r="K108" s="16">
        <f>IF(OR(D108="",F108=""),"",F108*IFERROR(INDEX('Sản phẩm'!$D$5:$D$304,MATCH(D108,'Sản phẩm'!$A$5:$A$304,0)),""))</f>
        <v/>
      </c>
      <c r="L108" s="16">
        <f>IF(J108="","",J108-K108)</f>
        <v/>
      </c>
      <c r="M108" s="14">
        <f>IF(A108="","",MONTH(A108))</f>
        <v/>
      </c>
      <c r="N108" s="14">
        <f>IF(A108="","",YEAR(A108))</f>
        <v/>
      </c>
    </row>
    <row r="109">
      <c r="A109" s="15" t="n"/>
      <c r="B109" s="10" t="n"/>
      <c r="C109" s="10" t="n"/>
      <c r="D109" s="10" t="n"/>
      <c r="E109" s="14">
        <f>IF(D109="","",IFERROR(INDEX('Sản phẩm'!$B$5:$B$304,MATCH(D109,'Sản phẩm'!$A$5:$A$304,0)),""))</f>
        <v/>
      </c>
      <c r="F109" s="12" t="n"/>
      <c r="G109" s="11" t="n"/>
      <c r="H109" s="11" t="n"/>
      <c r="I109" s="16">
        <f>IF(D109="","",IF(G109&lt;&gt;"",G109,IFERROR(INDEX('Sản phẩm'!$E$5:$E$304,MATCH(D109,'Sản phẩm'!$A$5:$A$304,0)),"")))</f>
        <v/>
      </c>
      <c r="J109" s="16">
        <f>IF(OR(D109="",F109=""),"",F109*I109-N(H109))</f>
        <v/>
      </c>
      <c r="K109" s="16">
        <f>IF(OR(D109="",F109=""),"",F109*IFERROR(INDEX('Sản phẩm'!$D$5:$D$304,MATCH(D109,'Sản phẩm'!$A$5:$A$304,0)),""))</f>
        <v/>
      </c>
      <c r="L109" s="16">
        <f>IF(J109="","",J109-K109)</f>
        <v/>
      </c>
      <c r="M109" s="14">
        <f>IF(A109="","",MONTH(A109))</f>
        <v/>
      </c>
      <c r="N109" s="14">
        <f>IF(A109="","",YEAR(A109))</f>
        <v/>
      </c>
    </row>
    <row r="110">
      <c r="A110" s="15" t="n"/>
      <c r="B110" s="10" t="n"/>
      <c r="C110" s="10" t="n"/>
      <c r="D110" s="10" t="n"/>
      <c r="E110" s="14">
        <f>IF(D110="","",IFERROR(INDEX('Sản phẩm'!$B$5:$B$304,MATCH(D110,'Sản phẩm'!$A$5:$A$304,0)),""))</f>
        <v/>
      </c>
      <c r="F110" s="12" t="n"/>
      <c r="G110" s="11" t="n"/>
      <c r="H110" s="11" t="n"/>
      <c r="I110" s="16">
        <f>IF(D110="","",IF(G110&lt;&gt;"",G110,IFERROR(INDEX('Sản phẩm'!$E$5:$E$304,MATCH(D110,'Sản phẩm'!$A$5:$A$304,0)),"")))</f>
        <v/>
      </c>
      <c r="J110" s="16">
        <f>IF(OR(D110="",F110=""),"",F110*I110-N(H110))</f>
        <v/>
      </c>
      <c r="K110" s="16">
        <f>IF(OR(D110="",F110=""),"",F110*IFERROR(INDEX('Sản phẩm'!$D$5:$D$304,MATCH(D110,'Sản phẩm'!$A$5:$A$304,0)),""))</f>
        <v/>
      </c>
      <c r="L110" s="16">
        <f>IF(J110="","",J110-K110)</f>
        <v/>
      </c>
      <c r="M110" s="14">
        <f>IF(A110="","",MONTH(A110))</f>
        <v/>
      </c>
      <c r="N110" s="14">
        <f>IF(A110="","",YEAR(A110))</f>
        <v/>
      </c>
    </row>
    <row r="111">
      <c r="A111" s="15" t="n"/>
      <c r="B111" s="10" t="n"/>
      <c r="C111" s="10" t="n"/>
      <c r="D111" s="10" t="n"/>
      <c r="E111" s="14">
        <f>IF(D111="","",IFERROR(INDEX('Sản phẩm'!$B$5:$B$304,MATCH(D111,'Sản phẩm'!$A$5:$A$304,0)),""))</f>
        <v/>
      </c>
      <c r="F111" s="12" t="n"/>
      <c r="G111" s="11" t="n"/>
      <c r="H111" s="11" t="n"/>
      <c r="I111" s="16">
        <f>IF(D111="","",IF(G111&lt;&gt;"",G111,IFERROR(INDEX('Sản phẩm'!$E$5:$E$304,MATCH(D111,'Sản phẩm'!$A$5:$A$304,0)),"")))</f>
        <v/>
      </c>
      <c r="J111" s="16">
        <f>IF(OR(D111="",F111=""),"",F111*I111-N(H111))</f>
        <v/>
      </c>
      <c r="K111" s="16">
        <f>IF(OR(D111="",F111=""),"",F111*IFERROR(INDEX('Sản phẩm'!$D$5:$D$304,MATCH(D111,'Sản phẩm'!$A$5:$A$304,0)),""))</f>
        <v/>
      </c>
      <c r="L111" s="16">
        <f>IF(J111="","",J111-K111)</f>
        <v/>
      </c>
      <c r="M111" s="14">
        <f>IF(A111="","",MONTH(A111))</f>
        <v/>
      </c>
      <c r="N111" s="14">
        <f>IF(A111="","",YEAR(A111))</f>
        <v/>
      </c>
    </row>
    <row r="112">
      <c r="A112" s="15" t="n"/>
      <c r="B112" s="10" t="n"/>
      <c r="C112" s="10" t="n"/>
      <c r="D112" s="10" t="n"/>
      <c r="E112" s="14">
        <f>IF(D112="","",IFERROR(INDEX('Sản phẩm'!$B$5:$B$304,MATCH(D112,'Sản phẩm'!$A$5:$A$304,0)),""))</f>
        <v/>
      </c>
      <c r="F112" s="12" t="n"/>
      <c r="G112" s="11" t="n"/>
      <c r="H112" s="11" t="n"/>
      <c r="I112" s="16">
        <f>IF(D112="","",IF(G112&lt;&gt;"",G112,IFERROR(INDEX('Sản phẩm'!$E$5:$E$304,MATCH(D112,'Sản phẩm'!$A$5:$A$304,0)),"")))</f>
        <v/>
      </c>
      <c r="J112" s="16">
        <f>IF(OR(D112="",F112=""),"",F112*I112-N(H112))</f>
        <v/>
      </c>
      <c r="K112" s="16">
        <f>IF(OR(D112="",F112=""),"",F112*IFERROR(INDEX('Sản phẩm'!$D$5:$D$304,MATCH(D112,'Sản phẩm'!$A$5:$A$304,0)),""))</f>
        <v/>
      </c>
      <c r="L112" s="16">
        <f>IF(J112="","",J112-K112)</f>
        <v/>
      </c>
      <c r="M112" s="14">
        <f>IF(A112="","",MONTH(A112))</f>
        <v/>
      </c>
      <c r="N112" s="14">
        <f>IF(A112="","",YEAR(A112))</f>
        <v/>
      </c>
    </row>
    <row r="113">
      <c r="A113" s="15" t="n"/>
      <c r="B113" s="10" t="n"/>
      <c r="C113" s="10" t="n"/>
      <c r="D113" s="10" t="n"/>
      <c r="E113" s="14">
        <f>IF(D113="","",IFERROR(INDEX('Sản phẩm'!$B$5:$B$304,MATCH(D113,'Sản phẩm'!$A$5:$A$304,0)),""))</f>
        <v/>
      </c>
      <c r="F113" s="12" t="n"/>
      <c r="G113" s="11" t="n"/>
      <c r="H113" s="11" t="n"/>
      <c r="I113" s="16">
        <f>IF(D113="","",IF(G113&lt;&gt;"",G113,IFERROR(INDEX('Sản phẩm'!$E$5:$E$304,MATCH(D113,'Sản phẩm'!$A$5:$A$304,0)),"")))</f>
        <v/>
      </c>
      <c r="J113" s="16">
        <f>IF(OR(D113="",F113=""),"",F113*I113-N(H113))</f>
        <v/>
      </c>
      <c r="K113" s="16">
        <f>IF(OR(D113="",F113=""),"",F113*IFERROR(INDEX('Sản phẩm'!$D$5:$D$304,MATCH(D113,'Sản phẩm'!$A$5:$A$304,0)),""))</f>
        <v/>
      </c>
      <c r="L113" s="16">
        <f>IF(J113="","",J113-K113)</f>
        <v/>
      </c>
      <c r="M113" s="14">
        <f>IF(A113="","",MONTH(A113))</f>
        <v/>
      </c>
      <c r="N113" s="14">
        <f>IF(A113="","",YEAR(A113))</f>
        <v/>
      </c>
    </row>
    <row r="114">
      <c r="A114" s="15" t="n"/>
      <c r="B114" s="10" t="n"/>
      <c r="C114" s="10" t="n"/>
      <c r="D114" s="10" t="n"/>
      <c r="E114" s="14">
        <f>IF(D114="","",IFERROR(INDEX('Sản phẩm'!$B$5:$B$304,MATCH(D114,'Sản phẩm'!$A$5:$A$304,0)),""))</f>
        <v/>
      </c>
      <c r="F114" s="12" t="n"/>
      <c r="G114" s="11" t="n"/>
      <c r="H114" s="11" t="n"/>
      <c r="I114" s="16">
        <f>IF(D114="","",IF(G114&lt;&gt;"",G114,IFERROR(INDEX('Sản phẩm'!$E$5:$E$304,MATCH(D114,'Sản phẩm'!$A$5:$A$304,0)),"")))</f>
        <v/>
      </c>
      <c r="J114" s="16">
        <f>IF(OR(D114="",F114=""),"",F114*I114-N(H114))</f>
        <v/>
      </c>
      <c r="K114" s="16">
        <f>IF(OR(D114="",F114=""),"",F114*IFERROR(INDEX('Sản phẩm'!$D$5:$D$304,MATCH(D114,'Sản phẩm'!$A$5:$A$304,0)),""))</f>
        <v/>
      </c>
      <c r="L114" s="16">
        <f>IF(J114="","",J114-K114)</f>
        <v/>
      </c>
      <c r="M114" s="14">
        <f>IF(A114="","",MONTH(A114))</f>
        <v/>
      </c>
      <c r="N114" s="14">
        <f>IF(A114="","",YEAR(A114))</f>
        <v/>
      </c>
    </row>
    <row r="115">
      <c r="A115" s="15" t="n"/>
      <c r="B115" s="10" t="n"/>
      <c r="C115" s="10" t="n"/>
      <c r="D115" s="10" t="n"/>
      <c r="E115" s="14">
        <f>IF(D115="","",IFERROR(INDEX('Sản phẩm'!$B$5:$B$304,MATCH(D115,'Sản phẩm'!$A$5:$A$304,0)),""))</f>
        <v/>
      </c>
      <c r="F115" s="12" t="n"/>
      <c r="G115" s="11" t="n"/>
      <c r="H115" s="11" t="n"/>
      <c r="I115" s="16">
        <f>IF(D115="","",IF(G115&lt;&gt;"",G115,IFERROR(INDEX('Sản phẩm'!$E$5:$E$304,MATCH(D115,'Sản phẩm'!$A$5:$A$304,0)),"")))</f>
        <v/>
      </c>
      <c r="J115" s="16">
        <f>IF(OR(D115="",F115=""),"",F115*I115-N(H115))</f>
        <v/>
      </c>
      <c r="K115" s="16">
        <f>IF(OR(D115="",F115=""),"",F115*IFERROR(INDEX('Sản phẩm'!$D$5:$D$304,MATCH(D115,'Sản phẩm'!$A$5:$A$304,0)),""))</f>
        <v/>
      </c>
      <c r="L115" s="16">
        <f>IF(J115="","",J115-K115)</f>
        <v/>
      </c>
      <c r="M115" s="14">
        <f>IF(A115="","",MONTH(A115))</f>
        <v/>
      </c>
      <c r="N115" s="14">
        <f>IF(A115="","",YEAR(A115))</f>
        <v/>
      </c>
    </row>
    <row r="116">
      <c r="A116" s="15" t="n"/>
      <c r="B116" s="10" t="n"/>
      <c r="C116" s="10" t="n"/>
      <c r="D116" s="10" t="n"/>
      <c r="E116" s="14">
        <f>IF(D116="","",IFERROR(INDEX('Sản phẩm'!$B$5:$B$304,MATCH(D116,'Sản phẩm'!$A$5:$A$304,0)),""))</f>
        <v/>
      </c>
      <c r="F116" s="12" t="n"/>
      <c r="G116" s="11" t="n"/>
      <c r="H116" s="11" t="n"/>
      <c r="I116" s="16">
        <f>IF(D116="","",IF(G116&lt;&gt;"",G116,IFERROR(INDEX('Sản phẩm'!$E$5:$E$304,MATCH(D116,'Sản phẩm'!$A$5:$A$304,0)),"")))</f>
        <v/>
      </c>
      <c r="J116" s="16">
        <f>IF(OR(D116="",F116=""),"",F116*I116-N(H116))</f>
        <v/>
      </c>
      <c r="K116" s="16">
        <f>IF(OR(D116="",F116=""),"",F116*IFERROR(INDEX('Sản phẩm'!$D$5:$D$304,MATCH(D116,'Sản phẩm'!$A$5:$A$304,0)),""))</f>
        <v/>
      </c>
      <c r="L116" s="16">
        <f>IF(J116="","",J116-K116)</f>
        <v/>
      </c>
      <c r="M116" s="14">
        <f>IF(A116="","",MONTH(A116))</f>
        <v/>
      </c>
      <c r="N116" s="14">
        <f>IF(A116="","",YEAR(A116))</f>
        <v/>
      </c>
    </row>
    <row r="117">
      <c r="A117" s="15" t="n"/>
      <c r="B117" s="10" t="n"/>
      <c r="C117" s="10" t="n"/>
      <c r="D117" s="10" t="n"/>
      <c r="E117" s="14">
        <f>IF(D117="","",IFERROR(INDEX('Sản phẩm'!$B$5:$B$304,MATCH(D117,'Sản phẩm'!$A$5:$A$304,0)),""))</f>
        <v/>
      </c>
      <c r="F117" s="12" t="n"/>
      <c r="G117" s="11" t="n"/>
      <c r="H117" s="11" t="n"/>
      <c r="I117" s="16">
        <f>IF(D117="","",IF(G117&lt;&gt;"",G117,IFERROR(INDEX('Sản phẩm'!$E$5:$E$304,MATCH(D117,'Sản phẩm'!$A$5:$A$304,0)),"")))</f>
        <v/>
      </c>
      <c r="J117" s="16">
        <f>IF(OR(D117="",F117=""),"",F117*I117-N(H117))</f>
        <v/>
      </c>
      <c r="K117" s="16">
        <f>IF(OR(D117="",F117=""),"",F117*IFERROR(INDEX('Sản phẩm'!$D$5:$D$304,MATCH(D117,'Sản phẩm'!$A$5:$A$304,0)),""))</f>
        <v/>
      </c>
      <c r="L117" s="16">
        <f>IF(J117="","",J117-K117)</f>
        <v/>
      </c>
      <c r="M117" s="14">
        <f>IF(A117="","",MONTH(A117))</f>
        <v/>
      </c>
      <c r="N117" s="14">
        <f>IF(A117="","",YEAR(A117))</f>
        <v/>
      </c>
    </row>
    <row r="118">
      <c r="A118" s="15" t="n"/>
      <c r="B118" s="10" t="n"/>
      <c r="C118" s="10" t="n"/>
      <c r="D118" s="10" t="n"/>
      <c r="E118" s="14">
        <f>IF(D118="","",IFERROR(INDEX('Sản phẩm'!$B$5:$B$304,MATCH(D118,'Sản phẩm'!$A$5:$A$304,0)),""))</f>
        <v/>
      </c>
      <c r="F118" s="12" t="n"/>
      <c r="G118" s="11" t="n"/>
      <c r="H118" s="11" t="n"/>
      <c r="I118" s="16">
        <f>IF(D118="","",IF(G118&lt;&gt;"",G118,IFERROR(INDEX('Sản phẩm'!$E$5:$E$304,MATCH(D118,'Sản phẩm'!$A$5:$A$304,0)),"")))</f>
        <v/>
      </c>
      <c r="J118" s="16">
        <f>IF(OR(D118="",F118=""),"",F118*I118-N(H118))</f>
        <v/>
      </c>
      <c r="K118" s="16">
        <f>IF(OR(D118="",F118=""),"",F118*IFERROR(INDEX('Sản phẩm'!$D$5:$D$304,MATCH(D118,'Sản phẩm'!$A$5:$A$304,0)),""))</f>
        <v/>
      </c>
      <c r="L118" s="16">
        <f>IF(J118="","",J118-K118)</f>
        <v/>
      </c>
      <c r="M118" s="14">
        <f>IF(A118="","",MONTH(A118))</f>
        <v/>
      </c>
      <c r="N118" s="14">
        <f>IF(A118="","",YEAR(A118))</f>
        <v/>
      </c>
    </row>
    <row r="119">
      <c r="A119" s="15" t="n"/>
      <c r="B119" s="10" t="n"/>
      <c r="C119" s="10" t="n"/>
      <c r="D119" s="10" t="n"/>
      <c r="E119" s="14">
        <f>IF(D119="","",IFERROR(INDEX('Sản phẩm'!$B$5:$B$304,MATCH(D119,'Sản phẩm'!$A$5:$A$304,0)),""))</f>
        <v/>
      </c>
      <c r="F119" s="12" t="n"/>
      <c r="G119" s="11" t="n"/>
      <c r="H119" s="11" t="n"/>
      <c r="I119" s="16">
        <f>IF(D119="","",IF(G119&lt;&gt;"",G119,IFERROR(INDEX('Sản phẩm'!$E$5:$E$304,MATCH(D119,'Sản phẩm'!$A$5:$A$304,0)),"")))</f>
        <v/>
      </c>
      <c r="J119" s="16">
        <f>IF(OR(D119="",F119=""),"",F119*I119-N(H119))</f>
        <v/>
      </c>
      <c r="K119" s="16">
        <f>IF(OR(D119="",F119=""),"",F119*IFERROR(INDEX('Sản phẩm'!$D$5:$D$304,MATCH(D119,'Sản phẩm'!$A$5:$A$304,0)),""))</f>
        <v/>
      </c>
      <c r="L119" s="16">
        <f>IF(J119="","",J119-K119)</f>
        <v/>
      </c>
      <c r="M119" s="14">
        <f>IF(A119="","",MONTH(A119))</f>
        <v/>
      </c>
      <c r="N119" s="14">
        <f>IF(A119="","",YEAR(A119))</f>
        <v/>
      </c>
    </row>
    <row r="120">
      <c r="A120" s="15" t="n"/>
      <c r="B120" s="10" t="n"/>
      <c r="C120" s="10" t="n"/>
      <c r="D120" s="10" t="n"/>
      <c r="E120" s="14">
        <f>IF(D120="","",IFERROR(INDEX('Sản phẩm'!$B$5:$B$304,MATCH(D120,'Sản phẩm'!$A$5:$A$304,0)),""))</f>
        <v/>
      </c>
      <c r="F120" s="12" t="n"/>
      <c r="G120" s="11" t="n"/>
      <c r="H120" s="11" t="n"/>
      <c r="I120" s="16">
        <f>IF(D120="","",IF(G120&lt;&gt;"",G120,IFERROR(INDEX('Sản phẩm'!$E$5:$E$304,MATCH(D120,'Sản phẩm'!$A$5:$A$304,0)),"")))</f>
        <v/>
      </c>
      <c r="J120" s="16">
        <f>IF(OR(D120="",F120=""),"",F120*I120-N(H120))</f>
        <v/>
      </c>
      <c r="K120" s="16">
        <f>IF(OR(D120="",F120=""),"",F120*IFERROR(INDEX('Sản phẩm'!$D$5:$D$304,MATCH(D120,'Sản phẩm'!$A$5:$A$304,0)),""))</f>
        <v/>
      </c>
      <c r="L120" s="16">
        <f>IF(J120="","",J120-K120)</f>
        <v/>
      </c>
      <c r="M120" s="14">
        <f>IF(A120="","",MONTH(A120))</f>
        <v/>
      </c>
      <c r="N120" s="14">
        <f>IF(A120="","",YEAR(A120))</f>
        <v/>
      </c>
    </row>
    <row r="121">
      <c r="A121" s="15" t="n"/>
      <c r="B121" s="10" t="n"/>
      <c r="C121" s="10" t="n"/>
      <c r="D121" s="10" t="n"/>
      <c r="E121" s="14">
        <f>IF(D121="","",IFERROR(INDEX('Sản phẩm'!$B$5:$B$304,MATCH(D121,'Sản phẩm'!$A$5:$A$304,0)),""))</f>
        <v/>
      </c>
      <c r="F121" s="12" t="n"/>
      <c r="G121" s="11" t="n"/>
      <c r="H121" s="11" t="n"/>
      <c r="I121" s="16">
        <f>IF(D121="","",IF(G121&lt;&gt;"",G121,IFERROR(INDEX('Sản phẩm'!$E$5:$E$304,MATCH(D121,'Sản phẩm'!$A$5:$A$304,0)),"")))</f>
        <v/>
      </c>
      <c r="J121" s="16">
        <f>IF(OR(D121="",F121=""),"",F121*I121-N(H121))</f>
        <v/>
      </c>
      <c r="K121" s="16">
        <f>IF(OR(D121="",F121=""),"",F121*IFERROR(INDEX('Sản phẩm'!$D$5:$D$304,MATCH(D121,'Sản phẩm'!$A$5:$A$304,0)),""))</f>
        <v/>
      </c>
      <c r="L121" s="16">
        <f>IF(J121="","",J121-K121)</f>
        <v/>
      </c>
      <c r="M121" s="14">
        <f>IF(A121="","",MONTH(A121))</f>
        <v/>
      </c>
      <c r="N121" s="14">
        <f>IF(A121="","",YEAR(A121))</f>
        <v/>
      </c>
    </row>
    <row r="122">
      <c r="A122" s="15" t="n"/>
      <c r="B122" s="10" t="n"/>
      <c r="C122" s="10" t="n"/>
      <c r="D122" s="10" t="n"/>
      <c r="E122" s="14">
        <f>IF(D122="","",IFERROR(INDEX('Sản phẩm'!$B$5:$B$304,MATCH(D122,'Sản phẩm'!$A$5:$A$304,0)),""))</f>
        <v/>
      </c>
      <c r="F122" s="12" t="n"/>
      <c r="G122" s="11" t="n"/>
      <c r="H122" s="11" t="n"/>
      <c r="I122" s="16">
        <f>IF(D122="","",IF(G122&lt;&gt;"",G122,IFERROR(INDEX('Sản phẩm'!$E$5:$E$304,MATCH(D122,'Sản phẩm'!$A$5:$A$304,0)),"")))</f>
        <v/>
      </c>
      <c r="J122" s="16">
        <f>IF(OR(D122="",F122=""),"",F122*I122-N(H122))</f>
        <v/>
      </c>
      <c r="K122" s="16">
        <f>IF(OR(D122="",F122=""),"",F122*IFERROR(INDEX('Sản phẩm'!$D$5:$D$304,MATCH(D122,'Sản phẩm'!$A$5:$A$304,0)),""))</f>
        <v/>
      </c>
      <c r="L122" s="16">
        <f>IF(J122="","",J122-K122)</f>
        <v/>
      </c>
      <c r="M122" s="14">
        <f>IF(A122="","",MONTH(A122))</f>
        <v/>
      </c>
      <c r="N122" s="14">
        <f>IF(A122="","",YEAR(A122))</f>
        <v/>
      </c>
    </row>
    <row r="123">
      <c r="A123" s="15" t="n"/>
      <c r="B123" s="10" t="n"/>
      <c r="C123" s="10" t="n"/>
      <c r="D123" s="10" t="n"/>
      <c r="E123" s="14">
        <f>IF(D123="","",IFERROR(INDEX('Sản phẩm'!$B$5:$B$304,MATCH(D123,'Sản phẩm'!$A$5:$A$304,0)),""))</f>
        <v/>
      </c>
      <c r="F123" s="12" t="n"/>
      <c r="G123" s="11" t="n"/>
      <c r="H123" s="11" t="n"/>
      <c r="I123" s="16">
        <f>IF(D123="","",IF(G123&lt;&gt;"",G123,IFERROR(INDEX('Sản phẩm'!$E$5:$E$304,MATCH(D123,'Sản phẩm'!$A$5:$A$304,0)),"")))</f>
        <v/>
      </c>
      <c r="J123" s="16">
        <f>IF(OR(D123="",F123=""),"",F123*I123-N(H123))</f>
        <v/>
      </c>
      <c r="K123" s="16">
        <f>IF(OR(D123="",F123=""),"",F123*IFERROR(INDEX('Sản phẩm'!$D$5:$D$304,MATCH(D123,'Sản phẩm'!$A$5:$A$304,0)),""))</f>
        <v/>
      </c>
      <c r="L123" s="16">
        <f>IF(J123="","",J123-K123)</f>
        <v/>
      </c>
      <c r="M123" s="14">
        <f>IF(A123="","",MONTH(A123))</f>
        <v/>
      </c>
      <c r="N123" s="14">
        <f>IF(A123="","",YEAR(A123))</f>
        <v/>
      </c>
    </row>
    <row r="124">
      <c r="A124" s="15" t="n"/>
      <c r="B124" s="10" t="n"/>
      <c r="C124" s="10" t="n"/>
      <c r="D124" s="10" t="n"/>
      <c r="E124" s="14">
        <f>IF(D124="","",IFERROR(INDEX('Sản phẩm'!$B$5:$B$304,MATCH(D124,'Sản phẩm'!$A$5:$A$304,0)),""))</f>
        <v/>
      </c>
      <c r="F124" s="12" t="n"/>
      <c r="G124" s="11" t="n"/>
      <c r="H124" s="11" t="n"/>
      <c r="I124" s="16">
        <f>IF(D124="","",IF(G124&lt;&gt;"",G124,IFERROR(INDEX('Sản phẩm'!$E$5:$E$304,MATCH(D124,'Sản phẩm'!$A$5:$A$304,0)),"")))</f>
        <v/>
      </c>
      <c r="J124" s="16">
        <f>IF(OR(D124="",F124=""),"",F124*I124-N(H124))</f>
        <v/>
      </c>
      <c r="K124" s="16">
        <f>IF(OR(D124="",F124=""),"",F124*IFERROR(INDEX('Sản phẩm'!$D$5:$D$304,MATCH(D124,'Sản phẩm'!$A$5:$A$304,0)),""))</f>
        <v/>
      </c>
      <c r="L124" s="16">
        <f>IF(J124="","",J124-K124)</f>
        <v/>
      </c>
      <c r="M124" s="14">
        <f>IF(A124="","",MONTH(A124))</f>
        <v/>
      </c>
      <c r="N124" s="14">
        <f>IF(A124="","",YEAR(A124))</f>
        <v/>
      </c>
    </row>
    <row r="125">
      <c r="A125" s="15" t="n"/>
      <c r="B125" s="10" t="n"/>
      <c r="C125" s="10" t="n"/>
      <c r="D125" s="10" t="n"/>
      <c r="E125" s="14">
        <f>IF(D125="","",IFERROR(INDEX('Sản phẩm'!$B$5:$B$304,MATCH(D125,'Sản phẩm'!$A$5:$A$304,0)),""))</f>
        <v/>
      </c>
      <c r="F125" s="12" t="n"/>
      <c r="G125" s="11" t="n"/>
      <c r="H125" s="11" t="n"/>
      <c r="I125" s="16">
        <f>IF(D125="","",IF(G125&lt;&gt;"",G125,IFERROR(INDEX('Sản phẩm'!$E$5:$E$304,MATCH(D125,'Sản phẩm'!$A$5:$A$304,0)),"")))</f>
        <v/>
      </c>
      <c r="J125" s="16">
        <f>IF(OR(D125="",F125=""),"",F125*I125-N(H125))</f>
        <v/>
      </c>
      <c r="K125" s="16">
        <f>IF(OR(D125="",F125=""),"",F125*IFERROR(INDEX('Sản phẩm'!$D$5:$D$304,MATCH(D125,'Sản phẩm'!$A$5:$A$304,0)),""))</f>
        <v/>
      </c>
      <c r="L125" s="16">
        <f>IF(J125="","",J125-K125)</f>
        <v/>
      </c>
      <c r="M125" s="14">
        <f>IF(A125="","",MONTH(A125))</f>
        <v/>
      </c>
      <c r="N125" s="14">
        <f>IF(A125="","",YEAR(A125))</f>
        <v/>
      </c>
    </row>
    <row r="126">
      <c r="A126" s="15" t="n"/>
      <c r="B126" s="10" t="n"/>
      <c r="C126" s="10" t="n"/>
      <c r="D126" s="10" t="n"/>
      <c r="E126" s="14">
        <f>IF(D126="","",IFERROR(INDEX('Sản phẩm'!$B$5:$B$304,MATCH(D126,'Sản phẩm'!$A$5:$A$304,0)),""))</f>
        <v/>
      </c>
      <c r="F126" s="12" t="n"/>
      <c r="G126" s="11" t="n"/>
      <c r="H126" s="11" t="n"/>
      <c r="I126" s="16">
        <f>IF(D126="","",IF(G126&lt;&gt;"",G126,IFERROR(INDEX('Sản phẩm'!$E$5:$E$304,MATCH(D126,'Sản phẩm'!$A$5:$A$304,0)),"")))</f>
        <v/>
      </c>
      <c r="J126" s="16">
        <f>IF(OR(D126="",F126=""),"",F126*I126-N(H126))</f>
        <v/>
      </c>
      <c r="K126" s="16">
        <f>IF(OR(D126="",F126=""),"",F126*IFERROR(INDEX('Sản phẩm'!$D$5:$D$304,MATCH(D126,'Sản phẩm'!$A$5:$A$304,0)),""))</f>
        <v/>
      </c>
      <c r="L126" s="16">
        <f>IF(J126="","",J126-K126)</f>
        <v/>
      </c>
      <c r="M126" s="14">
        <f>IF(A126="","",MONTH(A126))</f>
        <v/>
      </c>
      <c r="N126" s="14">
        <f>IF(A126="","",YEAR(A126))</f>
        <v/>
      </c>
    </row>
    <row r="127">
      <c r="A127" s="15" t="n"/>
      <c r="B127" s="10" t="n"/>
      <c r="C127" s="10" t="n"/>
      <c r="D127" s="10" t="n"/>
      <c r="E127" s="14">
        <f>IF(D127="","",IFERROR(INDEX('Sản phẩm'!$B$5:$B$304,MATCH(D127,'Sản phẩm'!$A$5:$A$304,0)),""))</f>
        <v/>
      </c>
      <c r="F127" s="12" t="n"/>
      <c r="G127" s="11" t="n"/>
      <c r="H127" s="11" t="n"/>
      <c r="I127" s="16">
        <f>IF(D127="","",IF(G127&lt;&gt;"",G127,IFERROR(INDEX('Sản phẩm'!$E$5:$E$304,MATCH(D127,'Sản phẩm'!$A$5:$A$304,0)),"")))</f>
        <v/>
      </c>
      <c r="J127" s="16">
        <f>IF(OR(D127="",F127=""),"",F127*I127-N(H127))</f>
        <v/>
      </c>
      <c r="K127" s="16">
        <f>IF(OR(D127="",F127=""),"",F127*IFERROR(INDEX('Sản phẩm'!$D$5:$D$304,MATCH(D127,'Sản phẩm'!$A$5:$A$304,0)),""))</f>
        <v/>
      </c>
      <c r="L127" s="16">
        <f>IF(J127="","",J127-K127)</f>
        <v/>
      </c>
      <c r="M127" s="14">
        <f>IF(A127="","",MONTH(A127))</f>
        <v/>
      </c>
      <c r="N127" s="14">
        <f>IF(A127="","",YEAR(A127))</f>
        <v/>
      </c>
    </row>
    <row r="128">
      <c r="A128" s="15" t="n"/>
      <c r="B128" s="10" t="n"/>
      <c r="C128" s="10" t="n"/>
      <c r="D128" s="10" t="n"/>
      <c r="E128" s="14">
        <f>IF(D128="","",IFERROR(INDEX('Sản phẩm'!$B$5:$B$304,MATCH(D128,'Sản phẩm'!$A$5:$A$304,0)),""))</f>
        <v/>
      </c>
      <c r="F128" s="12" t="n"/>
      <c r="G128" s="11" t="n"/>
      <c r="H128" s="11" t="n"/>
      <c r="I128" s="16">
        <f>IF(D128="","",IF(G128&lt;&gt;"",G128,IFERROR(INDEX('Sản phẩm'!$E$5:$E$304,MATCH(D128,'Sản phẩm'!$A$5:$A$304,0)),"")))</f>
        <v/>
      </c>
      <c r="J128" s="16">
        <f>IF(OR(D128="",F128=""),"",F128*I128-N(H128))</f>
        <v/>
      </c>
      <c r="K128" s="16">
        <f>IF(OR(D128="",F128=""),"",F128*IFERROR(INDEX('Sản phẩm'!$D$5:$D$304,MATCH(D128,'Sản phẩm'!$A$5:$A$304,0)),""))</f>
        <v/>
      </c>
      <c r="L128" s="16">
        <f>IF(J128="","",J128-K128)</f>
        <v/>
      </c>
      <c r="M128" s="14">
        <f>IF(A128="","",MONTH(A128))</f>
        <v/>
      </c>
      <c r="N128" s="14">
        <f>IF(A128="","",YEAR(A128))</f>
        <v/>
      </c>
    </row>
    <row r="129">
      <c r="A129" s="15" t="n"/>
      <c r="B129" s="10" t="n"/>
      <c r="C129" s="10" t="n"/>
      <c r="D129" s="10" t="n"/>
      <c r="E129" s="14">
        <f>IF(D129="","",IFERROR(INDEX('Sản phẩm'!$B$5:$B$304,MATCH(D129,'Sản phẩm'!$A$5:$A$304,0)),""))</f>
        <v/>
      </c>
      <c r="F129" s="12" t="n"/>
      <c r="G129" s="11" t="n"/>
      <c r="H129" s="11" t="n"/>
      <c r="I129" s="16">
        <f>IF(D129="","",IF(G129&lt;&gt;"",G129,IFERROR(INDEX('Sản phẩm'!$E$5:$E$304,MATCH(D129,'Sản phẩm'!$A$5:$A$304,0)),"")))</f>
        <v/>
      </c>
      <c r="J129" s="16">
        <f>IF(OR(D129="",F129=""),"",F129*I129-N(H129))</f>
        <v/>
      </c>
      <c r="K129" s="16">
        <f>IF(OR(D129="",F129=""),"",F129*IFERROR(INDEX('Sản phẩm'!$D$5:$D$304,MATCH(D129,'Sản phẩm'!$A$5:$A$304,0)),""))</f>
        <v/>
      </c>
      <c r="L129" s="16">
        <f>IF(J129="","",J129-K129)</f>
        <v/>
      </c>
      <c r="M129" s="14">
        <f>IF(A129="","",MONTH(A129))</f>
        <v/>
      </c>
      <c r="N129" s="14">
        <f>IF(A129="","",YEAR(A129))</f>
        <v/>
      </c>
    </row>
    <row r="130">
      <c r="A130" s="15" t="n"/>
      <c r="B130" s="10" t="n"/>
      <c r="C130" s="10" t="n"/>
      <c r="D130" s="10" t="n"/>
      <c r="E130" s="14">
        <f>IF(D130="","",IFERROR(INDEX('Sản phẩm'!$B$5:$B$304,MATCH(D130,'Sản phẩm'!$A$5:$A$304,0)),""))</f>
        <v/>
      </c>
      <c r="F130" s="12" t="n"/>
      <c r="G130" s="11" t="n"/>
      <c r="H130" s="11" t="n"/>
      <c r="I130" s="16">
        <f>IF(D130="","",IF(G130&lt;&gt;"",G130,IFERROR(INDEX('Sản phẩm'!$E$5:$E$304,MATCH(D130,'Sản phẩm'!$A$5:$A$304,0)),"")))</f>
        <v/>
      </c>
      <c r="J130" s="16">
        <f>IF(OR(D130="",F130=""),"",F130*I130-N(H130))</f>
        <v/>
      </c>
      <c r="K130" s="16">
        <f>IF(OR(D130="",F130=""),"",F130*IFERROR(INDEX('Sản phẩm'!$D$5:$D$304,MATCH(D130,'Sản phẩm'!$A$5:$A$304,0)),""))</f>
        <v/>
      </c>
      <c r="L130" s="16">
        <f>IF(J130="","",J130-K130)</f>
        <v/>
      </c>
      <c r="M130" s="14">
        <f>IF(A130="","",MONTH(A130))</f>
        <v/>
      </c>
      <c r="N130" s="14">
        <f>IF(A130="","",YEAR(A130))</f>
        <v/>
      </c>
    </row>
    <row r="131">
      <c r="A131" s="15" t="n"/>
      <c r="B131" s="10" t="n"/>
      <c r="C131" s="10" t="n"/>
      <c r="D131" s="10" t="n"/>
      <c r="E131" s="14">
        <f>IF(D131="","",IFERROR(INDEX('Sản phẩm'!$B$5:$B$304,MATCH(D131,'Sản phẩm'!$A$5:$A$304,0)),""))</f>
        <v/>
      </c>
      <c r="F131" s="12" t="n"/>
      <c r="G131" s="11" t="n"/>
      <c r="H131" s="11" t="n"/>
      <c r="I131" s="16">
        <f>IF(D131="","",IF(G131&lt;&gt;"",G131,IFERROR(INDEX('Sản phẩm'!$E$5:$E$304,MATCH(D131,'Sản phẩm'!$A$5:$A$304,0)),"")))</f>
        <v/>
      </c>
      <c r="J131" s="16">
        <f>IF(OR(D131="",F131=""),"",F131*I131-N(H131))</f>
        <v/>
      </c>
      <c r="K131" s="16">
        <f>IF(OR(D131="",F131=""),"",F131*IFERROR(INDEX('Sản phẩm'!$D$5:$D$304,MATCH(D131,'Sản phẩm'!$A$5:$A$304,0)),""))</f>
        <v/>
      </c>
      <c r="L131" s="16">
        <f>IF(J131="","",J131-K131)</f>
        <v/>
      </c>
      <c r="M131" s="14">
        <f>IF(A131="","",MONTH(A131))</f>
        <v/>
      </c>
      <c r="N131" s="14">
        <f>IF(A131="","",YEAR(A131))</f>
        <v/>
      </c>
    </row>
    <row r="132">
      <c r="A132" s="15" t="n"/>
      <c r="B132" s="10" t="n"/>
      <c r="C132" s="10" t="n"/>
      <c r="D132" s="10" t="n"/>
      <c r="E132" s="14">
        <f>IF(D132="","",IFERROR(INDEX('Sản phẩm'!$B$5:$B$304,MATCH(D132,'Sản phẩm'!$A$5:$A$304,0)),""))</f>
        <v/>
      </c>
      <c r="F132" s="12" t="n"/>
      <c r="G132" s="11" t="n"/>
      <c r="H132" s="11" t="n"/>
      <c r="I132" s="16">
        <f>IF(D132="","",IF(G132&lt;&gt;"",G132,IFERROR(INDEX('Sản phẩm'!$E$5:$E$304,MATCH(D132,'Sản phẩm'!$A$5:$A$304,0)),"")))</f>
        <v/>
      </c>
      <c r="J132" s="16">
        <f>IF(OR(D132="",F132=""),"",F132*I132-N(H132))</f>
        <v/>
      </c>
      <c r="K132" s="16">
        <f>IF(OR(D132="",F132=""),"",F132*IFERROR(INDEX('Sản phẩm'!$D$5:$D$304,MATCH(D132,'Sản phẩm'!$A$5:$A$304,0)),""))</f>
        <v/>
      </c>
      <c r="L132" s="16">
        <f>IF(J132="","",J132-K132)</f>
        <v/>
      </c>
      <c r="M132" s="14">
        <f>IF(A132="","",MONTH(A132))</f>
        <v/>
      </c>
      <c r="N132" s="14">
        <f>IF(A132="","",YEAR(A132))</f>
        <v/>
      </c>
    </row>
    <row r="133">
      <c r="A133" s="15" t="n"/>
      <c r="B133" s="10" t="n"/>
      <c r="C133" s="10" t="n"/>
      <c r="D133" s="10" t="n"/>
      <c r="E133" s="14">
        <f>IF(D133="","",IFERROR(INDEX('Sản phẩm'!$B$5:$B$304,MATCH(D133,'Sản phẩm'!$A$5:$A$304,0)),""))</f>
        <v/>
      </c>
      <c r="F133" s="12" t="n"/>
      <c r="G133" s="11" t="n"/>
      <c r="H133" s="11" t="n"/>
      <c r="I133" s="16">
        <f>IF(D133="","",IF(G133&lt;&gt;"",G133,IFERROR(INDEX('Sản phẩm'!$E$5:$E$304,MATCH(D133,'Sản phẩm'!$A$5:$A$304,0)),"")))</f>
        <v/>
      </c>
      <c r="J133" s="16">
        <f>IF(OR(D133="",F133=""),"",F133*I133-N(H133))</f>
        <v/>
      </c>
      <c r="K133" s="16">
        <f>IF(OR(D133="",F133=""),"",F133*IFERROR(INDEX('Sản phẩm'!$D$5:$D$304,MATCH(D133,'Sản phẩm'!$A$5:$A$304,0)),""))</f>
        <v/>
      </c>
      <c r="L133" s="16">
        <f>IF(J133="","",J133-K133)</f>
        <v/>
      </c>
      <c r="M133" s="14">
        <f>IF(A133="","",MONTH(A133))</f>
        <v/>
      </c>
      <c r="N133" s="14">
        <f>IF(A133="","",YEAR(A133))</f>
        <v/>
      </c>
    </row>
    <row r="134">
      <c r="A134" s="15" t="n"/>
      <c r="B134" s="10" t="n"/>
      <c r="C134" s="10" t="n"/>
      <c r="D134" s="10" t="n"/>
      <c r="E134" s="14">
        <f>IF(D134="","",IFERROR(INDEX('Sản phẩm'!$B$5:$B$304,MATCH(D134,'Sản phẩm'!$A$5:$A$304,0)),""))</f>
        <v/>
      </c>
      <c r="F134" s="12" t="n"/>
      <c r="G134" s="11" t="n"/>
      <c r="H134" s="11" t="n"/>
      <c r="I134" s="16">
        <f>IF(D134="","",IF(G134&lt;&gt;"",G134,IFERROR(INDEX('Sản phẩm'!$E$5:$E$304,MATCH(D134,'Sản phẩm'!$A$5:$A$304,0)),"")))</f>
        <v/>
      </c>
      <c r="J134" s="16">
        <f>IF(OR(D134="",F134=""),"",F134*I134-N(H134))</f>
        <v/>
      </c>
      <c r="K134" s="16">
        <f>IF(OR(D134="",F134=""),"",F134*IFERROR(INDEX('Sản phẩm'!$D$5:$D$304,MATCH(D134,'Sản phẩm'!$A$5:$A$304,0)),""))</f>
        <v/>
      </c>
      <c r="L134" s="16">
        <f>IF(J134="","",J134-K134)</f>
        <v/>
      </c>
      <c r="M134" s="14">
        <f>IF(A134="","",MONTH(A134))</f>
        <v/>
      </c>
      <c r="N134" s="14">
        <f>IF(A134="","",YEAR(A134))</f>
        <v/>
      </c>
    </row>
    <row r="135">
      <c r="A135" s="15" t="n"/>
      <c r="B135" s="10" t="n"/>
      <c r="C135" s="10" t="n"/>
      <c r="D135" s="10" t="n"/>
      <c r="E135" s="14">
        <f>IF(D135="","",IFERROR(INDEX('Sản phẩm'!$B$5:$B$304,MATCH(D135,'Sản phẩm'!$A$5:$A$304,0)),""))</f>
        <v/>
      </c>
      <c r="F135" s="12" t="n"/>
      <c r="G135" s="11" t="n"/>
      <c r="H135" s="11" t="n"/>
      <c r="I135" s="16">
        <f>IF(D135="","",IF(G135&lt;&gt;"",G135,IFERROR(INDEX('Sản phẩm'!$E$5:$E$304,MATCH(D135,'Sản phẩm'!$A$5:$A$304,0)),"")))</f>
        <v/>
      </c>
      <c r="J135" s="16">
        <f>IF(OR(D135="",F135=""),"",F135*I135-N(H135))</f>
        <v/>
      </c>
      <c r="K135" s="16">
        <f>IF(OR(D135="",F135=""),"",F135*IFERROR(INDEX('Sản phẩm'!$D$5:$D$304,MATCH(D135,'Sản phẩm'!$A$5:$A$304,0)),""))</f>
        <v/>
      </c>
      <c r="L135" s="16">
        <f>IF(J135="","",J135-K135)</f>
        <v/>
      </c>
      <c r="M135" s="14">
        <f>IF(A135="","",MONTH(A135))</f>
        <v/>
      </c>
      <c r="N135" s="14">
        <f>IF(A135="","",YEAR(A135))</f>
        <v/>
      </c>
    </row>
    <row r="136">
      <c r="A136" s="15" t="n"/>
      <c r="B136" s="10" t="n"/>
      <c r="C136" s="10" t="n"/>
      <c r="D136" s="10" t="n"/>
      <c r="E136" s="14">
        <f>IF(D136="","",IFERROR(INDEX('Sản phẩm'!$B$5:$B$304,MATCH(D136,'Sản phẩm'!$A$5:$A$304,0)),""))</f>
        <v/>
      </c>
      <c r="F136" s="12" t="n"/>
      <c r="G136" s="11" t="n"/>
      <c r="H136" s="11" t="n"/>
      <c r="I136" s="16">
        <f>IF(D136="","",IF(G136&lt;&gt;"",G136,IFERROR(INDEX('Sản phẩm'!$E$5:$E$304,MATCH(D136,'Sản phẩm'!$A$5:$A$304,0)),"")))</f>
        <v/>
      </c>
      <c r="J136" s="16">
        <f>IF(OR(D136="",F136=""),"",F136*I136-N(H136))</f>
        <v/>
      </c>
      <c r="K136" s="16">
        <f>IF(OR(D136="",F136=""),"",F136*IFERROR(INDEX('Sản phẩm'!$D$5:$D$304,MATCH(D136,'Sản phẩm'!$A$5:$A$304,0)),""))</f>
        <v/>
      </c>
      <c r="L136" s="16">
        <f>IF(J136="","",J136-K136)</f>
        <v/>
      </c>
      <c r="M136" s="14">
        <f>IF(A136="","",MONTH(A136))</f>
        <v/>
      </c>
      <c r="N136" s="14">
        <f>IF(A136="","",YEAR(A136))</f>
        <v/>
      </c>
    </row>
    <row r="137">
      <c r="A137" s="15" t="n"/>
      <c r="B137" s="10" t="n"/>
      <c r="C137" s="10" t="n"/>
      <c r="D137" s="10" t="n"/>
      <c r="E137" s="14">
        <f>IF(D137="","",IFERROR(INDEX('Sản phẩm'!$B$5:$B$304,MATCH(D137,'Sản phẩm'!$A$5:$A$304,0)),""))</f>
        <v/>
      </c>
      <c r="F137" s="12" t="n"/>
      <c r="G137" s="11" t="n"/>
      <c r="H137" s="11" t="n"/>
      <c r="I137" s="16">
        <f>IF(D137="","",IF(G137&lt;&gt;"",G137,IFERROR(INDEX('Sản phẩm'!$E$5:$E$304,MATCH(D137,'Sản phẩm'!$A$5:$A$304,0)),"")))</f>
        <v/>
      </c>
      <c r="J137" s="16">
        <f>IF(OR(D137="",F137=""),"",F137*I137-N(H137))</f>
        <v/>
      </c>
      <c r="K137" s="16">
        <f>IF(OR(D137="",F137=""),"",F137*IFERROR(INDEX('Sản phẩm'!$D$5:$D$304,MATCH(D137,'Sản phẩm'!$A$5:$A$304,0)),""))</f>
        <v/>
      </c>
      <c r="L137" s="16">
        <f>IF(J137="","",J137-K137)</f>
        <v/>
      </c>
      <c r="M137" s="14">
        <f>IF(A137="","",MONTH(A137))</f>
        <v/>
      </c>
      <c r="N137" s="14">
        <f>IF(A137="","",YEAR(A137))</f>
        <v/>
      </c>
    </row>
    <row r="138">
      <c r="A138" s="15" t="n"/>
      <c r="B138" s="10" t="n"/>
      <c r="C138" s="10" t="n"/>
      <c r="D138" s="10" t="n"/>
      <c r="E138" s="14">
        <f>IF(D138="","",IFERROR(INDEX('Sản phẩm'!$B$5:$B$304,MATCH(D138,'Sản phẩm'!$A$5:$A$304,0)),""))</f>
        <v/>
      </c>
      <c r="F138" s="12" t="n"/>
      <c r="G138" s="11" t="n"/>
      <c r="H138" s="11" t="n"/>
      <c r="I138" s="16">
        <f>IF(D138="","",IF(G138&lt;&gt;"",G138,IFERROR(INDEX('Sản phẩm'!$E$5:$E$304,MATCH(D138,'Sản phẩm'!$A$5:$A$304,0)),"")))</f>
        <v/>
      </c>
      <c r="J138" s="16">
        <f>IF(OR(D138="",F138=""),"",F138*I138-N(H138))</f>
        <v/>
      </c>
      <c r="K138" s="16">
        <f>IF(OR(D138="",F138=""),"",F138*IFERROR(INDEX('Sản phẩm'!$D$5:$D$304,MATCH(D138,'Sản phẩm'!$A$5:$A$304,0)),""))</f>
        <v/>
      </c>
      <c r="L138" s="16">
        <f>IF(J138="","",J138-K138)</f>
        <v/>
      </c>
      <c r="M138" s="14">
        <f>IF(A138="","",MONTH(A138))</f>
        <v/>
      </c>
      <c r="N138" s="14">
        <f>IF(A138="","",YEAR(A138))</f>
        <v/>
      </c>
    </row>
    <row r="139">
      <c r="A139" s="15" t="n"/>
      <c r="B139" s="10" t="n"/>
      <c r="C139" s="10" t="n"/>
      <c r="D139" s="10" t="n"/>
      <c r="E139" s="14">
        <f>IF(D139="","",IFERROR(INDEX('Sản phẩm'!$B$5:$B$304,MATCH(D139,'Sản phẩm'!$A$5:$A$304,0)),""))</f>
        <v/>
      </c>
      <c r="F139" s="12" t="n"/>
      <c r="G139" s="11" t="n"/>
      <c r="H139" s="11" t="n"/>
      <c r="I139" s="16">
        <f>IF(D139="","",IF(G139&lt;&gt;"",G139,IFERROR(INDEX('Sản phẩm'!$E$5:$E$304,MATCH(D139,'Sản phẩm'!$A$5:$A$304,0)),"")))</f>
        <v/>
      </c>
      <c r="J139" s="16">
        <f>IF(OR(D139="",F139=""),"",F139*I139-N(H139))</f>
        <v/>
      </c>
      <c r="K139" s="16">
        <f>IF(OR(D139="",F139=""),"",F139*IFERROR(INDEX('Sản phẩm'!$D$5:$D$304,MATCH(D139,'Sản phẩm'!$A$5:$A$304,0)),""))</f>
        <v/>
      </c>
      <c r="L139" s="16">
        <f>IF(J139="","",J139-K139)</f>
        <v/>
      </c>
      <c r="M139" s="14">
        <f>IF(A139="","",MONTH(A139))</f>
        <v/>
      </c>
      <c r="N139" s="14">
        <f>IF(A139="","",YEAR(A139))</f>
        <v/>
      </c>
    </row>
    <row r="140">
      <c r="A140" s="15" t="n"/>
      <c r="B140" s="10" t="n"/>
      <c r="C140" s="10" t="n"/>
      <c r="D140" s="10" t="n"/>
      <c r="E140" s="14">
        <f>IF(D140="","",IFERROR(INDEX('Sản phẩm'!$B$5:$B$304,MATCH(D140,'Sản phẩm'!$A$5:$A$304,0)),""))</f>
        <v/>
      </c>
      <c r="F140" s="12" t="n"/>
      <c r="G140" s="11" t="n"/>
      <c r="H140" s="11" t="n"/>
      <c r="I140" s="16">
        <f>IF(D140="","",IF(G140&lt;&gt;"",G140,IFERROR(INDEX('Sản phẩm'!$E$5:$E$304,MATCH(D140,'Sản phẩm'!$A$5:$A$304,0)),"")))</f>
        <v/>
      </c>
      <c r="J140" s="16">
        <f>IF(OR(D140="",F140=""),"",F140*I140-N(H140))</f>
        <v/>
      </c>
      <c r="K140" s="16">
        <f>IF(OR(D140="",F140=""),"",F140*IFERROR(INDEX('Sản phẩm'!$D$5:$D$304,MATCH(D140,'Sản phẩm'!$A$5:$A$304,0)),""))</f>
        <v/>
      </c>
      <c r="L140" s="16">
        <f>IF(J140="","",J140-K140)</f>
        <v/>
      </c>
      <c r="M140" s="14">
        <f>IF(A140="","",MONTH(A140))</f>
        <v/>
      </c>
      <c r="N140" s="14">
        <f>IF(A140="","",YEAR(A140))</f>
        <v/>
      </c>
    </row>
    <row r="141">
      <c r="A141" s="15" t="n"/>
      <c r="B141" s="10" t="n"/>
      <c r="C141" s="10" t="n"/>
      <c r="D141" s="10" t="n"/>
      <c r="E141" s="14">
        <f>IF(D141="","",IFERROR(INDEX('Sản phẩm'!$B$5:$B$304,MATCH(D141,'Sản phẩm'!$A$5:$A$304,0)),""))</f>
        <v/>
      </c>
      <c r="F141" s="12" t="n"/>
      <c r="G141" s="11" t="n"/>
      <c r="H141" s="11" t="n"/>
      <c r="I141" s="16">
        <f>IF(D141="","",IF(G141&lt;&gt;"",G141,IFERROR(INDEX('Sản phẩm'!$E$5:$E$304,MATCH(D141,'Sản phẩm'!$A$5:$A$304,0)),"")))</f>
        <v/>
      </c>
      <c r="J141" s="16">
        <f>IF(OR(D141="",F141=""),"",F141*I141-N(H141))</f>
        <v/>
      </c>
      <c r="K141" s="16">
        <f>IF(OR(D141="",F141=""),"",F141*IFERROR(INDEX('Sản phẩm'!$D$5:$D$304,MATCH(D141,'Sản phẩm'!$A$5:$A$304,0)),""))</f>
        <v/>
      </c>
      <c r="L141" s="16">
        <f>IF(J141="","",J141-K141)</f>
        <v/>
      </c>
      <c r="M141" s="14">
        <f>IF(A141="","",MONTH(A141))</f>
        <v/>
      </c>
      <c r="N141" s="14">
        <f>IF(A141="","",YEAR(A141))</f>
        <v/>
      </c>
    </row>
    <row r="142">
      <c r="A142" s="15" t="n"/>
      <c r="B142" s="10" t="n"/>
      <c r="C142" s="10" t="n"/>
      <c r="D142" s="10" t="n"/>
      <c r="E142" s="14">
        <f>IF(D142="","",IFERROR(INDEX('Sản phẩm'!$B$5:$B$304,MATCH(D142,'Sản phẩm'!$A$5:$A$304,0)),""))</f>
        <v/>
      </c>
      <c r="F142" s="12" t="n"/>
      <c r="G142" s="11" t="n"/>
      <c r="H142" s="11" t="n"/>
      <c r="I142" s="16">
        <f>IF(D142="","",IF(G142&lt;&gt;"",G142,IFERROR(INDEX('Sản phẩm'!$E$5:$E$304,MATCH(D142,'Sản phẩm'!$A$5:$A$304,0)),"")))</f>
        <v/>
      </c>
      <c r="J142" s="16">
        <f>IF(OR(D142="",F142=""),"",F142*I142-N(H142))</f>
        <v/>
      </c>
      <c r="K142" s="16">
        <f>IF(OR(D142="",F142=""),"",F142*IFERROR(INDEX('Sản phẩm'!$D$5:$D$304,MATCH(D142,'Sản phẩm'!$A$5:$A$304,0)),""))</f>
        <v/>
      </c>
      <c r="L142" s="16">
        <f>IF(J142="","",J142-K142)</f>
        <v/>
      </c>
      <c r="M142" s="14">
        <f>IF(A142="","",MONTH(A142))</f>
        <v/>
      </c>
      <c r="N142" s="14">
        <f>IF(A142="","",YEAR(A142))</f>
        <v/>
      </c>
    </row>
    <row r="143">
      <c r="A143" s="15" t="n"/>
      <c r="B143" s="10" t="n"/>
      <c r="C143" s="10" t="n"/>
      <c r="D143" s="10" t="n"/>
      <c r="E143" s="14">
        <f>IF(D143="","",IFERROR(INDEX('Sản phẩm'!$B$5:$B$304,MATCH(D143,'Sản phẩm'!$A$5:$A$304,0)),""))</f>
        <v/>
      </c>
      <c r="F143" s="12" t="n"/>
      <c r="G143" s="11" t="n"/>
      <c r="H143" s="11" t="n"/>
      <c r="I143" s="16">
        <f>IF(D143="","",IF(G143&lt;&gt;"",G143,IFERROR(INDEX('Sản phẩm'!$E$5:$E$304,MATCH(D143,'Sản phẩm'!$A$5:$A$304,0)),"")))</f>
        <v/>
      </c>
      <c r="J143" s="16">
        <f>IF(OR(D143="",F143=""),"",F143*I143-N(H143))</f>
        <v/>
      </c>
      <c r="K143" s="16">
        <f>IF(OR(D143="",F143=""),"",F143*IFERROR(INDEX('Sản phẩm'!$D$5:$D$304,MATCH(D143,'Sản phẩm'!$A$5:$A$304,0)),""))</f>
        <v/>
      </c>
      <c r="L143" s="16">
        <f>IF(J143="","",J143-K143)</f>
        <v/>
      </c>
      <c r="M143" s="14">
        <f>IF(A143="","",MONTH(A143))</f>
        <v/>
      </c>
      <c r="N143" s="14">
        <f>IF(A143="","",YEAR(A143))</f>
        <v/>
      </c>
    </row>
    <row r="144">
      <c r="A144" s="15" t="n"/>
      <c r="B144" s="10" t="n"/>
      <c r="C144" s="10" t="n"/>
      <c r="D144" s="10" t="n"/>
      <c r="E144" s="14">
        <f>IF(D144="","",IFERROR(INDEX('Sản phẩm'!$B$5:$B$304,MATCH(D144,'Sản phẩm'!$A$5:$A$304,0)),""))</f>
        <v/>
      </c>
      <c r="F144" s="12" t="n"/>
      <c r="G144" s="11" t="n"/>
      <c r="H144" s="11" t="n"/>
      <c r="I144" s="16">
        <f>IF(D144="","",IF(G144&lt;&gt;"",G144,IFERROR(INDEX('Sản phẩm'!$E$5:$E$304,MATCH(D144,'Sản phẩm'!$A$5:$A$304,0)),"")))</f>
        <v/>
      </c>
      <c r="J144" s="16">
        <f>IF(OR(D144="",F144=""),"",F144*I144-N(H144))</f>
        <v/>
      </c>
      <c r="K144" s="16">
        <f>IF(OR(D144="",F144=""),"",F144*IFERROR(INDEX('Sản phẩm'!$D$5:$D$304,MATCH(D144,'Sản phẩm'!$A$5:$A$304,0)),""))</f>
        <v/>
      </c>
      <c r="L144" s="16">
        <f>IF(J144="","",J144-K144)</f>
        <v/>
      </c>
      <c r="M144" s="14">
        <f>IF(A144="","",MONTH(A144))</f>
        <v/>
      </c>
      <c r="N144" s="14">
        <f>IF(A144="","",YEAR(A144))</f>
        <v/>
      </c>
    </row>
    <row r="145">
      <c r="A145" s="15" t="n"/>
      <c r="B145" s="10" t="n"/>
      <c r="C145" s="10" t="n"/>
      <c r="D145" s="10" t="n"/>
      <c r="E145" s="14">
        <f>IF(D145="","",IFERROR(INDEX('Sản phẩm'!$B$5:$B$304,MATCH(D145,'Sản phẩm'!$A$5:$A$304,0)),""))</f>
        <v/>
      </c>
      <c r="F145" s="12" t="n"/>
      <c r="G145" s="11" t="n"/>
      <c r="H145" s="11" t="n"/>
      <c r="I145" s="16">
        <f>IF(D145="","",IF(G145&lt;&gt;"",G145,IFERROR(INDEX('Sản phẩm'!$E$5:$E$304,MATCH(D145,'Sản phẩm'!$A$5:$A$304,0)),"")))</f>
        <v/>
      </c>
      <c r="J145" s="16">
        <f>IF(OR(D145="",F145=""),"",F145*I145-N(H145))</f>
        <v/>
      </c>
      <c r="K145" s="16">
        <f>IF(OR(D145="",F145=""),"",F145*IFERROR(INDEX('Sản phẩm'!$D$5:$D$304,MATCH(D145,'Sản phẩm'!$A$5:$A$304,0)),""))</f>
        <v/>
      </c>
      <c r="L145" s="16">
        <f>IF(J145="","",J145-K145)</f>
        <v/>
      </c>
      <c r="M145" s="14">
        <f>IF(A145="","",MONTH(A145))</f>
        <v/>
      </c>
      <c r="N145" s="14">
        <f>IF(A145="","",YEAR(A145))</f>
        <v/>
      </c>
    </row>
    <row r="146">
      <c r="A146" s="15" t="n"/>
      <c r="B146" s="10" t="n"/>
      <c r="C146" s="10" t="n"/>
      <c r="D146" s="10" t="n"/>
      <c r="E146" s="14">
        <f>IF(D146="","",IFERROR(INDEX('Sản phẩm'!$B$5:$B$304,MATCH(D146,'Sản phẩm'!$A$5:$A$304,0)),""))</f>
        <v/>
      </c>
      <c r="F146" s="12" t="n"/>
      <c r="G146" s="11" t="n"/>
      <c r="H146" s="11" t="n"/>
      <c r="I146" s="16">
        <f>IF(D146="","",IF(G146&lt;&gt;"",G146,IFERROR(INDEX('Sản phẩm'!$E$5:$E$304,MATCH(D146,'Sản phẩm'!$A$5:$A$304,0)),"")))</f>
        <v/>
      </c>
      <c r="J146" s="16">
        <f>IF(OR(D146="",F146=""),"",F146*I146-N(H146))</f>
        <v/>
      </c>
      <c r="K146" s="16">
        <f>IF(OR(D146="",F146=""),"",F146*IFERROR(INDEX('Sản phẩm'!$D$5:$D$304,MATCH(D146,'Sản phẩm'!$A$5:$A$304,0)),""))</f>
        <v/>
      </c>
      <c r="L146" s="16">
        <f>IF(J146="","",J146-K146)</f>
        <v/>
      </c>
      <c r="M146" s="14">
        <f>IF(A146="","",MONTH(A146))</f>
        <v/>
      </c>
      <c r="N146" s="14">
        <f>IF(A146="","",YEAR(A146))</f>
        <v/>
      </c>
    </row>
    <row r="147">
      <c r="A147" s="15" t="n"/>
      <c r="B147" s="10" t="n"/>
      <c r="C147" s="10" t="n"/>
      <c r="D147" s="10" t="n"/>
      <c r="E147" s="14">
        <f>IF(D147="","",IFERROR(INDEX('Sản phẩm'!$B$5:$B$304,MATCH(D147,'Sản phẩm'!$A$5:$A$304,0)),""))</f>
        <v/>
      </c>
      <c r="F147" s="12" t="n"/>
      <c r="G147" s="11" t="n"/>
      <c r="H147" s="11" t="n"/>
      <c r="I147" s="16">
        <f>IF(D147="","",IF(G147&lt;&gt;"",G147,IFERROR(INDEX('Sản phẩm'!$E$5:$E$304,MATCH(D147,'Sản phẩm'!$A$5:$A$304,0)),"")))</f>
        <v/>
      </c>
      <c r="J147" s="16">
        <f>IF(OR(D147="",F147=""),"",F147*I147-N(H147))</f>
        <v/>
      </c>
      <c r="K147" s="16">
        <f>IF(OR(D147="",F147=""),"",F147*IFERROR(INDEX('Sản phẩm'!$D$5:$D$304,MATCH(D147,'Sản phẩm'!$A$5:$A$304,0)),""))</f>
        <v/>
      </c>
      <c r="L147" s="16">
        <f>IF(J147="","",J147-K147)</f>
        <v/>
      </c>
      <c r="M147" s="14">
        <f>IF(A147="","",MONTH(A147))</f>
        <v/>
      </c>
      <c r="N147" s="14">
        <f>IF(A147="","",YEAR(A147))</f>
        <v/>
      </c>
    </row>
    <row r="148">
      <c r="A148" s="15" t="n"/>
      <c r="B148" s="10" t="n"/>
      <c r="C148" s="10" t="n"/>
      <c r="D148" s="10" t="n"/>
      <c r="E148" s="14">
        <f>IF(D148="","",IFERROR(INDEX('Sản phẩm'!$B$5:$B$304,MATCH(D148,'Sản phẩm'!$A$5:$A$304,0)),""))</f>
        <v/>
      </c>
      <c r="F148" s="12" t="n"/>
      <c r="G148" s="11" t="n"/>
      <c r="H148" s="11" t="n"/>
      <c r="I148" s="16">
        <f>IF(D148="","",IF(G148&lt;&gt;"",G148,IFERROR(INDEX('Sản phẩm'!$E$5:$E$304,MATCH(D148,'Sản phẩm'!$A$5:$A$304,0)),"")))</f>
        <v/>
      </c>
      <c r="J148" s="16">
        <f>IF(OR(D148="",F148=""),"",F148*I148-N(H148))</f>
        <v/>
      </c>
      <c r="K148" s="16">
        <f>IF(OR(D148="",F148=""),"",F148*IFERROR(INDEX('Sản phẩm'!$D$5:$D$304,MATCH(D148,'Sản phẩm'!$A$5:$A$304,0)),""))</f>
        <v/>
      </c>
      <c r="L148" s="16">
        <f>IF(J148="","",J148-K148)</f>
        <v/>
      </c>
      <c r="M148" s="14">
        <f>IF(A148="","",MONTH(A148))</f>
        <v/>
      </c>
      <c r="N148" s="14">
        <f>IF(A148="","",YEAR(A148))</f>
        <v/>
      </c>
    </row>
    <row r="149">
      <c r="A149" s="15" t="n"/>
      <c r="B149" s="10" t="n"/>
      <c r="C149" s="10" t="n"/>
      <c r="D149" s="10" t="n"/>
      <c r="E149" s="14">
        <f>IF(D149="","",IFERROR(INDEX('Sản phẩm'!$B$5:$B$304,MATCH(D149,'Sản phẩm'!$A$5:$A$304,0)),""))</f>
        <v/>
      </c>
      <c r="F149" s="12" t="n"/>
      <c r="G149" s="11" t="n"/>
      <c r="H149" s="11" t="n"/>
      <c r="I149" s="16">
        <f>IF(D149="","",IF(G149&lt;&gt;"",G149,IFERROR(INDEX('Sản phẩm'!$E$5:$E$304,MATCH(D149,'Sản phẩm'!$A$5:$A$304,0)),"")))</f>
        <v/>
      </c>
      <c r="J149" s="16">
        <f>IF(OR(D149="",F149=""),"",F149*I149-N(H149))</f>
        <v/>
      </c>
      <c r="K149" s="16">
        <f>IF(OR(D149="",F149=""),"",F149*IFERROR(INDEX('Sản phẩm'!$D$5:$D$304,MATCH(D149,'Sản phẩm'!$A$5:$A$304,0)),""))</f>
        <v/>
      </c>
      <c r="L149" s="16">
        <f>IF(J149="","",J149-K149)</f>
        <v/>
      </c>
      <c r="M149" s="14">
        <f>IF(A149="","",MONTH(A149))</f>
        <v/>
      </c>
      <c r="N149" s="14">
        <f>IF(A149="","",YEAR(A149))</f>
        <v/>
      </c>
    </row>
    <row r="150">
      <c r="A150" s="15" t="n"/>
      <c r="B150" s="10" t="n"/>
      <c r="C150" s="10" t="n"/>
      <c r="D150" s="10" t="n"/>
      <c r="E150" s="14">
        <f>IF(D150="","",IFERROR(INDEX('Sản phẩm'!$B$5:$B$304,MATCH(D150,'Sản phẩm'!$A$5:$A$304,0)),""))</f>
        <v/>
      </c>
      <c r="F150" s="12" t="n"/>
      <c r="G150" s="11" t="n"/>
      <c r="H150" s="11" t="n"/>
      <c r="I150" s="16">
        <f>IF(D150="","",IF(G150&lt;&gt;"",G150,IFERROR(INDEX('Sản phẩm'!$E$5:$E$304,MATCH(D150,'Sản phẩm'!$A$5:$A$304,0)),"")))</f>
        <v/>
      </c>
      <c r="J150" s="16">
        <f>IF(OR(D150="",F150=""),"",F150*I150-N(H150))</f>
        <v/>
      </c>
      <c r="K150" s="16">
        <f>IF(OR(D150="",F150=""),"",F150*IFERROR(INDEX('Sản phẩm'!$D$5:$D$304,MATCH(D150,'Sản phẩm'!$A$5:$A$304,0)),""))</f>
        <v/>
      </c>
      <c r="L150" s="16">
        <f>IF(J150="","",J150-K150)</f>
        <v/>
      </c>
      <c r="M150" s="14">
        <f>IF(A150="","",MONTH(A150))</f>
        <v/>
      </c>
      <c r="N150" s="14">
        <f>IF(A150="","",YEAR(A150))</f>
        <v/>
      </c>
    </row>
    <row r="151">
      <c r="A151" s="15" t="n"/>
      <c r="B151" s="10" t="n"/>
      <c r="C151" s="10" t="n"/>
      <c r="D151" s="10" t="n"/>
      <c r="E151" s="14">
        <f>IF(D151="","",IFERROR(INDEX('Sản phẩm'!$B$5:$B$304,MATCH(D151,'Sản phẩm'!$A$5:$A$304,0)),""))</f>
        <v/>
      </c>
      <c r="F151" s="12" t="n"/>
      <c r="G151" s="11" t="n"/>
      <c r="H151" s="11" t="n"/>
      <c r="I151" s="16">
        <f>IF(D151="","",IF(G151&lt;&gt;"",G151,IFERROR(INDEX('Sản phẩm'!$E$5:$E$304,MATCH(D151,'Sản phẩm'!$A$5:$A$304,0)),"")))</f>
        <v/>
      </c>
      <c r="J151" s="16">
        <f>IF(OR(D151="",F151=""),"",F151*I151-N(H151))</f>
        <v/>
      </c>
      <c r="K151" s="16">
        <f>IF(OR(D151="",F151=""),"",F151*IFERROR(INDEX('Sản phẩm'!$D$5:$D$304,MATCH(D151,'Sản phẩm'!$A$5:$A$304,0)),""))</f>
        <v/>
      </c>
      <c r="L151" s="16">
        <f>IF(J151="","",J151-K151)</f>
        <v/>
      </c>
      <c r="M151" s="14">
        <f>IF(A151="","",MONTH(A151))</f>
        <v/>
      </c>
      <c r="N151" s="14">
        <f>IF(A151="","",YEAR(A151))</f>
        <v/>
      </c>
    </row>
    <row r="152">
      <c r="A152" s="15" t="n"/>
      <c r="B152" s="10" t="n"/>
      <c r="C152" s="10" t="n"/>
      <c r="D152" s="10" t="n"/>
      <c r="E152" s="14">
        <f>IF(D152="","",IFERROR(INDEX('Sản phẩm'!$B$5:$B$304,MATCH(D152,'Sản phẩm'!$A$5:$A$304,0)),""))</f>
        <v/>
      </c>
      <c r="F152" s="12" t="n"/>
      <c r="G152" s="11" t="n"/>
      <c r="H152" s="11" t="n"/>
      <c r="I152" s="16">
        <f>IF(D152="","",IF(G152&lt;&gt;"",G152,IFERROR(INDEX('Sản phẩm'!$E$5:$E$304,MATCH(D152,'Sản phẩm'!$A$5:$A$304,0)),"")))</f>
        <v/>
      </c>
      <c r="J152" s="16">
        <f>IF(OR(D152="",F152=""),"",F152*I152-N(H152))</f>
        <v/>
      </c>
      <c r="K152" s="16">
        <f>IF(OR(D152="",F152=""),"",F152*IFERROR(INDEX('Sản phẩm'!$D$5:$D$304,MATCH(D152,'Sản phẩm'!$A$5:$A$304,0)),""))</f>
        <v/>
      </c>
      <c r="L152" s="16">
        <f>IF(J152="","",J152-K152)</f>
        <v/>
      </c>
      <c r="M152" s="14">
        <f>IF(A152="","",MONTH(A152))</f>
        <v/>
      </c>
      <c r="N152" s="14">
        <f>IF(A152="","",YEAR(A152))</f>
        <v/>
      </c>
    </row>
    <row r="153">
      <c r="A153" s="15" t="n"/>
      <c r="B153" s="10" t="n"/>
      <c r="C153" s="10" t="n"/>
      <c r="D153" s="10" t="n"/>
      <c r="E153" s="14">
        <f>IF(D153="","",IFERROR(INDEX('Sản phẩm'!$B$5:$B$304,MATCH(D153,'Sản phẩm'!$A$5:$A$304,0)),""))</f>
        <v/>
      </c>
      <c r="F153" s="12" t="n"/>
      <c r="G153" s="11" t="n"/>
      <c r="H153" s="11" t="n"/>
      <c r="I153" s="16">
        <f>IF(D153="","",IF(G153&lt;&gt;"",G153,IFERROR(INDEX('Sản phẩm'!$E$5:$E$304,MATCH(D153,'Sản phẩm'!$A$5:$A$304,0)),"")))</f>
        <v/>
      </c>
      <c r="J153" s="16">
        <f>IF(OR(D153="",F153=""),"",F153*I153-N(H153))</f>
        <v/>
      </c>
      <c r="K153" s="16">
        <f>IF(OR(D153="",F153=""),"",F153*IFERROR(INDEX('Sản phẩm'!$D$5:$D$304,MATCH(D153,'Sản phẩm'!$A$5:$A$304,0)),""))</f>
        <v/>
      </c>
      <c r="L153" s="16">
        <f>IF(J153="","",J153-K153)</f>
        <v/>
      </c>
      <c r="M153" s="14">
        <f>IF(A153="","",MONTH(A153))</f>
        <v/>
      </c>
      <c r="N153" s="14">
        <f>IF(A153="","",YEAR(A153))</f>
        <v/>
      </c>
    </row>
    <row r="154">
      <c r="A154" s="15" t="n"/>
      <c r="B154" s="10" t="n"/>
      <c r="C154" s="10" t="n"/>
      <c r="D154" s="10" t="n"/>
      <c r="E154" s="14">
        <f>IF(D154="","",IFERROR(INDEX('Sản phẩm'!$B$5:$B$304,MATCH(D154,'Sản phẩm'!$A$5:$A$304,0)),""))</f>
        <v/>
      </c>
      <c r="F154" s="12" t="n"/>
      <c r="G154" s="11" t="n"/>
      <c r="H154" s="11" t="n"/>
      <c r="I154" s="16">
        <f>IF(D154="","",IF(G154&lt;&gt;"",G154,IFERROR(INDEX('Sản phẩm'!$E$5:$E$304,MATCH(D154,'Sản phẩm'!$A$5:$A$304,0)),"")))</f>
        <v/>
      </c>
      <c r="J154" s="16">
        <f>IF(OR(D154="",F154=""),"",F154*I154-N(H154))</f>
        <v/>
      </c>
      <c r="K154" s="16">
        <f>IF(OR(D154="",F154=""),"",F154*IFERROR(INDEX('Sản phẩm'!$D$5:$D$304,MATCH(D154,'Sản phẩm'!$A$5:$A$304,0)),""))</f>
        <v/>
      </c>
      <c r="L154" s="16">
        <f>IF(J154="","",J154-K154)</f>
        <v/>
      </c>
      <c r="M154" s="14">
        <f>IF(A154="","",MONTH(A154))</f>
        <v/>
      </c>
      <c r="N154" s="14">
        <f>IF(A154="","",YEAR(A154))</f>
        <v/>
      </c>
    </row>
    <row r="155">
      <c r="A155" s="15" t="n"/>
      <c r="B155" s="10" t="n"/>
      <c r="C155" s="10" t="n"/>
      <c r="D155" s="10" t="n"/>
      <c r="E155" s="14">
        <f>IF(D155="","",IFERROR(INDEX('Sản phẩm'!$B$5:$B$304,MATCH(D155,'Sản phẩm'!$A$5:$A$304,0)),""))</f>
        <v/>
      </c>
      <c r="F155" s="12" t="n"/>
      <c r="G155" s="11" t="n"/>
      <c r="H155" s="11" t="n"/>
      <c r="I155" s="16">
        <f>IF(D155="","",IF(G155&lt;&gt;"",G155,IFERROR(INDEX('Sản phẩm'!$E$5:$E$304,MATCH(D155,'Sản phẩm'!$A$5:$A$304,0)),"")))</f>
        <v/>
      </c>
      <c r="J155" s="16">
        <f>IF(OR(D155="",F155=""),"",F155*I155-N(H155))</f>
        <v/>
      </c>
      <c r="K155" s="16">
        <f>IF(OR(D155="",F155=""),"",F155*IFERROR(INDEX('Sản phẩm'!$D$5:$D$304,MATCH(D155,'Sản phẩm'!$A$5:$A$304,0)),""))</f>
        <v/>
      </c>
      <c r="L155" s="16">
        <f>IF(J155="","",J155-K155)</f>
        <v/>
      </c>
      <c r="M155" s="14">
        <f>IF(A155="","",MONTH(A155))</f>
        <v/>
      </c>
      <c r="N155" s="14">
        <f>IF(A155="","",YEAR(A155))</f>
        <v/>
      </c>
    </row>
    <row r="156">
      <c r="A156" s="15" t="n"/>
      <c r="B156" s="10" t="n"/>
      <c r="C156" s="10" t="n"/>
      <c r="D156" s="10" t="n"/>
      <c r="E156" s="14">
        <f>IF(D156="","",IFERROR(INDEX('Sản phẩm'!$B$5:$B$304,MATCH(D156,'Sản phẩm'!$A$5:$A$304,0)),""))</f>
        <v/>
      </c>
      <c r="F156" s="12" t="n"/>
      <c r="G156" s="11" t="n"/>
      <c r="H156" s="11" t="n"/>
      <c r="I156" s="16">
        <f>IF(D156="","",IF(G156&lt;&gt;"",G156,IFERROR(INDEX('Sản phẩm'!$E$5:$E$304,MATCH(D156,'Sản phẩm'!$A$5:$A$304,0)),"")))</f>
        <v/>
      </c>
      <c r="J156" s="16">
        <f>IF(OR(D156="",F156=""),"",F156*I156-N(H156))</f>
        <v/>
      </c>
      <c r="K156" s="16">
        <f>IF(OR(D156="",F156=""),"",F156*IFERROR(INDEX('Sản phẩm'!$D$5:$D$304,MATCH(D156,'Sản phẩm'!$A$5:$A$304,0)),""))</f>
        <v/>
      </c>
      <c r="L156" s="16">
        <f>IF(J156="","",J156-K156)</f>
        <v/>
      </c>
      <c r="M156" s="14">
        <f>IF(A156="","",MONTH(A156))</f>
        <v/>
      </c>
      <c r="N156" s="14">
        <f>IF(A156="","",YEAR(A156))</f>
        <v/>
      </c>
    </row>
    <row r="157">
      <c r="A157" s="15" t="n"/>
      <c r="B157" s="10" t="n"/>
      <c r="C157" s="10" t="n"/>
      <c r="D157" s="10" t="n"/>
      <c r="E157" s="14">
        <f>IF(D157="","",IFERROR(INDEX('Sản phẩm'!$B$5:$B$304,MATCH(D157,'Sản phẩm'!$A$5:$A$304,0)),""))</f>
        <v/>
      </c>
      <c r="F157" s="12" t="n"/>
      <c r="G157" s="11" t="n"/>
      <c r="H157" s="11" t="n"/>
      <c r="I157" s="16">
        <f>IF(D157="","",IF(G157&lt;&gt;"",G157,IFERROR(INDEX('Sản phẩm'!$E$5:$E$304,MATCH(D157,'Sản phẩm'!$A$5:$A$304,0)),"")))</f>
        <v/>
      </c>
      <c r="J157" s="16">
        <f>IF(OR(D157="",F157=""),"",F157*I157-N(H157))</f>
        <v/>
      </c>
      <c r="K157" s="16">
        <f>IF(OR(D157="",F157=""),"",F157*IFERROR(INDEX('Sản phẩm'!$D$5:$D$304,MATCH(D157,'Sản phẩm'!$A$5:$A$304,0)),""))</f>
        <v/>
      </c>
      <c r="L157" s="16">
        <f>IF(J157="","",J157-K157)</f>
        <v/>
      </c>
      <c r="M157" s="14">
        <f>IF(A157="","",MONTH(A157))</f>
        <v/>
      </c>
      <c r="N157" s="14">
        <f>IF(A157="","",YEAR(A157))</f>
        <v/>
      </c>
    </row>
    <row r="158">
      <c r="A158" s="15" t="n"/>
      <c r="B158" s="10" t="n"/>
      <c r="C158" s="10" t="n"/>
      <c r="D158" s="10" t="n"/>
      <c r="E158" s="14">
        <f>IF(D158="","",IFERROR(INDEX('Sản phẩm'!$B$5:$B$304,MATCH(D158,'Sản phẩm'!$A$5:$A$304,0)),""))</f>
        <v/>
      </c>
      <c r="F158" s="12" t="n"/>
      <c r="G158" s="11" t="n"/>
      <c r="H158" s="11" t="n"/>
      <c r="I158" s="16">
        <f>IF(D158="","",IF(G158&lt;&gt;"",G158,IFERROR(INDEX('Sản phẩm'!$E$5:$E$304,MATCH(D158,'Sản phẩm'!$A$5:$A$304,0)),"")))</f>
        <v/>
      </c>
      <c r="J158" s="16">
        <f>IF(OR(D158="",F158=""),"",F158*I158-N(H158))</f>
        <v/>
      </c>
      <c r="K158" s="16">
        <f>IF(OR(D158="",F158=""),"",F158*IFERROR(INDEX('Sản phẩm'!$D$5:$D$304,MATCH(D158,'Sản phẩm'!$A$5:$A$304,0)),""))</f>
        <v/>
      </c>
      <c r="L158" s="16">
        <f>IF(J158="","",J158-K158)</f>
        <v/>
      </c>
      <c r="M158" s="14">
        <f>IF(A158="","",MONTH(A158))</f>
        <v/>
      </c>
      <c r="N158" s="14">
        <f>IF(A158="","",YEAR(A158))</f>
        <v/>
      </c>
    </row>
    <row r="159">
      <c r="A159" s="15" t="n"/>
      <c r="B159" s="10" t="n"/>
      <c r="C159" s="10" t="n"/>
      <c r="D159" s="10" t="n"/>
      <c r="E159" s="14">
        <f>IF(D159="","",IFERROR(INDEX('Sản phẩm'!$B$5:$B$304,MATCH(D159,'Sản phẩm'!$A$5:$A$304,0)),""))</f>
        <v/>
      </c>
      <c r="F159" s="12" t="n"/>
      <c r="G159" s="11" t="n"/>
      <c r="H159" s="11" t="n"/>
      <c r="I159" s="16">
        <f>IF(D159="","",IF(G159&lt;&gt;"",G159,IFERROR(INDEX('Sản phẩm'!$E$5:$E$304,MATCH(D159,'Sản phẩm'!$A$5:$A$304,0)),"")))</f>
        <v/>
      </c>
      <c r="J159" s="16">
        <f>IF(OR(D159="",F159=""),"",F159*I159-N(H159))</f>
        <v/>
      </c>
      <c r="K159" s="16">
        <f>IF(OR(D159="",F159=""),"",F159*IFERROR(INDEX('Sản phẩm'!$D$5:$D$304,MATCH(D159,'Sản phẩm'!$A$5:$A$304,0)),""))</f>
        <v/>
      </c>
      <c r="L159" s="16">
        <f>IF(J159="","",J159-K159)</f>
        <v/>
      </c>
      <c r="M159" s="14">
        <f>IF(A159="","",MONTH(A159))</f>
        <v/>
      </c>
      <c r="N159" s="14">
        <f>IF(A159="","",YEAR(A159))</f>
        <v/>
      </c>
    </row>
    <row r="160">
      <c r="A160" s="15" t="n"/>
      <c r="B160" s="10" t="n"/>
      <c r="C160" s="10" t="n"/>
      <c r="D160" s="10" t="n"/>
      <c r="E160" s="14">
        <f>IF(D160="","",IFERROR(INDEX('Sản phẩm'!$B$5:$B$304,MATCH(D160,'Sản phẩm'!$A$5:$A$304,0)),""))</f>
        <v/>
      </c>
      <c r="F160" s="12" t="n"/>
      <c r="G160" s="11" t="n"/>
      <c r="H160" s="11" t="n"/>
      <c r="I160" s="16">
        <f>IF(D160="","",IF(G160&lt;&gt;"",G160,IFERROR(INDEX('Sản phẩm'!$E$5:$E$304,MATCH(D160,'Sản phẩm'!$A$5:$A$304,0)),"")))</f>
        <v/>
      </c>
      <c r="J160" s="16">
        <f>IF(OR(D160="",F160=""),"",F160*I160-N(H160))</f>
        <v/>
      </c>
      <c r="K160" s="16">
        <f>IF(OR(D160="",F160=""),"",F160*IFERROR(INDEX('Sản phẩm'!$D$5:$D$304,MATCH(D160,'Sản phẩm'!$A$5:$A$304,0)),""))</f>
        <v/>
      </c>
      <c r="L160" s="16">
        <f>IF(J160="","",J160-K160)</f>
        <v/>
      </c>
      <c r="M160" s="14">
        <f>IF(A160="","",MONTH(A160))</f>
        <v/>
      </c>
      <c r="N160" s="14">
        <f>IF(A160="","",YEAR(A160))</f>
        <v/>
      </c>
    </row>
    <row r="161">
      <c r="A161" s="15" t="n"/>
      <c r="B161" s="10" t="n"/>
      <c r="C161" s="10" t="n"/>
      <c r="D161" s="10" t="n"/>
      <c r="E161" s="14">
        <f>IF(D161="","",IFERROR(INDEX('Sản phẩm'!$B$5:$B$304,MATCH(D161,'Sản phẩm'!$A$5:$A$304,0)),""))</f>
        <v/>
      </c>
      <c r="F161" s="12" t="n"/>
      <c r="G161" s="11" t="n"/>
      <c r="H161" s="11" t="n"/>
      <c r="I161" s="16">
        <f>IF(D161="","",IF(G161&lt;&gt;"",G161,IFERROR(INDEX('Sản phẩm'!$E$5:$E$304,MATCH(D161,'Sản phẩm'!$A$5:$A$304,0)),"")))</f>
        <v/>
      </c>
      <c r="J161" s="16">
        <f>IF(OR(D161="",F161=""),"",F161*I161-N(H161))</f>
        <v/>
      </c>
      <c r="K161" s="16">
        <f>IF(OR(D161="",F161=""),"",F161*IFERROR(INDEX('Sản phẩm'!$D$5:$D$304,MATCH(D161,'Sản phẩm'!$A$5:$A$304,0)),""))</f>
        <v/>
      </c>
      <c r="L161" s="16">
        <f>IF(J161="","",J161-K161)</f>
        <v/>
      </c>
      <c r="M161" s="14">
        <f>IF(A161="","",MONTH(A161))</f>
        <v/>
      </c>
      <c r="N161" s="14">
        <f>IF(A161="","",YEAR(A161))</f>
        <v/>
      </c>
    </row>
    <row r="162">
      <c r="A162" s="15" t="n"/>
      <c r="B162" s="10" t="n"/>
      <c r="C162" s="10" t="n"/>
      <c r="D162" s="10" t="n"/>
      <c r="E162" s="14">
        <f>IF(D162="","",IFERROR(INDEX('Sản phẩm'!$B$5:$B$304,MATCH(D162,'Sản phẩm'!$A$5:$A$304,0)),""))</f>
        <v/>
      </c>
      <c r="F162" s="12" t="n"/>
      <c r="G162" s="11" t="n"/>
      <c r="H162" s="11" t="n"/>
      <c r="I162" s="16">
        <f>IF(D162="","",IF(G162&lt;&gt;"",G162,IFERROR(INDEX('Sản phẩm'!$E$5:$E$304,MATCH(D162,'Sản phẩm'!$A$5:$A$304,0)),"")))</f>
        <v/>
      </c>
      <c r="J162" s="16">
        <f>IF(OR(D162="",F162=""),"",F162*I162-N(H162))</f>
        <v/>
      </c>
      <c r="K162" s="16">
        <f>IF(OR(D162="",F162=""),"",F162*IFERROR(INDEX('Sản phẩm'!$D$5:$D$304,MATCH(D162,'Sản phẩm'!$A$5:$A$304,0)),""))</f>
        <v/>
      </c>
      <c r="L162" s="16">
        <f>IF(J162="","",J162-K162)</f>
        <v/>
      </c>
      <c r="M162" s="14">
        <f>IF(A162="","",MONTH(A162))</f>
        <v/>
      </c>
      <c r="N162" s="14">
        <f>IF(A162="","",YEAR(A162))</f>
        <v/>
      </c>
    </row>
    <row r="163">
      <c r="A163" s="15" t="n"/>
      <c r="B163" s="10" t="n"/>
      <c r="C163" s="10" t="n"/>
      <c r="D163" s="10" t="n"/>
      <c r="E163" s="14">
        <f>IF(D163="","",IFERROR(INDEX('Sản phẩm'!$B$5:$B$304,MATCH(D163,'Sản phẩm'!$A$5:$A$304,0)),""))</f>
        <v/>
      </c>
      <c r="F163" s="12" t="n"/>
      <c r="G163" s="11" t="n"/>
      <c r="H163" s="11" t="n"/>
      <c r="I163" s="16">
        <f>IF(D163="","",IF(G163&lt;&gt;"",G163,IFERROR(INDEX('Sản phẩm'!$E$5:$E$304,MATCH(D163,'Sản phẩm'!$A$5:$A$304,0)),"")))</f>
        <v/>
      </c>
      <c r="J163" s="16">
        <f>IF(OR(D163="",F163=""),"",F163*I163-N(H163))</f>
        <v/>
      </c>
      <c r="K163" s="16">
        <f>IF(OR(D163="",F163=""),"",F163*IFERROR(INDEX('Sản phẩm'!$D$5:$D$304,MATCH(D163,'Sản phẩm'!$A$5:$A$304,0)),""))</f>
        <v/>
      </c>
      <c r="L163" s="16">
        <f>IF(J163="","",J163-K163)</f>
        <v/>
      </c>
      <c r="M163" s="14">
        <f>IF(A163="","",MONTH(A163))</f>
        <v/>
      </c>
      <c r="N163" s="14">
        <f>IF(A163="","",YEAR(A163))</f>
        <v/>
      </c>
    </row>
    <row r="164">
      <c r="A164" s="15" t="n"/>
      <c r="B164" s="10" t="n"/>
      <c r="C164" s="10" t="n"/>
      <c r="D164" s="10" t="n"/>
      <c r="E164" s="14">
        <f>IF(D164="","",IFERROR(INDEX('Sản phẩm'!$B$5:$B$304,MATCH(D164,'Sản phẩm'!$A$5:$A$304,0)),""))</f>
        <v/>
      </c>
      <c r="F164" s="12" t="n"/>
      <c r="G164" s="11" t="n"/>
      <c r="H164" s="11" t="n"/>
      <c r="I164" s="16">
        <f>IF(D164="","",IF(G164&lt;&gt;"",G164,IFERROR(INDEX('Sản phẩm'!$E$5:$E$304,MATCH(D164,'Sản phẩm'!$A$5:$A$304,0)),"")))</f>
        <v/>
      </c>
      <c r="J164" s="16">
        <f>IF(OR(D164="",F164=""),"",F164*I164-N(H164))</f>
        <v/>
      </c>
      <c r="K164" s="16">
        <f>IF(OR(D164="",F164=""),"",F164*IFERROR(INDEX('Sản phẩm'!$D$5:$D$304,MATCH(D164,'Sản phẩm'!$A$5:$A$304,0)),""))</f>
        <v/>
      </c>
      <c r="L164" s="16">
        <f>IF(J164="","",J164-K164)</f>
        <v/>
      </c>
      <c r="M164" s="14">
        <f>IF(A164="","",MONTH(A164))</f>
        <v/>
      </c>
      <c r="N164" s="14">
        <f>IF(A164="","",YEAR(A164))</f>
        <v/>
      </c>
    </row>
    <row r="165">
      <c r="A165" s="15" t="n"/>
      <c r="B165" s="10" t="n"/>
      <c r="C165" s="10" t="n"/>
      <c r="D165" s="10" t="n"/>
      <c r="E165" s="14">
        <f>IF(D165="","",IFERROR(INDEX('Sản phẩm'!$B$5:$B$304,MATCH(D165,'Sản phẩm'!$A$5:$A$304,0)),""))</f>
        <v/>
      </c>
      <c r="F165" s="12" t="n"/>
      <c r="G165" s="11" t="n"/>
      <c r="H165" s="11" t="n"/>
      <c r="I165" s="16">
        <f>IF(D165="","",IF(G165&lt;&gt;"",G165,IFERROR(INDEX('Sản phẩm'!$E$5:$E$304,MATCH(D165,'Sản phẩm'!$A$5:$A$304,0)),"")))</f>
        <v/>
      </c>
      <c r="J165" s="16">
        <f>IF(OR(D165="",F165=""),"",F165*I165-N(H165))</f>
        <v/>
      </c>
      <c r="K165" s="16">
        <f>IF(OR(D165="",F165=""),"",F165*IFERROR(INDEX('Sản phẩm'!$D$5:$D$304,MATCH(D165,'Sản phẩm'!$A$5:$A$304,0)),""))</f>
        <v/>
      </c>
      <c r="L165" s="16">
        <f>IF(J165="","",J165-K165)</f>
        <v/>
      </c>
      <c r="M165" s="14">
        <f>IF(A165="","",MONTH(A165))</f>
        <v/>
      </c>
      <c r="N165" s="14">
        <f>IF(A165="","",YEAR(A165))</f>
        <v/>
      </c>
    </row>
    <row r="166">
      <c r="A166" s="15" t="n"/>
      <c r="B166" s="10" t="n"/>
      <c r="C166" s="10" t="n"/>
      <c r="D166" s="10" t="n"/>
      <c r="E166" s="14">
        <f>IF(D166="","",IFERROR(INDEX('Sản phẩm'!$B$5:$B$304,MATCH(D166,'Sản phẩm'!$A$5:$A$304,0)),""))</f>
        <v/>
      </c>
      <c r="F166" s="12" t="n"/>
      <c r="G166" s="11" t="n"/>
      <c r="H166" s="11" t="n"/>
      <c r="I166" s="16">
        <f>IF(D166="","",IF(G166&lt;&gt;"",G166,IFERROR(INDEX('Sản phẩm'!$E$5:$E$304,MATCH(D166,'Sản phẩm'!$A$5:$A$304,0)),"")))</f>
        <v/>
      </c>
      <c r="J166" s="16">
        <f>IF(OR(D166="",F166=""),"",F166*I166-N(H166))</f>
        <v/>
      </c>
      <c r="K166" s="16">
        <f>IF(OR(D166="",F166=""),"",F166*IFERROR(INDEX('Sản phẩm'!$D$5:$D$304,MATCH(D166,'Sản phẩm'!$A$5:$A$304,0)),""))</f>
        <v/>
      </c>
      <c r="L166" s="16">
        <f>IF(J166="","",J166-K166)</f>
        <v/>
      </c>
      <c r="M166" s="14">
        <f>IF(A166="","",MONTH(A166))</f>
        <v/>
      </c>
      <c r="N166" s="14">
        <f>IF(A166="","",YEAR(A166))</f>
        <v/>
      </c>
    </row>
    <row r="167">
      <c r="A167" s="15" t="n"/>
      <c r="B167" s="10" t="n"/>
      <c r="C167" s="10" t="n"/>
      <c r="D167" s="10" t="n"/>
      <c r="E167" s="14">
        <f>IF(D167="","",IFERROR(INDEX('Sản phẩm'!$B$5:$B$304,MATCH(D167,'Sản phẩm'!$A$5:$A$304,0)),""))</f>
        <v/>
      </c>
      <c r="F167" s="12" t="n"/>
      <c r="G167" s="11" t="n"/>
      <c r="H167" s="11" t="n"/>
      <c r="I167" s="16">
        <f>IF(D167="","",IF(G167&lt;&gt;"",G167,IFERROR(INDEX('Sản phẩm'!$E$5:$E$304,MATCH(D167,'Sản phẩm'!$A$5:$A$304,0)),"")))</f>
        <v/>
      </c>
      <c r="J167" s="16">
        <f>IF(OR(D167="",F167=""),"",F167*I167-N(H167))</f>
        <v/>
      </c>
      <c r="K167" s="16">
        <f>IF(OR(D167="",F167=""),"",F167*IFERROR(INDEX('Sản phẩm'!$D$5:$D$304,MATCH(D167,'Sản phẩm'!$A$5:$A$304,0)),""))</f>
        <v/>
      </c>
      <c r="L167" s="16">
        <f>IF(J167="","",J167-K167)</f>
        <v/>
      </c>
      <c r="M167" s="14">
        <f>IF(A167="","",MONTH(A167))</f>
        <v/>
      </c>
      <c r="N167" s="14">
        <f>IF(A167="","",YEAR(A167))</f>
        <v/>
      </c>
    </row>
    <row r="168">
      <c r="A168" s="15" t="n"/>
      <c r="B168" s="10" t="n"/>
      <c r="C168" s="10" t="n"/>
      <c r="D168" s="10" t="n"/>
      <c r="E168" s="14">
        <f>IF(D168="","",IFERROR(INDEX('Sản phẩm'!$B$5:$B$304,MATCH(D168,'Sản phẩm'!$A$5:$A$304,0)),""))</f>
        <v/>
      </c>
      <c r="F168" s="12" t="n"/>
      <c r="G168" s="11" t="n"/>
      <c r="H168" s="11" t="n"/>
      <c r="I168" s="16">
        <f>IF(D168="","",IF(G168&lt;&gt;"",G168,IFERROR(INDEX('Sản phẩm'!$E$5:$E$304,MATCH(D168,'Sản phẩm'!$A$5:$A$304,0)),"")))</f>
        <v/>
      </c>
      <c r="J168" s="16">
        <f>IF(OR(D168="",F168=""),"",F168*I168-N(H168))</f>
        <v/>
      </c>
      <c r="K168" s="16">
        <f>IF(OR(D168="",F168=""),"",F168*IFERROR(INDEX('Sản phẩm'!$D$5:$D$304,MATCH(D168,'Sản phẩm'!$A$5:$A$304,0)),""))</f>
        <v/>
      </c>
      <c r="L168" s="16">
        <f>IF(J168="","",J168-K168)</f>
        <v/>
      </c>
      <c r="M168" s="14">
        <f>IF(A168="","",MONTH(A168))</f>
        <v/>
      </c>
      <c r="N168" s="14">
        <f>IF(A168="","",YEAR(A168))</f>
        <v/>
      </c>
    </row>
    <row r="169">
      <c r="A169" s="15" t="n"/>
      <c r="B169" s="10" t="n"/>
      <c r="C169" s="10" t="n"/>
      <c r="D169" s="10" t="n"/>
      <c r="E169" s="14">
        <f>IF(D169="","",IFERROR(INDEX('Sản phẩm'!$B$5:$B$304,MATCH(D169,'Sản phẩm'!$A$5:$A$304,0)),""))</f>
        <v/>
      </c>
      <c r="F169" s="12" t="n"/>
      <c r="G169" s="11" t="n"/>
      <c r="H169" s="11" t="n"/>
      <c r="I169" s="16">
        <f>IF(D169="","",IF(G169&lt;&gt;"",G169,IFERROR(INDEX('Sản phẩm'!$E$5:$E$304,MATCH(D169,'Sản phẩm'!$A$5:$A$304,0)),"")))</f>
        <v/>
      </c>
      <c r="J169" s="16">
        <f>IF(OR(D169="",F169=""),"",F169*I169-N(H169))</f>
        <v/>
      </c>
      <c r="K169" s="16">
        <f>IF(OR(D169="",F169=""),"",F169*IFERROR(INDEX('Sản phẩm'!$D$5:$D$304,MATCH(D169,'Sản phẩm'!$A$5:$A$304,0)),""))</f>
        <v/>
      </c>
      <c r="L169" s="16">
        <f>IF(J169="","",J169-K169)</f>
        <v/>
      </c>
      <c r="M169" s="14">
        <f>IF(A169="","",MONTH(A169))</f>
        <v/>
      </c>
      <c r="N169" s="14">
        <f>IF(A169="","",YEAR(A169))</f>
        <v/>
      </c>
    </row>
    <row r="170">
      <c r="A170" s="15" t="n"/>
      <c r="B170" s="10" t="n"/>
      <c r="C170" s="10" t="n"/>
      <c r="D170" s="10" t="n"/>
      <c r="E170" s="14">
        <f>IF(D170="","",IFERROR(INDEX('Sản phẩm'!$B$5:$B$304,MATCH(D170,'Sản phẩm'!$A$5:$A$304,0)),""))</f>
        <v/>
      </c>
      <c r="F170" s="12" t="n"/>
      <c r="G170" s="11" t="n"/>
      <c r="H170" s="11" t="n"/>
      <c r="I170" s="16">
        <f>IF(D170="","",IF(G170&lt;&gt;"",G170,IFERROR(INDEX('Sản phẩm'!$E$5:$E$304,MATCH(D170,'Sản phẩm'!$A$5:$A$304,0)),"")))</f>
        <v/>
      </c>
      <c r="J170" s="16">
        <f>IF(OR(D170="",F170=""),"",F170*I170-N(H170))</f>
        <v/>
      </c>
      <c r="K170" s="16">
        <f>IF(OR(D170="",F170=""),"",F170*IFERROR(INDEX('Sản phẩm'!$D$5:$D$304,MATCH(D170,'Sản phẩm'!$A$5:$A$304,0)),""))</f>
        <v/>
      </c>
      <c r="L170" s="16">
        <f>IF(J170="","",J170-K170)</f>
        <v/>
      </c>
      <c r="M170" s="14">
        <f>IF(A170="","",MONTH(A170))</f>
        <v/>
      </c>
      <c r="N170" s="14">
        <f>IF(A170="","",YEAR(A170))</f>
        <v/>
      </c>
    </row>
    <row r="171">
      <c r="A171" s="15" t="n"/>
      <c r="B171" s="10" t="n"/>
      <c r="C171" s="10" t="n"/>
      <c r="D171" s="10" t="n"/>
      <c r="E171" s="14">
        <f>IF(D171="","",IFERROR(INDEX('Sản phẩm'!$B$5:$B$304,MATCH(D171,'Sản phẩm'!$A$5:$A$304,0)),""))</f>
        <v/>
      </c>
      <c r="F171" s="12" t="n"/>
      <c r="G171" s="11" t="n"/>
      <c r="H171" s="11" t="n"/>
      <c r="I171" s="16">
        <f>IF(D171="","",IF(G171&lt;&gt;"",G171,IFERROR(INDEX('Sản phẩm'!$E$5:$E$304,MATCH(D171,'Sản phẩm'!$A$5:$A$304,0)),"")))</f>
        <v/>
      </c>
      <c r="J171" s="16">
        <f>IF(OR(D171="",F171=""),"",F171*I171-N(H171))</f>
        <v/>
      </c>
      <c r="K171" s="16">
        <f>IF(OR(D171="",F171=""),"",F171*IFERROR(INDEX('Sản phẩm'!$D$5:$D$304,MATCH(D171,'Sản phẩm'!$A$5:$A$304,0)),""))</f>
        <v/>
      </c>
      <c r="L171" s="16">
        <f>IF(J171="","",J171-K171)</f>
        <v/>
      </c>
      <c r="M171" s="14">
        <f>IF(A171="","",MONTH(A171))</f>
        <v/>
      </c>
      <c r="N171" s="14">
        <f>IF(A171="","",YEAR(A171))</f>
        <v/>
      </c>
    </row>
    <row r="172">
      <c r="A172" s="15" t="n"/>
      <c r="B172" s="10" t="n"/>
      <c r="C172" s="10" t="n"/>
      <c r="D172" s="10" t="n"/>
      <c r="E172" s="14">
        <f>IF(D172="","",IFERROR(INDEX('Sản phẩm'!$B$5:$B$304,MATCH(D172,'Sản phẩm'!$A$5:$A$304,0)),""))</f>
        <v/>
      </c>
      <c r="F172" s="12" t="n"/>
      <c r="G172" s="11" t="n"/>
      <c r="H172" s="11" t="n"/>
      <c r="I172" s="16">
        <f>IF(D172="","",IF(G172&lt;&gt;"",G172,IFERROR(INDEX('Sản phẩm'!$E$5:$E$304,MATCH(D172,'Sản phẩm'!$A$5:$A$304,0)),"")))</f>
        <v/>
      </c>
      <c r="J172" s="16">
        <f>IF(OR(D172="",F172=""),"",F172*I172-N(H172))</f>
        <v/>
      </c>
      <c r="K172" s="16">
        <f>IF(OR(D172="",F172=""),"",F172*IFERROR(INDEX('Sản phẩm'!$D$5:$D$304,MATCH(D172,'Sản phẩm'!$A$5:$A$304,0)),""))</f>
        <v/>
      </c>
      <c r="L172" s="16">
        <f>IF(J172="","",J172-K172)</f>
        <v/>
      </c>
      <c r="M172" s="14">
        <f>IF(A172="","",MONTH(A172))</f>
        <v/>
      </c>
      <c r="N172" s="14">
        <f>IF(A172="","",YEAR(A172))</f>
        <v/>
      </c>
    </row>
    <row r="173">
      <c r="A173" s="15" t="n"/>
      <c r="B173" s="10" t="n"/>
      <c r="C173" s="10" t="n"/>
      <c r="D173" s="10" t="n"/>
      <c r="E173" s="14">
        <f>IF(D173="","",IFERROR(INDEX('Sản phẩm'!$B$5:$B$304,MATCH(D173,'Sản phẩm'!$A$5:$A$304,0)),""))</f>
        <v/>
      </c>
      <c r="F173" s="12" t="n"/>
      <c r="G173" s="11" t="n"/>
      <c r="H173" s="11" t="n"/>
      <c r="I173" s="16">
        <f>IF(D173="","",IF(G173&lt;&gt;"",G173,IFERROR(INDEX('Sản phẩm'!$E$5:$E$304,MATCH(D173,'Sản phẩm'!$A$5:$A$304,0)),"")))</f>
        <v/>
      </c>
      <c r="J173" s="16">
        <f>IF(OR(D173="",F173=""),"",F173*I173-N(H173))</f>
        <v/>
      </c>
      <c r="K173" s="16">
        <f>IF(OR(D173="",F173=""),"",F173*IFERROR(INDEX('Sản phẩm'!$D$5:$D$304,MATCH(D173,'Sản phẩm'!$A$5:$A$304,0)),""))</f>
        <v/>
      </c>
      <c r="L173" s="16">
        <f>IF(J173="","",J173-K173)</f>
        <v/>
      </c>
      <c r="M173" s="14">
        <f>IF(A173="","",MONTH(A173))</f>
        <v/>
      </c>
      <c r="N173" s="14">
        <f>IF(A173="","",YEAR(A173))</f>
        <v/>
      </c>
    </row>
    <row r="174">
      <c r="A174" s="15" t="n"/>
      <c r="B174" s="10" t="n"/>
      <c r="C174" s="10" t="n"/>
      <c r="D174" s="10" t="n"/>
      <c r="E174" s="14">
        <f>IF(D174="","",IFERROR(INDEX('Sản phẩm'!$B$5:$B$304,MATCH(D174,'Sản phẩm'!$A$5:$A$304,0)),""))</f>
        <v/>
      </c>
      <c r="F174" s="12" t="n"/>
      <c r="G174" s="11" t="n"/>
      <c r="H174" s="11" t="n"/>
      <c r="I174" s="16">
        <f>IF(D174="","",IF(G174&lt;&gt;"",G174,IFERROR(INDEX('Sản phẩm'!$E$5:$E$304,MATCH(D174,'Sản phẩm'!$A$5:$A$304,0)),"")))</f>
        <v/>
      </c>
      <c r="J174" s="16">
        <f>IF(OR(D174="",F174=""),"",F174*I174-N(H174))</f>
        <v/>
      </c>
      <c r="K174" s="16">
        <f>IF(OR(D174="",F174=""),"",F174*IFERROR(INDEX('Sản phẩm'!$D$5:$D$304,MATCH(D174,'Sản phẩm'!$A$5:$A$304,0)),""))</f>
        <v/>
      </c>
      <c r="L174" s="16">
        <f>IF(J174="","",J174-K174)</f>
        <v/>
      </c>
      <c r="M174" s="14">
        <f>IF(A174="","",MONTH(A174))</f>
        <v/>
      </c>
      <c r="N174" s="14">
        <f>IF(A174="","",YEAR(A174))</f>
        <v/>
      </c>
    </row>
    <row r="175">
      <c r="A175" s="15" t="n"/>
      <c r="B175" s="10" t="n"/>
      <c r="C175" s="10" t="n"/>
      <c r="D175" s="10" t="n"/>
      <c r="E175" s="14">
        <f>IF(D175="","",IFERROR(INDEX('Sản phẩm'!$B$5:$B$304,MATCH(D175,'Sản phẩm'!$A$5:$A$304,0)),""))</f>
        <v/>
      </c>
      <c r="F175" s="12" t="n"/>
      <c r="G175" s="11" t="n"/>
      <c r="H175" s="11" t="n"/>
      <c r="I175" s="16">
        <f>IF(D175="","",IF(G175&lt;&gt;"",G175,IFERROR(INDEX('Sản phẩm'!$E$5:$E$304,MATCH(D175,'Sản phẩm'!$A$5:$A$304,0)),"")))</f>
        <v/>
      </c>
      <c r="J175" s="16">
        <f>IF(OR(D175="",F175=""),"",F175*I175-N(H175))</f>
        <v/>
      </c>
      <c r="K175" s="16">
        <f>IF(OR(D175="",F175=""),"",F175*IFERROR(INDEX('Sản phẩm'!$D$5:$D$304,MATCH(D175,'Sản phẩm'!$A$5:$A$304,0)),""))</f>
        <v/>
      </c>
      <c r="L175" s="16">
        <f>IF(J175="","",J175-K175)</f>
        <v/>
      </c>
      <c r="M175" s="14">
        <f>IF(A175="","",MONTH(A175))</f>
        <v/>
      </c>
      <c r="N175" s="14">
        <f>IF(A175="","",YEAR(A175))</f>
        <v/>
      </c>
    </row>
    <row r="176">
      <c r="A176" s="15" t="n"/>
      <c r="B176" s="10" t="n"/>
      <c r="C176" s="10" t="n"/>
      <c r="D176" s="10" t="n"/>
      <c r="E176" s="14">
        <f>IF(D176="","",IFERROR(INDEX('Sản phẩm'!$B$5:$B$304,MATCH(D176,'Sản phẩm'!$A$5:$A$304,0)),""))</f>
        <v/>
      </c>
      <c r="F176" s="12" t="n"/>
      <c r="G176" s="11" t="n"/>
      <c r="H176" s="11" t="n"/>
      <c r="I176" s="16">
        <f>IF(D176="","",IF(G176&lt;&gt;"",G176,IFERROR(INDEX('Sản phẩm'!$E$5:$E$304,MATCH(D176,'Sản phẩm'!$A$5:$A$304,0)),"")))</f>
        <v/>
      </c>
      <c r="J176" s="16">
        <f>IF(OR(D176="",F176=""),"",F176*I176-N(H176))</f>
        <v/>
      </c>
      <c r="K176" s="16">
        <f>IF(OR(D176="",F176=""),"",F176*IFERROR(INDEX('Sản phẩm'!$D$5:$D$304,MATCH(D176,'Sản phẩm'!$A$5:$A$304,0)),""))</f>
        <v/>
      </c>
      <c r="L176" s="16">
        <f>IF(J176="","",J176-K176)</f>
        <v/>
      </c>
      <c r="M176" s="14">
        <f>IF(A176="","",MONTH(A176))</f>
        <v/>
      </c>
      <c r="N176" s="14">
        <f>IF(A176="","",YEAR(A176))</f>
        <v/>
      </c>
    </row>
    <row r="177">
      <c r="A177" s="15" t="n"/>
      <c r="B177" s="10" t="n"/>
      <c r="C177" s="10" t="n"/>
      <c r="D177" s="10" t="n"/>
      <c r="E177" s="14">
        <f>IF(D177="","",IFERROR(INDEX('Sản phẩm'!$B$5:$B$304,MATCH(D177,'Sản phẩm'!$A$5:$A$304,0)),""))</f>
        <v/>
      </c>
      <c r="F177" s="12" t="n"/>
      <c r="G177" s="11" t="n"/>
      <c r="H177" s="11" t="n"/>
      <c r="I177" s="16">
        <f>IF(D177="","",IF(G177&lt;&gt;"",G177,IFERROR(INDEX('Sản phẩm'!$E$5:$E$304,MATCH(D177,'Sản phẩm'!$A$5:$A$304,0)),"")))</f>
        <v/>
      </c>
      <c r="J177" s="16">
        <f>IF(OR(D177="",F177=""),"",F177*I177-N(H177))</f>
        <v/>
      </c>
      <c r="K177" s="16">
        <f>IF(OR(D177="",F177=""),"",F177*IFERROR(INDEX('Sản phẩm'!$D$5:$D$304,MATCH(D177,'Sản phẩm'!$A$5:$A$304,0)),""))</f>
        <v/>
      </c>
      <c r="L177" s="16">
        <f>IF(J177="","",J177-K177)</f>
        <v/>
      </c>
      <c r="M177" s="14">
        <f>IF(A177="","",MONTH(A177))</f>
        <v/>
      </c>
      <c r="N177" s="14">
        <f>IF(A177="","",YEAR(A177))</f>
        <v/>
      </c>
    </row>
    <row r="178">
      <c r="A178" s="15" t="n"/>
      <c r="B178" s="10" t="n"/>
      <c r="C178" s="10" t="n"/>
      <c r="D178" s="10" t="n"/>
      <c r="E178" s="14">
        <f>IF(D178="","",IFERROR(INDEX('Sản phẩm'!$B$5:$B$304,MATCH(D178,'Sản phẩm'!$A$5:$A$304,0)),""))</f>
        <v/>
      </c>
      <c r="F178" s="12" t="n"/>
      <c r="G178" s="11" t="n"/>
      <c r="H178" s="11" t="n"/>
      <c r="I178" s="16">
        <f>IF(D178="","",IF(G178&lt;&gt;"",G178,IFERROR(INDEX('Sản phẩm'!$E$5:$E$304,MATCH(D178,'Sản phẩm'!$A$5:$A$304,0)),"")))</f>
        <v/>
      </c>
      <c r="J178" s="16">
        <f>IF(OR(D178="",F178=""),"",F178*I178-N(H178))</f>
        <v/>
      </c>
      <c r="K178" s="16">
        <f>IF(OR(D178="",F178=""),"",F178*IFERROR(INDEX('Sản phẩm'!$D$5:$D$304,MATCH(D178,'Sản phẩm'!$A$5:$A$304,0)),""))</f>
        <v/>
      </c>
      <c r="L178" s="16">
        <f>IF(J178="","",J178-K178)</f>
        <v/>
      </c>
      <c r="M178" s="14">
        <f>IF(A178="","",MONTH(A178))</f>
        <v/>
      </c>
      <c r="N178" s="14">
        <f>IF(A178="","",YEAR(A178))</f>
        <v/>
      </c>
    </row>
    <row r="179">
      <c r="A179" s="15" t="n"/>
      <c r="B179" s="10" t="n"/>
      <c r="C179" s="10" t="n"/>
      <c r="D179" s="10" t="n"/>
      <c r="E179" s="14">
        <f>IF(D179="","",IFERROR(INDEX('Sản phẩm'!$B$5:$B$304,MATCH(D179,'Sản phẩm'!$A$5:$A$304,0)),""))</f>
        <v/>
      </c>
      <c r="F179" s="12" t="n"/>
      <c r="G179" s="11" t="n"/>
      <c r="H179" s="11" t="n"/>
      <c r="I179" s="16">
        <f>IF(D179="","",IF(G179&lt;&gt;"",G179,IFERROR(INDEX('Sản phẩm'!$E$5:$E$304,MATCH(D179,'Sản phẩm'!$A$5:$A$304,0)),"")))</f>
        <v/>
      </c>
      <c r="J179" s="16">
        <f>IF(OR(D179="",F179=""),"",F179*I179-N(H179))</f>
        <v/>
      </c>
      <c r="K179" s="16">
        <f>IF(OR(D179="",F179=""),"",F179*IFERROR(INDEX('Sản phẩm'!$D$5:$D$304,MATCH(D179,'Sản phẩm'!$A$5:$A$304,0)),""))</f>
        <v/>
      </c>
      <c r="L179" s="16">
        <f>IF(J179="","",J179-K179)</f>
        <v/>
      </c>
      <c r="M179" s="14">
        <f>IF(A179="","",MONTH(A179))</f>
        <v/>
      </c>
      <c r="N179" s="14">
        <f>IF(A179="","",YEAR(A179))</f>
        <v/>
      </c>
    </row>
    <row r="180">
      <c r="A180" s="15" t="n"/>
      <c r="B180" s="10" t="n"/>
      <c r="C180" s="10" t="n"/>
      <c r="D180" s="10" t="n"/>
      <c r="E180" s="14">
        <f>IF(D180="","",IFERROR(INDEX('Sản phẩm'!$B$5:$B$304,MATCH(D180,'Sản phẩm'!$A$5:$A$304,0)),""))</f>
        <v/>
      </c>
      <c r="F180" s="12" t="n"/>
      <c r="G180" s="11" t="n"/>
      <c r="H180" s="11" t="n"/>
      <c r="I180" s="16">
        <f>IF(D180="","",IF(G180&lt;&gt;"",G180,IFERROR(INDEX('Sản phẩm'!$E$5:$E$304,MATCH(D180,'Sản phẩm'!$A$5:$A$304,0)),"")))</f>
        <v/>
      </c>
      <c r="J180" s="16">
        <f>IF(OR(D180="",F180=""),"",F180*I180-N(H180))</f>
        <v/>
      </c>
      <c r="K180" s="16">
        <f>IF(OR(D180="",F180=""),"",F180*IFERROR(INDEX('Sản phẩm'!$D$5:$D$304,MATCH(D180,'Sản phẩm'!$A$5:$A$304,0)),""))</f>
        <v/>
      </c>
      <c r="L180" s="16">
        <f>IF(J180="","",J180-K180)</f>
        <v/>
      </c>
      <c r="M180" s="14">
        <f>IF(A180="","",MONTH(A180))</f>
        <v/>
      </c>
      <c r="N180" s="14">
        <f>IF(A180="","",YEAR(A180))</f>
        <v/>
      </c>
    </row>
    <row r="181">
      <c r="A181" s="15" t="n"/>
      <c r="B181" s="10" t="n"/>
      <c r="C181" s="10" t="n"/>
      <c r="D181" s="10" t="n"/>
      <c r="E181" s="14">
        <f>IF(D181="","",IFERROR(INDEX('Sản phẩm'!$B$5:$B$304,MATCH(D181,'Sản phẩm'!$A$5:$A$304,0)),""))</f>
        <v/>
      </c>
      <c r="F181" s="12" t="n"/>
      <c r="G181" s="11" t="n"/>
      <c r="H181" s="11" t="n"/>
      <c r="I181" s="16">
        <f>IF(D181="","",IF(G181&lt;&gt;"",G181,IFERROR(INDEX('Sản phẩm'!$E$5:$E$304,MATCH(D181,'Sản phẩm'!$A$5:$A$304,0)),"")))</f>
        <v/>
      </c>
      <c r="J181" s="16">
        <f>IF(OR(D181="",F181=""),"",F181*I181-N(H181))</f>
        <v/>
      </c>
      <c r="K181" s="16">
        <f>IF(OR(D181="",F181=""),"",F181*IFERROR(INDEX('Sản phẩm'!$D$5:$D$304,MATCH(D181,'Sản phẩm'!$A$5:$A$304,0)),""))</f>
        <v/>
      </c>
      <c r="L181" s="16">
        <f>IF(J181="","",J181-K181)</f>
        <v/>
      </c>
      <c r="M181" s="14">
        <f>IF(A181="","",MONTH(A181))</f>
        <v/>
      </c>
      <c r="N181" s="14">
        <f>IF(A181="","",YEAR(A181))</f>
        <v/>
      </c>
    </row>
    <row r="182">
      <c r="A182" s="15" t="n"/>
      <c r="B182" s="10" t="n"/>
      <c r="C182" s="10" t="n"/>
      <c r="D182" s="10" t="n"/>
      <c r="E182" s="14">
        <f>IF(D182="","",IFERROR(INDEX('Sản phẩm'!$B$5:$B$304,MATCH(D182,'Sản phẩm'!$A$5:$A$304,0)),""))</f>
        <v/>
      </c>
      <c r="F182" s="12" t="n"/>
      <c r="G182" s="11" t="n"/>
      <c r="H182" s="11" t="n"/>
      <c r="I182" s="16">
        <f>IF(D182="","",IF(G182&lt;&gt;"",G182,IFERROR(INDEX('Sản phẩm'!$E$5:$E$304,MATCH(D182,'Sản phẩm'!$A$5:$A$304,0)),"")))</f>
        <v/>
      </c>
      <c r="J182" s="16">
        <f>IF(OR(D182="",F182=""),"",F182*I182-N(H182))</f>
        <v/>
      </c>
      <c r="K182" s="16">
        <f>IF(OR(D182="",F182=""),"",F182*IFERROR(INDEX('Sản phẩm'!$D$5:$D$304,MATCH(D182,'Sản phẩm'!$A$5:$A$304,0)),""))</f>
        <v/>
      </c>
      <c r="L182" s="16">
        <f>IF(J182="","",J182-K182)</f>
        <v/>
      </c>
      <c r="M182" s="14">
        <f>IF(A182="","",MONTH(A182))</f>
        <v/>
      </c>
      <c r="N182" s="14">
        <f>IF(A182="","",YEAR(A182))</f>
        <v/>
      </c>
    </row>
    <row r="183">
      <c r="A183" s="15" t="n"/>
      <c r="B183" s="10" t="n"/>
      <c r="C183" s="10" t="n"/>
      <c r="D183" s="10" t="n"/>
      <c r="E183" s="14">
        <f>IF(D183="","",IFERROR(INDEX('Sản phẩm'!$B$5:$B$304,MATCH(D183,'Sản phẩm'!$A$5:$A$304,0)),""))</f>
        <v/>
      </c>
      <c r="F183" s="12" t="n"/>
      <c r="G183" s="11" t="n"/>
      <c r="H183" s="11" t="n"/>
      <c r="I183" s="16">
        <f>IF(D183="","",IF(G183&lt;&gt;"",G183,IFERROR(INDEX('Sản phẩm'!$E$5:$E$304,MATCH(D183,'Sản phẩm'!$A$5:$A$304,0)),"")))</f>
        <v/>
      </c>
      <c r="J183" s="16">
        <f>IF(OR(D183="",F183=""),"",F183*I183-N(H183))</f>
        <v/>
      </c>
      <c r="K183" s="16">
        <f>IF(OR(D183="",F183=""),"",F183*IFERROR(INDEX('Sản phẩm'!$D$5:$D$304,MATCH(D183,'Sản phẩm'!$A$5:$A$304,0)),""))</f>
        <v/>
      </c>
      <c r="L183" s="16">
        <f>IF(J183="","",J183-K183)</f>
        <v/>
      </c>
      <c r="M183" s="14">
        <f>IF(A183="","",MONTH(A183))</f>
        <v/>
      </c>
      <c r="N183" s="14">
        <f>IF(A183="","",YEAR(A183))</f>
        <v/>
      </c>
    </row>
    <row r="184">
      <c r="A184" s="15" t="n"/>
      <c r="B184" s="10" t="n"/>
      <c r="C184" s="10" t="n"/>
      <c r="D184" s="10" t="n"/>
      <c r="E184" s="14">
        <f>IF(D184="","",IFERROR(INDEX('Sản phẩm'!$B$5:$B$304,MATCH(D184,'Sản phẩm'!$A$5:$A$304,0)),""))</f>
        <v/>
      </c>
      <c r="F184" s="12" t="n"/>
      <c r="G184" s="11" t="n"/>
      <c r="H184" s="11" t="n"/>
      <c r="I184" s="16">
        <f>IF(D184="","",IF(G184&lt;&gt;"",G184,IFERROR(INDEX('Sản phẩm'!$E$5:$E$304,MATCH(D184,'Sản phẩm'!$A$5:$A$304,0)),"")))</f>
        <v/>
      </c>
      <c r="J184" s="16">
        <f>IF(OR(D184="",F184=""),"",F184*I184-N(H184))</f>
        <v/>
      </c>
      <c r="K184" s="16">
        <f>IF(OR(D184="",F184=""),"",F184*IFERROR(INDEX('Sản phẩm'!$D$5:$D$304,MATCH(D184,'Sản phẩm'!$A$5:$A$304,0)),""))</f>
        <v/>
      </c>
      <c r="L184" s="16">
        <f>IF(J184="","",J184-K184)</f>
        <v/>
      </c>
      <c r="M184" s="14">
        <f>IF(A184="","",MONTH(A184))</f>
        <v/>
      </c>
      <c r="N184" s="14">
        <f>IF(A184="","",YEAR(A184))</f>
        <v/>
      </c>
    </row>
    <row r="185">
      <c r="A185" s="15" t="n"/>
      <c r="B185" s="10" t="n"/>
      <c r="C185" s="10" t="n"/>
      <c r="D185" s="10" t="n"/>
      <c r="E185" s="14">
        <f>IF(D185="","",IFERROR(INDEX('Sản phẩm'!$B$5:$B$304,MATCH(D185,'Sản phẩm'!$A$5:$A$304,0)),""))</f>
        <v/>
      </c>
      <c r="F185" s="12" t="n"/>
      <c r="G185" s="11" t="n"/>
      <c r="H185" s="11" t="n"/>
      <c r="I185" s="16">
        <f>IF(D185="","",IF(G185&lt;&gt;"",G185,IFERROR(INDEX('Sản phẩm'!$E$5:$E$304,MATCH(D185,'Sản phẩm'!$A$5:$A$304,0)),"")))</f>
        <v/>
      </c>
      <c r="J185" s="16">
        <f>IF(OR(D185="",F185=""),"",F185*I185-N(H185))</f>
        <v/>
      </c>
      <c r="K185" s="16">
        <f>IF(OR(D185="",F185=""),"",F185*IFERROR(INDEX('Sản phẩm'!$D$5:$D$304,MATCH(D185,'Sản phẩm'!$A$5:$A$304,0)),""))</f>
        <v/>
      </c>
      <c r="L185" s="16">
        <f>IF(J185="","",J185-K185)</f>
        <v/>
      </c>
      <c r="M185" s="14">
        <f>IF(A185="","",MONTH(A185))</f>
        <v/>
      </c>
      <c r="N185" s="14">
        <f>IF(A185="","",YEAR(A185))</f>
        <v/>
      </c>
    </row>
    <row r="186">
      <c r="A186" s="15" t="n"/>
      <c r="B186" s="10" t="n"/>
      <c r="C186" s="10" t="n"/>
      <c r="D186" s="10" t="n"/>
      <c r="E186" s="14">
        <f>IF(D186="","",IFERROR(INDEX('Sản phẩm'!$B$5:$B$304,MATCH(D186,'Sản phẩm'!$A$5:$A$304,0)),""))</f>
        <v/>
      </c>
      <c r="F186" s="12" t="n"/>
      <c r="G186" s="11" t="n"/>
      <c r="H186" s="11" t="n"/>
      <c r="I186" s="16">
        <f>IF(D186="","",IF(G186&lt;&gt;"",G186,IFERROR(INDEX('Sản phẩm'!$E$5:$E$304,MATCH(D186,'Sản phẩm'!$A$5:$A$304,0)),"")))</f>
        <v/>
      </c>
      <c r="J186" s="16">
        <f>IF(OR(D186="",F186=""),"",F186*I186-N(H186))</f>
        <v/>
      </c>
      <c r="K186" s="16">
        <f>IF(OR(D186="",F186=""),"",F186*IFERROR(INDEX('Sản phẩm'!$D$5:$D$304,MATCH(D186,'Sản phẩm'!$A$5:$A$304,0)),""))</f>
        <v/>
      </c>
      <c r="L186" s="16">
        <f>IF(J186="","",J186-K186)</f>
        <v/>
      </c>
      <c r="M186" s="14">
        <f>IF(A186="","",MONTH(A186))</f>
        <v/>
      </c>
      <c r="N186" s="14">
        <f>IF(A186="","",YEAR(A186))</f>
        <v/>
      </c>
    </row>
    <row r="187">
      <c r="A187" s="15" t="n"/>
      <c r="B187" s="10" t="n"/>
      <c r="C187" s="10" t="n"/>
      <c r="D187" s="10" t="n"/>
      <c r="E187" s="14">
        <f>IF(D187="","",IFERROR(INDEX('Sản phẩm'!$B$5:$B$304,MATCH(D187,'Sản phẩm'!$A$5:$A$304,0)),""))</f>
        <v/>
      </c>
      <c r="F187" s="12" t="n"/>
      <c r="G187" s="11" t="n"/>
      <c r="H187" s="11" t="n"/>
      <c r="I187" s="16">
        <f>IF(D187="","",IF(G187&lt;&gt;"",G187,IFERROR(INDEX('Sản phẩm'!$E$5:$E$304,MATCH(D187,'Sản phẩm'!$A$5:$A$304,0)),"")))</f>
        <v/>
      </c>
      <c r="J187" s="16">
        <f>IF(OR(D187="",F187=""),"",F187*I187-N(H187))</f>
        <v/>
      </c>
      <c r="K187" s="16">
        <f>IF(OR(D187="",F187=""),"",F187*IFERROR(INDEX('Sản phẩm'!$D$5:$D$304,MATCH(D187,'Sản phẩm'!$A$5:$A$304,0)),""))</f>
        <v/>
      </c>
      <c r="L187" s="16">
        <f>IF(J187="","",J187-K187)</f>
        <v/>
      </c>
      <c r="M187" s="14">
        <f>IF(A187="","",MONTH(A187))</f>
        <v/>
      </c>
      <c r="N187" s="14">
        <f>IF(A187="","",YEAR(A187))</f>
        <v/>
      </c>
    </row>
    <row r="188">
      <c r="A188" s="15" t="n"/>
      <c r="B188" s="10" t="n"/>
      <c r="C188" s="10" t="n"/>
      <c r="D188" s="10" t="n"/>
      <c r="E188" s="14">
        <f>IF(D188="","",IFERROR(INDEX('Sản phẩm'!$B$5:$B$304,MATCH(D188,'Sản phẩm'!$A$5:$A$304,0)),""))</f>
        <v/>
      </c>
      <c r="F188" s="12" t="n"/>
      <c r="G188" s="11" t="n"/>
      <c r="H188" s="11" t="n"/>
      <c r="I188" s="16">
        <f>IF(D188="","",IF(G188&lt;&gt;"",G188,IFERROR(INDEX('Sản phẩm'!$E$5:$E$304,MATCH(D188,'Sản phẩm'!$A$5:$A$304,0)),"")))</f>
        <v/>
      </c>
      <c r="J188" s="16">
        <f>IF(OR(D188="",F188=""),"",F188*I188-N(H188))</f>
        <v/>
      </c>
      <c r="K188" s="16">
        <f>IF(OR(D188="",F188=""),"",F188*IFERROR(INDEX('Sản phẩm'!$D$5:$D$304,MATCH(D188,'Sản phẩm'!$A$5:$A$304,0)),""))</f>
        <v/>
      </c>
      <c r="L188" s="16">
        <f>IF(J188="","",J188-K188)</f>
        <v/>
      </c>
      <c r="M188" s="14">
        <f>IF(A188="","",MONTH(A188))</f>
        <v/>
      </c>
      <c r="N188" s="14">
        <f>IF(A188="","",YEAR(A188))</f>
        <v/>
      </c>
    </row>
    <row r="189">
      <c r="A189" s="15" t="n"/>
      <c r="B189" s="10" t="n"/>
      <c r="C189" s="10" t="n"/>
      <c r="D189" s="10" t="n"/>
      <c r="E189" s="14">
        <f>IF(D189="","",IFERROR(INDEX('Sản phẩm'!$B$5:$B$304,MATCH(D189,'Sản phẩm'!$A$5:$A$304,0)),""))</f>
        <v/>
      </c>
      <c r="F189" s="12" t="n"/>
      <c r="G189" s="11" t="n"/>
      <c r="H189" s="11" t="n"/>
      <c r="I189" s="16">
        <f>IF(D189="","",IF(G189&lt;&gt;"",G189,IFERROR(INDEX('Sản phẩm'!$E$5:$E$304,MATCH(D189,'Sản phẩm'!$A$5:$A$304,0)),"")))</f>
        <v/>
      </c>
      <c r="J189" s="16">
        <f>IF(OR(D189="",F189=""),"",F189*I189-N(H189))</f>
        <v/>
      </c>
      <c r="K189" s="16">
        <f>IF(OR(D189="",F189=""),"",F189*IFERROR(INDEX('Sản phẩm'!$D$5:$D$304,MATCH(D189,'Sản phẩm'!$A$5:$A$304,0)),""))</f>
        <v/>
      </c>
      <c r="L189" s="16">
        <f>IF(J189="","",J189-K189)</f>
        <v/>
      </c>
      <c r="M189" s="14">
        <f>IF(A189="","",MONTH(A189))</f>
        <v/>
      </c>
      <c r="N189" s="14">
        <f>IF(A189="","",YEAR(A189))</f>
        <v/>
      </c>
    </row>
    <row r="190">
      <c r="A190" s="15" t="n"/>
      <c r="B190" s="10" t="n"/>
      <c r="C190" s="10" t="n"/>
      <c r="D190" s="10" t="n"/>
      <c r="E190" s="14">
        <f>IF(D190="","",IFERROR(INDEX('Sản phẩm'!$B$5:$B$304,MATCH(D190,'Sản phẩm'!$A$5:$A$304,0)),""))</f>
        <v/>
      </c>
      <c r="F190" s="12" t="n"/>
      <c r="G190" s="11" t="n"/>
      <c r="H190" s="11" t="n"/>
      <c r="I190" s="16">
        <f>IF(D190="","",IF(G190&lt;&gt;"",G190,IFERROR(INDEX('Sản phẩm'!$E$5:$E$304,MATCH(D190,'Sản phẩm'!$A$5:$A$304,0)),"")))</f>
        <v/>
      </c>
      <c r="J190" s="16">
        <f>IF(OR(D190="",F190=""),"",F190*I190-N(H190))</f>
        <v/>
      </c>
      <c r="K190" s="16">
        <f>IF(OR(D190="",F190=""),"",F190*IFERROR(INDEX('Sản phẩm'!$D$5:$D$304,MATCH(D190,'Sản phẩm'!$A$5:$A$304,0)),""))</f>
        <v/>
      </c>
      <c r="L190" s="16">
        <f>IF(J190="","",J190-K190)</f>
        <v/>
      </c>
      <c r="M190" s="14">
        <f>IF(A190="","",MONTH(A190))</f>
        <v/>
      </c>
      <c r="N190" s="14">
        <f>IF(A190="","",YEAR(A190))</f>
        <v/>
      </c>
    </row>
    <row r="191">
      <c r="A191" s="15" t="n"/>
      <c r="B191" s="10" t="n"/>
      <c r="C191" s="10" t="n"/>
      <c r="D191" s="10" t="n"/>
      <c r="E191" s="14">
        <f>IF(D191="","",IFERROR(INDEX('Sản phẩm'!$B$5:$B$304,MATCH(D191,'Sản phẩm'!$A$5:$A$304,0)),""))</f>
        <v/>
      </c>
      <c r="F191" s="12" t="n"/>
      <c r="G191" s="11" t="n"/>
      <c r="H191" s="11" t="n"/>
      <c r="I191" s="16">
        <f>IF(D191="","",IF(G191&lt;&gt;"",G191,IFERROR(INDEX('Sản phẩm'!$E$5:$E$304,MATCH(D191,'Sản phẩm'!$A$5:$A$304,0)),"")))</f>
        <v/>
      </c>
      <c r="J191" s="16">
        <f>IF(OR(D191="",F191=""),"",F191*I191-N(H191))</f>
        <v/>
      </c>
      <c r="K191" s="16">
        <f>IF(OR(D191="",F191=""),"",F191*IFERROR(INDEX('Sản phẩm'!$D$5:$D$304,MATCH(D191,'Sản phẩm'!$A$5:$A$304,0)),""))</f>
        <v/>
      </c>
      <c r="L191" s="16">
        <f>IF(J191="","",J191-K191)</f>
        <v/>
      </c>
      <c r="M191" s="14">
        <f>IF(A191="","",MONTH(A191))</f>
        <v/>
      </c>
      <c r="N191" s="14">
        <f>IF(A191="","",YEAR(A191))</f>
        <v/>
      </c>
    </row>
    <row r="192">
      <c r="A192" s="15" t="n"/>
      <c r="B192" s="10" t="n"/>
      <c r="C192" s="10" t="n"/>
      <c r="D192" s="10" t="n"/>
      <c r="E192" s="14">
        <f>IF(D192="","",IFERROR(INDEX('Sản phẩm'!$B$5:$B$304,MATCH(D192,'Sản phẩm'!$A$5:$A$304,0)),""))</f>
        <v/>
      </c>
      <c r="F192" s="12" t="n"/>
      <c r="G192" s="11" t="n"/>
      <c r="H192" s="11" t="n"/>
      <c r="I192" s="16">
        <f>IF(D192="","",IF(G192&lt;&gt;"",G192,IFERROR(INDEX('Sản phẩm'!$E$5:$E$304,MATCH(D192,'Sản phẩm'!$A$5:$A$304,0)),"")))</f>
        <v/>
      </c>
      <c r="J192" s="16">
        <f>IF(OR(D192="",F192=""),"",F192*I192-N(H192))</f>
        <v/>
      </c>
      <c r="K192" s="16">
        <f>IF(OR(D192="",F192=""),"",F192*IFERROR(INDEX('Sản phẩm'!$D$5:$D$304,MATCH(D192,'Sản phẩm'!$A$5:$A$304,0)),""))</f>
        <v/>
      </c>
      <c r="L192" s="16">
        <f>IF(J192="","",J192-K192)</f>
        <v/>
      </c>
      <c r="M192" s="14">
        <f>IF(A192="","",MONTH(A192))</f>
        <v/>
      </c>
      <c r="N192" s="14">
        <f>IF(A192="","",YEAR(A192))</f>
        <v/>
      </c>
    </row>
    <row r="193">
      <c r="A193" s="15" t="n"/>
      <c r="B193" s="10" t="n"/>
      <c r="C193" s="10" t="n"/>
      <c r="D193" s="10" t="n"/>
      <c r="E193" s="14">
        <f>IF(D193="","",IFERROR(INDEX('Sản phẩm'!$B$5:$B$304,MATCH(D193,'Sản phẩm'!$A$5:$A$304,0)),""))</f>
        <v/>
      </c>
      <c r="F193" s="12" t="n"/>
      <c r="G193" s="11" t="n"/>
      <c r="H193" s="11" t="n"/>
      <c r="I193" s="16">
        <f>IF(D193="","",IF(G193&lt;&gt;"",G193,IFERROR(INDEX('Sản phẩm'!$E$5:$E$304,MATCH(D193,'Sản phẩm'!$A$5:$A$304,0)),"")))</f>
        <v/>
      </c>
      <c r="J193" s="16">
        <f>IF(OR(D193="",F193=""),"",F193*I193-N(H193))</f>
        <v/>
      </c>
      <c r="K193" s="16">
        <f>IF(OR(D193="",F193=""),"",F193*IFERROR(INDEX('Sản phẩm'!$D$5:$D$304,MATCH(D193,'Sản phẩm'!$A$5:$A$304,0)),""))</f>
        <v/>
      </c>
      <c r="L193" s="16">
        <f>IF(J193="","",J193-K193)</f>
        <v/>
      </c>
      <c r="M193" s="14">
        <f>IF(A193="","",MONTH(A193))</f>
        <v/>
      </c>
      <c r="N193" s="14">
        <f>IF(A193="","",YEAR(A193))</f>
        <v/>
      </c>
    </row>
    <row r="194">
      <c r="A194" s="15" t="n"/>
      <c r="B194" s="10" t="n"/>
      <c r="C194" s="10" t="n"/>
      <c r="D194" s="10" t="n"/>
      <c r="E194" s="14">
        <f>IF(D194="","",IFERROR(INDEX('Sản phẩm'!$B$5:$B$304,MATCH(D194,'Sản phẩm'!$A$5:$A$304,0)),""))</f>
        <v/>
      </c>
      <c r="F194" s="12" t="n"/>
      <c r="G194" s="11" t="n"/>
      <c r="H194" s="11" t="n"/>
      <c r="I194" s="16">
        <f>IF(D194="","",IF(G194&lt;&gt;"",G194,IFERROR(INDEX('Sản phẩm'!$E$5:$E$304,MATCH(D194,'Sản phẩm'!$A$5:$A$304,0)),"")))</f>
        <v/>
      </c>
      <c r="J194" s="16">
        <f>IF(OR(D194="",F194=""),"",F194*I194-N(H194))</f>
        <v/>
      </c>
      <c r="K194" s="16">
        <f>IF(OR(D194="",F194=""),"",F194*IFERROR(INDEX('Sản phẩm'!$D$5:$D$304,MATCH(D194,'Sản phẩm'!$A$5:$A$304,0)),""))</f>
        <v/>
      </c>
      <c r="L194" s="16">
        <f>IF(J194="","",J194-K194)</f>
        <v/>
      </c>
      <c r="M194" s="14">
        <f>IF(A194="","",MONTH(A194))</f>
        <v/>
      </c>
      <c r="N194" s="14">
        <f>IF(A194="","",YEAR(A194))</f>
        <v/>
      </c>
    </row>
    <row r="195">
      <c r="A195" s="15" t="n"/>
      <c r="B195" s="10" t="n"/>
      <c r="C195" s="10" t="n"/>
      <c r="D195" s="10" t="n"/>
      <c r="E195" s="14">
        <f>IF(D195="","",IFERROR(INDEX('Sản phẩm'!$B$5:$B$304,MATCH(D195,'Sản phẩm'!$A$5:$A$304,0)),""))</f>
        <v/>
      </c>
      <c r="F195" s="12" t="n"/>
      <c r="G195" s="11" t="n"/>
      <c r="H195" s="11" t="n"/>
      <c r="I195" s="16">
        <f>IF(D195="","",IF(G195&lt;&gt;"",G195,IFERROR(INDEX('Sản phẩm'!$E$5:$E$304,MATCH(D195,'Sản phẩm'!$A$5:$A$304,0)),"")))</f>
        <v/>
      </c>
      <c r="J195" s="16">
        <f>IF(OR(D195="",F195=""),"",F195*I195-N(H195))</f>
        <v/>
      </c>
      <c r="K195" s="16">
        <f>IF(OR(D195="",F195=""),"",F195*IFERROR(INDEX('Sản phẩm'!$D$5:$D$304,MATCH(D195,'Sản phẩm'!$A$5:$A$304,0)),""))</f>
        <v/>
      </c>
      <c r="L195" s="16">
        <f>IF(J195="","",J195-K195)</f>
        <v/>
      </c>
      <c r="M195" s="14">
        <f>IF(A195="","",MONTH(A195))</f>
        <v/>
      </c>
      <c r="N195" s="14">
        <f>IF(A195="","",YEAR(A195))</f>
        <v/>
      </c>
    </row>
    <row r="196">
      <c r="A196" s="15" t="n"/>
      <c r="B196" s="10" t="n"/>
      <c r="C196" s="10" t="n"/>
      <c r="D196" s="10" t="n"/>
      <c r="E196" s="14">
        <f>IF(D196="","",IFERROR(INDEX('Sản phẩm'!$B$5:$B$304,MATCH(D196,'Sản phẩm'!$A$5:$A$304,0)),""))</f>
        <v/>
      </c>
      <c r="F196" s="12" t="n"/>
      <c r="G196" s="11" t="n"/>
      <c r="H196" s="11" t="n"/>
      <c r="I196" s="16">
        <f>IF(D196="","",IF(G196&lt;&gt;"",G196,IFERROR(INDEX('Sản phẩm'!$E$5:$E$304,MATCH(D196,'Sản phẩm'!$A$5:$A$304,0)),"")))</f>
        <v/>
      </c>
      <c r="J196" s="16">
        <f>IF(OR(D196="",F196=""),"",F196*I196-N(H196))</f>
        <v/>
      </c>
      <c r="K196" s="16">
        <f>IF(OR(D196="",F196=""),"",F196*IFERROR(INDEX('Sản phẩm'!$D$5:$D$304,MATCH(D196,'Sản phẩm'!$A$5:$A$304,0)),""))</f>
        <v/>
      </c>
      <c r="L196" s="16">
        <f>IF(J196="","",J196-K196)</f>
        <v/>
      </c>
      <c r="M196" s="14">
        <f>IF(A196="","",MONTH(A196))</f>
        <v/>
      </c>
      <c r="N196" s="14">
        <f>IF(A196="","",YEAR(A196))</f>
        <v/>
      </c>
    </row>
    <row r="197">
      <c r="A197" s="15" t="n"/>
      <c r="B197" s="10" t="n"/>
      <c r="C197" s="10" t="n"/>
      <c r="D197" s="10" t="n"/>
      <c r="E197" s="14">
        <f>IF(D197="","",IFERROR(INDEX('Sản phẩm'!$B$5:$B$304,MATCH(D197,'Sản phẩm'!$A$5:$A$304,0)),""))</f>
        <v/>
      </c>
      <c r="F197" s="12" t="n"/>
      <c r="G197" s="11" t="n"/>
      <c r="H197" s="11" t="n"/>
      <c r="I197" s="16">
        <f>IF(D197="","",IF(G197&lt;&gt;"",G197,IFERROR(INDEX('Sản phẩm'!$E$5:$E$304,MATCH(D197,'Sản phẩm'!$A$5:$A$304,0)),"")))</f>
        <v/>
      </c>
      <c r="J197" s="16">
        <f>IF(OR(D197="",F197=""),"",F197*I197-N(H197))</f>
        <v/>
      </c>
      <c r="K197" s="16">
        <f>IF(OR(D197="",F197=""),"",F197*IFERROR(INDEX('Sản phẩm'!$D$5:$D$304,MATCH(D197,'Sản phẩm'!$A$5:$A$304,0)),""))</f>
        <v/>
      </c>
      <c r="L197" s="16">
        <f>IF(J197="","",J197-K197)</f>
        <v/>
      </c>
      <c r="M197" s="14">
        <f>IF(A197="","",MONTH(A197))</f>
        <v/>
      </c>
      <c r="N197" s="14">
        <f>IF(A197="","",YEAR(A197))</f>
        <v/>
      </c>
    </row>
    <row r="198">
      <c r="A198" s="15" t="n"/>
      <c r="B198" s="10" t="n"/>
      <c r="C198" s="10" t="n"/>
      <c r="D198" s="10" t="n"/>
      <c r="E198" s="14">
        <f>IF(D198="","",IFERROR(INDEX('Sản phẩm'!$B$5:$B$304,MATCH(D198,'Sản phẩm'!$A$5:$A$304,0)),""))</f>
        <v/>
      </c>
      <c r="F198" s="12" t="n"/>
      <c r="G198" s="11" t="n"/>
      <c r="H198" s="11" t="n"/>
      <c r="I198" s="16">
        <f>IF(D198="","",IF(G198&lt;&gt;"",G198,IFERROR(INDEX('Sản phẩm'!$E$5:$E$304,MATCH(D198,'Sản phẩm'!$A$5:$A$304,0)),"")))</f>
        <v/>
      </c>
      <c r="J198" s="16">
        <f>IF(OR(D198="",F198=""),"",F198*I198-N(H198))</f>
        <v/>
      </c>
      <c r="K198" s="16">
        <f>IF(OR(D198="",F198=""),"",F198*IFERROR(INDEX('Sản phẩm'!$D$5:$D$304,MATCH(D198,'Sản phẩm'!$A$5:$A$304,0)),""))</f>
        <v/>
      </c>
      <c r="L198" s="16">
        <f>IF(J198="","",J198-K198)</f>
        <v/>
      </c>
      <c r="M198" s="14">
        <f>IF(A198="","",MONTH(A198))</f>
        <v/>
      </c>
      <c r="N198" s="14">
        <f>IF(A198="","",YEAR(A198))</f>
        <v/>
      </c>
    </row>
    <row r="199">
      <c r="A199" s="15" t="n"/>
      <c r="B199" s="10" t="n"/>
      <c r="C199" s="10" t="n"/>
      <c r="D199" s="10" t="n"/>
      <c r="E199" s="14">
        <f>IF(D199="","",IFERROR(INDEX('Sản phẩm'!$B$5:$B$304,MATCH(D199,'Sản phẩm'!$A$5:$A$304,0)),""))</f>
        <v/>
      </c>
      <c r="F199" s="12" t="n"/>
      <c r="G199" s="11" t="n"/>
      <c r="H199" s="11" t="n"/>
      <c r="I199" s="16">
        <f>IF(D199="","",IF(G199&lt;&gt;"",G199,IFERROR(INDEX('Sản phẩm'!$E$5:$E$304,MATCH(D199,'Sản phẩm'!$A$5:$A$304,0)),"")))</f>
        <v/>
      </c>
      <c r="J199" s="16">
        <f>IF(OR(D199="",F199=""),"",F199*I199-N(H199))</f>
        <v/>
      </c>
      <c r="K199" s="16">
        <f>IF(OR(D199="",F199=""),"",F199*IFERROR(INDEX('Sản phẩm'!$D$5:$D$304,MATCH(D199,'Sản phẩm'!$A$5:$A$304,0)),""))</f>
        <v/>
      </c>
      <c r="L199" s="16">
        <f>IF(J199="","",J199-K199)</f>
        <v/>
      </c>
      <c r="M199" s="14">
        <f>IF(A199="","",MONTH(A199))</f>
        <v/>
      </c>
      <c r="N199" s="14">
        <f>IF(A199="","",YEAR(A199))</f>
        <v/>
      </c>
    </row>
    <row r="200">
      <c r="A200" s="15" t="n"/>
      <c r="B200" s="10" t="n"/>
      <c r="C200" s="10" t="n"/>
      <c r="D200" s="10" t="n"/>
      <c r="E200" s="14">
        <f>IF(D200="","",IFERROR(INDEX('Sản phẩm'!$B$5:$B$304,MATCH(D200,'Sản phẩm'!$A$5:$A$304,0)),""))</f>
        <v/>
      </c>
      <c r="F200" s="12" t="n"/>
      <c r="G200" s="11" t="n"/>
      <c r="H200" s="11" t="n"/>
      <c r="I200" s="16">
        <f>IF(D200="","",IF(G200&lt;&gt;"",G200,IFERROR(INDEX('Sản phẩm'!$E$5:$E$304,MATCH(D200,'Sản phẩm'!$A$5:$A$304,0)),"")))</f>
        <v/>
      </c>
      <c r="J200" s="16">
        <f>IF(OR(D200="",F200=""),"",F200*I200-N(H200))</f>
        <v/>
      </c>
      <c r="K200" s="16">
        <f>IF(OR(D200="",F200=""),"",F200*IFERROR(INDEX('Sản phẩm'!$D$5:$D$304,MATCH(D200,'Sản phẩm'!$A$5:$A$304,0)),""))</f>
        <v/>
      </c>
      <c r="L200" s="16">
        <f>IF(J200="","",J200-K200)</f>
        <v/>
      </c>
      <c r="M200" s="14">
        <f>IF(A200="","",MONTH(A200))</f>
        <v/>
      </c>
      <c r="N200" s="14">
        <f>IF(A200="","",YEAR(A200))</f>
        <v/>
      </c>
    </row>
    <row r="201">
      <c r="A201" s="15" t="n"/>
      <c r="B201" s="10" t="n"/>
      <c r="C201" s="10" t="n"/>
      <c r="D201" s="10" t="n"/>
      <c r="E201" s="14">
        <f>IF(D201="","",IFERROR(INDEX('Sản phẩm'!$B$5:$B$304,MATCH(D201,'Sản phẩm'!$A$5:$A$304,0)),""))</f>
        <v/>
      </c>
      <c r="F201" s="12" t="n"/>
      <c r="G201" s="11" t="n"/>
      <c r="H201" s="11" t="n"/>
      <c r="I201" s="16">
        <f>IF(D201="","",IF(G201&lt;&gt;"",G201,IFERROR(INDEX('Sản phẩm'!$E$5:$E$304,MATCH(D201,'Sản phẩm'!$A$5:$A$304,0)),"")))</f>
        <v/>
      </c>
      <c r="J201" s="16">
        <f>IF(OR(D201="",F201=""),"",F201*I201-N(H201))</f>
        <v/>
      </c>
      <c r="K201" s="16">
        <f>IF(OR(D201="",F201=""),"",F201*IFERROR(INDEX('Sản phẩm'!$D$5:$D$304,MATCH(D201,'Sản phẩm'!$A$5:$A$304,0)),""))</f>
        <v/>
      </c>
      <c r="L201" s="16">
        <f>IF(J201="","",J201-K201)</f>
        <v/>
      </c>
      <c r="M201" s="14">
        <f>IF(A201="","",MONTH(A201))</f>
        <v/>
      </c>
      <c r="N201" s="14">
        <f>IF(A201="","",YEAR(A201))</f>
        <v/>
      </c>
    </row>
    <row r="202">
      <c r="A202" s="15" t="n"/>
      <c r="B202" s="10" t="n"/>
      <c r="C202" s="10" t="n"/>
      <c r="D202" s="10" t="n"/>
      <c r="E202" s="14">
        <f>IF(D202="","",IFERROR(INDEX('Sản phẩm'!$B$5:$B$304,MATCH(D202,'Sản phẩm'!$A$5:$A$304,0)),""))</f>
        <v/>
      </c>
      <c r="F202" s="12" t="n"/>
      <c r="G202" s="11" t="n"/>
      <c r="H202" s="11" t="n"/>
      <c r="I202" s="16">
        <f>IF(D202="","",IF(G202&lt;&gt;"",G202,IFERROR(INDEX('Sản phẩm'!$E$5:$E$304,MATCH(D202,'Sản phẩm'!$A$5:$A$304,0)),"")))</f>
        <v/>
      </c>
      <c r="J202" s="16">
        <f>IF(OR(D202="",F202=""),"",F202*I202-N(H202))</f>
        <v/>
      </c>
      <c r="K202" s="16">
        <f>IF(OR(D202="",F202=""),"",F202*IFERROR(INDEX('Sản phẩm'!$D$5:$D$304,MATCH(D202,'Sản phẩm'!$A$5:$A$304,0)),""))</f>
        <v/>
      </c>
      <c r="L202" s="16">
        <f>IF(J202="","",J202-K202)</f>
        <v/>
      </c>
      <c r="M202" s="14">
        <f>IF(A202="","",MONTH(A202))</f>
        <v/>
      </c>
      <c r="N202" s="14">
        <f>IF(A202="","",YEAR(A202))</f>
        <v/>
      </c>
    </row>
    <row r="203">
      <c r="A203" s="15" t="n"/>
      <c r="B203" s="10" t="n"/>
      <c r="C203" s="10" t="n"/>
      <c r="D203" s="10" t="n"/>
      <c r="E203" s="14">
        <f>IF(D203="","",IFERROR(INDEX('Sản phẩm'!$B$5:$B$304,MATCH(D203,'Sản phẩm'!$A$5:$A$304,0)),""))</f>
        <v/>
      </c>
      <c r="F203" s="12" t="n"/>
      <c r="G203" s="11" t="n"/>
      <c r="H203" s="11" t="n"/>
      <c r="I203" s="16">
        <f>IF(D203="","",IF(G203&lt;&gt;"",G203,IFERROR(INDEX('Sản phẩm'!$E$5:$E$304,MATCH(D203,'Sản phẩm'!$A$5:$A$304,0)),"")))</f>
        <v/>
      </c>
      <c r="J203" s="16">
        <f>IF(OR(D203="",F203=""),"",F203*I203-N(H203))</f>
        <v/>
      </c>
      <c r="K203" s="16">
        <f>IF(OR(D203="",F203=""),"",F203*IFERROR(INDEX('Sản phẩm'!$D$5:$D$304,MATCH(D203,'Sản phẩm'!$A$5:$A$304,0)),""))</f>
        <v/>
      </c>
      <c r="L203" s="16">
        <f>IF(J203="","",J203-K203)</f>
        <v/>
      </c>
      <c r="M203" s="14">
        <f>IF(A203="","",MONTH(A203))</f>
        <v/>
      </c>
      <c r="N203" s="14">
        <f>IF(A203="","",YEAR(A203))</f>
        <v/>
      </c>
    </row>
    <row r="204">
      <c r="A204" s="15" t="n"/>
      <c r="B204" s="10" t="n"/>
      <c r="C204" s="10" t="n"/>
      <c r="D204" s="10" t="n"/>
      <c r="E204" s="14">
        <f>IF(D204="","",IFERROR(INDEX('Sản phẩm'!$B$5:$B$304,MATCH(D204,'Sản phẩm'!$A$5:$A$304,0)),""))</f>
        <v/>
      </c>
      <c r="F204" s="12" t="n"/>
      <c r="G204" s="11" t="n"/>
      <c r="H204" s="11" t="n"/>
      <c r="I204" s="16">
        <f>IF(D204="","",IF(G204&lt;&gt;"",G204,IFERROR(INDEX('Sản phẩm'!$E$5:$E$304,MATCH(D204,'Sản phẩm'!$A$5:$A$304,0)),"")))</f>
        <v/>
      </c>
      <c r="J204" s="16">
        <f>IF(OR(D204="",F204=""),"",F204*I204-N(H204))</f>
        <v/>
      </c>
      <c r="K204" s="16">
        <f>IF(OR(D204="",F204=""),"",F204*IFERROR(INDEX('Sản phẩm'!$D$5:$D$304,MATCH(D204,'Sản phẩm'!$A$5:$A$304,0)),""))</f>
        <v/>
      </c>
      <c r="L204" s="16">
        <f>IF(J204="","",J204-K204)</f>
        <v/>
      </c>
      <c r="M204" s="14">
        <f>IF(A204="","",MONTH(A204))</f>
        <v/>
      </c>
      <c r="N204" s="14">
        <f>IF(A204="","",YEAR(A204))</f>
        <v/>
      </c>
    </row>
    <row r="205">
      <c r="A205" s="15" t="n"/>
      <c r="B205" s="10" t="n"/>
      <c r="C205" s="10" t="n"/>
      <c r="D205" s="10" t="n"/>
      <c r="E205" s="14">
        <f>IF(D205="","",IFERROR(INDEX('Sản phẩm'!$B$5:$B$304,MATCH(D205,'Sản phẩm'!$A$5:$A$304,0)),""))</f>
        <v/>
      </c>
      <c r="F205" s="12" t="n"/>
      <c r="G205" s="11" t="n"/>
      <c r="H205" s="11" t="n"/>
      <c r="I205" s="16">
        <f>IF(D205="","",IF(G205&lt;&gt;"",G205,IFERROR(INDEX('Sản phẩm'!$E$5:$E$304,MATCH(D205,'Sản phẩm'!$A$5:$A$304,0)),"")))</f>
        <v/>
      </c>
      <c r="J205" s="16">
        <f>IF(OR(D205="",F205=""),"",F205*I205-N(H205))</f>
        <v/>
      </c>
      <c r="K205" s="16">
        <f>IF(OR(D205="",F205=""),"",F205*IFERROR(INDEX('Sản phẩm'!$D$5:$D$304,MATCH(D205,'Sản phẩm'!$A$5:$A$304,0)),""))</f>
        <v/>
      </c>
      <c r="L205" s="16">
        <f>IF(J205="","",J205-K205)</f>
        <v/>
      </c>
      <c r="M205" s="14">
        <f>IF(A205="","",MONTH(A205))</f>
        <v/>
      </c>
      <c r="N205" s="14">
        <f>IF(A205="","",YEAR(A205))</f>
        <v/>
      </c>
    </row>
    <row r="206">
      <c r="A206" s="15" t="n"/>
      <c r="B206" s="10" t="n"/>
      <c r="C206" s="10" t="n"/>
      <c r="D206" s="10" t="n"/>
      <c r="E206" s="14">
        <f>IF(D206="","",IFERROR(INDEX('Sản phẩm'!$B$5:$B$304,MATCH(D206,'Sản phẩm'!$A$5:$A$304,0)),""))</f>
        <v/>
      </c>
      <c r="F206" s="12" t="n"/>
      <c r="G206" s="11" t="n"/>
      <c r="H206" s="11" t="n"/>
      <c r="I206" s="16">
        <f>IF(D206="","",IF(G206&lt;&gt;"",G206,IFERROR(INDEX('Sản phẩm'!$E$5:$E$304,MATCH(D206,'Sản phẩm'!$A$5:$A$304,0)),"")))</f>
        <v/>
      </c>
      <c r="J206" s="16">
        <f>IF(OR(D206="",F206=""),"",F206*I206-N(H206))</f>
        <v/>
      </c>
      <c r="K206" s="16">
        <f>IF(OR(D206="",F206=""),"",F206*IFERROR(INDEX('Sản phẩm'!$D$5:$D$304,MATCH(D206,'Sản phẩm'!$A$5:$A$304,0)),""))</f>
        <v/>
      </c>
      <c r="L206" s="16">
        <f>IF(J206="","",J206-K206)</f>
        <v/>
      </c>
      <c r="M206" s="14">
        <f>IF(A206="","",MONTH(A206))</f>
        <v/>
      </c>
      <c r="N206" s="14">
        <f>IF(A206="","",YEAR(A206))</f>
        <v/>
      </c>
    </row>
    <row r="207">
      <c r="A207" s="15" t="n"/>
      <c r="B207" s="10" t="n"/>
      <c r="C207" s="10" t="n"/>
      <c r="D207" s="10" t="n"/>
      <c r="E207" s="14">
        <f>IF(D207="","",IFERROR(INDEX('Sản phẩm'!$B$5:$B$304,MATCH(D207,'Sản phẩm'!$A$5:$A$304,0)),""))</f>
        <v/>
      </c>
      <c r="F207" s="12" t="n"/>
      <c r="G207" s="11" t="n"/>
      <c r="H207" s="11" t="n"/>
      <c r="I207" s="16">
        <f>IF(D207="","",IF(G207&lt;&gt;"",G207,IFERROR(INDEX('Sản phẩm'!$E$5:$E$304,MATCH(D207,'Sản phẩm'!$A$5:$A$304,0)),"")))</f>
        <v/>
      </c>
      <c r="J207" s="16">
        <f>IF(OR(D207="",F207=""),"",F207*I207-N(H207))</f>
        <v/>
      </c>
      <c r="K207" s="16">
        <f>IF(OR(D207="",F207=""),"",F207*IFERROR(INDEX('Sản phẩm'!$D$5:$D$304,MATCH(D207,'Sản phẩm'!$A$5:$A$304,0)),""))</f>
        <v/>
      </c>
      <c r="L207" s="16">
        <f>IF(J207="","",J207-K207)</f>
        <v/>
      </c>
      <c r="M207" s="14">
        <f>IF(A207="","",MONTH(A207))</f>
        <v/>
      </c>
      <c r="N207" s="14">
        <f>IF(A207="","",YEAR(A207))</f>
        <v/>
      </c>
    </row>
    <row r="208">
      <c r="A208" s="15" t="n"/>
      <c r="B208" s="10" t="n"/>
      <c r="C208" s="10" t="n"/>
      <c r="D208" s="10" t="n"/>
      <c r="E208" s="14">
        <f>IF(D208="","",IFERROR(INDEX('Sản phẩm'!$B$5:$B$304,MATCH(D208,'Sản phẩm'!$A$5:$A$304,0)),""))</f>
        <v/>
      </c>
      <c r="F208" s="12" t="n"/>
      <c r="G208" s="11" t="n"/>
      <c r="H208" s="11" t="n"/>
      <c r="I208" s="16">
        <f>IF(D208="","",IF(G208&lt;&gt;"",G208,IFERROR(INDEX('Sản phẩm'!$E$5:$E$304,MATCH(D208,'Sản phẩm'!$A$5:$A$304,0)),"")))</f>
        <v/>
      </c>
      <c r="J208" s="16">
        <f>IF(OR(D208="",F208=""),"",F208*I208-N(H208))</f>
        <v/>
      </c>
      <c r="K208" s="16">
        <f>IF(OR(D208="",F208=""),"",F208*IFERROR(INDEX('Sản phẩm'!$D$5:$D$304,MATCH(D208,'Sản phẩm'!$A$5:$A$304,0)),""))</f>
        <v/>
      </c>
      <c r="L208" s="16">
        <f>IF(J208="","",J208-K208)</f>
        <v/>
      </c>
      <c r="M208" s="14">
        <f>IF(A208="","",MONTH(A208))</f>
        <v/>
      </c>
      <c r="N208" s="14">
        <f>IF(A208="","",YEAR(A208))</f>
        <v/>
      </c>
    </row>
    <row r="209">
      <c r="A209" s="15" t="n"/>
      <c r="B209" s="10" t="n"/>
      <c r="C209" s="10" t="n"/>
      <c r="D209" s="10" t="n"/>
      <c r="E209" s="14">
        <f>IF(D209="","",IFERROR(INDEX('Sản phẩm'!$B$5:$B$304,MATCH(D209,'Sản phẩm'!$A$5:$A$304,0)),""))</f>
        <v/>
      </c>
      <c r="F209" s="12" t="n"/>
      <c r="G209" s="11" t="n"/>
      <c r="H209" s="11" t="n"/>
      <c r="I209" s="16">
        <f>IF(D209="","",IF(G209&lt;&gt;"",G209,IFERROR(INDEX('Sản phẩm'!$E$5:$E$304,MATCH(D209,'Sản phẩm'!$A$5:$A$304,0)),"")))</f>
        <v/>
      </c>
      <c r="J209" s="16">
        <f>IF(OR(D209="",F209=""),"",F209*I209-N(H209))</f>
        <v/>
      </c>
      <c r="K209" s="16">
        <f>IF(OR(D209="",F209=""),"",F209*IFERROR(INDEX('Sản phẩm'!$D$5:$D$304,MATCH(D209,'Sản phẩm'!$A$5:$A$304,0)),""))</f>
        <v/>
      </c>
      <c r="L209" s="16">
        <f>IF(J209="","",J209-K209)</f>
        <v/>
      </c>
      <c r="M209" s="14">
        <f>IF(A209="","",MONTH(A209))</f>
        <v/>
      </c>
      <c r="N209" s="14">
        <f>IF(A209="","",YEAR(A209))</f>
        <v/>
      </c>
    </row>
    <row r="210">
      <c r="A210" s="15" t="n"/>
      <c r="B210" s="10" t="n"/>
      <c r="C210" s="10" t="n"/>
      <c r="D210" s="10" t="n"/>
      <c r="E210" s="14">
        <f>IF(D210="","",IFERROR(INDEX('Sản phẩm'!$B$5:$B$304,MATCH(D210,'Sản phẩm'!$A$5:$A$304,0)),""))</f>
        <v/>
      </c>
      <c r="F210" s="12" t="n"/>
      <c r="G210" s="11" t="n"/>
      <c r="H210" s="11" t="n"/>
      <c r="I210" s="16">
        <f>IF(D210="","",IF(G210&lt;&gt;"",G210,IFERROR(INDEX('Sản phẩm'!$E$5:$E$304,MATCH(D210,'Sản phẩm'!$A$5:$A$304,0)),"")))</f>
        <v/>
      </c>
      <c r="J210" s="16">
        <f>IF(OR(D210="",F210=""),"",F210*I210-N(H210))</f>
        <v/>
      </c>
      <c r="K210" s="16">
        <f>IF(OR(D210="",F210=""),"",F210*IFERROR(INDEX('Sản phẩm'!$D$5:$D$304,MATCH(D210,'Sản phẩm'!$A$5:$A$304,0)),""))</f>
        <v/>
      </c>
      <c r="L210" s="16">
        <f>IF(J210="","",J210-K210)</f>
        <v/>
      </c>
      <c r="M210" s="14">
        <f>IF(A210="","",MONTH(A210))</f>
        <v/>
      </c>
      <c r="N210" s="14">
        <f>IF(A210="","",YEAR(A210))</f>
        <v/>
      </c>
    </row>
    <row r="211">
      <c r="A211" s="15" t="n"/>
      <c r="B211" s="10" t="n"/>
      <c r="C211" s="10" t="n"/>
      <c r="D211" s="10" t="n"/>
      <c r="E211" s="14">
        <f>IF(D211="","",IFERROR(INDEX('Sản phẩm'!$B$5:$B$304,MATCH(D211,'Sản phẩm'!$A$5:$A$304,0)),""))</f>
        <v/>
      </c>
      <c r="F211" s="12" t="n"/>
      <c r="G211" s="11" t="n"/>
      <c r="H211" s="11" t="n"/>
      <c r="I211" s="16">
        <f>IF(D211="","",IF(G211&lt;&gt;"",G211,IFERROR(INDEX('Sản phẩm'!$E$5:$E$304,MATCH(D211,'Sản phẩm'!$A$5:$A$304,0)),"")))</f>
        <v/>
      </c>
      <c r="J211" s="16">
        <f>IF(OR(D211="",F211=""),"",F211*I211-N(H211))</f>
        <v/>
      </c>
      <c r="K211" s="16">
        <f>IF(OR(D211="",F211=""),"",F211*IFERROR(INDEX('Sản phẩm'!$D$5:$D$304,MATCH(D211,'Sản phẩm'!$A$5:$A$304,0)),""))</f>
        <v/>
      </c>
      <c r="L211" s="16">
        <f>IF(J211="","",J211-K211)</f>
        <v/>
      </c>
      <c r="M211" s="14">
        <f>IF(A211="","",MONTH(A211))</f>
        <v/>
      </c>
      <c r="N211" s="14">
        <f>IF(A211="","",YEAR(A211))</f>
        <v/>
      </c>
    </row>
    <row r="212">
      <c r="A212" s="15" t="n"/>
      <c r="B212" s="10" t="n"/>
      <c r="C212" s="10" t="n"/>
      <c r="D212" s="10" t="n"/>
      <c r="E212" s="14">
        <f>IF(D212="","",IFERROR(INDEX('Sản phẩm'!$B$5:$B$304,MATCH(D212,'Sản phẩm'!$A$5:$A$304,0)),""))</f>
        <v/>
      </c>
      <c r="F212" s="12" t="n"/>
      <c r="G212" s="11" t="n"/>
      <c r="H212" s="11" t="n"/>
      <c r="I212" s="16">
        <f>IF(D212="","",IF(G212&lt;&gt;"",G212,IFERROR(INDEX('Sản phẩm'!$E$5:$E$304,MATCH(D212,'Sản phẩm'!$A$5:$A$304,0)),"")))</f>
        <v/>
      </c>
      <c r="J212" s="16">
        <f>IF(OR(D212="",F212=""),"",F212*I212-N(H212))</f>
        <v/>
      </c>
      <c r="K212" s="16">
        <f>IF(OR(D212="",F212=""),"",F212*IFERROR(INDEX('Sản phẩm'!$D$5:$D$304,MATCH(D212,'Sản phẩm'!$A$5:$A$304,0)),""))</f>
        <v/>
      </c>
      <c r="L212" s="16">
        <f>IF(J212="","",J212-K212)</f>
        <v/>
      </c>
      <c r="M212" s="14">
        <f>IF(A212="","",MONTH(A212))</f>
        <v/>
      </c>
      <c r="N212" s="14">
        <f>IF(A212="","",YEAR(A212))</f>
        <v/>
      </c>
    </row>
    <row r="213">
      <c r="A213" s="15" t="n"/>
      <c r="B213" s="10" t="n"/>
      <c r="C213" s="10" t="n"/>
      <c r="D213" s="10" t="n"/>
      <c r="E213" s="14">
        <f>IF(D213="","",IFERROR(INDEX('Sản phẩm'!$B$5:$B$304,MATCH(D213,'Sản phẩm'!$A$5:$A$304,0)),""))</f>
        <v/>
      </c>
      <c r="F213" s="12" t="n"/>
      <c r="G213" s="11" t="n"/>
      <c r="H213" s="11" t="n"/>
      <c r="I213" s="16">
        <f>IF(D213="","",IF(G213&lt;&gt;"",G213,IFERROR(INDEX('Sản phẩm'!$E$5:$E$304,MATCH(D213,'Sản phẩm'!$A$5:$A$304,0)),"")))</f>
        <v/>
      </c>
      <c r="J213" s="16">
        <f>IF(OR(D213="",F213=""),"",F213*I213-N(H213))</f>
        <v/>
      </c>
      <c r="K213" s="16">
        <f>IF(OR(D213="",F213=""),"",F213*IFERROR(INDEX('Sản phẩm'!$D$5:$D$304,MATCH(D213,'Sản phẩm'!$A$5:$A$304,0)),""))</f>
        <v/>
      </c>
      <c r="L213" s="16">
        <f>IF(J213="","",J213-K213)</f>
        <v/>
      </c>
      <c r="M213" s="14">
        <f>IF(A213="","",MONTH(A213))</f>
        <v/>
      </c>
      <c r="N213" s="14">
        <f>IF(A213="","",YEAR(A213))</f>
        <v/>
      </c>
    </row>
    <row r="214">
      <c r="A214" s="15" t="n"/>
      <c r="B214" s="10" t="n"/>
      <c r="C214" s="10" t="n"/>
      <c r="D214" s="10" t="n"/>
      <c r="E214" s="14">
        <f>IF(D214="","",IFERROR(INDEX('Sản phẩm'!$B$5:$B$304,MATCH(D214,'Sản phẩm'!$A$5:$A$304,0)),""))</f>
        <v/>
      </c>
      <c r="F214" s="12" t="n"/>
      <c r="G214" s="11" t="n"/>
      <c r="H214" s="11" t="n"/>
      <c r="I214" s="16">
        <f>IF(D214="","",IF(G214&lt;&gt;"",G214,IFERROR(INDEX('Sản phẩm'!$E$5:$E$304,MATCH(D214,'Sản phẩm'!$A$5:$A$304,0)),"")))</f>
        <v/>
      </c>
      <c r="J214" s="16">
        <f>IF(OR(D214="",F214=""),"",F214*I214-N(H214))</f>
        <v/>
      </c>
      <c r="K214" s="16">
        <f>IF(OR(D214="",F214=""),"",F214*IFERROR(INDEX('Sản phẩm'!$D$5:$D$304,MATCH(D214,'Sản phẩm'!$A$5:$A$304,0)),""))</f>
        <v/>
      </c>
      <c r="L214" s="16">
        <f>IF(J214="","",J214-K214)</f>
        <v/>
      </c>
      <c r="M214" s="14">
        <f>IF(A214="","",MONTH(A214))</f>
        <v/>
      </c>
      <c r="N214" s="14">
        <f>IF(A214="","",YEAR(A214))</f>
        <v/>
      </c>
    </row>
    <row r="215">
      <c r="A215" s="15" t="n"/>
      <c r="B215" s="10" t="n"/>
      <c r="C215" s="10" t="n"/>
      <c r="D215" s="10" t="n"/>
      <c r="E215" s="14">
        <f>IF(D215="","",IFERROR(INDEX('Sản phẩm'!$B$5:$B$304,MATCH(D215,'Sản phẩm'!$A$5:$A$304,0)),""))</f>
        <v/>
      </c>
      <c r="F215" s="12" t="n"/>
      <c r="G215" s="11" t="n"/>
      <c r="H215" s="11" t="n"/>
      <c r="I215" s="16">
        <f>IF(D215="","",IF(G215&lt;&gt;"",G215,IFERROR(INDEX('Sản phẩm'!$E$5:$E$304,MATCH(D215,'Sản phẩm'!$A$5:$A$304,0)),"")))</f>
        <v/>
      </c>
      <c r="J215" s="16">
        <f>IF(OR(D215="",F215=""),"",F215*I215-N(H215))</f>
        <v/>
      </c>
      <c r="K215" s="16">
        <f>IF(OR(D215="",F215=""),"",F215*IFERROR(INDEX('Sản phẩm'!$D$5:$D$304,MATCH(D215,'Sản phẩm'!$A$5:$A$304,0)),""))</f>
        <v/>
      </c>
      <c r="L215" s="16">
        <f>IF(J215="","",J215-K215)</f>
        <v/>
      </c>
      <c r="M215" s="14">
        <f>IF(A215="","",MONTH(A215))</f>
        <v/>
      </c>
      <c r="N215" s="14">
        <f>IF(A215="","",YEAR(A215))</f>
        <v/>
      </c>
    </row>
    <row r="216">
      <c r="A216" s="15" t="n"/>
      <c r="B216" s="10" t="n"/>
      <c r="C216" s="10" t="n"/>
      <c r="D216" s="10" t="n"/>
      <c r="E216" s="14">
        <f>IF(D216="","",IFERROR(INDEX('Sản phẩm'!$B$5:$B$304,MATCH(D216,'Sản phẩm'!$A$5:$A$304,0)),""))</f>
        <v/>
      </c>
      <c r="F216" s="12" t="n"/>
      <c r="G216" s="11" t="n"/>
      <c r="H216" s="11" t="n"/>
      <c r="I216" s="16">
        <f>IF(D216="","",IF(G216&lt;&gt;"",G216,IFERROR(INDEX('Sản phẩm'!$E$5:$E$304,MATCH(D216,'Sản phẩm'!$A$5:$A$304,0)),"")))</f>
        <v/>
      </c>
      <c r="J216" s="16">
        <f>IF(OR(D216="",F216=""),"",F216*I216-N(H216))</f>
        <v/>
      </c>
      <c r="K216" s="16">
        <f>IF(OR(D216="",F216=""),"",F216*IFERROR(INDEX('Sản phẩm'!$D$5:$D$304,MATCH(D216,'Sản phẩm'!$A$5:$A$304,0)),""))</f>
        <v/>
      </c>
      <c r="L216" s="16">
        <f>IF(J216="","",J216-K216)</f>
        <v/>
      </c>
      <c r="M216" s="14">
        <f>IF(A216="","",MONTH(A216))</f>
        <v/>
      </c>
      <c r="N216" s="14">
        <f>IF(A216="","",YEAR(A216))</f>
        <v/>
      </c>
    </row>
    <row r="217">
      <c r="A217" s="15" t="n"/>
      <c r="B217" s="10" t="n"/>
      <c r="C217" s="10" t="n"/>
      <c r="D217" s="10" t="n"/>
      <c r="E217" s="14">
        <f>IF(D217="","",IFERROR(INDEX('Sản phẩm'!$B$5:$B$304,MATCH(D217,'Sản phẩm'!$A$5:$A$304,0)),""))</f>
        <v/>
      </c>
      <c r="F217" s="12" t="n"/>
      <c r="G217" s="11" t="n"/>
      <c r="H217" s="11" t="n"/>
      <c r="I217" s="16">
        <f>IF(D217="","",IF(G217&lt;&gt;"",G217,IFERROR(INDEX('Sản phẩm'!$E$5:$E$304,MATCH(D217,'Sản phẩm'!$A$5:$A$304,0)),"")))</f>
        <v/>
      </c>
      <c r="J217" s="16">
        <f>IF(OR(D217="",F217=""),"",F217*I217-N(H217))</f>
        <v/>
      </c>
      <c r="K217" s="16">
        <f>IF(OR(D217="",F217=""),"",F217*IFERROR(INDEX('Sản phẩm'!$D$5:$D$304,MATCH(D217,'Sản phẩm'!$A$5:$A$304,0)),""))</f>
        <v/>
      </c>
      <c r="L217" s="16">
        <f>IF(J217="","",J217-K217)</f>
        <v/>
      </c>
      <c r="M217" s="14">
        <f>IF(A217="","",MONTH(A217))</f>
        <v/>
      </c>
      <c r="N217" s="14">
        <f>IF(A217="","",YEAR(A217))</f>
        <v/>
      </c>
    </row>
    <row r="218">
      <c r="A218" s="15" t="n"/>
      <c r="B218" s="10" t="n"/>
      <c r="C218" s="10" t="n"/>
      <c r="D218" s="10" t="n"/>
      <c r="E218" s="14">
        <f>IF(D218="","",IFERROR(INDEX('Sản phẩm'!$B$5:$B$304,MATCH(D218,'Sản phẩm'!$A$5:$A$304,0)),""))</f>
        <v/>
      </c>
      <c r="F218" s="12" t="n"/>
      <c r="G218" s="11" t="n"/>
      <c r="H218" s="11" t="n"/>
      <c r="I218" s="16">
        <f>IF(D218="","",IF(G218&lt;&gt;"",G218,IFERROR(INDEX('Sản phẩm'!$E$5:$E$304,MATCH(D218,'Sản phẩm'!$A$5:$A$304,0)),"")))</f>
        <v/>
      </c>
      <c r="J218" s="16">
        <f>IF(OR(D218="",F218=""),"",F218*I218-N(H218))</f>
        <v/>
      </c>
      <c r="K218" s="16">
        <f>IF(OR(D218="",F218=""),"",F218*IFERROR(INDEX('Sản phẩm'!$D$5:$D$304,MATCH(D218,'Sản phẩm'!$A$5:$A$304,0)),""))</f>
        <v/>
      </c>
      <c r="L218" s="16">
        <f>IF(J218="","",J218-K218)</f>
        <v/>
      </c>
      <c r="M218" s="14">
        <f>IF(A218="","",MONTH(A218))</f>
        <v/>
      </c>
      <c r="N218" s="14">
        <f>IF(A218="","",YEAR(A218))</f>
        <v/>
      </c>
    </row>
    <row r="219">
      <c r="A219" s="15" t="n"/>
      <c r="B219" s="10" t="n"/>
      <c r="C219" s="10" t="n"/>
      <c r="D219" s="10" t="n"/>
      <c r="E219" s="14">
        <f>IF(D219="","",IFERROR(INDEX('Sản phẩm'!$B$5:$B$304,MATCH(D219,'Sản phẩm'!$A$5:$A$304,0)),""))</f>
        <v/>
      </c>
      <c r="F219" s="12" t="n"/>
      <c r="G219" s="11" t="n"/>
      <c r="H219" s="11" t="n"/>
      <c r="I219" s="16">
        <f>IF(D219="","",IF(G219&lt;&gt;"",G219,IFERROR(INDEX('Sản phẩm'!$E$5:$E$304,MATCH(D219,'Sản phẩm'!$A$5:$A$304,0)),"")))</f>
        <v/>
      </c>
      <c r="J219" s="16">
        <f>IF(OR(D219="",F219=""),"",F219*I219-N(H219))</f>
        <v/>
      </c>
      <c r="K219" s="16">
        <f>IF(OR(D219="",F219=""),"",F219*IFERROR(INDEX('Sản phẩm'!$D$5:$D$304,MATCH(D219,'Sản phẩm'!$A$5:$A$304,0)),""))</f>
        <v/>
      </c>
      <c r="L219" s="16">
        <f>IF(J219="","",J219-K219)</f>
        <v/>
      </c>
      <c r="M219" s="14">
        <f>IF(A219="","",MONTH(A219))</f>
        <v/>
      </c>
      <c r="N219" s="14">
        <f>IF(A219="","",YEAR(A219))</f>
        <v/>
      </c>
    </row>
    <row r="220">
      <c r="A220" s="15" t="n"/>
      <c r="B220" s="10" t="n"/>
      <c r="C220" s="10" t="n"/>
      <c r="D220" s="10" t="n"/>
      <c r="E220" s="14">
        <f>IF(D220="","",IFERROR(INDEX('Sản phẩm'!$B$5:$B$304,MATCH(D220,'Sản phẩm'!$A$5:$A$304,0)),""))</f>
        <v/>
      </c>
      <c r="F220" s="12" t="n"/>
      <c r="G220" s="11" t="n"/>
      <c r="H220" s="11" t="n"/>
      <c r="I220" s="16">
        <f>IF(D220="","",IF(G220&lt;&gt;"",G220,IFERROR(INDEX('Sản phẩm'!$E$5:$E$304,MATCH(D220,'Sản phẩm'!$A$5:$A$304,0)),"")))</f>
        <v/>
      </c>
      <c r="J220" s="16">
        <f>IF(OR(D220="",F220=""),"",F220*I220-N(H220))</f>
        <v/>
      </c>
      <c r="K220" s="16">
        <f>IF(OR(D220="",F220=""),"",F220*IFERROR(INDEX('Sản phẩm'!$D$5:$D$304,MATCH(D220,'Sản phẩm'!$A$5:$A$304,0)),""))</f>
        <v/>
      </c>
      <c r="L220" s="16">
        <f>IF(J220="","",J220-K220)</f>
        <v/>
      </c>
      <c r="M220" s="14">
        <f>IF(A220="","",MONTH(A220))</f>
        <v/>
      </c>
      <c r="N220" s="14">
        <f>IF(A220="","",YEAR(A220))</f>
        <v/>
      </c>
    </row>
    <row r="221">
      <c r="A221" s="15" t="n"/>
      <c r="B221" s="10" t="n"/>
      <c r="C221" s="10" t="n"/>
      <c r="D221" s="10" t="n"/>
      <c r="E221" s="14">
        <f>IF(D221="","",IFERROR(INDEX('Sản phẩm'!$B$5:$B$304,MATCH(D221,'Sản phẩm'!$A$5:$A$304,0)),""))</f>
        <v/>
      </c>
      <c r="F221" s="12" t="n"/>
      <c r="G221" s="11" t="n"/>
      <c r="H221" s="11" t="n"/>
      <c r="I221" s="16">
        <f>IF(D221="","",IF(G221&lt;&gt;"",G221,IFERROR(INDEX('Sản phẩm'!$E$5:$E$304,MATCH(D221,'Sản phẩm'!$A$5:$A$304,0)),"")))</f>
        <v/>
      </c>
      <c r="J221" s="16">
        <f>IF(OR(D221="",F221=""),"",F221*I221-N(H221))</f>
        <v/>
      </c>
      <c r="K221" s="16">
        <f>IF(OR(D221="",F221=""),"",F221*IFERROR(INDEX('Sản phẩm'!$D$5:$D$304,MATCH(D221,'Sản phẩm'!$A$5:$A$304,0)),""))</f>
        <v/>
      </c>
      <c r="L221" s="16">
        <f>IF(J221="","",J221-K221)</f>
        <v/>
      </c>
      <c r="M221" s="14">
        <f>IF(A221="","",MONTH(A221))</f>
        <v/>
      </c>
      <c r="N221" s="14">
        <f>IF(A221="","",YEAR(A221))</f>
        <v/>
      </c>
    </row>
    <row r="222">
      <c r="A222" s="15" t="n"/>
      <c r="B222" s="10" t="n"/>
      <c r="C222" s="10" t="n"/>
      <c r="D222" s="10" t="n"/>
      <c r="E222" s="14">
        <f>IF(D222="","",IFERROR(INDEX('Sản phẩm'!$B$5:$B$304,MATCH(D222,'Sản phẩm'!$A$5:$A$304,0)),""))</f>
        <v/>
      </c>
      <c r="F222" s="12" t="n"/>
      <c r="G222" s="11" t="n"/>
      <c r="H222" s="11" t="n"/>
      <c r="I222" s="16">
        <f>IF(D222="","",IF(G222&lt;&gt;"",G222,IFERROR(INDEX('Sản phẩm'!$E$5:$E$304,MATCH(D222,'Sản phẩm'!$A$5:$A$304,0)),"")))</f>
        <v/>
      </c>
      <c r="J222" s="16">
        <f>IF(OR(D222="",F222=""),"",F222*I222-N(H222))</f>
        <v/>
      </c>
      <c r="K222" s="16">
        <f>IF(OR(D222="",F222=""),"",F222*IFERROR(INDEX('Sản phẩm'!$D$5:$D$304,MATCH(D222,'Sản phẩm'!$A$5:$A$304,0)),""))</f>
        <v/>
      </c>
      <c r="L222" s="16">
        <f>IF(J222="","",J222-K222)</f>
        <v/>
      </c>
      <c r="M222" s="14">
        <f>IF(A222="","",MONTH(A222))</f>
        <v/>
      </c>
      <c r="N222" s="14">
        <f>IF(A222="","",YEAR(A222))</f>
        <v/>
      </c>
    </row>
    <row r="223">
      <c r="A223" s="15" t="n"/>
      <c r="B223" s="10" t="n"/>
      <c r="C223" s="10" t="n"/>
      <c r="D223" s="10" t="n"/>
      <c r="E223" s="14">
        <f>IF(D223="","",IFERROR(INDEX('Sản phẩm'!$B$5:$B$304,MATCH(D223,'Sản phẩm'!$A$5:$A$304,0)),""))</f>
        <v/>
      </c>
      <c r="F223" s="12" t="n"/>
      <c r="G223" s="11" t="n"/>
      <c r="H223" s="11" t="n"/>
      <c r="I223" s="16">
        <f>IF(D223="","",IF(G223&lt;&gt;"",G223,IFERROR(INDEX('Sản phẩm'!$E$5:$E$304,MATCH(D223,'Sản phẩm'!$A$5:$A$304,0)),"")))</f>
        <v/>
      </c>
      <c r="J223" s="16">
        <f>IF(OR(D223="",F223=""),"",F223*I223-N(H223))</f>
        <v/>
      </c>
      <c r="K223" s="16">
        <f>IF(OR(D223="",F223=""),"",F223*IFERROR(INDEX('Sản phẩm'!$D$5:$D$304,MATCH(D223,'Sản phẩm'!$A$5:$A$304,0)),""))</f>
        <v/>
      </c>
      <c r="L223" s="16">
        <f>IF(J223="","",J223-K223)</f>
        <v/>
      </c>
      <c r="M223" s="14">
        <f>IF(A223="","",MONTH(A223))</f>
        <v/>
      </c>
      <c r="N223" s="14">
        <f>IF(A223="","",YEAR(A223))</f>
        <v/>
      </c>
    </row>
    <row r="224">
      <c r="A224" s="15" t="n"/>
      <c r="B224" s="10" t="n"/>
      <c r="C224" s="10" t="n"/>
      <c r="D224" s="10" t="n"/>
      <c r="E224" s="14">
        <f>IF(D224="","",IFERROR(INDEX('Sản phẩm'!$B$5:$B$304,MATCH(D224,'Sản phẩm'!$A$5:$A$304,0)),""))</f>
        <v/>
      </c>
      <c r="F224" s="12" t="n"/>
      <c r="G224" s="11" t="n"/>
      <c r="H224" s="11" t="n"/>
      <c r="I224" s="16">
        <f>IF(D224="","",IF(G224&lt;&gt;"",G224,IFERROR(INDEX('Sản phẩm'!$E$5:$E$304,MATCH(D224,'Sản phẩm'!$A$5:$A$304,0)),"")))</f>
        <v/>
      </c>
      <c r="J224" s="16">
        <f>IF(OR(D224="",F224=""),"",F224*I224-N(H224))</f>
        <v/>
      </c>
      <c r="K224" s="16">
        <f>IF(OR(D224="",F224=""),"",F224*IFERROR(INDEX('Sản phẩm'!$D$5:$D$304,MATCH(D224,'Sản phẩm'!$A$5:$A$304,0)),""))</f>
        <v/>
      </c>
      <c r="L224" s="16">
        <f>IF(J224="","",J224-K224)</f>
        <v/>
      </c>
      <c r="M224" s="14">
        <f>IF(A224="","",MONTH(A224))</f>
        <v/>
      </c>
      <c r="N224" s="14">
        <f>IF(A224="","",YEAR(A224))</f>
        <v/>
      </c>
    </row>
    <row r="225">
      <c r="A225" s="15" t="n"/>
      <c r="B225" s="10" t="n"/>
      <c r="C225" s="10" t="n"/>
      <c r="D225" s="10" t="n"/>
      <c r="E225" s="14">
        <f>IF(D225="","",IFERROR(INDEX('Sản phẩm'!$B$5:$B$304,MATCH(D225,'Sản phẩm'!$A$5:$A$304,0)),""))</f>
        <v/>
      </c>
      <c r="F225" s="12" t="n"/>
      <c r="G225" s="11" t="n"/>
      <c r="H225" s="11" t="n"/>
      <c r="I225" s="16">
        <f>IF(D225="","",IF(G225&lt;&gt;"",G225,IFERROR(INDEX('Sản phẩm'!$E$5:$E$304,MATCH(D225,'Sản phẩm'!$A$5:$A$304,0)),"")))</f>
        <v/>
      </c>
      <c r="J225" s="16">
        <f>IF(OR(D225="",F225=""),"",F225*I225-N(H225))</f>
        <v/>
      </c>
      <c r="K225" s="16">
        <f>IF(OR(D225="",F225=""),"",F225*IFERROR(INDEX('Sản phẩm'!$D$5:$D$304,MATCH(D225,'Sản phẩm'!$A$5:$A$304,0)),""))</f>
        <v/>
      </c>
      <c r="L225" s="16">
        <f>IF(J225="","",J225-K225)</f>
        <v/>
      </c>
      <c r="M225" s="14">
        <f>IF(A225="","",MONTH(A225))</f>
        <v/>
      </c>
      <c r="N225" s="14">
        <f>IF(A225="","",YEAR(A225))</f>
        <v/>
      </c>
    </row>
    <row r="226">
      <c r="A226" s="15" t="n"/>
      <c r="B226" s="10" t="n"/>
      <c r="C226" s="10" t="n"/>
      <c r="D226" s="10" t="n"/>
      <c r="E226" s="14">
        <f>IF(D226="","",IFERROR(INDEX('Sản phẩm'!$B$5:$B$304,MATCH(D226,'Sản phẩm'!$A$5:$A$304,0)),""))</f>
        <v/>
      </c>
      <c r="F226" s="12" t="n"/>
      <c r="G226" s="11" t="n"/>
      <c r="H226" s="11" t="n"/>
      <c r="I226" s="16">
        <f>IF(D226="","",IF(G226&lt;&gt;"",G226,IFERROR(INDEX('Sản phẩm'!$E$5:$E$304,MATCH(D226,'Sản phẩm'!$A$5:$A$304,0)),"")))</f>
        <v/>
      </c>
      <c r="J226" s="16">
        <f>IF(OR(D226="",F226=""),"",F226*I226-N(H226))</f>
        <v/>
      </c>
      <c r="K226" s="16">
        <f>IF(OR(D226="",F226=""),"",F226*IFERROR(INDEX('Sản phẩm'!$D$5:$D$304,MATCH(D226,'Sản phẩm'!$A$5:$A$304,0)),""))</f>
        <v/>
      </c>
      <c r="L226" s="16">
        <f>IF(J226="","",J226-K226)</f>
        <v/>
      </c>
      <c r="M226" s="14">
        <f>IF(A226="","",MONTH(A226))</f>
        <v/>
      </c>
      <c r="N226" s="14">
        <f>IF(A226="","",YEAR(A226))</f>
        <v/>
      </c>
    </row>
    <row r="227">
      <c r="A227" s="15" t="n"/>
      <c r="B227" s="10" t="n"/>
      <c r="C227" s="10" t="n"/>
      <c r="D227" s="10" t="n"/>
      <c r="E227" s="14">
        <f>IF(D227="","",IFERROR(INDEX('Sản phẩm'!$B$5:$B$304,MATCH(D227,'Sản phẩm'!$A$5:$A$304,0)),""))</f>
        <v/>
      </c>
      <c r="F227" s="12" t="n"/>
      <c r="G227" s="11" t="n"/>
      <c r="H227" s="11" t="n"/>
      <c r="I227" s="16">
        <f>IF(D227="","",IF(G227&lt;&gt;"",G227,IFERROR(INDEX('Sản phẩm'!$E$5:$E$304,MATCH(D227,'Sản phẩm'!$A$5:$A$304,0)),"")))</f>
        <v/>
      </c>
      <c r="J227" s="16">
        <f>IF(OR(D227="",F227=""),"",F227*I227-N(H227))</f>
        <v/>
      </c>
      <c r="K227" s="16">
        <f>IF(OR(D227="",F227=""),"",F227*IFERROR(INDEX('Sản phẩm'!$D$5:$D$304,MATCH(D227,'Sản phẩm'!$A$5:$A$304,0)),""))</f>
        <v/>
      </c>
      <c r="L227" s="16">
        <f>IF(J227="","",J227-K227)</f>
        <v/>
      </c>
      <c r="M227" s="14">
        <f>IF(A227="","",MONTH(A227))</f>
        <v/>
      </c>
      <c r="N227" s="14">
        <f>IF(A227="","",YEAR(A227))</f>
        <v/>
      </c>
    </row>
    <row r="228">
      <c r="A228" s="15" t="n"/>
      <c r="B228" s="10" t="n"/>
      <c r="C228" s="10" t="n"/>
      <c r="D228" s="10" t="n"/>
      <c r="E228" s="14">
        <f>IF(D228="","",IFERROR(INDEX('Sản phẩm'!$B$5:$B$304,MATCH(D228,'Sản phẩm'!$A$5:$A$304,0)),""))</f>
        <v/>
      </c>
      <c r="F228" s="12" t="n"/>
      <c r="G228" s="11" t="n"/>
      <c r="H228" s="11" t="n"/>
      <c r="I228" s="16">
        <f>IF(D228="","",IF(G228&lt;&gt;"",G228,IFERROR(INDEX('Sản phẩm'!$E$5:$E$304,MATCH(D228,'Sản phẩm'!$A$5:$A$304,0)),"")))</f>
        <v/>
      </c>
      <c r="J228" s="16">
        <f>IF(OR(D228="",F228=""),"",F228*I228-N(H228))</f>
        <v/>
      </c>
      <c r="K228" s="16">
        <f>IF(OR(D228="",F228=""),"",F228*IFERROR(INDEX('Sản phẩm'!$D$5:$D$304,MATCH(D228,'Sản phẩm'!$A$5:$A$304,0)),""))</f>
        <v/>
      </c>
      <c r="L228" s="16">
        <f>IF(J228="","",J228-K228)</f>
        <v/>
      </c>
      <c r="M228" s="14">
        <f>IF(A228="","",MONTH(A228))</f>
        <v/>
      </c>
      <c r="N228" s="14">
        <f>IF(A228="","",YEAR(A228))</f>
        <v/>
      </c>
    </row>
    <row r="229">
      <c r="A229" s="15" t="n"/>
      <c r="B229" s="10" t="n"/>
      <c r="C229" s="10" t="n"/>
      <c r="D229" s="10" t="n"/>
      <c r="E229" s="14">
        <f>IF(D229="","",IFERROR(INDEX('Sản phẩm'!$B$5:$B$304,MATCH(D229,'Sản phẩm'!$A$5:$A$304,0)),""))</f>
        <v/>
      </c>
      <c r="F229" s="12" t="n"/>
      <c r="G229" s="11" t="n"/>
      <c r="H229" s="11" t="n"/>
      <c r="I229" s="16">
        <f>IF(D229="","",IF(G229&lt;&gt;"",G229,IFERROR(INDEX('Sản phẩm'!$E$5:$E$304,MATCH(D229,'Sản phẩm'!$A$5:$A$304,0)),"")))</f>
        <v/>
      </c>
      <c r="J229" s="16">
        <f>IF(OR(D229="",F229=""),"",F229*I229-N(H229))</f>
        <v/>
      </c>
      <c r="K229" s="16">
        <f>IF(OR(D229="",F229=""),"",F229*IFERROR(INDEX('Sản phẩm'!$D$5:$D$304,MATCH(D229,'Sản phẩm'!$A$5:$A$304,0)),""))</f>
        <v/>
      </c>
      <c r="L229" s="16">
        <f>IF(J229="","",J229-K229)</f>
        <v/>
      </c>
      <c r="M229" s="14">
        <f>IF(A229="","",MONTH(A229))</f>
        <v/>
      </c>
      <c r="N229" s="14">
        <f>IF(A229="","",YEAR(A229))</f>
        <v/>
      </c>
    </row>
    <row r="230">
      <c r="A230" s="15" t="n"/>
      <c r="B230" s="10" t="n"/>
      <c r="C230" s="10" t="n"/>
      <c r="D230" s="10" t="n"/>
      <c r="E230" s="14">
        <f>IF(D230="","",IFERROR(INDEX('Sản phẩm'!$B$5:$B$304,MATCH(D230,'Sản phẩm'!$A$5:$A$304,0)),""))</f>
        <v/>
      </c>
      <c r="F230" s="12" t="n"/>
      <c r="G230" s="11" t="n"/>
      <c r="H230" s="11" t="n"/>
      <c r="I230" s="16">
        <f>IF(D230="","",IF(G230&lt;&gt;"",G230,IFERROR(INDEX('Sản phẩm'!$E$5:$E$304,MATCH(D230,'Sản phẩm'!$A$5:$A$304,0)),"")))</f>
        <v/>
      </c>
      <c r="J230" s="16">
        <f>IF(OR(D230="",F230=""),"",F230*I230-N(H230))</f>
        <v/>
      </c>
      <c r="K230" s="16">
        <f>IF(OR(D230="",F230=""),"",F230*IFERROR(INDEX('Sản phẩm'!$D$5:$D$304,MATCH(D230,'Sản phẩm'!$A$5:$A$304,0)),""))</f>
        <v/>
      </c>
      <c r="L230" s="16">
        <f>IF(J230="","",J230-K230)</f>
        <v/>
      </c>
      <c r="M230" s="14">
        <f>IF(A230="","",MONTH(A230))</f>
        <v/>
      </c>
      <c r="N230" s="14">
        <f>IF(A230="","",YEAR(A230))</f>
        <v/>
      </c>
    </row>
    <row r="231">
      <c r="A231" s="15" t="n"/>
      <c r="B231" s="10" t="n"/>
      <c r="C231" s="10" t="n"/>
      <c r="D231" s="10" t="n"/>
      <c r="E231" s="14">
        <f>IF(D231="","",IFERROR(INDEX('Sản phẩm'!$B$5:$B$304,MATCH(D231,'Sản phẩm'!$A$5:$A$304,0)),""))</f>
        <v/>
      </c>
      <c r="F231" s="12" t="n"/>
      <c r="G231" s="11" t="n"/>
      <c r="H231" s="11" t="n"/>
      <c r="I231" s="16">
        <f>IF(D231="","",IF(G231&lt;&gt;"",G231,IFERROR(INDEX('Sản phẩm'!$E$5:$E$304,MATCH(D231,'Sản phẩm'!$A$5:$A$304,0)),"")))</f>
        <v/>
      </c>
      <c r="J231" s="16">
        <f>IF(OR(D231="",F231=""),"",F231*I231-N(H231))</f>
        <v/>
      </c>
      <c r="K231" s="16">
        <f>IF(OR(D231="",F231=""),"",F231*IFERROR(INDEX('Sản phẩm'!$D$5:$D$304,MATCH(D231,'Sản phẩm'!$A$5:$A$304,0)),""))</f>
        <v/>
      </c>
      <c r="L231" s="16">
        <f>IF(J231="","",J231-K231)</f>
        <v/>
      </c>
      <c r="M231" s="14">
        <f>IF(A231="","",MONTH(A231))</f>
        <v/>
      </c>
      <c r="N231" s="14">
        <f>IF(A231="","",YEAR(A231))</f>
        <v/>
      </c>
    </row>
    <row r="232">
      <c r="A232" s="15" t="n"/>
      <c r="B232" s="10" t="n"/>
      <c r="C232" s="10" t="n"/>
      <c r="D232" s="10" t="n"/>
      <c r="E232" s="14">
        <f>IF(D232="","",IFERROR(INDEX('Sản phẩm'!$B$5:$B$304,MATCH(D232,'Sản phẩm'!$A$5:$A$304,0)),""))</f>
        <v/>
      </c>
      <c r="F232" s="12" t="n"/>
      <c r="G232" s="11" t="n"/>
      <c r="H232" s="11" t="n"/>
      <c r="I232" s="16">
        <f>IF(D232="","",IF(G232&lt;&gt;"",G232,IFERROR(INDEX('Sản phẩm'!$E$5:$E$304,MATCH(D232,'Sản phẩm'!$A$5:$A$304,0)),"")))</f>
        <v/>
      </c>
      <c r="J232" s="16">
        <f>IF(OR(D232="",F232=""),"",F232*I232-N(H232))</f>
        <v/>
      </c>
      <c r="K232" s="16">
        <f>IF(OR(D232="",F232=""),"",F232*IFERROR(INDEX('Sản phẩm'!$D$5:$D$304,MATCH(D232,'Sản phẩm'!$A$5:$A$304,0)),""))</f>
        <v/>
      </c>
      <c r="L232" s="16">
        <f>IF(J232="","",J232-K232)</f>
        <v/>
      </c>
      <c r="M232" s="14">
        <f>IF(A232="","",MONTH(A232))</f>
        <v/>
      </c>
      <c r="N232" s="14">
        <f>IF(A232="","",YEAR(A232))</f>
        <v/>
      </c>
    </row>
    <row r="233">
      <c r="A233" s="15" t="n"/>
      <c r="B233" s="10" t="n"/>
      <c r="C233" s="10" t="n"/>
      <c r="D233" s="10" t="n"/>
      <c r="E233" s="14">
        <f>IF(D233="","",IFERROR(INDEX('Sản phẩm'!$B$5:$B$304,MATCH(D233,'Sản phẩm'!$A$5:$A$304,0)),""))</f>
        <v/>
      </c>
      <c r="F233" s="12" t="n"/>
      <c r="G233" s="11" t="n"/>
      <c r="H233" s="11" t="n"/>
      <c r="I233" s="16">
        <f>IF(D233="","",IF(G233&lt;&gt;"",G233,IFERROR(INDEX('Sản phẩm'!$E$5:$E$304,MATCH(D233,'Sản phẩm'!$A$5:$A$304,0)),"")))</f>
        <v/>
      </c>
      <c r="J233" s="16">
        <f>IF(OR(D233="",F233=""),"",F233*I233-N(H233))</f>
        <v/>
      </c>
      <c r="K233" s="16">
        <f>IF(OR(D233="",F233=""),"",F233*IFERROR(INDEX('Sản phẩm'!$D$5:$D$304,MATCH(D233,'Sản phẩm'!$A$5:$A$304,0)),""))</f>
        <v/>
      </c>
      <c r="L233" s="16">
        <f>IF(J233="","",J233-K233)</f>
        <v/>
      </c>
      <c r="M233" s="14">
        <f>IF(A233="","",MONTH(A233))</f>
        <v/>
      </c>
      <c r="N233" s="14">
        <f>IF(A233="","",YEAR(A233))</f>
        <v/>
      </c>
    </row>
    <row r="234">
      <c r="A234" s="15" t="n"/>
      <c r="B234" s="10" t="n"/>
      <c r="C234" s="10" t="n"/>
      <c r="D234" s="10" t="n"/>
      <c r="E234" s="14">
        <f>IF(D234="","",IFERROR(INDEX('Sản phẩm'!$B$5:$B$304,MATCH(D234,'Sản phẩm'!$A$5:$A$304,0)),""))</f>
        <v/>
      </c>
      <c r="F234" s="12" t="n"/>
      <c r="G234" s="11" t="n"/>
      <c r="H234" s="11" t="n"/>
      <c r="I234" s="16">
        <f>IF(D234="","",IF(G234&lt;&gt;"",G234,IFERROR(INDEX('Sản phẩm'!$E$5:$E$304,MATCH(D234,'Sản phẩm'!$A$5:$A$304,0)),"")))</f>
        <v/>
      </c>
      <c r="J234" s="16">
        <f>IF(OR(D234="",F234=""),"",F234*I234-N(H234))</f>
        <v/>
      </c>
      <c r="K234" s="16">
        <f>IF(OR(D234="",F234=""),"",F234*IFERROR(INDEX('Sản phẩm'!$D$5:$D$304,MATCH(D234,'Sản phẩm'!$A$5:$A$304,0)),""))</f>
        <v/>
      </c>
      <c r="L234" s="16">
        <f>IF(J234="","",J234-K234)</f>
        <v/>
      </c>
      <c r="M234" s="14">
        <f>IF(A234="","",MONTH(A234))</f>
        <v/>
      </c>
      <c r="N234" s="14">
        <f>IF(A234="","",YEAR(A234))</f>
        <v/>
      </c>
    </row>
    <row r="235">
      <c r="A235" s="15" t="n"/>
      <c r="B235" s="10" t="n"/>
      <c r="C235" s="10" t="n"/>
      <c r="D235" s="10" t="n"/>
      <c r="E235" s="14">
        <f>IF(D235="","",IFERROR(INDEX('Sản phẩm'!$B$5:$B$304,MATCH(D235,'Sản phẩm'!$A$5:$A$304,0)),""))</f>
        <v/>
      </c>
      <c r="F235" s="12" t="n"/>
      <c r="G235" s="11" t="n"/>
      <c r="H235" s="11" t="n"/>
      <c r="I235" s="16">
        <f>IF(D235="","",IF(G235&lt;&gt;"",G235,IFERROR(INDEX('Sản phẩm'!$E$5:$E$304,MATCH(D235,'Sản phẩm'!$A$5:$A$304,0)),"")))</f>
        <v/>
      </c>
      <c r="J235" s="16">
        <f>IF(OR(D235="",F235=""),"",F235*I235-N(H235))</f>
        <v/>
      </c>
      <c r="K235" s="16">
        <f>IF(OR(D235="",F235=""),"",F235*IFERROR(INDEX('Sản phẩm'!$D$5:$D$304,MATCH(D235,'Sản phẩm'!$A$5:$A$304,0)),""))</f>
        <v/>
      </c>
      <c r="L235" s="16">
        <f>IF(J235="","",J235-K235)</f>
        <v/>
      </c>
      <c r="M235" s="14">
        <f>IF(A235="","",MONTH(A235))</f>
        <v/>
      </c>
      <c r="N235" s="14">
        <f>IF(A235="","",YEAR(A235))</f>
        <v/>
      </c>
    </row>
    <row r="236">
      <c r="A236" s="15" t="n"/>
      <c r="B236" s="10" t="n"/>
      <c r="C236" s="10" t="n"/>
      <c r="D236" s="10" t="n"/>
      <c r="E236" s="14">
        <f>IF(D236="","",IFERROR(INDEX('Sản phẩm'!$B$5:$B$304,MATCH(D236,'Sản phẩm'!$A$5:$A$304,0)),""))</f>
        <v/>
      </c>
      <c r="F236" s="12" t="n"/>
      <c r="G236" s="11" t="n"/>
      <c r="H236" s="11" t="n"/>
      <c r="I236" s="16">
        <f>IF(D236="","",IF(G236&lt;&gt;"",G236,IFERROR(INDEX('Sản phẩm'!$E$5:$E$304,MATCH(D236,'Sản phẩm'!$A$5:$A$304,0)),"")))</f>
        <v/>
      </c>
      <c r="J236" s="16">
        <f>IF(OR(D236="",F236=""),"",F236*I236-N(H236))</f>
        <v/>
      </c>
      <c r="K236" s="16">
        <f>IF(OR(D236="",F236=""),"",F236*IFERROR(INDEX('Sản phẩm'!$D$5:$D$304,MATCH(D236,'Sản phẩm'!$A$5:$A$304,0)),""))</f>
        <v/>
      </c>
      <c r="L236" s="16">
        <f>IF(J236="","",J236-K236)</f>
        <v/>
      </c>
      <c r="M236" s="14">
        <f>IF(A236="","",MONTH(A236))</f>
        <v/>
      </c>
      <c r="N236" s="14">
        <f>IF(A236="","",YEAR(A236))</f>
        <v/>
      </c>
    </row>
    <row r="237">
      <c r="A237" s="15" t="n"/>
      <c r="B237" s="10" t="n"/>
      <c r="C237" s="10" t="n"/>
      <c r="D237" s="10" t="n"/>
      <c r="E237" s="14">
        <f>IF(D237="","",IFERROR(INDEX('Sản phẩm'!$B$5:$B$304,MATCH(D237,'Sản phẩm'!$A$5:$A$304,0)),""))</f>
        <v/>
      </c>
      <c r="F237" s="12" t="n"/>
      <c r="G237" s="11" t="n"/>
      <c r="H237" s="11" t="n"/>
      <c r="I237" s="16">
        <f>IF(D237="","",IF(G237&lt;&gt;"",G237,IFERROR(INDEX('Sản phẩm'!$E$5:$E$304,MATCH(D237,'Sản phẩm'!$A$5:$A$304,0)),"")))</f>
        <v/>
      </c>
      <c r="J237" s="16">
        <f>IF(OR(D237="",F237=""),"",F237*I237-N(H237))</f>
        <v/>
      </c>
      <c r="K237" s="16">
        <f>IF(OR(D237="",F237=""),"",F237*IFERROR(INDEX('Sản phẩm'!$D$5:$D$304,MATCH(D237,'Sản phẩm'!$A$5:$A$304,0)),""))</f>
        <v/>
      </c>
      <c r="L237" s="16">
        <f>IF(J237="","",J237-K237)</f>
        <v/>
      </c>
      <c r="M237" s="14">
        <f>IF(A237="","",MONTH(A237))</f>
        <v/>
      </c>
      <c r="N237" s="14">
        <f>IF(A237="","",YEAR(A237))</f>
        <v/>
      </c>
    </row>
    <row r="238">
      <c r="A238" s="15" t="n"/>
      <c r="B238" s="10" t="n"/>
      <c r="C238" s="10" t="n"/>
      <c r="D238" s="10" t="n"/>
      <c r="E238" s="14">
        <f>IF(D238="","",IFERROR(INDEX('Sản phẩm'!$B$5:$B$304,MATCH(D238,'Sản phẩm'!$A$5:$A$304,0)),""))</f>
        <v/>
      </c>
      <c r="F238" s="12" t="n"/>
      <c r="G238" s="11" t="n"/>
      <c r="H238" s="11" t="n"/>
      <c r="I238" s="16">
        <f>IF(D238="","",IF(G238&lt;&gt;"",G238,IFERROR(INDEX('Sản phẩm'!$E$5:$E$304,MATCH(D238,'Sản phẩm'!$A$5:$A$304,0)),"")))</f>
        <v/>
      </c>
      <c r="J238" s="16">
        <f>IF(OR(D238="",F238=""),"",F238*I238-N(H238))</f>
        <v/>
      </c>
      <c r="K238" s="16">
        <f>IF(OR(D238="",F238=""),"",F238*IFERROR(INDEX('Sản phẩm'!$D$5:$D$304,MATCH(D238,'Sản phẩm'!$A$5:$A$304,0)),""))</f>
        <v/>
      </c>
      <c r="L238" s="16">
        <f>IF(J238="","",J238-K238)</f>
        <v/>
      </c>
      <c r="M238" s="14">
        <f>IF(A238="","",MONTH(A238))</f>
        <v/>
      </c>
      <c r="N238" s="14">
        <f>IF(A238="","",YEAR(A238))</f>
        <v/>
      </c>
    </row>
    <row r="239">
      <c r="A239" s="15" t="n"/>
      <c r="B239" s="10" t="n"/>
      <c r="C239" s="10" t="n"/>
      <c r="D239" s="10" t="n"/>
      <c r="E239" s="14">
        <f>IF(D239="","",IFERROR(INDEX('Sản phẩm'!$B$5:$B$304,MATCH(D239,'Sản phẩm'!$A$5:$A$304,0)),""))</f>
        <v/>
      </c>
      <c r="F239" s="12" t="n"/>
      <c r="G239" s="11" t="n"/>
      <c r="H239" s="11" t="n"/>
      <c r="I239" s="16">
        <f>IF(D239="","",IF(G239&lt;&gt;"",G239,IFERROR(INDEX('Sản phẩm'!$E$5:$E$304,MATCH(D239,'Sản phẩm'!$A$5:$A$304,0)),"")))</f>
        <v/>
      </c>
      <c r="J239" s="16">
        <f>IF(OR(D239="",F239=""),"",F239*I239-N(H239))</f>
        <v/>
      </c>
      <c r="K239" s="16">
        <f>IF(OR(D239="",F239=""),"",F239*IFERROR(INDEX('Sản phẩm'!$D$5:$D$304,MATCH(D239,'Sản phẩm'!$A$5:$A$304,0)),""))</f>
        <v/>
      </c>
      <c r="L239" s="16">
        <f>IF(J239="","",J239-K239)</f>
        <v/>
      </c>
      <c r="M239" s="14">
        <f>IF(A239="","",MONTH(A239))</f>
        <v/>
      </c>
      <c r="N239" s="14">
        <f>IF(A239="","",YEAR(A239))</f>
        <v/>
      </c>
    </row>
    <row r="240">
      <c r="A240" s="15" t="n"/>
      <c r="B240" s="10" t="n"/>
      <c r="C240" s="10" t="n"/>
      <c r="D240" s="10" t="n"/>
      <c r="E240" s="14">
        <f>IF(D240="","",IFERROR(INDEX('Sản phẩm'!$B$5:$B$304,MATCH(D240,'Sản phẩm'!$A$5:$A$304,0)),""))</f>
        <v/>
      </c>
      <c r="F240" s="12" t="n"/>
      <c r="G240" s="11" t="n"/>
      <c r="H240" s="11" t="n"/>
      <c r="I240" s="16">
        <f>IF(D240="","",IF(G240&lt;&gt;"",G240,IFERROR(INDEX('Sản phẩm'!$E$5:$E$304,MATCH(D240,'Sản phẩm'!$A$5:$A$304,0)),"")))</f>
        <v/>
      </c>
      <c r="J240" s="16">
        <f>IF(OR(D240="",F240=""),"",F240*I240-N(H240))</f>
        <v/>
      </c>
      <c r="K240" s="16">
        <f>IF(OR(D240="",F240=""),"",F240*IFERROR(INDEX('Sản phẩm'!$D$5:$D$304,MATCH(D240,'Sản phẩm'!$A$5:$A$304,0)),""))</f>
        <v/>
      </c>
      <c r="L240" s="16">
        <f>IF(J240="","",J240-K240)</f>
        <v/>
      </c>
      <c r="M240" s="14">
        <f>IF(A240="","",MONTH(A240))</f>
        <v/>
      </c>
      <c r="N240" s="14">
        <f>IF(A240="","",YEAR(A240))</f>
        <v/>
      </c>
    </row>
    <row r="241">
      <c r="A241" s="15" t="n"/>
      <c r="B241" s="10" t="n"/>
      <c r="C241" s="10" t="n"/>
      <c r="D241" s="10" t="n"/>
      <c r="E241" s="14">
        <f>IF(D241="","",IFERROR(INDEX('Sản phẩm'!$B$5:$B$304,MATCH(D241,'Sản phẩm'!$A$5:$A$304,0)),""))</f>
        <v/>
      </c>
      <c r="F241" s="12" t="n"/>
      <c r="G241" s="11" t="n"/>
      <c r="H241" s="11" t="n"/>
      <c r="I241" s="16">
        <f>IF(D241="","",IF(G241&lt;&gt;"",G241,IFERROR(INDEX('Sản phẩm'!$E$5:$E$304,MATCH(D241,'Sản phẩm'!$A$5:$A$304,0)),"")))</f>
        <v/>
      </c>
      <c r="J241" s="16">
        <f>IF(OR(D241="",F241=""),"",F241*I241-N(H241))</f>
        <v/>
      </c>
      <c r="K241" s="16">
        <f>IF(OR(D241="",F241=""),"",F241*IFERROR(INDEX('Sản phẩm'!$D$5:$D$304,MATCH(D241,'Sản phẩm'!$A$5:$A$304,0)),""))</f>
        <v/>
      </c>
      <c r="L241" s="16">
        <f>IF(J241="","",J241-K241)</f>
        <v/>
      </c>
      <c r="M241" s="14">
        <f>IF(A241="","",MONTH(A241))</f>
        <v/>
      </c>
      <c r="N241" s="14">
        <f>IF(A241="","",YEAR(A241))</f>
        <v/>
      </c>
    </row>
    <row r="242">
      <c r="A242" s="15" t="n"/>
      <c r="B242" s="10" t="n"/>
      <c r="C242" s="10" t="n"/>
      <c r="D242" s="10" t="n"/>
      <c r="E242" s="14">
        <f>IF(D242="","",IFERROR(INDEX('Sản phẩm'!$B$5:$B$304,MATCH(D242,'Sản phẩm'!$A$5:$A$304,0)),""))</f>
        <v/>
      </c>
      <c r="F242" s="12" t="n"/>
      <c r="G242" s="11" t="n"/>
      <c r="H242" s="11" t="n"/>
      <c r="I242" s="16">
        <f>IF(D242="","",IF(G242&lt;&gt;"",G242,IFERROR(INDEX('Sản phẩm'!$E$5:$E$304,MATCH(D242,'Sản phẩm'!$A$5:$A$304,0)),"")))</f>
        <v/>
      </c>
      <c r="J242" s="16">
        <f>IF(OR(D242="",F242=""),"",F242*I242-N(H242))</f>
        <v/>
      </c>
      <c r="K242" s="16">
        <f>IF(OR(D242="",F242=""),"",F242*IFERROR(INDEX('Sản phẩm'!$D$5:$D$304,MATCH(D242,'Sản phẩm'!$A$5:$A$304,0)),""))</f>
        <v/>
      </c>
      <c r="L242" s="16">
        <f>IF(J242="","",J242-K242)</f>
        <v/>
      </c>
      <c r="M242" s="14">
        <f>IF(A242="","",MONTH(A242))</f>
        <v/>
      </c>
      <c r="N242" s="14">
        <f>IF(A242="","",YEAR(A242))</f>
        <v/>
      </c>
    </row>
    <row r="243">
      <c r="A243" s="15" t="n"/>
      <c r="B243" s="10" t="n"/>
      <c r="C243" s="10" t="n"/>
      <c r="D243" s="10" t="n"/>
      <c r="E243" s="14">
        <f>IF(D243="","",IFERROR(INDEX('Sản phẩm'!$B$5:$B$304,MATCH(D243,'Sản phẩm'!$A$5:$A$304,0)),""))</f>
        <v/>
      </c>
      <c r="F243" s="12" t="n"/>
      <c r="G243" s="11" t="n"/>
      <c r="H243" s="11" t="n"/>
      <c r="I243" s="16">
        <f>IF(D243="","",IF(G243&lt;&gt;"",G243,IFERROR(INDEX('Sản phẩm'!$E$5:$E$304,MATCH(D243,'Sản phẩm'!$A$5:$A$304,0)),"")))</f>
        <v/>
      </c>
      <c r="J243" s="16">
        <f>IF(OR(D243="",F243=""),"",F243*I243-N(H243))</f>
        <v/>
      </c>
      <c r="K243" s="16">
        <f>IF(OR(D243="",F243=""),"",F243*IFERROR(INDEX('Sản phẩm'!$D$5:$D$304,MATCH(D243,'Sản phẩm'!$A$5:$A$304,0)),""))</f>
        <v/>
      </c>
      <c r="L243" s="16">
        <f>IF(J243="","",J243-K243)</f>
        <v/>
      </c>
      <c r="M243" s="14">
        <f>IF(A243="","",MONTH(A243))</f>
        <v/>
      </c>
      <c r="N243" s="14">
        <f>IF(A243="","",YEAR(A243))</f>
        <v/>
      </c>
    </row>
    <row r="244">
      <c r="A244" s="15" t="n"/>
      <c r="B244" s="10" t="n"/>
      <c r="C244" s="10" t="n"/>
      <c r="D244" s="10" t="n"/>
      <c r="E244" s="14">
        <f>IF(D244="","",IFERROR(INDEX('Sản phẩm'!$B$5:$B$304,MATCH(D244,'Sản phẩm'!$A$5:$A$304,0)),""))</f>
        <v/>
      </c>
      <c r="F244" s="12" t="n"/>
      <c r="G244" s="11" t="n"/>
      <c r="H244" s="11" t="n"/>
      <c r="I244" s="16">
        <f>IF(D244="","",IF(G244&lt;&gt;"",G244,IFERROR(INDEX('Sản phẩm'!$E$5:$E$304,MATCH(D244,'Sản phẩm'!$A$5:$A$304,0)),"")))</f>
        <v/>
      </c>
      <c r="J244" s="16">
        <f>IF(OR(D244="",F244=""),"",F244*I244-N(H244))</f>
        <v/>
      </c>
      <c r="K244" s="16">
        <f>IF(OR(D244="",F244=""),"",F244*IFERROR(INDEX('Sản phẩm'!$D$5:$D$304,MATCH(D244,'Sản phẩm'!$A$5:$A$304,0)),""))</f>
        <v/>
      </c>
      <c r="L244" s="16">
        <f>IF(J244="","",J244-K244)</f>
        <v/>
      </c>
      <c r="M244" s="14">
        <f>IF(A244="","",MONTH(A244))</f>
        <v/>
      </c>
      <c r="N244" s="14">
        <f>IF(A244="","",YEAR(A244))</f>
        <v/>
      </c>
    </row>
    <row r="245">
      <c r="A245" s="15" t="n"/>
      <c r="B245" s="10" t="n"/>
      <c r="C245" s="10" t="n"/>
      <c r="D245" s="10" t="n"/>
      <c r="E245" s="14">
        <f>IF(D245="","",IFERROR(INDEX('Sản phẩm'!$B$5:$B$304,MATCH(D245,'Sản phẩm'!$A$5:$A$304,0)),""))</f>
        <v/>
      </c>
      <c r="F245" s="12" t="n"/>
      <c r="G245" s="11" t="n"/>
      <c r="H245" s="11" t="n"/>
      <c r="I245" s="16">
        <f>IF(D245="","",IF(G245&lt;&gt;"",G245,IFERROR(INDEX('Sản phẩm'!$E$5:$E$304,MATCH(D245,'Sản phẩm'!$A$5:$A$304,0)),"")))</f>
        <v/>
      </c>
      <c r="J245" s="16">
        <f>IF(OR(D245="",F245=""),"",F245*I245-N(H245))</f>
        <v/>
      </c>
      <c r="K245" s="16">
        <f>IF(OR(D245="",F245=""),"",F245*IFERROR(INDEX('Sản phẩm'!$D$5:$D$304,MATCH(D245,'Sản phẩm'!$A$5:$A$304,0)),""))</f>
        <v/>
      </c>
      <c r="L245" s="16">
        <f>IF(J245="","",J245-K245)</f>
        <v/>
      </c>
      <c r="M245" s="14">
        <f>IF(A245="","",MONTH(A245))</f>
        <v/>
      </c>
      <c r="N245" s="14">
        <f>IF(A245="","",YEAR(A245))</f>
        <v/>
      </c>
    </row>
    <row r="246">
      <c r="A246" s="15" t="n"/>
      <c r="B246" s="10" t="n"/>
      <c r="C246" s="10" t="n"/>
      <c r="D246" s="10" t="n"/>
      <c r="E246" s="14">
        <f>IF(D246="","",IFERROR(INDEX('Sản phẩm'!$B$5:$B$304,MATCH(D246,'Sản phẩm'!$A$5:$A$304,0)),""))</f>
        <v/>
      </c>
      <c r="F246" s="12" t="n"/>
      <c r="G246" s="11" t="n"/>
      <c r="H246" s="11" t="n"/>
      <c r="I246" s="16">
        <f>IF(D246="","",IF(G246&lt;&gt;"",G246,IFERROR(INDEX('Sản phẩm'!$E$5:$E$304,MATCH(D246,'Sản phẩm'!$A$5:$A$304,0)),"")))</f>
        <v/>
      </c>
      <c r="J246" s="16">
        <f>IF(OR(D246="",F246=""),"",F246*I246-N(H246))</f>
        <v/>
      </c>
      <c r="K246" s="16">
        <f>IF(OR(D246="",F246=""),"",F246*IFERROR(INDEX('Sản phẩm'!$D$5:$D$304,MATCH(D246,'Sản phẩm'!$A$5:$A$304,0)),""))</f>
        <v/>
      </c>
      <c r="L246" s="16">
        <f>IF(J246="","",J246-K246)</f>
        <v/>
      </c>
      <c r="M246" s="14">
        <f>IF(A246="","",MONTH(A246))</f>
        <v/>
      </c>
      <c r="N246" s="14">
        <f>IF(A246="","",YEAR(A246))</f>
        <v/>
      </c>
    </row>
    <row r="247">
      <c r="A247" s="15" t="n"/>
      <c r="B247" s="10" t="n"/>
      <c r="C247" s="10" t="n"/>
      <c r="D247" s="10" t="n"/>
      <c r="E247" s="14">
        <f>IF(D247="","",IFERROR(INDEX('Sản phẩm'!$B$5:$B$304,MATCH(D247,'Sản phẩm'!$A$5:$A$304,0)),""))</f>
        <v/>
      </c>
      <c r="F247" s="12" t="n"/>
      <c r="G247" s="11" t="n"/>
      <c r="H247" s="11" t="n"/>
      <c r="I247" s="16">
        <f>IF(D247="","",IF(G247&lt;&gt;"",G247,IFERROR(INDEX('Sản phẩm'!$E$5:$E$304,MATCH(D247,'Sản phẩm'!$A$5:$A$304,0)),"")))</f>
        <v/>
      </c>
      <c r="J247" s="16">
        <f>IF(OR(D247="",F247=""),"",F247*I247-N(H247))</f>
        <v/>
      </c>
      <c r="K247" s="16">
        <f>IF(OR(D247="",F247=""),"",F247*IFERROR(INDEX('Sản phẩm'!$D$5:$D$304,MATCH(D247,'Sản phẩm'!$A$5:$A$304,0)),""))</f>
        <v/>
      </c>
      <c r="L247" s="16">
        <f>IF(J247="","",J247-K247)</f>
        <v/>
      </c>
      <c r="M247" s="14">
        <f>IF(A247="","",MONTH(A247))</f>
        <v/>
      </c>
      <c r="N247" s="14">
        <f>IF(A247="","",YEAR(A247))</f>
        <v/>
      </c>
    </row>
    <row r="248">
      <c r="A248" s="15" t="n"/>
      <c r="B248" s="10" t="n"/>
      <c r="C248" s="10" t="n"/>
      <c r="D248" s="10" t="n"/>
      <c r="E248" s="14">
        <f>IF(D248="","",IFERROR(INDEX('Sản phẩm'!$B$5:$B$304,MATCH(D248,'Sản phẩm'!$A$5:$A$304,0)),""))</f>
        <v/>
      </c>
      <c r="F248" s="12" t="n"/>
      <c r="G248" s="11" t="n"/>
      <c r="H248" s="11" t="n"/>
      <c r="I248" s="16">
        <f>IF(D248="","",IF(G248&lt;&gt;"",G248,IFERROR(INDEX('Sản phẩm'!$E$5:$E$304,MATCH(D248,'Sản phẩm'!$A$5:$A$304,0)),"")))</f>
        <v/>
      </c>
      <c r="J248" s="16">
        <f>IF(OR(D248="",F248=""),"",F248*I248-N(H248))</f>
        <v/>
      </c>
      <c r="K248" s="16">
        <f>IF(OR(D248="",F248=""),"",F248*IFERROR(INDEX('Sản phẩm'!$D$5:$D$304,MATCH(D248,'Sản phẩm'!$A$5:$A$304,0)),""))</f>
        <v/>
      </c>
      <c r="L248" s="16">
        <f>IF(J248="","",J248-K248)</f>
        <v/>
      </c>
      <c r="M248" s="14">
        <f>IF(A248="","",MONTH(A248))</f>
        <v/>
      </c>
      <c r="N248" s="14">
        <f>IF(A248="","",YEAR(A248))</f>
        <v/>
      </c>
    </row>
    <row r="249">
      <c r="A249" s="15" t="n"/>
      <c r="B249" s="10" t="n"/>
      <c r="C249" s="10" t="n"/>
      <c r="D249" s="10" t="n"/>
      <c r="E249" s="14">
        <f>IF(D249="","",IFERROR(INDEX('Sản phẩm'!$B$5:$B$304,MATCH(D249,'Sản phẩm'!$A$5:$A$304,0)),""))</f>
        <v/>
      </c>
      <c r="F249" s="12" t="n"/>
      <c r="G249" s="11" t="n"/>
      <c r="H249" s="11" t="n"/>
      <c r="I249" s="16">
        <f>IF(D249="","",IF(G249&lt;&gt;"",G249,IFERROR(INDEX('Sản phẩm'!$E$5:$E$304,MATCH(D249,'Sản phẩm'!$A$5:$A$304,0)),"")))</f>
        <v/>
      </c>
      <c r="J249" s="16">
        <f>IF(OR(D249="",F249=""),"",F249*I249-N(H249))</f>
        <v/>
      </c>
      <c r="K249" s="16">
        <f>IF(OR(D249="",F249=""),"",F249*IFERROR(INDEX('Sản phẩm'!$D$5:$D$304,MATCH(D249,'Sản phẩm'!$A$5:$A$304,0)),""))</f>
        <v/>
      </c>
      <c r="L249" s="16">
        <f>IF(J249="","",J249-K249)</f>
        <v/>
      </c>
      <c r="M249" s="14">
        <f>IF(A249="","",MONTH(A249))</f>
        <v/>
      </c>
      <c r="N249" s="14">
        <f>IF(A249="","",YEAR(A249))</f>
        <v/>
      </c>
    </row>
    <row r="250">
      <c r="A250" s="15" t="n"/>
      <c r="B250" s="10" t="n"/>
      <c r="C250" s="10" t="n"/>
      <c r="D250" s="10" t="n"/>
      <c r="E250" s="14">
        <f>IF(D250="","",IFERROR(INDEX('Sản phẩm'!$B$5:$B$304,MATCH(D250,'Sản phẩm'!$A$5:$A$304,0)),""))</f>
        <v/>
      </c>
      <c r="F250" s="12" t="n"/>
      <c r="G250" s="11" t="n"/>
      <c r="H250" s="11" t="n"/>
      <c r="I250" s="16">
        <f>IF(D250="","",IF(G250&lt;&gt;"",G250,IFERROR(INDEX('Sản phẩm'!$E$5:$E$304,MATCH(D250,'Sản phẩm'!$A$5:$A$304,0)),"")))</f>
        <v/>
      </c>
      <c r="J250" s="16">
        <f>IF(OR(D250="",F250=""),"",F250*I250-N(H250))</f>
        <v/>
      </c>
      <c r="K250" s="16">
        <f>IF(OR(D250="",F250=""),"",F250*IFERROR(INDEX('Sản phẩm'!$D$5:$D$304,MATCH(D250,'Sản phẩm'!$A$5:$A$304,0)),""))</f>
        <v/>
      </c>
      <c r="L250" s="16">
        <f>IF(J250="","",J250-K250)</f>
        <v/>
      </c>
      <c r="M250" s="14">
        <f>IF(A250="","",MONTH(A250))</f>
        <v/>
      </c>
      <c r="N250" s="14">
        <f>IF(A250="","",YEAR(A250))</f>
        <v/>
      </c>
    </row>
    <row r="251">
      <c r="A251" s="15" t="n"/>
      <c r="B251" s="10" t="n"/>
      <c r="C251" s="10" t="n"/>
      <c r="D251" s="10" t="n"/>
      <c r="E251" s="14">
        <f>IF(D251="","",IFERROR(INDEX('Sản phẩm'!$B$5:$B$304,MATCH(D251,'Sản phẩm'!$A$5:$A$304,0)),""))</f>
        <v/>
      </c>
      <c r="F251" s="12" t="n"/>
      <c r="G251" s="11" t="n"/>
      <c r="H251" s="11" t="n"/>
      <c r="I251" s="16">
        <f>IF(D251="","",IF(G251&lt;&gt;"",G251,IFERROR(INDEX('Sản phẩm'!$E$5:$E$304,MATCH(D251,'Sản phẩm'!$A$5:$A$304,0)),"")))</f>
        <v/>
      </c>
      <c r="J251" s="16">
        <f>IF(OR(D251="",F251=""),"",F251*I251-N(H251))</f>
        <v/>
      </c>
      <c r="K251" s="16">
        <f>IF(OR(D251="",F251=""),"",F251*IFERROR(INDEX('Sản phẩm'!$D$5:$D$304,MATCH(D251,'Sản phẩm'!$A$5:$A$304,0)),""))</f>
        <v/>
      </c>
      <c r="L251" s="16">
        <f>IF(J251="","",J251-K251)</f>
        <v/>
      </c>
      <c r="M251" s="14">
        <f>IF(A251="","",MONTH(A251))</f>
        <v/>
      </c>
      <c r="N251" s="14">
        <f>IF(A251="","",YEAR(A251))</f>
        <v/>
      </c>
    </row>
    <row r="252">
      <c r="A252" s="15" t="n"/>
      <c r="B252" s="10" t="n"/>
      <c r="C252" s="10" t="n"/>
      <c r="D252" s="10" t="n"/>
      <c r="E252" s="14">
        <f>IF(D252="","",IFERROR(INDEX('Sản phẩm'!$B$5:$B$304,MATCH(D252,'Sản phẩm'!$A$5:$A$304,0)),""))</f>
        <v/>
      </c>
      <c r="F252" s="12" t="n"/>
      <c r="G252" s="11" t="n"/>
      <c r="H252" s="11" t="n"/>
      <c r="I252" s="16">
        <f>IF(D252="","",IF(G252&lt;&gt;"",G252,IFERROR(INDEX('Sản phẩm'!$E$5:$E$304,MATCH(D252,'Sản phẩm'!$A$5:$A$304,0)),"")))</f>
        <v/>
      </c>
      <c r="J252" s="16">
        <f>IF(OR(D252="",F252=""),"",F252*I252-N(H252))</f>
        <v/>
      </c>
      <c r="K252" s="16">
        <f>IF(OR(D252="",F252=""),"",F252*IFERROR(INDEX('Sản phẩm'!$D$5:$D$304,MATCH(D252,'Sản phẩm'!$A$5:$A$304,0)),""))</f>
        <v/>
      </c>
      <c r="L252" s="16">
        <f>IF(J252="","",J252-K252)</f>
        <v/>
      </c>
      <c r="M252" s="14">
        <f>IF(A252="","",MONTH(A252))</f>
        <v/>
      </c>
      <c r="N252" s="14">
        <f>IF(A252="","",YEAR(A252))</f>
        <v/>
      </c>
    </row>
    <row r="253">
      <c r="A253" s="15" t="n"/>
      <c r="B253" s="10" t="n"/>
      <c r="C253" s="10" t="n"/>
      <c r="D253" s="10" t="n"/>
      <c r="E253" s="14">
        <f>IF(D253="","",IFERROR(INDEX('Sản phẩm'!$B$5:$B$304,MATCH(D253,'Sản phẩm'!$A$5:$A$304,0)),""))</f>
        <v/>
      </c>
      <c r="F253" s="12" t="n"/>
      <c r="G253" s="11" t="n"/>
      <c r="H253" s="11" t="n"/>
      <c r="I253" s="16">
        <f>IF(D253="","",IF(G253&lt;&gt;"",G253,IFERROR(INDEX('Sản phẩm'!$E$5:$E$304,MATCH(D253,'Sản phẩm'!$A$5:$A$304,0)),"")))</f>
        <v/>
      </c>
      <c r="J253" s="16">
        <f>IF(OR(D253="",F253=""),"",F253*I253-N(H253))</f>
        <v/>
      </c>
      <c r="K253" s="16">
        <f>IF(OR(D253="",F253=""),"",F253*IFERROR(INDEX('Sản phẩm'!$D$5:$D$304,MATCH(D253,'Sản phẩm'!$A$5:$A$304,0)),""))</f>
        <v/>
      </c>
      <c r="L253" s="16">
        <f>IF(J253="","",J253-K253)</f>
        <v/>
      </c>
      <c r="M253" s="14">
        <f>IF(A253="","",MONTH(A253))</f>
        <v/>
      </c>
      <c r="N253" s="14">
        <f>IF(A253="","",YEAR(A253))</f>
        <v/>
      </c>
    </row>
    <row r="254">
      <c r="A254" s="15" t="n"/>
      <c r="B254" s="10" t="n"/>
      <c r="C254" s="10" t="n"/>
      <c r="D254" s="10" t="n"/>
      <c r="E254" s="14">
        <f>IF(D254="","",IFERROR(INDEX('Sản phẩm'!$B$5:$B$304,MATCH(D254,'Sản phẩm'!$A$5:$A$304,0)),""))</f>
        <v/>
      </c>
      <c r="F254" s="12" t="n"/>
      <c r="G254" s="11" t="n"/>
      <c r="H254" s="11" t="n"/>
      <c r="I254" s="16">
        <f>IF(D254="","",IF(G254&lt;&gt;"",G254,IFERROR(INDEX('Sản phẩm'!$E$5:$E$304,MATCH(D254,'Sản phẩm'!$A$5:$A$304,0)),"")))</f>
        <v/>
      </c>
      <c r="J254" s="16">
        <f>IF(OR(D254="",F254=""),"",F254*I254-N(H254))</f>
        <v/>
      </c>
      <c r="K254" s="16">
        <f>IF(OR(D254="",F254=""),"",F254*IFERROR(INDEX('Sản phẩm'!$D$5:$D$304,MATCH(D254,'Sản phẩm'!$A$5:$A$304,0)),""))</f>
        <v/>
      </c>
      <c r="L254" s="16">
        <f>IF(J254="","",J254-K254)</f>
        <v/>
      </c>
      <c r="M254" s="14">
        <f>IF(A254="","",MONTH(A254))</f>
        <v/>
      </c>
      <c r="N254" s="14">
        <f>IF(A254="","",YEAR(A254))</f>
        <v/>
      </c>
    </row>
    <row r="255">
      <c r="A255" s="15" t="n"/>
      <c r="B255" s="10" t="n"/>
      <c r="C255" s="10" t="n"/>
      <c r="D255" s="10" t="n"/>
      <c r="E255" s="14">
        <f>IF(D255="","",IFERROR(INDEX('Sản phẩm'!$B$5:$B$304,MATCH(D255,'Sản phẩm'!$A$5:$A$304,0)),""))</f>
        <v/>
      </c>
      <c r="F255" s="12" t="n"/>
      <c r="G255" s="11" t="n"/>
      <c r="H255" s="11" t="n"/>
      <c r="I255" s="16">
        <f>IF(D255="","",IF(G255&lt;&gt;"",G255,IFERROR(INDEX('Sản phẩm'!$E$5:$E$304,MATCH(D255,'Sản phẩm'!$A$5:$A$304,0)),"")))</f>
        <v/>
      </c>
      <c r="J255" s="16">
        <f>IF(OR(D255="",F255=""),"",F255*I255-N(H255))</f>
        <v/>
      </c>
      <c r="K255" s="16">
        <f>IF(OR(D255="",F255=""),"",F255*IFERROR(INDEX('Sản phẩm'!$D$5:$D$304,MATCH(D255,'Sản phẩm'!$A$5:$A$304,0)),""))</f>
        <v/>
      </c>
      <c r="L255" s="16">
        <f>IF(J255="","",J255-K255)</f>
        <v/>
      </c>
      <c r="M255" s="14">
        <f>IF(A255="","",MONTH(A255))</f>
        <v/>
      </c>
      <c r="N255" s="14">
        <f>IF(A255="","",YEAR(A255))</f>
        <v/>
      </c>
    </row>
    <row r="256">
      <c r="A256" s="15" t="n"/>
      <c r="B256" s="10" t="n"/>
      <c r="C256" s="10" t="n"/>
      <c r="D256" s="10" t="n"/>
      <c r="E256" s="14">
        <f>IF(D256="","",IFERROR(INDEX('Sản phẩm'!$B$5:$B$304,MATCH(D256,'Sản phẩm'!$A$5:$A$304,0)),""))</f>
        <v/>
      </c>
      <c r="F256" s="12" t="n"/>
      <c r="G256" s="11" t="n"/>
      <c r="H256" s="11" t="n"/>
      <c r="I256" s="16">
        <f>IF(D256="","",IF(G256&lt;&gt;"",G256,IFERROR(INDEX('Sản phẩm'!$E$5:$E$304,MATCH(D256,'Sản phẩm'!$A$5:$A$304,0)),"")))</f>
        <v/>
      </c>
      <c r="J256" s="16">
        <f>IF(OR(D256="",F256=""),"",F256*I256-N(H256))</f>
        <v/>
      </c>
      <c r="K256" s="16">
        <f>IF(OR(D256="",F256=""),"",F256*IFERROR(INDEX('Sản phẩm'!$D$5:$D$304,MATCH(D256,'Sản phẩm'!$A$5:$A$304,0)),""))</f>
        <v/>
      </c>
      <c r="L256" s="16">
        <f>IF(J256="","",J256-K256)</f>
        <v/>
      </c>
      <c r="M256" s="14">
        <f>IF(A256="","",MONTH(A256))</f>
        <v/>
      </c>
      <c r="N256" s="14">
        <f>IF(A256="","",YEAR(A256))</f>
        <v/>
      </c>
    </row>
    <row r="257">
      <c r="A257" s="15" t="n"/>
      <c r="B257" s="10" t="n"/>
      <c r="C257" s="10" t="n"/>
      <c r="D257" s="10" t="n"/>
      <c r="E257" s="14">
        <f>IF(D257="","",IFERROR(INDEX('Sản phẩm'!$B$5:$B$304,MATCH(D257,'Sản phẩm'!$A$5:$A$304,0)),""))</f>
        <v/>
      </c>
      <c r="F257" s="12" t="n"/>
      <c r="G257" s="11" t="n"/>
      <c r="H257" s="11" t="n"/>
      <c r="I257" s="16">
        <f>IF(D257="","",IF(G257&lt;&gt;"",G257,IFERROR(INDEX('Sản phẩm'!$E$5:$E$304,MATCH(D257,'Sản phẩm'!$A$5:$A$304,0)),"")))</f>
        <v/>
      </c>
      <c r="J257" s="16">
        <f>IF(OR(D257="",F257=""),"",F257*I257-N(H257))</f>
        <v/>
      </c>
      <c r="K257" s="16">
        <f>IF(OR(D257="",F257=""),"",F257*IFERROR(INDEX('Sản phẩm'!$D$5:$D$304,MATCH(D257,'Sản phẩm'!$A$5:$A$304,0)),""))</f>
        <v/>
      </c>
      <c r="L257" s="16">
        <f>IF(J257="","",J257-K257)</f>
        <v/>
      </c>
      <c r="M257" s="14">
        <f>IF(A257="","",MONTH(A257))</f>
        <v/>
      </c>
      <c r="N257" s="14">
        <f>IF(A257="","",YEAR(A257))</f>
        <v/>
      </c>
    </row>
    <row r="258">
      <c r="A258" s="15" t="n"/>
      <c r="B258" s="10" t="n"/>
      <c r="C258" s="10" t="n"/>
      <c r="D258" s="10" t="n"/>
      <c r="E258" s="14">
        <f>IF(D258="","",IFERROR(INDEX('Sản phẩm'!$B$5:$B$304,MATCH(D258,'Sản phẩm'!$A$5:$A$304,0)),""))</f>
        <v/>
      </c>
      <c r="F258" s="12" t="n"/>
      <c r="G258" s="11" t="n"/>
      <c r="H258" s="11" t="n"/>
      <c r="I258" s="16">
        <f>IF(D258="","",IF(G258&lt;&gt;"",G258,IFERROR(INDEX('Sản phẩm'!$E$5:$E$304,MATCH(D258,'Sản phẩm'!$A$5:$A$304,0)),"")))</f>
        <v/>
      </c>
      <c r="J258" s="16">
        <f>IF(OR(D258="",F258=""),"",F258*I258-N(H258))</f>
        <v/>
      </c>
      <c r="K258" s="16">
        <f>IF(OR(D258="",F258=""),"",F258*IFERROR(INDEX('Sản phẩm'!$D$5:$D$304,MATCH(D258,'Sản phẩm'!$A$5:$A$304,0)),""))</f>
        <v/>
      </c>
      <c r="L258" s="16">
        <f>IF(J258="","",J258-K258)</f>
        <v/>
      </c>
      <c r="M258" s="14">
        <f>IF(A258="","",MONTH(A258))</f>
        <v/>
      </c>
      <c r="N258" s="14">
        <f>IF(A258="","",YEAR(A258))</f>
        <v/>
      </c>
    </row>
    <row r="259">
      <c r="A259" s="15" t="n"/>
      <c r="B259" s="10" t="n"/>
      <c r="C259" s="10" t="n"/>
      <c r="D259" s="10" t="n"/>
      <c r="E259" s="14">
        <f>IF(D259="","",IFERROR(INDEX('Sản phẩm'!$B$5:$B$304,MATCH(D259,'Sản phẩm'!$A$5:$A$304,0)),""))</f>
        <v/>
      </c>
      <c r="F259" s="12" t="n"/>
      <c r="G259" s="11" t="n"/>
      <c r="H259" s="11" t="n"/>
      <c r="I259" s="16">
        <f>IF(D259="","",IF(G259&lt;&gt;"",G259,IFERROR(INDEX('Sản phẩm'!$E$5:$E$304,MATCH(D259,'Sản phẩm'!$A$5:$A$304,0)),"")))</f>
        <v/>
      </c>
      <c r="J259" s="16">
        <f>IF(OR(D259="",F259=""),"",F259*I259-N(H259))</f>
        <v/>
      </c>
      <c r="K259" s="16">
        <f>IF(OR(D259="",F259=""),"",F259*IFERROR(INDEX('Sản phẩm'!$D$5:$D$304,MATCH(D259,'Sản phẩm'!$A$5:$A$304,0)),""))</f>
        <v/>
      </c>
      <c r="L259" s="16">
        <f>IF(J259="","",J259-K259)</f>
        <v/>
      </c>
      <c r="M259" s="14">
        <f>IF(A259="","",MONTH(A259))</f>
        <v/>
      </c>
      <c r="N259" s="14">
        <f>IF(A259="","",YEAR(A259))</f>
        <v/>
      </c>
    </row>
    <row r="260">
      <c r="A260" s="15" t="n"/>
      <c r="B260" s="10" t="n"/>
      <c r="C260" s="10" t="n"/>
      <c r="D260" s="10" t="n"/>
      <c r="E260" s="14">
        <f>IF(D260="","",IFERROR(INDEX('Sản phẩm'!$B$5:$B$304,MATCH(D260,'Sản phẩm'!$A$5:$A$304,0)),""))</f>
        <v/>
      </c>
      <c r="F260" s="12" t="n"/>
      <c r="G260" s="11" t="n"/>
      <c r="H260" s="11" t="n"/>
      <c r="I260" s="16">
        <f>IF(D260="","",IF(G260&lt;&gt;"",G260,IFERROR(INDEX('Sản phẩm'!$E$5:$E$304,MATCH(D260,'Sản phẩm'!$A$5:$A$304,0)),"")))</f>
        <v/>
      </c>
      <c r="J260" s="16">
        <f>IF(OR(D260="",F260=""),"",F260*I260-N(H260))</f>
        <v/>
      </c>
      <c r="K260" s="16">
        <f>IF(OR(D260="",F260=""),"",F260*IFERROR(INDEX('Sản phẩm'!$D$5:$D$304,MATCH(D260,'Sản phẩm'!$A$5:$A$304,0)),""))</f>
        <v/>
      </c>
      <c r="L260" s="16">
        <f>IF(J260="","",J260-K260)</f>
        <v/>
      </c>
      <c r="M260" s="14">
        <f>IF(A260="","",MONTH(A260))</f>
        <v/>
      </c>
      <c r="N260" s="14">
        <f>IF(A260="","",YEAR(A260))</f>
        <v/>
      </c>
    </row>
    <row r="261">
      <c r="A261" s="15" t="n"/>
      <c r="B261" s="10" t="n"/>
      <c r="C261" s="10" t="n"/>
      <c r="D261" s="10" t="n"/>
      <c r="E261" s="14">
        <f>IF(D261="","",IFERROR(INDEX('Sản phẩm'!$B$5:$B$304,MATCH(D261,'Sản phẩm'!$A$5:$A$304,0)),""))</f>
        <v/>
      </c>
      <c r="F261" s="12" t="n"/>
      <c r="G261" s="11" t="n"/>
      <c r="H261" s="11" t="n"/>
      <c r="I261" s="16">
        <f>IF(D261="","",IF(G261&lt;&gt;"",G261,IFERROR(INDEX('Sản phẩm'!$E$5:$E$304,MATCH(D261,'Sản phẩm'!$A$5:$A$304,0)),"")))</f>
        <v/>
      </c>
      <c r="J261" s="16">
        <f>IF(OR(D261="",F261=""),"",F261*I261-N(H261))</f>
        <v/>
      </c>
      <c r="K261" s="16">
        <f>IF(OR(D261="",F261=""),"",F261*IFERROR(INDEX('Sản phẩm'!$D$5:$D$304,MATCH(D261,'Sản phẩm'!$A$5:$A$304,0)),""))</f>
        <v/>
      </c>
      <c r="L261" s="16">
        <f>IF(J261="","",J261-K261)</f>
        <v/>
      </c>
      <c r="M261" s="14">
        <f>IF(A261="","",MONTH(A261))</f>
        <v/>
      </c>
      <c r="N261" s="14">
        <f>IF(A261="","",YEAR(A261))</f>
        <v/>
      </c>
    </row>
    <row r="262">
      <c r="A262" s="15" t="n"/>
      <c r="B262" s="10" t="n"/>
      <c r="C262" s="10" t="n"/>
      <c r="D262" s="10" t="n"/>
      <c r="E262" s="14">
        <f>IF(D262="","",IFERROR(INDEX('Sản phẩm'!$B$5:$B$304,MATCH(D262,'Sản phẩm'!$A$5:$A$304,0)),""))</f>
        <v/>
      </c>
      <c r="F262" s="12" t="n"/>
      <c r="G262" s="11" t="n"/>
      <c r="H262" s="11" t="n"/>
      <c r="I262" s="16">
        <f>IF(D262="","",IF(G262&lt;&gt;"",G262,IFERROR(INDEX('Sản phẩm'!$E$5:$E$304,MATCH(D262,'Sản phẩm'!$A$5:$A$304,0)),"")))</f>
        <v/>
      </c>
      <c r="J262" s="16">
        <f>IF(OR(D262="",F262=""),"",F262*I262-N(H262))</f>
        <v/>
      </c>
      <c r="K262" s="16">
        <f>IF(OR(D262="",F262=""),"",F262*IFERROR(INDEX('Sản phẩm'!$D$5:$D$304,MATCH(D262,'Sản phẩm'!$A$5:$A$304,0)),""))</f>
        <v/>
      </c>
      <c r="L262" s="16">
        <f>IF(J262="","",J262-K262)</f>
        <v/>
      </c>
      <c r="M262" s="14">
        <f>IF(A262="","",MONTH(A262))</f>
        <v/>
      </c>
      <c r="N262" s="14">
        <f>IF(A262="","",YEAR(A262))</f>
        <v/>
      </c>
    </row>
    <row r="263">
      <c r="A263" s="15" t="n"/>
      <c r="B263" s="10" t="n"/>
      <c r="C263" s="10" t="n"/>
      <c r="D263" s="10" t="n"/>
      <c r="E263" s="14">
        <f>IF(D263="","",IFERROR(INDEX('Sản phẩm'!$B$5:$B$304,MATCH(D263,'Sản phẩm'!$A$5:$A$304,0)),""))</f>
        <v/>
      </c>
      <c r="F263" s="12" t="n"/>
      <c r="G263" s="11" t="n"/>
      <c r="H263" s="11" t="n"/>
      <c r="I263" s="16">
        <f>IF(D263="","",IF(G263&lt;&gt;"",G263,IFERROR(INDEX('Sản phẩm'!$E$5:$E$304,MATCH(D263,'Sản phẩm'!$A$5:$A$304,0)),"")))</f>
        <v/>
      </c>
      <c r="J263" s="16">
        <f>IF(OR(D263="",F263=""),"",F263*I263-N(H263))</f>
        <v/>
      </c>
      <c r="K263" s="16">
        <f>IF(OR(D263="",F263=""),"",F263*IFERROR(INDEX('Sản phẩm'!$D$5:$D$304,MATCH(D263,'Sản phẩm'!$A$5:$A$304,0)),""))</f>
        <v/>
      </c>
      <c r="L263" s="16">
        <f>IF(J263="","",J263-K263)</f>
        <v/>
      </c>
      <c r="M263" s="14">
        <f>IF(A263="","",MONTH(A263))</f>
        <v/>
      </c>
      <c r="N263" s="14">
        <f>IF(A263="","",YEAR(A263))</f>
        <v/>
      </c>
    </row>
    <row r="264">
      <c r="A264" s="15" t="n"/>
      <c r="B264" s="10" t="n"/>
      <c r="C264" s="10" t="n"/>
      <c r="D264" s="10" t="n"/>
      <c r="E264" s="14">
        <f>IF(D264="","",IFERROR(INDEX('Sản phẩm'!$B$5:$B$304,MATCH(D264,'Sản phẩm'!$A$5:$A$304,0)),""))</f>
        <v/>
      </c>
      <c r="F264" s="12" t="n"/>
      <c r="G264" s="11" t="n"/>
      <c r="H264" s="11" t="n"/>
      <c r="I264" s="16">
        <f>IF(D264="","",IF(G264&lt;&gt;"",G264,IFERROR(INDEX('Sản phẩm'!$E$5:$E$304,MATCH(D264,'Sản phẩm'!$A$5:$A$304,0)),"")))</f>
        <v/>
      </c>
      <c r="J264" s="16">
        <f>IF(OR(D264="",F264=""),"",F264*I264-N(H264))</f>
        <v/>
      </c>
      <c r="K264" s="16">
        <f>IF(OR(D264="",F264=""),"",F264*IFERROR(INDEX('Sản phẩm'!$D$5:$D$304,MATCH(D264,'Sản phẩm'!$A$5:$A$304,0)),""))</f>
        <v/>
      </c>
      <c r="L264" s="16">
        <f>IF(J264="","",J264-K264)</f>
        <v/>
      </c>
      <c r="M264" s="14">
        <f>IF(A264="","",MONTH(A264))</f>
        <v/>
      </c>
      <c r="N264" s="14">
        <f>IF(A264="","",YEAR(A264))</f>
        <v/>
      </c>
    </row>
    <row r="265">
      <c r="A265" s="15" t="n"/>
      <c r="B265" s="10" t="n"/>
      <c r="C265" s="10" t="n"/>
      <c r="D265" s="10" t="n"/>
      <c r="E265" s="14">
        <f>IF(D265="","",IFERROR(INDEX('Sản phẩm'!$B$5:$B$304,MATCH(D265,'Sản phẩm'!$A$5:$A$304,0)),""))</f>
        <v/>
      </c>
      <c r="F265" s="12" t="n"/>
      <c r="G265" s="11" t="n"/>
      <c r="H265" s="11" t="n"/>
      <c r="I265" s="16">
        <f>IF(D265="","",IF(G265&lt;&gt;"",G265,IFERROR(INDEX('Sản phẩm'!$E$5:$E$304,MATCH(D265,'Sản phẩm'!$A$5:$A$304,0)),"")))</f>
        <v/>
      </c>
      <c r="J265" s="16">
        <f>IF(OR(D265="",F265=""),"",F265*I265-N(H265))</f>
        <v/>
      </c>
      <c r="K265" s="16">
        <f>IF(OR(D265="",F265=""),"",F265*IFERROR(INDEX('Sản phẩm'!$D$5:$D$304,MATCH(D265,'Sản phẩm'!$A$5:$A$304,0)),""))</f>
        <v/>
      </c>
      <c r="L265" s="16">
        <f>IF(J265="","",J265-K265)</f>
        <v/>
      </c>
      <c r="M265" s="14">
        <f>IF(A265="","",MONTH(A265))</f>
        <v/>
      </c>
      <c r="N265" s="14">
        <f>IF(A265="","",YEAR(A265))</f>
        <v/>
      </c>
    </row>
    <row r="266">
      <c r="A266" s="15" t="n"/>
      <c r="B266" s="10" t="n"/>
      <c r="C266" s="10" t="n"/>
      <c r="D266" s="10" t="n"/>
      <c r="E266" s="14">
        <f>IF(D266="","",IFERROR(INDEX('Sản phẩm'!$B$5:$B$304,MATCH(D266,'Sản phẩm'!$A$5:$A$304,0)),""))</f>
        <v/>
      </c>
      <c r="F266" s="12" t="n"/>
      <c r="G266" s="11" t="n"/>
      <c r="H266" s="11" t="n"/>
      <c r="I266" s="16">
        <f>IF(D266="","",IF(G266&lt;&gt;"",G266,IFERROR(INDEX('Sản phẩm'!$E$5:$E$304,MATCH(D266,'Sản phẩm'!$A$5:$A$304,0)),"")))</f>
        <v/>
      </c>
      <c r="J266" s="16">
        <f>IF(OR(D266="",F266=""),"",F266*I266-N(H266))</f>
        <v/>
      </c>
      <c r="K266" s="16">
        <f>IF(OR(D266="",F266=""),"",F266*IFERROR(INDEX('Sản phẩm'!$D$5:$D$304,MATCH(D266,'Sản phẩm'!$A$5:$A$304,0)),""))</f>
        <v/>
      </c>
      <c r="L266" s="16">
        <f>IF(J266="","",J266-K266)</f>
        <v/>
      </c>
      <c r="M266" s="14">
        <f>IF(A266="","",MONTH(A266))</f>
        <v/>
      </c>
      <c r="N266" s="14">
        <f>IF(A266="","",YEAR(A266))</f>
        <v/>
      </c>
    </row>
    <row r="267">
      <c r="A267" s="15" t="n"/>
      <c r="B267" s="10" t="n"/>
      <c r="C267" s="10" t="n"/>
      <c r="D267" s="10" t="n"/>
      <c r="E267" s="14">
        <f>IF(D267="","",IFERROR(INDEX('Sản phẩm'!$B$5:$B$304,MATCH(D267,'Sản phẩm'!$A$5:$A$304,0)),""))</f>
        <v/>
      </c>
      <c r="F267" s="12" t="n"/>
      <c r="G267" s="11" t="n"/>
      <c r="H267" s="11" t="n"/>
      <c r="I267" s="16">
        <f>IF(D267="","",IF(G267&lt;&gt;"",G267,IFERROR(INDEX('Sản phẩm'!$E$5:$E$304,MATCH(D267,'Sản phẩm'!$A$5:$A$304,0)),"")))</f>
        <v/>
      </c>
      <c r="J267" s="16">
        <f>IF(OR(D267="",F267=""),"",F267*I267-N(H267))</f>
        <v/>
      </c>
      <c r="K267" s="16">
        <f>IF(OR(D267="",F267=""),"",F267*IFERROR(INDEX('Sản phẩm'!$D$5:$D$304,MATCH(D267,'Sản phẩm'!$A$5:$A$304,0)),""))</f>
        <v/>
      </c>
      <c r="L267" s="16">
        <f>IF(J267="","",J267-K267)</f>
        <v/>
      </c>
      <c r="M267" s="14">
        <f>IF(A267="","",MONTH(A267))</f>
        <v/>
      </c>
      <c r="N267" s="14">
        <f>IF(A267="","",YEAR(A267))</f>
        <v/>
      </c>
    </row>
    <row r="268">
      <c r="A268" s="15" t="n"/>
      <c r="B268" s="10" t="n"/>
      <c r="C268" s="10" t="n"/>
      <c r="D268" s="10" t="n"/>
      <c r="E268" s="14">
        <f>IF(D268="","",IFERROR(INDEX('Sản phẩm'!$B$5:$B$304,MATCH(D268,'Sản phẩm'!$A$5:$A$304,0)),""))</f>
        <v/>
      </c>
      <c r="F268" s="12" t="n"/>
      <c r="G268" s="11" t="n"/>
      <c r="H268" s="11" t="n"/>
      <c r="I268" s="16">
        <f>IF(D268="","",IF(G268&lt;&gt;"",G268,IFERROR(INDEX('Sản phẩm'!$E$5:$E$304,MATCH(D268,'Sản phẩm'!$A$5:$A$304,0)),"")))</f>
        <v/>
      </c>
      <c r="J268" s="16">
        <f>IF(OR(D268="",F268=""),"",F268*I268-N(H268))</f>
        <v/>
      </c>
      <c r="K268" s="16">
        <f>IF(OR(D268="",F268=""),"",F268*IFERROR(INDEX('Sản phẩm'!$D$5:$D$304,MATCH(D268,'Sản phẩm'!$A$5:$A$304,0)),""))</f>
        <v/>
      </c>
      <c r="L268" s="16">
        <f>IF(J268="","",J268-K268)</f>
        <v/>
      </c>
      <c r="M268" s="14">
        <f>IF(A268="","",MONTH(A268))</f>
        <v/>
      </c>
      <c r="N268" s="14">
        <f>IF(A268="","",YEAR(A268))</f>
        <v/>
      </c>
    </row>
    <row r="269">
      <c r="A269" s="15" t="n"/>
      <c r="B269" s="10" t="n"/>
      <c r="C269" s="10" t="n"/>
      <c r="D269" s="10" t="n"/>
      <c r="E269" s="14">
        <f>IF(D269="","",IFERROR(INDEX('Sản phẩm'!$B$5:$B$304,MATCH(D269,'Sản phẩm'!$A$5:$A$304,0)),""))</f>
        <v/>
      </c>
      <c r="F269" s="12" t="n"/>
      <c r="G269" s="11" t="n"/>
      <c r="H269" s="11" t="n"/>
      <c r="I269" s="16">
        <f>IF(D269="","",IF(G269&lt;&gt;"",G269,IFERROR(INDEX('Sản phẩm'!$E$5:$E$304,MATCH(D269,'Sản phẩm'!$A$5:$A$304,0)),"")))</f>
        <v/>
      </c>
      <c r="J269" s="16">
        <f>IF(OR(D269="",F269=""),"",F269*I269-N(H269))</f>
        <v/>
      </c>
      <c r="K269" s="16">
        <f>IF(OR(D269="",F269=""),"",F269*IFERROR(INDEX('Sản phẩm'!$D$5:$D$304,MATCH(D269,'Sản phẩm'!$A$5:$A$304,0)),""))</f>
        <v/>
      </c>
      <c r="L269" s="16">
        <f>IF(J269="","",J269-K269)</f>
        <v/>
      </c>
      <c r="M269" s="14">
        <f>IF(A269="","",MONTH(A269))</f>
        <v/>
      </c>
      <c r="N269" s="14">
        <f>IF(A269="","",YEAR(A269))</f>
        <v/>
      </c>
    </row>
    <row r="270">
      <c r="A270" s="15" t="n"/>
      <c r="B270" s="10" t="n"/>
      <c r="C270" s="10" t="n"/>
      <c r="D270" s="10" t="n"/>
      <c r="E270" s="14">
        <f>IF(D270="","",IFERROR(INDEX('Sản phẩm'!$B$5:$B$304,MATCH(D270,'Sản phẩm'!$A$5:$A$304,0)),""))</f>
        <v/>
      </c>
      <c r="F270" s="12" t="n"/>
      <c r="G270" s="11" t="n"/>
      <c r="H270" s="11" t="n"/>
      <c r="I270" s="16">
        <f>IF(D270="","",IF(G270&lt;&gt;"",G270,IFERROR(INDEX('Sản phẩm'!$E$5:$E$304,MATCH(D270,'Sản phẩm'!$A$5:$A$304,0)),"")))</f>
        <v/>
      </c>
      <c r="J270" s="16">
        <f>IF(OR(D270="",F270=""),"",F270*I270-N(H270))</f>
        <v/>
      </c>
      <c r="K270" s="16">
        <f>IF(OR(D270="",F270=""),"",F270*IFERROR(INDEX('Sản phẩm'!$D$5:$D$304,MATCH(D270,'Sản phẩm'!$A$5:$A$304,0)),""))</f>
        <v/>
      </c>
      <c r="L270" s="16">
        <f>IF(J270="","",J270-K270)</f>
        <v/>
      </c>
      <c r="M270" s="14">
        <f>IF(A270="","",MONTH(A270))</f>
        <v/>
      </c>
      <c r="N270" s="14">
        <f>IF(A270="","",YEAR(A270))</f>
        <v/>
      </c>
    </row>
    <row r="271">
      <c r="A271" s="15" t="n"/>
      <c r="B271" s="10" t="n"/>
      <c r="C271" s="10" t="n"/>
      <c r="D271" s="10" t="n"/>
      <c r="E271" s="14">
        <f>IF(D271="","",IFERROR(INDEX('Sản phẩm'!$B$5:$B$304,MATCH(D271,'Sản phẩm'!$A$5:$A$304,0)),""))</f>
        <v/>
      </c>
      <c r="F271" s="12" t="n"/>
      <c r="G271" s="11" t="n"/>
      <c r="H271" s="11" t="n"/>
      <c r="I271" s="16">
        <f>IF(D271="","",IF(G271&lt;&gt;"",G271,IFERROR(INDEX('Sản phẩm'!$E$5:$E$304,MATCH(D271,'Sản phẩm'!$A$5:$A$304,0)),"")))</f>
        <v/>
      </c>
      <c r="J271" s="16">
        <f>IF(OR(D271="",F271=""),"",F271*I271-N(H271))</f>
        <v/>
      </c>
      <c r="K271" s="16">
        <f>IF(OR(D271="",F271=""),"",F271*IFERROR(INDEX('Sản phẩm'!$D$5:$D$304,MATCH(D271,'Sản phẩm'!$A$5:$A$304,0)),""))</f>
        <v/>
      </c>
      <c r="L271" s="16">
        <f>IF(J271="","",J271-K271)</f>
        <v/>
      </c>
      <c r="M271" s="14">
        <f>IF(A271="","",MONTH(A271))</f>
        <v/>
      </c>
      <c r="N271" s="14">
        <f>IF(A271="","",YEAR(A271))</f>
        <v/>
      </c>
    </row>
    <row r="272">
      <c r="A272" s="15" t="n"/>
      <c r="B272" s="10" t="n"/>
      <c r="C272" s="10" t="n"/>
      <c r="D272" s="10" t="n"/>
      <c r="E272" s="14">
        <f>IF(D272="","",IFERROR(INDEX('Sản phẩm'!$B$5:$B$304,MATCH(D272,'Sản phẩm'!$A$5:$A$304,0)),""))</f>
        <v/>
      </c>
      <c r="F272" s="12" t="n"/>
      <c r="G272" s="11" t="n"/>
      <c r="H272" s="11" t="n"/>
      <c r="I272" s="16">
        <f>IF(D272="","",IF(G272&lt;&gt;"",G272,IFERROR(INDEX('Sản phẩm'!$E$5:$E$304,MATCH(D272,'Sản phẩm'!$A$5:$A$304,0)),"")))</f>
        <v/>
      </c>
      <c r="J272" s="16">
        <f>IF(OR(D272="",F272=""),"",F272*I272-N(H272))</f>
        <v/>
      </c>
      <c r="K272" s="16">
        <f>IF(OR(D272="",F272=""),"",F272*IFERROR(INDEX('Sản phẩm'!$D$5:$D$304,MATCH(D272,'Sản phẩm'!$A$5:$A$304,0)),""))</f>
        <v/>
      </c>
      <c r="L272" s="16">
        <f>IF(J272="","",J272-K272)</f>
        <v/>
      </c>
      <c r="M272" s="14">
        <f>IF(A272="","",MONTH(A272))</f>
        <v/>
      </c>
      <c r="N272" s="14">
        <f>IF(A272="","",YEAR(A272))</f>
        <v/>
      </c>
    </row>
    <row r="273">
      <c r="A273" s="15" t="n"/>
      <c r="B273" s="10" t="n"/>
      <c r="C273" s="10" t="n"/>
      <c r="D273" s="10" t="n"/>
      <c r="E273" s="14">
        <f>IF(D273="","",IFERROR(INDEX('Sản phẩm'!$B$5:$B$304,MATCH(D273,'Sản phẩm'!$A$5:$A$304,0)),""))</f>
        <v/>
      </c>
      <c r="F273" s="12" t="n"/>
      <c r="G273" s="11" t="n"/>
      <c r="H273" s="11" t="n"/>
      <c r="I273" s="16">
        <f>IF(D273="","",IF(G273&lt;&gt;"",G273,IFERROR(INDEX('Sản phẩm'!$E$5:$E$304,MATCH(D273,'Sản phẩm'!$A$5:$A$304,0)),"")))</f>
        <v/>
      </c>
      <c r="J273" s="16">
        <f>IF(OR(D273="",F273=""),"",F273*I273-N(H273))</f>
        <v/>
      </c>
      <c r="K273" s="16">
        <f>IF(OR(D273="",F273=""),"",F273*IFERROR(INDEX('Sản phẩm'!$D$5:$D$304,MATCH(D273,'Sản phẩm'!$A$5:$A$304,0)),""))</f>
        <v/>
      </c>
      <c r="L273" s="16">
        <f>IF(J273="","",J273-K273)</f>
        <v/>
      </c>
      <c r="M273" s="14">
        <f>IF(A273="","",MONTH(A273))</f>
        <v/>
      </c>
      <c r="N273" s="14">
        <f>IF(A273="","",YEAR(A273))</f>
        <v/>
      </c>
    </row>
    <row r="274">
      <c r="A274" s="15" t="n"/>
      <c r="B274" s="10" t="n"/>
      <c r="C274" s="10" t="n"/>
      <c r="D274" s="10" t="n"/>
      <c r="E274" s="14">
        <f>IF(D274="","",IFERROR(INDEX('Sản phẩm'!$B$5:$B$304,MATCH(D274,'Sản phẩm'!$A$5:$A$304,0)),""))</f>
        <v/>
      </c>
      <c r="F274" s="12" t="n"/>
      <c r="G274" s="11" t="n"/>
      <c r="H274" s="11" t="n"/>
      <c r="I274" s="16">
        <f>IF(D274="","",IF(G274&lt;&gt;"",G274,IFERROR(INDEX('Sản phẩm'!$E$5:$E$304,MATCH(D274,'Sản phẩm'!$A$5:$A$304,0)),"")))</f>
        <v/>
      </c>
      <c r="J274" s="16">
        <f>IF(OR(D274="",F274=""),"",F274*I274-N(H274))</f>
        <v/>
      </c>
      <c r="K274" s="16">
        <f>IF(OR(D274="",F274=""),"",F274*IFERROR(INDEX('Sản phẩm'!$D$5:$D$304,MATCH(D274,'Sản phẩm'!$A$5:$A$304,0)),""))</f>
        <v/>
      </c>
      <c r="L274" s="16">
        <f>IF(J274="","",J274-K274)</f>
        <v/>
      </c>
      <c r="M274" s="14">
        <f>IF(A274="","",MONTH(A274))</f>
        <v/>
      </c>
      <c r="N274" s="14">
        <f>IF(A274="","",YEAR(A274))</f>
        <v/>
      </c>
    </row>
    <row r="275">
      <c r="A275" s="15" t="n"/>
      <c r="B275" s="10" t="n"/>
      <c r="C275" s="10" t="n"/>
      <c r="D275" s="10" t="n"/>
      <c r="E275" s="14">
        <f>IF(D275="","",IFERROR(INDEX('Sản phẩm'!$B$5:$B$304,MATCH(D275,'Sản phẩm'!$A$5:$A$304,0)),""))</f>
        <v/>
      </c>
      <c r="F275" s="12" t="n"/>
      <c r="G275" s="11" t="n"/>
      <c r="H275" s="11" t="n"/>
      <c r="I275" s="16">
        <f>IF(D275="","",IF(G275&lt;&gt;"",G275,IFERROR(INDEX('Sản phẩm'!$E$5:$E$304,MATCH(D275,'Sản phẩm'!$A$5:$A$304,0)),"")))</f>
        <v/>
      </c>
      <c r="J275" s="16">
        <f>IF(OR(D275="",F275=""),"",F275*I275-N(H275))</f>
        <v/>
      </c>
      <c r="K275" s="16">
        <f>IF(OR(D275="",F275=""),"",F275*IFERROR(INDEX('Sản phẩm'!$D$5:$D$304,MATCH(D275,'Sản phẩm'!$A$5:$A$304,0)),""))</f>
        <v/>
      </c>
      <c r="L275" s="16">
        <f>IF(J275="","",J275-K275)</f>
        <v/>
      </c>
      <c r="M275" s="14">
        <f>IF(A275="","",MONTH(A275))</f>
        <v/>
      </c>
      <c r="N275" s="14">
        <f>IF(A275="","",YEAR(A275))</f>
        <v/>
      </c>
    </row>
    <row r="276">
      <c r="A276" s="15" t="n"/>
      <c r="B276" s="10" t="n"/>
      <c r="C276" s="10" t="n"/>
      <c r="D276" s="10" t="n"/>
      <c r="E276" s="14">
        <f>IF(D276="","",IFERROR(INDEX('Sản phẩm'!$B$5:$B$304,MATCH(D276,'Sản phẩm'!$A$5:$A$304,0)),""))</f>
        <v/>
      </c>
      <c r="F276" s="12" t="n"/>
      <c r="G276" s="11" t="n"/>
      <c r="H276" s="11" t="n"/>
      <c r="I276" s="16">
        <f>IF(D276="","",IF(G276&lt;&gt;"",G276,IFERROR(INDEX('Sản phẩm'!$E$5:$E$304,MATCH(D276,'Sản phẩm'!$A$5:$A$304,0)),"")))</f>
        <v/>
      </c>
      <c r="J276" s="16">
        <f>IF(OR(D276="",F276=""),"",F276*I276-N(H276))</f>
        <v/>
      </c>
      <c r="K276" s="16">
        <f>IF(OR(D276="",F276=""),"",F276*IFERROR(INDEX('Sản phẩm'!$D$5:$D$304,MATCH(D276,'Sản phẩm'!$A$5:$A$304,0)),""))</f>
        <v/>
      </c>
      <c r="L276" s="16">
        <f>IF(J276="","",J276-K276)</f>
        <v/>
      </c>
      <c r="M276" s="14">
        <f>IF(A276="","",MONTH(A276))</f>
        <v/>
      </c>
      <c r="N276" s="14">
        <f>IF(A276="","",YEAR(A276))</f>
        <v/>
      </c>
    </row>
    <row r="277">
      <c r="A277" s="15" t="n"/>
      <c r="B277" s="10" t="n"/>
      <c r="C277" s="10" t="n"/>
      <c r="D277" s="10" t="n"/>
      <c r="E277" s="14">
        <f>IF(D277="","",IFERROR(INDEX('Sản phẩm'!$B$5:$B$304,MATCH(D277,'Sản phẩm'!$A$5:$A$304,0)),""))</f>
        <v/>
      </c>
      <c r="F277" s="12" t="n"/>
      <c r="G277" s="11" t="n"/>
      <c r="H277" s="11" t="n"/>
      <c r="I277" s="16">
        <f>IF(D277="","",IF(G277&lt;&gt;"",G277,IFERROR(INDEX('Sản phẩm'!$E$5:$E$304,MATCH(D277,'Sản phẩm'!$A$5:$A$304,0)),"")))</f>
        <v/>
      </c>
      <c r="J277" s="16">
        <f>IF(OR(D277="",F277=""),"",F277*I277-N(H277))</f>
        <v/>
      </c>
      <c r="K277" s="16">
        <f>IF(OR(D277="",F277=""),"",F277*IFERROR(INDEX('Sản phẩm'!$D$5:$D$304,MATCH(D277,'Sản phẩm'!$A$5:$A$304,0)),""))</f>
        <v/>
      </c>
      <c r="L277" s="16">
        <f>IF(J277="","",J277-K277)</f>
        <v/>
      </c>
      <c r="M277" s="14">
        <f>IF(A277="","",MONTH(A277))</f>
        <v/>
      </c>
      <c r="N277" s="14">
        <f>IF(A277="","",YEAR(A277))</f>
        <v/>
      </c>
    </row>
    <row r="278">
      <c r="A278" s="15" t="n"/>
      <c r="B278" s="10" t="n"/>
      <c r="C278" s="10" t="n"/>
      <c r="D278" s="10" t="n"/>
      <c r="E278" s="14">
        <f>IF(D278="","",IFERROR(INDEX('Sản phẩm'!$B$5:$B$304,MATCH(D278,'Sản phẩm'!$A$5:$A$304,0)),""))</f>
        <v/>
      </c>
      <c r="F278" s="12" t="n"/>
      <c r="G278" s="11" t="n"/>
      <c r="H278" s="11" t="n"/>
      <c r="I278" s="16">
        <f>IF(D278="","",IF(G278&lt;&gt;"",G278,IFERROR(INDEX('Sản phẩm'!$E$5:$E$304,MATCH(D278,'Sản phẩm'!$A$5:$A$304,0)),"")))</f>
        <v/>
      </c>
      <c r="J278" s="16">
        <f>IF(OR(D278="",F278=""),"",F278*I278-N(H278))</f>
        <v/>
      </c>
      <c r="K278" s="16">
        <f>IF(OR(D278="",F278=""),"",F278*IFERROR(INDEX('Sản phẩm'!$D$5:$D$304,MATCH(D278,'Sản phẩm'!$A$5:$A$304,0)),""))</f>
        <v/>
      </c>
      <c r="L278" s="16">
        <f>IF(J278="","",J278-K278)</f>
        <v/>
      </c>
      <c r="M278" s="14">
        <f>IF(A278="","",MONTH(A278))</f>
        <v/>
      </c>
      <c r="N278" s="14">
        <f>IF(A278="","",YEAR(A278))</f>
        <v/>
      </c>
    </row>
    <row r="279">
      <c r="A279" s="15" t="n"/>
      <c r="B279" s="10" t="n"/>
      <c r="C279" s="10" t="n"/>
      <c r="D279" s="10" t="n"/>
      <c r="E279" s="14">
        <f>IF(D279="","",IFERROR(INDEX('Sản phẩm'!$B$5:$B$304,MATCH(D279,'Sản phẩm'!$A$5:$A$304,0)),""))</f>
        <v/>
      </c>
      <c r="F279" s="12" t="n"/>
      <c r="G279" s="11" t="n"/>
      <c r="H279" s="11" t="n"/>
      <c r="I279" s="16">
        <f>IF(D279="","",IF(G279&lt;&gt;"",G279,IFERROR(INDEX('Sản phẩm'!$E$5:$E$304,MATCH(D279,'Sản phẩm'!$A$5:$A$304,0)),"")))</f>
        <v/>
      </c>
      <c r="J279" s="16">
        <f>IF(OR(D279="",F279=""),"",F279*I279-N(H279))</f>
        <v/>
      </c>
      <c r="K279" s="16">
        <f>IF(OR(D279="",F279=""),"",F279*IFERROR(INDEX('Sản phẩm'!$D$5:$D$304,MATCH(D279,'Sản phẩm'!$A$5:$A$304,0)),""))</f>
        <v/>
      </c>
      <c r="L279" s="16">
        <f>IF(J279="","",J279-K279)</f>
        <v/>
      </c>
      <c r="M279" s="14">
        <f>IF(A279="","",MONTH(A279))</f>
        <v/>
      </c>
      <c r="N279" s="14">
        <f>IF(A279="","",YEAR(A279))</f>
        <v/>
      </c>
    </row>
    <row r="280">
      <c r="A280" s="15" t="n"/>
      <c r="B280" s="10" t="n"/>
      <c r="C280" s="10" t="n"/>
      <c r="D280" s="10" t="n"/>
      <c r="E280" s="14">
        <f>IF(D280="","",IFERROR(INDEX('Sản phẩm'!$B$5:$B$304,MATCH(D280,'Sản phẩm'!$A$5:$A$304,0)),""))</f>
        <v/>
      </c>
      <c r="F280" s="12" t="n"/>
      <c r="G280" s="11" t="n"/>
      <c r="H280" s="11" t="n"/>
      <c r="I280" s="16">
        <f>IF(D280="","",IF(G280&lt;&gt;"",G280,IFERROR(INDEX('Sản phẩm'!$E$5:$E$304,MATCH(D280,'Sản phẩm'!$A$5:$A$304,0)),"")))</f>
        <v/>
      </c>
      <c r="J280" s="16">
        <f>IF(OR(D280="",F280=""),"",F280*I280-N(H280))</f>
        <v/>
      </c>
      <c r="K280" s="16">
        <f>IF(OR(D280="",F280=""),"",F280*IFERROR(INDEX('Sản phẩm'!$D$5:$D$304,MATCH(D280,'Sản phẩm'!$A$5:$A$304,0)),""))</f>
        <v/>
      </c>
      <c r="L280" s="16">
        <f>IF(J280="","",J280-K280)</f>
        <v/>
      </c>
      <c r="M280" s="14">
        <f>IF(A280="","",MONTH(A280))</f>
        <v/>
      </c>
      <c r="N280" s="14">
        <f>IF(A280="","",YEAR(A280))</f>
        <v/>
      </c>
    </row>
    <row r="281">
      <c r="A281" s="15" t="n"/>
      <c r="B281" s="10" t="n"/>
      <c r="C281" s="10" t="n"/>
      <c r="D281" s="10" t="n"/>
      <c r="E281" s="14">
        <f>IF(D281="","",IFERROR(INDEX('Sản phẩm'!$B$5:$B$304,MATCH(D281,'Sản phẩm'!$A$5:$A$304,0)),""))</f>
        <v/>
      </c>
      <c r="F281" s="12" t="n"/>
      <c r="G281" s="11" t="n"/>
      <c r="H281" s="11" t="n"/>
      <c r="I281" s="16">
        <f>IF(D281="","",IF(G281&lt;&gt;"",G281,IFERROR(INDEX('Sản phẩm'!$E$5:$E$304,MATCH(D281,'Sản phẩm'!$A$5:$A$304,0)),"")))</f>
        <v/>
      </c>
      <c r="J281" s="16">
        <f>IF(OR(D281="",F281=""),"",F281*I281-N(H281))</f>
        <v/>
      </c>
      <c r="K281" s="16">
        <f>IF(OR(D281="",F281=""),"",F281*IFERROR(INDEX('Sản phẩm'!$D$5:$D$304,MATCH(D281,'Sản phẩm'!$A$5:$A$304,0)),""))</f>
        <v/>
      </c>
      <c r="L281" s="16">
        <f>IF(J281="","",J281-K281)</f>
        <v/>
      </c>
      <c r="M281" s="14">
        <f>IF(A281="","",MONTH(A281))</f>
        <v/>
      </c>
      <c r="N281" s="14">
        <f>IF(A281="","",YEAR(A281))</f>
        <v/>
      </c>
    </row>
    <row r="282">
      <c r="A282" s="15" t="n"/>
      <c r="B282" s="10" t="n"/>
      <c r="C282" s="10" t="n"/>
      <c r="D282" s="10" t="n"/>
      <c r="E282" s="14">
        <f>IF(D282="","",IFERROR(INDEX('Sản phẩm'!$B$5:$B$304,MATCH(D282,'Sản phẩm'!$A$5:$A$304,0)),""))</f>
        <v/>
      </c>
      <c r="F282" s="12" t="n"/>
      <c r="G282" s="11" t="n"/>
      <c r="H282" s="11" t="n"/>
      <c r="I282" s="16">
        <f>IF(D282="","",IF(G282&lt;&gt;"",G282,IFERROR(INDEX('Sản phẩm'!$E$5:$E$304,MATCH(D282,'Sản phẩm'!$A$5:$A$304,0)),"")))</f>
        <v/>
      </c>
      <c r="J282" s="16">
        <f>IF(OR(D282="",F282=""),"",F282*I282-N(H282))</f>
        <v/>
      </c>
      <c r="K282" s="16">
        <f>IF(OR(D282="",F282=""),"",F282*IFERROR(INDEX('Sản phẩm'!$D$5:$D$304,MATCH(D282,'Sản phẩm'!$A$5:$A$304,0)),""))</f>
        <v/>
      </c>
      <c r="L282" s="16">
        <f>IF(J282="","",J282-K282)</f>
        <v/>
      </c>
      <c r="M282" s="14">
        <f>IF(A282="","",MONTH(A282))</f>
        <v/>
      </c>
      <c r="N282" s="14">
        <f>IF(A282="","",YEAR(A282))</f>
        <v/>
      </c>
    </row>
    <row r="283">
      <c r="A283" s="15" t="n"/>
      <c r="B283" s="10" t="n"/>
      <c r="C283" s="10" t="n"/>
      <c r="D283" s="10" t="n"/>
      <c r="E283" s="14">
        <f>IF(D283="","",IFERROR(INDEX('Sản phẩm'!$B$5:$B$304,MATCH(D283,'Sản phẩm'!$A$5:$A$304,0)),""))</f>
        <v/>
      </c>
      <c r="F283" s="12" t="n"/>
      <c r="G283" s="11" t="n"/>
      <c r="H283" s="11" t="n"/>
      <c r="I283" s="16">
        <f>IF(D283="","",IF(G283&lt;&gt;"",G283,IFERROR(INDEX('Sản phẩm'!$E$5:$E$304,MATCH(D283,'Sản phẩm'!$A$5:$A$304,0)),"")))</f>
        <v/>
      </c>
      <c r="J283" s="16">
        <f>IF(OR(D283="",F283=""),"",F283*I283-N(H283))</f>
        <v/>
      </c>
      <c r="K283" s="16">
        <f>IF(OR(D283="",F283=""),"",F283*IFERROR(INDEX('Sản phẩm'!$D$5:$D$304,MATCH(D283,'Sản phẩm'!$A$5:$A$304,0)),""))</f>
        <v/>
      </c>
      <c r="L283" s="16">
        <f>IF(J283="","",J283-K283)</f>
        <v/>
      </c>
      <c r="M283" s="14">
        <f>IF(A283="","",MONTH(A283))</f>
        <v/>
      </c>
      <c r="N283" s="14">
        <f>IF(A283="","",YEAR(A283))</f>
        <v/>
      </c>
    </row>
    <row r="284">
      <c r="A284" s="15" t="n"/>
      <c r="B284" s="10" t="n"/>
      <c r="C284" s="10" t="n"/>
      <c r="D284" s="10" t="n"/>
      <c r="E284" s="14">
        <f>IF(D284="","",IFERROR(INDEX('Sản phẩm'!$B$5:$B$304,MATCH(D284,'Sản phẩm'!$A$5:$A$304,0)),""))</f>
        <v/>
      </c>
      <c r="F284" s="12" t="n"/>
      <c r="G284" s="11" t="n"/>
      <c r="H284" s="11" t="n"/>
      <c r="I284" s="16">
        <f>IF(D284="","",IF(G284&lt;&gt;"",G284,IFERROR(INDEX('Sản phẩm'!$E$5:$E$304,MATCH(D284,'Sản phẩm'!$A$5:$A$304,0)),"")))</f>
        <v/>
      </c>
      <c r="J284" s="16">
        <f>IF(OR(D284="",F284=""),"",F284*I284-N(H284))</f>
        <v/>
      </c>
      <c r="K284" s="16">
        <f>IF(OR(D284="",F284=""),"",F284*IFERROR(INDEX('Sản phẩm'!$D$5:$D$304,MATCH(D284,'Sản phẩm'!$A$5:$A$304,0)),""))</f>
        <v/>
      </c>
      <c r="L284" s="16">
        <f>IF(J284="","",J284-K284)</f>
        <v/>
      </c>
      <c r="M284" s="14">
        <f>IF(A284="","",MONTH(A284))</f>
        <v/>
      </c>
      <c r="N284" s="14">
        <f>IF(A284="","",YEAR(A284))</f>
        <v/>
      </c>
    </row>
    <row r="285">
      <c r="A285" s="15" t="n"/>
      <c r="B285" s="10" t="n"/>
      <c r="C285" s="10" t="n"/>
      <c r="D285" s="10" t="n"/>
      <c r="E285" s="14">
        <f>IF(D285="","",IFERROR(INDEX('Sản phẩm'!$B$5:$B$304,MATCH(D285,'Sản phẩm'!$A$5:$A$304,0)),""))</f>
        <v/>
      </c>
      <c r="F285" s="12" t="n"/>
      <c r="G285" s="11" t="n"/>
      <c r="H285" s="11" t="n"/>
      <c r="I285" s="16">
        <f>IF(D285="","",IF(G285&lt;&gt;"",G285,IFERROR(INDEX('Sản phẩm'!$E$5:$E$304,MATCH(D285,'Sản phẩm'!$A$5:$A$304,0)),"")))</f>
        <v/>
      </c>
      <c r="J285" s="16">
        <f>IF(OR(D285="",F285=""),"",F285*I285-N(H285))</f>
        <v/>
      </c>
      <c r="K285" s="16">
        <f>IF(OR(D285="",F285=""),"",F285*IFERROR(INDEX('Sản phẩm'!$D$5:$D$304,MATCH(D285,'Sản phẩm'!$A$5:$A$304,0)),""))</f>
        <v/>
      </c>
      <c r="L285" s="16">
        <f>IF(J285="","",J285-K285)</f>
        <v/>
      </c>
      <c r="M285" s="14">
        <f>IF(A285="","",MONTH(A285))</f>
        <v/>
      </c>
      <c r="N285" s="14">
        <f>IF(A285="","",YEAR(A285))</f>
        <v/>
      </c>
    </row>
    <row r="286">
      <c r="A286" s="15" t="n"/>
      <c r="B286" s="10" t="n"/>
      <c r="C286" s="10" t="n"/>
      <c r="D286" s="10" t="n"/>
      <c r="E286" s="14">
        <f>IF(D286="","",IFERROR(INDEX('Sản phẩm'!$B$5:$B$304,MATCH(D286,'Sản phẩm'!$A$5:$A$304,0)),""))</f>
        <v/>
      </c>
      <c r="F286" s="12" t="n"/>
      <c r="G286" s="11" t="n"/>
      <c r="H286" s="11" t="n"/>
      <c r="I286" s="16">
        <f>IF(D286="","",IF(G286&lt;&gt;"",G286,IFERROR(INDEX('Sản phẩm'!$E$5:$E$304,MATCH(D286,'Sản phẩm'!$A$5:$A$304,0)),"")))</f>
        <v/>
      </c>
      <c r="J286" s="16">
        <f>IF(OR(D286="",F286=""),"",F286*I286-N(H286))</f>
        <v/>
      </c>
      <c r="K286" s="16">
        <f>IF(OR(D286="",F286=""),"",F286*IFERROR(INDEX('Sản phẩm'!$D$5:$D$304,MATCH(D286,'Sản phẩm'!$A$5:$A$304,0)),""))</f>
        <v/>
      </c>
      <c r="L286" s="16">
        <f>IF(J286="","",J286-K286)</f>
        <v/>
      </c>
      <c r="M286" s="14">
        <f>IF(A286="","",MONTH(A286))</f>
        <v/>
      </c>
      <c r="N286" s="14">
        <f>IF(A286="","",YEAR(A286))</f>
        <v/>
      </c>
    </row>
    <row r="287">
      <c r="A287" s="15" t="n"/>
      <c r="B287" s="10" t="n"/>
      <c r="C287" s="10" t="n"/>
      <c r="D287" s="10" t="n"/>
      <c r="E287" s="14">
        <f>IF(D287="","",IFERROR(INDEX('Sản phẩm'!$B$5:$B$304,MATCH(D287,'Sản phẩm'!$A$5:$A$304,0)),""))</f>
        <v/>
      </c>
      <c r="F287" s="12" t="n"/>
      <c r="G287" s="11" t="n"/>
      <c r="H287" s="11" t="n"/>
      <c r="I287" s="16">
        <f>IF(D287="","",IF(G287&lt;&gt;"",G287,IFERROR(INDEX('Sản phẩm'!$E$5:$E$304,MATCH(D287,'Sản phẩm'!$A$5:$A$304,0)),"")))</f>
        <v/>
      </c>
      <c r="J287" s="16">
        <f>IF(OR(D287="",F287=""),"",F287*I287-N(H287))</f>
        <v/>
      </c>
      <c r="K287" s="16">
        <f>IF(OR(D287="",F287=""),"",F287*IFERROR(INDEX('Sản phẩm'!$D$5:$D$304,MATCH(D287,'Sản phẩm'!$A$5:$A$304,0)),""))</f>
        <v/>
      </c>
      <c r="L287" s="16">
        <f>IF(J287="","",J287-K287)</f>
        <v/>
      </c>
      <c r="M287" s="14">
        <f>IF(A287="","",MONTH(A287))</f>
        <v/>
      </c>
      <c r="N287" s="14">
        <f>IF(A287="","",YEAR(A287))</f>
        <v/>
      </c>
    </row>
    <row r="288">
      <c r="A288" s="15" t="n"/>
      <c r="B288" s="10" t="n"/>
      <c r="C288" s="10" t="n"/>
      <c r="D288" s="10" t="n"/>
      <c r="E288" s="14">
        <f>IF(D288="","",IFERROR(INDEX('Sản phẩm'!$B$5:$B$304,MATCH(D288,'Sản phẩm'!$A$5:$A$304,0)),""))</f>
        <v/>
      </c>
      <c r="F288" s="12" t="n"/>
      <c r="G288" s="11" t="n"/>
      <c r="H288" s="11" t="n"/>
      <c r="I288" s="16">
        <f>IF(D288="","",IF(G288&lt;&gt;"",G288,IFERROR(INDEX('Sản phẩm'!$E$5:$E$304,MATCH(D288,'Sản phẩm'!$A$5:$A$304,0)),"")))</f>
        <v/>
      </c>
      <c r="J288" s="16">
        <f>IF(OR(D288="",F288=""),"",F288*I288-N(H288))</f>
        <v/>
      </c>
      <c r="K288" s="16">
        <f>IF(OR(D288="",F288=""),"",F288*IFERROR(INDEX('Sản phẩm'!$D$5:$D$304,MATCH(D288,'Sản phẩm'!$A$5:$A$304,0)),""))</f>
        <v/>
      </c>
      <c r="L288" s="16">
        <f>IF(J288="","",J288-K288)</f>
        <v/>
      </c>
      <c r="M288" s="14">
        <f>IF(A288="","",MONTH(A288))</f>
        <v/>
      </c>
      <c r="N288" s="14">
        <f>IF(A288="","",YEAR(A288))</f>
        <v/>
      </c>
    </row>
    <row r="289">
      <c r="A289" s="15" t="n"/>
      <c r="B289" s="10" t="n"/>
      <c r="C289" s="10" t="n"/>
      <c r="D289" s="10" t="n"/>
      <c r="E289" s="14">
        <f>IF(D289="","",IFERROR(INDEX('Sản phẩm'!$B$5:$B$304,MATCH(D289,'Sản phẩm'!$A$5:$A$304,0)),""))</f>
        <v/>
      </c>
      <c r="F289" s="12" t="n"/>
      <c r="G289" s="11" t="n"/>
      <c r="H289" s="11" t="n"/>
      <c r="I289" s="16">
        <f>IF(D289="","",IF(G289&lt;&gt;"",G289,IFERROR(INDEX('Sản phẩm'!$E$5:$E$304,MATCH(D289,'Sản phẩm'!$A$5:$A$304,0)),"")))</f>
        <v/>
      </c>
      <c r="J289" s="16">
        <f>IF(OR(D289="",F289=""),"",F289*I289-N(H289))</f>
        <v/>
      </c>
      <c r="K289" s="16">
        <f>IF(OR(D289="",F289=""),"",F289*IFERROR(INDEX('Sản phẩm'!$D$5:$D$304,MATCH(D289,'Sản phẩm'!$A$5:$A$304,0)),""))</f>
        <v/>
      </c>
      <c r="L289" s="16">
        <f>IF(J289="","",J289-K289)</f>
        <v/>
      </c>
      <c r="M289" s="14">
        <f>IF(A289="","",MONTH(A289))</f>
        <v/>
      </c>
      <c r="N289" s="14">
        <f>IF(A289="","",YEAR(A289))</f>
        <v/>
      </c>
    </row>
    <row r="290">
      <c r="A290" s="15" t="n"/>
      <c r="B290" s="10" t="n"/>
      <c r="C290" s="10" t="n"/>
      <c r="D290" s="10" t="n"/>
      <c r="E290" s="14">
        <f>IF(D290="","",IFERROR(INDEX('Sản phẩm'!$B$5:$B$304,MATCH(D290,'Sản phẩm'!$A$5:$A$304,0)),""))</f>
        <v/>
      </c>
      <c r="F290" s="12" t="n"/>
      <c r="G290" s="11" t="n"/>
      <c r="H290" s="11" t="n"/>
      <c r="I290" s="16">
        <f>IF(D290="","",IF(G290&lt;&gt;"",G290,IFERROR(INDEX('Sản phẩm'!$E$5:$E$304,MATCH(D290,'Sản phẩm'!$A$5:$A$304,0)),"")))</f>
        <v/>
      </c>
      <c r="J290" s="16">
        <f>IF(OR(D290="",F290=""),"",F290*I290-N(H290))</f>
        <v/>
      </c>
      <c r="K290" s="16">
        <f>IF(OR(D290="",F290=""),"",F290*IFERROR(INDEX('Sản phẩm'!$D$5:$D$304,MATCH(D290,'Sản phẩm'!$A$5:$A$304,0)),""))</f>
        <v/>
      </c>
      <c r="L290" s="16">
        <f>IF(J290="","",J290-K290)</f>
        <v/>
      </c>
      <c r="M290" s="14">
        <f>IF(A290="","",MONTH(A290))</f>
        <v/>
      </c>
      <c r="N290" s="14">
        <f>IF(A290="","",YEAR(A290))</f>
        <v/>
      </c>
    </row>
    <row r="291">
      <c r="A291" s="15" t="n"/>
      <c r="B291" s="10" t="n"/>
      <c r="C291" s="10" t="n"/>
      <c r="D291" s="10" t="n"/>
      <c r="E291" s="14">
        <f>IF(D291="","",IFERROR(INDEX('Sản phẩm'!$B$5:$B$304,MATCH(D291,'Sản phẩm'!$A$5:$A$304,0)),""))</f>
        <v/>
      </c>
      <c r="F291" s="12" t="n"/>
      <c r="G291" s="11" t="n"/>
      <c r="H291" s="11" t="n"/>
      <c r="I291" s="16">
        <f>IF(D291="","",IF(G291&lt;&gt;"",G291,IFERROR(INDEX('Sản phẩm'!$E$5:$E$304,MATCH(D291,'Sản phẩm'!$A$5:$A$304,0)),"")))</f>
        <v/>
      </c>
      <c r="J291" s="16">
        <f>IF(OR(D291="",F291=""),"",F291*I291-N(H291))</f>
        <v/>
      </c>
      <c r="K291" s="16">
        <f>IF(OR(D291="",F291=""),"",F291*IFERROR(INDEX('Sản phẩm'!$D$5:$D$304,MATCH(D291,'Sản phẩm'!$A$5:$A$304,0)),""))</f>
        <v/>
      </c>
      <c r="L291" s="16">
        <f>IF(J291="","",J291-K291)</f>
        <v/>
      </c>
      <c r="M291" s="14">
        <f>IF(A291="","",MONTH(A291))</f>
        <v/>
      </c>
      <c r="N291" s="14">
        <f>IF(A291="","",YEAR(A291))</f>
        <v/>
      </c>
    </row>
    <row r="292">
      <c r="A292" s="15" t="n"/>
      <c r="B292" s="10" t="n"/>
      <c r="C292" s="10" t="n"/>
      <c r="D292" s="10" t="n"/>
      <c r="E292" s="14">
        <f>IF(D292="","",IFERROR(INDEX('Sản phẩm'!$B$5:$B$304,MATCH(D292,'Sản phẩm'!$A$5:$A$304,0)),""))</f>
        <v/>
      </c>
      <c r="F292" s="12" t="n"/>
      <c r="G292" s="11" t="n"/>
      <c r="H292" s="11" t="n"/>
      <c r="I292" s="16">
        <f>IF(D292="","",IF(G292&lt;&gt;"",G292,IFERROR(INDEX('Sản phẩm'!$E$5:$E$304,MATCH(D292,'Sản phẩm'!$A$5:$A$304,0)),"")))</f>
        <v/>
      </c>
      <c r="J292" s="16">
        <f>IF(OR(D292="",F292=""),"",F292*I292-N(H292))</f>
        <v/>
      </c>
      <c r="K292" s="16">
        <f>IF(OR(D292="",F292=""),"",F292*IFERROR(INDEX('Sản phẩm'!$D$5:$D$304,MATCH(D292,'Sản phẩm'!$A$5:$A$304,0)),""))</f>
        <v/>
      </c>
      <c r="L292" s="16">
        <f>IF(J292="","",J292-K292)</f>
        <v/>
      </c>
      <c r="M292" s="14">
        <f>IF(A292="","",MONTH(A292))</f>
        <v/>
      </c>
      <c r="N292" s="14">
        <f>IF(A292="","",YEAR(A292))</f>
        <v/>
      </c>
    </row>
    <row r="293">
      <c r="A293" s="15" t="n"/>
      <c r="B293" s="10" t="n"/>
      <c r="C293" s="10" t="n"/>
      <c r="D293" s="10" t="n"/>
      <c r="E293" s="14">
        <f>IF(D293="","",IFERROR(INDEX('Sản phẩm'!$B$5:$B$304,MATCH(D293,'Sản phẩm'!$A$5:$A$304,0)),""))</f>
        <v/>
      </c>
      <c r="F293" s="12" t="n"/>
      <c r="G293" s="11" t="n"/>
      <c r="H293" s="11" t="n"/>
      <c r="I293" s="16">
        <f>IF(D293="","",IF(G293&lt;&gt;"",G293,IFERROR(INDEX('Sản phẩm'!$E$5:$E$304,MATCH(D293,'Sản phẩm'!$A$5:$A$304,0)),"")))</f>
        <v/>
      </c>
      <c r="J293" s="16">
        <f>IF(OR(D293="",F293=""),"",F293*I293-N(H293))</f>
        <v/>
      </c>
      <c r="K293" s="16">
        <f>IF(OR(D293="",F293=""),"",F293*IFERROR(INDEX('Sản phẩm'!$D$5:$D$304,MATCH(D293,'Sản phẩm'!$A$5:$A$304,0)),""))</f>
        <v/>
      </c>
      <c r="L293" s="16">
        <f>IF(J293="","",J293-K293)</f>
        <v/>
      </c>
      <c r="M293" s="14">
        <f>IF(A293="","",MONTH(A293))</f>
        <v/>
      </c>
      <c r="N293" s="14">
        <f>IF(A293="","",YEAR(A293))</f>
        <v/>
      </c>
    </row>
    <row r="294">
      <c r="A294" s="15" t="n"/>
      <c r="B294" s="10" t="n"/>
      <c r="C294" s="10" t="n"/>
      <c r="D294" s="10" t="n"/>
      <c r="E294" s="14">
        <f>IF(D294="","",IFERROR(INDEX('Sản phẩm'!$B$5:$B$304,MATCH(D294,'Sản phẩm'!$A$5:$A$304,0)),""))</f>
        <v/>
      </c>
      <c r="F294" s="12" t="n"/>
      <c r="G294" s="11" t="n"/>
      <c r="H294" s="11" t="n"/>
      <c r="I294" s="16">
        <f>IF(D294="","",IF(G294&lt;&gt;"",G294,IFERROR(INDEX('Sản phẩm'!$E$5:$E$304,MATCH(D294,'Sản phẩm'!$A$5:$A$304,0)),"")))</f>
        <v/>
      </c>
      <c r="J294" s="16">
        <f>IF(OR(D294="",F294=""),"",F294*I294-N(H294))</f>
        <v/>
      </c>
      <c r="K294" s="16">
        <f>IF(OR(D294="",F294=""),"",F294*IFERROR(INDEX('Sản phẩm'!$D$5:$D$304,MATCH(D294,'Sản phẩm'!$A$5:$A$304,0)),""))</f>
        <v/>
      </c>
      <c r="L294" s="16">
        <f>IF(J294="","",J294-K294)</f>
        <v/>
      </c>
      <c r="M294" s="14">
        <f>IF(A294="","",MONTH(A294))</f>
        <v/>
      </c>
      <c r="N294" s="14">
        <f>IF(A294="","",YEAR(A294))</f>
        <v/>
      </c>
    </row>
    <row r="295">
      <c r="A295" s="15" t="n"/>
      <c r="B295" s="10" t="n"/>
      <c r="C295" s="10" t="n"/>
      <c r="D295" s="10" t="n"/>
      <c r="E295" s="14">
        <f>IF(D295="","",IFERROR(INDEX('Sản phẩm'!$B$5:$B$304,MATCH(D295,'Sản phẩm'!$A$5:$A$304,0)),""))</f>
        <v/>
      </c>
      <c r="F295" s="12" t="n"/>
      <c r="G295" s="11" t="n"/>
      <c r="H295" s="11" t="n"/>
      <c r="I295" s="16">
        <f>IF(D295="","",IF(G295&lt;&gt;"",G295,IFERROR(INDEX('Sản phẩm'!$E$5:$E$304,MATCH(D295,'Sản phẩm'!$A$5:$A$304,0)),"")))</f>
        <v/>
      </c>
      <c r="J295" s="16">
        <f>IF(OR(D295="",F295=""),"",F295*I295-N(H295))</f>
        <v/>
      </c>
      <c r="K295" s="16">
        <f>IF(OR(D295="",F295=""),"",F295*IFERROR(INDEX('Sản phẩm'!$D$5:$D$304,MATCH(D295,'Sản phẩm'!$A$5:$A$304,0)),""))</f>
        <v/>
      </c>
      <c r="L295" s="16">
        <f>IF(J295="","",J295-K295)</f>
        <v/>
      </c>
      <c r="M295" s="14">
        <f>IF(A295="","",MONTH(A295))</f>
        <v/>
      </c>
      <c r="N295" s="14">
        <f>IF(A295="","",YEAR(A295))</f>
        <v/>
      </c>
    </row>
    <row r="296">
      <c r="A296" s="15" t="n"/>
      <c r="B296" s="10" t="n"/>
      <c r="C296" s="10" t="n"/>
      <c r="D296" s="10" t="n"/>
      <c r="E296" s="14">
        <f>IF(D296="","",IFERROR(INDEX('Sản phẩm'!$B$5:$B$304,MATCH(D296,'Sản phẩm'!$A$5:$A$304,0)),""))</f>
        <v/>
      </c>
      <c r="F296" s="12" t="n"/>
      <c r="G296" s="11" t="n"/>
      <c r="H296" s="11" t="n"/>
      <c r="I296" s="16">
        <f>IF(D296="","",IF(G296&lt;&gt;"",G296,IFERROR(INDEX('Sản phẩm'!$E$5:$E$304,MATCH(D296,'Sản phẩm'!$A$5:$A$304,0)),"")))</f>
        <v/>
      </c>
      <c r="J296" s="16">
        <f>IF(OR(D296="",F296=""),"",F296*I296-N(H296))</f>
        <v/>
      </c>
      <c r="K296" s="16">
        <f>IF(OR(D296="",F296=""),"",F296*IFERROR(INDEX('Sản phẩm'!$D$5:$D$304,MATCH(D296,'Sản phẩm'!$A$5:$A$304,0)),""))</f>
        <v/>
      </c>
      <c r="L296" s="16">
        <f>IF(J296="","",J296-K296)</f>
        <v/>
      </c>
      <c r="M296" s="14">
        <f>IF(A296="","",MONTH(A296))</f>
        <v/>
      </c>
      <c r="N296" s="14">
        <f>IF(A296="","",YEAR(A296))</f>
        <v/>
      </c>
    </row>
    <row r="297">
      <c r="A297" s="15" t="n"/>
      <c r="B297" s="10" t="n"/>
      <c r="C297" s="10" t="n"/>
      <c r="D297" s="10" t="n"/>
      <c r="E297" s="14">
        <f>IF(D297="","",IFERROR(INDEX('Sản phẩm'!$B$5:$B$304,MATCH(D297,'Sản phẩm'!$A$5:$A$304,0)),""))</f>
        <v/>
      </c>
      <c r="F297" s="12" t="n"/>
      <c r="G297" s="11" t="n"/>
      <c r="H297" s="11" t="n"/>
      <c r="I297" s="16">
        <f>IF(D297="","",IF(G297&lt;&gt;"",G297,IFERROR(INDEX('Sản phẩm'!$E$5:$E$304,MATCH(D297,'Sản phẩm'!$A$5:$A$304,0)),"")))</f>
        <v/>
      </c>
      <c r="J297" s="16">
        <f>IF(OR(D297="",F297=""),"",F297*I297-N(H297))</f>
        <v/>
      </c>
      <c r="K297" s="16">
        <f>IF(OR(D297="",F297=""),"",F297*IFERROR(INDEX('Sản phẩm'!$D$5:$D$304,MATCH(D297,'Sản phẩm'!$A$5:$A$304,0)),""))</f>
        <v/>
      </c>
      <c r="L297" s="16">
        <f>IF(J297="","",J297-K297)</f>
        <v/>
      </c>
      <c r="M297" s="14">
        <f>IF(A297="","",MONTH(A297))</f>
        <v/>
      </c>
      <c r="N297" s="14">
        <f>IF(A297="","",YEAR(A297))</f>
        <v/>
      </c>
    </row>
    <row r="298">
      <c r="A298" s="15" t="n"/>
      <c r="B298" s="10" t="n"/>
      <c r="C298" s="10" t="n"/>
      <c r="D298" s="10" t="n"/>
      <c r="E298" s="14">
        <f>IF(D298="","",IFERROR(INDEX('Sản phẩm'!$B$5:$B$304,MATCH(D298,'Sản phẩm'!$A$5:$A$304,0)),""))</f>
        <v/>
      </c>
      <c r="F298" s="12" t="n"/>
      <c r="G298" s="11" t="n"/>
      <c r="H298" s="11" t="n"/>
      <c r="I298" s="16">
        <f>IF(D298="","",IF(G298&lt;&gt;"",G298,IFERROR(INDEX('Sản phẩm'!$E$5:$E$304,MATCH(D298,'Sản phẩm'!$A$5:$A$304,0)),"")))</f>
        <v/>
      </c>
      <c r="J298" s="16">
        <f>IF(OR(D298="",F298=""),"",F298*I298-N(H298))</f>
        <v/>
      </c>
      <c r="K298" s="16">
        <f>IF(OR(D298="",F298=""),"",F298*IFERROR(INDEX('Sản phẩm'!$D$5:$D$304,MATCH(D298,'Sản phẩm'!$A$5:$A$304,0)),""))</f>
        <v/>
      </c>
      <c r="L298" s="16">
        <f>IF(J298="","",J298-K298)</f>
        <v/>
      </c>
      <c r="M298" s="14">
        <f>IF(A298="","",MONTH(A298))</f>
        <v/>
      </c>
      <c r="N298" s="14">
        <f>IF(A298="","",YEAR(A298))</f>
        <v/>
      </c>
    </row>
    <row r="299">
      <c r="A299" s="15" t="n"/>
      <c r="B299" s="10" t="n"/>
      <c r="C299" s="10" t="n"/>
      <c r="D299" s="10" t="n"/>
      <c r="E299" s="14">
        <f>IF(D299="","",IFERROR(INDEX('Sản phẩm'!$B$5:$B$304,MATCH(D299,'Sản phẩm'!$A$5:$A$304,0)),""))</f>
        <v/>
      </c>
      <c r="F299" s="12" t="n"/>
      <c r="G299" s="11" t="n"/>
      <c r="H299" s="11" t="n"/>
      <c r="I299" s="16">
        <f>IF(D299="","",IF(G299&lt;&gt;"",G299,IFERROR(INDEX('Sản phẩm'!$E$5:$E$304,MATCH(D299,'Sản phẩm'!$A$5:$A$304,0)),"")))</f>
        <v/>
      </c>
      <c r="J299" s="16">
        <f>IF(OR(D299="",F299=""),"",F299*I299-N(H299))</f>
        <v/>
      </c>
      <c r="K299" s="16">
        <f>IF(OR(D299="",F299=""),"",F299*IFERROR(INDEX('Sản phẩm'!$D$5:$D$304,MATCH(D299,'Sản phẩm'!$A$5:$A$304,0)),""))</f>
        <v/>
      </c>
      <c r="L299" s="16">
        <f>IF(J299="","",J299-K299)</f>
        <v/>
      </c>
      <c r="M299" s="14">
        <f>IF(A299="","",MONTH(A299))</f>
        <v/>
      </c>
      <c r="N299" s="14">
        <f>IF(A299="","",YEAR(A299))</f>
        <v/>
      </c>
    </row>
    <row r="300">
      <c r="A300" s="15" t="n"/>
      <c r="B300" s="10" t="n"/>
      <c r="C300" s="10" t="n"/>
      <c r="D300" s="10" t="n"/>
      <c r="E300" s="14">
        <f>IF(D300="","",IFERROR(INDEX('Sản phẩm'!$B$5:$B$304,MATCH(D300,'Sản phẩm'!$A$5:$A$304,0)),""))</f>
        <v/>
      </c>
      <c r="F300" s="12" t="n"/>
      <c r="G300" s="11" t="n"/>
      <c r="H300" s="11" t="n"/>
      <c r="I300" s="16">
        <f>IF(D300="","",IF(G300&lt;&gt;"",G300,IFERROR(INDEX('Sản phẩm'!$E$5:$E$304,MATCH(D300,'Sản phẩm'!$A$5:$A$304,0)),"")))</f>
        <v/>
      </c>
      <c r="J300" s="16">
        <f>IF(OR(D300="",F300=""),"",F300*I300-N(H300))</f>
        <v/>
      </c>
      <c r="K300" s="16">
        <f>IF(OR(D300="",F300=""),"",F300*IFERROR(INDEX('Sản phẩm'!$D$5:$D$304,MATCH(D300,'Sản phẩm'!$A$5:$A$304,0)),""))</f>
        <v/>
      </c>
      <c r="L300" s="16">
        <f>IF(J300="","",J300-K300)</f>
        <v/>
      </c>
      <c r="M300" s="14">
        <f>IF(A300="","",MONTH(A300))</f>
        <v/>
      </c>
      <c r="N300" s="14">
        <f>IF(A300="","",YEAR(A300))</f>
        <v/>
      </c>
    </row>
    <row r="301">
      <c r="A301" s="15" t="n"/>
      <c r="B301" s="10" t="n"/>
      <c r="C301" s="10" t="n"/>
      <c r="D301" s="10" t="n"/>
      <c r="E301" s="14">
        <f>IF(D301="","",IFERROR(INDEX('Sản phẩm'!$B$5:$B$304,MATCH(D301,'Sản phẩm'!$A$5:$A$304,0)),""))</f>
        <v/>
      </c>
      <c r="F301" s="12" t="n"/>
      <c r="G301" s="11" t="n"/>
      <c r="H301" s="11" t="n"/>
      <c r="I301" s="16">
        <f>IF(D301="","",IF(G301&lt;&gt;"",G301,IFERROR(INDEX('Sản phẩm'!$E$5:$E$304,MATCH(D301,'Sản phẩm'!$A$5:$A$304,0)),"")))</f>
        <v/>
      </c>
      <c r="J301" s="16">
        <f>IF(OR(D301="",F301=""),"",F301*I301-N(H301))</f>
        <v/>
      </c>
      <c r="K301" s="16">
        <f>IF(OR(D301="",F301=""),"",F301*IFERROR(INDEX('Sản phẩm'!$D$5:$D$304,MATCH(D301,'Sản phẩm'!$A$5:$A$304,0)),""))</f>
        <v/>
      </c>
      <c r="L301" s="16">
        <f>IF(J301="","",J301-K301)</f>
        <v/>
      </c>
      <c r="M301" s="14">
        <f>IF(A301="","",MONTH(A301))</f>
        <v/>
      </c>
      <c r="N301" s="14">
        <f>IF(A301="","",YEAR(A301))</f>
        <v/>
      </c>
    </row>
    <row r="302">
      <c r="A302" s="15" t="n"/>
      <c r="B302" s="10" t="n"/>
      <c r="C302" s="10" t="n"/>
      <c r="D302" s="10" t="n"/>
      <c r="E302" s="14">
        <f>IF(D302="","",IFERROR(INDEX('Sản phẩm'!$B$5:$B$304,MATCH(D302,'Sản phẩm'!$A$5:$A$304,0)),""))</f>
        <v/>
      </c>
      <c r="F302" s="12" t="n"/>
      <c r="G302" s="11" t="n"/>
      <c r="H302" s="11" t="n"/>
      <c r="I302" s="16">
        <f>IF(D302="","",IF(G302&lt;&gt;"",G302,IFERROR(INDEX('Sản phẩm'!$E$5:$E$304,MATCH(D302,'Sản phẩm'!$A$5:$A$304,0)),"")))</f>
        <v/>
      </c>
      <c r="J302" s="16">
        <f>IF(OR(D302="",F302=""),"",F302*I302-N(H302))</f>
        <v/>
      </c>
      <c r="K302" s="16">
        <f>IF(OR(D302="",F302=""),"",F302*IFERROR(INDEX('Sản phẩm'!$D$5:$D$304,MATCH(D302,'Sản phẩm'!$A$5:$A$304,0)),""))</f>
        <v/>
      </c>
      <c r="L302" s="16">
        <f>IF(J302="","",J302-K302)</f>
        <v/>
      </c>
      <c r="M302" s="14">
        <f>IF(A302="","",MONTH(A302))</f>
        <v/>
      </c>
      <c r="N302" s="14">
        <f>IF(A302="","",YEAR(A302))</f>
        <v/>
      </c>
    </row>
    <row r="303">
      <c r="A303" s="15" t="n"/>
      <c r="B303" s="10" t="n"/>
      <c r="C303" s="10" t="n"/>
      <c r="D303" s="10" t="n"/>
      <c r="E303" s="14">
        <f>IF(D303="","",IFERROR(INDEX('Sản phẩm'!$B$5:$B$304,MATCH(D303,'Sản phẩm'!$A$5:$A$304,0)),""))</f>
        <v/>
      </c>
      <c r="F303" s="12" t="n"/>
      <c r="G303" s="11" t="n"/>
      <c r="H303" s="11" t="n"/>
      <c r="I303" s="16">
        <f>IF(D303="","",IF(G303&lt;&gt;"",G303,IFERROR(INDEX('Sản phẩm'!$E$5:$E$304,MATCH(D303,'Sản phẩm'!$A$5:$A$304,0)),"")))</f>
        <v/>
      </c>
      <c r="J303" s="16">
        <f>IF(OR(D303="",F303=""),"",F303*I303-N(H303))</f>
        <v/>
      </c>
      <c r="K303" s="16">
        <f>IF(OR(D303="",F303=""),"",F303*IFERROR(INDEX('Sản phẩm'!$D$5:$D$304,MATCH(D303,'Sản phẩm'!$A$5:$A$304,0)),""))</f>
        <v/>
      </c>
      <c r="L303" s="16">
        <f>IF(J303="","",J303-K303)</f>
        <v/>
      </c>
      <c r="M303" s="14">
        <f>IF(A303="","",MONTH(A303))</f>
        <v/>
      </c>
      <c r="N303" s="14">
        <f>IF(A303="","",YEAR(A303))</f>
        <v/>
      </c>
    </row>
    <row r="304">
      <c r="A304" s="15" t="n"/>
      <c r="B304" s="10" t="n"/>
      <c r="C304" s="10" t="n"/>
      <c r="D304" s="10" t="n"/>
      <c r="E304" s="14">
        <f>IF(D304="","",IFERROR(INDEX('Sản phẩm'!$B$5:$B$304,MATCH(D304,'Sản phẩm'!$A$5:$A$304,0)),""))</f>
        <v/>
      </c>
      <c r="F304" s="12" t="n"/>
      <c r="G304" s="11" t="n"/>
      <c r="H304" s="11" t="n"/>
      <c r="I304" s="16">
        <f>IF(D304="","",IF(G304&lt;&gt;"",G304,IFERROR(INDEX('Sản phẩm'!$E$5:$E$304,MATCH(D304,'Sản phẩm'!$A$5:$A$304,0)),"")))</f>
        <v/>
      </c>
      <c r="J304" s="16">
        <f>IF(OR(D304="",F304=""),"",F304*I304-N(H304))</f>
        <v/>
      </c>
      <c r="K304" s="16">
        <f>IF(OR(D304="",F304=""),"",F304*IFERROR(INDEX('Sản phẩm'!$D$5:$D$304,MATCH(D304,'Sản phẩm'!$A$5:$A$304,0)),""))</f>
        <v/>
      </c>
      <c r="L304" s="16">
        <f>IF(J304="","",J304-K304)</f>
        <v/>
      </c>
      <c r="M304" s="14">
        <f>IF(A304="","",MONTH(A304))</f>
        <v/>
      </c>
      <c r="N304" s="14">
        <f>IF(A304="","",YEAR(A304))</f>
        <v/>
      </c>
    </row>
    <row r="305">
      <c r="A305" s="15" t="n"/>
      <c r="B305" s="10" t="n"/>
      <c r="C305" s="10" t="n"/>
      <c r="D305" s="10" t="n"/>
      <c r="E305" s="14">
        <f>IF(D305="","",IFERROR(INDEX('Sản phẩm'!$B$5:$B$304,MATCH(D305,'Sản phẩm'!$A$5:$A$304,0)),""))</f>
        <v/>
      </c>
      <c r="F305" s="12" t="n"/>
      <c r="G305" s="11" t="n"/>
      <c r="H305" s="11" t="n"/>
      <c r="I305" s="16">
        <f>IF(D305="","",IF(G305&lt;&gt;"",G305,IFERROR(INDEX('Sản phẩm'!$E$5:$E$304,MATCH(D305,'Sản phẩm'!$A$5:$A$304,0)),"")))</f>
        <v/>
      </c>
      <c r="J305" s="16">
        <f>IF(OR(D305="",F305=""),"",F305*I305-N(H305))</f>
        <v/>
      </c>
      <c r="K305" s="16">
        <f>IF(OR(D305="",F305=""),"",F305*IFERROR(INDEX('Sản phẩm'!$D$5:$D$304,MATCH(D305,'Sản phẩm'!$A$5:$A$304,0)),""))</f>
        <v/>
      </c>
      <c r="L305" s="16">
        <f>IF(J305="","",J305-K305)</f>
        <v/>
      </c>
      <c r="M305" s="14">
        <f>IF(A305="","",MONTH(A305))</f>
        <v/>
      </c>
      <c r="N305" s="14">
        <f>IF(A305="","",YEAR(A305))</f>
        <v/>
      </c>
    </row>
    <row r="306">
      <c r="A306" s="15" t="n"/>
      <c r="B306" s="10" t="n"/>
      <c r="C306" s="10" t="n"/>
      <c r="D306" s="10" t="n"/>
      <c r="E306" s="14">
        <f>IF(D306="","",IFERROR(INDEX('Sản phẩm'!$B$5:$B$304,MATCH(D306,'Sản phẩm'!$A$5:$A$304,0)),""))</f>
        <v/>
      </c>
      <c r="F306" s="12" t="n"/>
      <c r="G306" s="11" t="n"/>
      <c r="H306" s="11" t="n"/>
      <c r="I306" s="16">
        <f>IF(D306="","",IF(G306&lt;&gt;"",G306,IFERROR(INDEX('Sản phẩm'!$E$5:$E$304,MATCH(D306,'Sản phẩm'!$A$5:$A$304,0)),"")))</f>
        <v/>
      </c>
      <c r="J306" s="16">
        <f>IF(OR(D306="",F306=""),"",F306*I306-N(H306))</f>
        <v/>
      </c>
      <c r="K306" s="16">
        <f>IF(OR(D306="",F306=""),"",F306*IFERROR(INDEX('Sản phẩm'!$D$5:$D$304,MATCH(D306,'Sản phẩm'!$A$5:$A$304,0)),""))</f>
        <v/>
      </c>
      <c r="L306" s="16">
        <f>IF(J306="","",J306-K306)</f>
        <v/>
      </c>
      <c r="M306" s="14">
        <f>IF(A306="","",MONTH(A306))</f>
        <v/>
      </c>
      <c r="N306" s="14">
        <f>IF(A306="","",YEAR(A306))</f>
        <v/>
      </c>
    </row>
    <row r="307">
      <c r="A307" s="15" t="n"/>
      <c r="B307" s="10" t="n"/>
      <c r="C307" s="10" t="n"/>
      <c r="D307" s="10" t="n"/>
      <c r="E307" s="14">
        <f>IF(D307="","",IFERROR(INDEX('Sản phẩm'!$B$5:$B$304,MATCH(D307,'Sản phẩm'!$A$5:$A$304,0)),""))</f>
        <v/>
      </c>
      <c r="F307" s="12" t="n"/>
      <c r="G307" s="11" t="n"/>
      <c r="H307" s="11" t="n"/>
      <c r="I307" s="16">
        <f>IF(D307="","",IF(G307&lt;&gt;"",G307,IFERROR(INDEX('Sản phẩm'!$E$5:$E$304,MATCH(D307,'Sản phẩm'!$A$5:$A$304,0)),"")))</f>
        <v/>
      </c>
      <c r="J307" s="16">
        <f>IF(OR(D307="",F307=""),"",F307*I307-N(H307))</f>
        <v/>
      </c>
      <c r="K307" s="16">
        <f>IF(OR(D307="",F307=""),"",F307*IFERROR(INDEX('Sản phẩm'!$D$5:$D$304,MATCH(D307,'Sản phẩm'!$A$5:$A$304,0)),""))</f>
        <v/>
      </c>
      <c r="L307" s="16">
        <f>IF(J307="","",J307-K307)</f>
        <v/>
      </c>
      <c r="M307" s="14">
        <f>IF(A307="","",MONTH(A307))</f>
        <v/>
      </c>
      <c r="N307" s="14">
        <f>IF(A307="","",YEAR(A307))</f>
        <v/>
      </c>
    </row>
    <row r="308">
      <c r="A308" s="15" t="n"/>
      <c r="B308" s="10" t="n"/>
      <c r="C308" s="10" t="n"/>
      <c r="D308" s="10" t="n"/>
      <c r="E308" s="14">
        <f>IF(D308="","",IFERROR(INDEX('Sản phẩm'!$B$5:$B$304,MATCH(D308,'Sản phẩm'!$A$5:$A$304,0)),""))</f>
        <v/>
      </c>
      <c r="F308" s="12" t="n"/>
      <c r="G308" s="11" t="n"/>
      <c r="H308" s="11" t="n"/>
      <c r="I308" s="16">
        <f>IF(D308="","",IF(G308&lt;&gt;"",G308,IFERROR(INDEX('Sản phẩm'!$E$5:$E$304,MATCH(D308,'Sản phẩm'!$A$5:$A$304,0)),"")))</f>
        <v/>
      </c>
      <c r="J308" s="16">
        <f>IF(OR(D308="",F308=""),"",F308*I308-N(H308))</f>
        <v/>
      </c>
      <c r="K308" s="16">
        <f>IF(OR(D308="",F308=""),"",F308*IFERROR(INDEX('Sản phẩm'!$D$5:$D$304,MATCH(D308,'Sản phẩm'!$A$5:$A$304,0)),""))</f>
        <v/>
      </c>
      <c r="L308" s="16">
        <f>IF(J308="","",J308-K308)</f>
        <v/>
      </c>
      <c r="M308" s="14">
        <f>IF(A308="","",MONTH(A308))</f>
        <v/>
      </c>
      <c r="N308" s="14">
        <f>IF(A308="","",YEAR(A308))</f>
        <v/>
      </c>
    </row>
    <row r="309">
      <c r="A309" s="15" t="n"/>
      <c r="B309" s="10" t="n"/>
      <c r="C309" s="10" t="n"/>
      <c r="D309" s="10" t="n"/>
      <c r="E309" s="14">
        <f>IF(D309="","",IFERROR(INDEX('Sản phẩm'!$B$5:$B$304,MATCH(D309,'Sản phẩm'!$A$5:$A$304,0)),""))</f>
        <v/>
      </c>
      <c r="F309" s="12" t="n"/>
      <c r="G309" s="11" t="n"/>
      <c r="H309" s="11" t="n"/>
      <c r="I309" s="16">
        <f>IF(D309="","",IF(G309&lt;&gt;"",G309,IFERROR(INDEX('Sản phẩm'!$E$5:$E$304,MATCH(D309,'Sản phẩm'!$A$5:$A$304,0)),"")))</f>
        <v/>
      </c>
      <c r="J309" s="16">
        <f>IF(OR(D309="",F309=""),"",F309*I309-N(H309))</f>
        <v/>
      </c>
      <c r="K309" s="16">
        <f>IF(OR(D309="",F309=""),"",F309*IFERROR(INDEX('Sản phẩm'!$D$5:$D$304,MATCH(D309,'Sản phẩm'!$A$5:$A$304,0)),""))</f>
        <v/>
      </c>
      <c r="L309" s="16">
        <f>IF(J309="","",J309-K309)</f>
        <v/>
      </c>
      <c r="M309" s="14">
        <f>IF(A309="","",MONTH(A309))</f>
        <v/>
      </c>
      <c r="N309" s="14">
        <f>IF(A309="","",YEAR(A309))</f>
        <v/>
      </c>
    </row>
    <row r="310">
      <c r="A310" s="15" t="n"/>
      <c r="B310" s="10" t="n"/>
      <c r="C310" s="10" t="n"/>
      <c r="D310" s="10" t="n"/>
      <c r="E310" s="14">
        <f>IF(D310="","",IFERROR(INDEX('Sản phẩm'!$B$5:$B$304,MATCH(D310,'Sản phẩm'!$A$5:$A$304,0)),""))</f>
        <v/>
      </c>
      <c r="F310" s="12" t="n"/>
      <c r="G310" s="11" t="n"/>
      <c r="H310" s="11" t="n"/>
      <c r="I310" s="16">
        <f>IF(D310="","",IF(G310&lt;&gt;"",G310,IFERROR(INDEX('Sản phẩm'!$E$5:$E$304,MATCH(D310,'Sản phẩm'!$A$5:$A$304,0)),"")))</f>
        <v/>
      </c>
      <c r="J310" s="16">
        <f>IF(OR(D310="",F310=""),"",F310*I310-N(H310))</f>
        <v/>
      </c>
      <c r="K310" s="16">
        <f>IF(OR(D310="",F310=""),"",F310*IFERROR(INDEX('Sản phẩm'!$D$5:$D$304,MATCH(D310,'Sản phẩm'!$A$5:$A$304,0)),""))</f>
        <v/>
      </c>
      <c r="L310" s="16">
        <f>IF(J310="","",J310-K310)</f>
        <v/>
      </c>
      <c r="M310" s="14">
        <f>IF(A310="","",MONTH(A310))</f>
        <v/>
      </c>
      <c r="N310" s="14">
        <f>IF(A310="","",YEAR(A310))</f>
        <v/>
      </c>
    </row>
    <row r="311">
      <c r="A311" s="15" t="n"/>
      <c r="B311" s="10" t="n"/>
      <c r="C311" s="10" t="n"/>
      <c r="D311" s="10" t="n"/>
      <c r="E311" s="14">
        <f>IF(D311="","",IFERROR(INDEX('Sản phẩm'!$B$5:$B$304,MATCH(D311,'Sản phẩm'!$A$5:$A$304,0)),""))</f>
        <v/>
      </c>
      <c r="F311" s="12" t="n"/>
      <c r="G311" s="11" t="n"/>
      <c r="H311" s="11" t="n"/>
      <c r="I311" s="16">
        <f>IF(D311="","",IF(G311&lt;&gt;"",G311,IFERROR(INDEX('Sản phẩm'!$E$5:$E$304,MATCH(D311,'Sản phẩm'!$A$5:$A$304,0)),"")))</f>
        <v/>
      </c>
      <c r="J311" s="16">
        <f>IF(OR(D311="",F311=""),"",F311*I311-N(H311))</f>
        <v/>
      </c>
      <c r="K311" s="16">
        <f>IF(OR(D311="",F311=""),"",F311*IFERROR(INDEX('Sản phẩm'!$D$5:$D$304,MATCH(D311,'Sản phẩm'!$A$5:$A$304,0)),""))</f>
        <v/>
      </c>
      <c r="L311" s="16">
        <f>IF(J311="","",J311-K311)</f>
        <v/>
      </c>
      <c r="M311" s="14">
        <f>IF(A311="","",MONTH(A311))</f>
        <v/>
      </c>
      <c r="N311" s="14">
        <f>IF(A311="","",YEAR(A311))</f>
        <v/>
      </c>
    </row>
    <row r="312">
      <c r="A312" s="15" t="n"/>
      <c r="B312" s="10" t="n"/>
      <c r="C312" s="10" t="n"/>
      <c r="D312" s="10" t="n"/>
      <c r="E312" s="14">
        <f>IF(D312="","",IFERROR(INDEX('Sản phẩm'!$B$5:$B$304,MATCH(D312,'Sản phẩm'!$A$5:$A$304,0)),""))</f>
        <v/>
      </c>
      <c r="F312" s="12" t="n"/>
      <c r="G312" s="11" t="n"/>
      <c r="H312" s="11" t="n"/>
      <c r="I312" s="16">
        <f>IF(D312="","",IF(G312&lt;&gt;"",G312,IFERROR(INDEX('Sản phẩm'!$E$5:$E$304,MATCH(D312,'Sản phẩm'!$A$5:$A$304,0)),"")))</f>
        <v/>
      </c>
      <c r="J312" s="16">
        <f>IF(OR(D312="",F312=""),"",F312*I312-N(H312))</f>
        <v/>
      </c>
      <c r="K312" s="16">
        <f>IF(OR(D312="",F312=""),"",F312*IFERROR(INDEX('Sản phẩm'!$D$5:$D$304,MATCH(D312,'Sản phẩm'!$A$5:$A$304,0)),""))</f>
        <v/>
      </c>
      <c r="L312" s="16">
        <f>IF(J312="","",J312-K312)</f>
        <v/>
      </c>
      <c r="M312" s="14">
        <f>IF(A312="","",MONTH(A312))</f>
        <v/>
      </c>
      <c r="N312" s="14">
        <f>IF(A312="","",YEAR(A312))</f>
        <v/>
      </c>
    </row>
    <row r="313">
      <c r="A313" s="15" t="n"/>
      <c r="B313" s="10" t="n"/>
      <c r="C313" s="10" t="n"/>
      <c r="D313" s="10" t="n"/>
      <c r="E313" s="14">
        <f>IF(D313="","",IFERROR(INDEX('Sản phẩm'!$B$5:$B$304,MATCH(D313,'Sản phẩm'!$A$5:$A$304,0)),""))</f>
        <v/>
      </c>
      <c r="F313" s="12" t="n"/>
      <c r="G313" s="11" t="n"/>
      <c r="H313" s="11" t="n"/>
      <c r="I313" s="16">
        <f>IF(D313="","",IF(G313&lt;&gt;"",G313,IFERROR(INDEX('Sản phẩm'!$E$5:$E$304,MATCH(D313,'Sản phẩm'!$A$5:$A$304,0)),"")))</f>
        <v/>
      </c>
      <c r="J313" s="16">
        <f>IF(OR(D313="",F313=""),"",F313*I313-N(H313))</f>
        <v/>
      </c>
      <c r="K313" s="16">
        <f>IF(OR(D313="",F313=""),"",F313*IFERROR(INDEX('Sản phẩm'!$D$5:$D$304,MATCH(D313,'Sản phẩm'!$A$5:$A$304,0)),""))</f>
        <v/>
      </c>
      <c r="L313" s="16">
        <f>IF(J313="","",J313-K313)</f>
        <v/>
      </c>
      <c r="M313" s="14">
        <f>IF(A313="","",MONTH(A313))</f>
        <v/>
      </c>
      <c r="N313" s="14">
        <f>IF(A313="","",YEAR(A313))</f>
        <v/>
      </c>
    </row>
    <row r="314">
      <c r="A314" s="15" t="n"/>
      <c r="B314" s="10" t="n"/>
      <c r="C314" s="10" t="n"/>
      <c r="D314" s="10" t="n"/>
      <c r="E314" s="14">
        <f>IF(D314="","",IFERROR(INDEX('Sản phẩm'!$B$5:$B$304,MATCH(D314,'Sản phẩm'!$A$5:$A$304,0)),""))</f>
        <v/>
      </c>
      <c r="F314" s="12" t="n"/>
      <c r="G314" s="11" t="n"/>
      <c r="H314" s="11" t="n"/>
      <c r="I314" s="16">
        <f>IF(D314="","",IF(G314&lt;&gt;"",G314,IFERROR(INDEX('Sản phẩm'!$E$5:$E$304,MATCH(D314,'Sản phẩm'!$A$5:$A$304,0)),"")))</f>
        <v/>
      </c>
      <c r="J314" s="16">
        <f>IF(OR(D314="",F314=""),"",F314*I314-N(H314))</f>
        <v/>
      </c>
      <c r="K314" s="16">
        <f>IF(OR(D314="",F314=""),"",F314*IFERROR(INDEX('Sản phẩm'!$D$5:$D$304,MATCH(D314,'Sản phẩm'!$A$5:$A$304,0)),""))</f>
        <v/>
      </c>
      <c r="L314" s="16">
        <f>IF(J314="","",J314-K314)</f>
        <v/>
      </c>
      <c r="M314" s="14">
        <f>IF(A314="","",MONTH(A314))</f>
        <v/>
      </c>
      <c r="N314" s="14">
        <f>IF(A314="","",YEAR(A314))</f>
        <v/>
      </c>
    </row>
    <row r="315">
      <c r="A315" s="15" t="n"/>
      <c r="B315" s="10" t="n"/>
      <c r="C315" s="10" t="n"/>
      <c r="D315" s="10" t="n"/>
      <c r="E315" s="14">
        <f>IF(D315="","",IFERROR(INDEX('Sản phẩm'!$B$5:$B$304,MATCH(D315,'Sản phẩm'!$A$5:$A$304,0)),""))</f>
        <v/>
      </c>
      <c r="F315" s="12" t="n"/>
      <c r="G315" s="11" t="n"/>
      <c r="H315" s="11" t="n"/>
      <c r="I315" s="16">
        <f>IF(D315="","",IF(G315&lt;&gt;"",G315,IFERROR(INDEX('Sản phẩm'!$E$5:$E$304,MATCH(D315,'Sản phẩm'!$A$5:$A$304,0)),"")))</f>
        <v/>
      </c>
      <c r="J315" s="16">
        <f>IF(OR(D315="",F315=""),"",F315*I315-N(H315))</f>
        <v/>
      </c>
      <c r="K315" s="16">
        <f>IF(OR(D315="",F315=""),"",F315*IFERROR(INDEX('Sản phẩm'!$D$5:$D$304,MATCH(D315,'Sản phẩm'!$A$5:$A$304,0)),""))</f>
        <v/>
      </c>
      <c r="L315" s="16">
        <f>IF(J315="","",J315-K315)</f>
        <v/>
      </c>
      <c r="M315" s="14">
        <f>IF(A315="","",MONTH(A315))</f>
        <v/>
      </c>
      <c r="N315" s="14">
        <f>IF(A315="","",YEAR(A315))</f>
        <v/>
      </c>
    </row>
    <row r="316">
      <c r="A316" s="15" t="n"/>
      <c r="B316" s="10" t="n"/>
      <c r="C316" s="10" t="n"/>
      <c r="D316" s="10" t="n"/>
      <c r="E316" s="14">
        <f>IF(D316="","",IFERROR(INDEX('Sản phẩm'!$B$5:$B$304,MATCH(D316,'Sản phẩm'!$A$5:$A$304,0)),""))</f>
        <v/>
      </c>
      <c r="F316" s="12" t="n"/>
      <c r="G316" s="11" t="n"/>
      <c r="H316" s="11" t="n"/>
      <c r="I316" s="16">
        <f>IF(D316="","",IF(G316&lt;&gt;"",G316,IFERROR(INDEX('Sản phẩm'!$E$5:$E$304,MATCH(D316,'Sản phẩm'!$A$5:$A$304,0)),"")))</f>
        <v/>
      </c>
      <c r="J316" s="16">
        <f>IF(OR(D316="",F316=""),"",F316*I316-N(H316))</f>
        <v/>
      </c>
      <c r="K316" s="16">
        <f>IF(OR(D316="",F316=""),"",F316*IFERROR(INDEX('Sản phẩm'!$D$5:$D$304,MATCH(D316,'Sản phẩm'!$A$5:$A$304,0)),""))</f>
        <v/>
      </c>
      <c r="L316" s="16">
        <f>IF(J316="","",J316-K316)</f>
        <v/>
      </c>
      <c r="M316" s="14">
        <f>IF(A316="","",MONTH(A316))</f>
        <v/>
      </c>
      <c r="N316" s="14">
        <f>IF(A316="","",YEAR(A316))</f>
        <v/>
      </c>
    </row>
    <row r="317">
      <c r="A317" s="15" t="n"/>
      <c r="B317" s="10" t="n"/>
      <c r="C317" s="10" t="n"/>
      <c r="D317" s="10" t="n"/>
      <c r="E317" s="14">
        <f>IF(D317="","",IFERROR(INDEX('Sản phẩm'!$B$5:$B$304,MATCH(D317,'Sản phẩm'!$A$5:$A$304,0)),""))</f>
        <v/>
      </c>
      <c r="F317" s="12" t="n"/>
      <c r="G317" s="11" t="n"/>
      <c r="H317" s="11" t="n"/>
      <c r="I317" s="16">
        <f>IF(D317="","",IF(G317&lt;&gt;"",G317,IFERROR(INDEX('Sản phẩm'!$E$5:$E$304,MATCH(D317,'Sản phẩm'!$A$5:$A$304,0)),"")))</f>
        <v/>
      </c>
      <c r="J317" s="16">
        <f>IF(OR(D317="",F317=""),"",F317*I317-N(H317))</f>
        <v/>
      </c>
      <c r="K317" s="16">
        <f>IF(OR(D317="",F317=""),"",F317*IFERROR(INDEX('Sản phẩm'!$D$5:$D$304,MATCH(D317,'Sản phẩm'!$A$5:$A$304,0)),""))</f>
        <v/>
      </c>
      <c r="L317" s="16">
        <f>IF(J317="","",J317-K317)</f>
        <v/>
      </c>
      <c r="M317" s="14">
        <f>IF(A317="","",MONTH(A317))</f>
        <v/>
      </c>
      <c r="N317" s="14">
        <f>IF(A317="","",YEAR(A317))</f>
        <v/>
      </c>
    </row>
    <row r="318">
      <c r="A318" s="15" t="n"/>
      <c r="B318" s="10" t="n"/>
      <c r="C318" s="10" t="n"/>
      <c r="D318" s="10" t="n"/>
      <c r="E318" s="14">
        <f>IF(D318="","",IFERROR(INDEX('Sản phẩm'!$B$5:$B$304,MATCH(D318,'Sản phẩm'!$A$5:$A$304,0)),""))</f>
        <v/>
      </c>
      <c r="F318" s="12" t="n"/>
      <c r="G318" s="11" t="n"/>
      <c r="H318" s="11" t="n"/>
      <c r="I318" s="16">
        <f>IF(D318="","",IF(G318&lt;&gt;"",G318,IFERROR(INDEX('Sản phẩm'!$E$5:$E$304,MATCH(D318,'Sản phẩm'!$A$5:$A$304,0)),"")))</f>
        <v/>
      </c>
      <c r="J318" s="16">
        <f>IF(OR(D318="",F318=""),"",F318*I318-N(H318))</f>
        <v/>
      </c>
      <c r="K318" s="16">
        <f>IF(OR(D318="",F318=""),"",F318*IFERROR(INDEX('Sản phẩm'!$D$5:$D$304,MATCH(D318,'Sản phẩm'!$A$5:$A$304,0)),""))</f>
        <v/>
      </c>
      <c r="L318" s="16">
        <f>IF(J318="","",J318-K318)</f>
        <v/>
      </c>
      <c r="M318" s="14">
        <f>IF(A318="","",MONTH(A318))</f>
        <v/>
      </c>
      <c r="N318" s="14">
        <f>IF(A318="","",YEAR(A318))</f>
        <v/>
      </c>
    </row>
    <row r="319">
      <c r="A319" s="15" t="n"/>
      <c r="B319" s="10" t="n"/>
      <c r="C319" s="10" t="n"/>
      <c r="D319" s="10" t="n"/>
      <c r="E319" s="14">
        <f>IF(D319="","",IFERROR(INDEX('Sản phẩm'!$B$5:$B$304,MATCH(D319,'Sản phẩm'!$A$5:$A$304,0)),""))</f>
        <v/>
      </c>
      <c r="F319" s="12" t="n"/>
      <c r="G319" s="11" t="n"/>
      <c r="H319" s="11" t="n"/>
      <c r="I319" s="16">
        <f>IF(D319="","",IF(G319&lt;&gt;"",G319,IFERROR(INDEX('Sản phẩm'!$E$5:$E$304,MATCH(D319,'Sản phẩm'!$A$5:$A$304,0)),"")))</f>
        <v/>
      </c>
      <c r="J319" s="16">
        <f>IF(OR(D319="",F319=""),"",F319*I319-N(H319))</f>
        <v/>
      </c>
      <c r="K319" s="16">
        <f>IF(OR(D319="",F319=""),"",F319*IFERROR(INDEX('Sản phẩm'!$D$5:$D$304,MATCH(D319,'Sản phẩm'!$A$5:$A$304,0)),""))</f>
        <v/>
      </c>
      <c r="L319" s="16">
        <f>IF(J319="","",J319-K319)</f>
        <v/>
      </c>
      <c r="M319" s="14">
        <f>IF(A319="","",MONTH(A319))</f>
        <v/>
      </c>
      <c r="N319" s="14">
        <f>IF(A319="","",YEAR(A319))</f>
        <v/>
      </c>
    </row>
    <row r="320">
      <c r="A320" s="15" t="n"/>
      <c r="B320" s="10" t="n"/>
      <c r="C320" s="10" t="n"/>
      <c r="D320" s="10" t="n"/>
      <c r="E320" s="14">
        <f>IF(D320="","",IFERROR(INDEX('Sản phẩm'!$B$5:$B$304,MATCH(D320,'Sản phẩm'!$A$5:$A$304,0)),""))</f>
        <v/>
      </c>
      <c r="F320" s="12" t="n"/>
      <c r="G320" s="11" t="n"/>
      <c r="H320" s="11" t="n"/>
      <c r="I320" s="16">
        <f>IF(D320="","",IF(G320&lt;&gt;"",G320,IFERROR(INDEX('Sản phẩm'!$E$5:$E$304,MATCH(D320,'Sản phẩm'!$A$5:$A$304,0)),"")))</f>
        <v/>
      </c>
      <c r="J320" s="16">
        <f>IF(OR(D320="",F320=""),"",F320*I320-N(H320))</f>
        <v/>
      </c>
      <c r="K320" s="16">
        <f>IF(OR(D320="",F320=""),"",F320*IFERROR(INDEX('Sản phẩm'!$D$5:$D$304,MATCH(D320,'Sản phẩm'!$A$5:$A$304,0)),""))</f>
        <v/>
      </c>
      <c r="L320" s="16">
        <f>IF(J320="","",J320-K320)</f>
        <v/>
      </c>
      <c r="M320" s="14">
        <f>IF(A320="","",MONTH(A320))</f>
        <v/>
      </c>
      <c r="N320" s="14">
        <f>IF(A320="","",YEAR(A320))</f>
        <v/>
      </c>
    </row>
    <row r="321">
      <c r="A321" s="15" t="n"/>
      <c r="B321" s="10" t="n"/>
      <c r="C321" s="10" t="n"/>
      <c r="D321" s="10" t="n"/>
      <c r="E321" s="14">
        <f>IF(D321="","",IFERROR(INDEX('Sản phẩm'!$B$5:$B$304,MATCH(D321,'Sản phẩm'!$A$5:$A$304,0)),""))</f>
        <v/>
      </c>
      <c r="F321" s="12" t="n"/>
      <c r="G321" s="11" t="n"/>
      <c r="H321" s="11" t="n"/>
      <c r="I321" s="16">
        <f>IF(D321="","",IF(G321&lt;&gt;"",G321,IFERROR(INDEX('Sản phẩm'!$E$5:$E$304,MATCH(D321,'Sản phẩm'!$A$5:$A$304,0)),"")))</f>
        <v/>
      </c>
      <c r="J321" s="16">
        <f>IF(OR(D321="",F321=""),"",F321*I321-N(H321))</f>
        <v/>
      </c>
      <c r="K321" s="16">
        <f>IF(OR(D321="",F321=""),"",F321*IFERROR(INDEX('Sản phẩm'!$D$5:$D$304,MATCH(D321,'Sản phẩm'!$A$5:$A$304,0)),""))</f>
        <v/>
      </c>
      <c r="L321" s="16">
        <f>IF(J321="","",J321-K321)</f>
        <v/>
      </c>
      <c r="M321" s="14">
        <f>IF(A321="","",MONTH(A321))</f>
        <v/>
      </c>
      <c r="N321" s="14">
        <f>IF(A321="","",YEAR(A321))</f>
        <v/>
      </c>
    </row>
    <row r="322">
      <c r="A322" s="15" t="n"/>
      <c r="B322" s="10" t="n"/>
      <c r="C322" s="10" t="n"/>
      <c r="D322" s="10" t="n"/>
      <c r="E322" s="14">
        <f>IF(D322="","",IFERROR(INDEX('Sản phẩm'!$B$5:$B$304,MATCH(D322,'Sản phẩm'!$A$5:$A$304,0)),""))</f>
        <v/>
      </c>
      <c r="F322" s="12" t="n"/>
      <c r="G322" s="11" t="n"/>
      <c r="H322" s="11" t="n"/>
      <c r="I322" s="16">
        <f>IF(D322="","",IF(G322&lt;&gt;"",G322,IFERROR(INDEX('Sản phẩm'!$E$5:$E$304,MATCH(D322,'Sản phẩm'!$A$5:$A$304,0)),"")))</f>
        <v/>
      </c>
      <c r="J322" s="16">
        <f>IF(OR(D322="",F322=""),"",F322*I322-N(H322))</f>
        <v/>
      </c>
      <c r="K322" s="16">
        <f>IF(OR(D322="",F322=""),"",F322*IFERROR(INDEX('Sản phẩm'!$D$5:$D$304,MATCH(D322,'Sản phẩm'!$A$5:$A$304,0)),""))</f>
        <v/>
      </c>
      <c r="L322" s="16">
        <f>IF(J322="","",J322-K322)</f>
        <v/>
      </c>
      <c r="M322" s="14">
        <f>IF(A322="","",MONTH(A322))</f>
        <v/>
      </c>
      <c r="N322" s="14">
        <f>IF(A322="","",YEAR(A322))</f>
        <v/>
      </c>
    </row>
    <row r="323">
      <c r="A323" s="15" t="n"/>
      <c r="B323" s="10" t="n"/>
      <c r="C323" s="10" t="n"/>
      <c r="D323" s="10" t="n"/>
      <c r="E323" s="14">
        <f>IF(D323="","",IFERROR(INDEX('Sản phẩm'!$B$5:$B$304,MATCH(D323,'Sản phẩm'!$A$5:$A$304,0)),""))</f>
        <v/>
      </c>
      <c r="F323" s="12" t="n"/>
      <c r="G323" s="11" t="n"/>
      <c r="H323" s="11" t="n"/>
      <c r="I323" s="16">
        <f>IF(D323="","",IF(G323&lt;&gt;"",G323,IFERROR(INDEX('Sản phẩm'!$E$5:$E$304,MATCH(D323,'Sản phẩm'!$A$5:$A$304,0)),"")))</f>
        <v/>
      </c>
      <c r="J323" s="16">
        <f>IF(OR(D323="",F323=""),"",F323*I323-N(H323))</f>
        <v/>
      </c>
      <c r="K323" s="16">
        <f>IF(OR(D323="",F323=""),"",F323*IFERROR(INDEX('Sản phẩm'!$D$5:$D$304,MATCH(D323,'Sản phẩm'!$A$5:$A$304,0)),""))</f>
        <v/>
      </c>
      <c r="L323" s="16">
        <f>IF(J323="","",J323-K323)</f>
        <v/>
      </c>
      <c r="M323" s="14">
        <f>IF(A323="","",MONTH(A323))</f>
        <v/>
      </c>
      <c r="N323" s="14">
        <f>IF(A323="","",YEAR(A323))</f>
        <v/>
      </c>
    </row>
    <row r="324">
      <c r="A324" s="15" t="n"/>
      <c r="B324" s="10" t="n"/>
      <c r="C324" s="10" t="n"/>
      <c r="D324" s="10" t="n"/>
      <c r="E324" s="14">
        <f>IF(D324="","",IFERROR(INDEX('Sản phẩm'!$B$5:$B$304,MATCH(D324,'Sản phẩm'!$A$5:$A$304,0)),""))</f>
        <v/>
      </c>
      <c r="F324" s="12" t="n"/>
      <c r="G324" s="11" t="n"/>
      <c r="H324" s="11" t="n"/>
      <c r="I324" s="16">
        <f>IF(D324="","",IF(G324&lt;&gt;"",G324,IFERROR(INDEX('Sản phẩm'!$E$5:$E$304,MATCH(D324,'Sản phẩm'!$A$5:$A$304,0)),"")))</f>
        <v/>
      </c>
      <c r="J324" s="16">
        <f>IF(OR(D324="",F324=""),"",F324*I324-N(H324))</f>
        <v/>
      </c>
      <c r="K324" s="16">
        <f>IF(OR(D324="",F324=""),"",F324*IFERROR(INDEX('Sản phẩm'!$D$5:$D$304,MATCH(D324,'Sản phẩm'!$A$5:$A$304,0)),""))</f>
        <v/>
      </c>
      <c r="L324" s="16">
        <f>IF(J324="","",J324-K324)</f>
        <v/>
      </c>
      <c r="M324" s="14">
        <f>IF(A324="","",MONTH(A324))</f>
        <v/>
      </c>
      <c r="N324" s="14">
        <f>IF(A324="","",YEAR(A324))</f>
        <v/>
      </c>
    </row>
    <row r="325">
      <c r="A325" s="15" t="n"/>
      <c r="B325" s="10" t="n"/>
      <c r="C325" s="10" t="n"/>
      <c r="D325" s="10" t="n"/>
      <c r="E325" s="14">
        <f>IF(D325="","",IFERROR(INDEX('Sản phẩm'!$B$5:$B$304,MATCH(D325,'Sản phẩm'!$A$5:$A$304,0)),""))</f>
        <v/>
      </c>
      <c r="F325" s="12" t="n"/>
      <c r="G325" s="11" t="n"/>
      <c r="H325" s="11" t="n"/>
      <c r="I325" s="16">
        <f>IF(D325="","",IF(G325&lt;&gt;"",G325,IFERROR(INDEX('Sản phẩm'!$E$5:$E$304,MATCH(D325,'Sản phẩm'!$A$5:$A$304,0)),"")))</f>
        <v/>
      </c>
      <c r="J325" s="16">
        <f>IF(OR(D325="",F325=""),"",F325*I325-N(H325))</f>
        <v/>
      </c>
      <c r="K325" s="16">
        <f>IF(OR(D325="",F325=""),"",F325*IFERROR(INDEX('Sản phẩm'!$D$5:$D$304,MATCH(D325,'Sản phẩm'!$A$5:$A$304,0)),""))</f>
        <v/>
      </c>
      <c r="L325" s="16">
        <f>IF(J325="","",J325-K325)</f>
        <v/>
      </c>
      <c r="M325" s="14">
        <f>IF(A325="","",MONTH(A325))</f>
        <v/>
      </c>
      <c r="N325" s="14">
        <f>IF(A325="","",YEAR(A325))</f>
        <v/>
      </c>
    </row>
    <row r="326">
      <c r="A326" s="15" t="n"/>
      <c r="B326" s="10" t="n"/>
      <c r="C326" s="10" t="n"/>
      <c r="D326" s="10" t="n"/>
      <c r="E326" s="14">
        <f>IF(D326="","",IFERROR(INDEX('Sản phẩm'!$B$5:$B$304,MATCH(D326,'Sản phẩm'!$A$5:$A$304,0)),""))</f>
        <v/>
      </c>
      <c r="F326" s="12" t="n"/>
      <c r="G326" s="11" t="n"/>
      <c r="H326" s="11" t="n"/>
      <c r="I326" s="16">
        <f>IF(D326="","",IF(G326&lt;&gt;"",G326,IFERROR(INDEX('Sản phẩm'!$E$5:$E$304,MATCH(D326,'Sản phẩm'!$A$5:$A$304,0)),"")))</f>
        <v/>
      </c>
      <c r="J326" s="16">
        <f>IF(OR(D326="",F326=""),"",F326*I326-N(H326))</f>
        <v/>
      </c>
      <c r="K326" s="16">
        <f>IF(OR(D326="",F326=""),"",F326*IFERROR(INDEX('Sản phẩm'!$D$5:$D$304,MATCH(D326,'Sản phẩm'!$A$5:$A$304,0)),""))</f>
        <v/>
      </c>
      <c r="L326" s="16">
        <f>IF(J326="","",J326-K326)</f>
        <v/>
      </c>
      <c r="M326" s="14">
        <f>IF(A326="","",MONTH(A326))</f>
        <v/>
      </c>
      <c r="N326" s="14">
        <f>IF(A326="","",YEAR(A326))</f>
        <v/>
      </c>
    </row>
    <row r="327">
      <c r="A327" s="15" t="n"/>
      <c r="B327" s="10" t="n"/>
      <c r="C327" s="10" t="n"/>
      <c r="D327" s="10" t="n"/>
      <c r="E327" s="14">
        <f>IF(D327="","",IFERROR(INDEX('Sản phẩm'!$B$5:$B$304,MATCH(D327,'Sản phẩm'!$A$5:$A$304,0)),""))</f>
        <v/>
      </c>
      <c r="F327" s="12" t="n"/>
      <c r="G327" s="11" t="n"/>
      <c r="H327" s="11" t="n"/>
      <c r="I327" s="16">
        <f>IF(D327="","",IF(G327&lt;&gt;"",G327,IFERROR(INDEX('Sản phẩm'!$E$5:$E$304,MATCH(D327,'Sản phẩm'!$A$5:$A$304,0)),"")))</f>
        <v/>
      </c>
      <c r="J327" s="16">
        <f>IF(OR(D327="",F327=""),"",F327*I327-N(H327))</f>
        <v/>
      </c>
      <c r="K327" s="16">
        <f>IF(OR(D327="",F327=""),"",F327*IFERROR(INDEX('Sản phẩm'!$D$5:$D$304,MATCH(D327,'Sản phẩm'!$A$5:$A$304,0)),""))</f>
        <v/>
      </c>
      <c r="L327" s="16">
        <f>IF(J327="","",J327-K327)</f>
        <v/>
      </c>
      <c r="M327" s="14">
        <f>IF(A327="","",MONTH(A327))</f>
        <v/>
      </c>
      <c r="N327" s="14">
        <f>IF(A327="","",YEAR(A327))</f>
        <v/>
      </c>
    </row>
    <row r="328">
      <c r="A328" s="15" t="n"/>
      <c r="B328" s="10" t="n"/>
      <c r="C328" s="10" t="n"/>
      <c r="D328" s="10" t="n"/>
      <c r="E328" s="14">
        <f>IF(D328="","",IFERROR(INDEX('Sản phẩm'!$B$5:$B$304,MATCH(D328,'Sản phẩm'!$A$5:$A$304,0)),""))</f>
        <v/>
      </c>
      <c r="F328" s="12" t="n"/>
      <c r="G328" s="11" t="n"/>
      <c r="H328" s="11" t="n"/>
      <c r="I328" s="16">
        <f>IF(D328="","",IF(G328&lt;&gt;"",G328,IFERROR(INDEX('Sản phẩm'!$E$5:$E$304,MATCH(D328,'Sản phẩm'!$A$5:$A$304,0)),"")))</f>
        <v/>
      </c>
      <c r="J328" s="16">
        <f>IF(OR(D328="",F328=""),"",F328*I328-N(H328))</f>
        <v/>
      </c>
      <c r="K328" s="16">
        <f>IF(OR(D328="",F328=""),"",F328*IFERROR(INDEX('Sản phẩm'!$D$5:$D$304,MATCH(D328,'Sản phẩm'!$A$5:$A$304,0)),""))</f>
        <v/>
      </c>
      <c r="L328" s="16">
        <f>IF(J328="","",J328-K328)</f>
        <v/>
      </c>
      <c r="M328" s="14">
        <f>IF(A328="","",MONTH(A328))</f>
        <v/>
      </c>
      <c r="N328" s="14">
        <f>IF(A328="","",YEAR(A328))</f>
        <v/>
      </c>
    </row>
    <row r="329">
      <c r="A329" s="15" t="n"/>
      <c r="B329" s="10" t="n"/>
      <c r="C329" s="10" t="n"/>
      <c r="D329" s="10" t="n"/>
      <c r="E329" s="14">
        <f>IF(D329="","",IFERROR(INDEX('Sản phẩm'!$B$5:$B$304,MATCH(D329,'Sản phẩm'!$A$5:$A$304,0)),""))</f>
        <v/>
      </c>
      <c r="F329" s="12" t="n"/>
      <c r="G329" s="11" t="n"/>
      <c r="H329" s="11" t="n"/>
      <c r="I329" s="16">
        <f>IF(D329="","",IF(G329&lt;&gt;"",G329,IFERROR(INDEX('Sản phẩm'!$E$5:$E$304,MATCH(D329,'Sản phẩm'!$A$5:$A$304,0)),"")))</f>
        <v/>
      </c>
      <c r="J329" s="16">
        <f>IF(OR(D329="",F329=""),"",F329*I329-N(H329))</f>
        <v/>
      </c>
      <c r="K329" s="16">
        <f>IF(OR(D329="",F329=""),"",F329*IFERROR(INDEX('Sản phẩm'!$D$5:$D$304,MATCH(D329,'Sản phẩm'!$A$5:$A$304,0)),""))</f>
        <v/>
      </c>
      <c r="L329" s="16">
        <f>IF(J329="","",J329-K329)</f>
        <v/>
      </c>
      <c r="M329" s="14">
        <f>IF(A329="","",MONTH(A329))</f>
        <v/>
      </c>
      <c r="N329" s="14">
        <f>IF(A329="","",YEAR(A329))</f>
        <v/>
      </c>
    </row>
    <row r="330">
      <c r="A330" s="15" t="n"/>
      <c r="B330" s="10" t="n"/>
      <c r="C330" s="10" t="n"/>
      <c r="D330" s="10" t="n"/>
      <c r="E330" s="14">
        <f>IF(D330="","",IFERROR(INDEX('Sản phẩm'!$B$5:$B$304,MATCH(D330,'Sản phẩm'!$A$5:$A$304,0)),""))</f>
        <v/>
      </c>
      <c r="F330" s="12" t="n"/>
      <c r="G330" s="11" t="n"/>
      <c r="H330" s="11" t="n"/>
      <c r="I330" s="16">
        <f>IF(D330="","",IF(G330&lt;&gt;"",G330,IFERROR(INDEX('Sản phẩm'!$E$5:$E$304,MATCH(D330,'Sản phẩm'!$A$5:$A$304,0)),"")))</f>
        <v/>
      </c>
      <c r="J330" s="16">
        <f>IF(OR(D330="",F330=""),"",F330*I330-N(H330))</f>
        <v/>
      </c>
      <c r="K330" s="16">
        <f>IF(OR(D330="",F330=""),"",F330*IFERROR(INDEX('Sản phẩm'!$D$5:$D$304,MATCH(D330,'Sản phẩm'!$A$5:$A$304,0)),""))</f>
        <v/>
      </c>
      <c r="L330" s="16">
        <f>IF(J330="","",J330-K330)</f>
        <v/>
      </c>
      <c r="M330" s="14">
        <f>IF(A330="","",MONTH(A330))</f>
        <v/>
      </c>
      <c r="N330" s="14">
        <f>IF(A330="","",YEAR(A330))</f>
        <v/>
      </c>
    </row>
    <row r="331">
      <c r="A331" s="15" t="n"/>
      <c r="B331" s="10" t="n"/>
      <c r="C331" s="10" t="n"/>
      <c r="D331" s="10" t="n"/>
      <c r="E331" s="14">
        <f>IF(D331="","",IFERROR(INDEX('Sản phẩm'!$B$5:$B$304,MATCH(D331,'Sản phẩm'!$A$5:$A$304,0)),""))</f>
        <v/>
      </c>
      <c r="F331" s="12" t="n"/>
      <c r="G331" s="11" t="n"/>
      <c r="H331" s="11" t="n"/>
      <c r="I331" s="16">
        <f>IF(D331="","",IF(G331&lt;&gt;"",G331,IFERROR(INDEX('Sản phẩm'!$E$5:$E$304,MATCH(D331,'Sản phẩm'!$A$5:$A$304,0)),"")))</f>
        <v/>
      </c>
      <c r="J331" s="16">
        <f>IF(OR(D331="",F331=""),"",F331*I331-N(H331))</f>
        <v/>
      </c>
      <c r="K331" s="16">
        <f>IF(OR(D331="",F331=""),"",F331*IFERROR(INDEX('Sản phẩm'!$D$5:$D$304,MATCH(D331,'Sản phẩm'!$A$5:$A$304,0)),""))</f>
        <v/>
      </c>
      <c r="L331" s="16">
        <f>IF(J331="","",J331-K331)</f>
        <v/>
      </c>
      <c r="M331" s="14">
        <f>IF(A331="","",MONTH(A331))</f>
        <v/>
      </c>
      <c r="N331" s="14">
        <f>IF(A331="","",YEAR(A331))</f>
        <v/>
      </c>
    </row>
    <row r="332">
      <c r="A332" s="15" t="n"/>
      <c r="B332" s="10" t="n"/>
      <c r="C332" s="10" t="n"/>
      <c r="D332" s="10" t="n"/>
      <c r="E332" s="14">
        <f>IF(D332="","",IFERROR(INDEX('Sản phẩm'!$B$5:$B$304,MATCH(D332,'Sản phẩm'!$A$5:$A$304,0)),""))</f>
        <v/>
      </c>
      <c r="F332" s="12" t="n"/>
      <c r="G332" s="11" t="n"/>
      <c r="H332" s="11" t="n"/>
      <c r="I332" s="16">
        <f>IF(D332="","",IF(G332&lt;&gt;"",G332,IFERROR(INDEX('Sản phẩm'!$E$5:$E$304,MATCH(D332,'Sản phẩm'!$A$5:$A$304,0)),"")))</f>
        <v/>
      </c>
      <c r="J332" s="16">
        <f>IF(OR(D332="",F332=""),"",F332*I332-N(H332))</f>
        <v/>
      </c>
      <c r="K332" s="16">
        <f>IF(OR(D332="",F332=""),"",F332*IFERROR(INDEX('Sản phẩm'!$D$5:$D$304,MATCH(D332,'Sản phẩm'!$A$5:$A$304,0)),""))</f>
        <v/>
      </c>
      <c r="L332" s="16">
        <f>IF(J332="","",J332-K332)</f>
        <v/>
      </c>
      <c r="M332" s="14">
        <f>IF(A332="","",MONTH(A332))</f>
        <v/>
      </c>
      <c r="N332" s="14">
        <f>IF(A332="","",YEAR(A332))</f>
        <v/>
      </c>
    </row>
    <row r="333">
      <c r="A333" s="15" t="n"/>
      <c r="B333" s="10" t="n"/>
      <c r="C333" s="10" t="n"/>
      <c r="D333" s="10" t="n"/>
      <c r="E333" s="14">
        <f>IF(D333="","",IFERROR(INDEX('Sản phẩm'!$B$5:$B$304,MATCH(D333,'Sản phẩm'!$A$5:$A$304,0)),""))</f>
        <v/>
      </c>
      <c r="F333" s="12" t="n"/>
      <c r="G333" s="11" t="n"/>
      <c r="H333" s="11" t="n"/>
      <c r="I333" s="16">
        <f>IF(D333="","",IF(G333&lt;&gt;"",G333,IFERROR(INDEX('Sản phẩm'!$E$5:$E$304,MATCH(D333,'Sản phẩm'!$A$5:$A$304,0)),"")))</f>
        <v/>
      </c>
      <c r="J333" s="16">
        <f>IF(OR(D333="",F333=""),"",F333*I333-N(H333))</f>
        <v/>
      </c>
      <c r="K333" s="16">
        <f>IF(OR(D333="",F333=""),"",F333*IFERROR(INDEX('Sản phẩm'!$D$5:$D$304,MATCH(D333,'Sản phẩm'!$A$5:$A$304,0)),""))</f>
        <v/>
      </c>
      <c r="L333" s="16">
        <f>IF(J333="","",J333-K333)</f>
        <v/>
      </c>
      <c r="M333" s="14">
        <f>IF(A333="","",MONTH(A333))</f>
        <v/>
      </c>
      <c r="N333" s="14">
        <f>IF(A333="","",YEAR(A333))</f>
        <v/>
      </c>
    </row>
    <row r="334">
      <c r="A334" s="15" t="n"/>
      <c r="B334" s="10" t="n"/>
      <c r="C334" s="10" t="n"/>
      <c r="D334" s="10" t="n"/>
      <c r="E334" s="14">
        <f>IF(D334="","",IFERROR(INDEX('Sản phẩm'!$B$5:$B$304,MATCH(D334,'Sản phẩm'!$A$5:$A$304,0)),""))</f>
        <v/>
      </c>
      <c r="F334" s="12" t="n"/>
      <c r="G334" s="11" t="n"/>
      <c r="H334" s="11" t="n"/>
      <c r="I334" s="16">
        <f>IF(D334="","",IF(G334&lt;&gt;"",G334,IFERROR(INDEX('Sản phẩm'!$E$5:$E$304,MATCH(D334,'Sản phẩm'!$A$5:$A$304,0)),"")))</f>
        <v/>
      </c>
      <c r="J334" s="16">
        <f>IF(OR(D334="",F334=""),"",F334*I334-N(H334))</f>
        <v/>
      </c>
      <c r="K334" s="16">
        <f>IF(OR(D334="",F334=""),"",F334*IFERROR(INDEX('Sản phẩm'!$D$5:$D$304,MATCH(D334,'Sản phẩm'!$A$5:$A$304,0)),""))</f>
        <v/>
      </c>
      <c r="L334" s="16">
        <f>IF(J334="","",J334-K334)</f>
        <v/>
      </c>
      <c r="M334" s="14">
        <f>IF(A334="","",MONTH(A334))</f>
        <v/>
      </c>
      <c r="N334" s="14">
        <f>IF(A334="","",YEAR(A334))</f>
        <v/>
      </c>
    </row>
    <row r="335">
      <c r="A335" s="15" t="n"/>
      <c r="B335" s="10" t="n"/>
      <c r="C335" s="10" t="n"/>
      <c r="D335" s="10" t="n"/>
      <c r="E335" s="14">
        <f>IF(D335="","",IFERROR(INDEX('Sản phẩm'!$B$5:$B$304,MATCH(D335,'Sản phẩm'!$A$5:$A$304,0)),""))</f>
        <v/>
      </c>
      <c r="F335" s="12" t="n"/>
      <c r="G335" s="11" t="n"/>
      <c r="H335" s="11" t="n"/>
      <c r="I335" s="16">
        <f>IF(D335="","",IF(G335&lt;&gt;"",G335,IFERROR(INDEX('Sản phẩm'!$E$5:$E$304,MATCH(D335,'Sản phẩm'!$A$5:$A$304,0)),"")))</f>
        <v/>
      </c>
      <c r="J335" s="16">
        <f>IF(OR(D335="",F335=""),"",F335*I335-N(H335))</f>
        <v/>
      </c>
      <c r="K335" s="16">
        <f>IF(OR(D335="",F335=""),"",F335*IFERROR(INDEX('Sản phẩm'!$D$5:$D$304,MATCH(D335,'Sản phẩm'!$A$5:$A$304,0)),""))</f>
        <v/>
      </c>
      <c r="L335" s="16">
        <f>IF(J335="","",J335-K335)</f>
        <v/>
      </c>
      <c r="M335" s="14">
        <f>IF(A335="","",MONTH(A335))</f>
        <v/>
      </c>
      <c r="N335" s="14">
        <f>IF(A335="","",YEAR(A335))</f>
        <v/>
      </c>
    </row>
    <row r="336">
      <c r="A336" s="15" t="n"/>
      <c r="B336" s="10" t="n"/>
      <c r="C336" s="10" t="n"/>
      <c r="D336" s="10" t="n"/>
      <c r="E336" s="14">
        <f>IF(D336="","",IFERROR(INDEX('Sản phẩm'!$B$5:$B$304,MATCH(D336,'Sản phẩm'!$A$5:$A$304,0)),""))</f>
        <v/>
      </c>
      <c r="F336" s="12" t="n"/>
      <c r="G336" s="11" t="n"/>
      <c r="H336" s="11" t="n"/>
      <c r="I336" s="16">
        <f>IF(D336="","",IF(G336&lt;&gt;"",G336,IFERROR(INDEX('Sản phẩm'!$E$5:$E$304,MATCH(D336,'Sản phẩm'!$A$5:$A$304,0)),"")))</f>
        <v/>
      </c>
      <c r="J336" s="16">
        <f>IF(OR(D336="",F336=""),"",F336*I336-N(H336))</f>
        <v/>
      </c>
      <c r="K336" s="16">
        <f>IF(OR(D336="",F336=""),"",F336*IFERROR(INDEX('Sản phẩm'!$D$5:$D$304,MATCH(D336,'Sản phẩm'!$A$5:$A$304,0)),""))</f>
        <v/>
      </c>
      <c r="L336" s="16">
        <f>IF(J336="","",J336-K336)</f>
        <v/>
      </c>
      <c r="M336" s="14">
        <f>IF(A336="","",MONTH(A336))</f>
        <v/>
      </c>
      <c r="N336" s="14">
        <f>IF(A336="","",YEAR(A336))</f>
        <v/>
      </c>
    </row>
    <row r="337">
      <c r="A337" s="15" t="n"/>
      <c r="B337" s="10" t="n"/>
      <c r="C337" s="10" t="n"/>
      <c r="D337" s="10" t="n"/>
      <c r="E337" s="14">
        <f>IF(D337="","",IFERROR(INDEX('Sản phẩm'!$B$5:$B$304,MATCH(D337,'Sản phẩm'!$A$5:$A$304,0)),""))</f>
        <v/>
      </c>
      <c r="F337" s="12" t="n"/>
      <c r="G337" s="11" t="n"/>
      <c r="H337" s="11" t="n"/>
      <c r="I337" s="16">
        <f>IF(D337="","",IF(G337&lt;&gt;"",G337,IFERROR(INDEX('Sản phẩm'!$E$5:$E$304,MATCH(D337,'Sản phẩm'!$A$5:$A$304,0)),"")))</f>
        <v/>
      </c>
      <c r="J337" s="16">
        <f>IF(OR(D337="",F337=""),"",F337*I337-N(H337))</f>
        <v/>
      </c>
      <c r="K337" s="16">
        <f>IF(OR(D337="",F337=""),"",F337*IFERROR(INDEX('Sản phẩm'!$D$5:$D$304,MATCH(D337,'Sản phẩm'!$A$5:$A$304,0)),""))</f>
        <v/>
      </c>
      <c r="L337" s="16">
        <f>IF(J337="","",J337-K337)</f>
        <v/>
      </c>
      <c r="M337" s="14">
        <f>IF(A337="","",MONTH(A337))</f>
        <v/>
      </c>
      <c r="N337" s="14">
        <f>IF(A337="","",YEAR(A337))</f>
        <v/>
      </c>
    </row>
    <row r="338">
      <c r="A338" s="15" t="n"/>
      <c r="B338" s="10" t="n"/>
      <c r="C338" s="10" t="n"/>
      <c r="D338" s="10" t="n"/>
      <c r="E338" s="14">
        <f>IF(D338="","",IFERROR(INDEX('Sản phẩm'!$B$5:$B$304,MATCH(D338,'Sản phẩm'!$A$5:$A$304,0)),""))</f>
        <v/>
      </c>
      <c r="F338" s="12" t="n"/>
      <c r="G338" s="11" t="n"/>
      <c r="H338" s="11" t="n"/>
      <c r="I338" s="16">
        <f>IF(D338="","",IF(G338&lt;&gt;"",G338,IFERROR(INDEX('Sản phẩm'!$E$5:$E$304,MATCH(D338,'Sản phẩm'!$A$5:$A$304,0)),"")))</f>
        <v/>
      </c>
      <c r="J338" s="16">
        <f>IF(OR(D338="",F338=""),"",F338*I338-N(H338))</f>
        <v/>
      </c>
      <c r="K338" s="16">
        <f>IF(OR(D338="",F338=""),"",F338*IFERROR(INDEX('Sản phẩm'!$D$5:$D$304,MATCH(D338,'Sản phẩm'!$A$5:$A$304,0)),""))</f>
        <v/>
      </c>
      <c r="L338" s="16">
        <f>IF(J338="","",J338-K338)</f>
        <v/>
      </c>
      <c r="M338" s="14">
        <f>IF(A338="","",MONTH(A338))</f>
        <v/>
      </c>
      <c r="N338" s="14">
        <f>IF(A338="","",YEAR(A338))</f>
        <v/>
      </c>
    </row>
    <row r="339">
      <c r="A339" s="15" t="n"/>
      <c r="B339" s="10" t="n"/>
      <c r="C339" s="10" t="n"/>
      <c r="D339" s="10" t="n"/>
      <c r="E339" s="14">
        <f>IF(D339="","",IFERROR(INDEX('Sản phẩm'!$B$5:$B$304,MATCH(D339,'Sản phẩm'!$A$5:$A$304,0)),""))</f>
        <v/>
      </c>
      <c r="F339" s="12" t="n"/>
      <c r="G339" s="11" t="n"/>
      <c r="H339" s="11" t="n"/>
      <c r="I339" s="16">
        <f>IF(D339="","",IF(G339&lt;&gt;"",G339,IFERROR(INDEX('Sản phẩm'!$E$5:$E$304,MATCH(D339,'Sản phẩm'!$A$5:$A$304,0)),"")))</f>
        <v/>
      </c>
      <c r="J339" s="16">
        <f>IF(OR(D339="",F339=""),"",F339*I339-N(H339))</f>
        <v/>
      </c>
      <c r="K339" s="16">
        <f>IF(OR(D339="",F339=""),"",F339*IFERROR(INDEX('Sản phẩm'!$D$5:$D$304,MATCH(D339,'Sản phẩm'!$A$5:$A$304,0)),""))</f>
        <v/>
      </c>
      <c r="L339" s="16">
        <f>IF(J339="","",J339-K339)</f>
        <v/>
      </c>
      <c r="M339" s="14">
        <f>IF(A339="","",MONTH(A339))</f>
        <v/>
      </c>
      <c r="N339" s="14">
        <f>IF(A339="","",YEAR(A339))</f>
        <v/>
      </c>
    </row>
    <row r="340">
      <c r="A340" s="15" t="n"/>
      <c r="B340" s="10" t="n"/>
      <c r="C340" s="10" t="n"/>
      <c r="D340" s="10" t="n"/>
      <c r="E340" s="14">
        <f>IF(D340="","",IFERROR(INDEX('Sản phẩm'!$B$5:$B$304,MATCH(D340,'Sản phẩm'!$A$5:$A$304,0)),""))</f>
        <v/>
      </c>
      <c r="F340" s="12" t="n"/>
      <c r="G340" s="11" t="n"/>
      <c r="H340" s="11" t="n"/>
      <c r="I340" s="16">
        <f>IF(D340="","",IF(G340&lt;&gt;"",G340,IFERROR(INDEX('Sản phẩm'!$E$5:$E$304,MATCH(D340,'Sản phẩm'!$A$5:$A$304,0)),"")))</f>
        <v/>
      </c>
      <c r="J340" s="16">
        <f>IF(OR(D340="",F340=""),"",F340*I340-N(H340))</f>
        <v/>
      </c>
      <c r="K340" s="16">
        <f>IF(OR(D340="",F340=""),"",F340*IFERROR(INDEX('Sản phẩm'!$D$5:$D$304,MATCH(D340,'Sản phẩm'!$A$5:$A$304,0)),""))</f>
        <v/>
      </c>
      <c r="L340" s="16">
        <f>IF(J340="","",J340-K340)</f>
        <v/>
      </c>
      <c r="M340" s="14">
        <f>IF(A340="","",MONTH(A340))</f>
        <v/>
      </c>
      <c r="N340" s="14">
        <f>IF(A340="","",YEAR(A340))</f>
        <v/>
      </c>
    </row>
    <row r="341">
      <c r="A341" s="15" t="n"/>
      <c r="B341" s="10" t="n"/>
      <c r="C341" s="10" t="n"/>
      <c r="D341" s="10" t="n"/>
      <c r="E341" s="14">
        <f>IF(D341="","",IFERROR(INDEX('Sản phẩm'!$B$5:$B$304,MATCH(D341,'Sản phẩm'!$A$5:$A$304,0)),""))</f>
        <v/>
      </c>
      <c r="F341" s="12" t="n"/>
      <c r="G341" s="11" t="n"/>
      <c r="H341" s="11" t="n"/>
      <c r="I341" s="16">
        <f>IF(D341="","",IF(G341&lt;&gt;"",G341,IFERROR(INDEX('Sản phẩm'!$E$5:$E$304,MATCH(D341,'Sản phẩm'!$A$5:$A$304,0)),"")))</f>
        <v/>
      </c>
      <c r="J341" s="16">
        <f>IF(OR(D341="",F341=""),"",F341*I341-N(H341))</f>
        <v/>
      </c>
      <c r="K341" s="16">
        <f>IF(OR(D341="",F341=""),"",F341*IFERROR(INDEX('Sản phẩm'!$D$5:$D$304,MATCH(D341,'Sản phẩm'!$A$5:$A$304,0)),""))</f>
        <v/>
      </c>
      <c r="L341" s="16">
        <f>IF(J341="","",J341-K341)</f>
        <v/>
      </c>
      <c r="M341" s="14">
        <f>IF(A341="","",MONTH(A341))</f>
        <v/>
      </c>
      <c r="N341" s="14">
        <f>IF(A341="","",YEAR(A341))</f>
        <v/>
      </c>
    </row>
    <row r="342">
      <c r="A342" s="15" t="n"/>
      <c r="B342" s="10" t="n"/>
      <c r="C342" s="10" t="n"/>
      <c r="D342" s="10" t="n"/>
      <c r="E342" s="14">
        <f>IF(D342="","",IFERROR(INDEX('Sản phẩm'!$B$5:$B$304,MATCH(D342,'Sản phẩm'!$A$5:$A$304,0)),""))</f>
        <v/>
      </c>
      <c r="F342" s="12" t="n"/>
      <c r="G342" s="11" t="n"/>
      <c r="H342" s="11" t="n"/>
      <c r="I342" s="16">
        <f>IF(D342="","",IF(G342&lt;&gt;"",G342,IFERROR(INDEX('Sản phẩm'!$E$5:$E$304,MATCH(D342,'Sản phẩm'!$A$5:$A$304,0)),"")))</f>
        <v/>
      </c>
      <c r="J342" s="16">
        <f>IF(OR(D342="",F342=""),"",F342*I342-N(H342))</f>
        <v/>
      </c>
      <c r="K342" s="16">
        <f>IF(OR(D342="",F342=""),"",F342*IFERROR(INDEX('Sản phẩm'!$D$5:$D$304,MATCH(D342,'Sản phẩm'!$A$5:$A$304,0)),""))</f>
        <v/>
      </c>
      <c r="L342" s="16">
        <f>IF(J342="","",J342-K342)</f>
        <v/>
      </c>
      <c r="M342" s="14">
        <f>IF(A342="","",MONTH(A342))</f>
        <v/>
      </c>
      <c r="N342" s="14">
        <f>IF(A342="","",YEAR(A342))</f>
        <v/>
      </c>
    </row>
    <row r="343">
      <c r="A343" s="15" t="n"/>
      <c r="B343" s="10" t="n"/>
      <c r="C343" s="10" t="n"/>
      <c r="D343" s="10" t="n"/>
      <c r="E343" s="14">
        <f>IF(D343="","",IFERROR(INDEX('Sản phẩm'!$B$5:$B$304,MATCH(D343,'Sản phẩm'!$A$5:$A$304,0)),""))</f>
        <v/>
      </c>
      <c r="F343" s="12" t="n"/>
      <c r="G343" s="11" t="n"/>
      <c r="H343" s="11" t="n"/>
      <c r="I343" s="16">
        <f>IF(D343="","",IF(G343&lt;&gt;"",G343,IFERROR(INDEX('Sản phẩm'!$E$5:$E$304,MATCH(D343,'Sản phẩm'!$A$5:$A$304,0)),"")))</f>
        <v/>
      </c>
      <c r="J343" s="16">
        <f>IF(OR(D343="",F343=""),"",F343*I343-N(H343))</f>
        <v/>
      </c>
      <c r="K343" s="16">
        <f>IF(OR(D343="",F343=""),"",F343*IFERROR(INDEX('Sản phẩm'!$D$5:$D$304,MATCH(D343,'Sản phẩm'!$A$5:$A$304,0)),""))</f>
        <v/>
      </c>
      <c r="L343" s="16">
        <f>IF(J343="","",J343-K343)</f>
        <v/>
      </c>
      <c r="M343" s="14">
        <f>IF(A343="","",MONTH(A343))</f>
        <v/>
      </c>
      <c r="N343" s="14">
        <f>IF(A343="","",YEAR(A343))</f>
        <v/>
      </c>
    </row>
    <row r="344">
      <c r="A344" s="15" t="n"/>
      <c r="B344" s="10" t="n"/>
      <c r="C344" s="10" t="n"/>
      <c r="D344" s="10" t="n"/>
      <c r="E344" s="14">
        <f>IF(D344="","",IFERROR(INDEX('Sản phẩm'!$B$5:$B$304,MATCH(D344,'Sản phẩm'!$A$5:$A$304,0)),""))</f>
        <v/>
      </c>
      <c r="F344" s="12" t="n"/>
      <c r="G344" s="11" t="n"/>
      <c r="H344" s="11" t="n"/>
      <c r="I344" s="16">
        <f>IF(D344="","",IF(G344&lt;&gt;"",G344,IFERROR(INDEX('Sản phẩm'!$E$5:$E$304,MATCH(D344,'Sản phẩm'!$A$5:$A$304,0)),"")))</f>
        <v/>
      </c>
      <c r="J344" s="16">
        <f>IF(OR(D344="",F344=""),"",F344*I344-N(H344))</f>
        <v/>
      </c>
      <c r="K344" s="16">
        <f>IF(OR(D344="",F344=""),"",F344*IFERROR(INDEX('Sản phẩm'!$D$5:$D$304,MATCH(D344,'Sản phẩm'!$A$5:$A$304,0)),""))</f>
        <v/>
      </c>
      <c r="L344" s="16">
        <f>IF(J344="","",J344-K344)</f>
        <v/>
      </c>
      <c r="M344" s="14">
        <f>IF(A344="","",MONTH(A344))</f>
        <v/>
      </c>
      <c r="N344" s="14">
        <f>IF(A344="","",YEAR(A344))</f>
        <v/>
      </c>
    </row>
    <row r="345">
      <c r="A345" s="15" t="n"/>
      <c r="B345" s="10" t="n"/>
      <c r="C345" s="10" t="n"/>
      <c r="D345" s="10" t="n"/>
      <c r="E345" s="14">
        <f>IF(D345="","",IFERROR(INDEX('Sản phẩm'!$B$5:$B$304,MATCH(D345,'Sản phẩm'!$A$5:$A$304,0)),""))</f>
        <v/>
      </c>
      <c r="F345" s="12" t="n"/>
      <c r="G345" s="11" t="n"/>
      <c r="H345" s="11" t="n"/>
      <c r="I345" s="16">
        <f>IF(D345="","",IF(G345&lt;&gt;"",G345,IFERROR(INDEX('Sản phẩm'!$E$5:$E$304,MATCH(D345,'Sản phẩm'!$A$5:$A$304,0)),"")))</f>
        <v/>
      </c>
      <c r="J345" s="16">
        <f>IF(OR(D345="",F345=""),"",F345*I345-N(H345))</f>
        <v/>
      </c>
      <c r="K345" s="16">
        <f>IF(OR(D345="",F345=""),"",F345*IFERROR(INDEX('Sản phẩm'!$D$5:$D$304,MATCH(D345,'Sản phẩm'!$A$5:$A$304,0)),""))</f>
        <v/>
      </c>
      <c r="L345" s="16">
        <f>IF(J345="","",J345-K345)</f>
        <v/>
      </c>
      <c r="M345" s="14">
        <f>IF(A345="","",MONTH(A345))</f>
        <v/>
      </c>
      <c r="N345" s="14">
        <f>IF(A345="","",YEAR(A345))</f>
        <v/>
      </c>
    </row>
    <row r="346">
      <c r="A346" s="15" t="n"/>
      <c r="B346" s="10" t="n"/>
      <c r="C346" s="10" t="n"/>
      <c r="D346" s="10" t="n"/>
      <c r="E346" s="14">
        <f>IF(D346="","",IFERROR(INDEX('Sản phẩm'!$B$5:$B$304,MATCH(D346,'Sản phẩm'!$A$5:$A$304,0)),""))</f>
        <v/>
      </c>
      <c r="F346" s="12" t="n"/>
      <c r="G346" s="11" t="n"/>
      <c r="H346" s="11" t="n"/>
      <c r="I346" s="16">
        <f>IF(D346="","",IF(G346&lt;&gt;"",G346,IFERROR(INDEX('Sản phẩm'!$E$5:$E$304,MATCH(D346,'Sản phẩm'!$A$5:$A$304,0)),"")))</f>
        <v/>
      </c>
      <c r="J346" s="16">
        <f>IF(OR(D346="",F346=""),"",F346*I346-N(H346))</f>
        <v/>
      </c>
      <c r="K346" s="16">
        <f>IF(OR(D346="",F346=""),"",F346*IFERROR(INDEX('Sản phẩm'!$D$5:$D$304,MATCH(D346,'Sản phẩm'!$A$5:$A$304,0)),""))</f>
        <v/>
      </c>
      <c r="L346" s="16">
        <f>IF(J346="","",J346-K346)</f>
        <v/>
      </c>
      <c r="M346" s="14">
        <f>IF(A346="","",MONTH(A346))</f>
        <v/>
      </c>
      <c r="N346" s="14">
        <f>IF(A346="","",YEAR(A346))</f>
        <v/>
      </c>
    </row>
    <row r="347">
      <c r="A347" s="15" t="n"/>
      <c r="B347" s="10" t="n"/>
      <c r="C347" s="10" t="n"/>
      <c r="D347" s="10" t="n"/>
      <c r="E347" s="14">
        <f>IF(D347="","",IFERROR(INDEX('Sản phẩm'!$B$5:$B$304,MATCH(D347,'Sản phẩm'!$A$5:$A$304,0)),""))</f>
        <v/>
      </c>
      <c r="F347" s="12" t="n"/>
      <c r="G347" s="11" t="n"/>
      <c r="H347" s="11" t="n"/>
      <c r="I347" s="16">
        <f>IF(D347="","",IF(G347&lt;&gt;"",G347,IFERROR(INDEX('Sản phẩm'!$E$5:$E$304,MATCH(D347,'Sản phẩm'!$A$5:$A$304,0)),"")))</f>
        <v/>
      </c>
      <c r="J347" s="16">
        <f>IF(OR(D347="",F347=""),"",F347*I347-N(H347))</f>
        <v/>
      </c>
      <c r="K347" s="16">
        <f>IF(OR(D347="",F347=""),"",F347*IFERROR(INDEX('Sản phẩm'!$D$5:$D$304,MATCH(D347,'Sản phẩm'!$A$5:$A$304,0)),""))</f>
        <v/>
      </c>
      <c r="L347" s="16">
        <f>IF(J347="","",J347-K347)</f>
        <v/>
      </c>
      <c r="M347" s="14">
        <f>IF(A347="","",MONTH(A347))</f>
        <v/>
      </c>
      <c r="N347" s="14">
        <f>IF(A347="","",YEAR(A347))</f>
        <v/>
      </c>
    </row>
    <row r="348">
      <c r="A348" s="15" t="n"/>
      <c r="B348" s="10" t="n"/>
      <c r="C348" s="10" t="n"/>
      <c r="D348" s="10" t="n"/>
      <c r="E348" s="14">
        <f>IF(D348="","",IFERROR(INDEX('Sản phẩm'!$B$5:$B$304,MATCH(D348,'Sản phẩm'!$A$5:$A$304,0)),""))</f>
        <v/>
      </c>
      <c r="F348" s="12" t="n"/>
      <c r="G348" s="11" t="n"/>
      <c r="H348" s="11" t="n"/>
      <c r="I348" s="16">
        <f>IF(D348="","",IF(G348&lt;&gt;"",G348,IFERROR(INDEX('Sản phẩm'!$E$5:$E$304,MATCH(D348,'Sản phẩm'!$A$5:$A$304,0)),"")))</f>
        <v/>
      </c>
      <c r="J348" s="16">
        <f>IF(OR(D348="",F348=""),"",F348*I348-N(H348))</f>
        <v/>
      </c>
      <c r="K348" s="16">
        <f>IF(OR(D348="",F348=""),"",F348*IFERROR(INDEX('Sản phẩm'!$D$5:$D$304,MATCH(D348,'Sản phẩm'!$A$5:$A$304,0)),""))</f>
        <v/>
      </c>
      <c r="L348" s="16">
        <f>IF(J348="","",J348-K348)</f>
        <v/>
      </c>
      <c r="M348" s="14">
        <f>IF(A348="","",MONTH(A348))</f>
        <v/>
      </c>
      <c r="N348" s="14">
        <f>IF(A348="","",YEAR(A348))</f>
        <v/>
      </c>
    </row>
    <row r="349">
      <c r="A349" s="15" t="n"/>
      <c r="B349" s="10" t="n"/>
      <c r="C349" s="10" t="n"/>
      <c r="D349" s="10" t="n"/>
      <c r="E349" s="14">
        <f>IF(D349="","",IFERROR(INDEX('Sản phẩm'!$B$5:$B$304,MATCH(D349,'Sản phẩm'!$A$5:$A$304,0)),""))</f>
        <v/>
      </c>
      <c r="F349" s="12" t="n"/>
      <c r="G349" s="11" t="n"/>
      <c r="H349" s="11" t="n"/>
      <c r="I349" s="16">
        <f>IF(D349="","",IF(G349&lt;&gt;"",G349,IFERROR(INDEX('Sản phẩm'!$E$5:$E$304,MATCH(D349,'Sản phẩm'!$A$5:$A$304,0)),"")))</f>
        <v/>
      </c>
      <c r="J349" s="16">
        <f>IF(OR(D349="",F349=""),"",F349*I349-N(H349))</f>
        <v/>
      </c>
      <c r="K349" s="16">
        <f>IF(OR(D349="",F349=""),"",F349*IFERROR(INDEX('Sản phẩm'!$D$5:$D$304,MATCH(D349,'Sản phẩm'!$A$5:$A$304,0)),""))</f>
        <v/>
      </c>
      <c r="L349" s="16">
        <f>IF(J349="","",J349-K349)</f>
        <v/>
      </c>
      <c r="M349" s="14">
        <f>IF(A349="","",MONTH(A349))</f>
        <v/>
      </c>
      <c r="N349" s="14">
        <f>IF(A349="","",YEAR(A349))</f>
        <v/>
      </c>
    </row>
    <row r="350">
      <c r="A350" s="15" t="n"/>
      <c r="B350" s="10" t="n"/>
      <c r="C350" s="10" t="n"/>
      <c r="D350" s="10" t="n"/>
      <c r="E350" s="14">
        <f>IF(D350="","",IFERROR(INDEX('Sản phẩm'!$B$5:$B$304,MATCH(D350,'Sản phẩm'!$A$5:$A$304,0)),""))</f>
        <v/>
      </c>
      <c r="F350" s="12" t="n"/>
      <c r="G350" s="11" t="n"/>
      <c r="H350" s="11" t="n"/>
      <c r="I350" s="16">
        <f>IF(D350="","",IF(G350&lt;&gt;"",G350,IFERROR(INDEX('Sản phẩm'!$E$5:$E$304,MATCH(D350,'Sản phẩm'!$A$5:$A$304,0)),"")))</f>
        <v/>
      </c>
      <c r="J350" s="16">
        <f>IF(OR(D350="",F350=""),"",F350*I350-N(H350))</f>
        <v/>
      </c>
      <c r="K350" s="16">
        <f>IF(OR(D350="",F350=""),"",F350*IFERROR(INDEX('Sản phẩm'!$D$5:$D$304,MATCH(D350,'Sản phẩm'!$A$5:$A$304,0)),""))</f>
        <v/>
      </c>
      <c r="L350" s="16">
        <f>IF(J350="","",J350-K350)</f>
        <v/>
      </c>
      <c r="M350" s="14">
        <f>IF(A350="","",MONTH(A350))</f>
        <v/>
      </c>
      <c r="N350" s="14">
        <f>IF(A350="","",YEAR(A350))</f>
        <v/>
      </c>
    </row>
    <row r="351">
      <c r="A351" s="15" t="n"/>
      <c r="B351" s="10" t="n"/>
      <c r="C351" s="10" t="n"/>
      <c r="D351" s="10" t="n"/>
      <c r="E351" s="14">
        <f>IF(D351="","",IFERROR(INDEX('Sản phẩm'!$B$5:$B$304,MATCH(D351,'Sản phẩm'!$A$5:$A$304,0)),""))</f>
        <v/>
      </c>
      <c r="F351" s="12" t="n"/>
      <c r="G351" s="11" t="n"/>
      <c r="H351" s="11" t="n"/>
      <c r="I351" s="16">
        <f>IF(D351="","",IF(G351&lt;&gt;"",G351,IFERROR(INDEX('Sản phẩm'!$E$5:$E$304,MATCH(D351,'Sản phẩm'!$A$5:$A$304,0)),"")))</f>
        <v/>
      </c>
      <c r="J351" s="16">
        <f>IF(OR(D351="",F351=""),"",F351*I351-N(H351))</f>
        <v/>
      </c>
      <c r="K351" s="16">
        <f>IF(OR(D351="",F351=""),"",F351*IFERROR(INDEX('Sản phẩm'!$D$5:$D$304,MATCH(D351,'Sản phẩm'!$A$5:$A$304,0)),""))</f>
        <v/>
      </c>
      <c r="L351" s="16">
        <f>IF(J351="","",J351-K351)</f>
        <v/>
      </c>
      <c r="M351" s="14">
        <f>IF(A351="","",MONTH(A351))</f>
        <v/>
      </c>
      <c r="N351" s="14">
        <f>IF(A351="","",YEAR(A351))</f>
        <v/>
      </c>
    </row>
    <row r="352">
      <c r="A352" s="15" t="n"/>
      <c r="B352" s="10" t="n"/>
      <c r="C352" s="10" t="n"/>
      <c r="D352" s="10" t="n"/>
      <c r="E352" s="14">
        <f>IF(D352="","",IFERROR(INDEX('Sản phẩm'!$B$5:$B$304,MATCH(D352,'Sản phẩm'!$A$5:$A$304,0)),""))</f>
        <v/>
      </c>
      <c r="F352" s="12" t="n"/>
      <c r="G352" s="11" t="n"/>
      <c r="H352" s="11" t="n"/>
      <c r="I352" s="16">
        <f>IF(D352="","",IF(G352&lt;&gt;"",G352,IFERROR(INDEX('Sản phẩm'!$E$5:$E$304,MATCH(D352,'Sản phẩm'!$A$5:$A$304,0)),"")))</f>
        <v/>
      </c>
      <c r="J352" s="16">
        <f>IF(OR(D352="",F352=""),"",F352*I352-N(H352))</f>
        <v/>
      </c>
      <c r="K352" s="16">
        <f>IF(OR(D352="",F352=""),"",F352*IFERROR(INDEX('Sản phẩm'!$D$5:$D$304,MATCH(D352,'Sản phẩm'!$A$5:$A$304,0)),""))</f>
        <v/>
      </c>
      <c r="L352" s="16">
        <f>IF(J352="","",J352-K352)</f>
        <v/>
      </c>
      <c r="M352" s="14">
        <f>IF(A352="","",MONTH(A352))</f>
        <v/>
      </c>
      <c r="N352" s="14">
        <f>IF(A352="","",YEAR(A352))</f>
        <v/>
      </c>
    </row>
    <row r="353">
      <c r="A353" s="15" t="n"/>
      <c r="B353" s="10" t="n"/>
      <c r="C353" s="10" t="n"/>
      <c r="D353" s="10" t="n"/>
      <c r="E353" s="14">
        <f>IF(D353="","",IFERROR(INDEX('Sản phẩm'!$B$5:$B$304,MATCH(D353,'Sản phẩm'!$A$5:$A$304,0)),""))</f>
        <v/>
      </c>
      <c r="F353" s="12" t="n"/>
      <c r="G353" s="11" t="n"/>
      <c r="H353" s="11" t="n"/>
      <c r="I353" s="16">
        <f>IF(D353="","",IF(G353&lt;&gt;"",G353,IFERROR(INDEX('Sản phẩm'!$E$5:$E$304,MATCH(D353,'Sản phẩm'!$A$5:$A$304,0)),"")))</f>
        <v/>
      </c>
      <c r="J353" s="16">
        <f>IF(OR(D353="",F353=""),"",F353*I353-N(H353))</f>
        <v/>
      </c>
      <c r="K353" s="16">
        <f>IF(OR(D353="",F353=""),"",F353*IFERROR(INDEX('Sản phẩm'!$D$5:$D$304,MATCH(D353,'Sản phẩm'!$A$5:$A$304,0)),""))</f>
        <v/>
      </c>
      <c r="L353" s="16">
        <f>IF(J353="","",J353-K353)</f>
        <v/>
      </c>
      <c r="M353" s="14">
        <f>IF(A353="","",MONTH(A353))</f>
        <v/>
      </c>
      <c r="N353" s="14">
        <f>IF(A353="","",YEAR(A353))</f>
        <v/>
      </c>
    </row>
    <row r="354">
      <c r="A354" s="15" t="n"/>
      <c r="B354" s="10" t="n"/>
      <c r="C354" s="10" t="n"/>
      <c r="D354" s="10" t="n"/>
      <c r="E354" s="14">
        <f>IF(D354="","",IFERROR(INDEX('Sản phẩm'!$B$5:$B$304,MATCH(D354,'Sản phẩm'!$A$5:$A$304,0)),""))</f>
        <v/>
      </c>
      <c r="F354" s="12" t="n"/>
      <c r="G354" s="11" t="n"/>
      <c r="H354" s="11" t="n"/>
      <c r="I354" s="16">
        <f>IF(D354="","",IF(G354&lt;&gt;"",G354,IFERROR(INDEX('Sản phẩm'!$E$5:$E$304,MATCH(D354,'Sản phẩm'!$A$5:$A$304,0)),"")))</f>
        <v/>
      </c>
      <c r="J354" s="16">
        <f>IF(OR(D354="",F354=""),"",F354*I354-N(H354))</f>
        <v/>
      </c>
      <c r="K354" s="16">
        <f>IF(OR(D354="",F354=""),"",F354*IFERROR(INDEX('Sản phẩm'!$D$5:$D$304,MATCH(D354,'Sản phẩm'!$A$5:$A$304,0)),""))</f>
        <v/>
      </c>
      <c r="L354" s="16">
        <f>IF(J354="","",J354-K354)</f>
        <v/>
      </c>
      <c r="M354" s="14">
        <f>IF(A354="","",MONTH(A354))</f>
        <v/>
      </c>
      <c r="N354" s="14">
        <f>IF(A354="","",YEAR(A354))</f>
        <v/>
      </c>
    </row>
    <row r="355">
      <c r="A355" s="15" t="n"/>
      <c r="B355" s="10" t="n"/>
      <c r="C355" s="10" t="n"/>
      <c r="D355" s="10" t="n"/>
      <c r="E355" s="14">
        <f>IF(D355="","",IFERROR(INDEX('Sản phẩm'!$B$5:$B$304,MATCH(D355,'Sản phẩm'!$A$5:$A$304,0)),""))</f>
        <v/>
      </c>
      <c r="F355" s="12" t="n"/>
      <c r="G355" s="11" t="n"/>
      <c r="H355" s="11" t="n"/>
      <c r="I355" s="16">
        <f>IF(D355="","",IF(G355&lt;&gt;"",G355,IFERROR(INDEX('Sản phẩm'!$E$5:$E$304,MATCH(D355,'Sản phẩm'!$A$5:$A$304,0)),"")))</f>
        <v/>
      </c>
      <c r="J355" s="16">
        <f>IF(OR(D355="",F355=""),"",F355*I355-N(H355))</f>
        <v/>
      </c>
      <c r="K355" s="16">
        <f>IF(OR(D355="",F355=""),"",F355*IFERROR(INDEX('Sản phẩm'!$D$5:$D$304,MATCH(D355,'Sản phẩm'!$A$5:$A$304,0)),""))</f>
        <v/>
      </c>
      <c r="L355" s="16">
        <f>IF(J355="","",J355-K355)</f>
        <v/>
      </c>
      <c r="M355" s="14">
        <f>IF(A355="","",MONTH(A355))</f>
        <v/>
      </c>
      <c r="N355" s="14">
        <f>IF(A355="","",YEAR(A355))</f>
        <v/>
      </c>
    </row>
    <row r="356">
      <c r="A356" s="15" t="n"/>
      <c r="B356" s="10" t="n"/>
      <c r="C356" s="10" t="n"/>
      <c r="D356" s="10" t="n"/>
      <c r="E356" s="14">
        <f>IF(D356="","",IFERROR(INDEX('Sản phẩm'!$B$5:$B$304,MATCH(D356,'Sản phẩm'!$A$5:$A$304,0)),""))</f>
        <v/>
      </c>
      <c r="F356" s="12" t="n"/>
      <c r="G356" s="11" t="n"/>
      <c r="H356" s="11" t="n"/>
      <c r="I356" s="16">
        <f>IF(D356="","",IF(G356&lt;&gt;"",G356,IFERROR(INDEX('Sản phẩm'!$E$5:$E$304,MATCH(D356,'Sản phẩm'!$A$5:$A$304,0)),"")))</f>
        <v/>
      </c>
      <c r="J356" s="16">
        <f>IF(OR(D356="",F356=""),"",F356*I356-N(H356))</f>
        <v/>
      </c>
      <c r="K356" s="16">
        <f>IF(OR(D356="",F356=""),"",F356*IFERROR(INDEX('Sản phẩm'!$D$5:$D$304,MATCH(D356,'Sản phẩm'!$A$5:$A$304,0)),""))</f>
        <v/>
      </c>
      <c r="L356" s="16">
        <f>IF(J356="","",J356-K356)</f>
        <v/>
      </c>
      <c r="M356" s="14">
        <f>IF(A356="","",MONTH(A356))</f>
        <v/>
      </c>
      <c r="N356" s="14">
        <f>IF(A356="","",YEAR(A356))</f>
        <v/>
      </c>
    </row>
    <row r="357">
      <c r="A357" s="15" t="n"/>
      <c r="B357" s="10" t="n"/>
      <c r="C357" s="10" t="n"/>
      <c r="D357" s="10" t="n"/>
      <c r="E357" s="14">
        <f>IF(D357="","",IFERROR(INDEX('Sản phẩm'!$B$5:$B$304,MATCH(D357,'Sản phẩm'!$A$5:$A$304,0)),""))</f>
        <v/>
      </c>
      <c r="F357" s="12" t="n"/>
      <c r="G357" s="11" t="n"/>
      <c r="H357" s="11" t="n"/>
      <c r="I357" s="16">
        <f>IF(D357="","",IF(G357&lt;&gt;"",G357,IFERROR(INDEX('Sản phẩm'!$E$5:$E$304,MATCH(D357,'Sản phẩm'!$A$5:$A$304,0)),"")))</f>
        <v/>
      </c>
      <c r="J357" s="16">
        <f>IF(OR(D357="",F357=""),"",F357*I357-N(H357))</f>
        <v/>
      </c>
      <c r="K357" s="16">
        <f>IF(OR(D357="",F357=""),"",F357*IFERROR(INDEX('Sản phẩm'!$D$5:$D$304,MATCH(D357,'Sản phẩm'!$A$5:$A$304,0)),""))</f>
        <v/>
      </c>
      <c r="L357" s="16">
        <f>IF(J357="","",J357-K357)</f>
        <v/>
      </c>
      <c r="M357" s="14">
        <f>IF(A357="","",MONTH(A357))</f>
        <v/>
      </c>
      <c r="N357" s="14">
        <f>IF(A357="","",YEAR(A357))</f>
        <v/>
      </c>
    </row>
    <row r="358">
      <c r="A358" s="15" t="n"/>
      <c r="B358" s="10" t="n"/>
      <c r="C358" s="10" t="n"/>
      <c r="D358" s="10" t="n"/>
      <c r="E358" s="14">
        <f>IF(D358="","",IFERROR(INDEX('Sản phẩm'!$B$5:$B$304,MATCH(D358,'Sản phẩm'!$A$5:$A$304,0)),""))</f>
        <v/>
      </c>
      <c r="F358" s="12" t="n"/>
      <c r="G358" s="11" t="n"/>
      <c r="H358" s="11" t="n"/>
      <c r="I358" s="16">
        <f>IF(D358="","",IF(G358&lt;&gt;"",G358,IFERROR(INDEX('Sản phẩm'!$E$5:$E$304,MATCH(D358,'Sản phẩm'!$A$5:$A$304,0)),"")))</f>
        <v/>
      </c>
      <c r="J358" s="16">
        <f>IF(OR(D358="",F358=""),"",F358*I358-N(H358))</f>
        <v/>
      </c>
      <c r="K358" s="16">
        <f>IF(OR(D358="",F358=""),"",F358*IFERROR(INDEX('Sản phẩm'!$D$5:$D$304,MATCH(D358,'Sản phẩm'!$A$5:$A$304,0)),""))</f>
        <v/>
      </c>
      <c r="L358" s="16">
        <f>IF(J358="","",J358-K358)</f>
        <v/>
      </c>
      <c r="M358" s="14">
        <f>IF(A358="","",MONTH(A358))</f>
        <v/>
      </c>
      <c r="N358" s="14">
        <f>IF(A358="","",YEAR(A358))</f>
        <v/>
      </c>
    </row>
    <row r="359">
      <c r="A359" s="15" t="n"/>
      <c r="B359" s="10" t="n"/>
      <c r="C359" s="10" t="n"/>
      <c r="D359" s="10" t="n"/>
      <c r="E359" s="14">
        <f>IF(D359="","",IFERROR(INDEX('Sản phẩm'!$B$5:$B$304,MATCH(D359,'Sản phẩm'!$A$5:$A$304,0)),""))</f>
        <v/>
      </c>
      <c r="F359" s="12" t="n"/>
      <c r="G359" s="11" t="n"/>
      <c r="H359" s="11" t="n"/>
      <c r="I359" s="16">
        <f>IF(D359="","",IF(G359&lt;&gt;"",G359,IFERROR(INDEX('Sản phẩm'!$E$5:$E$304,MATCH(D359,'Sản phẩm'!$A$5:$A$304,0)),"")))</f>
        <v/>
      </c>
      <c r="J359" s="16">
        <f>IF(OR(D359="",F359=""),"",F359*I359-N(H359))</f>
        <v/>
      </c>
      <c r="K359" s="16">
        <f>IF(OR(D359="",F359=""),"",F359*IFERROR(INDEX('Sản phẩm'!$D$5:$D$304,MATCH(D359,'Sản phẩm'!$A$5:$A$304,0)),""))</f>
        <v/>
      </c>
      <c r="L359" s="16">
        <f>IF(J359="","",J359-K359)</f>
        <v/>
      </c>
      <c r="M359" s="14">
        <f>IF(A359="","",MONTH(A359))</f>
        <v/>
      </c>
      <c r="N359" s="14">
        <f>IF(A359="","",YEAR(A359))</f>
        <v/>
      </c>
    </row>
    <row r="360">
      <c r="A360" s="15" t="n"/>
      <c r="B360" s="10" t="n"/>
      <c r="C360" s="10" t="n"/>
      <c r="D360" s="10" t="n"/>
      <c r="E360" s="14">
        <f>IF(D360="","",IFERROR(INDEX('Sản phẩm'!$B$5:$B$304,MATCH(D360,'Sản phẩm'!$A$5:$A$304,0)),""))</f>
        <v/>
      </c>
      <c r="F360" s="12" t="n"/>
      <c r="G360" s="11" t="n"/>
      <c r="H360" s="11" t="n"/>
      <c r="I360" s="16">
        <f>IF(D360="","",IF(G360&lt;&gt;"",G360,IFERROR(INDEX('Sản phẩm'!$E$5:$E$304,MATCH(D360,'Sản phẩm'!$A$5:$A$304,0)),"")))</f>
        <v/>
      </c>
      <c r="J360" s="16">
        <f>IF(OR(D360="",F360=""),"",F360*I360-N(H360))</f>
        <v/>
      </c>
      <c r="K360" s="16">
        <f>IF(OR(D360="",F360=""),"",F360*IFERROR(INDEX('Sản phẩm'!$D$5:$D$304,MATCH(D360,'Sản phẩm'!$A$5:$A$304,0)),""))</f>
        <v/>
      </c>
      <c r="L360" s="16">
        <f>IF(J360="","",J360-K360)</f>
        <v/>
      </c>
      <c r="M360" s="14">
        <f>IF(A360="","",MONTH(A360))</f>
        <v/>
      </c>
      <c r="N360" s="14">
        <f>IF(A360="","",YEAR(A360))</f>
        <v/>
      </c>
    </row>
    <row r="361">
      <c r="A361" s="15" t="n"/>
      <c r="B361" s="10" t="n"/>
      <c r="C361" s="10" t="n"/>
      <c r="D361" s="10" t="n"/>
      <c r="E361" s="14">
        <f>IF(D361="","",IFERROR(INDEX('Sản phẩm'!$B$5:$B$304,MATCH(D361,'Sản phẩm'!$A$5:$A$304,0)),""))</f>
        <v/>
      </c>
      <c r="F361" s="12" t="n"/>
      <c r="G361" s="11" t="n"/>
      <c r="H361" s="11" t="n"/>
      <c r="I361" s="16">
        <f>IF(D361="","",IF(G361&lt;&gt;"",G361,IFERROR(INDEX('Sản phẩm'!$E$5:$E$304,MATCH(D361,'Sản phẩm'!$A$5:$A$304,0)),"")))</f>
        <v/>
      </c>
      <c r="J361" s="16">
        <f>IF(OR(D361="",F361=""),"",F361*I361-N(H361))</f>
        <v/>
      </c>
      <c r="K361" s="16">
        <f>IF(OR(D361="",F361=""),"",F361*IFERROR(INDEX('Sản phẩm'!$D$5:$D$304,MATCH(D361,'Sản phẩm'!$A$5:$A$304,0)),""))</f>
        <v/>
      </c>
      <c r="L361" s="16">
        <f>IF(J361="","",J361-K361)</f>
        <v/>
      </c>
      <c r="M361" s="14">
        <f>IF(A361="","",MONTH(A361))</f>
        <v/>
      </c>
      <c r="N361" s="14">
        <f>IF(A361="","",YEAR(A361))</f>
        <v/>
      </c>
    </row>
    <row r="362">
      <c r="A362" s="15" t="n"/>
      <c r="B362" s="10" t="n"/>
      <c r="C362" s="10" t="n"/>
      <c r="D362" s="10" t="n"/>
      <c r="E362" s="14">
        <f>IF(D362="","",IFERROR(INDEX('Sản phẩm'!$B$5:$B$304,MATCH(D362,'Sản phẩm'!$A$5:$A$304,0)),""))</f>
        <v/>
      </c>
      <c r="F362" s="12" t="n"/>
      <c r="G362" s="11" t="n"/>
      <c r="H362" s="11" t="n"/>
      <c r="I362" s="16">
        <f>IF(D362="","",IF(G362&lt;&gt;"",G362,IFERROR(INDEX('Sản phẩm'!$E$5:$E$304,MATCH(D362,'Sản phẩm'!$A$5:$A$304,0)),"")))</f>
        <v/>
      </c>
      <c r="J362" s="16">
        <f>IF(OR(D362="",F362=""),"",F362*I362-N(H362))</f>
        <v/>
      </c>
      <c r="K362" s="16">
        <f>IF(OR(D362="",F362=""),"",F362*IFERROR(INDEX('Sản phẩm'!$D$5:$D$304,MATCH(D362,'Sản phẩm'!$A$5:$A$304,0)),""))</f>
        <v/>
      </c>
      <c r="L362" s="16">
        <f>IF(J362="","",J362-K362)</f>
        <v/>
      </c>
      <c r="M362" s="14">
        <f>IF(A362="","",MONTH(A362))</f>
        <v/>
      </c>
      <c r="N362" s="14">
        <f>IF(A362="","",YEAR(A362))</f>
        <v/>
      </c>
    </row>
    <row r="363">
      <c r="A363" s="15" t="n"/>
      <c r="B363" s="10" t="n"/>
      <c r="C363" s="10" t="n"/>
      <c r="D363" s="10" t="n"/>
      <c r="E363" s="14">
        <f>IF(D363="","",IFERROR(INDEX('Sản phẩm'!$B$5:$B$304,MATCH(D363,'Sản phẩm'!$A$5:$A$304,0)),""))</f>
        <v/>
      </c>
      <c r="F363" s="12" t="n"/>
      <c r="G363" s="11" t="n"/>
      <c r="H363" s="11" t="n"/>
      <c r="I363" s="16">
        <f>IF(D363="","",IF(G363&lt;&gt;"",G363,IFERROR(INDEX('Sản phẩm'!$E$5:$E$304,MATCH(D363,'Sản phẩm'!$A$5:$A$304,0)),"")))</f>
        <v/>
      </c>
      <c r="J363" s="16">
        <f>IF(OR(D363="",F363=""),"",F363*I363-N(H363))</f>
        <v/>
      </c>
      <c r="K363" s="16">
        <f>IF(OR(D363="",F363=""),"",F363*IFERROR(INDEX('Sản phẩm'!$D$5:$D$304,MATCH(D363,'Sản phẩm'!$A$5:$A$304,0)),""))</f>
        <v/>
      </c>
      <c r="L363" s="16">
        <f>IF(J363="","",J363-K363)</f>
        <v/>
      </c>
      <c r="M363" s="14">
        <f>IF(A363="","",MONTH(A363))</f>
        <v/>
      </c>
      <c r="N363" s="14">
        <f>IF(A363="","",YEAR(A363))</f>
        <v/>
      </c>
    </row>
    <row r="364">
      <c r="A364" s="15" t="n"/>
      <c r="B364" s="10" t="n"/>
      <c r="C364" s="10" t="n"/>
      <c r="D364" s="10" t="n"/>
      <c r="E364" s="14">
        <f>IF(D364="","",IFERROR(INDEX('Sản phẩm'!$B$5:$B$304,MATCH(D364,'Sản phẩm'!$A$5:$A$304,0)),""))</f>
        <v/>
      </c>
      <c r="F364" s="12" t="n"/>
      <c r="G364" s="11" t="n"/>
      <c r="H364" s="11" t="n"/>
      <c r="I364" s="16">
        <f>IF(D364="","",IF(G364&lt;&gt;"",G364,IFERROR(INDEX('Sản phẩm'!$E$5:$E$304,MATCH(D364,'Sản phẩm'!$A$5:$A$304,0)),"")))</f>
        <v/>
      </c>
      <c r="J364" s="16">
        <f>IF(OR(D364="",F364=""),"",F364*I364-N(H364))</f>
        <v/>
      </c>
      <c r="K364" s="16">
        <f>IF(OR(D364="",F364=""),"",F364*IFERROR(INDEX('Sản phẩm'!$D$5:$D$304,MATCH(D364,'Sản phẩm'!$A$5:$A$304,0)),""))</f>
        <v/>
      </c>
      <c r="L364" s="16">
        <f>IF(J364="","",J364-K364)</f>
        <v/>
      </c>
      <c r="M364" s="14">
        <f>IF(A364="","",MONTH(A364))</f>
        <v/>
      </c>
      <c r="N364" s="14">
        <f>IF(A364="","",YEAR(A364))</f>
        <v/>
      </c>
    </row>
    <row r="365">
      <c r="A365" s="15" t="n"/>
      <c r="B365" s="10" t="n"/>
      <c r="C365" s="10" t="n"/>
      <c r="D365" s="10" t="n"/>
      <c r="E365" s="14">
        <f>IF(D365="","",IFERROR(INDEX('Sản phẩm'!$B$5:$B$304,MATCH(D365,'Sản phẩm'!$A$5:$A$304,0)),""))</f>
        <v/>
      </c>
      <c r="F365" s="12" t="n"/>
      <c r="G365" s="11" t="n"/>
      <c r="H365" s="11" t="n"/>
      <c r="I365" s="16">
        <f>IF(D365="","",IF(G365&lt;&gt;"",G365,IFERROR(INDEX('Sản phẩm'!$E$5:$E$304,MATCH(D365,'Sản phẩm'!$A$5:$A$304,0)),"")))</f>
        <v/>
      </c>
      <c r="J365" s="16">
        <f>IF(OR(D365="",F365=""),"",F365*I365-N(H365))</f>
        <v/>
      </c>
      <c r="K365" s="16">
        <f>IF(OR(D365="",F365=""),"",F365*IFERROR(INDEX('Sản phẩm'!$D$5:$D$304,MATCH(D365,'Sản phẩm'!$A$5:$A$304,0)),""))</f>
        <v/>
      </c>
      <c r="L365" s="16">
        <f>IF(J365="","",J365-K365)</f>
        <v/>
      </c>
      <c r="M365" s="14">
        <f>IF(A365="","",MONTH(A365))</f>
        <v/>
      </c>
      <c r="N365" s="14">
        <f>IF(A365="","",YEAR(A365))</f>
        <v/>
      </c>
    </row>
    <row r="366">
      <c r="A366" s="15" t="n"/>
      <c r="B366" s="10" t="n"/>
      <c r="C366" s="10" t="n"/>
      <c r="D366" s="10" t="n"/>
      <c r="E366" s="14">
        <f>IF(D366="","",IFERROR(INDEX('Sản phẩm'!$B$5:$B$304,MATCH(D366,'Sản phẩm'!$A$5:$A$304,0)),""))</f>
        <v/>
      </c>
      <c r="F366" s="12" t="n"/>
      <c r="G366" s="11" t="n"/>
      <c r="H366" s="11" t="n"/>
      <c r="I366" s="16">
        <f>IF(D366="","",IF(G366&lt;&gt;"",G366,IFERROR(INDEX('Sản phẩm'!$E$5:$E$304,MATCH(D366,'Sản phẩm'!$A$5:$A$304,0)),"")))</f>
        <v/>
      </c>
      <c r="J366" s="16">
        <f>IF(OR(D366="",F366=""),"",F366*I366-N(H366))</f>
        <v/>
      </c>
      <c r="K366" s="16">
        <f>IF(OR(D366="",F366=""),"",F366*IFERROR(INDEX('Sản phẩm'!$D$5:$D$304,MATCH(D366,'Sản phẩm'!$A$5:$A$304,0)),""))</f>
        <v/>
      </c>
      <c r="L366" s="16">
        <f>IF(J366="","",J366-K366)</f>
        <v/>
      </c>
      <c r="M366" s="14">
        <f>IF(A366="","",MONTH(A366))</f>
        <v/>
      </c>
      <c r="N366" s="14">
        <f>IF(A366="","",YEAR(A366))</f>
        <v/>
      </c>
    </row>
    <row r="367">
      <c r="A367" s="15" t="n"/>
      <c r="B367" s="10" t="n"/>
      <c r="C367" s="10" t="n"/>
      <c r="D367" s="10" t="n"/>
      <c r="E367" s="14">
        <f>IF(D367="","",IFERROR(INDEX('Sản phẩm'!$B$5:$B$304,MATCH(D367,'Sản phẩm'!$A$5:$A$304,0)),""))</f>
        <v/>
      </c>
      <c r="F367" s="12" t="n"/>
      <c r="G367" s="11" t="n"/>
      <c r="H367" s="11" t="n"/>
      <c r="I367" s="16">
        <f>IF(D367="","",IF(G367&lt;&gt;"",G367,IFERROR(INDEX('Sản phẩm'!$E$5:$E$304,MATCH(D367,'Sản phẩm'!$A$5:$A$304,0)),"")))</f>
        <v/>
      </c>
      <c r="J367" s="16">
        <f>IF(OR(D367="",F367=""),"",F367*I367-N(H367))</f>
        <v/>
      </c>
      <c r="K367" s="16">
        <f>IF(OR(D367="",F367=""),"",F367*IFERROR(INDEX('Sản phẩm'!$D$5:$D$304,MATCH(D367,'Sản phẩm'!$A$5:$A$304,0)),""))</f>
        <v/>
      </c>
      <c r="L367" s="16">
        <f>IF(J367="","",J367-K367)</f>
        <v/>
      </c>
      <c r="M367" s="14">
        <f>IF(A367="","",MONTH(A367))</f>
        <v/>
      </c>
      <c r="N367" s="14">
        <f>IF(A367="","",YEAR(A367))</f>
        <v/>
      </c>
    </row>
    <row r="368">
      <c r="A368" s="15" t="n"/>
      <c r="B368" s="10" t="n"/>
      <c r="C368" s="10" t="n"/>
      <c r="D368" s="10" t="n"/>
      <c r="E368" s="14">
        <f>IF(D368="","",IFERROR(INDEX('Sản phẩm'!$B$5:$B$304,MATCH(D368,'Sản phẩm'!$A$5:$A$304,0)),""))</f>
        <v/>
      </c>
      <c r="F368" s="12" t="n"/>
      <c r="G368" s="11" t="n"/>
      <c r="H368" s="11" t="n"/>
      <c r="I368" s="16">
        <f>IF(D368="","",IF(G368&lt;&gt;"",G368,IFERROR(INDEX('Sản phẩm'!$E$5:$E$304,MATCH(D368,'Sản phẩm'!$A$5:$A$304,0)),"")))</f>
        <v/>
      </c>
      <c r="J368" s="16">
        <f>IF(OR(D368="",F368=""),"",F368*I368-N(H368))</f>
        <v/>
      </c>
      <c r="K368" s="16">
        <f>IF(OR(D368="",F368=""),"",F368*IFERROR(INDEX('Sản phẩm'!$D$5:$D$304,MATCH(D368,'Sản phẩm'!$A$5:$A$304,0)),""))</f>
        <v/>
      </c>
      <c r="L368" s="16">
        <f>IF(J368="","",J368-K368)</f>
        <v/>
      </c>
      <c r="M368" s="14">
        <f>IF(A368="","",MONTH(A368))</f>
        <v/>
      </c>
      <c r="N368" s="14">
        <f>IF(A368="","",YEAR(A368))</f>
        <v/>
      </c>
    </row>
    <row r="369">
      <c r="A369" s="15" t="n"/>
      <c r="B369" s="10" t="n"/>
      <c r="C369" s="10" t="n"/>
      <c r="D369" s="10" t="n"/>
      <c r="E369" s="14">
        <f>IF(D369="","",IFERROR(INDEX('Sản phẩm'!$B$5:$B$304,MATCH(D369,'Sản phẩm'!$A$5:$A$304,0)),""))</f>
        <v/>
      </c>
      <c r="F369" s="12" t="n"/>
      <c r="G369" s="11" t="n"/>
      <c r="H369" s="11" t="n"/>
      <c r="I369" s="16">
        <f>IF(D369="","",IF(G369&lt;&gt;"",G369,IFERROR(INDEX('Sản phẩm'!$E$5:$E$304,MATCH(D369,'Sản phẩm'!$A$5:$A$304,0)),"")))</f>
        <v/>
      </c>
      <c r="J369" s="16">
        <f>IF(OR(D369="",F369=""),"",F369*I369-N(H369))</f>
        <v/>
      </c>
      <c r="K369" s="16">
        <f>IF(OR(D369="",F369=""),"",F369*IFERROR(INDEX('Sản phẩm'!$D$5:$D$304,MATCH(D369,'Sản phẩm'!$A$5:$A$304,0)),""))</f>
        <v/>
      </c>
      <c r="L369" s="16">
        <f>IF(J369="","",J369-K369)</f>
        <v/>
      </c>
      <c r="M369" s="14">
        <f>IF(A369="","",MONTH(A369))</f>
        <v/>
      </c>
      <c r="N369" s="14">
        <f>IF(A369="","",YEAR(A369))</f>
        <v/>
      </c>
    </row>
    <row r="370">
      <c r="A370" s="15" t="n"/>
      <c r="B370" s="10" t="n"/>
      <c r="C370" s="10" t="n"/>
      <c r="D370" s="10" t="n"/>
      <c r="E370" s="14">
        <f>IF(D370="","",IFERROR(INDEX('Sản phẩm'!$B$5:$B$304,MATCH(D370,'Sản phẩm'!$A$5:$A$304,0)),""))</f>
        <v/>
      </c>
      <c r="F370" s="12" t="n"/>
      <c r="G370" s="11" t="n"/>
      <c r="H370" s="11" t="n"/>
      <c r="I370" s="16">
        <f>IF(D370="","",IF(G370&lt;&gt;"",G370,IFERROR(INDEX('Sản phẩm'!$E$5:$E$304,MATCH(D370,'Sản phẩm'!$A$5:$A$304,0)),"")))</f>
        <v/>
      </c>
      <c r="J370" s="16">
        <f>IF(OR(D370="",F370=""),"",F370*I370-N(H370))</f>
        <v/>
      </c>
      <c r="K370" s="16">
        <f>IF(OR(D370="",F370=""),"",F370*IFERROR(INDEX('Sản phẩm'!$D$5:$D$304,MATCH(D370,'Sản phẩm'!$A$5:$A$304,0)),""))</f>
        <v/>
      </c>
      <c r="L370" s="16">
        <f>IF(J370="","",J370-K370)</f>
        <v/>
      </c>
      <c r="M370" s="14">
        <f>IF(A370="","",MONTH(A370))</f>
        <v/>
      </c>
      <c r="N370" s="14">
        <f>IF(A370="","",YEAR(A370))</f>
        <v/>
      </c>
    </row>
    <row r="371">
      <c r="A371" s="15" t="n"/>
      <c r="B371" s="10" t="n"/>
      <c r="C371" s="10" t="n"/>
      <c r="D371" s="10" t="n"/>
      <c r="E371" s="14">
        <f>IF(D371="","",IFERROR(INDEX('Sản phẩm'!$B$5:$B$304,MATCH(D371,'Sản phẩm'!$A$5:$A$304,0)),""))</f>
        <v/>
      </c>
      <c r="F371" s="12" t="n"/>
      <c r="G371" s="11" t="n"/>
      <c r="H371" s="11" t="n"/>
      <c r="I371" s="16">
        <f>IF(D371="","",IF(G371&lt;&gt;"",G371,IFERROR(INDEX('Sản phẩm'!$E$5:$E$304,MATCH(D371,'Sản phẩm'!$A$5:$A$304,0)),"")))</f>
        <v/>
      </c>
      <c r="J371" s="16">
        <f>IF(OR(D371="",F371=""),"",F371*I371-N(H371))</f>
        <v/>
      </c>
      <c r="K371" s="16">
        <f>IF(OR(D371="",F371=""),"",F371*IFERROR(INDEX('Sản phẩm'!$D$5:$D$304,MATCH(D371,'Sản phẩm'!$A$5:$A$304,0)),""))</f>
        <v/>
      </c>
      <c r="L371" s="16">
        <f>IF(J371="","",J371-K371)</f>
        <v/>
      </c>
      <c r="M371" s="14">
        <f>IF(A371="","",MONTH(A371))</f>
        <v/>
      </c>
      <c r="N371" s="14">
        <f>IF(A371="","",YEAR(A371))</f>
        <v/>
      </c>
    </row>
    <row r="372">
      <c r="A372" s="15" t="n"/>
      <c r="B372" s="10" t="n"/>
      <c r="C372" s="10" t="n"/>
      <c r="D372" s="10" t="n"/>
      <c r="E372" s="14">
        <f>IF(D372="","",IFERROR(INDEX('Sản phẩm'!$B$5:$B$304,MATCH(D372,'Sản phẩm'!$A$5:$A$304,0)),""))</f>
        <v/>
      </c>
      <c r="F372" s="12" t="n"/>
      <c r="G372" s="11" t="n"/>
      <c r="H372" s="11" t="n"/>
      <c r="I372" s="16">
        <f>IF(D372="","",IF(G372&lt;&gt;"",G372,IFERROR(INDEX('Sản phẩm'!$E$5:$E$304,MATCH(D372,'Sản phẩm'!$A$5:$A$304,0)),"")))</f>
        <v/>
      </c>
      <c r="J372" s="16">
        <f>IF(OR(D372="",F372=""),"",F372*I372-N(H372))</f>
        <v/>
      </c>
      <c r="K372" s="16">
        <f>IF(OR(D372="",F372=""),"",F372*IFERROR(INDEX('Sản phẩm'!$D$5:$D$304,MATCH(D372,'Sản phẩm'!$A$5:$A$304,0)),""))</f>
        <v/>
      </c>
      <c r="L372" s="16">
        <f>IF(J372="","",J372-K372)</f>
        <v/>
      </c>
      <c r="M372" s="14">
        <f>IF(A372="","",MONTH(A372))</f>
        <v/>
      </c>
      <c r="N372" s="14">
        <f>IF(A372="","",YEAR(A372))</f>
        <v/>
      </c>
    </row>
    <row r="373">
      <c r="A373" s="15" t="n"/>
      <c r="B373" s="10" t="n"/>
      <c r="C373" s="10" t="n"/>
      <c r="D373" s="10" t="n"/>
      <c r="E373" s="14">
        <f>IF(D373="","",IFERROR(INDEX('Sản phẩm'!$B$5:$B$304,MATCH(D373,'Sản phẩm'!$A$5:$A$304,0)),""))</f>
        <v/>
      </c>
      <c r="F373" s="12" t="n"/>
      <c r="G373" s="11" t="n"/>
      <c r="H373" s="11" t="n"/>
      <c r="I373" s="16">
        <f>IF(D373="","",IF(G373&lt;&gt;"",G373,IFERROR(INDEX('Sản phẩm'!$E$5:$E$304,MATCH(D373,'Sản phẩm'!$A$5:$A$304,0)),"")))</f>
        <v/>
      </c>
      <c r="J373" s="16">
        <f>IF(OR(D373="",F373=""),"",F373*I373-N(H373))</f>
        <v/>
      </c>
      <c r="K373" s="16">
        <f>IF(OR(D373="",F373=""),"",F373*IFERROR(INDEX('Sản phẩm'!$D$5:$D$304,MATCH(D373,'Sản phẩm'!$A$5:$A$304,0)),""))</f>
        <v/>
      </c>
      <c r="L373" s="16">
        <f>IF(J373="","",J373-K373)</f>
        <v/>
      </c>
      <c r="M373" s="14">
        <f>IF(A373="","",MONTH(A373))</f>
        <v/>
      </c>
      <c r="N373" s="14">
        <f>IF(A373="","",YEAR(A373))</f>
        <v/>
      </c>
    </row>
    <row r="374">
      <c r="A374" s="15" t="n"/>
      <c r="B374" s="10" t="n"/>
      <c r="C374" s="10" t="n"/>
      <c r="D374" s="10" t="n"/>
      <c r="E374" s="14">
        <f>IF(D374="","",IFERROR(INDEX('Sản phẩm'!$B$5:$B$304,MATCH(D374,'Sản phẩm'!$A$5:$A$304,0)),""))</f>
        <v/>
      </c>
      <c r="F374" s="12" t="n"/>
      <c r="G374" s="11" t="n"/>
      <c r="H374" s="11" t="n"/>
      <c r="I374" s="16">
        <f>IF(D374="","",IF(G374&lt;&gt;"",G374,IFERROR(INDEX('Sản phẩm'!$E$5:$E$304,MATCH(D374,'Sản phẩm'!$A$5:$A$304,0)),"")))</f>
        <v/>
      </c>
      <c r="J374" s="16">
        <f>IF(OR(D374="",F374=""),"",F374*I374-N(H374))</f>
        <v/>
      </c>
      <c r="K374" s="16">
        <f>IF(OR(D374="",F374=""),"",F374*IFERROR(INDEX('Sản phẩm'!$D$5:$D$304,MATCH(D374,'Sản phẩm'!$A$5:$A$304,0)),""))</f>
        <v/>
      </c>
      <c r="L374" s="16">
        <f>IF(J374="","",J374-K374)</f>
        <v/>
      </c>
      <c r="M374" s="14">
        <f>IF(A374="","",MONTH(A374))</f>
        <v/>
      </c>
      <c r="N374" s="14">
        <f>IF(A374="","",YEAR(A374))</f>
        <v/>
      </c>
    </row>
    <row r="375">
      <c r="A375" s="15" t="n"/>
      <c r="B375" s="10" t="n"/>
      <c r="C375" s="10" t="n"/>
      <c r="D375" s="10" t="n"/>
      <c r="E375" s="14">
        <f>IF(D375="","",IFERROR(INDEX('Sản phẩm'!$B$5:$B$304,MATCH(D375,'Sản phẩm'!$A$5:$A$304,0)),""))</f>
        <v/>
      </c>
      <c r="F375" s="12" t="n"/>
      <c r="G375" s="11" t="n"/>
      <c r="H375" s="11" t="n"/>
      <c r="I375" s="16">
        <f>IF(D375="","",IF(G375&lt;&gt;"",G375,IFERROR(INDEX('Sản phẩm'!$E$5:$E$304,MATCH(D375,'Sản phẩm'!$A$5:$A$304,0)),"")))</f>
        <v/>
      </c>
      <c r="J375" s="16">
        <f>IF(OR(D375="",F375=""),"",F375*I375-N(H375))</f>
        <v/>
      </c>
      <c r="K375" s="16">
        <f>IF(OR(D375="",F375=""),"",F375*IFERROR(INDEX('Sản phẩm'!$D$5:$D$304,MATCH(D375,'Sản phẩm'!$A$5:$A$304,0)),""))</f>
        <v/>
      </c>
      <c r="L375" s="16">
        <f>IF(J375="","",J375-K375)</f>
        <v/>
      </c>
      <c r="M375" s="14">
        <f>IF(A375="","",MONTH(A375))</f>
        <v/>
      </c>
      <c r="N375" s="14">
        <f>IF(A375="","",YEAR(A375))</f>
        <v/>
      </c>
    </row>
    <row r="376">
      <c r="A376" s="15" t="n"/>
      <c r="B376" s="10" t="n"/>
      <c r="C376" s="10" t="n"/>
      <c r="D376" s="10" t="n"/>
      <c r="E376" s="14">
        <f>IF(D376="","",IFERROR(INDEX('Sản phẩm'!$B$5:$B$304,MATCH(D376,'Sản phẩm'!$A$5:$A$304,0)),""))</f>
        <v/>
      </c>
      <c r="F376" s="12" t="n"/>
      <c r="G376" s="11" t="n"/>
      <c r="H376" s="11" t="n"/>
      <c r="I376" s="16">
        <f>IF(D376="","",IF(G376&lt;&gt;"",G376,IFERROR(INDEX('Sản phẩm'!$E$5:$E$304,MATCH(D376,'Sản phẩm'!$A$5:$A$304,0)),"")))</f>
        <v/>
      </c>
      <c r="J376" s="16">
        <f>IF(OR(D376="",F376=""),"",F376*I376-N(H376))</f>
        <v/>
      </c>
      <c r="K376" s="16">
        <f>IF(OR(D376="",F376=""),"",F376*IFERROR(INDEX('Sản phẩm'!$D$5:$D$304,MATCH(D376,'Sản phẩm'!$A$5:$A$304,0)),""))</f>
        <v/>
      </c>
      <c r="L376" s="16">
        <f>IF(J376="","",J376-K376)</f>
        <v/>
      </c>
      <c r="M376" s="14">
        <f>IF(A376="","",MONTH(A376))</f>
        <v/>
      </c>
      <c r="N376" s="14">
        <f>IF(A376="","",YEAR(A376))</f>
        <v/>
      </c>
    </row>
    <row r="377">
      <c r="A377" s="15" t="n"/>
      <c r="B377" s="10" t="n"/>
      <c r="C377" s="10" t="n"/>
      <c r="D377" s="10" t="n"/>
      <c r="E377" s="14">
        <f>IF(D377="","",IFERROR(INDEX('Sản phẩm'!$B$5:$B$304,MATCH(D377,'Sản phẩm'!$A$5:$A$304,0)),""))</f>
        <v/>
      </c>
      <c r="F377" s="12" t="n"/>
      <c r="G377" s="11" t="n"/>
      <c r="H377" s="11" t="n"/>
      <c r="I377" s="16">
        <f>IF(D377="","",IF(G377&lt;&gt;"",G377,IFERROR(INDEX('Sản phẩm'!$E$5:$E$304,MATCH(D377,'Sản phẩm'!$A$5:$A$304,0)),"")))</f>
        <v/>
      </c>
      <c r="J377" s="16">
        <f>IF(OR(D377="",F377=""),"",F377*I377-N(H377))</f>
        <v/>
      </c>
      <c r="K377" s="16">
        <f>IF(OR(D377="",F377=""),"",F377*IFERROR(INDEX('Sản phẩm'!$D$5:$D$304,MATCH(D377,'Sản phẩm'!$A$5:$A$304,0)),""))</f>
        <v/>
      </c>
      <c r="L377" s="16">
        <f>IF(J377="","",J377-K377)</f>
        <v/>
      </c>
      <c r="M377" s="14">
        <f>IF(A377="","",MONTH(A377))</f>
        <v/>
      </c>
      <c r="N377" s="14">
        <f>IF(A377="","",YEAR(A377))</f>
        <v/>
      </c>
    </row>
    <row r="378">
      <c r="A378" s="15" t="n"/>
      <c r="B378" s="10" t="n"/>
      <c r="C378" s="10" t="n"/>
      <c r="D378" s="10" t="n"/>
      <c r="E378" s="14">
        <f>IF(D378="","",IFERROR(INDEX('Sản phẩm'!$B$5:$B$304,MATCH(D378,'Sản phẩm'!$A$5:$A$304,0)),""))</f>
        <v/>
      </c>
      <c r="F378" s="12" t="n"/>
      <c r="G378" s="11" t="n"/>
      <c r="H378" s="11" t="n"/>
      <c r="I378" s="16">
        <f>IF(D378="","",IF(G378&lt;&gt;"",G378,IFERROR(INDEX('Sản phẩm'!$E$5:$E$304,MATCH(D378,'Sản phẩm'!$A$5:$A$304,0)),"")))</f>
        <v/>
      </c>
      <c r="J378" s="16">
        <f>IF(OR(D378="",F378=""),"",F378*I378-N(H378))</f>
        <v/>
      </c>
      <c r="K378" s="16">
        <f>IF(OR(D378="",F378=""),"",F378*IFERROR(INDEX('Sản phẩm'!$D$5:$D$304,MATCH(D378,'Sản phẩm'!$A$5:$A$304,0)),""))</f>
        <v/>
      </c>
      <c r="L378" s="16">
        <f>IF(J378="","",J378-K378)</f>
        <v/>
      </c>
      <c r="M378" s="14">
        <f>IF(A378="","",MONTH(A378))</f>
        <v/>
      </c>
      <c r="N378" s="14">
        <f>IF(A378="","",YEAR(A378))</f>
        <v/>
      </c>
    </row>
    <row r="379">
      <c r="A379" s="15" t="n"/>
      <c r="B379" s="10" t="n"/>
      <c r="C379" s="10" t="n"/>
      <c r="D379" s="10" t="n"/>
      <c r="E379" s="14">
        <f>IF(D379="","",IFERROR(INDEX('Sản phẩm'!$B$5:$B$304,MATCH(D379,'Sản phẩm'!$A$5:$A$304,0)),""))</f>
        <v/>
      </c>
      <c r="F379" s="12" t="n"/>
      <c r="G379" s="11" t="n"/>
      <c r="H379" s="11" t="n"/>
      <c r="I379" s="16">
        <f>IF(D379="","",IF(G379&lt;&gt;"",G379,IFERROR(INDEX('Sản phẩm'!$E$5:$E$304,MATCH(D379,'Sản phẩm'!$A$5:$A$304,0)),"")))</f>
        <v/>
      </c>
      <c r="J379" s="16">
        <f>IF(OR(D379="",F379=""),"",F379*I379-N(H379))</f>
        <v/>
      </c>
      <c r="K379" s="16">
        <f>IF(OR(D379="",F379=""),"",F379*IFERROR(INDEX('Sản phẩm'!$D$5:$D$304,MATCH(D379,'Sản phẩm'!$A$5:$A$304,0)),""))</f>
        <v/>
      </c>
      <c r="L379" s="16">
        <f>IF(J379="","",J379-K379)</f>
        <v/>
      </c>
      <c r="M379" s="14">
        <f>IF(A379="","",MONTH(A379))</f>
        <v/>
      </c>
      <c r="N379" s="14">
        <f>IF(A379="","",YEAR(A379))</f>
        <v/>
      </c>
    </row>
    <row r="380">
      <c r="A380" s="15" t="n"/>
      <c r="B380" s="10" t="n"/>
      <c r="C380" s="10" t="n"/>
      <c r="D380" s="10" t="n"/>
      <c r="E380" s="14">
        <f>IF(D380="","",IFERROR(INDEX('Sản phẩm'!$B$5:$B$304,MATCH(D380,'Sản phẩm'!$A$5:$A$304,0)),""))</f>
        <v/>
      </c>
      <c r="F380" s="12" t="n"/>
      <c r="G380" s="11" t="n"/>
      <c r="H380" s="11" t="n"/>
      <c r="I380" s="16">
        <f>IF(D380="","",IF(G380&lt;&gt;"",G380,IFERROR(INDEX('Sản phẩm'!$E$5:$E$304,MATCH(D380,'Sản phẩm'!$A$5:$A$304,0)),"")))</f>
        <v/>
      </c>
      <c r="J380" s="16">
        <f>IF(OR(D380="",F380=""),"",F380*I380-N(H380))</f>
        <v/>
      </c>
      <c r="K380" s="16">
        <f>IF(OR(D380="",F380=""),"",F380*IFERROR(INDEX('Sản phẩm'!$D$5:$D$304,MATCH(D380,'Sản phẩm'!$A$5:$A$304,0)),""))</f>
        <v/>
      </c>
      <c r="L380" s="16">
        <f>IF(J380="","",J380-K380)</f>
        <v/>
      </c>
      <c r="M380" s="14">
        <f>IF(A380="","",MONTH(A380))</f>
        <v/>
      </c>
      <c r="N380" s="14">
        <f>IF(A380="","",YEAR(A380))</f>
        <v/>
      </c>
    </row>
    <row r="381">
      <c r="A381" s="15" t="n"/>
      <c r="B381" s="10" t="n"/>
      <c r="C381" s="10" t="n"/>
      <c r="D381" s="10" t="n"/>
      <c r="E381" s="14">
        <f>IF(D381="","",IFERROR(INDEX('Sản phẩm'!$B$5:$B$304,MATCH(D381,'Sản phẩm'!$A$5:$A$304,0)),""))</f>
        <v/>
      </c>
      <c r="F381" s="12" t="n"/>
      <c r="G381" s="11" t="n"/>
      <c r="H381" s="11" t="n"/>
      <c r="I381" s="16">
        <f>IF(D381="","",IF(G381&lt;&gt;"",G381,IFERROR(INDEX('Sản phẩm'!$E$5:$E$304,MATCH(D381,'Sản phẩm'!$A$5:$A$304,0)),"")))</f>
        <v/>
      </c>
      <c r="J381" s="16">
        <f>IF(OR(D381="",F381=""),"",F381*I381-N(H381))</f>
        <v/>
      </c>
      <c r="K381" s="16">
        <f>IF(OR(D381="",F381=""),"",F381*IFERROR(INDEX('Sản phẩm'!$D$5:$D$304,MATCH(D381,'Sản phẩm'!$A$5:$A$304,0)),""))</f>
        <v/>
      </c>
      <c r="L381" s="16">
        <f>IF(J381="","",J381-K381)</f>
        <v/>
      </c>
      <c r="M381" s="14">
        <f>IF(A381="","",MONTH(A381))</f>
        <v/>
      </c>
      <c r="N381" s="14">
        <f>IF(A381="","",YEAR(A381))</f>
        <v/>
      </c>
    </row>
    <row r="382">
      <c r="A382" s="15" t="n"/>
      <c r="B382" s="10" t="n"/>
      <c r="C382" s="10" t="n"/>
      <c r="D382" s="10" t="n"/>
      <c r="E382" s="14">
        <f>IF(D382="","",IFERROR(INDEX('Sản phẩm'!$B$5:$B$304,MATCH(D382,'Sản phẩm'!$A$5:$A$304,0)),""))</f>
        <v/>
      </c>
      <c r="F382" s="12" t="n"/>
      <c r="G382" s="11" t="n"/>
      <c r="H382" s="11" t="n"/>
      <c r="I382" s="16">
        <f>IF(D382="","",IF(G382&lt;&gt;"",G382,IFERROR(INDEX('Sản phẩm'!$E$5:$E$304,MATCH(D382,'Sản phẩm'!$A$5:$A$304,0)),"")))</f>
        <v/>
      </c>
      <c r="J382" s="16">
        <f>IF(OR(D382="",F382=""),"",F382*I382-N(H382))</f>
        <v/>
      </c>
      <c r="K382" s="16">
        <f>IF(OR(D382="",F382=""),"",F382*IFERROR(INDEX('Sản phẩm'!$D$5:$D$304,MATCH(D382,'Sản phẩm'!$A$5:$A$304,0)),""))</f>
        <v/>
      </c>
      <c r="L382" s="16">
        <f>IF(J382="","",J382-K382)</f>
        <v/>
      </c>
      <c r="M382" s="14">
        <f>IF(A382="","",MONTH(A382))</f>
        <v/>
      </c>
      <c r="N382" s="14">
        <f>IF(A382="","",YEAR(A382))</f>
        <v/>
      </c>
    </row>
    <row r="383">
      <c r="A383" s="15" t="n"/>
      <c r="B383" s="10" t="n"/>
      <c r="C383" s="10" t="n"/>
      <c r="D383" s="10" t="n"/>
      <c r="E383" s="14">
        <f>IF(D383="","",IFERROR(INDEX('Sản phẩm'!$B$5:$B$304,MATCH(D383,'Sản phẩm'!$A$5:$A$304,0)),""))</f>
        <v/>
      </c>
      <c r="F383" s="12" t="n"/>
      <c r="G383" s="11" t="n"/>
      <c r="H383" s="11" t="n"/>
      <c r="I383" s="16">
        <f>IF(D383="","",IF(G383&lt;&gt;"",G383,IFERROR(INDEX('Sản phẩm'!$E$5:$E$304,MATCH(D383,'Sản phẩm'!$A$5:$A$304,0)),"")))</f>
        <v/>
      </c>
      <c r="J383" s="16">
        <f>IF(OR(D383="",F383=""),"",F383*I383-N(H383))</f>
        <v/>
      </c>
      <c r="K383" s="16">
        <f>IF(OR(D383="",F383=""),"",F383*IFERROR(INDEX('Sản phẩm'!$D$5:$D$304,MATCH(D383,'Sản phẩm'!$A$5:$A$304,0)),""))</f>
        <v/>
      </c>
      <c r="L383" s="16">
        <f>IF(J383="","",J383-K383)</f>
        <v/>
      </c>
      <c r="M383" s="14">
        <f>IF(A383="","",MONTH(A383))</f>
        <v/>
      </c>
      <c r="N383" s="14">
        <f>IF(A383="","",YEAR(A383))</f>
        <v/>
      </c>
    </row>
    <row r="384">
      <c r="A384" s="15" t="n"/>
      <c r="B384" s="10" t="n"/>
      <c r="C384" s="10" t="n"/>
      <c r="D384" s="10" t="n"/>
      <c r="E384" s="14">
        <f>IF(D384="","",IFERROR(INDEX('Sản phẩm'!$B$5:$B$304,MATCH(D384,'Sản phẩm'!$A$5:$A$304,0)),""))</f>
        <v/>
      </c>
      <c r="F384" s="12" t="n"/>
      <c r="G384" s="11" t="n"/>
      <c r="H384" s="11" t="n"/>
      <c r="I384" s="16">
        <f>IF(D384="","",IF(G384&lt;&gt;"",G384,IFERROR(INDEX('Sản phẩm'!$E$5:$E$304,MATCH(D384,'Sản phẩm'!$A$5:$A$304,0)),"")))</f>
        <v/>
      </c>
      <c r="J384" s="16">
        <f>IF(OR(D384="",F384=""),"",F384*I384-N(H384))</f>
        <v/>
      </c>
      <c r="K384" s="16">
        <f>IF(OR(D384="",F384=""),"",F384*IFERROR(INDEX('Sản phẩm'!$D$5:$D$304,MATCH(D384,'Sản phẩm'!$A$5:$A$304,0)),""))</f>
        <v/>
      </c>
      <c r="L384" s="16">
        <f>IF(J384="","",J384-K384)</f>
        <v/>
      </c>
      <c r="M384" s="14">
        <f>IF(A384="","",MONTH(A384))</f>
        <v/>
      </c>
      <c r="N384" s="14">
        <f>IF(A384="","",YEAR(A384))</f>
        <v/>
      </c>
    </row>
    <row r="385">
      <c r="A385" s="15" t="n"/>
      <c r="B385" s="10" t="n"/>
      <c r="C385" s="10" t="n"/>
      <c r="D385" s="10" t="n"/>
      <c r="E385" s="14">
        <f>IF(D385="","",IFERROR(INDEX('Sản phẩm'!$B$5:$B$304,MATCH(D385,'Sản phẩm'!$A$5:$A$304,0)),""))</f>
        <v/>
      </c>
      <c r="F385" s="12" t="n"/>
      <c r="G385" s="11" t="n"/>
      <c r="H385" s="11" t="n"/>
      <c r="I385" s="16">
        <f>IF(D385="","",IF(G385&lt;&gt;"",G385,IFERROR(INDEX('Sản phẩm'!$E$5:$E$304,MATCH(D385,'Sản phẩm'!$A$5:$A$304,0)),"")))</f>
        <v/>
      </c>
      <c r="J385" s="16">
        <f>IF(OR(D385="",F385=""),"",F385*I385-N(H385))</f>
        <v/>
      </c>
      <c r="K385" s="16">
        <f>IF(OR(D385="",F385=""),"",F385*IFERROR(INDEX('Sản phẩm'!$D$5:$D$304,MATCH(D385,'Sản phẩm'!$A$5:$A$304,0)),""))</f>
        <v/>
      </c>
      <c r="L385" s="16">
        <f>IF(J385="","",J385-K385)</f>
        <v/>
      </c>
      <c r="M385" s="14">
        <f>IF(A385="","",MONTH(A385))</f>
        <v/>
      </c>
      <c r="N385" s="14">
        <f>IF(A385="","",YEAR(A385))</f>
        <v/>
      </c>
    </row>
    <row r="386">
      <c r="A386" s="15" t="n"/>
      <c r="B386" s="10" t="n"/>
      <c r="C386" s="10" t="n"/>
      <c r="D386" s="10" t="n"/>
      <c r="E386" s="14">
        <f>IF(D386="","",IFERROR(INDEX('Sản phẩm'!$B$5:$B$304,MATCH(D386,'Sản phẩm'!$A$5:$A$304,0)),""))</f>
        <v/>
      </c>
      <c r="F386" s="12" t="n"/>
      <c r="G386" s="11" t="n"/>
      <c r="H386" s="11" t="n"/>
      <c r="I386" s="16">
        <f>IF(D386="","",IF(G386&lt;&gt;"",G386,IFERROR(INDEX('Sản phẩm'!$E$5:$E$304,MATCH(D386,'Sản phẩm'!$A$5:$A$304,0)),"")))</f>
        <v/>
      </c>
      <c r="J386" s="16">
        <f>IF(OR(D386="",F386=""),"",F386*I386-N(H386))</f>
        <v/>
      </c>
      <c r="K386" s="16">
        <f>IF(OR(D386="",F386=""),"",F386*IFERROR(INDEX('Sản phẩm'!$D$5:$D$304,MATCH(D386,'Sản phẩm'!$A$5:$A$304,0)),""))</f>
        <v/>
      </c>
      <c r="L386" s="16">
        <f>IF(J386="","",J386-K386)</f>
        <v/>
      </c>
      <c r="M386" s="14">
        <f>IF(A386="","",MONTH(A386))</f>
        <v/>
      </c>
      <c r="N386" s="14">
        <f>IF(A386="","",YEAR(A386))</f>
        <v/>
      </c>
    </row>
    <row r="387">
      <c r="A387" s="15" t="n"/>
      <c r="B387" s="10" t="n"/>
      <c r="C387" s="10" t="n"/>
      <c r="D387" s="10" t="n"/>
      <c r="E387" s="14">
        <f>IF(D387="","",IFERROR(INDEX('Sản phẩm'!$B$5:$B$304,MATCH(D387,'Sản phẩm'!$A$5:$A$304,0)),""))</f>
        <v/>
      </c>
      <c r="F387" s="12" t="n"/>
      <c r="G387" s="11" t="n"/>
      <c r="H387" s="11" t="n"/>
      <c r="I387" s="16">
        <f>IF(D387="","",IF(G387&lt;&gt;"",G387,IFERROR(INDEX('Sản phẩm'!$E$5:$E$304,MATCH(D387,'Sản phẩm'!$A$5:$A$304,0)),"")))</f>
        <v/>
      </c>
      <c r="J387" s="16">
        <f>IF(OR(D387="",F387=""),"",F387*I387-N(H387))</f>
        <v/>
      </c>
      <c r="K387" s="16">
        <f>IF(OR(D387="",F387=""),"",F387*IFERROR(INDEX('Sản phẩm'!$D$5:$D$304,MATCH(D387,'Sản phẩm'!$A$5:$A$304,0)),""))</f>
        <v/>
      </c>
      <c r="L387" s="16">
        <f>IF(J387="","",J387-K387)</f>
        <v/>
      </c>
      <c r="M387" s="14">
        <f>IF(A387="","",MONTH(A387))</f>
        <v/>
      </c>
      <c r="N387" s="14">
        <f>IF(A387="","",YEAR(A387))</f>
        <v/>
      </c>
    </row>
    <row r="388">
      <c r="A388" s="15" t="n"/>
      <c r="B388" s="10" t="n"/>
      <c r="C388" s="10" t="n"/>
      <c r="D388" s="10" t="n"/>
      <c r="E388" s="14">
        <f>IF(D388="","",IFERROR(INDEX('Sản phẩm'!$B$5:$B$304,MATCH(D388,'Sản phẩm'!$A$5:$A$304,0)),""))</f>
        <v/>
      </c>
      <c r="F388" s="12" t="n"/>
      <c r="G388" s="11" t="n"/>
      <c r="H388" s="11" t="n"/>
      <c r="I388" s="16">
        <f>IF(D388="","",IF(G388&lt;&gt;"",G388,IFERROR(INDEX('Sản phẩm'!$E$5:$E$304,MATCH(D388,'Sản phẩm'!$A$5:$A$304,0)),"")))</f>
        <v/>
      </c>
      <c r="J388" s="16">
        <f>IF(OR(D388="",F388=""),"",F388*I388-N(H388))</f>
        <v/>
      </c>
      <c r="K388" s="16">
        <f>IF(OR(D388="",F388=""),"",F388*IFERROR(INDEX('Sản phẩm'!$D$5:$D$304,MATCH(D388,'Sản phẩm'!$A$5:$A$304,0)),""))</f>
        <v/>
      </c>
      <c r="L388" s="16">
        <f>IF(J388="","",J388-K388)</f>
        <v/>
      </c>
      <c r="M388" s="14">
        <f>IF(A388="","",MONTH(A388))</f>
        <v/>
      </c>
      <c r="N388" s="14">
        <f>IF(A388="","",YEAR(A388))</f>
        <v/>
      </c>
    </row>
    <row r="389">
      <c r="A389" s="15" t="n"/>
      <c r="B389" s="10" t="n"/>
      <c r="C389" s="10" t="n"/>
      <c r="D389" s="10" t="n"/>
      <c r="E389" s="14">
        <f>IF(D389="","",IFERROR(INDEX('Sản phẩm'!$B$5:$B$304,MATCH(D389,'Sản phẩm'!$A$5:$A$304,0)),""))</f>
        <v/>
      </c>
      <c r="F389" s="12" t="n"/>
      <c r="G389" s="11" t="n"/>
      <c r="H389" s="11" t="n"/>
      <c r="I389" s="16">
        <f>IF(D389="","",IF(G389&lt;&gt;"",G389,IFERROR(INDEX('Sản phẩm'!$E$5:$E$304,MATCH(D389,'Sản phẩm'!$A$5:$A$304,0)),"")))</f>
        <v/>
      </c>
      <c r="J389" s="16">
        <f>IF(OR(D389="",F389=""),"",F389*I389-N(H389))</f>
        <v/>
      </c>
      <c r="K389" s="16">
        <f>IF(OR(D389="",F389=""),"",F389*IFERROR(INDEX('Sản phẩm'!$D$5:$D$304,MATCH(D389,'Sản phẩm'!$A$5:$A$304,0)),""))</f>
        <v/>
      </c>
      <c r="L389" s="16">
        <f>IF(J389="","",J389-K389)</f>
        <v/>
      </c>
      <c r="M389" s="14">
        <f>IF(A389="","",MONTH(A389))</f>
        <v/>
      </c>
      <c r="N389" s="14">
        <f>IF(A389="","",YEAR(A389))</f>
        <v/>
      </c>
    </row>
    <row r="390">
      <c r="A390" s="15" t="n"/>
      <c r="B390" s="10" t="n"/>
      <c r="C390" s="10" t="n"/>
      <c r="D390" s="10" t="n"/>
      <c r="E390" s="14">
        <f>IF(D390="","",IFERROR(INDEX('Sản phẩm'!$B$5:$B$304,MATCH(D390,'Sản phẩm'!$A$5:$A$304,0)),""))</f>
        <v/>
      </c>
      <c r="F390" s="12" t="n"/>
      <c r="G390" s="11" t="n"/>
      <c r="H390" s="11" t="n"/>
      <c r="I390" s="16">
        <f>IF(D390="","",IF(G390&lt;&gt;"",G390,IFERROR(INDEX('Sản phẩm'!$E$5:$E$304,MATCH(D390,'Sản phẩm'!$A$5:$A$304,0)),"")))</f>
        <v/>
      </c>
      <c r="J390" s="16">
        <f>IF(OR(D390="",F390=""),"",F390*I390-N(H390))</f>
        <v/>
      </c>
      <c r="K390" s="16">
        <f>IF(OR(D390="",F390=""),"",F390*IFERROR(INDEX('Sản phẩm'!$D$5:$D$304,MATCH(D390,'Sản phẩm'!$A$5:$A$304,0)),""))</f>
        <v/>
      </c>
      <c r="L390" s="16">
        <f>IF(J390="","",J390-K390)</f>
        <v/>
      </c>
      <c r="M390" s="14">
        <f>IF(A390="","",MONTH(A390))</f>
        <v/>
      </c>
      <c r="N390" s="14">
        <f>IF(A390="","",YEAR(A390))</f>
        <v/>
      </c>
    </row>
    <row r="391">
      <c r="A391" s="15" t="n"/>
      <c r="B391" s="10" t="n"/>
      <c r="C391" s="10" t="n"/>
      <c r="D391" s="10" t="n"/>
      <c r="E391" s="14">
        <f>IF(D391="","",IFERROR(INDEX('Sản phẩm'!$B$5:$B$304,MATCH(D391,'Sản phẩm'!$A$5:$A$304,0)),""))</f>
        <v/>
      </c>
      <c r="F391" s="12" t="n"/>
      <c r="G391" s="11" t="n"/>
      <c r="H391" s="11" t="n"/>
      <c r="I391" s="16">
        <f>IF(D391="","",IF(G391&lt;&gt;"",G391,IFERROR(INDEX('Sản phẩm'!$E$5:$E$304,MATCH(D391,'Sản phẩm'!$A$5:$A$304,0)),"")))</f>
        <v/>
      </c>
      <c r="J391" s="16">
        <f>IF(OR(D391="",F391=""),"",F391*I391-N(H391))</f>
        <v/>
      </c>
      <c r="K391" s="16">
        <f>IF(OR(D391="",F391=""),"",F391*IFERROR(INDEX('Sản phẩm'!$D$5:$D$304,MATCH(D391,'Sản phẩm'!$A$5:$A$304,0)),""))</f>
        <v/>
      </c>
      <c r="L391" s="16">
        <f>IF(J391="","",J391-K391)</f>
        <v/>
      </c>
      <c r="M391" s="14">
        <f>IF(A391="","",MONTH(A391))</f>
        <v/>
      </c>
      <c r="N391" s="14">
        <f>IF(A391="","",YEAR(A391))</f>
        <v/>
      </c>
    </row>
    <row r="392">
      <c r="A392" s="15" t="n"/>
      <c r="B392" s="10" t="n"/>
      <c r="C392" s="10" t="n"/>
      <c r="D392" s="10" t="n"/>
      <c r="E392" s="14">
        <f>IF(D392="","",IFERROR(INDEX('Sản phẩm'!$B$5:$B$304,MATCH(D392,'Sản phẩm'!$A$5:$A$304,0)),""))</f>
        <v/>
      </c>
      <c r="F392" s="12" t="n"/>
      <c r="G392" s="11" t="n"/>
      <c r="H392" s="11" t="n"/>
      <c r="I392" s="16">
        <f>IF(D392="","",IF(G392&lt;&gt;"",G392,IFERROR(INDEX('Sản phẩm'!$E$5:$E$304,MATCH(D392,'Sản phẩm'!$A$5:$A$304,0)),"")))</f>
        <v/>
      </c>
      <c r="J392" s="16">
        <f>IF(OR(D392="",F392=""),"",F392*I392-N(H392))</f>
        <v/>
      </c>
      <c r="K392" s="16">
        <f>IF(OR(D392="",F392=""),"",F392*IFERROR(INDEX('Sản phẩm'!$D$5:$D$304,MATCH(D392,'Sản phẩm'!$A$5:$A$304,0)),""))</f>
        <v/>
      </c>
      <c r="L392" s="16">
        <f>IF(J392="","",J392-K392)</f>
        <v/>
      </c>
      <c r="M392" s="14">
        <f>IF(A392="","",MONTH(A392))</f>
        <v/>
      </c>
      <c r="N392" s="14">
        <f>IF(A392="","",YEAR(A392))</f>
        <v/>
      </c>
    </row>
    <row r="393">
      <c r="A393" s="15" t="n"/>
      <c r="B393" s="10" t="n"/>
      <c r="C393" s="10" t="n"/>
      <c r="D393" s="10" t="n"/>
      <c r="E393" s="14">
        <f>IF(D393="","",IFERROR(INDEX('Sản phẩm'!$B$5:$B$304,MATCH(D393,'Sản phẩm'!$A$5:$A$304,0)),""))</f>
        <v/>
      </c>
      <c r="F393" s="12" t="n"/>
      <c r="G393" s="11" t="n"/>
      <c r="H393" s="11" t="n"/>
      <c r="I393" s="16">
        <f>IF(D393="","",IF(G393&lt;&gt;"",G393,IFERROR(INDEX('Sản phẩm'!$E$5:$E$304,MATCH(D393,'Sản phẩm'!$A$5:$A$304,0)),"")))</f>
        <v/>
      </c>
      <c r="J393" s="16">
        <f>IF(OR(D393="",F393=""),"",F393*I393-N(H393))</f>
        <v/>
      </c>
      <c r="K393" s="16">
        <f>IF(OR(D393="",F393=""),"",F393*IFERROR(INDEX('Sản phẩm'!$D$5:$D$304,MATCH(D393,'Sản phẩm'!$A$5:$A$304,0)),""))</f>
        <v/>
      </c>
      <c r="L393" s="16">
        <f>IF(J393="","",J393-K393)</f>
        <v/>
      </c>
      <c r="M393" s="14">
        <f>IF(A393="","",MONTH(A393))</f>
        <v/>
      </c>
      <c r="N393" s="14">
        <f>IF(A393="","",YEAR(A393))</f>
        <v/>
      </c>
    </row>
    <row r="394">
      <c r="A394" s="15" t="n"/>
      <c r="B394" s="10" t="n"/>
      <c r="C394" s="10" t="n"/>
      <c r="D394" s="10" t="n"/>
      <c r="E394" s="14">
        <f>IF(D394="","",IFERROR(INDEX('Sản phẩm'!$B$5:$B$304,MATCH(D394,'Sản phẩm'!$A$5:$A$304,0)),""))</f>
        <v/>
      </c>
      <c r="F394" s="12" t="n"/>
      <c r="G394" s="11" t="n"/>
      <c r="H394" s="11" t="n"/>
      <c r="I394" s="16">
        <f>IF(D394="","",IF(G394&lt;&gt;"",G394,IFERROR(INDEX('Sản phẩm'!$E$5:$E$304,MATCH(D394,'Sản phẩm'!$A$5:$A$304,0)),"")))</f>
        <v/>
      </c>
      <c r="J394" s="16">
        <f>IF(OR(D394="",F394=""),"",F394*I394-N(H394))</f>
        <v/>
      </c>
      <c r="K394" s="16">
        <f>IF(OR(D394="",F394=""),"",F394*IFERROR(INDEX('Sản phẩm'!$D$5:$D$304,MATCH(D394,'Sản phẩm'!$A$5:$A$304,0)),""))</f>
        <v/>
      </c>
      <c r="L394" s="16">
        <f>IF(J394="","",J394-K394)</f>
        <v/>
      </c>
      <c r="M394" s="14">
        <f>IF(A394="","",MONTH(A394))</f>
        <v/>
      </c>
      <c r="N394" s="14">
        <f>IF(A394="","",YEAR(A394))</f>
        <v/>
      </c>
    </row>
    <row r="395">
      <c r="A395" s="15" t="n"/>
      <c r="B395" s="10" t="n"/>
      <c r="C395" s="10" t="n"/>
      <c r="D395" s="10" t="n"/>
      <c r="E395" s="14">
        <f>IF(D395="","",IFERROR(INDEX('Sản phẩm'!$B$5:$B$304,MATCH(D395,'Sản phẩm'!$A$5:$A$304,0)),""))</f>
        <v/>
      </c>
      <c r="F395" s="12" t="n"/>
      <c r="G395" s="11" t="n"/>
      <c r="H395" s="11" t="n"/>
      <c r="I395" s="16">
        <f>IF(D395="","",IF(G395&lt;&gt;"",G395,IFERROR(INDEX('Sản phẩm'!$E$5:$E$304,MATCH(D395,'Sản phẩm'!$A$5:$A$304,0)),"")))</f>
        <v/>
      </c>
      <c r="J395" s="16">
        <f>IF(OR(D395="",F395=""),"",F395*I395-N(H395))</f>
        <v/>
      </c>
      <c r="K395" s="16">
        <f>IF(OR(D395="",F395=""),"",F395*IFERROR(INDEX('Sản phẩm'!$D$5:$D$304,MATCH(D395,'Sản phẩm'!$A$5:$A$304,0)),""))</f>
        <v/>
      </c>
      <c r="L395" s="16">
        <f>IF(J395="","",J395-K395)</f>
        <v/>
      </c>
      <c r="M395" s="14">
        <f>IF(A395="","",MONTH(A395))</f>
        <v/>
      </c>
      <c r="N395" s="14">
        <f>IF(A395="","",YEAR(A395))</f>
        <v/>
      </c>
    </row>
    <row r="396">
      <c r="A396" s="15" t="n"/>
      <c r="B396" s="10" t="n"/>
      <c r="C396" s="10" t="n"/>
      <c r="D396" s="10" t="n"/>
      <c r="E396" s="14">
        <f>IF(D396="","",IFERROR(INDEX('Sản phẩm'!$B$5:$B$304,MATCH(D396,'Sản phẩm'!$A$5:$A$304,0)),""))</f>
        <v/>
      </c>
      <c r="F396" s="12" t="n"/>
      <c r="G396" s="11" t="n"/>
      <c r="H396" s="11" t="n"/>
      <c r="I396" s="16">
        <f>IF(D396="","",IF(G396&lt;&gt;"",G396,IFERROR(INDEX('Sản phẩm'!$E$5:$E$304,MATCH(D396,'Sản phẩm'!$A$5:$A$304,0)),"")))</f>
        <v/>
      </c>
      <c r="J396" s="16">
        <f>IF(OR(D396="",F396=""),"",F396*I396-N(H396))</f>
        <v/>
      </c>
      <c r="K396" s="16">
        <f>IF(OR(D396="",F396=""),"",F396*IFERROR(INDEX('Sản phẩm'!$D$5:$D$304,MATCH(D396,'Sản phẩm'!$A$5:$A$304,0)),""))</f>
        <v/>
      </c>
      <c r="L396" s="16">
        <f>IF(J396="","",J396-K396)</f>
        <v/>
      </c>
      <c r="M396" s="14">
        <f>IF(A396="","",MONTH(A396))</f>
        <v/>
      </c>
      <c r="N396" s="14">
        <f>IF(A396="","",YEAR(A396))</f>
        <v/>
      </c>
    </row>
    <row r="397">
      <c r="A397" s="15" t="n"/>
      <c r="B397" s="10" t="n"/>
      <c r="C397" s="10" t="n"/>
      <c r="D397" s="10" t="n"/>
      <c r="E397" s="14">
        <f>IF(D397="","",IFERROR(INDEX('Sản phẩm'!$B$5:$B$304,MATCH(D397,'Sản phẩm'!$A$5:$A$304,0)),""))</f>
        <v/>
      </c>
      <c r="F397" s="12" t="n"/>
      <c r="G397" s="11" t="n"/>
      <c r="H397" s="11" t="n"/>
      <c r="I397" s="16">
        <f>IF(D397="","",IF(G397&lt;&gt;"",G397,IFERROR(INDEX('Sản phẩm'!$E$5:$E$304,MATCH(D397,'Sản phẩm'!$A$5:$A$304,0)),"")))</f>
        <v/>
      </c>
      <c r="J397" s="16">
        <f>IF(OR(D397="",F397=""),"",F397*I397-N(H397))</f>
        <v/>
      </c>
      <c r="K397" s="16">
        <f>IF(OR(D397="",F397=""),"",F397*IFERROR(INDEX('Sản phẩm'!$D$5:$D$304,MATCH(D397,'Sản phẩm'!$A$5:$A$304,0)),""))</f>
        <v/>
      </c>
      <c r="L397" s="16">
        <f>IF(J397="","",J397-K397)</f>
        <v/>
      </c>
      <c r="M397" s="14">
        <f>IF(A397="","",MONTH(A397))</f>
        <v/>
      </c>
      <c r="N397" s="14">
        <f>IF(A397="","",YEAR(A397))</f>
        <v/>
      </c>
    </row>
    <row r="398">
      <c r="A398" s="15" t="n"/>
      <c r="B398" s="10" t="n"/>
      <c r="C398" s="10" t="n"/>
      <c r="D398" s="10" t="n"/>
      <c r="E398" s="14">
        <f>IF(D398="","",IFERROR(INDEX('Sản phẩm'!$B$5:$B$304,MATCH(D398,'Sản phẩm'!$A$5:$A$304,0)),""))</f>
        <v/>
      </c>
      <c r="F398" s="12" t="n"/>
      <c r="G398" s="11" t="n"/>
      <c r="H398" s="11" t="n"/>
      <c r="I398" s="16">
        <f>IF(D398="","",IF(G398&lt;&gt;"",G398,IFERROR(INDEX('Sản phẩm'!$E$5:$E$304,MATCH(D398,'Sản phẩm'!$A$5:$A$304,0)),"")))</f>
        <v/>
      </c>
      <c r="J398" s="16">
        <f>IF(OR(D398="",F398=""),"",F398*I398-N(H398))</f>
        <v/>
      </c>
      <c r="K398" s="16">
        <f>IF(OR(D398="",F398=""),"",F398*IFERROR(INDEX('Sản phẩm'!$D$5:$D$304,MATCH(D398,'Sản phẩm'!$A$5:$A$304,0)),""))</f>
        <v/>
      </c>
      <c r="L398" s="16">
        <f>IF(J398="","",J398-K398)</f>
        <v/>
      </c>
      <c r="M398" s="14">
        <f>IF(A398="","",MONTH(A398))</f>
        <v/>
      </c>
      <c r="N398" s="14">
        <f>IF(A398="","",YEAR(A398))</f>
        <v/>
      </c>
    </row>
    <row r="399">
      <c r="A399" s="15" t="n"/>
      <c r="B399" s="10" t="n"/>
      <c r="C399" s="10" t="n"/>
      <c r="D399" s="10" t="n"/>
      <c r="E399" s="14">
        <f>IF(D399="","",IFERROR(INDEX('Sản phẩm'!$B$5:$B$304,MATCH(D399,'Sản phẩm'!$A$5:$A$304,0)),""))</f>
        <v/>
      </c>
      <c r="F399" s="12" t="n"/>
      <c r="G399" s="11" t="n"/>
      <c r="H399" s="11" t="n"/>
      <c r="I399" s="16">
        <f>IF(D399="","",IF(G399&lt;&gt;"",G399,IFERROR(INDEX('Sản phẩm'!$E$5:$E$304,MATCH(D399,'Sản phẩm'!$A$5:$A$304,0)),"")))</f>
        <v/>
      </c>
      <c r="J399" s="16">
        <f>IF(OR(D399="",F399=""),"",F399*I399-N(H399))</f>
        <v/>
      </c>
      <c r="K399" s="16">
        <f>IF(OR(D399="",F399=""),"",F399*IFERROR(INDEX('Sản phẩm'!$D$5:$D$304,MATCH(D399,'Sản phẩm'!$A$5:$A$304,0)),""))</f>
        <v/>
      </c>
      <c r="L399" s="16">
        <f>IF(J399="","",J399-K399)</f>
        <v/>
      </c>
      <c r="M399" s="14">
        <f>IF(A399="","",MONTH(A399))</f>
        <v/>
      </c>
      <c r="N399" s="14">
        <f>IF(A399="","",YEAR(A399))</f>
        <v/>
      </c>
    </row>
    <row r="400">
      <c r="A400" s="15" t="n"/>
      <c r="B400" s="10" t="n"/>
      <c r="C400" s="10" t="n"/>
      <c r="D400" s="10" t="n"/>
      <c r="E400" s="14">
        <f>IF(D400="","",IFERROR(INDEX('Sản phẩm'!$B$5:$B$304,MATCH(D400,'Sản phẩm'!$A$5:$A$304,0)),""))</f>
        <v/>
      </c>
      <c r="F400" s="12" t="n"/>
      <c r="G400" s="11" t="n"/>
      <c r="H400" s="11" t="n"/>
      <c r="I400" s="16">
        <f>IF(D400="","",IF(G400&lt;&gt;"",G400,IFERROR(INDEX('Sản phẩm'!$E$5:$E$304,MATCH(D400,'Sản phẩm'!$A$5:$A$304,0)),"")))</f>
        <v/>
      </c>
      <c r="J400" s="16">
        <f>IF(OR(D400="",F400=""),"",F400*I400-N(H400))</f>
        <v/>
      </c>
      <c r="K400" s="16">
        <f>IF(OR(D400="",F400=""),"",F400*IFERROR(INDEX('Sản phẩm'!$D$5:$D$304,MATCH(D400,'Sản phẩm'!$A$5:$A$304,0)),""))</f>
        <v/>
      </c>
      <c r="L400" s="16">
        <f>IF(J400="","",J400-K400)</f>
        <v/>
      </c>
      <c r="M400" s="14">
        <f>IF(A400="","",MONTH(A400))</f>
        <v/>
      </c>
      <c r="N400" s="14">
        <f>IF(A400="","",YEAR(A400))</f>
        <v/>
      </c>
    </row>
    <row r="401">
      <c r="A401" s="15" t="n"/>
      <c r="B401" s="10" t="n"/>
      <c r="C401" s="10" t="n"/>
      <c r="D401" s="10" t="n"/>
      <c r="E401" s="14">
        <f>IF(D401="","",IFERROR(INDEX('Sản phẩm'!$B$5:$B$304,MATCH(D401,'Sản phẩm'!$A$5:$A$304,0)),""))</f>
        <v/>
      </c>
      <c r="F401" s="12" t="n"/>
      <c r="G401" s="11" t="n"/>
      <c r="H401" s="11" t="n"/>
      <c r="I401" s="16">
        <f>IF(D401="","",IF(G401&lt;&gt;"",G401,IFERROR(INDEX('Sản phẩm'!$E$5:$E$304,MATCH(D401,'Sản phẩm'!$A$5:$A$304,0)),"")))</f>
        <v/>
      </c>
      <c r="J401" s="16">
        <f>IF(OR(D401="",F401=""),"",F401*I401-N(H401))</f>
        <v/>
      </c>
      <c r="K401" s="16">
        <f>IF(OR(D401="",F401=""),"",F401*IFERROR(INDEX('Sản phẩm'!$D$5:$D$304,MATCH(D401,'Sản phẩm'!$A$5:$A$304,0)),""))</f>
        <v/>
      </c>
      <c r="L401" s="16">
        <f>IF(J401="","",J401-K401)</f>
        <v/>
      </c>
      <c r="M401" s="14">
        <f>IF(A401="","",MONTH(A401))</f>
        <v/>
      </c>
      <c r="N401" s="14">
        <f>IF(A401="","",YEAR(A401))</f>
        <v/>
      </c>
    </row>
    <row r="402">
      <c r="A402" s="15" t="n"/>
      <c r="B402" s="10" t="n"/>
      <c r="C402" s="10" t="n"/>
      <c r="D402" s="10" t="n"/>
      <c r="E402" s="14">
        <f>IF(D402="","",IFERROR(INDEX('Sản phẩm'!$B$5:$B$304,MATCH(D402,'Sản phẩm'!$A$5:$A$304,0)),""))</f>
        <v/>
      </c>
      <c r="F402" s="12" t="n"/>
      <c r="G402" s="11" t="n"/>
      <c r="H402" s="11" t="n"/>
      <c r="I402" s="16">
        <f>IF(D402="","",IF(G402&lt;&gt;"",G402,IFERROR(INDEX('Sản phẩm'!$E$5:$E$304,MATCH(D402,'Sản phẩm'!$A$5:$A$304,0)),"")))</f>
        <v/>
      </c>
      <c r="J402" s="16">
        <f>IF(OR(D402="",F402=""),"",F402*I402-N(H402))</f>
        <v/>
      </c>
      <c r="K402" s="16">
        <f>IF(OR(D402="",F402=""),"",F402*IFERROR(INDEX('Sản phẩm'!$D$5:$D$304,MATCH(D402,'Sản phẩm'!$A$5:$A$304,0)),""))</f>
        <v/>
      </c>
      <c r="L402" s="16">
        <f>IF(J402="","",J402-K402)</f>
        <v/>
      </c>
      <c r="M402" s="14">
        <f>IF(A402="","",MONTH(A402))</f>
        <v/>
      </c>
      <c r="N402" s="14">
        <f>IF(A402="","",YEAR(A402))</f>
        <v/>
      </c>
    </row>
    <row r="403">
      <c r="A403" s="15" t="n"/>
      <c r="B403" s="10" t="n"/>
      <c r="C403" s="10" t="n"/>
      <c r="D403" s="10" t="n"/>
      <c r="E403" s="14">
        <f>IF(D403="","",IFERROR(INDEX('Sản phẩm'!$B$5:$B$304,MATCH(D403,'Sản phẩm'!$A$5:$A$304,0)),""))</f>
        <v/>
      </c>
      <c r="F403" s="12" t="n"/>
      <c r="G403" s="11" t="n"/>
      <c r="H403" s="11" t="n"/>
      <c r="I403" s="16">
        <f>IF(D403="","",IF(G403&lt;&gt;"",G403,IFERROR(INDEX('Sản phẩm'!$E$5:$E$304,MATCH(D403,'Sản phẩm'!$A$5:$A$304,0)),"")))</f>
        <v/>
      </c>
      <c r="J403" s="16">
        <f>IF(OR(D403="",F403=""),"",F403*I403-N(H403))</f>
        <v/>
      </c>
      <c r="K403" s="16">
        <f>IF(OR(D403="",F403=""),"",F403*IFERROR(INDEX('Sản phẩm'!$D$5:$D$304,MATCH(D403,'Sản phẩm'!$A$5:$A$304,0)),""))</f>
        <v/>
      </c>
      <c r="L403" s="16">
        <f>IF(J403="","",J403-K403)</f>
        <v/>
      </c>
      <c r="M403" s="14">
        <f>IF(A403="","",MONTH(A403))</f>
        <v/>
      </c>
      <c r="N403" s="14">
        <f>IF(A403="","",YEAR(A403))</f>
        <v/>
      </c>
    </row>
    <row r="404">
      <c r="A404" s="15" t="n"/>
      <c r="B404" s="10" t="n"/>
      <c r="C404" s="10" t="n"/>
      <c r="D404" s="10" t="n"/>
      <c r="E404" s="14">
        <f>IF(D404="","",IFERROR(INDEX('Sản phẩm'!$B$5:$B$304,MATCH(D404,'Sản phẩm'!$A$5:$A$304,0)),""))</f>
        <v/>
      </c>
      <c r="F404" s="12" t="n"/>
      <c r="G404" s="11" t="n"/>
      <c r="H404" s="11" t="n"/>
      <c r="I404" s="16">
        <f>IF(D404="","",IF(G404&lt;&gt;"",G404,IFERROR(INDEX('Sản phẩm'!$E$5:$E$304,MATCH(D404,'Sản phẩm'!$A$5:$A$304,0)),"")))</f>
        <v/>
      </c>
      <c r="J404" s="16">
        <f>IF(OR(D404="",F404=""),"",F404*I404-N(H404))</f>
        <v/>
      </c>
      <c r="K404" s="16">
        <f>IF(OR(D404="",F404=""),"",F404*IFERROR(INDEX('Sản phẩm'!$D$5:$D$304,MATCH(D404,'Sản phẩm'!$A$5:$A$304,0)),""))</f>
        <v/>
      </c>
      <c r="L404" s="16">
        <f>IF(J404="","",J404-K404)</f>
        <v/>
      </c>
      <c r="M404" s="14">
        <f>IF(A404="","",MONTH(A404))</f>
        <v/>
      </c>
      <c r="N404" s="14">
        <f>IF(A404="","",YEAR(A404))</f>
        <v/>
      </c>
    </row>
    <row r="405">
      <c r="A405" s="15" t="n"/>
      <c r="B405" s="10" t="n"/>
      <c r="C405" s="10" t="n"/>
      <c r="D405" s="10" t="n"/>
      <c r="E405" s="14">
        <f>IF(D405="","",IFERROR(INDEX('Sản phẩm'!$B$5:$B$304,MATCH(D405,'Sản phẩm'!$A$5:$A$304,0)),""))</f>
        <v/>
      </c>
      <c r="F405" s="12" t="n"/>
      <c r="G405" s="11" t="n"/>
      <c r="H405" s="11" t="n"/>
      <c r="I405" s="16">
        <f>IF(D405="","",IF(G405&lt;&gt;"",G405,IFERROR(INDEX('Sản phẩm'!$E$5:$E$304,MATCH(D405,'Sản phẩm'!$A$5:$A$304,0)),"")))</f>
        <v/>
      </c>
      <c r="J405" s="16">
        <f>IF(OR(D405="",F405=""),"",F405*I405-N(H405))</f>
        <v/>
      </c>
      <c r="K405" s="16">
        <f>IF(OR(D405="",F405=""),"",F405*IFERROR(INDEX('Sản phẩm'!$D$5:$D$304,MATCH(D405,'Sản phẩm'!$A$5:$A$304,0)),""))</f>
        <v/>
      </c>
      <c r="L405" s="16">
        <f>IF(J405="","",J405-K405)</f>
        <v/>
      </c>
      <c r="M405" s="14">
        <f>IF(A405="","",MONTH(A405))</f>
        <v/>
      </c>
      <c r="N405" s="14">
        <f>IF(A405="","",YEAR(A405))</f>
        <v/>
      </c>
    </row>
    <row r="406">
      <c r="A406" s="15" t="n"/>
      <c r="B406" s="10" t="n"/>
      <c r="C406" s="10" t="n"/>
      <c r="D406" s="10" t="n"/>
      <c r="E406" s="14">
        <f>IF(D406="","",IFERROR(INDEX('Sản phẩm'!$B$5:$B$304,MATCH(D406,'Sản phẩm'!$A$5:$A$304,0)),""))</f>
        <v/>
      </c>
      <c r="F406" s="12" t="n"/>
      <c r="G406" s="11" t="n"/>
      <c r="H406" s="11" t="n"/>
      <c r="I406" s="16">
        <f>IF(D406="","",IF(G406&lt;&gt;"",G406,IFERROR(INDEX('Sản phẩm'!$E$5:$E$304,MATCH(D406,'Sản phẩm'!$A$5:$A$304,0)),"")))</f>
        <v/>
      </c>
      <c r="J406" s="16">
        <f>IF(OR(D406="",F406=""),"",F406*I406-N(H406))</f>
        <v/>
      </c>
      <c r="K406" s="16">
        <f>IF(OR(D406="",F406=""),"",F406*IFERROR(INDEX('Sản phẩm'!$D$5:$D$304,MATCH(D406,'Sản phẩm'!$A$5:$A$304,0)),""))</f>
        <v/>
      </c>
      <c r="L406" s="16">
        <f>IF(J406="","",J406-K406)</f>
        <v/>
      </c>
      <c r="M406" s="14">
        <f>IF(A406="","",MONTH(A406))</f>
        <v/>
      </c>
      <c r="N406" s="14">
        <f>IF(A406="","",YEAR(A406))</f>
        <v/>
      </c>
    </row>
    <row r="407">
      <c r="A407" s="15" t="n"/>
      <c r="B407" s="10" t="n"/>
      <c r="C407" s="10" t="n"/>
      <c r="D407" s="10" t="n"/>
      <c r="E407" s="14">
        <f>IF(D407="","",IFERROR(INDEX('Sản phẩm'!$B$5:$B$304,MATCH(D407,'Sản phẩm'!$A$5:$A$304,0)),""))</f>
        <v/>
      </c>
      <c r="F407" s="12" t="n"/>
      <c r="G407" s="11" t="n"/>
      <c r="H407" s="11" t="n"/>
      <c r="I407" s="16">
        <f>IF(D407="","",IF(G407&lt;&gt;"",G407,IFERROR(INDEX('Sản phẩm'!$E$5:$E$304,MATCH(D407,'Sản phẩm'!$A$5:$A$304,0)),"")))</f>
        <v/>
      </c>
      <c r="J407" s="16">
        <f>IF(OR(D407="",F407=""),"",F407*I407-N(H407))</f>
        <v/>
      </c>
      <c r="K407" s="16">
        <f>IF(OR(D407="",F407=""),"",F407*IFERROR(INDEX('Sản phẩm'!$D$5:$D$304,MATCH(D407,'Sản phẩm'!$A$5:$A$304,0)),""))</f>
        <v/>
      </c>
      <c r="L407" s="16">
        <f>IF(J407="","",J407-K407)</f>
        <v/>
      </c>
      <c r="M407" s="14">
        <f>IF(A407="","",MONTH(A407))</f>
        <v/>
      </c>
      <c r="N407" s="14">
        <f>IF(A407="","",YEAR(A407))</f>
        <v/>
      </c>
    </row>
    <row r="408">
      <c r="A408" s="15" t="n"/>
      <c r="B408" s="10" t="n"/>
      <c r="C408" s="10" t="n"/>
      <c r="D408" s="10" t="n"/>
      <c r="E408" s="14">
        <f>IF(D408="","",IFERROR(INDEX('Sản phẩm'!$B$5:$B$304,MATCH(D408,'Sản phẩm'!$A$5:$A$304,0)),""))</f>
        <v/>
      </c>
      <c r="F408" s="12" t="n"/>
      <c r="G408" s="11" t="n"/>
      <c r="H408" s="11" t="n"/>
      <c r="I408" s="16">
        <f>IF(D408="","",IF(G408&lt;&gt;"",G408,IFERROR(INDEX('Sản phẩm'!$E$5:$E$304,MATCH(D408,'Sản phẩm'!$A$5:$A$304,0)),"")))</f>
        <v/>
      </c>
      <c r="J408" s="16">
        <f>IF(OR(D408="",F408=""),"",F408*I408-N(H408))</f>
        <v/>
      </c>
      <c r="K408" s="16">
        <f>IF(OR(D408="",F408=""),"",F408*IFERROR(INDEX('Sản phẩm'!$D$5:$D$304,MATCH(D408,'Sản phẩm'!$A$5:$A$304,0)),""))</f>
        <v/>
      </c>
      <c r="L408" s="16">
        <f>IF(J408="","",J408-K408)</f>
        <v/>
      </c>
      <c r="M408" s="14">
        <f>IF(A408="","",MONTH(A408))</f>
        <v/>
      </c>
      <c r="N408" s="14">
        <f>IF(A408="","",YEAR(A408))</f>
        <v/>
      </c>
    </row>
    <row r="409">
      <c r="A409" s="15" t="n"/>
      <c r="B409" s="10" t="n"/>
      <c r="C409" s="10" t="n"/>
      <c r="D409" s="10" t="n"/>
      <c r="E409" s="14">
        <f>IF(D409="","",IFERROR(INDEX('Sản phẩm'!$B$5:$B$304,MATCH(D409,'Sản phẩm'!$A$5:$A$304,0)),""))</f>
        <v/>
      </c>
      <c r="F409" s="12" t="n"/>
      <c r="G409" s="11" t="n"/>
      <c r="H409" s="11" t="n"/>
      <c r="I409" s="16">
        <f>IF(D409="","",IF(G409&lt;&gt;"",G409,IFERROR(INDEX('Sản phẩm'!$E$5:$E$304,MATCH(D409,'Sản phẩm'!$A$5:$A$304,0)),"")))</f>
        <v/>
      </c>
      <c r="J409" s="16">
        <f>IF(OR(D409="",F409=""),"",F409*I409-N(H409))</f>
        <v/>
      </c>
      <c r="K409" s="16">
        <f>IF(OR(D409="",F409=""),"",F409*IFERROR(INDEX('Sản phẩm'!$D$5:$D$304,MATCH(D409,'Sản phẩm'!$A$5:$A$304,0)),""))</f>
        <v/>
      </c>
      <c r="L409" s="16">
        <f>IF(J409="","",J409-K409)</f>
        <v/>
      </c>
      <c r="M409" s="14">
        <f>IF(A409="","",MONTH(A409))</f>
        <v/>
      </c>
      <c r="N409" s="14">
        <f>IF(A409="","",YEAR(A409))</f>
        <v/>
      </c>
    </row>
    <row r="410">
      <c r="A410" s="15" t="n"/>
      <c r="B410" s="10" t="n"/>
      <c r="C410" s="10" t="n"/>
      <c r="D410" s="10" t="n"/>
      <c r="E410" s="14">
        <f>IF(D410="","",IFERROR(INDEX('Sản phẩm'!$B$5:$B$304,MATCH(D410,'Sản phẩm'!$A$5:$A$304,0)),""))</f>
        <v/>
      </c>
      <c r="F410" s="12" t="n"/>
      <c r="G410" s="11" t="n"/>
      <c r="H410" s="11" t="n"/>
      <c r="I410" s="16">
        <f>IF(D410="","",IF(G410&lt;&gt;"",G410,IFERROR(INDEX('Sản phẩm'!$E$5:$E$304,MATCH(D410,'Sản phẩm'!$A$5:$A$304,0)),"")))</f>
        <v/>
      </c>
      <c r="J410" s="16">
        <f>IF(OR(D410="",F410=""),"",F410*I410-N(H410))</f>
        <v/>
      </c>
      <c r="K410" s="16">
        <f>IF(OR(D410="",F410=""),"",F410*IFERROR(INDEX('Sản phẩm'!$D$5:$D$304,MATCH(D410,'Sản phẩm'!$A$5:$A$304,0)),""))</f>
        <v/>
      </c>
      <c r="L410" s="16">
        <f>IF(J410="","",J410-K410)</f>
        <v/>
      </c>
      <c r="M410" s="14">
        <f>IF(A410="","",MONTH(A410))</f>
        <v/>
      </c>
      <c r="N410" s="14">
        <f>IF(A410="","",YEAR(A410))</f>
        <v/>
      </c>
    </row>
    <row r="411">
      <c r="A411" s="15" t="n"/>
      <c r="B411" s="10" t="n"/>
      <c r="C411" s="10" t="n"/>
      <c r="D411" s="10" t="n"/>
      <c r="E411" s="14">
        <f>IF(D411="","",IFERROR(INDEX('Sản phẩm'!$B$5:$B$304,MATCH(D411,'Sản phẩm'!$A$5:$A$304,0)),""))</f>
        <v/>
      </c>
      <c r="F411" s="12" t="n"/>
      <c r="G411" s="11" t="n"/>
      <c r="H411" s="11" t="n"/>
      <c r="I411" s="16">
        <f>IF(D411="","",IF(G411&lt;&gt;"",G411,IFERROR(INDEX('Sản phẩm'!$E$5:$E$304,MATCH(D411,'Sản phẩm'!$A$5:$A$304,0)),"")))</f>
        <v/>
      </c>
      <c r="J411" s="16">
        <f>IF(OR(D411="",F411=""),"",F411*I411-N(H411))</f>
        <v/>
      </c>
      <c r="K411" s="16">
        <f>IF(OR(D411="",F411=""),"",F411*IFERROR(INDEX('Sản phẩm'!$D$5:$D$304,MATCH(D411,'Sản phẩm'!$A$5:$A$304,0)),""))</f>
        <v/>
      </c>
      <c r="L411" s="16">
        <f>IF(J411="","",J411-K411)</f>
        <v/>
      </c>
      <c r="M411" s="14">
        <f>IF(A411="","",MONTH(A411))</f>
        <v/>
      </c>
      <c r="N411" s="14">
        <f>IF(A411="","",YEAR(A411))</f>
        <v/>
      </c>
    </row>
    <row r="412">
      <c r="A412" s="15" t="n"/>
      <c r="B412" s="10" t="n"/>
      <c r="C412" s="10" t="n"/>
      <c r="D412" s="10" t="n"/>
      <c r="E412" s="14">
        <f>IF(D412="","",IFERROR(INDEX('Sản phẩm'!$B$5:$B$304,MATCH(D412,'Sản phẩm'!$A$5:$A$304,0)),""))</f>
        <v/>
      </c>
      <c r="F412" s="12" t="n"/>
      <c r="G412" s="11" t="n"/>
      <c r="H412" s="11" t="n"/>
      <c r="I412" s="16">
        <f>IF(D412="","",IF(G412&lt;&gt;"",G412,IFERROR(INDEX('Sản phẩm'!$E$5:$E$304,MATCH(D412,'Sản phẩm'!$A$5:$A$304,0)),"")))</f>
        <v/>
      </c>
      <c r="J412" s="16">
        <f>IF(OR(D412="",F412=""),"",F412*I412-N(H412))</f>
        <v/>
      </c>
      <c r="K412" s="16">
        <f>IF(OR(D412="",F412=""),"",F412*IFERROR(INDEX('Sản phẩm'!$D$5:$D$304,MATCH(D412,'Sản phẩm'!$A$5:$A$304,0)),""))</f>
        <v/>
      </c>
      <c r="L412" s="16">
        <f>IF(J412="","",J412-K412)</f>
        <v/>
      </c>
      <c r="M412" s="14">
        <f>IF(A412="","",MONTH(A412))</f>
        <v/>
      </c>
      <c r="N412" s="14">
        <f>IF(A412="","",YEAR(A412))</f>
        <v/>
      </c>
    </row>
    <row r="413">
      <c r="A413" s="15" t="n"/>
      <c r="B413" s="10" t="n"/>
      <c r="C413" s="10" t="n"/>
      <c r="D413" s="10" t="n"/>
      <c r="E413" s="14">
        <f>IF(D413="","",IFERROR(INDEX('Sản phẩm'!$B$5:$B$304,MATCH(D413,'Sản phẩm'!$A$5:$A$304,0)),""))</f>
        <v/>
      </c>
      <c r="F413" s="12" t="n"/>
      <c r="G413" s="11" t="n"/>
      <c r="H413" s="11" t="n"/>
      <c r="I413" s="16">
        <f>IF(D413="","",IF(G413&lt;&gt;"",G413,IFERROR(INDEX('Sản phẩm'!$E$5:$E$304,MATCH(D413,'Sản phẩm'!$A$5:$A$304,0)),"")))</f>
        <v/>
      </c>
      <c r="J413" s="16">
        <f>IF(OR(D413="",F413=""),"",F413*I413-N(H413))</f>
        <v/>
      </c>
      <c r="K413" s="16">
        <f>IF(OR(D413="",F413=""),"",F413*IFERROR(INDEX('Sản phẩm'!$D$5:$D$304,MATCH(D413,'Sản phẩm'!$A$5:$A$304,0)),""))</f>
        <v/>
      </c>
      <c r="L413" s="16">
        <f>IF(J413="","",J413-K413)</f>
        <v/>
      </c>
      <c r="M413" s="14">
        <f>IF(A413="","",MONTH(A413))</f>
        <v/>
      </c>
      <c r="N413" s="14">
        <f>IF(A413="","",YEAR(A413))</f>
        <v/>
      </c>
    </row>
    <row r="414">
      <c r="A414" s="15" t="n"/>
      <c r="B414" s="10" t="n"/>
      <c r="C414" s="10" t="n"/>
      <c r="D414" s="10" t="n"/>
      <c r="E414" s="14">
        <f>IF(D414="","",IFERROR(INDEX('Sản phẩm'!$B$5:$B$304,MATCH(D414,'Sản phẩm'!$A$5:$A$304,0)),""))</f>
        <v/>
      </c>
      <c r="F414" s="12" t="n"/>
      <c r="G414" s="11" t="n"/>
      <c r="H414" s="11" t="n"/>
      <c r="I414" s="16">
        <f>IF(D414="","",IF(G414&lt;&gt;"",G414,IFERROR(INDEX('Sản phẩm'!$E$5:$E$304,MATCH(D414,'Sản phẩm'!$A$5:$A$304,0)),"")))</f>
        <v/>
      </c>
      <c r="J414" s="16">
        <f>IF(OR(D414="",F414=""),"",F414*I414-N(H414))</f>
        <v/>
      </c>
      <c r="K414" s="16">
        <f>IF(OR(D414="",F414=""),"",F414*IFERROR(INDEX('Sản phẩm'!$D$5:$D$304,MATCH(D414,'Sản phẩm'!$A$5:$A$304,0)),""))</f>
        <v/>
      </c>
      <c r="L414" s="16">
        <f>IF(J414="","",J414-K414)</f>
        <v/>
      </c>
      <c r="M414" s="14">
        <f>IF(A414="","",MONTH(A414))</f>
        <v/>
      </c>
      <c r="N414" s="14">
        <f>IF(A414="","",YEAR(A414))</f>
        <v/>
      </c>
    </row>
    <row r="415">
      <c r="A415" s="15" t="n"/>
      <c r="B415" s="10" t="n"/>
      <c r="C415" s="10" t="n"/>
      <c r="D415" s="10" t="n"/>
      <c r="E415" s="14">
        <f>IF(D415="","",IFERROR(INDEX('Sản phẩm'!$B$5:$B$304,MATCH(D415,'Sản phẩm'!$A$5:$A$304,0)),""))</f>
        <v/>
      </c>
      <c r="F415" s="12" t="n"/>
      <c r="G415" s="11" t="n"/>
      <c r="H415" s="11" t="n"/>
      <c r="I415" s="16">
        <f>IF(D415="","",IF(G415&lt;&gt;"",G415,IFERROR(INDEX('Sản phẩm'!$E$5:$E$304,MATCH(D415,'Sản phẩm'!$A$5:$A$304,0)),"")))</f>
        <v/>
      </c>
      <c r="J415" s="16">
        <f>IF(OR(D415="",F415=""),"",F415*I415-N(H415))</f>
        <v/>
      </c>
      <c r="K415" s="16">
        <f>IF(OR(D415="",F415=""),"",F415*IFERROR(INDEX('Sản phẩm'!$D$5:$D$304,MATCH(D415,'Sản phẩm'!$A$5:$A$304,0)),""))</f>
        <v/>
      </c>
      <c r="L415" s="16">
        <f>IF(J415="","",J415-K415)</f>
        <v/>
      </c>
      <c r="M415" s="14">
        <f>IF(A415="","",MONTH(A415))</f>
        <v/>
      </c>
      <c r="N415" s="14">
        <f>IF(A415="","",YEAR(A415))</f>
        <v/>
      </c>
    </row>
    <row r="416">
      <c r="A416" s="15" t="n"/>
      <c r="B416" s="10" t="n"/>
      <c r="C416" s="10" t="n"/>
      <c r="D416" s="10" t="n"/>
      <c r="E416" s="14">
        <f>IF(D416="","",IFERROR(INDEX('Sản phẩm'!$B$5:$B$304,MATCH(D416,'Sản phẩm'!$A$5:$A$304,0)),""))</f>
        <v/>
      </c>
      <c r="F416" s="12" t="n"/>
      <c r="G416" s="11" t="n"/>
      <c r="H416" s="11" t="n"/>
      <c r="I416" s="16">
        <f>IF(D416="","",IF(G416&lt;&gt;"",G416,IFERROR(INDEX('Sản phẩm'!$E$5:$E$304,MATCH(D416,'Sản phẩm'!$A$5:$A$304,0)),"")))</f>
        <v/>
      </c>
      <c r="J416" s="16">
        <f>IF(OR(D416="",F416=""),"",F416*I416-N(H416))</f>
        <v/>
      </c>
      <c r="K416" s="16">
        <f>IF(OR(D416="",F416=""),"",F416*IFERROR(INDEX('Sản phẩm'!$D$5:$D$304,MATCH(D416,'Sản phẩm'!$A$5:$A$304,0)),""))</f>
        <v/>
      </c>
      <c r="L416" s="16">
        <f>IF(J416="","",J416-K416)</f>
        <v/>
      </c>
      <c r="M416" s="14">
        <f>IF(A416="","",MONTH(A416))</f>
        <v/>
      </c>
      <c r="N416" s="14">
        <f>IF(A416="","",YEAR(A416))</f>
        <v/>
      </c>
    </row>
    <row r="417">
      <c r="A417" s="15" t="n"/>
      <c r="B417" s="10" t="n"/>
      <c r="C417" s="10" t="n"/>
      <c r="D417" s="10" t="n"/>
      <c r="E417" s="14">
        <f>IF(D417="","",IFERROR(INDEX('Sản phẩm'!$B$5:$B$304,MATCH(D417,'Sản phẩm'!$A$5:$A$304,0)),""))</f>
        <v/>
      </c>
      <c r="F417" s="12" t="n"/>
      <c r="G417" s="11" t="n"/>
      <c r="H417" s="11" t="n"/>
      <c r="I417" s="16">
        <f>IF(D417="","",IF(G417&lt;&gt;"",G417,IFERROR(INDEX('Sản phẩm'!$E$5:$E$304,MATCH(D417,'Sản phẩm'!$A$5:$A$304,0)),"")))</f>
        <v/>
      </c>
      <c r="J417" s="16">
        <f>IF(OR(D417="",F417=""),"",F417*I417-N(H417))</f>
        <v/>
      </c>
      <c r="K417" s="16">
        <f>IF(OR(D417="",F417=""),"",F417*IFERROR(INDEX('Sản phẩm'!$D$5:$D$304,MATCH(D417,'Sản phẩm'!$A$5:$A$304,0)),""))</f>
        <v/>
      </c>
      <c r="L417" s="16">
        <f>IF(J417="","",J417-K417)</f>
        <v/>
      </c>
      <c r="M417" s="14">
        <f>IF(A417="","",MONTH(A417))</f>
        <v/>
      </c>
      <c r="N417" s="14">
        <f>IF(A417="","",YEAR(A417))</f>
        <v/>
      </c>
    </row>
    <row r="418">
      <c r="A418" s="15" t="n"/>
      <c r="B418" s="10" t="n"/>
      <c r="C418" s="10" t="n"/>
      <c r="D418" s="10" t="n"/>
      <c r="E418" s="14">
        <f>IF(D418="","",IFERROR(INDEX('Sản phẩm'!$B$5:$B$304,MATCH(D418,'Sản phẩm'!$A$5:$A$304,0)),""))</f>
        <v/>
      </c>
      <c r="F418" s="12" t="n"/>
      <c r="G418" s="11" t="n"/>
      <c r="H418" s="11" t="n"/>
      <c r="I418" s="16">
        <f>IF(D418="","",IF(G418&lt;&gt;"",G418,IFERROR(INDEX('Sản phẩm'!$E$5:$E$304,MATCH(D418,'Sản phẩm'!$A$5:$A$304,0)),"")))</f>
        <v/>
      </c>
      <c r="J418" s="16">
        <f>IF(OR(D418="",F418=""),"",F418*I418-N(H418))</f>
        <v/>
      </c>
      <c r="K418" s="16">
        <f>IF(OR(D418="",F418=""),"",F418*IFERROR(INDEX('Sản phẩm'!$D$5:$D$304,MATCH(D418,'Sản phẩm'!$A$5:$A$304,0)),""))</f>
        <v/>
      </c>
      <c r="L418" s="16">
        <f>IF(J418="","",J418-K418)</f>
        <v/>
      </c>
      <c r="M418" s="14">
        <f>IF(A418="","",MONTH(A418))</f>
        <v/>
      </c>
      <c r="N418" s="14">
        <f>IF(A418="","",YEAR(A418))</f>
        <v/>
      </c>
    </row>
    <row r="419">
      <c r="A419" s="15" t="n"/>
      <c r="B419" s="10" t="n"/>
      <c r="C419" s="10" t="n"/>
      <c r="D419" s="10" t="n"/>
      <c r="E419" s="14">
        <f>IF(D419="","",IFERROR(INDEX('Sản phẩm'!$B$5:$B$304,MATCH(D419,'Sản phẩm'!$A$5:$A$304,0)),""))</f>
        <v/>
      </c>
      <c r="F419" s="12" t="n"/>
      <c r="G419" s="11" t="n"/>
      <c r="H419" s="11" t="n"/>
      <c r="I419" s="16">
        <f>IF(D419="","",IF(G419&lt;&gt;"",G419,IFERROR(INDEX('Sản phẩm'!$E$5:$E$304,MATCH(D419,'Sản phẩm'!$A$5:$A$304,0)),"")))</f>
        <v/>
      </c>
      <c r="J419" s="16">
        <f>IF(OR(D419="",F419=""),"",F419*I419-N(H419))</f>
        <v/>
      </c>
      <c r="K419" s="16">
        <f>IF(OR(D419="",F419=""),"",F419*IFERROR(INDEX('Sản phẩm'!$D$5:$D$304,MATCH(D419,'Sản phẩm'!$A$5:$A$304,0)),""))</f>
        <v/>
      </c>
      <c r="L419" s="16">
        <f>IF(J419="","",J419-K419)</f>
        <v/>
      </c>
      <c r="M419" s="14">
        <f>IF(A419="","",MONTH(A419))</f>
        <v/>
      </c>
      <c r="N419" s="14">
        <f>IF(A419="","",YEAR(A419))</f>
        <v/>
      </c>
    </row>
    <row r="420">
      <c r="A420" s="15" t="n"/>
      <c r="B420" s="10" t="n"/>
      <c r="C420" s="10" t="n"/>
      <c r="D420" s="10" t="n"/>
      <c r="E420" s="14">
        <f>IF(D420="","",IFERROR(INDEX('Sản phẩm'!$B$5:$B$304,MATCH(D420,'Sản phẩm'!$A$5:$A$304,0)),""))</f>
        <v/>
      </c>
      <c r="F420" s="12" t="n"/>
      <c r="G420" s="11" t="n"/>
      <c r="H420" s="11" t="n"/>
      <c r="I420" s="16">
        <f>IF(D420="","",IF(G420&lt;&gt;"",G420,IFERROR(INDEX('Sản phẩm'!$E$5:$E$304,MATCH(D420,'Sản phẩm'!$A$5:$A$304,0)),"")))</f>
        <v/>
      </c>
      <c r="J420" s="16">
        <f>IF(OR(D420="",F420=""),"",F420*I420-N(H420))</f>
        <v/>
      </c>
      <c r="K420" s="16">
        <f>IF(OR(D420="",F420=""),"",F420*IFERROR(INDEX('Sản phẩm'!$D$5:$D$304,MATCH(D420,'Sản phẩm'!$A$5:$A$304,0)),""))</f>
        <v/>
      </c>
      <c r="L420" s="16">
        <f>IF(J420="","",J420-K420)</f>
        <v/>
      </c>
      <c r="M420" s="14">
        <f>IF(A420="","",MONTH(A420))</f>
        <v/>
      </c>
      <c r="N420" s="14">
        <f>IF(A420="","",YEAR(A420))</f>
        <v/>
      </c>
    </row>
    <row r="421">
      <c r="A421" s="15" t="n"/>
      <c r="B421" s="10" t="n"/>
      <c r="C421" s="10" t="n"/>
      <c r="D421" s="10" t="n"/>
      <c r="E421" s="14">
        <f>IF(D421="","",IFERROR(INDEX('Sản phẩm'!$B$5:$B$304,MATCH(D421,'Sản phẩm'!$A$5:$A$304,0)),""))</f>
        <v/>
      </c>
      <c r="F421" s="12" t="n"/>
      <c r="G421" s="11" t="n"/>
      <c r="H421" s="11" t="n"/>
      <c r="I421" s="16">
        <f>IF(D421="","",IF(G421&lt;&gt;"",G421,IFERROR(INDEX('Sản phẩm'!$E$5:$E$304,MATCH(D421,'Sản phẩm'!$A$5:$A$304,0)),"")))</f>
        <v/>
      </c>
      <c r="J421" s="16">
        <f>IF(OR(D421="",F421=""),"",F421*I421-N(H421))</f>
        <v/>
      </c>
      <c r="K421" s="16">
        <f>IF(OR(D421="",F421=""),"",F421*IFERROR(INDEX('Sản phẩm'!$D$5:$D$304,MATCH(D421,'Sản phẩm'!$A$5:$A$304,0)),""))</f>
        <v/>
      </c>
      <c r="L421" s="16">
        <f>IF(J421="","",J421-K421)</f>
        <v/>
      </c>
      <c r="M421" s="14">
        <f>IF(A421="","",MONTH(A421))</f>
        <v/>
      </c>
      <c r="N421" s="14">
        <f>IF(A421="","",YEAR(A421))</f>
        <v/>
      </c>
    </row>
    <row r="422">
      <c r="A422" s="15" t="n"/>
      <c r="B422" s="10" t="n"/>
      <c r="C422" s="10" t="n"/>
      <c r="D422" s="10" t="n"/>
      <c r="E422" s="14">
        <f>IF(D422="","",IFERROR(INDEX('Sản phẩm'!$B$5:$B$304,MATCH(D422,'Sản phẩm'!$A$5:$A$304,0)),""))</f>
        <v/>
      </c>
      <c r="F422" s="12" t="n"/>
      <c r="G422" s="11" t="n"/>
      <c r="H422" s="11" t="n"/>
      <c r="I422" s="16">
        <f>IF(D422="","",IF(G422&lt;&gt;"",G422,IFERROR(INDEX('Sản phẩm'!$E$5:$E$304,MATCH(D422,'Sản phẩm'!$A$5:$A$304,0)),"")))</f>
        <v/>
      </c>
      <c r="J422" s="16">
        <f>IF(OR(D422="",F422=""),"",F422*I422-N(H422))</f>
        <v/>
      </c>
      <c r="K422" s="16">
        <f>IF(OR(D422="",F422=""),"",F422*IFERROR(INDEX('Sản phẩm'!$D$5:$D$304,MATCH(D422,'Sản phẩm'!$A$5:$A$304,0)),""))</f>
        <v/>
      </c>
      <c r="L422" s="16">
        <f>IF(J422="","",J422-K422)</f>
        <v/>
      </c>
      <c r="M422" s="14">
        <f>IF(A422="","",MONTH(A422))</f>
        <v/>
      </c>
      <c r="N422" s="14">
        <f>IF(A422="","",YEAR(A422))</f>
        <v/>
      </c>
    </row>
    <row r="423">
      <c r="A423" s="15" t="n"/>
      <c r="B423" s="10" t="n"/>
      <c r="C423" s="10" t="n"/>
      <c r="D423" s="10" t="n"/>
      <c r="E423" s="14">
        <f>IF(D423="","",IFERROR(INDEX('Sản phẩm'!$B$5:$B$304,MATCH(D423,'Sản phẩm'!$A$5:$A$304,0)),""))</f>
        <v/>
      </c>
      <c r="F423" s="12" t="n"/>
      <c r="G423" s="11" t="n"/>
      <c r="H423" s="11" t="n"/>
      <c r="I423" s="16">
        <f>IF(D423="","",IF(G423&lt;&gt;"",G423,IFERROR(INDEX('Sản phẩm'!$E$5:$E$304,MATCH(D423,'Sản phẩm'!$A$5:$A$304,0)),"")))</f>
        <v/>
      </c>
      <c r="J423" s="16">
        <f>IF(OR(D423="",F423=""),"",F423*I423-N(H423))</f>
        <v/>
      </c>
      <c r="K423" s="16">
        <f>IF(OR(D423="",F423=""),"",F423*IFERROR(INDEX('Sản phẩm'!$D$5:$D$304,MATCH(D423,'Sản phẩm'!$A$5:$A$304,0)),""))</f>
        <v/>
      </c>
      <c r="L423" s="16">
        <f>IF(J423="","",J423-K423)</f>
        <v/>
      </c>
      <c r="M423" s="14">
        <f>IF(A423="","",MONTH(A423))</f>
        <v/>
      </c>
      <c r="N423" s="14">
        <f>IF(A423="","",YEAR(A423))</f>
        <v/>
      </c>
    </row>
    <row r="424">
      <c r="A424" s="15" t="n"/>
      <c r="B424" s="10" t="n"/>
      <c r="C424" s="10" t="n"/>
      <c r="D424" s="10" t="n"/>
      <c r="E424" s="14">
        <f>IF(D424="","",IFERROR(INDEX('Sản phẩm'!$B$5:$B$304,MATCH(D424,'Sản phẩm'!$A$5:$A$304,0)),""))</f>
        <v/>
      </c>
      <c r="F424" s="12" t="n"/>
      <c r="G424" s="11" t="n"/>
      <c r="H424" s="11" t="n"/>
      <c r="I424" s="16">
        <f>IF(D424="","",IF(G424&lt;&gt;"",G424,IFERROR(INDEX('Sản phẩm'!$E$5:$E$304,MATCH(D424,'Sản phẩm'!$A$5:$A$304,0)),"")))</f>
        <v/>
      </c>
      <c r="J424" s="16">
        <f>IF(OR(D424="",F424=""),"",F424*I424-N(H424))</f>
        <v/>
      </c>
      <c r="K424" s="16">
        <f>IF(OR(D424="",F424=""),"",F424*IFERROR(INDEX('Sản phẩm'!$D$5:$D$304,MATCH(D424,'Sản phẩm'!$A$5:$A$304,0)),""))</f>
        <v/>
      </c>
      <c r="L424" s="16">
        <f>IF(J424="","",J424-K424)</f>
        <v/>
      </c>
      <c r="M424" s="14">
        <f>IF(A424="","",MONTH(A424))</f>
        <v/>
      </c>
      <c r="N424" s="14">
        <f>IF(A424="","",YEAR(A424))</f>
        <v/>
      </c>
    </row>
    <row r="425">
      <c r="A425" s="15" t="n"/>
      <c r="B425" s="10" t="n"/>
      <c r="C425" s="10" t="n"/>
      <c r="D425" s="10" t="n"/>
      <c r="E425" s="14">
        <f>IF(D425="","",IFERROR(INDEX('Sản phẩm'!$B$5:$B$304,MATCH(D425,'Sản phẩm'!$A$5:$A$304,0)),""))</f>
        <v/>
      </c>
      <c r="F425" s="12" t="n"/>
      <c r="G425" s="11" t="n"/>
      <c r="H425" s="11" t="n"/>
      <c r="I425" s="16">
        <f>IF(D425="","",IF(G425&lt;&gt;"",G425,IFERROR(INDEX('Sản phẩm'!$E$5:$E$304,MATCH(D425,'Sản phẩm'!$A$5:$A$304,0)),"")))</f>
        <v/>
      </c>
      <c r="J425" s="16">
        <f>IF(OR(D425="",F425=""),"",F425*I425-N(H425))</f>
        <v/>
      </c>
      <c r="K425" s="16">
        <f>IF(OR(D425="",F425=""),"",F425*IFERROR(INDEX('Sản phẩm'!$D$5:$D$304,MATCH(D425,'Sản phẩm'!$A$5:$A$304,0)),""))</f>
        <v/>
      </c>
      <c r="L425" s="16">
        <f>IF(J425="","",J425-K425)</f>
        <v/>
      </c>
      <c r="M425" s="14">
        <f>IF(A425="","",MONTH(A425))</f>
        <v/>
      </c>
      <c r="N425" s="14">
        <f>IF(A425="","",YEAR(A425))</f>
        <v/>
      </c>
    </row>
    <row r="426">
      <c r="A426" s="15" t="n"/>
      <c r="B426" s="10" t="n"/>
      <c r="C426" s="10" t="n"/>
      <c r="D426" s="10" t="n"/>
      <c r="E426" s="14">
        <f>IF(D426="","",IFERROR(INDEX('Sản phẩm'!$B$5:$B$304,MATCH(D426,'Sản phẩm'!$A$5:$A$304,0)),""))</f>
        <v/>
      </c>
      <c r="F426" s="12" t="n"/>
      <c r="G426" s="11" t="n"/>
      <c r="H426" s="11" t="n"/>
      <c r="I426" s="16">
        <f>IF(D426="","",IF(G426&lt;&gt;"",G426,IFERROR(INDEX('Sản phẩm'!$E$5:$E$304,MATCH(D426,'Sản phẩm'!$A$5:$A$304,0)),"")))</f>
        <v/>
      </c>
      <c r="J426" s="16">
        <f>IF(OR(D426="",F426=""),"",F426*I426-N(H426))</f>
        <v/>
      </c>
      <c r="K426" s="16">
        <f>IF(OR(D426="",F426=""),"",F426*IFERROR(INDEX('Sản phẩm'!$D$5:$D$304,MATCH(D426,'Sản phẩm'!$A$5:$A$304,0)),""))</f>
        <v/>
      </c>
      <c r="L426" s="16">
        <f>IF(J426="","",J426-K426)</f>
        <v/>
      </c>
      <c r="M426" s="14">
        <f>IF(A426="","",MONTH(A426))</f>
        <v/>
      </c>
      <c r="N426" s="14">
        <f>IF(A426="","",YEAR(A426))</f>
        <v/>
      </c>
    </row>
    <row r="427">
      <c r="A427" s="15" t="n"/>
      <c r="B427" s="10" t="n"/>
      <c r="C427" s="10" t="n"/>
      <c r="D427" s="10" t="n"/>
      <c r="E427" s="14">
        <f>IF(D427="","",IFERROR(INDEX('Sản phẩm'!$B$5:$B$304,MATCH(D427,'Sản phẩm'!$A$5:$A$304,0)),""))</f>
        <v/>
      </c>
      <c r="F427" s="12" t="n"/>
      <c r="G427" s="11" t="n"/>
      <c r="H427" s="11" t="n"/>
      <c r="I427" s="16">
        <f>IF(D427="","",IF(G427&lt;&gt;"",G427,IFERROR(INDEX('Sản phẩm'!$E$5:$E$304,MATCH(D427,'Sản phẩm'!$A$5:$A$304,0)),"")))</f>
        <v/>
      </c>
      <c r="J427" s="16">
        <f>IF(OR(D427="",F427=""),"",F427*I427-N(H427))</f>
        <v/>
      </c>
      <c r="K427" s="16">
        <f>IF(OR(D427="",F427=""),"",F427*IFERROR(INDEX('Sản phẩm'!$D$5:$D$304,MATCH(D427,'Sản phẩm'!$A$5:$A$304,0)),""))</f>
        <v/>
      </c>
      <c r="L427" s="16">
        <f>IF(J427="","",J427-K427)</f>
        <v/>
      </c>
      <c r="M427" s="14">
        <f>IF(A427="","",MONTH(A427))</f>
        <v/>
      </c>
      <c r="N427" s="14">
        <f>IF(A427="","",YEAR(A427))</f>
        <v/>
      </c>
    </row>
    <row r="428">
      <c r="A428" s="15" t="n"/>
      <c r="B428" s="10" t="n"/>
      <c r="C428" s="10" t="n"/>
      <c r="D428" s="10" t="n"/>
      <c r="E428" s="14">
        <f>IF(D428="","",IFERROR(INDEX('Sản phẩm'!$B$5:$B$304,MATCH(D428,'Sản phẩm'!$A$5:$A$304,0)),""))</f>
        <v/>
      </c>
      <c r="F428" s="12" t="n"/>
      <c r="G428" s="11" t="n"/>
      <c r="H428" s="11" t="n"/>
      <c r="I428" s="16">
        <f>IF(D428="","",IF(G428&lt;&gt;"",G428,IFERROR(INDEX('Sản phẩm'!$E$5:$E$304,MATCH(D428,'Sản phẩm'!$A$5:$A$304,0)),"")))</f>
        <v/>
      </c>
      <c r="J428" s="16">
        <f>IF(OR(D428="",F428=""),"",F428*I428-N(H428))</f>
        <v/>
      </c>
      <c r="K428" s="16">
        <f>IF(OR(D428="",F428=""),"",F428*IFERROR(INDEX('Sản phẩm'!$D$5:$D$304,MATCH(D428,'Sản phẩm'!$A$5:$A$304,0)),""))</f>
        <v/>
      </c>
      <c r="L428" s="16">
        <f>IF(J428="","",J428-K428)</f>
        <v/>
      </c>
      <c r="M428" s="14">
        <f>IF(A428="","",MONTH(A428))</f>
        <v/>
      </c>
      <c r="N428" s="14">
        <f>IF(A428="","",YEAR(A428))</f>
        <v/>
      </c>
    </row>
    <row r="429">
      <c r="A429" s="15" t="n"/>
      <c r="B429" s="10" t="n"/>
      <c r="C429" s="10" t="n"/>
      <c r="D429" s="10" t="n"/>
      <c r="E429" s="14">
        <f>IF(D429="","",IFERROR(INDEX('Sản phẩm'!$B$5:$B$304,MATCH(D429,'Sản phẩm'!$A$5:$A$304,0)),""))</f>
        <v/>
      </c>
      <c r="F429" s="12" t="n"/>
      <c r="G429" s="11" t="n"/>
      <c r="H429" s="11" t="n"/>
      <c r="I429" s="16">
        <f>IF(D429="","",IF(G429&lt;&gt;"",G429,IFERROR(INDEX('Sản phẩm'!$E$5:$E$304,MATCH(D429,'Sản phẩm'!$A$5:$A$304,0)),"")))</f>
        <v/>
      </c>
      <c r="J429" s="16">
        <f>IF(OR(D429="",F429=""),"",F429*I429-N(H429))</f>
        <v/>
      </c>
      <c r="K429" s="16">
        <f>IF(OR(D429="",F429=""),"",F429*IFERROR(INDEX('Sản phẩm'!$D$5:$D$304,MATCH(D429,'Sản phẩm'!$A$5:$A$304,0)),""))</f>
        <v/>
      </c>
      <c r="L429" s="16">
        <f>IF(J429="","",J429-K429)</f>
        <v/>
      </c>
      <c r="M429" s="14">
        <f>IF(A429="","",MONTH(A429))</f>
        <v/>
      </c>
      <c r="N429" s="14">
        <f>IF(A429="","",YEAR(A429))</f>
        <v/>
      </c>
    </row>
    <row r="430">
      <c r="A430" s="15" t="n"/>
      <c r="B430" s="10" t="n"/>
      <c r="C430" s="10" t="n"/>
      <c r="D430" s="10" t="n"/>
      <c r="E430" s="14">
        <f>IF(D430="","",IFERROR(INDEX('Sản phẩm'!$B$5:$B$304,MATCH(D430,'Sản phẩm'!$A$5:$A$304,0)),""))</f>
        <v/>
      </c>
      <c r="F430" s="12" t="n"/>
      <c r="G430" s="11" t="n"/>
      <c r="H430" s="11" t="n"/>
      <c r="I430" s="16">
        <f>IF(D430="","",IF(G430&lt;&gt;"",G430,IFERROR(INDEX('Sản phẩm'!$E$5:$E$304,MATCH(D430,'Sản phẩm'!$A$5:$A$304,0)),"")))</f>
        <v/>
      </c>
      <c r="J430" s="16">
        <f>IF(OR(D430="",F430=""),"",F430*I430-N(H430))</f>
        <v/>
      </c>
      <c r="K430" s="16">
        <f>IF(OR(D430="",F430=""),"",F430*IFERROR(INDEX('Sản phẩm'!$D$5:$D$304,MATCH(D430,'Sản phẩm'!$A$5:$A$304,0)),""))</f>
        <v/>
      </c>
      <c r="L430" s="16">
        <f>IF(J430="","",J430-K430)</f>
        <v/>
      </c>
      <c r="M430" s="14">
        <f>IF(A430="","",MONTH(A430))</f>
        <v/>
      </c>
      <c r="N430" s="14">
        <f>IF(A430="","",YEAR(A430))</f>
        <v/>
      </c>
    </row>
    <row r="431">
      <c r="A431" s="15" t="n"/>
      <c r="B431" s="10" t="n"/>
      <c r="C431" s="10" t="n"/>
      <c r="D431" s="10" t="n"/>
      <c r="E431" s="14">
        <f>IF(D431="","",IFERROR(INDEX('Sản phẩm'!$B$5:$B$304,MATCH(D431,'Sản phẩm'!$A$5:$A$304,0)),""))</f>
        <v/>
      </c>
      <c r="F431" s="12" t="n"/>
      <c r="G431" s="11" t="n"/>
      <c r="H431" s="11" t="n"/>
      <c r="I431" s="16">
        <f>IF(D431="","",IF(G431&lt;&gt;"",G431,IFERROR(INDEX('Sản phẩm'!$E$5:$E$304,MATCH(D431,'Sản phẩm'!$A$5:$A$304,0)),"")))</f>
        <v/>
      </c>
      <c r="J431" s="16">
        <f>IF(OR(D431="",F431=""),"",F431*I431-N(H431))</f>
        <v/>
      </c>
      <c r="K431" s="16">
        <f>IF(OR(D431="",F431=""),"",F431*IFERROR(INDEX('Sản phẩm'!$D$5:$D$304,MATCH(D431,'Sản phẩm'!$A$5:$A$304,0)),""))</f>
        <v/>
      </c>
      <c r="L431" s="16">
        <f>IF(J431="","",J431-K431)</f>
        <v/>
      </c>
      <c r="M431" s="14">
        <f>IF(A431="","",MONTH(A431))</f>
        <v/>
      </c>
      <c r="N431" s="14">
        <f>IF(A431="","",YEAR(A431))</f>
        <v/>
      </c>
    </row>
    <row r="432">
      <c r="A432" s="15" t="n"/>
      <c r="B432" s="10" t="n"/>
      <c r="C432" s="10" t="n"/>
      <c r="D432" s="10" t="n"/>
      <c r="E432" s="14">
        <f>IF(D432="","",IFERROR(INDEX('Sản phẩm'!$B$5:$B$304,MATCH(D432,'Sản phẩm'!$A$5:$A$304,0)),""))</f>
        <v/>
      </c>
      <c r="F432" s="12" t="n"/>
      <c r="G432" s="11" t="n"/>
      <c r="H432" s="11" t="n"/>
      <c r="I432" s="16">
        <f>IF(D432="","",IF(G432&lt;&gt;"",G432,IFERROR(INDEX('Sản phẩm'!$E$5:$E$304,MATCH(D432,'Sản phẩm'!$A$5:$A$304,0)),"")))</f>
        <v/>
      </c>
      <c r="J432" s="16">
        <f>IF(OR(D432="",F432=""),"",F432*I432-N(H432))</f>
        <v/>
      </c>
      <c r="K432" s="16">
        <f>IF(OR(D432="",F432=""),"",F432*IFERROR(INDEX('Sản phẩm'!$D$5:$D$304,MATCH(D432,'Sản phẩm'!$A$5:$A$304,0)),""))</f>
        <v/>
      </c>
      <c r="L432" s="16">
        <f>IF(J432="","",J432-K432)</f>
        <v/>
      </c>
      <c r="M432" s="14">
        <f>IF(A432="","",MONTH(A432))</f>
        <v/>
      </c>
      <c r="N432" s="14">
        <f>IF(A432="","",YEAR(A432))</f>
        <v/>
      </c>
    </row>
    <row r="433">
      <c r="A433" s="15" t="n"/>
      <c r="B433" s="10" t="n"/>
      <c r="C433" s="10" t="n"/>
      <c r="D433" s="10" t="n"/>
      <c r="E433" s="14">
        <f>IF(D433="","",IFERROR(INDEX('Sản phẩm'!$B$5:$B$304,MATCH(D433,'Sản phẩm'!$A$5:$A$304,0)),""))</f>
        <v/>
      </c>
      <c r="F433" s="12" t="n"/>
      <c r="G433" s="11" t="n"/>
      <c r="H433" s="11" t="n"/>
      <c r="I433" s="16">
        <f>IF(D433="","",IF(G433&lt;&gt;"",G433,IFERROR(INDEX('Sản phẩm'!$E$5:$E$304,MATCH(D433,'Sản phẩm'!$A$5:$A$304,0)),"")))</f>
        <v/>
      </c>
      <c r="J433" s="16">
        <f>IF(OR(D433="",F433=""),"",F433*I433-N(H433))</f>
        <v/>
      </c>
      <c r="K433" s="16">
        <f>IF(OR(D433="",F433=""),"",F433*IFERROR(INDEX('Sản phẩm'!$D$5:$D$304,MATCH(D433,'Sản phẩm'!$A$5:$A$304,0)),""))</f>
        <v/>
      </c>
      <c r="L433" s="16">
        <f>IF(J433="","",J433-K433)</f>
        <v/>
      </c>
      <c r="M433" s="14">
        <f>IF(A433="","",MONTH(A433))</f>
        <v/>
      </c>
      <c r="N433" s="14">
        <f>IF(A433="","",YEAR(A433))</f>
        <v/>
      </c>
    </row>
    <row r="434">
      <c r="A434" s="15" t="n"/>
      <c r="B434" s="10" t="n"/>
      <c r="C434" s="10" t="n"/>
      <c r="D434" s="10" t="n"/>
      <c r="E434" s="14">
        <f>IF(D434="","",IFERROR(INDEX('Sản phẩm'!$B$5:$B$304,MATCH(D434,'Sản phẩm'!$A$5:$A$304,0)),""))</f>
        <v/>
      </c>
      <c r="F434" s="12" t="n"/>
      <c r="G434" s="11" t="n"/>
      <c r="H434" s="11" t="n"/>
      <c r="I434" s="16">
        <f>IF(D434="","",IF(G434&lt;&gt;"",G434,IFERROR(INDEX('Sản phẩm'!$E$5:$E$304,MATCH(D434,'Sản phẩm'!$A$5:$A$304,0)),"")))</f>
        <v/>
      </c>
      <c r="J434" s="16">
        <f>IF(OR(D434="",F434=""),"",F434*I434-N(H434))</f>
        <v/>
      </c>
      <c r="K434" s="16">
        <f>IF(OR(D434="",F434=""),"",F434*IFERROR(INDEX('Sản phẩm'!$D$5:$D$304,MATCH(D434,'Sản phẩm'!$A$5:$A$304,0)),""))</f>
        <v/>
      </c>
      <c r="L434" s="16">
        <f>IF(J434="","",J434-K434)</f>
        <v/>
      </c>
      <c r="M434" s="14">
        <f>IF(A434="","",MONTH(A434))</f>
        <v/>
      </c>
      <c r="N434" s="14">
        <f>IF(A434="","",YEAR(A434))</f>
        <v/>
      </c>
    </row>
    <row r="435">
      <c r="A435" s="15" t="n"/>
      <c r="B435" s="10" t="n"/>
      <c r="C435" s="10" t="n"/>
      <c r="D435" s="10" t="n"/>
      <c r="E435" s="14">
        <f>IF(D435="","",IFERROR(INDEX('Sản phẩm'!$B$5:$B$304,MATCH(D435,'Sản phẩm'!$A$5:$A$304,0)),""))</f>
        <v/>
      </c>
      <c r="F435" s="12" t="n"/>
      <c r="G435" s="11" t="n"/>
      <c r="H435" s="11" t="n"/>
      <c r="I435" s="16">
        <f>IF(D435="","",IF(G435&lt;&gt;"",G435,IFERROR(INDEX('Sản phẩm'!$E$5:$E$304,MATCH(D435,'Sản phẩm'!$A$5:$A$304,0)),"")))</f>
        <v/>
      </c>
      <c r="J435" s="16">
        <f>IF(OR(D435="",F435=""),"",F435*I435-N(H435))</f>
        <v/>
      </c>
      <c r="K435" s="16">
        <f>IF(OR(D435="",F435=""),"",F435*IFERROR(INDEX('Sản phẩm'!$D$5:$D$304,MATCH(D435,'Sản phẩm'!$A$5:$A$304,0)),""))</f>
        <v/>
      </c>
      <c r="L435" s="16">
        <f>IF(J435="","",J435-K435)</f>
        <v/>
      </c>
      <c r="M435" s="14">
        <f>IF(A435="","",MONTH(A435))</f>
        <v/>
      </c>
      <c r="N435" s="14">
        <f>IF(A435="","",YEAR(A435))</f>
        <v/>
      </c>
    </row>
    <row r="436">
      <c r="A436" s="15" t="n"/>
      <c r="B436" s="10" t="n"/>
      <c r="C436" s="10" t="n"/>
      <c r="D436" s="10" t="n"/>
      <c r="E436" s="14">
        <f>IF(D436="","",IFERROR(INDEX('Sản phẩm'!$B$5:$B$304,MATCH(D436,'Sản phẩm'!$A$5:$A$304,0)),""))</f>
        <v/>
      </c>
      <c r="F436" s="12" t="n"/>
      <c r="G436" s="11" t="n"/>
      <c r="H436" s="11" t="n"/>
      <c r="I436" s="16">
        <f>IF(D436="","",IF(G436&lt;&gt;"",G436,IFERROR(INDEX('Sản phẩm'!$E$5:$E$304,MATCH(D436,'Sản phẩm'!$A$5:$A$304,0)),"")))</f>
        <v/>
      </c>
      <c r="J436" s="16">
        <f>IF(OR(D436="",F436=""),"",F436*I436-N(H436))</f>
        <v/>
      </c>
      <c r="K436" s="16">
        <f>IF(OR(D436="",F436=""),"",F436*IFERROR(INDEX('Sản phẩm'!$D$5:$D$304,MATCH(D436,'Sản phẩm'!$A$5:$A$304,0)),""))</f>
        <v/>
      </c>
      <c r="L436" s="16">
        <f>IF(J436="","",J436-K436)</f>
        <v/>
      </c>
      <c r="M436" s="14">
        <f>IF(A436="","",MONTH(A436))</f>
        <v/>
      </c>
      <c r="N436" s="14">
        <f>IF(A436="","",YEAR(A436))</f>
        <v/>
      </c>
    </row>
    <row r="437">
      <c r="A437" s="15" t="n"/>
      <c r="B437" s="10" t="n"/>
      <c r="C437" s="10" t="n"/>
      <c r="D437" s="10" t="n"/>
      <c r="E437" s="14">
        <f>IF(D437="","",IFERROR(INDEX('Sản phẩm'!$B$5:$B$304,MATCH(D437,'Sản phẩm'!$A$5:$A$304,0)),""))</f>
        <v/>
      </c>
      <c r="F437" s="12" t="n"/>
      <c r="G437" s="11" t="n"/>
      <c r="H437" s="11" t="n"/>
      <c r="I437" s="16">
        <f>IF(D437="","",IF(G437&lt;&gt;"",G437,IFERROR(INDEX('Sản phẩm'!$E$5:$E$304,MATCH(D437,'Sản phẩm'!$A$5:$A$304,0)),"")))</f>
        <v/>
      </c>
      <c r="J437" s="16">
        <f>IF(OR(D437="",F437=""),"",F437*I437-N(H437))</f>
        <v/>
      </c>
      <c r="K437" s="16">
        <f>IF(OR(D437="",F437=""),"",F437*IFERROR(INDEX('Sản phẩm'!$D$5:$D$304,MATCH(D437,'Sản phẩm'!$A$5:$A$304,0)),""))</f>
        <v/>
      </c>
      <c r="L437" s="16">
        <f>IF(J437="","",J437-K437)</f>
        <v/>
      </c>
      <c r="M437" s="14">
        <f>IF(A437="","",MONTH(A437))</f>
        <v/>
      </c>
      <c r="N437" s="14">
        <f>IF(A437="","",YEAR(A437))</f>
        <v/>
      </c>
    </row>
    <row r="438">
      <c r="A438" s="15" t="n"/>
      <c r="B438" s="10" t="n"/>
      <c r="C438" s="10" t="n"/>
      <c r="D438" s="10" t="n"/>
      <c r="E438" s="14">
        <f>IF(D438="","",IFERROR(INDEX('Sản phẩm'!$B$5:$B$304,MATCH(D438,'Sản phẩm'!$A$5:$A$304,0)),""))</f>
        <v/>
      </c>
      <c r="F438" s="12" t="n"/>
      <c r="G438" s="11" t="n"/>
      <c r="H438" s="11" t="n"/>
      <c r="I438" s="16">
        <f>IF(D438="","",IF(G438&lt;&gt;"",G438,IFERROR(INDEX('Sản phẩm'!$E$5:$E$304,MATCH(D438,'Sản phẩm'!$A$5:$A$304,0)),"")))</f>
        <v/>
      </c>
      <c r="J438" s="16">
        <f>IF(OR(D438="",F438=""),"",F438*I438-N(H438))</f>
        <v/>
      </c>
      <c r="K438" s="16">
        <f>IF(OR(D438="",F438=""),"",F438*IFERROR(INDEX('Sản phẩm'!$D$5:$D$304,MATCH(D438,'Sản phẩm'!$A$5:$A$304,0)),""))</f>
        <v/>
      </c>
      <c r="L438" s="16">
        <f>IF(J438="","",J438-K438)</f>
        <v/>
      </c>
      <c r="M438" s="14">
        <f>IF(A438="","",MONTH(A438))</f>
        <v/>
      </c>
      <c r="N438" s="14">
        <f>IF(A438="","",YEAR(A438))</f>
        <v/>
      </c>
    </row>
    <row r="439">
      <c r="A439" s="15" t="n"/>
      <c r="B439" s="10" t="n"/>
      <c r="C439" s="10" t="n"/>
      <c r="D439" s="10" t="n"/>
      <c r="E439" s="14">
        <f>IF(D439="","",IFERROR(INDEX('Sản phẩm'!$B$5:$B$304,MATCH(D439,'Sản phẩm'!$A$5:$A$304,0)),""))</f>
        <v/>
      </c>
      <c r="F439" s="12" t="n"/>
      <c r="G439" s="11" t="n"/>
      <c r="H439" s="11" t="n"/>
      <c r="I439" s="16">
        <f>IF(D439="","",IF(G439&lt;&gt;"",G439,IFERROR(INDEX('Sản phẩm'!$E$5:$E$304,MATCH(D439,'Sản phẩm'!$A$5:$A$304,0)),"")))</f>
        <v/>
      </c>
      <c r="J439" s="16">
        <f>IF(OR(D439="",F439=""),"",F439*I439-N(H439))</f>
        <v/>
      </c>
      <c r="K439" s="16">
        <f>IF(OR(D439="",F439=""),"",F439*IFERROR(INDEX('Sản phẩm'!$D$5:$D$304,MATCH(D439,'Sản phẩm'!$A$5:$A$304,0)),""))</f>
        <v/>
      </c>
      <c r="L439" s="16">
        <f>IF(J439="","",J439-K439)</f>
        <v/>
      </c>
      <c r="M439" s="14">
        <f>IF(A439="","",MONTH(A439))</f>
        <v/>
      </c>
      <c r="N439" s="14">
        <f>IF(A439="","",YEAR(A439))</f>
        <v/>
      </c>
    </row>
    <row r="440">
      <c r="A440" s="15" t="n"/>
      <c r="B440" s="10" t="n"/>
      <c r="C440" s="10" t="n"/>
      <c r="D440" s="10" t="n"/>
      <c r="E440" s="14">
        <f>IF(D440="","",IFERROR(INDEX('Sản phẩm'!$B$5:$B$304,MATCH(D440,'Sản phẩm'!$A$5:$A$304,0)),""))</f>
        <v/>
      </c>
      <c r="F440" s="12" t="n"/>
      <c r="G440" s="11" t="n"/>
      <c r="H440" s="11" t="n"/>
      <c r="I440" s="16">
        <f>IF(D440="","",IF(G440&lt;&gt;"",G440,IFERROR(INDEX('Sản phẩm'!$E$5:$E$304,MATCH(D440,'Sản phẩm'!$A$5:$A$304,0)),"")))</f>
        <v/>
      </c>
      <c r="J440" s="16">
        <f>IF(OR(D440="",F440=""),"",F440*I440-N(H440))</f>
        <v/>
      </c>
      <c r="K440" s="16">
        <f>IF(OR(D440="",F440=""),"",F440*IFERROR(INDEX('Sản phẩm'!$D$5:$D$304,MATCH(D440,'Sản phẩm'!$A$5:$A$304,0)),""))</f>
        <v/>
      </c>
      <c r="L440" s="16">
        <f>IF(J440="","",J440-K440)</f>
        <v/>
      </c>
      <c r="M440" s="14">
        <f>IF(A440="","",MONTH(A440))</f>
        <v/>
      </c>
      <c r="N440" s="14">
        <f>IF(A440="","",YEAR(A440))</f>
        <v/>
      </c>
    </row>
    <row r="441">
      <c r="A441" s="15" t="n"/>
      <c r="B441" s="10" t="n"/>
      <c r="C441" s="10" t="n"/>
      <c r="D441" s="10" t="n"/>
      <c r="E441" s="14">
        <f>IF(D441="","",IFERROR(INDEX('Sản phẩm'!$B$5:$B$304,MATCH(D441,'Sản phẩm'!$A$5:$A$304,0)),""))</f>
        <v/>
      </c>
      <c r="F441" s="12" t="n"/>
      <c r="G441" s="11" t="n"/>
      <c r="H441" s="11" t="n"/>
      <c r="I441" s="16">
        <f>IF(D441="","",IF(G441&lt;&gt;"",G441,IFERROR(INDEX('Sản phẩm'!$E$5:$E$304,MATCH(D441,'Sản phẩm'!$A$5:$A$304,0)),"")))</f>
        <v/>
      </c>
      <c r="J441" s="16">
        <f>IF(OR(D441="",F441=""),"",F441*I441-N(H441))</f>
        <v/>
      </c>
      <c r="K441" s="16">
        <f>IF(OR(D441="",F441=""),"",F441*IFERROR(INDEX('Sản phẩm'!$D$5:$D$304,MATCH(D441,'Sản phẩm'!$A$5:$A$304,0)),""))</f>
        <v/>
      </c>
      <c r="L441" s="16">
        <f>IF(J441="","",J441-K441)</f>
        <v/>
      </c>
      <c r="M441" s="14">
        <f>IF(A441="","",MONTH(A441))</f>
        <v/>
      </c>
      <c r="N441" s="14">
        <f>IF(A441="","",YEAR(A441))</f>
        <v/>
      </c>
    </row>
    <row r="442">
      <c r="A442" s="15" t="n"/>
      <c r="B442" s="10" t="n"/>
      <c r="C442" s="10" t="n"/>
      <c r="D442" s="10" t="n"/>
      <c r="E442" s="14">
        <f>IF(D442="","",IFERROR(INDEX('Sản phẩm'!$B$5:$B$304,MATCH(D442,'Sản phẩm'!$A$5:$A$304,0)),""))</f>
        <v/>
      </c>
      <c r="F442" s="12" t="n"/>
      <c r="G442" s="11" t="n"/>
      <c r="H442" s="11" t="n"/>
      <c r="I442" s="16">
        <f>IF(D442="","",IF(G442&lt;&gt;"",G442,IFERROR(INDEX('Sản phẩm'!$E$5:$E$304,MATCH(D442,'Sản phẩm'!$A$5:$A$304,0)),"")))</f>
        <v/>
      </c>
      <c r="J442" s="16">
        <f>IF(OR(D442="",F442=""),"",F442*I442-N(H442))</f>
        <v/>
      </c>
      <c r="K442" s="16">
        <f>IF(OR(D442="",F442=""),"",F442*IFERROR(INDEX('Sản phẩm'!$D$5:$D$304,MATCH(D442,'Sản phẩm'!$A$5:$A$304,0)),""))</f>
        <v/>
      </c>
      <c r="L442" s="16">
        <f>IF(J442="","",J442-K442)</f>
        <v/>
      </c>
      <c r="M442" s="14">
        <f>IF(A442="","",MONTH(A442))</f>
        <v/>
      </c>
      <c r="N442" s="14">
        <f>IF(A442="","",YEAR(A442))</f>
        <v/>
      </c>
    </row>
    <row r="443">
      <c r="A443" s="15" t="n"/>
      <c r="B443" s="10" t="n"/>
      <c r="C443" s="10" t="n"/>
      <c r="D443" s="10" t="n"/>
      <c r="E443" s="14">
        <f>IF(D443="","",IFERROR(INDEX('Sản phẩm'!$B$5:$B$304,MATCH(D443,'Sản phẩm'!$A$5:$A$304,0)),""))</f>
        <v/>
      </c>
      <c r="F443" s="12" t="n"/>
      <c r="G443" s="11" t="n"/>
      <c r="H443" s="11" t="n"/>
      <c r="I443" s="16">
        <f>IF(D443="","",IF(G443&lt;&gt;"",G443,IFERROR(INDEX('Sản phẩm'!$E$5:$E$304,MATCH(D443,'Sản phẩm'!$A$5:$A$304,0)),"")))</f>
        <v/>
      </c>
      <c r="J443" s="16">
        <f>IF(OR(D443="",F443=""),"",F443*I443-N(H443))</f>
        <v/>
      </c>
      <c r="K443" s="16">
        <f>IF(OR(D443="",F443=""),"",F443*IFERROR(INDEX('Sản phẩm'!$D$5:$D$304,MATCH(D443,'Sản phẩm'!$A$5:$A$304,0)),""))</f>
        <v/>
      </c>
      <c r="L443" s="16">
        <f>IF(J443="","",J443-K443)</f>
        <v/>
      </c>
      <c r="M443" s="14">
        <f>IF(A443="","",MONTH(A443))</f>
        <v/>
      </c>
      <c r="N443" s="14">
        <f>IF(A443="","",YEAR(A443))</f>
        <v/>
      </c>
    </row>
    <row r="444">
      <c r="A444" s="15" t="n"/>
      <c r="B444" s="10" t="n"/>
      <c r="C444" s="10" t="n"/>
      <c r="D444" s="10" t="n"/>
      <c r="E444" s="14">
        <f>IF(D444="","",IFERROR(INDEX('Sản phẩm'!$B$5:$B$304,MATCH(D444,'Sản phẩm'!$A$5:$A$304,0)),""))</f>
        <v/>
      </c>
      <c r="F444" s="12" t="n"/>
      <c r="G444" s="11" t="n"/>
      <c r="H444" s="11" t="n"/>
      <c r="I444" s="16">
        <f>IF(D444="","",IF(G444&lt;&gt;"",G444,IFERROR(INDEX('Sản phẩm'!$E$5:$E$304,MATCH(D444,'Sản phẩm'!$A$5:$A$304,0)),"")))</f>
        <v/>
      </c>
      <c r="J444" s="16">
        <f>IF(OR(D444="",F444=""),"",F444*I444-N(H444))</f>
        <v/>
      </c>
      <c r="K444" s="16">
        <f>IF(OR(D444="",F444=""),"",F444*IFERROR(INDEX('Sản phẩm'!$D$5:$D$304,MATCH(D444,'Sản phẩm'!$A$5:$A$304,0)),""))</f>
        <v/>
      </c>
      <c r="L444" s="16">
        <f>IF(J444="","",J444-K444)</f>
        <v/>
      </c>
      <c r="M444" s="14">
        <f>IF(A444="","",MONTH(A444))</f>
        <v/>
      </c>
      <c r="N444" s="14">
        <f>IF(A444="","",YEAR(A444))</f>
        <v/>
      </c>
    </row>
    <row r="445">
      <c r="A445" s="15" t="n"/>
      <c r="B445" s="10" t="n"/>
      <c r="C445" s="10" t="n"/>
      <c r="D445" s="10" t="n"/>
      <c r="E445" s="14">
        <f>IF(D445="","",IFERROR(INDEX('Sản phẩm'!$B$5:$B$304,MATCH(D445,'Sản phẩm'!$A$5:$A$304,0)),""))</f>
        <v/>
      </c>
      <c r="F445" s="12" t="n"/>
      <c r="G445" s="11" t="n"/>
      <c r="H445" s="11" t="n"/>
      <c r="I445" s="16">
        <f>IF(D445="","",IF(G445&lt;&gt;"",G445,IFERROR(INDEX('Sản phẩm'!$E$5:$E$304,MATCH(D445,'Sản phẩm'!$A$5:$A$304,0)),"")))</f>
        <v/>
      </c>
      <c r="J445" s="16">
        <f>IF(OR(D445="",F445=""),"",F445*I445-N(H445))</f>
        <v/>
      </c>
      <c r="K445" s="16">
        <f>IF(OR(D445="",F445=""),"",F445*IFERROR(INDEX('Sản phẩm'!$D$5:$D$304,MATCH(D445,'Sản phẩm'!$A$5:$A$304,0)),""))</f>
        <v/>
      </c>
      <c r="L445" s="16">
        <f>IF(J445="","",J445-K445)</f>
        <v/>
      </c>
      <c r="M445" s="14">
        <f>IF(A445="","",MONTH(A445))</f>
        <v/>
      </c>
      <c r="N445" s="14">
        <f>IF(A445="","",YEAR(A445))</f>
        <v/>
      </c>
    </row>
    <row r="446">
      <c r="A446" s="15" t="n"/>
      <c r="B446" s="10" t="n"/>
      <c r="C446" s="10" t="n"/>
      <c r="D446" s="10" t="n"/>
      <c r="E446" s="14">
        <f>IF(D446="","",IFERROR(INDEX('Sản phẩm'!$B$5:$B$304,MATCH(D446,'Sản phẩm'!$A$5:$A$304,0)),""))</f>
        <v/>
      </c>
      <c r="F446" s="12" t="n"/>
      <c r="G446" s="11" t="n"/>
      <c r="H446" s="11" t="n"/>
      <c r="I446" s="16">
        <f>IF(D446="","",IF(G446&lt;&gt;"",G446,IFERROR(INDEX('Sản phẩm'!$E$5:$E$304,MATCH(D446,'Sản phẩm'!$A$5:$A$304,0)),"")))</f>
        <v/>
      </c>
      <c r="J446" s="16">
        <f>IF(OR(D446="",F446=""),"",F446*I446-N(H446))</f>
        <v/>
      </c>
      <c r="K446" s="16">
        <f>IF(OR(D446="",F446=""),"",F446*IFERROR(INDEX('Sản phẩm'!$D$5:$D$304,MATCH(D446,'Sản phẩm'!$A$5:$A$304,0)),""))</f>
        <v/>
      </c>
      <c r="L446" s="16">
        <f>IF(J446="","",J446-K446)</f>
        <v/>
      </c>
      <c r="M446" s="14">
        <f>IF(A446="","",MONTH(A446))</f>
        <v/>
      </c>
      <c r="N446" s="14">
        <f>IF(A446="","",YEAR(A446))</f>
        <v/>
      </c>
    </row>
    <row r="447">
      <c r="A447" s="15" t="n"/>
      <c r="B447" s="10" t="n"/>
      <c r="C447" s="10" t="n"/>
      <c r="D447" s="10" t="n"/>
      <c r="E447" s="14">
        <f>IF(D447="","",IFERROR(INDEX('Sản phẩm'!$B$5:$B$304,MATCH(D447,'Sản phẩm'!$A$5:$A$304,0)),""))</f>
        <v/>
      </c>
      <c r="F447" s="12" t="n"/>
      <c r="G447" s="11" t="n"/>
      <c r="H447" s="11" t="n"/>
      <c r="I447" s="16">
        <f>IF(D447="","",IF(G447&lt;&gt;"",G447,IFERROR(INDEX('Sản phẩm'!$E$5:$E$304,MATCH(D447,'Sản phẩm'!$A$5:$A$304,0)),"")))</f>
        <v/>
      </c>
      <c r="J447" s="16">
        <f>IF(OR(D447="",F447=""),"",F447*I447-N(H447))</f>
        <v/>
      </c>
      <c r="K447" s="16">
        <f>IF(OR(D447="",F447=""),"",F447*IFERROR(INDEX('Sản phẩm'!$D$5:$D$304,MATCH(D447,'Sản phẩm'!$A$5:$A$304,0)),""))</f>
        <v/>
      </c>
      <c r="L447" s="16">
        <f>IF(J447="","",J447-K447)</f>
        <v/>
      </c>
      <c r="M447" s="14">
        <f>IF(A447="","",MONTH(A447))</f>
        <v/>
      </c>
      <c r="N447" s="14">
        <f>IF(A447="","",YEAR(A447))</f>
        <v/>
      </c>
    </row>
    <row r="448">
      <c r="A448" s="15" t="n"/>
      <c r="B448" s="10" t="n"/>
      <c r="C448" s="10" t="n"/>
      <c r="D448" s="10" t="n"/>
      <c r="E448" s="14">
        <f>IF(D448="","",IFERROR(INDEX('Sản phẩm'!$B$5:$B$304,MATCH(D448,'Sản phẩm'!$A$5:$A$304,0)),""))</f>
        <v/>
      </c>
      <c r="F448" s="12" t="n"/>
      <c r="G448" s="11" t="n"/>
      <c r="H448" s="11" t="n"/>
      <c r="I448" s="16">
        <f>IF(D448="","",IF(G448&lt;&gt;"",G448,IFERROR(INDEX('Sản phẩm'!$E$5:$E$304,MATCH(D448,'Sản phẩm'!$A$5:$A$304,0)),"")))</f>
        <v/>
      </c>
      <c r="J448" s="16">
        <f>IF(OR(D448="",F448=""),"",F448*I448-N(H448))</f>
        <v/>
      </c>
      <c r="K448" s="16">
        <f>IF(OR(D448="",F448=""),"",F448*IFERROR(INDEX('Sản phẩm'!$D$5:$D$304,MATCH(D448,'Sản phẩm'!$A$5:$A$304,0)),""))</f>
        <v/>
      </c>
      <c r="L448" s="16">
        <f>IF(J448="","",J448-K448)</f>
        <v/>
      </c>
      <c r="M448" s="14">
        <f>IF(A448="","",MONTH(A448))</f>
        <v/>
      </c>
      <c r="N448" s="14">
        <f>IF(A448="","",YEAR(A448))</f>
        <v/>
      </c>
    </row>
    <row r="449">
      <c r="A449" s="15" t="n"/>
      <c r="B449" s="10" t="n"/>
      <c r="C449" s="10" t="n"/>
      <c r="D449" s="10" t="n"/>
      <c r="E449" s="14">
        <f>IF(D449="","",IFERROR(INDEX('Sản phẩm'!$B$5:$B$304,MATCH(D449,'Sản phẩm'!$A$5:$A$304,0)),""))</f>
        <v/>
      </c>
      <c r="F449" s="12" t="n"/>
      <c r="G449" s="11" t="n"/>
      <c r="H449" s="11" t="n"/>
      <c r="I449" s="16">
        <f>IF(D449="","",IF(G449&lt;&gt;"",G449,IFERROR(INDEX('Sản phẩm'!$E$5:$E$304,MATCH(D449,'Sản phẩm'!$A$5:$A$304,0)),"")))</f>
        <v/>
      </c>
      <c r="J449" s="16">
        <f>IF(OR(D449="",F449=""),"",F449*I449-N(H449))</f>
        <v/>
      </c>
      <c r="K449" s="16">
        <f>IF(OR(D449="",F449=""),"",F449*IFERROR(INDEX('Sản phẩm'!$D$5:$D$304,MATCH(D449,'Sản phẩm'!$A$5:$A$304,0)),""))</f>
        <v/>
      </c>
      <c r="L449" s="16">
        <f>IF(J449="","",J449-K449)</f>
        <v/>
      </c>
      <c r="M449" s="14">
        <f>IF(A449="","",MONTH(A449))</f>
        <v/>
      </c>
      <c r="N449" s="14">
        <f>IF(A449="","",YEAR(A449))</f>
        <v/>
      </c>
    </row>
    <row r="450">
      <c r="A450" s="15" t="n"/>
      <c r="B450" s="10" t="n"/>
      <c r="C450" s="10" t="n"/>
      <c r="D450" s="10" t="n"/>
      <c r="E450" s="14">
        <f>IF(D450="","",IFERROR(INDEX('Sản phẩm'!$B$5:$B$304,MATCH(D450,'Sản phẩm'!$A$5:$A$304,0)),""))</f>
        <v/>
      </c>
      <c r="F450" s="12" t="n"/>
      <c r="G450" s="11" t="n"/>
      <c r="H450" s="11" t="n"/>
      <c r="I450" s="16">
        <f>IF(D450="","",IF(G450&lt;&gt;"",G450,IFERROR(INDEX('Sản phẩm'!$E$5:$E$304,MATCH(D450,'Sản phẩm'!$A$5:$A$304,0)),"")))</f>
        <v/>
      </c>
      <c r="J450" s="16">
        <f>IF(OR(D450="",F450=""),"",F450*I450-N(H450))</f>
        <v/>
      </c>
      <c r="K450" s="16">
        <f>IF(OR(D450="",F450=""),"",F450*IFERROR(INDEX('Sản phẩm'!$D$5:$D$304,MATCH(D450,'Sản phẩm'!$A$5:$A$304,0)),""))</f>
        <v/>
      </c>
      <c r="L450" s="16">
        <f>IF(J450="","",J450-K450)</f>
        <v/>
      </c>
      <c r="M450" s="14">
        <f>IF(A450="","",MONTH(A450))</f>
        <v/>
      </c>
      <c r="N450" s="14">
        <f>IF(A450="","",YEAR(A450))</f>
        <v/>
      </c>
    </row>
    <row r="451">
      <c r="A451" s="15" t="n"/>
      <c r="B451" s="10" t="n"/>
      <c r="C451" s="10" t="n"/>
      <c r="D451" s="10" t="n"/>
      <c r="E451" s="14">
        <f>IF(D451="","",IFERROR(INDEX('Sản phẩm'!$B$5:$B$304,MATCH(D451,'Sản phẩm'!$A$5:$A$304,0)),""))</f>
        <v/>
      </c>
      <c r="F451" s="12" t="n"/>
      <c r="G451" s="11" t="n"/>
      <c r="H451" s="11" t="n"/>
      <c r="I451" s="16">
        <f>IF(D451="","",IF(G451&lt;&gt;"",G451,IFERROR(INDEX('Sản phẩm'!$E$5:$E$304,MATCH(D451,'Sản phẩm'!$A$5:$A$304,0)),"")))</f>
        <v/>
      </c>
      <c r="J451" s="16">
        <f>IF(OR(D451="",F451=""),"",F451*I451-N(H451))</f>
        <v/>
      </c>
      <c r="K451" s="16">
        <f>IF(OR(D451="",F451=""),"",F451*IFERROR(INDEX('Sản phẩm'!$D$5:$D$304,MATCH(D451,'Sản phẩm'!$A$5:$A$304,0)),""))</f>
        <v/>
      </c>
      <c r="L451" s="16">
        <f>IF(J451="","",J451-K451)</f>
        <v/>
      </c>
      <c r="M451" s="14">
        <f>IF(A451="","",MONTH(A451))</f>
        <v/>
      </c>
      <c r="N451" s="14">
        <f>IF(A451="","",YEAR(A451))</f>
        <v/>
      </c>
    </row>
    <row r="452">
      <c r="A452" s="15" t="n"/>
      <c r="B452" s="10" t="n"/>
      <c r="C452" s="10" t="n"/>
      <c r="D452" s="10" t="n"/>
      <c r="E452" s="14">
        <f>IF(D452="","",IFERROR(INDEX('Sản phẩm'!$B$5:$B$304,MATCH(D452,'Sản phẩm'!$A$5:$A$304,0)),""))</f>
        <v/>
      </c>
      <c r="F452" s="12" t="n"/>
      <c r="G452" s="11" t="n"/>
      <c r="H452" s="11" t="n"/>
      <c r="I452" s="16">
        <f>IF(D452="","",IF(G452&lt;&gt;"",G452,IFERROR(INDEX('Sản phẩm'!$E$5:$E$304,MATCH(D452,'Sản phẩm'!$A$5:$A$304,0)),"")))</f>
        <v/>
      </c>
      <c r="J452" s="16">
        <f>IF(OR(D452="",F452=""),"",F452*I452-N(H452))</f>
        <v/>
      </c>
      <c r="K452" s="16">
        <f>IF(OR(D452="",F452=""),"",F452*IFERROR(INDEX('Sản phẩm'!$D$5:$D$304,MATCH(D452,'Sản phẩm'!$A$5:$A$304,0)),""))</f>
        <v/>
      </c>
      <c r="L452" s="16">
        <f>IF(J452="","",J452-K452)</f>
        <v/>
      </c>
      <c r="M452" s="14">
        <f>IF(A452="","",MONTH(A452))</f>
        <v/>
      </c>
      <c r="N452" s="14">
        <f>IF(A452="","",YEAR(A452))</f>
        <v/>
      </c>
    </row>
    <row r="453">
      <c r="A453" s="15" t="n"/>
      <c r="B453" s="10" t="n"/>
      <c r="C453" s="10" t="n"/>
      <c r="D453" s="10" t="n"/>
      <c r="E453" s="14">
        <f>IF(D453="","",IFERROR(INDEX('Sản phẩm'!$B$5:$B$304,MATCH(D453,'Sản phẩm'!$A$5:$A$304,0)),""))</f>
        <v/>
      </c>
      <c r="F453" s="12" t="n"/>
      <c r="G453" s="11" t="n"/>
      <c r="H453" s="11" t="n"/>
      <c r="I453" s="16">
        <f>IF(D453="","",IF(G453&lt;&gt;"",G453,IFERROR(INDEX('Sản phẩm'!$E$5:$E$304,MATCH(D453,'Sản phẩm'!$A$5:$A$304,0)),"")))</f>
        <v/>
      </c>
      <c r="J453" s="16">
        <f>IF(OR(D453="",F453=""),"",F453*I453-N(H453))</f>
        <v/>
      </c>
      <c r="K453" s="16">
        <f>IF(OR(D453="",F453=""),"",F453*IFERROR(INDEX('Sản phẩm'!$D$5:$D$304,MATCH(D453,'Sản phẩm'!$A$5:$A$304,0)),""))</f>
        <v/>
      </c>
      <c r="L453" s="16">
        <f>IF(J453="","",J453-K453)</f>
        <v/>
      </c>
      <c r="M453" s="14">
        <f>IF(A453="","",MONTH(A453))</f>
        <v/>
      </c>
      <c r="N453" s="14">
        <f>IF(A453="","",YEAR(A453))</f>
        <v/>
      </c>
    </row>
    <row r="454">
      <c r="A454" s="15" t="n"/>
      <c r="B454" s="10" t="n"/>
      <c r="C454" s="10" t="n"/>
      <c r="D454" s="10" t="n"/>
      <c r="E454" s="14">
        <f>IF(D454="","",IFERROR(INDEX('Sản phẩm'!$B$5:$B$304,MATCH(D454,'Sản phẩm'!$A$5:$A$304,0)),""))</f>
        <v/>
      </c>
      <c r="F454" s="12" t="n"/>
      <c r="G454" s="11" t="n"/>
      <c r="H454" s="11" t="n"/>
      <c r="I454" s="16">
        <f>IF(D454="","",IF(G454&lt;&gt;"",G454,IFERROR(INDEX('Sản phẩm'!$E$5:$E$304,MATCH(D454,'Sản phẩm'!$A$5:$A$304,0)),"")))</f>
        <v/>
      </c>
      <c r="J454" s="16">
        <f>IF(OR(D454="",F454=""),"",F454*I454-N(H454))</f>
        <v/>
      </c>
      <c r="K454" s="16">
        <f>IF(OR(D454="",F454=""),"",F454*IFERROR(INDEX('Sản phẩm'!$D$5:$D$304,MATCH(D454,'Sản phẩm'!$A$5:$A$304,0)),""))</f>
        <v/>
      </c>
      <c r="L454" s="16">
        <f>IF(J454="","",J454-K454)</f>
        <v/>
      </c>
      <c r="M454" s="14">
        <f>IF(A454="","",MONTH(A454))</f>
        <v/>
      </c>
      <c r="N454" s="14">
        <f>IF(A454="","",YEAR(A454))</f>
        <v/>
      </c>
    </row>
    <row r="455">
      <c r="A455" s="15" t="n"/>
      <c r="B455" s="10" t="n"/>
      <c r="C455" s="10" t="n"/>
      <c r="D455" s="10" t="n"/>
      <c r="E455" s="14">
        <f>IF(D455="","",IFERROR(INDEX('Sản phẩm'!$B$5:$B$304,MATCH(D455,'Sản phẩm'!$A$5:$A$304,0)),""))</f>
        <v/>
      </c>
      <c r="F455" s="12" t="n"/>
      <c r="G455" s="11" t="n"/>
      <c r="H455" s="11" t="n"/>
      <c r="I455" s="16">
        <f>IF(D455="","",IF(G455&lt;&gt;"",G455,IFERROR(INDEX('Sản phẩm'!$E$5:$E$304,MATCH(D455,'Sản phẩm'!$A$5:$A$304,0)),"")))</f>
        <v/>
      </c>
      <c r="J455" s="16">
        <f>IF(OR(D455="",F455=""),"",F455*I455-N(H455))</f>
        <v/>
      </c>
      <c r="K455" s="16">
        <f>IF(OR(D455="",F455=""),"",F455*IFERROR(INDEX('Sản phẩm'!$D$5:$D$304,MATCH(D455,'Sản phẩm'!$A$5:$A$304,0)),""))</f>
        <v/>
      </c>
      <c r="L455" s="16">
        <f>IF(J455="","",J455-K455)</f>
        <v/>
      </c>
      <c r="M455" s="14">
        <f>IF(A455="","",MONTH(A455))</f>
        <v/>
      </c>
      <c r="N455" s="14">
        <f>IF(A455="","",YEAR(A455))</f>
        <v/>
      </c>
    </row>
    <row r="456">
      <c r="A456" s="15" t="n"/>
      <c r="B456" s="10" t="n"/>
      <c r="C456" s="10" t="n"/>
      <c r="D456" s="10" t="n"/>
      <c r="E456" s="14">
        <f>IF(D456="","",IFERROR(INDEX('Sản phẩm'!$B$5:$B$304,MATCH(D456,'Sản phẩm'!$A$5:$A$304,0)),""))</f>
        <v/>
      </c>
      <c r="F456" s="12" t="n"/>
      <c r="G456" s="11" t="n"/>
      <c r="H456" s="11" t="n"/>
      <c r="I456" s="16">
        <f>IF(D456="","",IF(G456&lt;&gt;"",G456,IFERROR(INDEX('Sản phẩm'!$E$5:$E$304,MATCH(D456,'Sản phẩm'!$A$5:$A$304,0)),"")))</f>
        <v/>
      </c>
      <c r="J456" s="16">
        <f>IF(OR(D456="",F456=""),"",F456*I456-N(H456))</f>
        <v/>
      </c>
      <c r="K456" s="16">
        <f>IF(OR(D456="",F456=""),"",F456*IFERROR(INDEX('Sản phẩm'!$D$5:$D$304,MATCH(D456,'Sản phẩm'!$A$5:$A$304,0)),""))</f>
        <v/>
      </c>
      <c r="L456" s="16">
        <f>IF(J456="","",J456-K456)</f>
        <v/>
      </c>
      <c r="M456" s="14">
        <f>IF(A456="","",MONTH(A456))</f>
        <v/>
      </c>
      <c r="N456" s="14">
        <f>IF(A456="","",YEAR(A456))</f>
        <v/>
      </c>
    </row>
    <row r="457">
      <c r="A457" s="15" t="n"/>
      <c r="B457" s="10" t="n"/>
      <c r="C457" s="10" t="n"/>
      <c r="D457" s="10" t="n"/>
      <c r="E457" s="14">
        <f>IF(D457="","",IFERROR(INDEX('Sản phẩm'!$B$5:$B$304,MATCH(D457,'Sản phẩm'!$A$5:$A$304,0)),""))</f>
        <v/>
      </c>
      <c r="F457" s="12" t="n"/>
      <c r="G457" s="11" t="n"/>
      <c r="H457" s="11" t="n"/>
      <c r="I457" s="16">
        <f>IF(D457="","",IF(G457&lt;&gt;"",G457,IFERROR(INDEX('Sản phẩm'!$E$5:$E$304,MATCH(D457,'Sản phẩm'!$A$5:$A$304,0)),"")))</f>
        <v/>
      </c>
      <c r="J457" s="16">
        <f>IF(OR(D457="",F457=""),"",F457*I457-N(H457))</f>
        <v/>
      </c>
      <c r="K457" s="16">
        <f>IF(OR(D457="",F457=""),"",F457*IFERROR(INDEX('Sản phẩm'!$D$5:$D$304,MATCH(D457,'Sản phẩm'!$A$5:$A$304,0)),""))</f>
        <v/>
      </c>
      <c r="L457" s="16">
        <f>IF(J457="","",J457-K457)</f>
        <v/>
      </c>
      <c r="M457" s="14">
        <f>IF(A457="","",MONTH(A457))</f>
        <v/>
      </c>
      <c r="N457" s="14">
        <f>IF(A457="","",YEAR(A457))</f>
        <v/>
      </c>
    </row>
    <row r="458">
      <c r="A458" s="15" t="n"/>
      <c r="B458" s="10" t="n"/>
      <c r="C458" s="10" t="n"/>
      <c r="D458" s="10" t="n"/>
      <c r="E458" s="14">
        <f>IF(D458="","",IFERROR(INDEX('Sản phẩm'!$B$5:$B$304,MATCH(D458,'Sản phẩm'!$A$5:$A$304,0)),""))</f>
        <v/>
      </c>
      <c r="F458" s="12" t="n"/>
      <c r="G458" s="11" t="n"/>
      <c r="H458" s="11" t="n"/>
      <c r="I458" s="16">
        <f>IF(D458="","",IF(G458&lt;&gt;"",G458,IFERROR(INDEX('Sản phẩm'!$E$5:$E$304,MATCH(D458,'Sản phẩm'!$A$5:$A$304,0)),"")))</f>
        <v/>
      </c>
      <c r="J458" s="16">
        <f>IF(OR(D458="",F458=""),"",F458*I458-N(H458))</f>
        <v/>
      </c>
      <c r="K458" s="16">
        <f>IF(OR(D458="",F458=""),"",F458*IFERROR(INDEX('Sản phẩm'!$D$5:$D$304,MATCH(D458,'Sản phẩm'!$A$5:$A$304,0)),""))</f>
        <v/>
      </c>
      <c r="L458" s="16">
        <f>IF(J458="","",J458-K458)</f>
        <v/>
      </c>
      <c r="M458" s="14">
        <f>IF(A458="","",MONTH(A458))</f>
        <v/>
      </c>
      <c r="N458" s="14">
        <f>IF(A458="","",YEAR(A458))</f>
        <v/>
      </c>
    </row>
    <row r="459">
      <c r="A459" s="15" t="n"/>
      <c r="B459" s="10" t="n"/>
      <c r="C459" s="10" t="n"/>
      <c r="D459" s="10" t="n"/>
      <c r="E459" s="14">
        <f>IF(D459="","",IFERROR(INDEX('Sản phẩm'!$B$5:$B$304,MATCH(D459,'Sản phẩm'!$A$5:$A$304,0)),""))</f>
        <v/>
      </c>
      <c r="F459" s="12" t="n"/>
      <c r="G459" s="11" t="n"/>
      <c r="H459" s="11" t="n"/>
      <c r="I459" s="16">
        <f>IF(D459="","",IF(G459&lt;&gt;"",G459,IFERROR(INDEX('Sản phẩm'!$E$5:$E$304,MATCH(D459,'Sản phẩm'!$A$5:$A$304,0)),"")))</f>
        <v/>
      </c>
      <c r="J459" s="16">
        <f>IF(OR(D459="",F459=""),"",F459*I459-N(H459))</f>
        <v/>
      </c>
      <c r="K459" s="16">
        <f>IF(OR(D459="",F459=""),"",F459*IFERROR(INDEX('Sản phẩm'!$D$5:$D$304,MATCH(D459,'Sản phẩm'!$A$5:$A$304,0)),""))</f>
        <v/>
      </c>
      <c r="L459" s="16">
        <f>IF(J459="","",J459-K459)</f>
        <v/>
      </c>
      <c r="M459" s="14">
        <f>IF(A459="","",MONTH(A459))</f>
        <v/>
      </c>
      <c r="N459" s="14">
        <f>IF(A459="","",YEAR(A459))</f>
        <v/>
      </c>
    </row>
    <row r="460">
      <c r="A460" s="15" t="n"/>
      <c r="B460" s="10" t="n"/>
      <c r="C460" s="10" t="n"/>
      <c r="D460" s="10" t="n"/>
      <c r="E460" s="14">
        <f>IF(D460="","",IFERROR(INDEX('Sản phẩm'!$B$5:$B$304,MATCH(D460,'Sản phẩm'!$A$5:$A$304,0)),""))</f>
        <v/>
      </c>
      <c r="F460" s="12" t="n"/>
      <c r="G460" s="11" t="n"/>
      <c r="H460" s="11" t="n"/>
      <c r="I460" s="16">
        <f>IF(D460="","",IF(G460&lt;&gt;"",G460,IFERROR(INDEX('Sản phẩm'!$E$5:$E$304,MATCH(D460,'Sản phẩm'!$A$5:$A$304,0)),"")))</f>
        <v/>
      </c>
      <c r="J460" s="16">
        <f>IF(OR(D460="",F460=""),"",F460*I460-N(H460))</f>
        <v/>
      </c>
      <c r="K460" s="16">
        <f>IF(OR(D460="",F460=""),"",F460*IFERROR(INDEX('Sản phẩm'!$D$5:$D$304,MATCH(D460,'Sản phẩm'!$A$5:$A$304,0)),""))</f>
        <v/>
      </c>
      <c r="L460" s="16">
        <f>IF(J460="","",J460-K460)</f>
        <v/>
      </c>
      <c r="M460" s="14">
        <f>IF(A460="","",MONTH(A460))</f>
        <v/>
      </c>
      <c r="N460" s="14">
        <f>IF(A460="","",YEAR(A460))</f>
        <v/>
      </c>
    </row>
    <row r="461">
      <c r="A461" s="15" t="n"/>
      <c r="B461" s="10" t="n"/>
      <c r="C461" s="10" t="n"/>
      <c r="D461" s="10" t="n"/>
      <c r="E461" s="14">
        <f>IF(D461="","",IFERROR(INDEX('Sản phẩm'!$B$5:$B$304,MATCH(D461,'Sản phẩm'!$A$5:$A$304,0)),""))</f>
        <v/>
      </c>
      <c r="F461" s="12" t="n"/>
      <c r="G461" s="11" t="n"/>
      <c r="H461" s="11" t="n"/>
      <c r="I461" s="16">
        <f>IF(D461="","",IF(G461&lt;&gt;"",G461,IFERROR(INDEX('Sản phẩm'!$E$5:$E$304,MATCH(D461,'Sản phẩm'!$A$5:$A$304,0)),"")))</f>
        <v/>
      </c>
      <c r="J461" s="16">
        <f>IF(OR(D461="",F461=""),"",F461*I461-N(H461))</f>
        <v/>
      </c>
      <c r="K461" s="16">
        <f>IF(OR(D461="",F461=""),"",F461*IFERROR(INDEX('Sản phẩm'!$D$5:$D$304,MATCH(D461,'Sản phẩm'!$A$5:$A$304,0)),""))</f>
        <v/>
      </c>
      <c r="L461" s="16">
        <f>IF(J461="","",J461-K461)</f>
        <v/>
      </c>
      <c r="M461" s="14">
        <f>IF(A461="","",MONTH(A461))</f>
        <v/>
      </c>
      <c r="N461" s="14">
        <f>IF(A461="","",YEAR(A461))</f>
        <v/>
      </c>
    </row>
    <row r="462">
      <c r="A462" s="15" t="n"/>
      <c r="B462" s="10" t="n"/>
      <c r="C462" s="10" t="n"/>
      <c r="D462" s="10" t="n"/>
      <c r="E462" s="14">
        <f>IF(D462="","",IFERROR(INDEX('Sản phẩm'!$B$5:$B$304,MATCH(D462,'Sản phẩm'!$A$5:$A$304,0)),""))</f>
        <v/>
      </c>
      <c r="F462" s="12" t="n"/>
      <c r="G462" s="11" t="n"/>
      <c r="H462" s="11" t="n"/>
      <c r="I462" s="16">
        <f>IF(D462="","",IF(G462&lt;&gt;"",G462,IFERROR(INDEX('Sản phẩm'!$E$5:$E$304,MATCH(D462,'Sản phẩm'!$A$5:$A$304,0)),"")))</f>
        <v/>
      </c>
      <c r="J462" s="16">
        <f>IF(OR(D462="",F462=""),"",F462*I462-N(H462))</f>
        <v/>
      </c>
      <c r="K462" s="16">
        <f>IF(OR(D462="",F462=""),"",F462*IFERROR(INDEX('Sản phẩm'!$D$5:$D$304,MATCH(D462,'Sản phẩm'!$A$5:$A$304,0)),""))</f>
        <v/>
      </c>
      <c r="L462" s="16">
        <f>IF(J462="","",J462-K462)</f>
        <v/>
      </c>
      <c r="M462" s="14">
        <f>IF(A462="","",MONTH(A462))</f>
        <v/>
      </c>
      <c r="N462" s="14">
        <f>IF(A462="","",YEAR(A462))</f>
        <v/>
      </c>
    </row>
    <row r="463">
      <c r="A463" s="15" t="n"/>
      <c r="B463" s="10" t="n"/>
      <c r="C463" s="10" t="n"/>
      <c r="D463" s="10" t="n"/>
      <c r="E463" s="14">
        <f>IF(D463="","",IFERROR(INDEX('Sản phẩm'!$B$5:$B$304,MATCH(D463,'Sản phẩm'!$A$5:$A$304,0)),""))</f>
        <v/>
      </c>
      <c r="F463" s="12" t="n"/>
      <c r="G463" s="11" t="n"/>
      <c r="H463" s="11" t="n"/>
      <c r="I463" s="16">
        <f>IF(D463="","",IF(G463&lt;&gt;"",G463,IFERROR(INDEX('Sản phẩm'!$E$5:$E$304,MATCH(D463,'Sản phẩm'!$A$5:$A$304,0)),"")))</f>
        <v/>
      </c>
      <c r="J463" s="16">
        <f>IF(OR(D463="",F463=""),"",F463*I463-N(H463))</f>
        <v/>
      </c>
      <c r="K463" s="16">
        <f>IF(OR(D463="",F463=""),"",F463*IFERROR(INDEX('Sản phẩm'!$D$5:$D$304,MATCH(D463,'Sản phẩm'!$A$5:$A$304,0)),""))</f>
        <v/>
      </c>
      <c r="L463" s="16">
        <f>IF(J463="","",J463-K463)</f>
        <v/>
      </c>
      <c r="M463" s="14">
        <f>IF(A463="","",MONTH(A463))</f>
        <v/>
      </c>
      <c r="N463" s="14">
        <f>IF(A463="","",YEAR(A463))</f>
        <v/>
      </c>
    </row>
    <row r="464">
      <c r="A464" s="15" t="n"/>
      <c r="B464" s="10" t="n"/>
      <c r="C464" s="10" t="n"/>
      <c r="D464" s="10" t="n"/>
      <c r="E464" s="14">
        <f>IF(D464="","",IFERROR(INDEX('Sản phẩm'!$B$5:$B$304,MATCH(D464,'Sản phẩm'!$A$5:$A$304,0)),""))</f>
        <v/>
      </c>
      <c r="F464" s="12" t="n"/>
      <c r="G464" s="11" t="n"/>
      <c r="H464" s="11" t="n"/>
      <c r="I464" s="16">
        <f>IF(D464="","",IF(G464&lt;&gt;"",G464,IFERROR(INDEX('Sản phẩm'!$E$5:$E$304,MATCH(D464,'Sản phẩm'!$A$5:$A$304,0)),"")))</f>
        <v/>
      </c>
      <c r="J464" s="16">
        <f>IF(OR(D464="",F464=""),"",F464*I464-N(H464))</f>
        <v/>
      </c>
      <c r="K464" s="16">
        <f>IF(OR(D464="",F464=""),"",F464*IFERROR(INDEX('Sản phẩm'!$D$5:$D$304,MATCH(D464,'Sản phẩm'!$A$5:$A$304,0)),""))</f>
        <v/>
      </c>
      <c r="L464" s="16">
        <f>IF(J464="","",J464-K464)</f>
        <v/>
      </c>
      <c r="M464" s="14">
        <f>IF(A464="","",MONTH(A464))</f>
        <v/>
      </c>
      <c r="N464" s="14">
        <f>IF(A464="","",YEAR(A464))</f>
        <v/>
      </c>
    </row>
    <row r="465">
      <c r="A465" s="15" t="n"/>
      <c r="B465" s="10" t="n"/>
      <c r="C465" s="10" t="n"/>
      <c r="D465" s="10" t="n"/>
      <c r="E465" s="14">
        <f>IF(D465="","",IFERROR(INDEX('Sản phẩm'!$B$5:$B$304,MATCH(D465,'Sản phẩm'!$A$5:$A$304,0)),""))</f>
        <v/>
      </c>
      <c r="F465" s="12" t="n"/>
      <c r="G465" s="11" t="n"/>
      <c r="H465" s="11" t="n"/>
      <c r="I465" s="16">
        <f>IF(D465="","",IF(G465&lt;&gt;"",G465,IFERROR(INDEX('Sản phẩm'!$E$5:$E$304,MATCH(D465,'Sản phẩm'!$A$5:$A$304,0)),"")))</f>
        <v/>
      </c>
      <c r="J465" s="16">
        <f>IF(OR(D465="",F465=""),"",F465*I465-N(H465))</f>
        <v/>
      </c>
      <c r="K465" s="16">
        <f>IF(OR(D465="",F465=""),"",F465*IFERROR(INDEX('Sản phẩm'!$D$5:$D$304,MATCH(D465,'Sản phẩm'!$A$5:$A$304,0)),""))</f>
        <v/>
      </c>
      <c r="L465" s="16">
        <f>IF(J465="","",J465-K465)</f>
        <v/>
      </c>
      <c r="M465" s="14">
        <f>IF(A465="","",MONTH(A465))</f>
        <v/>
      </c>
      <c r="N465" s="14">
        <f>IF(A465="","",YEAR(A465))</f>
        <v/>
      </c>
    </row>
    <row r="466">
      <c r="A466" s="15" t="n"/>
      <c r="B466" s="10" t="n"/>
      <c r="C466" s="10" t="n"/>
      <c r="D466" s="10" t="n"/>
      <c r="E466" s="14">
        <f>IF(D466="","",IFERROR(INDEX('Sản phẩm'!$B$5:$B$304,MATCH(D466,'Sản phẩm'!$A$5:$A$304,0)),""))</f>
        <v/>
      </c>
      <c r="F466" s="12" t="n"/>
      <c r="G466" s="11" t="n"/>
      <c r="H466" s="11" t="n"/>
      <c r="I466" s="16">
        <f>IF(D466="","",IF(G466&lt;&gt;"",G466,IFERROR(INDEX('Sản phẩm'!$E$5:$E$304,MATCH(D466,'Sản phẩm'!$A$5:$A$304,0)),"")))</f>
        <v/>
      </c>
      <c r="J466" s="16">
        <f>IF(OR(D466="",F466=""),"",F466*I466-N(H466))</f>
        <v/>
      </c>
      <c r="K466" s="16">
        <f>IF(OR(D466="",F466=""),"",F466*IFERROR(INDEX('Sản phẩm'!$D$5:$D$304,MATCH(D466,'Sản phẩm'!$A$5:$A$304,0)),""))</f>
        <v/>
      </c>
      <c r="L466" s="16">
        <f>IF(J466="","",J466-K466)</f>
        <v/>
      </c>
      <c r="M466" s="14">
        <f>IF(A466="","",MONTH(A466))</f>
        <v/>
      </c>
      <c r="N466" s="14">
        <f>IF(A466="","",YEAR(A466))</f>
        <v/>
      </c>
    </row>
    <row r="467">
      <c r="A467" s="15" t="n"/>
      <c r="B467" s="10" t="n"/>
      <c r="C467" s="10" t="n"/>
      <c r="D467" s="10" t="n"/>
      <c r="E467" s="14">
        <f>IF(D467="","",IFERROR(INDEX('Sản phẩm'!$B$5:$B$304,MATCH(D467,'Sản phẩm'!$A$5:$A$304,0)),""))</f>
        <v/>
      </c>
      <c r="F467" s="12" t="n"/>
      <c r="G467" s="11" t="n"/>
      <c r="H467" s="11" t="n"/>
      <c r="I467" s="16">
        <f>IF(D467="","",IF(G467&lt;&gt;"",G467,IFERROR(INDEX('Sản phẩm'!$E$5:$E$304,MATCH(D467,'Sản phẩm'!$A$5:$A$304,0)),"")))</f>
        <v/>
      </c>
      <c r="J467" s="16">
        <f>IF(OR(D467="",F467=""),"",F467*I467-N(H467))</f>
        <v/>
      </c>
      <c r="K467" s="16">
        <f>IF(OR(D467="",F467=""),"",F467*IFERROR(INDEX('Sản phẩm'!$D$5:$D$304,MATCH(D467,'Sản phẩm'!$A$5:$A$304,0)),""))</f>
        <v/>
      </c>
      <c r="L467" s="16">
        <f>IF(J467="","",J467-K467)</f>
        <v/>
      </c>
      <c r="M467" s="14">
        <f>IF(A467="","",MONTH(A467))</f>
        <v/>
      </c>
      <c r="N467" s="14">
        <f>IF(A467="","",YEAR(A467))</f>
        <v/>
      </c>
    </row>
    <row r="468">
      <c r="A468" s="15" t="n"/>
      <c r="B468" s="10" t="n"/>
      <c r="C468" s="10" t="n"/>
      <c r="D468" s="10" t="n"/>
      <c r="E468" s="14">
        <f>IF(D468="","",IFERROR(INDEX('Sản phẩm'!$B$5:$B$304,MATCH(D468,'Sản phẩm'!$A$5:$A$304,0)),""))</f>
        <v/>
      </c>
      <c r="F468" s="12" t="n"/>
      <c r="G468" s="11" t="n"/>
      <c r="H468" s="11" t="n"/>
      <c r="I468" s="16">
        <f>IF(D468="","",IF(G468&lt;&gt;"",G468,IFERROR(INDEX('Sản phẩm'!$E$5:$E$304,MATCH(D468,'Sản phẩm'!$A$5:$A$304,0)),"")))</f>
        <v/>
      </c>
      <c r="J468" s="16">
        <f>IF(OR(D468="",F468=""),"",F468*I468-N(H468))</f>
        <v/>
      </c>
      <c r="K468" s="16">
        <f>IF(OR(D468="",F468=""),"",F468*IFERROR(INDEX('Sản phẩm'!$D$5:$D$304,MATCH(D468,'Sản phẩm'!$A$5:$A$304,0)),""))</f>
        <v/>
      </c>
      <c r="L468" s="16">
        <f>IF(J468="","",J468-K468)</f>
        <v/>
      </c>
      <c r="M468" s="14">
        <f>IF(A468="","",MONTH(A468))</f>
        <v/>
      </c>
      <c r="N468" s="14">
        <f>IF(A468="","",YEAR(A468))</f>
        <v/>
      </c>
    </row>
    <row r="469">
      <c r="A469" s="15" t="n"/>
      <c r="B469" s="10" t="n"/>
      <c r="C469" s="10" t="n"/>
      <c r="D469" s="10" t="n"/>
      <c r="E469" s="14">
        <f>IF(D469="","",IFERROR(INDEX('Sản phẩm'!$B$5:$B$304,MATCH(D469,'Sản phẩm'!$A$5:$A$304,0)),""))</f>
        <v/>
      </c>
      <c r="F469" s="12" t="n"/>
      <c r="G469" s="11" t="n"/>
      <c r="H469" s="11" t="n"/>
      <c r="I469" s="16">
        <f>IF(D469="","",IF(G469&lt;&gt;"",G469,IFERROR(INDEX('Sản phẩm'!$E$5:$E$304,MATCH(D469,'Sản phẩm'!$A$5:$A$304,0)),"")))</f>
        <v/>
      </c>
      <c r="J469" s="16">
        <f>IF(OR(D469="",F469=""),"",F469*I469-N(H469))</f>
        <v/>
      </c>
      <c r="K469" s="16">
        <f>IF(OR(D469="",F469=""),"",F469*IFERROR(INDEX('Sản phẩm'!$D$5:$D$304,MATCH(D469,'Sản phẩm'!$A$5:$A$304,0)),""))</f>
        <v/>
      </c>
      <c r="L469" s="16">
        <f>IF(J469="","",J469-K469)</f>
        <v/>
      </c>
      <c r="M469" s="14">
        <f>IF(A469="","",MONTH(A469))</f>
        <v/>
      </c>
      <c r="N469" s="14">
        <f>IF(A469="","",YEAR(A469))</f>
        <v/>
      </c>
    </row>
    <row r="470">
      <c r="A470" s="15" t="n"/>
      <c r="B470" s="10" t="n"/>
      <c r="C470" s="10" t="n"/>
      <c r="D470" s="10" t="n"/>
      <c r="E470" s="14">
        <f>IF(D470="","",IFERROR(INDEX('Sản phẩm'!$B$5:$B$304,MATCH(D470,'Sản phẩm'!$A$5:$A$304,0)),""))</f>
        <v/>
      </c>
      <c r="F470" s="12" t="n"/>
      <c r="G470" s="11" t="n"/>
      <c r="H470" s="11" t="n"/>
      <c r="I470" s="16">
        <f>IF(D470="","",IF(G470&lt;&gt;"",G470,IFERROR(INDEX('Sản phẩm'!$E$5:$E$304,MATCH(D470,'Sản phẩm'!$A$5:$A$304,0)),"")))</f>
        <v/>
      </c>
      <c r="J470" s="16">
        <f>IF(OR(D470="",F470=""),"",F470*I470-N(H470))</f>
        <v/>
      </c>
      <c r="K470" s="16">
        <f>IF(OR(D470="",F470=""),"",F470*IFERROR(INDEX('Sản phẩm'!$D$5:$D$304,MATCH(D470,'Sản phẩm'!$A$5:$A$304,0)),""))</f>
        <v/>
      </c>
      <c r="L470" s="16">
        <f>IF(J470="","",J470-K470)</f>
        <v/>
      </c>
      <c r="M470" s="14">
        <f>IF(A470="","",MONTH(A470))</f>
        <v/>
      </c>
      <c r="N470" s="14">
        <f>IF(A470="","",YEAR(A470))</f>
        <v/>
      </c>
    </row>
    <row r="471">
      <c r="A471" s="15" t="n"/>
      <c r="B471" s="10" t="n"/>
      <c r="C471" s="10" t="n"/>
      <c r="D471" s="10" t="n"/>
      <c r="E471" s="14">
        <f>IF(D471="","",IFERROR(INDEX('Sản phẩm'!$B$5:$B$304,MATCH(D471,'Sản phẩm'!$A$5:$A$304,0)),""))</f>
        <v/>
      </c>
      <c r="F471" s="12" t="n"/>
      <c r="G471" s="11" t="n"/>
      <c r="H471" s="11" t="n"/>
      <c r="I471" s="16">
        <f>IF(D471="","",IF(G471&lt;&gt;"",G471,IFERROR(INDEX('Sản phẩm'!$E$5:$E$304,MATCH(D471,'Sản phẩm'!$A$5:$A$304,0)),"")))</f>
        <v/>
      </c>
      <c r="J471" s="16">
        <f>IF(OR(D471="",F471=""),"",F471*I471-N(H471))</f>
        <v/>
      </c>
      <c r="K471" s="16">
        <f>IF(OR(D471="",F471=""),"",F471*IFERROR(INDEX('Sản phẩm'!$D$5:$D$304,MATCH(D471,'Sản phẩm'!$A$5:$A$304,0)),""))</f>
        <v/>
      </c>
      <c r="L471" s="16">
        <f>IF(J471="","",J471-K471)</f>
        <v/>
      </c>
      <c r="M471" s="14">
        <f>IF(A471="","",MONTH(A471))</f>
        <v/>
      </c>
      <c r="N471" s="14">
        <f>IF(A471="","",YEAR(A471))</f>
        <v/>
      </c>
    </row>
    <row r="472">
      <c r="A472" s="15" t="n"/>
      <c r="B472" s="10" t="n"/>
      <c r="C472" s="10" t="n"/>
      <c r="D472" s="10" t="n"/>
      <c r="E472" s="14">
        <f>IF(D472="","",IFERROR(INDEX('Sản phẩm'!$B$5:$B$304,MATCH(D472,'Sản phẩm'!$A$5:$A$304,0)),""))</f>
        <v/>
      </c>
      <c r="F472" s="12" t="n"/>
      <c r="G472" s="11" t="n"/>
      <c r="H472" s="11" t="n"/>
      <c r="I472" s="16">
        <f>IF(D472="","",IF(G472&lt;&gt;"",G472,IFERROR(INDEX('Sản phẩm'!$E$5:$E$304,MATCH(D472,'Sản phẩm'!$A$5:$A$304,0)),"")))</f>
        <v/>
      </c>
      <c r="J472" s="16">
        <f>IF(OR(D472="",F472=""),"",F472*I472-N(H472))</f>
        <v/>
      </c>
      <c r="K472" s="16">
        <f>IF(OR(D472="",F472=""),"",F472*IFERROR(INDEX('Sản phẩm'!$D$5:$D$304,MATCH(D472,'Sản phẩm'!$A$5:$A$304,0)),""))</f>
        <v/>
      </c>
      <c r="L472" s="16">
        <f>IF(J472="","",J472-K472)</f>
        <v/>
      </c>
      <c r="M472" s="14">
        <f>IF(A472="","",MONTH(A472))</f>
        <v/>
      </c>
      <c r="N472" s="14">
        <f>IF(A472="","",YEAR(A472))</f>
        <v/>
      </c>
    </row>
    <row r="473">
      <c r="A473" s="15" t="n"/>
      <c r="B473" s="10" t="n"/>
      <c r="C473" s="10" t="n"/>
      <c r="D473" s="10" t="n"/>
      <c r="E473" s="14">
        <f>IF(D473="","",IFERROR(INDEX('Sản phẩm'!$B$5:$B$304,MATCH(D473,'Sản phẩm'!$A$5:$A$304,0)),""))</f>
        <v/>
      </c>
      <c r="F473" s="12" t="n"/>
      <c r="G473" s="11" t="n"/>
      <c r="H473" s="11" t="n"/>
      <c r="I473" s="16">
        <f>IF(D473="","",IF(G473&lt;&gt;"",G473,IFERROR(INDEX('Sản phẩm'!$E$5:$E$304,MATCH(D473,'Sản phẩm'!$A$5:$A$304,0)),"")))</f>
        <v/>
      </c>
      <c r="J473" s="16">
        <f>IF(OR(D473="",F473=""),"",F473*I473-N(H473))</f>
        <v/>
      </c>
      <c r="K473" s="16">
        <f>IF(OR(D473="",F473=""),"",F473*IFERROR(INDEX('Sản phẩm'!$D$5:$D$304,MATCH(D473,'Sản phẩm'!$A$5:$A$304,0)),""))</f>
        <v/>
      </c>
      <c r="L473" s="16">
        <f>IF(J473="","",J473-K473)</f>
        <v/>
      </c>
      <c r="M473" s="14">
        <f>IF(A473="","",MONTH(A473))</f>
        <v/>
      </c>
      <c r="N473" s="14">
        <f>IF(A473="","",YEAR(A473))</f>
        <v/>
      </c>
    </row>
    <row r="474">
      <c r="A474" s="15" t="n"/>
      <c r="B474" s="10" t="n"/>
      <c r="C474" s="10" t="n"/>
      <c r="D474" s="10" t="n"/>
      <c r="E474" s="14">
        <f>IF(D474="","",IFERROR(INDEX('Sản phẩm'!$B$5:$B$304,MATCH(D474,'Sản phẩm'!$A$5:$A$304,0)),""))</f>
        <v/>
      </c>
      <c r="F474" s="12" t="n"/>
      <c r="G474" s="11" t="n"/>
      <c r="H474" s="11" t="n"/>
      <c r="I474" s="16">
        <f>IF(D474="","",IF(G474&lt;&gt;"",G474,IFERROR(INDEX('Sản phẩm'!$E$5:$E$304,MATCH(D474,'Sản phẩm'!$A$5:$A$304,0)),"")))</f>
        <v/>
      </c>
      <c r="J474" s="16">
        <f>IF(OR(D474="",F474=""),"",F474*I474-N(H474))</f>
        <v/>
      </c>
      <c r="K474" s="16">
        <f>IF(OR(D474="",F474=""),"",F474*IFERROR(INDEX('Sản phẩm'!$D$5:$D$304,MATCH(D474,'Sản phẩm'!$A$5:$A$304,0)),""))</f>
        <v/>
      </c>
      <c r="L474" s="16">
        <f>IF(J474="","",J474-K474)</f>
        <v/>
      </c>
      <c r="M474" s="14">
        <f>IF(A474="","",MONTH(A474))</f>
        <v/>
      </c>
      <c r="N474" s="14">
        <f>IF(A474="","",YEAR(A474))</f>
        <v/>
      </c>
    </row>
    <row r="475">
      <c r="A475" s="15" t="n"/>
      <c r="B475" s="10" t="n"/>
      <c r="C475" s="10" t="n"/>
      <c r="D475" s="10" t="n"/>
      <c r="E475" s="14">
        <f>IF(D475="","",IFERROR(INDEX('Sản phẩm'!$B$5:$B$304,MATCH(D475,'Sản phẩm'!$A$5:$A$304,0)),""))</f>
        <v/>
      </c>
      <c r="F475" s="12" t="n"/>
      <c r="G475" s="11" t="n"/>
      <c r="H475" s="11" t="n"/>
      <c r="I475" s="16">
        <f>IF(D475="","",IF(G475&lt;&gt;"",G475,IFERROR(INDEX('Sản phẩm'!$E$5:$E$304,MATCH(D475,'Sản phẩm'!$A$5:$A$304,0)),"")))</f>
        <v/>
      </c>
      <c r="J475" s="16">
        <f>IF(OR(D475="",F475=""),"",F475*I475-N(H475))</f>
        <v/>
      </c>
      <c r="K475" s="16">
        <f>IF(OR(D475="",F475=""),"",F475*IFERROR(INDEX('Sản phẩm'!$D$5:$D$304,MATCH(D475,'Sản phẩm'!$A$5:$A$304,0)),""))</f>
        <v/>
      </c>
      <c r="L475" s="16">
        <f>IF(J475="","",J475-K475)</f>
        <v/>
      </c>
      <c r="M475" s="14">
        <f>IF(A475="","",MONTH(A475))</f>
        <v/>
      </c>
      <c r="N475" s="14">
        <f>IF(A475="","",YEAR(A475))</f>
        <v/>
      </c>
    </row>
    <row r="476">
      <c r="A476" s="15" t="n"/>
      <c r="B476" s="10" t="n"/>
      <c r="C476" s="10" t="n"/>
      <c r="D476" s="10" t="n"/>
      <c r="E476" s="14">
        <f>IF(D476="","",IFERROR(INDEX('Sản phẩm'!$B$5:$B$304,MATCH(D476,'Sản phẩm'!$A$5:$A$304,0)),""))</f>
        <v/>
      </c>
      <c r="F476" s="12" t="n"/>
      <c r="G476" s="11" t="n"/>
      <c r="H476" s="11" t="n"/>
      <c r="I476" s="16">
        <f>IF(D476="","",IF(G476&lt;&gt;"",G476,IFERROR(INDEX('Sản phẩm'!$E$5:$E$304,MATCH(D476,'Sản phẩm'!$A$5:$A$304,0)),"")))</f>
        <v/>
      </c>
      <c r="J476" s="16">
        <f>IF(OR(D476="",F476=""),"",F476*I476-N(H476))</f>
        <v/>
      </c>
      <c r="K476" s="16">
        <f>IF(OR(D476="",F476=""),"",F476*IFERROR(INDEX('Sản phẩm'!$D$5:$D$304,MATCH(D476,'Sản phẩm'!$A$5:$A$304,0)),""))</f>
        <v/>
      </c>
      <c r="L476" s="16">
        <f>IF(J476="","",J476-K476)</f>
        <v/>
      </c>
      <c r="M476" s="14">
        <f>IF(A476="","",MONTH(A476))</f>
        <v/>
      </c>
      <c r="N476" s="14">
        <f>IF(A476="","",YEAR(A476))</f>
        <v/>
      </c>
    </row>
    <row r="477">
      <c r="A477" s="15" t="n"/>
      <c r="B477" s="10" t="n"/>
      <c r="C477" s="10" t="n"/>
      <c r="D477" s="10" t="n"/>
      <c r="E477" s="14">
        <f>IF(D477="","",IFERROR(INDEX('Sản phẩm'!$B$5:$B$304,MATCH(D477,'Sản phẩm'!$A$5:$A$304,0)),""))</f>
        <v/>
      </c>
      <c r="F477" s="12" t="n"/>
      <c r="G477" s="11" t="n"/>
      <c r="H477" s="11" t="n"/>
      <c r="I477" s="16">
        <f>IF(D477="","",IF(G477&lt;&gt;"",G477,IFERROR(INDEX('Sản phẩm'!$E$5:$E$304,MATCH(D477,'Sản phẩm'!$A$5:$A$304,0)),"")))</f>
        <v/>
      </c>
      <c r="J477" s="16">
        <f>IF(OR(D477="",F477=""),"",F477*I477-N(H477))</f>
        <v/>
      </c>
      <c r="K477" s="16">
        <f>IF(OR(D477="",F477=""),"",F477*IFERROR(INDEX('Sản phẩm'!$D$5:$D$304,MATCH(D477,'Sản phẩm'!$A$5:$A$304,0)),""))</f>
        <v/>
      </c>
      <c r="L477" s="16">
        <f>IF(J477="","",J477-K477)</f>
        <v/>
      </c>
      <c r="M477" s="14">
        <f>IF(A477="","",MONTH(A477))</f>
        <v/>
      </c>
      <c r="N477" s="14">
        <f>IF(A477="","",YEAR(A477))</f>
        <v/>
      </c>
    </row>
    <row r="478">
      <c r="A478" s="15" t="n"/>
      <c r="B478" s="10" t="n"/>
      <c r="C478" s="10" t="n"/>
      <c r="D478" s="10" t="n"/>
      <c r="E478" s="14">
        <f>IF(D478="","",IFERROR(INDEX('Sản phẩm'!$B$5:$B$304,MATCH(D478,'Sản phẩm'!$A$5:$A$304,0)),""))</f>
        <v/>
      </c>
      <c r="F478" s="12" t="n"/>
      <c r="G478" s="11" t="n"/>
      <c r="H478" s="11" t="n"/>
      <c r="I478" s="16">
        <f>IF(D478="","",IF(G478&lt;&gt;"",G478,IFERROR(INDEX('Sản phẩm'!$E$5:$E$304,MATCH(D478,'Sản phẩm'!$A$5:$A$304,0)),"")))</f>
        <v/>
      </c>
      <c r="J478" s="16">
        <f>IF(OR(D478="",F478=""),"",F478*I478-N(H478))</f>
        <v/>
      </c>
      <c r="K478" s="16">
        <f>IF(OR(D478="",F478=""),"",F478*IFERROR(INDEX('Sản phẩm'!$D$5:$D$304,MATCH(D478,'Sản phẩm'!$A$5:$A$304,0)),""))</f>
        <v/>
      </c>
      <c r="L478" s="16">
        <f>IF(J478="","",J478-K478)</f>
        <v/>
      </c>
      <c r="M478" s="14">
        <f>IF(A478="","",MONTH(A478))</f>
        <v/>
      </c>
      <c r="N478" s="14">
        <f>IF(A478="","",YEAR(A478))</f>
        <v/>
      </c>
    </row>
    <row r="479">
      <c r="A479" s="15" t="n"/>
      <c r="B479" s="10" t="n"/>
      <c r="C479" s="10" t="n"/>
      <c r="D479" s="10" t="n"/>
      <c r="E479" s="14">
        <f>IF(D479="","",IFERROR(INDEX('Sản phẩm'!$B$5:$B$304,MATCH(D479,'Sản phẩm'!$A$5:$A$304,0)),""))</f>
        <v/>
      </c>
      <c r="F479" s="12" t="n"/>
      <c r="G479" s="11" t="n"/>
      <c r="H479" s="11" t="n"/>
      <c r="I479" s="16">
        <f>IF(D479="","",IF(G479&lt;&gt;"",G479,IFERROR(INDEX('Sản phẩm'!$E$5:$E$304,MATCH(D479,'Sản phẩm'!$A$5:$A$304,0)),"")))</f>
        <v/>
      </c>
      <c r="J479" s="16">
        <f>IF(OR(D479="",F479=""),"",F479*I479-N(H479))</f>
        <v/>
      </c>
      <c r="K479" s="16">
        <f>IF(OR(D479="",F479=""),"",F479*IFERROR(INDEX('Sản phẩm'!$D$5:$D$304,MATCH(D479,'Sản phẩm'!$A$5:$A$304,0)),""))</f>
        <v/>
      </c>
      <c r="L479" s="16">
        <f>IF(J479="","",J479-K479)</f>
        <v/>
      </c>
      <c r="M479" s="14">
        <f>IF(A479="","",MONTH(A479))</f>
        <v/>
      </c>
      <c r="N479" s="14">
        <f>IF(A479="","",YEAR(A479))</f>
        <v/>
      </c>
    </row>
    <row r="480">
      <c r="A480" s="15" t="n"/>
      <c r="B480" s="10" t="n"/>
      <c r="C480" s="10" t="n"/>
      <c r="D480" s="10" t="n"/>
      <c r="E480" s="14">
        <f>IF(D480="","",IFERROR(INDEX('Sản phẩm'!$B$5:$B$304,MATCH(D480,'Sản phẩm'!$A$5:$A$304,0)),""))</f>
        <v/>
      </c>
      <c r="F480" s="12" t="n"/>
      <c r="G480" s="11" t="n"/>
      <c r="H480" s="11" t="n"/>
      <c r="I480" s="16">
        <f>IF(D480="","",IF(G480&lt;&gt;"",G480,IFERROR(INDEX('Sản phẩm'!$E$5:$E$304,MATCH(D480,'Sản phẩm'!$A$5:$A$304,0)),"")))</f>
        <v/>
      </c>
      <c r="J480" s="16">
        <f>IF(OR(D480="",F480=""),"",F480*I480-N(H480))</f>
        <v/>
      </c>
      <c r="K480" s="16">
        <f>IF(OR(D480="",F480=""),"",F480*IFERROR(INDEX('Sản phẩm'!$D$5:$D$304,MATCH(D480,'Sản phẩm'!$A$5:$A$304,0)),""))</f>
        <v/>
      </c>
      <c r="L480" s="16">
        <f>IF(J480="","",J480-K480)</f>
        <v/>
      </c>
      <c r="M480" s="14">
        <f>IF(A480="","",MONTH(A480))</f>
        <v/>
      </c>
      <c r="N480" s="14">
        <f>IF(A480="","",YEAR(A480))</f>
        <v/>
      </c>
    </row>
    <row r="481">
      <c r="A481" s="15" t="n"/>
      <c r="B481" s="10" t="n"/>
      <c r="C481" s="10" t="n"/>
      <c r="D481" s="10" t="n"/>
      <c r="E481" s="14">
        <f>IF(D481="","",IFERROR(INDEX('Sản phẩm'!$B$5:$B$304,MATCH(D481,'Sản phẩm'!$A$5:$A$304,0)),""))</f>
        <v/>
      </c>
      <c r="F481" s="12" t="n"/>
      <c r="G481" s="11" t="n"/>
      <c r="H481" s="11" t="n"/>
      <c r="I481" s="16">
        <f>IF(D481="","",IF(G481&lt;&gt;"",G481,IFERROR(INDEX('Sản phẩm'!$E$5:$E$304,MATCH(D481,'Sản phẩm'!$A$5:$A$304,0)),"")))</f>
        <v/>
      </c>
      <c r="J481" s="16">
        <f>IF(OR(D481="",F481=""),"",F481*I481-N(H481))</f>
        <v/>
      </c>
      <c r="K481" s="16">
        <f>IF(OR(D481="",F481=""),"",F481*IFERROR(INDEX('Sản phẩm'!$D$5:$D$304,MATCH(D481,'Sản phẩm'!$A$5:$A$304,0)),""))</f>
        <v/>
      </c>
      <c r="L481" s="16">
        <f>IF(J481="","",J481-K481)</f>
        <v/>
      </c>
      <c r="M481" s="14">
        <f>IF(A481="","",MONTH(A481))</f>
        <v/>
      </c>
      <c r="N481" s="14">
        <f>IF(A481="","",YEAR(A481))</f>
        <v/>
      </c>
    </row>
    <row r="482">
      <c r="A482" s="15" t="n"/>
      <c r="B482" s="10" t="n"/>
      <c r="C482" s="10" t="n"/>
      <c r="D482" s="10" t="n"/>
      <c r="E482" s="14">
        <f>IF(D482="","",IFERROR(INDEX('Sản phẩm'!$B$5:$B$304,MATCH(D482,'Sản phẩm'!$A$5:$A$304,0)),""))</f>
        <v/>
      </c>
      <c r="F482" s="12" t="n"/>
      <c r="G482" s="11" t="n"/>
      <c r="H482" s="11" t="n"/>
      <c r="I482" s="16">
        <f>IF(D482="","",IF(G482&lt;&gt;"",G482,IFERROR(INDEX('Sản phẩm'!$E$5:$E$304,MATCH(D482,'Sản phẩm'!$A$5:$A$304,0)),"")))</f>
        <v/>
      </c>
      <c r="J482" s="16">
        <f>IF(OR(D482="",F482=""),"",F482*I482-N(H482))</f>
        <v/>
      </c>
      <c r="K482" s="16">
        <f>IF(OR(D482="",F482=""),"",F482*IFERROR(INDEX('Sản phẩm'!$D$5:$D$304,MATCH(D482,'Sản phẩm'!$A$5:$A$304,0)),""))</f>
        <v/>
      </c>
      <c r="L482" s="16">
        <f>IF(J482="","",J482-K482)</f>
        <v/>
      </c>
      <c r="M482" s="14">
        <f>IF(A482="","",MONTH(A482))</f>
        <v/>
      </c>
      <c r="N482" s="14">
        <f>IF(A482="","",YEAR(A482))</f>
        <v/>
      </c>
    </row>
    <row r="483">
      <c r="A483" s="15" t="n"/>
      <c r="B483" s="10" t="n"/>
      <c r="C483" s="10" t="n"/>
      <c r="D483" s="10" t="n"/>
      <c r="E483" s="14">
        <f>IF(D483="","",IFERROR(INDEX('Sản phẩm'!$B$5:$B$304,MATCH(D483,'Sản phẩm'!$A$5:$A$304,0)),""))</f>
        <v/>
      </c>
      <c r="F483" s="12" t="n"/>
      <c r="G483" s="11" t="n"/>
      <c r="H483" s="11" t="n"/>
      <c r="I483" s="16">
        <f>IF(D483="","",IF(G483&lt;&gt;"",G483,IFERROR(INDEX('Sản phẩm'!$E$5:$E$304,MATCH(D483,'Sản phẩm'!$A$5:$A$304,0)),"")))</f>
        <v/>
      </c>
      <c r="J483" s="16">
        <f>IF(OR(D483="",F483=""),"",F483*I483-N(H483))</f>
        <v/>
      </c>
      <c r="K483" s="16">
        <f>IF(OR(D483="",F483=""),"",F483*IFERROR(INDEX('Sản phẩm'!$D$5:$D$304,MATCH(D483,'Sản phẩm'!$A$5:$A$304,0)),""))</f>
        <v/>
      </c>
      <c r="L483" s="16">
        <f>IF(J483="","",J483-K483)</f>
        <v/>
      </c>
      <c r="M483" s="14">
        <f>IF(A483="","",MONTH(A483))</f>
        <v/>
      </c>
      <c r="N483" s="14">
        <f>IF(A483="","",YEAR(A483))</f>
        <v/>
      </c>
    </row>
    <row r="484">
      <c r="A484" s="15" t="n"/>
      <c r="B484" s="10" t="n"/>
      <c r="C484" s="10" t="n"/>
      <c r="D484" s="10" t="n"/>
      <c r="E484" s="14">
        <f>IF(D484="","",IFERROR(INDEX('Sản phẩm'!$B$5:$B$304,MATCH(D484,'Sản phẩm'!$A$5:$A$304,0)),""))</f>
        <v/>
      </c>
      <c r="F484" s="12" t="n"/>
      <c r="G484" s="11" t="n"/>
      <c r="H484" s="11" t="n"/>
      <c r="I484" s="16">
        <f>IF(D484="","",IF(G484&lt;&gt;"",G484,IFERROR(INDEX('Sản phẩm'!$E$5:$E$304,MATCH(D484,'Sản phẩm'!$A$5:$A$304,0)),"")))</f>
        <v/>
      </c>
      <c r="J484" s="16">
        <f>IF(OR(D484="",F484=""),"",F484*I484-N(H484))</f>
        <v/>
      </c>
      <c r="K484" s="16">
        <f>IF(OR(D484="",F484=""),"",F484*IFERROR(INDEX('Sản phẩm'!$D$5:$D$304,MATCH(D484,'Sản phẩm'!$A$5:$A$304,0)),""))</f>
        <v/>
      </c>
      <c r="L484" s="16">
        <f>IF(J484="","",J484-K484)</f>
        <v/>
      </c>
      <c r="M484" s="14">
        <f>IF(A484="","",MONTH(A484))</f>
        <v/>
      </c>
      <c r="N484" s="14">
        <f>IF(A484="","",YEAR(A484))</f>
        <v/>
      </c>
    </row>
    <row r="485">
      <c r="A485" s="15" t="n"/>
      <c r="B485" s="10" t="n"/>
      <c r="C485" s="10" t="n"/>
      <c r="D485" s="10" t="n"/>
      <c r="E485" s="14">
        <f>IF(D485="","",IFERROR(INDEX('Sản phẩm'!$B$5:$B$304,MATCH(D485,'Sản phẩm'!$A$5:$A$304,0)),""))</f>
        <v/>
      </c>
      <c r="F485" s="12" t="n"/>
      <c r="G485" s="11" t="n"/>
      <c r="H485" s="11" t="n"/>
      <c r="I485" s="16">
        <f>IF(D485="","",IF(G485&lt;&gt;"",G485,IFERROR(INDEX('Sản phẩm'!$E$5:$E$304,MATCH(D485,'Sản phẩm'!$A$5:$A$304,0)),"")))</f>
        <v/>
      </c>
      <c r="J485" s="16">
        <f>IF(OR(D485="",F485=""),"",F485*I485-N(H485))</f>
        <v/>
      </c>
      <c r="K485" s="16">
        <f>IF(OR(D485="",F485=""),"",F485*IFERROR(INDEX('Sản phẩm'!$D$5:$D$304,MATCH(D485,'Sản phẩm'!$A$5:$A$304,0)),""))</f>
        <v/>
      </c>
      <c r="L485" s="16">
        <f>IF(J485="","",J485-K485)</f>
        <v/>
      </c>
      <c r="M485" s="14">
        <f>IF(A485="","",MONTH(A485))</f>
        <v/>
      </c>
      <c r="N485" s="14">
        <f>IF(A485="","",YEAR(A485))</f>
        <v/>
      </c>
    </row>
    <row r="486">
      <c r="A486" s="15" t="n"/>
      <c r="B486" s="10" t="n"/>
      <c r="C486" s="10" t="n"/>
      <c r="D486" s="10" t="n"/>
      <c r="E486" s="14">
        <f>IF(D486="","",IFERROR(INDEX('Sản phẩm'!$B$5:$B$304,MATCH(D486,'Sản phẩm'!$A$5:$A$304,0)),""))</f>
        <v/>
      </c>
      <c r="F486" s="12" t="n"/>
      <c r="G486" s="11" t="n"/>
      <c r="H486" s="11" t="n"/>
      <c r="I486" s="16">
        <f>IF(D486="","",IF(G486&lt;&gt;"",G486,IFERROR(INDEX('Sản phẩm'!$E$5:$E$304,MATCH(D486,'Sản phẩm'!$A$5:$A$304,0)),"")))</f>
        <v/>
      </c>
      <c r="J486" s="16">
        <f>IF(OR(D486="",F486=""),"",F486*I486-N(H486))</f>
        <v/>
      </c>
      <c r="K486" s="16">
        <f>IF(OR(D486="",F486=""),"",F486*IFERROR(INDEX('Sản phẩm'!$D$5:$D$304,MATCH(D486,'Sản phẩm'!$A$5:$A$304,0)),""))</f>
        <v/>
      </c>
      <c r="L486" s="16">
        <f>IF(J486="","",J486-K486)</f>
        <v/>
      </c>
      <c r="M486" s="14">
        <f>IF(A486="","",MONTH(A486))</f>
        <v/>
      </c>
      <c r="N486" s="14">
        <f>IF(A486="","",YEAR(A486))</f>
        <v/>
      </c>
    </row>
    <row r="487">
      <c r="A487" s="15" t="n"/>
      <c r="B487" s="10" t="n"/>
      <c r="C487" s="10" t="n"/>
      <c r="D487" s="10" t="n"/>
      <c r="E487" s="14">
        <f>IF(D487="","",IFERROR(INDEX('Sản phẩm'!$B$5:$B$304,MATCH(D487,'Sản phẩm'!$A$5:$A$304,0)),""))</f>
        <v/>
      </c>
      <c r="F487" s="12" t="n"/>
      <c r="G487" s="11" t="n"/>
      <c r="H487" s="11" t="n"/>
      <c r="I487" s="16">
        <f>IF(D487="","",IF(G487&lt;&gt;"",G487,IFERROR(INDEX('Sản phẩm'!$E$5:$E$304,MATCH(D487,'Sản phẩm'!$A$5:$A$304,0)),"")))</f>
        <v/>
      </c>
      <c r="J487" s="16">
        <f>IF(OR(D487="",F487=""),"",F487*I487-N(H487))</f>
        <v/>
      </c>
      <c r="K487" s="16">
        <f>IF(OR(D487="",F487=""),"",F487*IFERROR(INDEX('Sản phẩm'!$D$5:$D$304,MATCH(D487,'Sản phẩm'!$A$5:$A$304,0)),""))</f>
        <v/>
      </c>
      <c r="L487" s="16">
        <f>IF(J487="","",J487-K487)</f>
        <v/>
      </c>
      <c r="M487" s="14">
        <f>IF(A487="","",MONTH(A487))</f>
        <v/>
      </c>
      <c r="N487" s="14">
        <f>IF(A487="","",YEAR(A487))</f>
        <v/>
      </c>
    </row>
    <row r="488">
      <c r="A488" s="15" t="n"/>
      <c r="B488" s="10" t="n"/>
      <c r="C488" s="10" t="n"/>
      <c r="D488" s="10" t="n"/>
      <c r="E488" s="14">
        <f>IF(D488="","",IFERROR(INDEX('Sản phẩm'!$B$5:$B$304,MATCH(D488,'Sản phẩm'!$A$5:$A$304,0)),""))</f>
        <v/>
      </c>
      <c r="F488" s="12" t="n"/>
      <c r="G488" s="11" t="n"/>
      <c r="H488" s="11" t="n"/>
      <c r="I488" s="16">
        <f>IF(D488="","",IF(G488&lt;&gt;"",G488,IFERROR(INDEX('Sản phẩm'!$E$5:$E$304,MATCH(D488,'Sản phẩm'!$A$5:$A$304,0)),"")))</f>
        <v/>
      </c>
      <c r="J488" s="16">
        <f>IF(OR(D488="",F488=""),"",F488*I488-N(H488))</f>
        <v/>
      </c>
      <c r="K488" s="16">
        <f>IF(OR(D488="",F488=""),"",F488*IFERROR(INDEX('Sản phẩm'!$D$5:$D$304,MATCH(D488,'Sản phẩm'!$A$5:$A$304,0)),""))</f>
        <v/>
      </c>
      <c r="L488" s="16">
        <f>IF(J488="","",J488-K488)</f>
        <v/>
      </c>
      <c r="M488" s="14">
        <f>IF(A488="","",MONTH(A488))</f>
        <v/>
      </c>
      <c r="N488" s="14">
        <f>IF(A488="","",YEAR(A488))</f>
        <v/>
      </c>
    </row>
    <row r="489">
      <c r="A489" s="15" t="n"/>
      <c r="B489" s="10" t="n"/>
      <c r="C489" s="10" t="n"/>
      <c r="D489" s="10" t="n"/>
      <c r="E489" s="14">
        <f>IF(D489="","",IFERROR(INDEX('Sản phẩm'!$B$5:$B$304,MATCH(D489,'Sản phẩm'!$A$5:$A$304,0)),""))</f>
        <v/>
      </c>
      <c r="F489" s="12" t="n"/>
      <c r="G489" s="11" t="n"/>
      <c r="H489" s="11" t="n"/>
      <c r="I489" s="16">
        <f>IF(D489="","",IF(G489&lt;&gt;"",G489,IFERROR(INDEX('Sản phẩm'!$E$5:$E$304,MATCH(D489,'Sản phẩm'!$A$5:$A$304,0)),"")))</f>
        <v/>
      </c>
      <c r="J489" s="16">
        <f>IF(OR(D489="",F489=""),"",F489*I489-N(H489))</f>
        <v/>
      </c>
      <c r="K489" s="16">
        <f>IF(OR(D489="",F489=""),"",F489*IFERROR(INDEX('Sản phẩm'!$D$5:$D$304,MATCH(D489,'Sản phẩm'!$A$5:$A$304,0)),""))</f>
        <v/>
      </c>
      <c r="L489" s="16">
        <f>IF(J489="","",J489-K489)</f>
        <v/>
      </c>
      <c r="M489" s="14">
        <f>IF(A489="","",MONTH(A489))</f>
        <v/>
      </c>
      <c r="N489" s="14">
        <f>IF(A489="","",YEAR(A489))</f>
        <v/>
      </c>
    </row>
    <row r="490">
      <c r="A490" s="15" t="n"/>
      <c r="B490" s="10" t="n"/>
      <c r="C490" s="10" t="n"/>
      <c r="D490" s="10" t="n"/>
      <c r="E490" s="14">
        <f>IF(D490="","",IFERROR(INDEX('Sản phẩm'!$B$5:$B$304,MATCH(D490,'Sản phẩm'!$A$5:$A$304,0)),""))</f>
        <v/>
      </c>
      <c r="F490" s="12" t="n"/>
      <c r="G490" s="11" t="n"/>
      <c r="H490" s="11" t="n"/>
      <c r="I490" s="16">
        <f>IF(D490="","",IF(G490&lt;&gt;"",G490,IFERROR(INDEX('Sản phẩm'!$E$5:$E$304,MATCH(D490,'Sản phẩm'!$A$5:$A$304,0)),"")))</f>
        <v/>
      </c>
      <c r="J490" s="16">
        <f>IF(OR(D490="",F490=""),"",F490*I490-N(H490))</f>
        <v/>
      </c>
      <c r="K490" s="16">
        <f>IF(OR(D490="",F490=""),"",F490*IFERROR(INDEX('Sản phẩm'!$D$5:$D$304,MATCH(D490,'Sản phẩm'!$A$5:$A$304,0)),""))</f>
        <v/>
      </c>
      <c r="L490" s="16">
        <f>IF(J490="","",J490-K490)</f>
        <v/>
      </c>
      <c r="M490" s="14">
        <f>IF(A490="","",MONTH(A490))</f>
        <v/>
      </c>
      <c r="N490" s="14">
        <f>IF(A490="","",YEAR(A490))</f>
        <v/>
      </c>
    </row>
    <row r="491">
      <c r="A491" s="15" t="n"/>
      <c r="B491" s="10" t="n"/>
      <c r="C491" s="10" t="n"/>
      <c r="D491" s="10" t="n"/>
      <c r="E491" s="14">
        <f>IF(D491="","",IFERROR(INDEX('Sản phẩm'!$B$5:$B$304,MATCH(D491,'Sản phẩm'!$A$5:$A$304,0)),""))</f>
        <v/>
      </c>
      <c r="F491" s="12" t="n"/>
      <c r="G491" s="11" t="n"/>
      <c r="H491" s="11" t="n"/>
      <c r="I491" s="16">
        <f>IF(D491="","",IF(G491&lt;&gt;"",G491,IFERROR(INDEX('Sản phẩm'!$E$5:$E$304,MATCH(D491,'Sản phẩm'!$A$5:$A$304,0)),"")))</f>
        <v/>
      </c>
      <c r="J491" s="16">
        <f>IF(OR(D491="",F491=""),"",F491*I491-N(H491))</f>
        <v/>
      </c>
      <c r="K491" s="16">
        <f>IF(OR(D491="",F491=""),"",F491*IFERROR(INDEX('Sản phẩm'!$D$5:$D$304,MATCH(D491,'Sản phẩm'!$A$5:$A$304,0)),""))</f>
        <v/>
      </c>
      <c r="L491" s="16">
        <f>IF(J491="","",J491-K491)</f>
        <v/>
      </c>
      <c r="M491" s="14">
        <f>IF(A491="","",MONTH(A491))</f>
        <v/>
      </c>
      <c r="N491" s="14">
        <f>IF(A491="","",YEAR(A491))</f>
        <v/>
      </c>
    </row>
    <row r="492">
      <c r="A492" s="15" t="n"/>
      <c r="B492" s="10" t="n"/>
      <c r="C492" s="10" t="n"/>
      <c r="D492" s="10" t="n"/>
      <c r="E492" s="14">
        <f>IF(D492="","",IFERROR(INDEX('Sản phẩm'!$B$5:$B$304,MATCH(D492,'Sản phẩm'!$A$5:$A$304,0)),""))</f>
        <v/>
      </c>
      <c r="F492" s="12" t="n"/>
      <c r="G492" s="11" t="n"/>
      <c r="H492" s="11" t="n"/>
      <c r="I492" s="16">
        <f>IF(D492="","",IF(G492&lt;&gt;"",G492,IFERROR(INDEX('Sản phẩm'!$E$5:$E$304,MATCH(D492,'Sản phẩm'!$A$5:$A$304,0)),"")))</f>
        <v/>
      </c>
      <c r="J492" s="16">
        <f>IF(OR(D492="",F492=""),"",F492*I492-N(H492))</f>
        <v/>
      </c>
      <c r="K492" s="16">
        <f>IF(OR(D492="",F492=""),"",F492*IFERROR(INDEX('Sản phẩm'!$D$5:$D$304,MATCH(D492,'Sản phẩm'!$A$5:$A$304,0)),""))</f>
        <v/>
      </c>
      <c r="L492" s="16">
        <f>IF(J492="","",J492-K492)</f>
        <v/>
      </c>
      <c r="M492" s="14">
        <f>IF(A492="","",MONTH(A492))</f>
        <v/>
      </c>
      <c r="N492" s="14">
        <f>IF(A492="","",YEAR(A492))</f>
        <v/>
      </c>
    </row>
    <row r="493">
      <c r="A493" s="15" t="n"/>
      <c r="B493" s="10" t="n"/>
      <c r="C493" s="10" t="n"/>
      <c r="D493" s="10" t="n"/>
      <c r="E493" s="14">
        <f>IF(D493="","",IFERROR(INDEX('Sản phẩm'!$B$5:$B$304,MATCH(D493,'Sản phẩm'!$A$5:$A$304,0)),""))</f>
        <v/>
      </c>
      <c r="F493" s="12" t="n"/>
      <c r="G493" s="11" t="n"/>
      <c r="H493" s="11" t="n"/>
      <c r="I493" s="16">
        <f>IF(D493="","",IF(G493&lt;&gt;"",G493,IFERROR(INDEX('Sản phẩm'!$E$5:$E$304,MATCH(D493,'Sản phẩm'!$A$5:$A$304,0)),"")))</f>
        <v/>
      </c>
      <c r="J493" s="16">
        <f>IF(OR(D493="",F493=""),"",F493*I493-N(H493))</f>
        <v/>
      </c>
      <c r="K493" s="16">
        <f>IF(OR(D493="",F493=""),"",F493*IFERROR(INDEX('Sản phẩm'!$D$5:$D$304,MATCH(D493,'Sản phẩm'!$A$5:$A$304,0)),""))</f>
        <v/>
      </c>
      <c r="L493" s="16">
        <f>IF(J493="","",J493-K493)</f>
        <v/>
      </c>
      <c r="M493" s="14">
        <f>IF(A493="","",MONTH(A493))</f>
        <v/>
      </c>
      <c r="N493" s="14">
        <f>IF(A493="","",YEAR(A493))</f>
        <v/>
      </c>
    </row>
    <row r="494">
      <c r="A494" s="15" t="n"/>
      <c r="B494" s="10" t="n"/>
      <c r="C494" s="10" t="n"/>
      <c r="D494" s="10" t="n"/>
      <c r="E494" s="14">
        <f>IF(D494="","",IFERROR(INDEX('Sản phẩm'!$B$5:$B$304,MATCH(D494,'Sản phẩm'!$A$5:$A$304,0)),""))</f>
        <v/>
      </c>
      <c r="F494" s="12" t="n"/>
      <c r="G494" s="11" t="n"/>
      <c r="H494" s="11" t="n"/>
      <c r="I494" s="16">
        <f>IF(D494="","",IF(G494&lt;&gt;"",G494,IFERROR(INDEX('Sản phẩm'!$E$5:$E$304,MATCH(D494,'Sản phẩm'!$A$5:$A$304,0)),"")))</f>
        <v/>
      </c>
      <c r="J494" s="16">
        <f>IF(OR(D494="",F494=""),"",F494*I494-N(H494))</f>
        <v/>
      </c>
      <c r="K494" s="16">
        <f>IF(OR(D494="",F494=""),"",F494*IFERROR(INDEX('Sản phẩm'!$D$5:$D$304,MATCH(D494,'Sản phẩm'!$A$5:$A$304,0)),""))</f>
        <v/>
      </c>
      <c r="L494" s="16">
        <f>IF(J494="","",J494-K494)</f>
        <v/>
      </c>
      <c r="M494" s="14">
        <f>IF(A494="","",MONTH(A494))</f>
        <v/>
      </c>
      <c r="N494" s="14">
        <f>IF(A494="","",YEAR(A494))</f>
        <v/>
      </c>
    </row>
    <row r="495">
      <c r="A495" s="15" t="n"/>
      <c r="B495" s="10" t="n"/>
      <c r="C495" s="10" t="n"/>
      <c r="D495" s="10" t="n"/>
      <c r="E495" s="14">
        <f>IF(D495="","",IFERROR(INDEX('Sản phẩm'!$B$5:$B$304,MATCH(D495,'Sản phẩm'!$A$5:$A$304,0)),""))</f>
        <v/>
      </c>
      <c r="F495" s="12" t="n"/>
      <c r="G495" s="11" t="n"/>
      <c r="H495" s="11" t="n"/>
      <c r="I495" s="16">
        <f>IF(D495="","",IF(G495&lt;&gt;"",G495,IFERROR(INDEX('Sản phẩm'!$E$5:$E$304,MATCH(D495,'Sản phẩm'!$A$5:$A$304,0)),"")))</f>
        <v/>
      </c>
      <c r="J495" s="16">
        <f>IF(OR(D495="",F495=""),"",F495*I495-N(H495))</f>
        <v/>
      </c>
      <c r="K495" s="16">
        <f>IF(OR(D495="",F495=""),"",F495*IFERROR(INDEX('Sản phẩm'!$D$5:$D$304,MATCH(D495,'Sản phẩm'!$A$5:$A$304,0)),""))</f>
        <v/>
      </c>
      <c r="L495" s="16">
        <f>IF(J495="","",J495-K495)</f>
        <v/>
      </c>
      <c r="M495" s="14">
        <f>IF(A495="","",MONTH(A495))</f>
        <v/>
      </c>
      <c r="N495" s="14">
        <f>IF(A495="","",YEAR(A495))</f>
        <v/>
      </c>
    </row>
    <row r="496">
      <c r="A496" s="15" t="n"/>
      <c r="B496" s="10" t="n"/>
      <c r="C496" s="10" t="n"/>
      <c r="D496" s="10" t="n"/>
      <c r="E496" s="14">
        <f>IF(D496="","",IFERROR(INDEX('Sản phẩm'!$B$5:$B$304,MATCH(D496,'Sản phẩm'!$A$5:$A$304,0)),""))</f>
        <v/>
      </c>
      <c r="F496" s="12" t="n"/>
      <c r="G496" s="11" t="n"/>
      <c r="H496" s="11" t="n"/>
      <c r="I496" s="16">
        <f>IF(D496="","",IF(G496&lt;&gt;"",G496,IFERROR(INDEX('Sản phẩm'!$E$5:$E$304,MATCH(D496,'Sản phẩm'!$A$5:$A$304,0)),"")))</f>
        <v/>
      </c>
      <c r="J496" s="16">
        <f>IF(OR(D496="",F496=""),"",F496*I496-N(H496))</f>
        <v/>
      </c>
      <c r="K496" s="16">
        <f>IF(OR(D496="",F496=""),"",F496*IFERROR(INDEX('Sản phẩm'!$D$5:$D$304,MATCH(D496,'Sản phẩm'!$A$5:$A$304,0)),""))</f>
        <v/>
      </c>
      <c r="L496" s="16">
        <f>IF(J496="","",J496-K496)</f>
        <v/>
      </c>
      <c r="M496" s="14">
        <f>IF(A496="","",MONTH(A496))</f>
        <v/>
      </c>
      <c r="N496" s="14">
        <f>IF(A496="","",YEAR(A496))</f>
        <v/>
      </c>
    </row>
    <row r="497">
      <c r="A497" s="15" t="n"/>
      <c r="B497" s="10" t="n"/>
      <c r="C497" s="10" t="n"/>
      <c r="D497" s="10" t="n"/>
      <c r="E497" s="14">
        <f>IF(D497="","",IFERROR(INDEX('Sản phẩm'!$B$5:$B$304,MATCH(D497,'Sản phẩm'!$A$5:$A$304,0)),""))</f>
        <v/>
      </c>
      <c r="F497" s="12" t="n"/>
      <c r="G497" s="11" t="n"/>
      <c r="H497" s="11" t="n"/>
      <c r="I497" s="16">
        <f>IF(D497="","",IF(G497&lt;&gt;"",G497,IFERROR(INDEX('Sản phẩm'!$E$5:$E$304,MATCH(D497,'Sản phẩm'!$A$5:$A$304,0)),"")))</f>
        <v/>
      </c>
      <c r="J497" s="16">
        <f>IF(OR(D497="",F497=""),"",F497*I497-N(H497))</f>
        <v/>
      </c>
      <c r="K497" s="16">
        <f>IF(OR(D497="",F497=""),"",F497*IFERROR(INDEX('Sản phẩm'!$D$5:$D$304,MATCH(D497,'Sản phẩm'!$A$5:$A$304,0)),""))</f>
        <v/>
      </c>
      <c r="L497" s="16">
        <f>IF(J497="","",J497-K497)</f>
        <v/>
      </c>
      <c r="M497" s="14">
        <f>IF(A497="","",MONTH(A497))</f>
        <v/>
      </c>
      <c r="N497" s="14">
        <f>IF(A497="","",YEAR(A497))</f>
        <v/>
      </c>
    </row>
    <row r="498">
      <c r="A498" s="15" t="n"/>
      <c r="B498" s="10" t="n"/>
      <c r="C498" s="10" t="n"/>
      <c r="D498" s="10" t="n"/>
      <c r="E498" s="14">
        <f>IF(D498="","",IFERROR(INDEX('Sản phẩm'!$B$5:$B$304,MATCH(D498,'Sản phẩm'!$A$5:$A$304,0)),""))</f>
        <v/>
      </c>
      <c r="F498" s="12" t="n"/>
      <c r="G498" s="11" t="n"/>
      <c r="H498" s="11" t="n"/>
      <c r="I498" s="16">
        <f>IF(D498="","",IF(G498&lt;&gt;"",G498,IFERROR(INDEX('Sản phẩm'!$E$5:$E$304,MATCH(D498,'Sản phẩm'!$A$5:$A$304,0)),"")))</f>
        <v/>
      </c>
      <c r="J498" s="16">
        <f>IF(OR(D498="",F498=""),"",F498*I498-N(H498))</f>
        <v/>
      </c>
      <c r="K498" s="16">
        <f>IF(OR(D498="",F498=""),"",F498*IFERROR(INDEX('Sản phẩm'!$D$5:$D$304,MATCH(D498,'Sản phẩm'!$A$5:$A$304,0)),""))</f>
        <v/>
      </c>
      <c r="L498" s="16">
        <f>IF(J498="","",J498-K498)</f>
        <v/>
      </c>
      <c r="M498" s="14">
        <f>IF(A498="","",MONTH(A498))</f>
        <v/>
      </c>
      <c r="N498" s="14">
        <f>IF(A498="","",YEAR(A498))</f>
        <v/>
      </c>
    </row>
    <row r="499">
      <c r="A499" s="15" t="n"/>
      <c r="B499" s="10" t="n"/>
      <c r="C499" s="10" t="n"/>
      <c r="D499" s="10" t="n"/>
      <c r="E499" s="14">
        <f>IF(D499="","",IFERROR(INDEX('Sản phẩm'!$B$5:$B$304,MATCH(D499,'Sản phẩm'!$A$5:$A$304,0)),""))</f>
        <v/>
      </c>
      <c r="F499" s="12" t="n"/>
      <c r="G499" s="11" t="n"/>
      <c r="H499" s="11" t="n"/>
      <c r="I499" s="16">
        <f>IF(D499="","",IF(G499&lt;&gt;"",G499,IFERROR(INDEX('Sản phẩm'!$E$5:$E$304,MATCH(D499,'Sản phẩm'!$A$5:$A$304,0)),"")))</f>
        <v/>
      </c>
      <c r="J499" s="16">
        <f>IF(OR(D499="",F499=""),"",F499*I499-N(H499))</f>
        <v/>
      </c>
      <c r="K499" s="16">
        <f>IF(OR(D499="",F499=""),"",F499*IFERROR(INDEX('Sản phẩm'!$D$5:$D$304,MATCH(D499,'Sản phẩm'!$A$5:$A$304,0)),""))</f>
        <v/>
      </c>
      <c r="L499" s="16">
        <f>IF(J499="","",J499-K499)</f>
        <v/>
      </c>
      <c r="M499" s="14">
        <f>IF(A499="","",MONTH(A499))</f>
        <v/>
      </c>
      <c r="N499" s="14">
        <f>IF(A499="","",YEAR(A499))</f>
        <v/>
      </c>
    </row>
    <row r="500">
      <c r="A500" s="15" t="n"/>
      <c r="B500" s="10" t="n"/>
      <c r="C500" s="10" t="n"/>
      <c r="D500" s="10" t="n"/>
      <c r="E500" s="14">
        <f>IF(D500="","",IFERROR(INDEX('Sản phẩm'!$B$5:$B$304,MATCH(D500,'Sản phẩm'!$A$5:$A$304,0)),""))</f>
        <v/>
      </c>
      <c r="F500" s="12" t="n"/>
      <c r="G500" s="11" t="n"/>
      <c r="H500" s="11" t="n"/>
      <c r="I500" s="16">
        <f>IF(D500="","",IF(G500&lt;&gt;"",G500,IFERROR(INDEX('Sản phẩm'!$E$5:$E$304,MATCH(D500,'Sản phẩm'!$A$5:$A$304,0)),"")))</f>
        <v/>
      </c>
      <c r="J500" s="16">
        <f>IF(OR(D500="",F500=""),"",F500*I500-N(H500))</f>
        <v/>
      </c>
      <c r="K500" s="16">
        <f>IF(OR(D500="",F500=""),"",F500*IFERROR(INDEX('Sản phẩm'!$D$5:$D$304,MATCH(D500,'Sản phẩm'!$A$5:$A$304,0)),""))</f>
        <v/>
      </c>
      <c r="L500" s="16">
        <f>IF(J500="","",J500-K500)</f>
        <v/>
      </c>
      <c r="M500" s="14">
        <f>IF(A500="","",MONTH(A500))</f>
        <v/>
      </c>
      <c r="N500" s="14">
        <f>IF(A500="","",YEAR(A500))</f>
        <v/>
      </c>
    </row>
    <row r="501">
      <c r="A501" s="15" t="n"/>
      <c r="B501" s="10" t="n"/>
      <c r="C501" s="10" t="n"/>
      <c r="D501" s="10" t="n"/>
      <c r="E501" s="14">
        <f>IF(D501="","",IFERROR(INDEX('Sản phẩm'!$B$5:$B$304,MATCH(D501,'Sản phẩm'!$A$5:$A$304,0)),""))</f>
        <v/>
      </c>
      <c r="F501" s="12" t="n"/>
      <c r="G501" s="11" t="n"/>
      <c r="H501" s="11" t="n"/>
      <c r="I501" s="16">
        <f>IF(D501="","",IF(G501&lt;&gt;"",G501,IFERROR(INDEX('Sản phẩm'!$E$5:$E$304,MATCH(D501,'Sản phẩm'!$A$5:$A$304,0)),"")))</f>
        <v/>
      </c>
      <c r="J501" s="16">
        <f>IF(OR(D501="",F501=""),"",F501*I501-N(H501))</f>
        <v/>
      </c>
      <c r="K501" s="16">
        <f>IF(OR(D501="",F501=""),"",F501*IFERROR(INDEX('Sản phẩm'!$D$5:$D$304,MATCH(D501,'Sản phẩm'!$A$5:$A$304,0)),""))</f>
        <v/>
      </c>
      <c r="L501" s="16">
        <f>IF(J501="","",J501-K501)</f>
        <v/>
      </c>
      <c r="M501" s="14">
        <f>IF(A501="","",MONTH(A501))</f>
        <v/>
      </c>
      <c r="N501" s="14">
        <f>IF(A501="","",YEAR(A501))</f>
        <v/>
      </c>
    </row>
    <row r="502">
      <c r="A502" s="15" t="n"/>
      <c r="B502" s="10" t="n"/>
      <c r="C502" s="10" t="n"/>
      <c r="D502" s="10" t="n"/>
      <c r="E502" s="14">
        <f>IF(D502="","",IFERROR(INDEX('Sản phẩm'!$B$5:$B$304,MATCH(D502,'Sản phẩm'!$A$5:$A$304,0)),""))</f>
        <v/>
      </c>
      <c r="F502" s="12" t="n"/>
      <c r="G502" s="11" t="n"/>
      <c r="H502" s="11" t="n"/>
      <c r="I502" s="16">
        <f>IF(D502="","",IF(G502&lt;&gt;"",G502,IFERROR(INDEX('Sản phẩm'!$E$5:$E$304,MATCH(D502,'Sản phẩm'!$A$5:$A$304,0)),"")))</f>
        <v/>
      </c>
      <c r="J502" s="16">
        <f>IF(OR(D502="",F502=""),"",F502*I502-N(H502))</f>
        <v/>
      </c>
      <c r="K502" s="16">
        <f>IF(OR(D502="",F502=""),"",F502*IFERROR(INDEX('Sản phẩm'!$D$5:$D$304,MATCH(D502,'Sản phẩm'!$A$5:$A$304,0)),""))</f>
        <v/>
      </c>
      <c r="L502" s="16">
        <f>IF(J502="","",J502-K502)</f>
        <v/>
      </c>
      <c r="M502" s="14">
        <f>IF(A502="","",MONTH(A502))</f>
        <v/>
      </c>
      <c r="N502" s="14">
        <f>IF(A502="","",YEAR(A502))</f>
        <v/>
      </c>
    </row>
    <row r="503">
      <c r="A503" s="15" t="n"/>
      <c r="B503" s="10" t="n"/>
      <c r="C503" s="10" t="n"/>
      <c r="D503" s="10" t="n"/>
      <c r="E503" s="14">
        <f>IF(D503="","",IFERROR(INDEX('Sản phẩm'!$B$5:$B$304,MATCH(D503,'Sản phẩm'!$A$5:$A$304,0)),""))</f>
        <v/>
      </c>
      <c r="F503" s="12" t="n"/>
      <c r="G503" s="11" t="n"/>
      <c r="H503" s="11" t="n"/>
      <c r="I503" s="16">
        <f>IF(D503="","",IF(G503&lt;&gt;"",G503,IFERROR(INDEX('Sản phẩm'!$E$5:$E$304,MATCH(D503,'Sản phẩm'!$A$5:$A$304,0)),"")))</f>
        <v/>
      </c>
      <c r="J503" s="16">
        <f>IF(OR(D503="",F503=""),"",F503*I503-N(H503))</f>
        <v/>
      </c>
      <c r="K503" s="16">
        <f>IF(OR(D503="",F503=""),"",F503*IFERROR(INDEX('Sản phẩm'!$D$5:$D$304,MATCH(D503,'Sản phẩm'!$A$5:$A$304,0)),""))</f>
        <v/>
      </c>
      <c r="L503" s="16">
        <f>IF(J503="","",J503-K503)</f>
        <v/>
      </c>
      <c r="M503" s="14">
        <f>IF(A503="","",MONTH(A503))</f>
        <v/>
      </c>
      <c r="N503" s="14">
        <f>IF(A503="","",YEAR(A503))</f>
        <v/>
      </c>
    </row>
    <row r="504">
      <c r="A504" s="15" t="n"/>
      <c r="B504" s="10" t="n"/>
      <c r="C504" s="10" t="n"/>
      <c r="D504" s="10" t="n"/>
      <c r="E504" s="14">
        <f>IF(D504="","",IFERROR(INDEX('Sản phẩm'!$B$5:$B$304,MATCH(D504,'Sản phẩm'!$A$5:$A$304,0)),""))</f>
        <v/>
      </c>
      <c r="F504" s="12" t="n"/>
      <c r="G504" s="11" t="n"/>
      <c r="H504" s="11" t="n"/>
      <c r="I504" s="16">
        <f>IF(D504="","",IF(G504&lt;&gt;"",G504,IFERROR(INDEX('Sản phẩm'!$E$5:$E$304,MATCH(D504,'Sản phẩm'!$A$5:$A$304,0)),"")))</f>
        <v/>
      </c>
      <c r="J504" s="16">
        <f>IF(OR(D504="",F504=""),"",F504*I504-N(H504))</f>
        <v/>
      </c>
      <c r="K504" s="16">
        <f>IF(OR(D504="",F504=""),"",F504*IFERROR(INDEX('Sản phẩm'!$D$5:$D$304,MATCH(D504,'Sản phẩm'!$A$5:$A$304,0)),""))</f>
        <v/>
      </c>
      <c r="L504" s="16">
        <f>IF(J504="","",J504-K504)</f>
        <v/>
      </c>
      <c r="M504" s="14">
        <f>IF(A504="","",MONTH(A504))</f>
        <v/>
      </c>
      <c r="N504" s="14">
        <f>IF(A504="","",YEAR(A504))</f>
        <v/>
      </c>
    </row>
    <row r="505">
      <c r="A505" s="15" t="n"/>
      <c r="B505" s="10" t="n"/>
      <c r="C505" s="10" t="n"/>
      <c r="D505" s="10" t="n"/>
      <c r="E505" s="14">
        <f>IF(D505="","",IFERROR(INDEX('Sản phẩm'!$B$5:$B$304,MATCH(D505,'Sản phẩm'!$A$5:$A$304,0)),""))</f>
        <v/>
      </c>
      <c r="F505" s="12" t="n"/>
      <c r="G505" s="11" t="n"/>
      <c r="H505" s="11" t="n"/>
      <c r="I505" s="16">
        <f>IF(D505="","",IF(G505&lt;&gt;"",G505,IFERROR(INDEX('Sản phẩm'!$E$5:$E$304,MATCH(D505,'Sản phẩm'!$A$5:$A$304,0)),"")))</f>
        <v/>
      </c>
      <c r="J505" s="16">
        <f>IF(OR(D505="",F505=""),"",F505*I505-N(H505))</f>
        <v/>
      </c>
      <c r="K505" s="16">
        <f>IF(OR(D505="",F505=""),"",F505*IFERROR(INDEX('Sản phẩm'!$D$5:$D$304,MATCH(D505,'Sản phẩm'!$A$5:$A$304,0)),""))</f>
        <v/>
      </c>
      <c r="L505" s="16">
        <f>IF(J505="","",J505-K505)</f>
        <v/>
      </c>
      <c r="M505" s="14">
        <f>IF(A505="","",MONTH(A505))</f>
        <v/>
      </c>
      <c r="N505" s="14">
        <f>IF(A505="","",YEAR(A505))</f>
        <v/>
      </c>
    </row>
    <row r="506">
      <c r="A506" s="15" t="n"/>
      <c r="B506" s="10" t="n"/>
      <c r="C506" s="10" t="n"/>
      <c r="D506" s="10" t="n"/>
      <c r="E506" s="14">
        <f>IF(D506="","",IFERROR(INDEX('Sản phẩm'!$B$5:$B$304,MATCH(D506,'Sản phẩm'!$A$5:$A$304,0)),""))</f>
        <v/>
      </c>
      <c r="F506" s="12" t="n"/>
      <c r="G506" s="11" t="n"/>
      <c r="H506" s="11" t="n"/>
      <c r="I506" s="16">
        <f>IF(D506="","",IF(G506&lt;&gt;"",G506,IFERROR(INDEX('Sản phẩm'!$E$5:$E$304,MATCH(D506,'Sản phẩm'!$A$5:$A$304,0)),"")))</f>
        <v/>
      </c>
      <c r="J506" s="16">
        <f>IF(OR(D506="",F506=""),"",F506*I506-N(H506))</f>
        <v/>
      </c>
      <c r="K506" s="16">
        <f>IF(OR(D506="",F506=""),"",F506*IFERROR(INDEX('Sản phẩm'!$D$5:$D$304,MATCH(D506,'Sản phẩm'!$A$5:$A$304,0)),""))</f>
        <v/>
      </c>
      <c r="L506" s="16">
        <f>IF(J506="","",J506-K506)</f>
        <v/>
      </c>
      <c r="M506" s="14">
        <f>IF(A506="","",MONTH(A506))</f>
        <v/>
      </c>
      <c r="N506" s="14">
        <f>IF(A506="","",YEAR(A506))</f>
        <v/>
      </c>
    </row>
    <row r="507">
      <c r="A507" s="15" t="n"/>
      <c r="B507" s="10" t="n"/>
      <c r="C507" s="10" t="n"/>
      <c r="D507" s="10" t="n"/>
      <c r="E507" s="14">
        <f>IF(D507="","",IFERROR(INDEX('Sản phẩm'!$B$5:$B$304,MATCH(D507,'Sản phẩm'!$A$5:$A$304,0)),""))</f>
        <v/>
      </c>
      <c r="F507" s="12" t="n"/>
      <c r="G507" s="11" t="n"/>
      <c r="H507" s="11" t="n"/>
      <c r="I507" s="16">
        <f>IF(D507="","",IF(G507&lt;&gt;"",G507,IFERROR(INDEX('Sản phẩm'!$E$5:$E$304,MATCH(D507,'Sản phẩm'!$A$5:$A$304,0)),"")))</f>
        <v/>
      </c>
      <c r="J507" s="16">
        <f>IF(OR(D507="",F507=""),"",F507*I507-N(H507))</f>
        <v/>
      </c>
      <c r="K507" s="16">
        <f>IF(OR(D507="",F507=""),"",F507*IFERROR(INDEX('Sản phẩm'!$D$5:$D$304,MATCH(D507,'Sản phẩm'!$A$5:$A$304,0)),""))</f>
        <v/>
      </c>
      <c r="L507" s="16">
        <f>IF(J507="","",J507-K507)</f>
        <v/>
      </c>
      <c r="M507" s="14">
        <f>IF(A507="","",MONTH(A507))</f>
        <v/>
      </c>
      <c r="N507" s="14">
        <f>IF(A507="","",YEAR(A507))</f>
        <v/>
      </c>
    </row>
    <row r="508">
      <c r="A508" s="15" t="n"/>
      <c r="B508" s="10" t="n"/>
      <c r="C508" s="10" t="n"/>
      <c r="D508" s="10" t="n"/>
      <c r="E508" s="14">
        <f>IF(D508="","",IFERROR(INDEX('Sản phẩm'!$B$5:$B$304,MATCH(D508,'Sản phẩm'!$A$5:$A$304,0)),""))</f>
        <v/>
      </c>
      <c r="F508" s="12" t="n"/>
      <c r="G508" s="11" t="n"/>
      <c r="H508" s="11" t="n"/>
      <c r="I508" s="16">
        <f>IF(D508="","",IF(G508&lt;&gt;"",G508,IFERROR(INDEX('Sản phẩm'!$E$5:$E$304,MATCH(D508,'Sản phẩm'!$A$5:$A$304,0)),"")))</f>
        <v/>
      </c>
      <c r="J508" s="16">
        <f>IF(OR(D508="",F508=""),"",F508*I508-N(H508))</f>
        <v/>
      </c>
      <c r="K508" s="16">
        <f>IF(OR(D508="",F508=""),"",F508*IFERROR(INDEX('Sản phẩm'!$D$5:$D$304,MATCH(D508,'Sản phẩm'!$A$5:$A$304,0)),""))</f>
        <v/>
      </c>
      <c r="L508" s="16">
        <f>IF(J508="","",J508-K508)</f>
        <v/>
      </c>
      <c r="M508" s="14">
        <f>IF(A508="","",MONTH(A508))</f>
        <v/>
      </c>
      <c r="N508" s="14">
        <f>IF(A508="","",YEAR(A508))</f>
        <v/>
      </c>
    </row>
    <row r="509">
      <c r="A509" s="15" t="n"/>
      <c r="B509" s="10" t="n"/>
      <c r="C509" s="10" t="n"/>
      <c r="D509" s="10" t="n"/>
      <c r="E509" s="14">
        <f>IF(D509="","",IFERROR(INDEX('Sản phẩm'!$B$5:$B$304,MATCH(D509,'Sản phẩm'!$A$5:$A$304,0)),""))</f>
        <v/>
      </c>
      <c r="F509" s="12" t="n"/>
      <c r="G509" s="11" t="n"/>
      <c r="H509" s="11" t="n"/>
      <c r="I509" s="16">
        <f>IF(D509="","",IF(G509&lt;&gt;"",G509,IFERROR(INDEX('Sản phẩm'!$E$5:$E$304,MATCH(D509,'Sản phẩm'!$A$5:$A$304,0)),"")))</f>
        <v/>
      </c>
      <c r="J509" s="16">
        <f>IF(OR(D509="",F509=""),"",F509*I509-N(H509))</f>
        <v/>
      </c>
      <c r="K509" s="16">
        <f>IF(OR(D509="",F509=""),"",F509*IFERROR(INDEX('Sản phẩm'!$D$5:$D$304,MATCH(D509,'Sản phẩm'!$A$5:$A$304,0)),""))</f>
        <v/>
      </c>
      <c r="L509" s="16">
        <f>IF(J509="","",J509-K509)</f>
        <v/>
      </c>
      <c r="M509" s="14">
        <f>IF(A509="","",MONTH(A509))</f>
        <v/>
      </c>
      <c r="N509" s="14">
        <f>IF(A509="","",YEAR(A509))</f>
        <v/>
      </c>
    </row>
    <row r="510">
      <c r="A510" s="15" t="n"/>
      <c r="B510" s="10" t="n"/>
      <c r="C510" s="10" t="n"/>
      <c r="D510" s="10" t="n"/>
      <c r="E510" s="14">
        <f>IF(D510="","",IFERROR(INDEX('Sản phẩm'!$B$5:$B$304,MATCH(D510,'Sản phẩm'!$A$5:$A$304,0)),""))</f>
        <v/>
      </c>
      <c r="F510" s="12" t="n"/>
      <c r="G510" s="11" t="n"/>
      <c r="H510" s="11" t="n"/>
      <c r="I510" s="16">
        <f>IF(D510="","",IF(G510&lt;&gt;"",G510,IFERROR(INDEX('Sản phẩm'!$E$5:$E$304,MATCH(D510,'Sản phẩm'!$A$5:$A$304,0)),"")))</f>
        <v/>
      </c>
      <c r="J510" s="16">
        <f>IF(OR(D510="",F510=""),"",F510*I510-N(H510))</f>
        <v/>
      </c>
      <c r="K510" s="16">
        <f>IF(OR(D510="",F510=""),"",F510*IFERROR(INDEX('Sản phẩm'!$D$5:$D$304,MATCH(D510,'Sản phẩm'!$A$5:$A$304,0)),""))</f>
        <v/>
      </c>
      <c r="L510" s="16">
        <f>IF(J510="","",J510-K510)</f>
        <v/>
      </c>
      <c r="M510" s="14">
        <f>IF(A510="","",MONTH(A510))</f>
        <v/>
      </c>
      <c r="N510" s="14">
        <f>IF(A510="","",YEAR(A510))</f>
        <v/>
      </c>
    </row>
    <row r="511">
      <c r="A511" s="15" t="n"/>
      <c r="B511" s="10" t="n"/>
      <c r="C511" s="10" t="n"/>
      <c r="D511" s="10" t="n"/>
      <c r="E511" s="14">
        <f>IF(D511="","",IFERROR(INDEX('Sản phẩm'!$B$5:$B$304,MATCH(D511,'Sản phẩm'!$A$5:$A$304,0)),""))</f>
        <v/>
      </c>
      <c r="F511" s="12" t="n"/>
      <c r="G511" s="11" t="n"/>
      <c r="H511" s="11" t="n"/>
      <c r="I511" s="16">
        <f>IF(D511="","",IF(G511&lt;&gt;"",G511,IFERROR(INDEX('Sản phẩm'!$E$5:$E$304,MATCH(D511,'Sản phẩm'!$A$5:$A$304,0)),"")))</f>
        <v/>
      </c>
      <c r="J511" s="16">
        <f>IF(OR(D511="",F511=""),"",F511*I511-N(H511))</f>
        <v/>
      </c>
      <c r="K511" s="16">
        <f>IF(OR(D511="",F511=""),"",F511*IFERROR(INDEX('Sản phẩm'!$D$5:$D$304,MATCH(D511,'Sản phẩm'!$A$5:$A$304,0)),""))</f>
        <v/>
      </c>
      <c r="L511" s="16">
        <f>IF(J511="","",J511-K511)</f>
        <v/>
      </c>
      <c r="M511" s="14">
        <f>IF(A511="","",MONTH(A511))</f>
        <v/>
      </c>
      <c r="N511" s="14">
        <f>IF(A511="","",YEAR(A511))</f>
        <v/>
      </c>
    </row>
    <row r="512">
      <c r="A512" s="15" t="n"/>
      <c r="B512" s="10" t="n"/>
      <c r="C512" s="10" t="n"/>
      <c r="D512" s="10" t="n"/>
      <c r="E512" s="14">
        <f>IF(D512="","",IFERROR(INDEX('Sản phẩm'!$B$5:$B$304,MATCH(D512,'Sản phẩm'!$A$5:$A$304,0)),""))</f>
        <v/>
      </c>
      <c r="F512" s="12" t="n"/>
      <c r="G512" s="11" t="n"/>
      <c r="H512" s="11" t="n"/>
      <c r="I512" s="16">
        <f>IF(D512="","",IF(G512&lt;&gt;"",G512,IFERROR(INDEX('Sản phẩm'!$E$5:$E$304,MATCH(D512,'Sản phẩm'!$A$5:$A$304,0)),"")))</f>
        <v/>
      </c>
      <c r="J512" s="16">
        <f>IF(OR(D512="",F512=""),"",F512*I512-N(H512))</f>
        <v/>
      </c>
      <c r="K512" s="16">
        <f>IF(OR(D512="",F512=""),"",F512*IFERROR(INDEX('Sản phẩm'!$D$5:$D$304,MATCH(D512,'Sản phẩm'!$A$5:$A$304,0)),""))</f>
        <v/>
      </c>
      <c r="L512" s="16">
        <f>IF(J512="","",J512-K512)</f>
        <v/>
      </c>
      <c r="M512" s="14">
        <f>IF(A512="","",MONTH(A512))</f>
        <v/>
      </c>
      <c r="N512" s="14">
        <f>IF(A512="","",YEAR(A512))</f>
        <v/>
      </c>
    </row>
    <row r="513">
      <c r="A513" s="15" t="n"/>
      <c r="B513" s="10" t="n"/>
      <c r="C513" s="10" t="n"/>
      <c r="D513" s="10" t="n"/>
      <c r="E513" s="14">
        <f>IF(D513="","",IFERROR(INDEX('Sản phẩm'!$B$5:$B$304,MATCH(D513,'Sản phẩm'!$A$5:$A$304,0)),""))</f>
        <v/>
      </c>
      <c r="F513" s="12" t="n"/>
      <c r="G513" s="11" t="n"/>
      <c r="H513" s="11" t="n"/>
      <c r="I513" s="16">
        <f>IF(D513="","",IF(G513&lt;&gt;"",G513,IFERROR(INDEX('Sản phẩm'!$E$5:$E$304,MATCH(D513,'Sản phẩm'!$A$5:$A$304,0)),"")))</f>
        <v/>
      </c>
      <c r="J513" s="16">
        <f>IF(OR(D513="",F513=""),"",F513*I513-N(H513))</f>
        <v/>
      </c>
      <c r="K513" s="16">
        <f>IF(OR(D513="",F513=""),"",F513*IFERROR(INDEX('Sản phẩm'!$D$5:$D$304,MATCH(D513,'Sản phẩm'!$A$5:$A$304,0)),""))</f>
        <v/>
      </c>
      <c r="L513" s="16">
        <f>IF(J513="","",J513-K513)</f>
        <v/>
      </c>
      <c r="M513" s="14">
        <f>IF(A513="","",MONTH(A513))</f>
        <v/>
      </c>
      <c r="N513" s="14">
        <f>IF(A513="","",YEAR(A513))</f>
        <v/>
      </c>
    </row>
    <row r="514">
      <c r="A514" s="15" t="n"/>
      <c r="B514" s="10" t="n"/>
      <c r="C514" s="10" t="n"/>
      <c r="D514" s="10" t="n"/>
      <c r="E514" s="14">
        <f>IF(D514="","",IFERROR(INDEX('Sản phẩm'!$B$5:$B$304,MATCH(D514,'Sản phẩm'!$A$5:$A$304,0)),""))</f>
        <v/>
      </c>
      <c r="F514" s="12" t="n"/>
      <c r="G514" s="11" t="n"/>
      <c r="H514" s="11" t="n"/>
      <c r="I514" s="16">
        <f>IF(D514="","",IF(G514&lt;&gt;"",G514,IFERROR(INDEX('Sản phẩm'!$E$5:$E$304,MATCH(D514,'Sản phẩm'!$A$5:$A$304,0)),"")))</f>
        <v/>
      </c>
      <c r="J514" s="16">
        <f>IF(OR(D514="",F514=""),"",F514*I514-N(H514))</f>
        <v/>
      </c>
      <c r="K514" s="16">
        <f>IF(OR(D514="",F514=""),"",F514*IFERROR(INDEX('Sản phẩm'!$D$5:$D$304,MATCH(D514,'Sản phẩm'!$A$5:$A$304,0)),""))</f>
        <v/>
      </c>
      <c r="L514" s="16">
        <f>IF(J514="","",J514-K514)</f>
        <v/>
      </c>
      <c r="M514" s="14">
        <f>IF(A514="","",MONTH(A514))</f>
        <v/>
      </c>
      <c r="N514" s="14">
        <f>IF(A514="","",YEAR(A514))</f>
        <v/>
      </c>
    </row>
    <row r="515">
      <c r="A515" s="15" t="n"/>
      <c r="B515" s="10" t="n"/>
      <c r="C515" s="10" t="n"/>
      <c r="D515" s="10" t="n"/>
      <c r="E515" s="14">
        <f>IF(D515="","",IFERROR(INDEX('Sản phẩm'!$B$5:$B$304,MATCH(D515,'Sản phẩm'!$A$5:$A$304,0)),""))</f>
        <v/>
      </c>
      <c r="F515" s="12" t="n"/>
      <c r="G515" s="11" t="n"/>
      <c r="H515" s="11" t="n"/>
      <c r="I515" s="16">
        <f>IF(D515="","",IF(G515&lt;&gt;"",G515,IFERROR(INDEX('Sản phẩm'!$E$5:$E$304,MATCH(D515,'Sản phẩm'!$A$5:$A$304,0)),"")))</f>
        <v/>
      </c>
      <c r="J515" s="16">
        <f>IF(OR(D515="",F515=""),"",F515*I515-N(H515))</f>
        <v/>
      </c>
      <c r="K515" s="16">
        <f>IF(OR(D515="",F515=""),"",F515*IFERROR(INDEX('Sản phẩm'!$D$5:$D$304,MATCH(D515,'Sản phẩm'!$A$5:$A$304,0)),""))</f>
        <v/>
      </c>
      <c r="L515" s="16">
        <f>IF(J515="","",J515-K515)</f>
        <v/>
      </c>
      <c r="M515" s="14">
        <f>IF(A515="","",MONTH(A515))</f>
        <v/>
      </c>
      <c r="N515" s="14">
        <f>IF(A515="","",YEAR(A515))</f>
        <v/>
      </c>
    </row>
    <row r="516">
      <c r="A516" s="15" t="n"/>
      <c r="B516" s="10" t="n"/>
      <c r="C516" s="10" t="n"/>
      <c r="D516" s="10" t="n"/>
      <c r="E516" s="14">
        <f>IF(D516="","",IFERROR(INDEX('Sản phẩm'!$B$5:$B$304,MATCH(D516,'Sản phẩm'!$A$5:$A$304,0)),""))</f>
        <v/>
      </c>
      <c r="F516" s="12" t="n"/>
      <c r="G516" s="11" t="n"/>
      <c r="H516" s="11" t="n"/>
      <c r="I516" s="16">
        <f>IF(D516="","",IF(G516&lt;&gt;"",G516,IFERROR(INDEX('Sản phẩm'!$E$5:$E$304,MATCH(D516,'Sản phẩm'!$A$5:$A$304,0)),"")))</f>
        <v/>
      </c>
      <c r="J516" s="16">
        <f>IF(OR(D516="",F516=""),"",F516*I516-N(H516))</f>
        <v/>
      </c>
      <c r="K516" s="16">
        <f>IF(OR(D516="",F516=""),"",F516*IFERROR(INDEX('Sản phẩm'!$D$5:$D$304,MATCH(D516,'Sản phẩm'!$A$5:$A$304,0)),""))</f>
        <v/>
      </c>
      <c r="L516" s="16">
        <f>IF(J516="","",J516-K516)</f>
        <v/>
      </c>
      <c r="M516" s="14">
        <f>IF(A516="","",MONTH(A516))</f>
        <v/>
      </c>
      <c r="N516" s="14">
        <f>IF(A516="","",YEAR(A516))</f>
        <v/>
      </c>
    </row>
    <row r="517">
      <c r="A517" s="15" t="n"/>
      <c r="B517" s="10" t="n"/>
      <c r="C517" s="10" t="n"/>
      <c r="D517" s="10" t="n"/>
      <c r="E517" s="14">
        <f>IF(D517="","",IFERROR(INDEX('Sản phẩm'!$B$5:$B$304,MATCH(D517,'Sản phẩm'!$A$5:$A$304,0)),""))</f>
        <v/>
      </c>
      <c r="F517" s="12" t="n"/>
      <c r="G517" s="11" t="n"/>
      <c r="H517" s="11" t="n"/>
      <c r="I517" s="16">
        <f>IF(D517="","",IF(G517&lt;&gt;"",G517,IFERROR(INDEX('Sản phẩm'!$E$5:$E$304,MATCH(D517,'Sản phẩm'!$A$5:$A$304,0)),"")))</f>
        <v/>
      </c>
      <c r="J517" s="16">
        <f>IF(OR(D517="",F517=""),"",F517*I517-N(H517))</f>
        <v/>
      </c>
      <c r="K517" s="16">
        <f>IF(OR(D517="",F517=""),"",F517*IFERROR(INDEX('Sản phẩm'!$D$5:$D$304,MATCH(D517,'Sản phẩm'!$A$5:$A$304,0)),""))</f>
        <v/>
      </c>
      <c r="L517" s="16">
        <f>IF(J517="","",J517-K517)</f>
        <v/>
      </c>
      <c r="M517" s="14">
        <f>IF(A517="","",MONTH(A517))</f>
        <v/>
      </c>
      <c r="N517" s="14">
        <f>IF(A517="","",YEAR(A517))</f>
        <v/>
      </c>
    </row>
    <row r="518">
      <c r="A518" s="15" t="n"/>
      <c r="B518" s="10" t="n"/>
      <c r="C518" s="10" t="n"/>
      <c r="D518" s="10" t="n"/>
      <c r="E518" s="14">
        <f>IF(D518="","",IFERROR(INDEX('Sản phẩm'!$B$5:$B$304,MATCH(D518,'Sản phẩm'!$A$5:$A$304,0)),""))</f>
        <v/>
      </c>
      <c r="F518" s="12" t="n"/>
      <c r="G518" s="11" t="n"/>
      <c r="H518" s="11" t="n"/>
      <c r="I518" s="16">
        <f>IF(D518="","",IF(G518&lt;&gt;"",G518,IFERROR(INDEX('Sản phẩm'!$E$5:$E$304,MATCH(D518,'Sản phẩm'!$A$5:$A$304,0)),"")))</f>
        <v/>
      </c>
      <c r="J518" s="16">
        <f>IF(OR(D518="",F518=""),"",F518*I518-N(H518))</f>
        <v/>
      </c>
      <c r="K518" s="16">
        <f>IF(OR(D518="",F518=""),"",F518*IFERROR(INDEX('Sản phẩm'!$D$5:$D$304,MATCH(D518,'Sản phẩm'!$A$5:$A$304,0)),""))</f>
        <v/>
      </c>
      <c r="L518" s="16">
        <f>IF(J518="","",J518-K518)</f>
        <v/>
      </c>
      <c r="M518" s="14">
        <f>IF(A518="","",MONTH(A518))</f>
        <v/>
      </c>
      <c r="N518" s="14">
        <f>IF(A518="","",YEAR(A518))</f>
        <v/>
      </c>
    </row>
    <row r="519">
      <c r="A519" s="15" t="n"/>
      <c r="B519" s="10" t="n"/>
      <c r="C519" s="10" t="n"/>
      <c r="D519" s="10" t="n"/>
      <c r="E519" s="14">
        <f>IF(D519="","",IFERROR(INDEX('Sản phẩm'!$B$5:$B$304,MATCH(D519,'Sản phẩm'!$A$5:$A$304,0)),""))</f>
        <v/>
      </c>
      <c r="F519" s="12" t="n"/>
      <c r="G519" s="11" t="n"/>
      <c r="H519" s="11" t="n"/>
      <c r="I519" s="16">
        <f>IF(D519="","",IF(G519&lt;&gt;"",G519,IFERROR(INDEX('Sản phẩm'!$E$5:$E$304,MATCH(D519,'Sản phẩm'!$A$5:$A$304,0)),"")))</f>
        <v/>
      </c>
      <c r="J519" s="16">
        <f>IF(OR(D519="",F519=""),"",F519*I519-N(H519))</f>
        <v/>
      </c>
      <c r="K519" s="16">
        <f>IF(OR(D519="",F519=""),"",F519*IFERROR(INDEX('Sản phẩm'!$D$5:$D$304,MATCH(D519,'Sản phẩm'!$A$5:$A$304,0)),""))</f>
        <v/>
      </c>
      <c r="L519" s="16">
        <f>IF(J519="","",J519-K519)</f>
        <v/>
      </c>
      <c r="M519" s="14">
        <f>IF(A519="","",MONTH(A519))</f>
        <v/>
      </c>
      <c r="N519" s="14">
        <f>IF(A519="","",YEAR(A519))</f>
        <v/>
      </c>
    </row>
    <row r="520">
      <c r="A520" s="15" t="n"/>
      <c r="B520" s="10" t="n"/>
      <c r="C520" s="10" t="n"/>
      <c r="D520" s="10" t="n"/>
      <c r="E520" s="14">
        <f>IF(D520="","",IFERROR(INDEX('Sản phẩm'!$B$5:$B$304,MATCH(D520,'Sản phẩm'!$A$5:$A$304,0)),""))</f>
        <v/>
      </c>
      <c r="F520" s="12" t="n"/>
      <c r="G520" s="11" t="n"/>
      <c r="H520" s="11" t="n"/>
      <c r="I520" s="16">
        <f>IF(D520="","",IF(G520&lt;&gt;"",G520,IFERROR(INDEX('Sản phẩm'!$E$5:$E$304,MATCH(D520,'Sản phẩm'!$A$5:$A$304,0)),"")))</f>
        <v/>
      </c>
      <c r="J520" s="16">
        <f>IF(OR(D520="",F520=""),"",F520*I520-N(H520))</f>
        <v/>
      </c>
      <c r="K520" s="16">
        <f>IF(OR(D520="",F520=""),"",F520*IFERROR(INDEX('Sản phẩm'!$D$5:$D$304,MATCH(D520,'Sản phẩm'!$A$5:$A$304,0)),""))</f>
        <v/>
      </c>
      <c r="L520" s="16">
        <f>IF(J520="","",J520-K520)</f>
        <v/>
      </c>
      <c r="M520" s="14">
        <f>IF(A520="","",MONTH(A520))</f>
        <v/>
      </c>
      <c r="N520" s="14">
        <f>IF(A520="","",YEAR(A520))</f>
        <v/>
      </c>
    </row>
    <row r="521">
      <c r="A521" s="15" t="n"/>
      <c r="B521" s="10" t="n"/>
      <c r="C521" s="10" t="n"/>
      <c r="D521" s="10" t="n"/>
      <c r="E521" s="14">
        <f>IF(D521="","",IFERROR(INDEX('Sản phẩm'!$B$5:$B$304,MATCH(D521,'Sản phẩm'!$A$5:$A$304,0)),""))</f>
        <v/>
      </c>
      <c r="F521" s="12" t="n"/>
      <c r="G521" s="11" t="n"/>
      <c r="H521" s="11" t="n"/>
      <c r="I521" s="16">
        <f>IF(D521="","",IF(G521&lt;&gt;"",G521,IFERROR(INDEX('Sản phẩm'!$E$5:$E$304,MATCH(D521,'Sản phẩm'!$A$5:$A$304,0)),"")))</f>
        <v/>
      </c>
      <c r="J521" s="16">
        <f>IF(OR(D521="",F521=""),"",F521*I521-N(H521))</f>
        <v/>
      </c>
      <c r="K521" s="16">
        <f>IF(OR(D521="",F521=""),"",F521*IFERROR(INDEX('Sản phẩm'!$D$5:$D$304,MATCH(D521,'Sản phẩm'!$A$5:$A$304,0)),""))</f>
        <v/>
      </c>
      <c r="L521" s="16">
        <f>IF(J521="","",J521-K521)</f>
        <v/>
      </c>
      <c r="M521" s="14">
        <f>IF(A521="","",MONTH(A521))</f>
        <v/>
      </c>
      <c r="N521" s="14">
        <f>IF(A521="","",YEAR(A521))</f>
        <v/>
      </c>
    </row>
    <row r="522">
      <c r="A522" s="15" t="n"/>
      <c r="B522" s="10" t="n"/>
      <c r="C522" s="10" t="n"/>
      <c r="D522" s="10" t="n"/>
      <c r="E522" s="14">
        <f>IF(D522="","",IFERROR(INDEX('Sản phẩm'!$B$5:$B$304,MATCH(D522,'Sản phẩm'!$A$5:$A$304,0)),""))</f>
        <v/>
      </c>
      <c r="F522" s="12" t="n"/>
      <c r="G522" s="11" t="n"/>
      <c r="H522" s="11" t="n"/>
      <c r="I522" s="16">
        <f>IF(D522="","",IF(G522&lt;&gt;"",G522,IFERROR(INDEX('Sản phẩm'!$E$5:$E$304,MATCH(D522,'Sản phẩm'!$A$5:$A$304,0)),"")))</f>
        <v/>
      </c>
      <c r="J522" s="16">
        <f>IF(OR(D522="",F522=""),"",F522*I522-N(H522))</f>
        <v/>
      </c>
      <c r="K522" s="16">
        <f>IF(OR(D522="",F522=""),"",F522*IFERROR(INDEX('Sản phẩm'!$D$5:$D$304,MATCH(D522,'Sản phẩm'!$A$5:$A$304,0)),""))</f>
        <v/>
      </c>
      <c r="L522" s="16">
        <f>IF(J522="","",J522-K522)</f>
        <v/>
      </c>
      <c r="M522" s="14">
        <f>IF(A522="","",MONTH(A522))</f>
        <v/>
      </c>
      <c r="N522" s="14">
        <f>IF(A522="","",YEAR(A522))</f>
        <v/>
      </c>
    </row>
    <row r="523">
      <c r="A523" s="15" t="n"/>
      <c r="B523" s="10" t="n"/>
      <c r="C523" s="10" t="n"/>
      <c r="D523" s="10" t="n"/>
      <c r="E523" s="14">
        <f>IF(D523="","",IFERROR(INDEX('Sản phẩm'!$B$5:$B$304,MATCH(D523,'Sản phẩm'!$A$5:$A$304,0)),""))</f>
        <v/>
      </c>
      <c r="F523" s="12" t="n"/>
      <c r="G523" s="11" t="n"/>
      <c r="H523" s="11" t="n"/>
      <c r="I523" s="16">
        <f>IF(D523="","",IF(G523&lt;&gt;"",G523,IFERROR(INDEX('Sản phẩm'!$E$5:$E$304,MATCH(D523,'Sản phẩm'!$A$5:$A$304,0)),"")))</f>
        <v/>
      </c>
      <c r="J523" s="16">
        <f>IF(OR(D523="",F523=""),"",F523*I523-N(H523))</f>
        <v/>
      </c>
      <c r="K523" s="16">
        <f>IF(OR(D523="",F523=""),"",F523*IFERROR(INDEX('Sản phẩm'!$D$5:$D$304,MATCH(D523,'Sản phẩm'!$A$5:$A$304,0)),""))</f>
        <v/>
      </c>
      <c r="L523" s="16">
        <f>IF(J523="","",J523-K523)</f>
        <v/>
      </c>
      <c r="M523" s="14">
        <f>IF(A523="","",MONTH(A523))</f>
        <v/>
      </c>
      <c r="N523" s="14">
        <f>IF(A523="","",YEAR(A523))</f>
        <v/>
      </c>
    </row>
    <row r="524">
      <c r="A524" s="15" t="n"/>
      <c r="B524" s="10" t="n"/>
      <c r="C524" s="10" t="n"/>
      <c r="D524" s="10" t="n"/>
      <c r="E524" s="14">
        <f>IF(D524="","",IFERROR(INDEX('Sản phẩm'!$B$5:$B$304,MATCH(D524,'Sản phẩm'!$A$5:$A$304,0)),""))</f>
        <v/>
      </c>
      <c r="F524" s="12" t="n"/>
      <c r="G524" s="11" t="n"/>
      <c r="H524" s="11" t="n"/>
      <c r="I524" s="16">
        <f>IF(D524="","",IF(G524&lt;&gt;"",G524,IFERROR(INDEX('Sản phẩm'!$E$5:$E$304,MATCH(D524,'Sản phẩm'!$A$5:$A$304,0)),"")))</f>
        <v/>
      </c>
      <c r="J524" s="16">
        <f>IF(OR(D524="",F524=""),"",F524*I524-N(H524))</f>
        <v/>
      </c>
      <c r="K524" s="16">
        <f>IF(OR(D524="",F524=""),"",F524*IFERROR(INDEX('Sản phẩm'!$D$5:$D$304,MATCH(D524,'Sản phẩm'!$A$5:$A$304,0)),""))</f>
        <v/>
      </c>
      <c r="L524" s="16">
        <f>IF(J524="","",J524-K524)</f>
        <v/>
      </c>
      <c r="M524" s="14">
        <f>IF(A524="","",MONTH(A524))</f>
        <v/>
      </c>
      <c r="N524" s="14">
        <f>IF(A524="","",YEAR(A524))</f>
        <v/>
      </c>
    </row>
    <row r="525">
      <c r="A525" s="15" t="n"/>
      <c r="B525" s="10" t="n"/>
      <c r="C525" s="10" t="n"/>
      <c r="D525" s="10" t="n"/>
      <c r="E525" s="14">
        <f>IF(D525="","",IFERROR(INDEX('Sản phẩm'!$B$5:$B$304,MATCH(D525,'Sản phẩm'!$A$5:$A$304,0)),""))</f>
        <v/>
      </c>
      <c r="F525" s="12" t="n"/>
      <c r="G525" s="11" t="n"/>
      <c r="H525" s="11" t="n"/>
      <c r="I525" s="16">
        <f>IF(D525="","",IF(G525&lt;&gt;"",G525,IFERROR(INDEX('Sản phẩm'!$E$5:$E$304,MATCH(D525,'Sản phẩm'!$A$5:$A$304,0)),"")))</f>
        <v/>
      </c>
      <c r="J525" s="16">
        <f>IF(OR(D525="",F525=""),"",F525*I525-N(H525))</f>
        <v/>
      </c>
      <c r="K525" s="16">
        <f>IF(OR(D525="",F525=""),"",F525*IFERROR(INDEX('Sản phẩm'!$D$5:$D$304,MATCH(D525,'Sản phẩm'!$A$5:$A$304,0)),""))</f>
        <v/>
      </c>
      <c r="L525" s="16">
        <f>IF(J525="","",J525-K525)</f>
        <v/>
      </c>
      <c r="M525" s="14">
        <f>IF(A525="","",MONTH(A525))</f>
        <v/>
      </c>
      <c r="N525" s="14">
        <f>IF(A525="","",YEAR(A525))</f>
        <v/>
      </c>
    </row>
    <row r="526">
      <c r="A526" s="15" t="n"/>
      <c r="B526" s="10" t="n"/>
      <c r="C526" s="10" t="n"/>
      <c r="D526" s="10" t="n"/>
      <c r="E526" s="14">
        <f>IF(D526="","",IFERROR(INDEX('Sản phẩm'!$B$5:$B$304,MATCH(D526,'Sản phẩm'!$A$5:$A$304,0)),""))</f>
        <v/>
      </c>
      <c r="F526" s="12" t="n"/>
      <c r="G526" s="11" t="n"/>
      <c r="H526" s="11" t="n"/>
      <c r="I526" s="16">
        <f>IF(D526="","",IF(G526&lt;&gt;"",G526,IFERROR(INDEX('Sản phẩm'!$E$5:$E$304,MATCH(D526,'Sản phẩm'!$A$5:$A$304,0)),"")))</f>
        <v/>
      </c>
      <c r="J526" s="16">
        <f>IF(OR(D526="",F526=""),"",F526*I526-N(H526))</f>
        <v/>
      </c>
      <c r="K526" s="16">
        <f>IF(OR(D526="",F526=""),"",F526*IFERROR(INDEX('Sản phẩm'!$D$5:$D$304,MATCH(D526,'Sản phẩm'!$A$5:$A$304,0)),""))</f>
        <v/>
      </c>
      <c r="L526" s="16">
        <f>IF(J526="","",J526-K526)</f>
        <v/>
      </c>
      <c r="M526" s="14">
        <f>IF(A526="","",MONTH(A526))</f>
        <v/>
      </c>
      <c r="N526" s="14">
        <f>IF(A526="","",YEAR(A526))</f>
        <v/>
      </c>
    </row>
    <row r="527">
      <c r="A527" s="15" t="n"/>
      <c r="B527" s="10" t="n"/>
      <c r="C527" s="10" t="n"/>
      <c r="D527" s="10" t="n"/>
      <c r="E527" s="14">
        <f>IF(D527="","",IFERROR(INDEX('Sản phẩm'!$B$5:$B$304,MATCH(D527,'Sản phẩm'!$A$5:$A$304,0)),""))</f>
        <v/>
      </c>
      <c r="F527" s="12" t="n"/>
      <c r="G527" s="11" t="n"/>
      <c r="H527" s="11" t="n"/>
      <c r="I527" s="16">
        <f>IF(D527="","",IF(G527&lt;&gt;"",G527,IFERROR(INDEX('Sản phẩm'!$E$5:$E$304,MATCH(D527,'Sản phẩm'!$A$5:$A$304,0)),"")))</f>
        <v/>
      </c>
      <c r="J527" s="16">
        <f>IF(OR(D527="",F527=""),"",F527*I527-N(H527))</f>
        <v/>
      </c>
      <c r="K527" s="16">
        <f>IF(OR(D527="",F527=""),"",F527*IFERROR(INDEX('Sản phẩm'!$D$5:$D$304,MATCH(D527,'Sản phẩm'!$A$5:$A$304,0)),""))</f>
        <v/>
      </c>
      <c r="L527" s="16">
        <f>IF(J527="","",J527-K527)</f>
        <v/>
      </c>
      <c r="M527" s="14">
        <f>IF(A527="","",MONTH(A527))</f>
        <v/>
      </c>
      <c r="N527" s="14">
        <f>IF(A527="","",YEAR(A527))</f>
        <v/>
      </c>
    </row>
    <row r="528">
      <c r="A528" s="15" t="n"/>
      <c r="B528" s="10" t="n"/>
      <c r="C528" s="10" t="n"/>
      <c r="D528" s="10" t="n"/>
      <c r="E528" s="14">
        <f>IF(D528="","",IFERROR(INDEX('Sản phẩm'!$B$5:$B$304,MATCH(D528,'Sản phẩm'!$A$5:$A$304,0)),""))</f>
        <v/>
      </c>
      <c r="F528" s="12" t="n"/>
      <c r="G528" s="11" t="n"/>
      <c r="H528" s="11" t="n"/>
      <c r="I528" s="16">
        <f>IF(D528="","",IF(G528&lt;&gt;"",G528,IFERROR(INDEX('Sản phẩm'!$E$5:$E$304,MATCH(D528,'Sản phẩm'!$A$5:$A$304,0)),"")))</f>
        <v/>
      </c>
      <c r="J528" s="16">
        <f>IF(OR(D528="",F528=""),"",F528*I528-N(H528))</f>
        <v/>
      </c>
      <c r="K528" s="16">
        <f>IF(OR(D528="",F528=""),"",F528*IFERROR(INDEX('Sản phẩm'!$D$5:$D$304,MATCH(D528,'Sản phẩm'!$A$5:$A$304,0)),""))</f>
        <v/>
      </c>
      <c r="L528" s="16">
        <f>IF(J528="","",J528-K528)</f>
        <v/>
      </c>
      <c r="M528" s="14">
        <f>IF(A528="","",MONTH(A528))</f>
        <v/>
      </c>
      <c r="N528" s="14">
        <f>IF(A528="","",YEAR(A528))</f>
        <v/>
      </c>
    </row>
    <row r="529">
      <c r="A529" s="15" t="n"/>
      <c r="B529" s="10" t="n"/>
      <c r="C529" s="10" t="n"/>
      <c r="D529" s="10" t="n"/>
      <c r="E529" s="14">
        <f>IF(D529="","",IFERROR(INDEX('Sản phẩm'!$B$5:$B$304,MATCH(D529,'Sản phẩm'!$A$5:$A$304,0)),""))</f>
        <v/>
      </c>
      <c r="F529" s="12" t="n"/>
      <c r="G529" s="11" t="n"/>
      <c r="H529" s="11" t="n"/>
      <c r="I529" s="16">
        <f>IF(D529="","",IF(G529&lt;&gt;"",G529,IFERROR(INDEX('Sản phẩm'!$E$5:$E$304,MATCH(D529,'Sản phẩm'!$A$5:$A$304,0)),"")))</f>
        <v/>
      </c>
      <c r="J529" s="16">
        <f>IF(OR(D529="",F529=""),"",F529*I529-N(H529))</f>
        <v/>
      </c>
      <c r="K529" s="16">
        <f>IF(OR(D529="",F529=""),"",F529*IFERROR(INDEX('Sản phẩm'!$D$5:$D$304,MATCH(D529,'Sản phẩm'!$A$5:$A$304,0)),""))</f>
        <v/>
      </c>
      <c r="L529" s="16">
        <f>IF(J529="","",J529-K529)</f>
        <v/>
      </c>
      <c r="M529" s="14">
        <f>IF(A529="","",MONTH(A529))</f>
        <v/>
      </c>
      <c r="N529" s="14">
        <f>IF(A529="","",YEAR(A529))</f>
        <v/>
      </c>
    </row>
    <row r="530">
      <c r="A530" s="15" t="n"/>
      <c r="B530" s="10" t="n"/>
      <c r="C530" s="10" t="n"/>
      <c r="D530" s="10" t="n"/>
      <c r="E530" s="14">
        <f>IF(D530="","",IFERROR(INDEX('Sản phẩm'!$B$5:$B$304,MATCH(D530,'Sản phẩm'!$A$5:$A$304,0)),""))</f>
        <v/>
      </c>
      <c r="F530" s="12" t="n"/>
      <c r="G530" s="11" t="n"/>
      <c r="H530" s="11" t="n"/>
      <c r="I530" s="16">
        <f>IF(D530="","",IF(G530&lt;&gt;"",G530,IFERROR(INDEX('Sản phẩm'!$E$5:$E$304,MATCH(D530,'Sản phẩm'!$A$5:$A$304,0)),"")))</f>
        <v/>
      </c>
      <c r="J530" s="16">
        <f>IF(OR(D530="",F530=""),"",F530*I530-N(H530))</f>
        <v/>
      </c>
      <c r="K530" s="16">
        <f>IF(OR(D530="",F530=""),"",F530*IFERROR(INDEX('Sản phẩm'!$D$5:$D$304,MATCH(D530,'Sản phẩm'!$A$5:$A$304,0)),""))</f>
        <v/>
      </c>
      <c r="L530" s="16">
        <f>IF(J530="","",J530-K530)</f>
        <v/>
      </c>
      <c r="M530" s="14">
        <f>IF(A530="","",MONTH(A530))</f>
        <v/>
      </c>
      <c r="N530" s="14">
        <f>IF(A530="","",YEAR(A530))</f>
        <v/>
      </c>
    </row>
    <row r="531">
      <c r="A531" s="15" t="n"/>
      <c r="B531" s="10" t="n"/>
      <c r="C531" s="10" t="n"/>
      <c r="D531" s="10" t="n"/>
      <c r="E531" s="14">
        <f>IF(D531="","",IFERROR(INDEX('Sản phẩm'!$B$5:$B$304,MATCH(D531,'Sản phẩm'!$A$5:$A$304,0)),""))</f>
        <v/>
      </c>
      <c r="F531" s="12" t="n"/>
      <c r="G531" s="11" t="n"/>
      <c r="H531" s="11" t="n"/>
      <c r="I531" s="16">
        <f>IF(D531="","",IF(G531&lt;&gt;"",G531,IFERROR(INDEX('Sản phẩm'!$E$5:$E$304,MATCH(D531,'Sản phẩm'!$A$5:$A$304,0)),"")))</f>
        <v/>
      </c>
      <c r="J531" s="16">
        <f>IF(OR(D531="",F531=""),"",F531*I531-N(H531))</f>
        <v/>
      </c>
      <c r="K531" s="16">
        <f>IF(OR(D531="",F531=""),"",F531*IFERROR(INDEX('Sản phẩm'!$D$5:$D$304,MATCH(D531,'Sản phẩm'!$A$5:$A$304,0)),""))</f>
        <v/>
      </c>
      <c r="L531" s="16">
        <f>IF(J531="","",J531-K531)</f>
        <v/>
      </c>
      <c r="M531" s="14">
        <f>IF(A531="","",MONTH(A531))</f>
        <v/>
      </c>
      <c r="N531" s="14">
        <f>IF(A531="","",YEAR(A531))</f>
        <v/>
      </c>
    </row>
    <row r="532">
      <c r="A532" s="15" t="n"/>
      <c r="B532" s="10" t="n"/>
      <c r="C532" s="10" t="n"/>
      <c r="D532" s="10" t="n"/>
      <c r="E532" s="14">
        <f>IF(D532="","",IFERROR(INDEX('Sản phẩm'!$B$5:$B$304,MATCH(D532,'Sản phẩm'!$A$5:$A$304,0)),""))</f>
        <v/>
      </c>
      <c r="F532" s="12" t="n"/>
      <c r="G532" s="11" t="n"/>
      <c r="H532" s="11" t="n"/>
      <c r="I532" s="16">
        <f>IF(D532="","",IF(G532&lt;&gt;"",G532,IFERROR(INDEX('Sản phẩm'!$E$5:$E$304,MATCH(D532,'Sản phẩm'!$A$5:$A$304,0)),"")))</f>
        <v/>
      </c>
      <c r="J532" s="16">
        <f>IF(OR(D532="",F532=""),"",F532*I532-N(H532))</f>
        <v/>
      </c>
      <c r="K532" s="16">
        <f>IF(OR(D532="",F532=""),"",F532*IFERROR(INDEX('Sản phẩm'!$D$5:$D$304,MATCH(D532,'Sản phẩm'!$A$5:$A$304,0)),""))</f>
        <v/>
      </c>
      <c r="L532" s="16">
        <f>IF(J532="","",J532-K532)</f>
        <v/>
      </c>
      <c r="M532" s="14">
        <f>IF(A532="","",MONTH(A532))</f>
        <v/>
      </c>
      <c r="N532" s="14">
        <f>IF(A532="","",YEAR(A532))</f>
        <v/>
      </c>
    </row>
    <row r="533">
      <c r="A533" s="15" t="n"/>
      <c r="B533" s="10" t="n"/>
      <c r="C533" s="10" t="n"/>
      <c r="D533" s="10" t="n"/>
      <c r="E533" s="14">
        <f>IF(D533="","",IFERROR(INDEX('Sản phẩm'!$B$5:$B$304,MATCH(D533,'Sản phẩm'!$A$5:$A$304,0)),""))</f>
        <v/>
      </c>
      <c r="F533" s="12" t="n"/>
      <c r="G533" s="11" t="n"/>
      <c r="H533" s="11" t="n"/>
      <c r="I533" s="16">
        <f>IF(D533="","",IF(G533&lt;&gt;"",G533,IFERROR(INDEX('Sản phẩm'!$E$5:$E$304,MATCH(D533,'Sản phẩm'!$A$5:$A$304,0)),"")))</f>
        <v/>
      </c>
      <c r="J533" s="16">
        <f>IF(OR(D533="",F533=""),"",F533*I533-N(H533))</f>
        <v/>
      </c>
      <c r="K533" s="16">
        <f>IF(OR(D533="",F533=""),"",F533*IFERROR(INDEX('Sản phẩm'!$D$5:$D$304,MATCH(D533,'Sản phẩm'!$A$5:$A$304,0)),""))</f>
        <v/>
      </c>
      <c r="L533" s="16">
        <f>IF(J533="","",J533-K533)</f>
        <v/>
      </c>
      <c r="M533" s="14">
        <f>IF(A533="","",MONTH(A533))</f>
        <v/>
      </c>
      <c r="N533" s="14">
        <f>IF(A533="","",YEAR(A533))</f>
        <v/>
      </c>
    </row>
    <row r="534">
      <c r="A534" s="15" t="n"/>
      <c r="B534" s="10" t="n"/>
      <c r="C534" s="10" t="n"/>
      <c r="D534" s="10" t="n"/>
      <c r="E534" s="14">
        <f>IF(D534="","",IFERROR(INDEX('Sản phẩm'!$B$5:$B$304,MATCH(D534,'Sản phẩm'!$A$5:$A$304,0)),""))</f>
        <v/>
      </c>
      <c r="F534" s="12" t="n"/>
      <c r="G534" s="11" t="n"/>
      <c r="H534" s="11" t="n"/>
      <c r="I534" s="16">
        <f>IF(D534="","",IF(G534&lt;&gt;"",G534,IFERROR(INDEX('Sản phẩm'!$E$5:$E$304,MATCH(D534,'Sản phẩm'!$A$5:$A$304,0)),"")))</f>
        <v/>
      </c>
      <c r="J534" s="16">
        <f>IF(OR(D534="",F534=""),"",F534*I534-N(H534))</f>
        <v/>
      </c>
      <c r="K534" s="16">
        <f>IF(OR(D534="",F534=""),"",F534*IFERROR(INDEX('Sản phẩm'!$D$5:$D$304,MATCH(D534,'Sản phẩm'!$A$5:$A$304,0)),""))</f>
        <v/>
      </c>
      <c r="L534" s="16">
        <f>IF(J534="","",J534-K534)</f>
        <v/>
      </c>
      <c r="M534" s="14">
        <f>IF(A534="","",MONTH(A534))</f>
        <v/>
      </c>
      <c r="N534" s="14">
        <f>IF(A534="","",YEAR(A534))</f>
        <v/>
      </c>
    </row>
    <row r="535">
      <c r="A535" s="15" t="n"/>
      <c r="B535" s="10" t="n"/>
      <c r="C535" s="10" t="n"/>
      <c r="D535" s="10" t="n"/>
      <c r="E535" s="14">
        <f>IF(D535="","",IFERROR(INDEX('Sản phẩm'!$B$5:$B$304,MATCH(D535,'Sản phẩm'!$A$5:$A$304,0)),""))</f>
        <v/>
      </c>
      <c r="F535" s="12" t="n"/>
      <c r="G535" s="11" t="n"/>
      <c r="H535" s="11" t="n"/>
      <c r="I535" s="16">
        <f>IF(D535="","",IF(G535&lt;&gt;"",G535,IFERROR(INDEX('Sản phẩm'!$E$5:$E$304,MATCH(D535,'Sản phẩm'!$A$5:$A$304,0)),"")))</f>
        <v/>
      </c>
      <c r="J535" s="16">
        <f>IF(OR(D535="",F535=""),"",F535*I535-N(H535))</f>
        <v/>
      </c>
      <c r="K535" s="16">
        <f>IF(OR(D535="",F535=""),"",F535*IFERROR(INDEX('Sản phẩm'!$D$5:$D$304,MATCH(D535,'Sản phẩm'!$A$5:$A$304,0)),""))</f>
        <v/>
      </c>
      <c r="L535" s="16">
        <f>IF(J535="","",J535-K535)</f>
        <v/>
      </c>
      <c r="M535" s="14">
        <f>IF(A535="","",MONTH(A535))</f>
        <v/>
      </c>
      <c r="N535" s="14">
        <f>IF(A535="","",YEAR(A535))</f>
        <v/>
      </c>
    </row>
    <row r="536">
      <c r="A536" s="15" t="n"/>
      <c r="B536" s="10" t="n"/>
      <c r="C536" s="10" t="n"/>
      <c r="D536" s="10" t="n"/>
      <c r="E536" s="14">
        <f>IF(D536="","",IFERROR(INDEX('Sản phẩm'!$B$5:$B$304,MATCH(D536,'Sản phẩm'!$A$5:$A$304,0)),""))</f>
        <v/>
      </c>
      <c r="F536" s="12" t="n"/>
      <c r="G536" s="11" t="n"/>
      <c r="H536" s="11" t="n"/>
      <c r="I536" s="16">
        <f>IF(D536="","",IF(G536&lt;&gt;"",G536,IFERROR(INDEX('Sản phẩm'!$E$5:$E$304,MATCH(D536,'Sản phẩm'!$A$5:$A$304,0)),"")))</f>
        <v/>
      </c>
      <c r="J536" s="16">
        <f>IF(OR(D536="",F536=""),"",F536*I536-N(H536))</f>
        <v/>
      </c>
      <c r="K536" s="16">
        <f>IF(OR(D536="",F536=""),"",F536*IFERROR(INDEX('Sản phẩm'!$D$5:$D$304,MATCH(D536,'Sản phẩm'!$A$5:$A$304,0)),""))</f>
        <v/>
      </c>
      <c r="L536" s="16">
        <f>IF(J536="","",J536-K536)</f>
        <v/>
      </c>
      <c r="M536" s="14">
        <f>IF(A536="","",MONTH(A536))</f>
        <v/>
      </c>
      <c r="N536" s="14">
        <f>IF(A536="","",YEAR(A536))</f>
        <v/>
      </c>
    </row>
    <row r="537">
      <c r="A537" s="15" t="n"/>
      <c r="B537" s="10" t="n"/>
      <c r="C537" s="10" t="n"/>
      <c r="D537" s="10" t="n"/>
      <c r="E537" s="14">
        <f>IF(D537="","",IFERROR(INDEX('Sản phẩm'!$B$5:$B$304,MATCH(D537,'Sản phẩm'!$A$5:$A$304,0)),""))</f>
        <v/>
      </c>
      <c r="F537" s="12" t="n"/>
      <c r="G537" s="11" t="n"/>
      <c r="H537" s="11" t="n"/>
      <c r="I537" s="16">
        <f>IF(D537="","",IF(G537&lt;&gt;"",G537,IFERROR(INDEX('Sản phẩm'!$E$5:$E$304,MATCH(D537,'Sản phẩm'!$A$5:$A$304,0)),"")))</f>
        <v/>
      </c>
      <c r="J537" s="16">
        <f>IF(OR(D537="",F537=""),"",F537*I537-N(H537))</f>
        <v/>
      </c>
      <c r="K537" s="16">
        <f>IF(OR(D537="",F537=""),"",F537*IFERROR(INDEX('Sản phẩm'!$D$5:$D$304,MATCH(D537,'Sản phẩm'!$A$5:$A$304,0)),""))</f>
        <v/>
      </c>
      <c r="L537" s="16">
        <f>IF(J537="","",J537-K537)</f>
        <v/>
      </c>
      <c r="M537" s="14">
        <f>IF(A537="","",MONTH(A537))</f>
        <v/>
      </c>
      <c r="N537" s="14">
        <f>IF(A537="","",YEAR(A537))</f>
        <v/>
      </c>
    </row>
    <row r="538">
      <c r="A538" s="15" t="n"/>
      <c r="B538" s="10" t="n"/>
      <c r="C538" s="10" t="n"/>
      <c r="D538" s="10" t="n"/>
      <c r="E538" s="14">
        <f>IF(D538="","",IFERROR(INDEX('Sản phẩm'!$B$5:$B$304,MATCH(D538,'Sản phẩm'!$A$5:$A$304,0)),""))</f>
        <v/>
      </c>
      <c r="F538" s="12" t="n"/>
      <c r="G538" s="11" t="n"/>
      <c r="H538" s="11" t="n"/>
      <c r="I538" s="16">
        <f>IF(D538="","",IF(G538&lt;&gt;"",G538,IFERROR(INDEX('Sản phẩm'!$E$5:$E$304,MATCH(D538,'Sản phẩm'!$A$5:$A$304,0)),"")))</f>
        <v/>
      </c>
      <c r="J538" s="16">
        <f>IF(OR(D538="",F538=""),"",F538*I538-N(H538))</f>
        <v/>
      </c>
      <c r="K538" s="16">
        <f>IF(OR(D538="",F538=""),"",F538*IFERROR(INDEX('Sản phẩm'!$D$5:$D$304,MATCH(D538,'Sản phẩm'!$A$5:$A$304,0)),""))</f>
        <v/>
      </c>
      <c r="L538" s="16">
        <f>IF(J538="","",J538-K538)</f>
        <v/>
      </c>
      <c r="M538" s="14">
        <f>IF(A538="","",MONTH(A538))</f>
        <v/>
      </c>
      <c r="N538" s="14">
        <f>IF(A538="","",YEAR(A538))</f>
        <v/>
      </c>
    </row>
    <row r="539">
      <c r="A539" s="15" t="n"/>
      <c r="B539" s="10" t="n"/>
      <c r="C539" s="10" t="n"/>
      <c r="D539" s="10" t="n"/>
      <c r="E539" s="14">
        <f>IF(D539="","",IFERROR(INDEX('Sản phẩm'!$B$5:$B$304,MATCH(D539,'Sản phẩm'!$A$5:$A$304,0)),""))</f>
        <v/>
      </c>
      <c r="F539" s="12" t="n"/>
      <c r="G539" s="11" t="n"/>
      <c r="H539" s="11" t="n"/>
      <c r="I539" s="16">
        <f>IF(D539="","",IF(G539&lt;&gt;"",G539,IFERROR(INDEX('Sản phẩm'!$E$5:$E$304,MATCH(D539,'Sản phẩm'!$A$5:$A$304,0)),"")))</f>
        <v/>
      </c>
      <c r="J539" s="16">
        <f>IF(OR(D539="",F539=""),"",F539*I539-N(H539))</f>
        <v/>
      </c>
      <c r="K539" s="16">
        <f>IF(OR(D539="",F539=""),"",F539*IFERROR(INDEX('Sản phẩm'!$D$5:$D$304,MATCH(D539,'Sản phẩm'!$A$5:$A$304,0)),""))</f>
        <v/>
      </c>
      <c r="L539" s="16">
        <f>IF(J539="","",J539-K539)</f>
        <v/>
      </c>
      <c r="M539" s="14">
        <f>IF(A539="","",MONTH(A539))</f>
        <v/>
      </c>
      <c r="N539" s="14">
        <f>IF(A539="","",YEAR(A539))</f>
        <v/>
      </c>
    </row>
    <row r="540">
      <c r="A540" s="15" t="n"/>
      <c r="B540" s="10" t="n"/>
      <c r="C540" s="10" t="n"/>
      <c r="D540" s="10" t="n"/>
      <c r="E540" s="14">
        <f>IF(D540="","",IFERROR(INDEX('Sản phẩm'!$B$5:$B$304,MATCH(D540,'Sản phẩm'!$A$5:$A$304,0)),""))</f>
        <v/>
      </c>
      <c r="F540" s="12" t="n"/>
      <c r="G540" s="11" t="n"/>
      <c r="H540" s="11" t="n"/>
      <c r="I540" s="16">
        <f>IF(D540="","",IF(G540&lt;&gt;"",G540,IFERROR(INDEX('Sản phẩm'!$E$5:$E$304,MATCH(D540,'Sản phẩm'!$A$5:$A$304,0)),"")))</f>
        <v/>
      </c>
      <c r="J540" s="16">
        <f>IF(OR(D540="",F540=""),"",F540*I540-N(H540))</f>
        <v/>
      </c>
      <c r="K540" s="16">
        <f>IF(OR(D540="",F540=""),"",F540*IFERROR(INDEX('Sản phẩm'!$D$5:$D$304,MATCH(D540,'Sản phẩm'!$A$5:$A$304,0)),""))</f>
        <v/>
      </c>
      <c r="L540" s="16">
        <f>IF(J540="","",J540-K540)</f>
        <v/>
      </c>
      <c r="M540" s="14">
        <f>IF(A540="","",MONTH(A540))</f>
        <v/>
      </c>
      <c r="N540" s="14">
        <f>IF(A540="","",YEAR(A540))</f>
        <v/>
      </c>
    </row>
    <row r="541">
      <c r="A541" s="15" t="n"/>
      <c r="B541" s="10" t="n"/>
      <c r="C541" s="10" t="n"/>
      <c r="D541" s="10" t="n"/>
      <c r="E541" s="14">
        <f>IF(D541="","",IFERROR(INDEX('Sản phẩm'!$B$5:$B$304,MATCH(D541,'Sản phẩm'!$A$5:$A$304,0)),""))</f>
        <v/>
      </c>
      <c r="F541" s="12" t="n"/>
      <c r="G541" s="11" t="n"/>
      <c r="H541" s="11" t="n"/>
      <c r="I541" s="16">
        <f>IF(D541="","",IF(G541&lt;&gt;"",G541,IFERROR(INDEX('Sản phẩm'!$E$5:$E$304,MATCH(D541,'Sản phẩm'!$A$5:$A$304,0)),"")))</f>
        <v/>
      </c>
      <c r="J541" s="16">
        <f>IF(OR(D541="",F541=""),"",F541*I541-N(H541))</f>
        <v/>
      </c>
      <c r="K541" s="16">
        <f>IF(OR(D541="",F541=""),"",F541*IFERROR(INDEX('Sản phẩm'!$D$5:$D$304,MATCH(D541,'Sản phẩm'!$A$5:$A$304,0)),""))</f>
        <v/>
      </c>
      <c r="L541" s="16">
        <f>IF(J541="","",J541-K541)</f>
        <v/>
      </c>
      <c r="M541" s="14">
        <f>IF(A541="","",MONTH(A541))</f>
        <v/>
      </c>
      <c r="N541" s="14">
        <f>IF(A541="","",YEAR(A541))</f>
        <v/>
      </c>
    </row>
    <row r="542">
      <c r="A542" s="15" t="n"/>
      <c r="B542" s="10" t="n"/>
      <c r="C542" s="10" t="n"/>
      <c r="D542" s="10" t="n"/>
      <c r="E542" s="14">
        <f>IF(D542="","",IFERROR(INDEX('Sản phẩm'!$B$5:$B$304,MATCH(D542,'Sản phẩm'!$A$5:$A$304,0)),""))</f>
        <v/>
      </c>
      <c r="F542" s="12" t="n"/>
      <c r="G542" s="11" t="n"/>
      <c r="H542" s="11" t="n"/>
      <c r="I542" s="16">
        <f>IF(D542="","",IF(G542&lt;&gt;"",G542,IFERROR(INDEX('Sản phẩm'!$E$5:$E$304,MATCH(D542,'Sản phẩm'!$A$5:$A$304,0)),"")))</f>
        <v/>
      </c>
      <c r="J542" s="16">
        <f>IF(OR(D542="",F542=""),"",F542*I542-N(H542))</f>
        <v/>
      </c>
      <c r="K542" s="16">
        <f>IF(OR(D542="",F542=""),"",F542*IFERROR(INDEX('Sản phẩm'!$D$5:$D$304,MATCH(D542,'Sản phẩm'!$A$5:$A$304,0)),""))</f>
        <v/>
      </c>
      <c r="L542" s="16">
        <f>IF(J542="","",J542-K542)</f>
        <v/>
      </c>
      <c r="M542" s="14">
        <f>IF(A542="","",MONTH(A542))</f>
        <v/>
      </c>
      <c r="N542" s="14">
        <f>IF(A542="","",YEAR(A542))</f>
        <v/>
      </c>
    </row>
    <row r="543">
      <c r="A543" s="15" t="n"/>
      <c r="B543" s="10" t="n"/>
      <c r="C543" s="10" t="n"/>
      <c r="D543" s="10" t="n"/>
      <c r="E543" s="14">
        <f>IF(D543="","",IFERROR(INDEX('Sản phẩm'!$B$5:$B$304,MATCH(D543,'Sản phẩm'!$A$5:$A$304,0)),""))</f>
        <v/>
      </c>
      <c r="F543" s="12" t="n"/>
      <c r="G543" s="11" t="n"/>
      <c r="H543" s="11" t="n"/>
      <c r="I543" s="16">
        <f>IF(D543="","",IF(G543&lt;&gt;"",G543,IFERROR(INDEX('Sản phẩm'!$E$5:$E$304,MATCH(D543,'Sản phẩm'!$A$5:$A$304,0)),"")))</f>
        <v/>
      </c>
      <c r="J543" s="16">
        <f>IF(OR(D543="",F543=""),"",F543*I543-N(H543))</f>
        <v/>
      </c>
      <c r="K543" s="16">
        <f>IF(OR(D543="",F543=""),"",F543*IFERROR(INDEX('Sản phẩm'!$D$5:$D$304,MATCH(D543,'Sản phẩm'!$A$5:$A$304,0)),""))</f>
        <v/>
      </c>
      <c r="L543" s="16">
        <f>IF(J543="","",J543-K543)</f>
        <v/>
      </c>
      <c r="M543" s="14">
        <f>IF(A543="","",MONTH(A543))</f>
        <v/>
      </c>
      <c r="N543" s="14">
        <f>IF(A543="","",YEAR(A543))</f>
        <v/>
      </c>
    </row>
    <row r="544">
      <c r="A544" s="15" t="n"/>
      <c r="B544" s="10" t="n"/>
      <c r="C544" s="10" t="n"/>
      <c r="D544" s="10" t="n"/>
      <c r="E544" s="14">
        <f>IF(D544="","",IFERROR(INDEX('Sản phẩm'!$B$5:$B$304,MATCH(D544,'Sản phẩm'!$A$5:$A$304,0)),""))</f>
        <v/>
      </c>
      <c r="F544" s="12" t="n"/>
      <c r="G544" s="11" t="n"/>
      <c r="H544" s="11" t="n"/>
      <c r="I544" s="16">
        <f>IF(D544="","",IF(G544&lt;&gt;"",G544,IFERROR(INDEX('Sản phẩm'!$E$5:$E$304,MATCH(D544,'Sản phẩm'!$A$5:$A$304,0)),"")))</f>
        <v/>
      </c>
      <c r="J544" s="16">
        <f>IF(OR(D544="",F544=""),"",F544*I544-N(H544))</f>
        <v/>
      </c>
      <c r="K544" s="16">
        <f>IF(OR(D544="",F544=""),"",F544*IFERROR(INDEX('Sản phẩm'!$D$5:$D$304,MATCH(D544,'Sản phẩm'!$A$5:$A$304,0)),""))</f>
        <v/>
      </c>
      <c r="L544" s="16">
        <f>IF(J544="","",J544-K544)</f>
        <v/>
      </c>
      <c r="M544" s="14">
        <f>IF(A544="","",MONTH(A544))</f>
        <v/>
      </c>
      <c r="N544" s="14">
        <f>IF(A544="","",YEAR(A544))</f>
        <v/>
      </c>
    </row>
    <row r="545">
      <c r="A545" s="15" t="n"/>
      <c r="B545" s="10" t="n"/>
      <c r="C545" s="10" t="n"/>
      <c r="D545" s="10" t="n"/>
      <c r="E545" s="14">
        <f>IF(D545="","",IFERROR(INDEX('Sản phẩm'!$B$5:$B$304,MATCH(D545,'Sản phẩm'!$A$5:$A$304,0)),""))</f>
        <v/>
      </c>
      <c r="F545" s="12" t="n"/>
      <c r="G545" s="11" t="n"/>
      <c r="H545" s="11" t="n"/>
      <c r="I545" s="16">
        <f>IF(D545="","",IF(G545&lt;&gt;"",G545,IFERROR(INDEX('Sản phẩm'!$E$5:$E$304,MATCH(D545,'Sản phẩm'!$A$5:$A$304,0)),"")))</f>
        <v/>
      </c>
      <c r="J545" s="16">
        <f>IF(OR(D545="",F545=""),"",F545*I545-N(H545))</f>
        <v/>
      </c>
      <c r="K545" s="16">
        <f>IF(OR(D545="",F545=""),"",F545*IFERROR(INDEX('Sản phẩm'!$D$5:$D$304,MATCH(D545,'Sản phẩm'!$A$5:$A$304,0)),""))</f>
        <v/>
      </c>
      <c r="L545" s="16">
        <f>IF(J545="","",J545-K545)</f>
        <v/>
      </c>
      <c r="M545" s="14">
        <f>IF(A545="","",MONTH(A545))</f>
        <v/>
      </c>
      <c r="N545" s="14">
        <f>IF(A545="","",YEAR(A545))</f>
        <v/>
      </c>
    </row>
    <row r="546">
      <c r="A546" s="15" t="n"/>
      <c r="B546" s="10" t="n"/>
      <c r="C546" s="10" t="n"/>
      <c r="D546" s="10" t="n"/>
      <c r="E546" s="14">
        <f>IF(D546="","",IFERROR(INDEX('Sản phẩm'!$B$5:$B$304,MATCH(D546,'Sản phẩm'!$A$5:$A$304,0)),""))</f>
        <v/>
      </c>
      <c r="F546" s="12" t="n"/>
      <c r="G546" s="11" t="n"/>
      <c r="H546" s="11" t="n"/>
      <c r="I546" s="16">
        <f>IF(D546="","",IF(G546&lt;&gt;"",G546,IFERROR(INDEX('Sản phẩm'!$E$5:$E$304,MATCH(D546,'Sản phẩm'!$A$5:$A$304,0)),"")))</f>
        <v/>
      </c>
      <c r="J546" s="16">
        <f>IF(OR(D546="",F546=""),"",F546*I546-N(H546))</f>
        <v/>
      </c>
      <c r="K546" s="16">
        <f>IF(OR(D546="",F546=""),"",F546*IFERROR(INDEX('Sản phẩm'!$D$5:$D$304,MATCH(D546,'Sản phẩm'!$A$5:$A$304,0)),""))</f>
        <v/>
      </c>
      <c r="L546" s="16">
        <f>IF(J546="","",J546-K546)</f>
        <v/>
      </c>
      <c r="M546" s="14">
        <f>IF(A546="","",MONTH(A546))</f>
        <v/>
      </c>
      <c r="N546" s="14">
        <f>IF(A546="","",YEAR(A546))</f>
        <v/>
      </c>
    </row>
    <row r="547">
      <c r="A547" s="15" t="n"/>
      <c r="B547" s="10" t="n"/>
      <c r="C547" s="10" t="n"/>
      <c r="D547" s="10" t="n"/>
      <c r="E547" s="14">
        <f>IF(D547="","",IFERROR(INDEX('Sản phẩm'!$B$5:$B$304,MATCH(D547,'Sản phẩm'!$A$5:$A$304,0)),""))</f>
        <v/>
      </c>
      <c r="F547" s="12" t="n"/>
      <c r="G547" s="11" t="n"/>
      <c r="H547" s="11" t="n"/>
      <c r="I547" s="16">
        <f>IF(D547="","",IF(G547&lt;&gt;"",G547,IFERROR(INDEX('Sản phẩm'!$E$5:$E$304,MATCH(D547,'Sản phẩm'!$A$5:$A$304,0)),"")))</f>
        <v/>
      </c>
      <c r="J547" s="16">
        <f>IF(OR(D547="",F547=""),"",F547*I547-N(H547))</f>
        <v/>
      </c>
      <c r="K547" s="16">
        <f>IF(OR(D547="",F547=""),"",F547*IFERROR(INDEX('Sản phẩm'!$D$5:$D$304,MATCH(D547,'Sản phẩm'!$A$5:$A$304,0)),""))</f>
        <v/>
      </c>
      <c r="L547" s="16">
        <f>IF(J547="","",J547-K547)</f>
        <v/>
      </c>
      <c r="M547" s="14">
        <f>IF(A547="","",MONTH(A547))</f>
        <v/>
      </c>
      <c r="N547" s="14">
        <f>IF(A547="","",YEAR(A547))</f>
        <v/>
      </c>
    </row>
    <row r="548">
      <c r="A548" s="15" t="n"/>
      <c r="B548" s="10" t="n"/>
      <c r="C548" s="10" t="n"/>
      <c r="D548" s="10" t="n"/>
      <c r="E548" s="14">
        <f>IF(D548="","",IFERROR(INDEX('Sản phẩm'!$B$5:$B$304,MATCH(D548,'Sản phẩm'!$A$5:$A$304,0)),""))</f>
        <v/>
      </c>
      <c r="F548" s="12" t="n"/>
      <c r="G548" s="11" t="n"/>
      <c r="H548" s="11" t="n"/>
      <c r="I548" s="16">
        <f>IF(D548="","",IF(G548&lt;&gt;"",G548,IFERROR(INDEX('Sản phẩm'!$E$5:$E$304,MATCH(D548,'Sản phẩm'!$A$5:$A$304,0)),"")))</f>
        <v/>
      </c>
      <c r="J548" s="16">
        <f>IF(OR(D548="",F548=""),"",F548*I548-N(H548))</f>
        <v/>
      </c>
      <c r="K548" s="16">
        <f>IF(OR(D548="",F548=""),"",F548*IFERROR(INDEX('Sản phẩm'!$D$5:$D$304,MATCH(D548,'Sản phẩm'!$A$5:$A$304,0)),""))</f>
        <v/>
      </c>
      <c r="L548" s="16">
        <f>IF(J548="","",J548-K548)</f>
        <v/>
      </c>
      <c r="M548" s="14">
        <f>IF(A548="","",MONTH(A548))</f>
        <v/>
      </c>
      <c r="N548" s="14">
        <f>IF(A548="","",YEAR(A548))</f>
        <v/>
      </c>
    </row>
    <row r="549">
      <c r="A549" s="15" t="n"/>
      <c r="B549" s="10" t="n"/>
      <c r="C549" s="10" t="n"/>
      <c r="D549" s="10" t="n"/>
      <c r="E549" s="14">
        <f>IF(D549="","",IFERROR(INDEX('Sản phẩm'!$B$5:$B$304,MATCH(D549,'Sản phẩm'!$A$5:$A$304,0)),""))</f>
        <v/>
      </c>
      <c r="F549" s="12" t="n"/>
      <c r="G549" s="11" t="n"/>
      <c r="H549" s="11" t="n"/>
      <c r="I549" s="16">
        <f>IF(D549="","",IF(G549&lt;&gt;"",G549,IFERROR(INDEX('Sản phẩm'!$E$5:$E$304,MATCH(D549,'Sản phẩm'!$A$5:$A$304,0)),"")))</f>
        <v/>
      </c>
      <c r="J549" s="16">
        <f>IF(OR(D549="",F549=""),"",F549*I549-N(H549))</f>
        <v/>
      </c>
      <c r="K549" s="16">
        <f>IF(OR(D549="",F549=""),"",F549*IFERROR(INDEX('Sản phẩm'!$D$5:$D$304,MATCH(D549,'Sản phẩm'!$A$5:$A$304,0)),""))</f>
        <v/>
      </c>
      <c r="L549" s="16">
        <f>IF(J549="","",J549-K549)</f>
        <v/>
      </c>
      <c r="M549" s="14">
        <f>IF(A549="","",MONTH(A549))</f>
        <v/>
      </c>
      <c r="N549" s="14">
        <f>IF(A549="","",YEAR(A549))</f>
        <v/>
      </c>
    </row>
    <row r="550">
      <c r="A550" s="15" t="n"/>
      <c r="B550" s="10" t="n"/>
      <c r="C550" s="10" t="n"/>
      <c r="D550" s="10" t="n"/>
      <c r="E550" s="14">
        <f>IF(D550="","",IFERROR(INDEX('Sản phẩm'!$B$5:$B$304,MATCH(D550,'Sản phẩm'!$A$5:$A$304,0)),""))</f>
        <v/>
      </c>
      <c r="F550" s="12" t="n"/>
      <c r="G550" s="11" t="n"/>
      <c r="H550" s="11" t="n"/>
      <c r="I550" s="16">
        <f>IF(D550="","",IF(G550&lt;&gt;"",G550,IFERROR(INDEX('Sản phẩm'!$E$5:$E$304,MATCH(D550,'Sản phẩm'!$A$5:$A$304,0)),"")))</f>
        <v/>
      </c>
      <c r="J550" s="16">
        <f>IF(OR(D550="",F550=""),"",F550*I550-N(H550))</f>
        <v/>
      </c>
      <c r="K550" s="16">
        <f>IF(OR(D550="",F550=""),"",F550*IFERROR(INDEX('Sản phẩm'!$D$5:$D$304,MATCH(D550,'Sản phẩm'!$A$5:$A$304,0)),""))</f>
        <v/>
      </c>
      <c r="L550" s="16">
        <f>IF(J550="","",J550-K550)</f>
        <v/>
      </c>
      <c r="M550" s="14">
        <f>IF(A550="","",MONTH(A550))</f>
        <v/>
      </c>
      <c r="N550" s="14">
        <f>IF(A550="","",YEAR(A550))</f>
        <v/>
      </c>
    </row>
    <row r="551">
      <c r="A551" s="15" t="n"/>
      <c r="B551" s="10" t="n"/>
      <c r="C551" s="10" t="n"/>
      <c r="D551" s="10" t="n"/>
      <c r="E551" s="14">
        <f>IF(D551="","",IFERROR(INDEX('Sản phẩm'!$B$5:$B$304,MATCH(D551,'Sản phẩm'!$A$5:$A$304,0)),""))</f>
        <v/>
      </c>
      <c r="F551" s="12" t="n"/>
      <c r="G551" s="11" t="n"/>
      <c r="H551" s="11" t="n"/>
      <c r="I551" s="16">
        <f>IF(D551="","",IF(G551&lt;&gt;"",G551,IFERROR(INDEX('Sản phẩm'!$E$5:$E$304,MATCH(D551,'Sản phẩm'!$A$5:$A$304,0)),"")))</f>
        <v/>
      </c>
      <c r="J551" s="16">
        <f>IF(OR(D551="",F551=""),"",F551*I551-N(H551))</f>
        <v/>
      </c>
      <c r="K551" s="16">
        <f>IF(OR(D551="",F551=""),"",F551*IFERROR(INDEX('Sản phẩm'!$D$5:$D$304,MATCH(D551,'Sản phẩm'!$A$5:$A$304,0)),""))</f>
        <v/>
      </c>
      <c r="L551" s="16">
        <f>IF(J551="","",J551-K551)</f>
        <v/>
      </c>
      <c r="M551" s="14">
        <f>IF(A551="","",MONTH(A551))</f>
        <v/>
      </c>
      <c r="N551" s="14">
        <f>IF(A551="","",YEAR(A551))</f>
        <v/>
      </c>
    </row>
    <row r="552">
      <c r="A552" s="15" t="n"/>
      <c r="B552" s="10" t="n"/>
      <c r="C552" s="10" t="n"/>
      <c r="D552" s="10" t="n"/>
      <c r="E552" s="14">
        <f>IF(D552="","",IFERROR(INDEX('Sản phẩm'!$B$5:$B$304,MATCH(D552,'Sản phẩm'!$A$5:$A$304,0)),""))</f>
        <v/>
      </c>
      <c r="F552" s="12" t="n"/>
      <c r="G552" s="11" t="n"/>
      <c r="H552" s="11" t="n"/>
      <c r="I552" s="16">
        <f>IF(D552="","",IF(G552&lt;&gt;"",G552,IFERROR(INDEX('Sản phẩm'!$E$5:$E$304,MATCH(D552,'Sản phẩm'!$A$5:$A$304,0)),"")))</f>
        <v/>
      </c>
      <c r="J552" s="16">
        <f>IF(OR(D552="",F552=""),"",F552*I552-N(H552))</f>
        <v/>
      </c>
      <c r="K552" s="16">
        <f>IF(OR(D552="",F552=""),"",F552*IFERROR(INDEX('Sản phẩm'!$D$5:$D$304,MATCH(D552,'Sản phẩm'!$A$5:$A$304,0)),""))</f>
        <v/>
      </c>
      <c r="L552" s="16">
        <f>IF(J552="","",J552-K552)</f>
        <v/>
      </c>
      <c r="M552" s="14">
        <f>IF(A552="","",MONTH(A552))</f>
        <v/>
      </c>
      <c r="N552" s="14">
        <f>IF(A552="","",YEAR(A552))</f>
        <v/>
      </c>
    </row>
    <row r="553">
      <c r="A553" s="15" t="n"/>
      <c r="B553" s="10" t="n"/>
      <c r="C553" s="10" t="n"/>
      <c r="D553" s="10" t="n"/>
      <c r="E553" s="14">
        <f>IF(D553="","",IFERROR(INDEX('Sản phẩm'!$B$5:$B$304,MATCH(D553,'Sản phẩm'!$A$5:$A$304,0)),""))</f>
        <v/>
      </c>
      <c r="F553" s="12" t="n"/>
      <c r="G553" s="11" t="n"/>
      <c r="H553" s="11" t="n"/>
      <c r="I553" s="16">
        <f>IF(D553="","",IF(G553&lt;&gt;"",G553,IFERROR(INDEX('Sản phẩm'!$E$5:$E$304,MATCH(D553,'Sản phẩm'!$A$5:$A$304,0)),"")))</f>
        <v/>
      </c>
      <c r="J553" s="16">
        <f>IF(OR(D553="",F553=""),"",F553*I553-N(H553))</f>
        <v/>
      </c>
      <c r="K553" s="16">
        <f>IF(OR(D553="",F553=""),"",F553*IFERROR(INDEX('Sản phẩm'!$D$5:$D$304,MATCH(D553,'Sản phẩm'!$A$5:$A$304,0)),""))</f>
        <v/>
      </c>
      <c r="L553" s="16">
        <f>IF(J553="","",J553-K553)</f>
        <v/>
      </c>
      <c r="M553" s="14">
        <f>IF(A553="","",MONTH(A553))</f>
        <v/>
      </c>
      <c r="N553" s="14">
        <f>IF(A553="","",YEAR(A553))</f>
        <v/>
      </c>
    </row>
    <row r="554">
      <c r="A554" s="15" t="n"/>
      <c r="B554" s="10" t="n"/>
      <c r="C554" s="10" t="n"/>
      <c r="D554" s="10" t="n"/>
      <c r="E554" s="14">
        <f>IF(D554="","",IFERROR(INDEX('Sản phẩm'!$B$5:$B$304,MATCH(D554,'Sản phẩm'!$A$5:$A$304,0)),""))</f>
        <v/>
      </c>
      <c r="F554" s="12" t="n"/>
      <c r="G554" s="11" t="n"/>
      <c r="H554" s="11" t="n"/>
      <c r="I554" s="16">
        <f>IF(D554="","",IF(G554&lt;&gt;"",G554,IFERROR(INDEX('Sản phẩm'!$E$5:$E$304,MATCH(D554,'Sản phẩm'!$A$5:$A$304,0)),"")))</f>
        <v/>
      </c>
      <c r="J554" s="16">
        <f>IF(OR(D554="",F554=""),"",F554*I554-N(H554))</f>
        <v/>
      </c>
      <c r="K554" s="16">
        <f>IF(OR(D554="",F554=""),"",F554*IFERROR(INDEX('Sản phẩm'!$D$5:$D$304,MATCH(D554,'Sản phẩm'!$A$5:$A$304,0)),""))</f>
        <v/>
      </c>
      <c r="L554" s="16">
        <f>IF(J554="","",J554-K554)</f>
        <v/>
      </c>
      <c r="M554" s="14">
        <f>IF(A554="","",MONTH(A554))</f>
        <v/>
      </c>
      <c r="N554" s="14">
        <f>IF(A554="","",YEAR(A554))</f>
        <v/>
      </c>
    </row>
    <row r="555">
      <c r="A555" s="15" t="n"/>
      <c r="B555" s="10" t="n"/>
      <c r="C555" s="10" t="n"/>
      <c r="D555" s="10" t="n"/>
      <c r="E555" s="14">
        <f>IF(D555="","",IFERROR(INDEX('Sản phẩm'!$B$5:$B$304,MATCH(D555,'Sản phẩm'!$A$5:$A$304,0)),""))</f>
        <v/>
      </c>
      <c r="F555" s="12" t="n"/>
      <c r="G555" s="11" t="n"/>
      <c r="H555" s="11" t="n"/>
      <c r="I555" s="16">
        <f>IF(D555="","",IF(G555&lt;&gt;"",G555,IFERROR(INDEX('Sản phẩm'!$E$5:$E$304,MATCH(D555,'Sản phẩm'!$A$5:$A$304,0)),"")))</f>
        <v/>
      </c>
      <c r="J555" s="16">
        <f>IF(OR(D555="",F555=""),"",F555*I555-N(H555))</f>
        <v/>
      </c>
      <c r="K555" s="16">
        <f>IF(OR(D555="",F555=""),"",F555*IFERROR(INDEX('Sản phẩm'!$D$5:$D$304,MATCH(D555,'Sản phẩm'!$A$5:$A$304,0)),""))</f>
        <v/>
      </c>
      <c r="L555" s="16">
        <f>IF(J555="","",J555-K555)</f>
        <v/>
      </c>
      <c r="M555" s="14">
        <f>IF(A555="","",MONTH(A555))</f>
        <v/>
      </c>
      <c r="N555" s="14">
        <f>IF(A555="","",YEAR(A555))</f>
        <v/>
      </c>
    </row>
    <row r="556">
      <c r="A556" s="15" t="n"/>
      <c r="B556" s="10" t="n"/>
      <c r="C556" s="10" t="n"/>
      <c r="D556" s="10" t="n"/>
      <c r="E556" s="14">
        <f>IF(D556="","",IFERROR(INDEX('Sản phẩm'!$B$5:$B$304,MATCH(D556,'Sản phẩm'!$A$5:$A$304,0)),""))</f>
        <v/>
      </c>
      <c r="F556" s="12" t="n"/>
      <c r="G556" s="11" t="n"/>
      <c r="H556" s="11" t="n"/>
      <c r="I556" s="16">
        <f>IF(D556="","",IF(G556&lt;&gt;"",G556,IFERROR(INDEX('Sản phẩm'!$E$5:$E$304,MATCH(D556,'Sản phẩm'!$A$5:$A$304,0)),"")))</f>
        <v/>
      </c>
      <c r="J556" s="16">
        <f>IF(OR(D556="",F556=""),"",F556*I556-N(H556))</f>
        <v/>
      </c>
      <c r="K556" s="16">
        <f>IF(OR(D556="",F556=""),"",F556*IFERROR(INDEX('Sản phẩm'!$D$5:$D$304,MATCH(D556,'Sản phẩm'!$A$5:$A$304,0)),""))</f>
        <v/>
      </c>
      <c r="L556" s="16">
        <f>IF(J556="","",J556-K556)</f>
        <v/>
      </c>
      <c r="M556" s="14">
        <f>IF(A556="","",MONTH(A556))</f>
        <v/>
      </c>
      <c r="N556" s="14">
        <f>IF(A556="","",YEAR(A556))</f>
        <v/>
      </c>
    </row>
    <row r="557">
      <c r="A557" s="15" t="n"/>
      <c r="B557" s="10" t="n"/>
      <c r="C557" s="10" t="n"/>
      <c r="D557" s="10" t="n"/>
      <c r="E557" s="14">
        <f>IF(D557="","",IFERROR(INDEX('Sản phẩm'!$B$5:$B$304,MATCH(D557,'Sản phẩm'!$A$5:$A$304,0)),""))</f>
        <v/>
      </c>
      <c r="F557" s="12" t="n"/>
      <c r="G557" s="11" t="n"/>
      <c r="H557" s="11" t="n"/>
      <c r="I557" s="16">
        <f>IF(D557="","",IF(G557&lt;&gt;"",G557,IFERROR(INDEX('Sản phẩm'!$E$5:$E$304,MATCH(D557,'Sản phẩm'!$A$5:$A$304,0)),"")))</f>
        <v/>
      </c>
      <c r="J557" s="16">
        <f>IF(OR(D557="",F557=""),"",F557*I557-N(H557))</f>
        <v/>
      </c>
      <c r="K557" s="16">
        <f>IF(OR(D557="",F557=""),"",F557*IFERROR(INDEX('Sản phẩm'!$D$5:$D$304,MATCH(D557,'Sản phẩm'!$A$5:$A$304,0)),""))</f>
        <v/>
      </c>
      <c r="L557" s="16">
        <f>IF(J557="","",J557-K557)</f>
        <v/>
      </c>
      <c r="M557" s="14">
        <f>IF(A557="","",MONTH(A557))</f>
        <v/>
      </c>
      <c r="N557" s="14">
        <f>IF(A557="","",YEAR(A557))</f>
        <v/>
      </c>
    </row>
    <row r="558">
      <c r="A558" s="15" t="n"/>
      <c r="B558" s="10" t="n"/>
      <c r="C558" s="10" t="n"/>
      <c r="D558" s="10" t="n"/>
      <c r="E558" s="14">
        <f>IF(D558="","",IFERROR(INDEX('Sản phẩm'!$B$5:$B$304,MATCH(D558,'Sản phẩm'!$A$5:$A$304,0)),""))</f>
        <v/>
      </c>
      <c r="F558" s="12" t="n"/>
      <c r="G558" s="11" t="n"/>
      <c r="H558" s="11" t="n"/>
      <c r="I558" s="16">
        <f>IF(D558="","",IF(G558&lt;&gt;"",G558,IFERROR(INDEX('Sản phẩm'!$E$5:$E$304,MATCH(D558,'Sản phẩm'!$A$5:$A$304,0)),"")))</f>
        <v/>
      </c>
      <c r="J558" s="16">
        <f>IF(OR(D558="",F558=""),"",F558*I558-N(H558))</f>
        <v/>
      </c>
      <c r="K558" s="16">
        <f>IF(OR(D558="",F558=""),"",F558*IFERROR(INDEX('Sản phẩm'!$D$5:$D$304,MATCH(D558,'Sản phẩm'!$A$5:$A$304,0)),""))</f>
        <v/>
      </c>
      <c r="L558" s="16">
        <f>IF(J558="","",J558-K558)</f>
        <v/>
      </c>
      <c r="M558" s="14">
        <f>IF(A558="","",MONTH(A558))</f>
        <v/>
      </c>
      <c r="N558" s="14">
        <f>IF(A558="","",YEAR(A558))</f>
        <v/>
      </c>
    </row>
    <row r="559">
      <c r="A559" s="15" t="n"/>
      <c r="B559" s="10" t="n"/>
      <c r="C559" s="10" t="n"/>
      <c r="D559" s="10" t="n"/>
      <c r="E559" s="14">
        <f>IF(D559="","",IFERROR(INDEX('Sản phẩm'!$B$5:$B$304,MATCH(D559,'Sản phẩm'!$A$5:$A$304,0)),""))</f>
        <v/>
      </c>
      <c r="F559" s="12" t="n"/>
      <c r="G559" s="11" t="n"/>
      <c r="H559" s="11" t="n"/>
      <c r="I559" s="16">
        <f>IF(D559="","",IF(G559&lt;&gt;"",G559,IFERROR(INDEX('Sản phẩm'!$E$5:$E$304,MATCH(D559,'Sản phẩm'!$A$5:$A$304,0)),"")))</f>
        <v/>
      </c>
      <c r="J559" s="16">
        <f>IF(OR(D559="",F559=""),"",F559*I559-N(H559))</f>
        <v/>
      </c>
      <c r="K559" s="16">
        <f>IF(OR(D559="",F559=""),"",F559*IFERROR(INDEX('Sản phẩm'!$D$5:$D$304,MATCH(D559,'Sản phẩm'!$A$5:$A$304,0)),""))</f>
        <v/>
      </c>
      <c r="L559" s="16">
        <f>IF(J559="","",J559-K559)</f>
        <v/>
      </c>
      <c r="M559" s="14">
        <f>IF(A559="","",MONTH(A559))</f>
        <v/>
      </c>
      <c r="N559" s="14">
        <f>IF(A559="","",YEAR(A559))</f>
        <v/>
      </c>
    </row>
    <row r="560">
      <c r="A560" s="15" t="n"/>
      <c r="B560" s="10" t="n"/>
      <c r="C560" s="10" t="n"/>
      <c r="D560" s="10" t="n"/>
      <c r="E560" s="14">
        <f>IF(D560="","",IFERROR(INDEX('Sản phẩm'!$B$5:$B$304,MATCH(D560,'Sản phẩm'!$A$5:$A$304,0)),""))</f>
        <v/>
      </c>
      <c r="F560" s="12" t="n"/>
      <c r="G560" s="11" t="n"/>
      <c r="H560" s="11" t="n"/>
      <c r="I560" s="16">
        <f>IF(D560="","",IF(G560&lt;&gt;"",G560,IFERROR(INDEX('Sản phẩm'!$E$5:$E$304,MATCH(D560,'Sản phẩm'!$A$5:$A$304,0)),"")))</f>
        <v/>
      </c>
      <c r="J560" s="16">
        <f>IF(OR(D560="",F560=""),"",F560*I560-N(H560))</f>
        <v/>
      </c>
      <c r="K560" s="16">
        <f>IF(OR(D560="",F560=""),"",F560*IFERROR(INDEX('Sản phẩm'!$D$5:$D$304,MATCH(D560,'Sản phẩm'!$A$5:$A$304,0)),""))</f>
        <v/>
      </c>
      <c r="L560" s="16">
        <f>IF(J560="","",J560-K560)</f>
        <v/>
      </c>
      <c r="M560" s="14">
        <f>IF(A560="","",MONTH(A560))</f>
        <v/>
      </c>
      <c r="N560" s="14">
        <f>IF(A560="","",YEAR(A560))</f>
        <v/>
      </c>
    </row>
    <row r="561">
      <c r="A561" s="15" t="n"/>
      <c r="B561" s="10" t="n"/>
      <c r="C561" s="10" t="n"/>
      <c r="D561" s="10" t="n"/>
      <c r="E561" s="14">
        <f>IF(D561="","",IFERROR(INDEX('Sản phẩm'!$B$5:$B$304,MATCH(D561,'Sản phẩm'!$A$5:$A$304,0)),""))</f>
        <v/>
      </c>
      <c r="F561" s="12" t="n"/>
      <c r="G561" s="11" t="n"/>
      <c r="H561" s="11" t="n"/>
      <c r="I561" s="16">
        <f>IF(D561="","",IF(G561&lt;&gt;"",G561,IFERROR(INDEX('Sản phẩm'!$E$5:$E$304,MATCH(D561,'Sản phẩm'!$A$5:$A$304,0)),"")))</f>
        <v/>
      </c>
      <c r="J561" s="16">
        <f>IF(OR(D561="",F561=""),"",F561*I561-N(H561))</f>
        <v/>
      </c>
      <c r="K561" s="16">
        <f>IF(OR(D561="",F561=""),"",F561*IFERROR(INDEX('Sản phẩm'!$D$5:$D$304,MATCH(D561,'Sản phẩm'!$A$5:$A$304,0)),""))</f>
        <v/>
      </c>
      <c r="L561" s="16">
        <f>IF(J561="","",J561-K561)</f>
        <v/>
      </c>
      <c r="M561" s="14">
        <f>IF(A561="","",MONTH(A561))</f>
        <v/>
      </c>
      <c r="N561" s="14">
        <f>IF(A561="","",YEAR(A561))</f>
        <v/>
      </c>
    </row>
    <row r="562">
      <c r="A562" s="15" t="n"/>
      <c r="B562" s="10" t="n"/>
      <c r="C562" s="10" t="n"/>
      <c r="D562" s="10" t="n"/>
      <c r="E562" s="14">
        <f>IF(D562="","",IFERROR(INDEX('Sản phẩm'!$B$5:$B$304,MATCH(D562,'Sản phẩm'!$A$5:$A$304,0)),""))</f>
        <v/>
      </c>
      <c r="F562" s="12" t="n"/>
      <c r="G562" s="11" t="n"/>
      <c r="H562" s="11" t="n"/>
      <c r="I562" s="16">
        <f>IF(D562="","",IF(G562&lt;&gt;"",G562,IFERROR(INDEX('Sản phẩm'!$E$5:$E$304,MATCH(D562,'Sản phẩm'!$A$5:$A$304,0)),"")))</f>
        <v/>
      </c>
      <c r="J562" s="16">
        <f>IF(OR(D562="",F562=""),"",F562*I562-N(H562))</f>
        <v/>
      </c>
      <c r="K562" s="16">
        <f>IF(OR(D562="",F562=""),"",F562*IFERROR(INDEX('Sản phẩm'!$D$5:$D$304,MATCH(D562,'Sản phẩm'!$A$5:$A$304,0)),""))</f>
        <v/>
      </c>
      <c r="L562" s="16">
        <f>IF(J562="","",J562-K562)</f>
        <v/>
      </c>
      <c r="M562" s="14">
        <f>IF(A562="","",MONTH(A562))</f>
        <v/>
      </c>
      <c r="N562" s="14">
        <f>IF(A562="","",YEAR(A562))</f>
        <v/>
      </c>
    </row>
    <row r="563">
      <c r="A563" s="15" t="n"/>
      <c r="B563" s="10" t="n"/>
      <c r="C563" s="10" t="n"/>
      <c r="D563" s="10" t="n"/>
      <c r="E563" s="14">
        <f>IF(D563="","",IFERROR(INDEX('Sản phẩm'!$B$5:$B$304,MATCH(D563,'Sản phẩm'!$A$5:$A$304,0)),""))</f>
        <v/>
      </c>
      <c r="F563" s="12" t="n"/>
      <c r="G563" s="11" t="n"/>
      <c r="H563" s="11" t="n"/>
      <c r="I563" s="16">
        <f>IF(D563="","",IF(G563&lt;&gt;"",G563,IFERROR(INDEX('Sản phẩm'!$E$5:$E$304,MATCH(D563,'Sản phẩm'!$A$5:$A$304,0)),"")))</f>
        <v/>
      </c>
      <c r="J563" s="16">
        <f>IF(OR(D563="",F563=""),"",F563*I563-N(H563))</f>
        <v/>
      </c>
      <c r="K563" s="16">
        <f>IF(OR(D563="",F563=""),"",F563*IFERROR(INDEX('Sản phẩm'!$D$5:$D$304,MATCH(D563,'Sản phẩm'!$A$5:$A$304,0)),""))</f>
        <v/>
      </c>
      <c r="L563" s="16">
        <f>IF(J563="","",J563-K563)</f>
        <v/>
      </c>
      <c r="M563" s="14">
        <f>IF(A563="","",MONTH(A563))</f>
        <v/>
      </c>
      <c r="N563" s="14">
        <f>IF(A563="","",YEAR(A563))</f>
        <v/>
      </c>
    </row>
    <row r="564">
      <c r="A564" s="15" t="n"/>
      <c r="B564" s="10" t="n"/>
      <c r="C564" s="10" t="n"/>
      <c r="D564" s="10" t="n"/>
      <c r="E564" s="14">
        <f>IF(D564="","",IFERROR(INDEX('Sản phẩm'!$B$5:$B$304,MATCH(D564,'Sản phẩm'!$A$5:$A$304,0)),""))</f>
        <v/>
      </c>
      <c r="F564" s="12" t="n"/>
      <c r="G564" s="11" t="n"/>
      <c r="H564" s="11" t="n"/>
      <c r="I564" s="16">
        <f>IF(D564="","",IF(G564&lt;&gt;"",G564,IFERROR(INDEX('Sản phẩm'!$E$5:$E$304,MATCH(D564,'Sản phẩm'!$A$5:$A$304,0)),"")))</f>
        <v/>
      </c>
      <c r="J564" s="16">
        <f>IF(OR(D564="",F564=""),"",F564*I564-N(H564))</f>
        <v/>
      </c>
      <c r="K564" s="16">
        <f>IF(OR(D564="",F564=""),"",F564*IFERROR(INDEX('Sản phẩm'!$D$5:$D$304,MATCH(D564,'Sản phẩm'!$A$5:$A$304,0)),""))</f>
        <v/>
      </c>
      <c r="L564" s="16">
        <f>IF(J564="","",J564-K564)</f>
        <v/>
      </c>
      <c r="M564" s="14">
        <f>IF(A564="","",MONTH(A564))</f>
        <v/>
      </c>
      <c r="N564" s="14">
        <f>IF(A564="","",YEAR(A564))</f>
        <v/>
      </c>
    </row>
    <row r="565">
      <c r="A565" s="15" t="n"/>
      <c r="B565" s="10" t="n"/>
      <c r="C565" s="10" t="n"/>
      <c r="D565" s="10" t="n"/>
      <c r="E565" s="14">
        <f>IF(D565="","",IFERROR(INDEX('Sản phẩm'!$B$5:$B$304,MATCH(D565,'Sản phẩm'!$A$5:$A$304,0)),""))</f>
        <v/>
      </c>
      <c r="F565" s="12" t="n"/>
      <c r="G565" s="11" t="n"/>
      <c r="H565" s="11" t="n"/>
      <c r="I565" s="16">
        <f>IF(D565="","",IF(G565&lt;&gt;"",G565,IFERROR(INDEX('Sản phẩm'!$E$5:$E$304,MATCH(D565,'Sản phẩm'!$A$5:$A$304,0)),"")))</f>
        <v/>
      </c>
      <c r="J565" s="16">
        <f>IF(OR(D565="",F565=""),"",F565*I565-N(H565))</f>
        <v/>
      </c>
      <c r="K565" s="16">
        <f>IF(OR(D565="",F565=""),"",F565*IFERROR(INDEX('Sản phẩm'!$D$5:$D$304,MATCH(D565,'Sản phẩm'!$A$5:$A$304,0)),""))</f>
        <v/>
      </c>
      <c r="L565" s="16">
        <f>IF(J565="","",J565-K565)</f>
        <v/>
      </c>
      <c r="M565" s="14">
        <f>IF(A565="","",MONTH(A565))</f>
        <v/>
      </c>
      <c r="N565" s="14">
        <f>IF(A565="","",YEAR(A565))</f>
        <v/>
      </c>
    </row>
    <row r="566">
      <c r="A566" s="15" t="n"/>
      <c r="B566" s="10" t="n"/>
      <c r="C566" s="10" t="n"/>
      <c r="D566" s="10" t="n"/>
      <c r="E566" s="14">
        <f>IF(D566="","",IFERROR(INDEX('Sản phẩm'!$B$5:$B$304,MATCH(D566,'Sản phẩm'!$A$5:$A$304,0)),""))</f>
        <v/>
      </c>
      <c r="F566" s="12" t="n"/>
      <c r="G566" s="11" t="n"/>
      <c r="H566" s="11" t="n"/>
      <c r="I566" s="16">
        <f>IF(D566="","",IF(G566&lt;&gt;"",G566,IFERROR(INDEX('Sản phẩm'!$E$5:$E$304,MATCH(D566,'Sản phẩm'!$A$5:$A$304,0)),"")))</f>
        <v/>
      </c>
      <c r="J566" s="16">
        <f>IF(OR(D566="",F566=""),"",F566*I566-N(H566))</f>
        <v/>
      </c>
      <c r="K566" s="16">
        <f>IF(OR(D566="",F566=""),"",F566*IFERROR(INDEX('Sản phẩm'!$D$5:$D$304,MATCH(D566,'Sản phẩm'!$A$5:$A$304,0)),""))</f>
        <v/>
      </c>
      <c r="L566" s="16">
        <f>IF(J566="","",J566-K566)</f>
        <v/>
      </c>
      <c r="M566" s="14">
        <f>IF(A566="","",MONTH(A566))</f>
        <v/>
      </c>
      <c r="N566" s="14">
        <f>IF(A566="","",YEAR(A566))</f>
        <v/>
      </c>
    </row>
    <row r="567">
      <c r="A567" s="15" t="n"/>
      <c r="B567" s="10" t="n"/>
      <c r="C567" s="10" t="n"/>
      <c r="D567" s="10" t="n"/>
      <c r="E567" s="14">
        <f>IF(D567="","",IFERROR(INDEX('Sản phẩm'!$B$5:$B$304,MATCH(D567,'Sản phẩm'!$A$5:$A$304,0)),""))</f>
        <v/>
      </c>
      <c r="F567" s="12" t="n"/>
      <c r="G567" s="11" t="n"/>
      <c r="H567" s="11" t="n"/>
      <c r="I567" s="16">
        <f>IF(D567="","",IF(G567&lt;&gt;"",G567,IFERROR(INDEX('Sản phẩm'!$E$5:$E$304,MATCH(D567,'Sản phẩm'!$A$5:$A$304,0)),"")))</f>
        <v/>
      </c>
      <c r="J567" s="16">
        <f>IF(OR(D567="",F567=""),"",F567*I567-N(H567))</f>
        <v/>
      </c>
      <c r="K567" s="16">
        <f>IF(OR(D567="",F567=""),"",F567*IFERROR(INDEX('Sản phẩm'!$D$5:$D$304,MATCH(D567,'Sản phẩm'!$A$5:$A$304,0)),""))</f>
        <v/>
      </c>
      <c r="L567" s="16">
        <f>IF(J567="","",J567-K567)</f>
        <v/>
      </c>
      <c r="M567" s="14">
        <f>IF(A567="","",MONTH(A567))</f>
        <v/>
      </c>
      <c r="N567" s="14">
        <f>IF(A567="","",YEAR(A567))</f>
        <v/>
      </c>
    </row>
    <row r="568">
      <c r="A568" s="15" t="n"/>
      <c r="B568" s="10" t="n"/>
      <c r="C568" s="10" t="n"/>
      <c r="D568" s="10" t="n"/>
      <c r="E568" s="14">
        <f>IF(D568="","",IFERROR(INDEX('Sản phẩm'!$B$5:$B$304,MATCH(D568,'Sản phẩm'!$A$5:$A$304,0)),""))</f>
        <v/>
      </c>
      <c r="F568" s="12" t="n"/>
      <c r="G568" s="11" t="n"/>
      <c r="H568" s="11" t="n"/>
      <c r="I568" s="16">
        <f>IF(D568="","",IF(G568&lt;&gt;"",G568,IFERROR(INDEX('Sản phẩm'!$E$5:$E$304,MATCH(D568,'Sản phẩm'!$A$5:$A$304,0)),"")))</f>
        <v/>
      </c>
      <c r="J568" s="16">
        <f>IF(OR(D568="",F568=""),"",F568*I568-N(H568))</f>
        <v/>
      </c>
      <c r="K568" s="16">
        <f>IF(OR(D568="",F568=""),"",F568*IFERROR(INDEX('Sản phẩm'!$D$5:$D$304,MATCH(D568,'Sản phẩm'!$A$5:$A$304,0)),""))</f>
        <v/>
      </c>
      <c r="L568" s="16">
        <f>IF(J568="","",J568-K568)</f>
        <v/>
      </c>
      <c r="M568" s="14">
        <f>IF(A568="","",MONTH(A568))</f>
        <v/>
      </c>
      <c r="N568" s="14">
        <f>IF(A568="","",YEAR(A568))</f>
        <v/>
      </c>
    </row>
    <row r="569">
      <c r="A569" s="15" t="n"/>
      <c r="B569" s="10" t="n"/>
      <c r="C569" s="10" t="n"/>
      <c r="D569" s="10" t="n"/>
      <c r="E569" s="14">
        <f>IF(D569="","",IFERROR(INDEX('Sản phẩm'!$B$5:$B$304,MATCH(D569,'Sản phẩm'!$A$5:$A$304,0)),""))</f>
        <v/>
      </c>
      <c r="F569" s="12" t="n"/>
      <c r="G569" s="11" t="n"/>
      <c r="H569" s="11" t="n"/>
      <c r="I569" s="16">
        <f>IF(D569="","",IF(G569&lt;&gt;"",G569,IFERROR(INDEX('Sản phẩm'!$E$5:$E$304,MATCH(D569,'Sản phẩm'!$A$5:$A$304,0)),"")))</f>
        <v/>
      </c>
      <c r="J569" s="16">
        <f>IF(OR(D569="",F569=""),"",F569*I569-N(H569))</f>
        <v/>
      </c>
      <c r="K569" s="16">
        <f>IF(OR(D569="",F569=""),"",F569*IFERROR(INDEX('Sản phẩm'!$D$5:$D$304,MATCH(D569,'Sản phẩm'!$A$5:$A$304,0)),""))</f>
        <v/>
      </c>
      <c r="L569" s="16">
        <f>IF(J569="","",J569-K569)</f>
        <v/>
      </c>
      <c r="M569" s="14">
        <f>IF(A569="","",MONTH(A569))</f>
        <v/>
      </c>
      <c r="N569" s="14">
        <f>IF(A569="","",YEAR(A569))</f>
        <v/>
      </c>
    </row>
    <row r="570">
      <c r="A570" s="15" t="n"/>
      <c r="B570" s="10" t="n"/>
      <c r="C570" s="10" t="n"/>
      <c r="D570" s="10" t="n"/>
      <c r="E570" s="14">
        <f>IF(D570="","",IFERROR(INDEX('Sản phẩm'!$B$5:$B$304,MATCH(D570,'Sản phẩm'!$A$5:$A$304,0)),""))</f>
        <v/>
      </c>
      <c r="F570" s="12" t="n"/>
      <c r="G570" s="11" t="n"/>
      <c r="H570" s="11" t="n"/>
      <c r="I570" s="16">
        <f>IF(D570="","",IF(G570&lt;&gt;"",G570,IFERROR(INDEX('Sản phẩm'!$E$5:$E$304,MATCH(D570,'Sản phẩm'!$A$5:$A$304,0)),"")))</f>
        <v/>
      </c>
      <c r="J570" s="16">
        <f>IF(OR(D570="",F570=""),"",F570*I570-N(H570))</f>
        <v/>
      </c>
      <c r="K570" s="16">
        <f>IF(OR(D570="",F570=""),"",F570*IFERROR(INDEX('Sản phẩm'!$D$5:$D$304,MATCH(D570,'Sản phẩm'!$A$5:$A$304,0)),""))</f>
        <v/>
      </c>
      <c r="L570" s="16">
        <f>IF(J570="","",J570-K570)</f>
        <v/>
      </c>
      <c r="M570" s="14">
        <f>IF(A570="","",MONTH(A570))</f>
        <v/>
      </c>
      <c r="N570" s="14">
        <f>IF(A570="","",YEAR(A570))</f>
        <v/>
      </c>
    </row>
    <row r="571">
      <c r="A571" s="15" t="n"/>
      <c r="B571" s="10" t="n"/>
      <c r="C571" s="10" t="n"/>
      <c r="D571" s="10" t="n"/>
      <c r="E571" s="14">
        <f>IF(D571="","",IFERROR(INDEX('Sản phẩm'!$B$5:$B$304,MATCH(D571,'Sản phẩm'!$A$5:$A$304,0)),""))</f>
        <v/>
      </c>
      <c r="F571" s="12" t="n"/>
      <c r="G571" s="11" t="n"/>
      <c r="H571" s="11" t="n"/>
      <c r="I571" s="16">
        <f>IF(D571="","",IF(G571&lt;&gt;"",G571,IFERROR(INDEX('Sản phẩm'!$E$5:$E$304,MATCH(D571,'Sản phẩm'!$A$5:$A$304,0)),"")))</f>
        <v/>
      </c>
      <c r="J571" s="16">
        <f>IF(OR(D571="",F571=""),"",F571*I571-N(H571))</f>
        <v/>
      </c>
      <c r="K571" s="16">
        <f>IF(OR(D571="",F571=""),"",F571*IFERROR(INDEX('Sản phẩm'!$D$5:$D$304,MATCH(D571,'Sản phẩm'!$A$5:$A$304,0)),""))</f>
        <v/>
      </c>
      <c r="L571" s="16">
        <f>IF(J571="","",J571-K571)</f>
        <v/>
      </c>
      <c r="M571" s="14">
        <f>IF(A571="","",MONTH(A571))</f>
        <v/>
      </c>
      <c r="N571" s="14">
        <f>IF(A571="","",YEAR(A571))</f>
        <v/>
      </c>
    </row>
    <row r="572">
      <c r="A572" s="15" t="n"/>
      <c r="B572" s="10" t="n"/>
      <c r="C572" s="10" t="n"/>
      <c r="D572" s="10" t="n"/>
      <c r="E572" s="14">
        <f>IF(D572="","",IFERROR(INDEX('Sản phẩm'!$B$5:$B$304,MATCH(D572,'Sản phẩm'!$A$5:$A$304,0)),""))</f>
        <v/>
      </c>
      <c r="F572" s="12" t="n"/>
      <c r="G572" s="11" t="n"/>
      <c r="H572" s="11" t="n"/>
      <c r="I572" s="16">
        <f>IF(D572="","",IF(G572&lt;&gt;"",G572,IFERROR(INDEX('Sản phẩm'!$E$5:$E$304,MATCH(D572,'Sản phẩm'!$A$5:$A$304,0)),"")))</f>
        <v/>
      </c>
      <c r="J572" s="16">
        <f>IF(OR(D572="",F572=""),"",F572*I572-N(H572))</f>
        <v/>
      </c>
      <c r="K572" s="16">
        <f>IF(OR(D572="",F572=""),"",F572*IFERROR(INDEX('Sản phẩm'!$D$5:$D$304,MATCH(D572,'Sản phẩm'!$A$5:$A$304,0)),""))</f>
        <v/>
      </c>
      <c r="L572" s="16">
        <f>IF(J572="","",J572-K572)</f>
        <v/>
      </c>
      <c r="M572" s="14">
        <f>IF(A572="","",MONTH(A572))</f>
        <v/>
      </c>
      <c r="N572" s="14">
        <f>IF(A572="","",YEAR(A572))</f>
        <v/>
      </c>
    </row>
    <row r="573">
      <c r="A573" s="15" t="n"/>
      <c r="B573" s="10" t="n"/>
      <c r="C573" s="10" t="n"/>
      <c r="D573" s="10" t="n"/>
      <c r="E573" s="14">
        <f>IF(D573="","",IFERROR(INDEX('Sản phẩm'!$B$5:$B$304,MATCH(D573,'Sản phẩm'!$A$5:$A$304,0)),""))</f>
        <v/>
      </c>
      <c r="F573" s="12" t="n"/>
      <c r="G573" s="11" t="n"/>
      <c r="H573" s="11" t="n"/>
      <c r="I573" s="16">
        <f>IF(D573="","",IF(G573&lt;&gt;"",G573,IFERROR(INDEX('Sản phẩm'!$E$5:$E$304,MATCH(D573,'Sản phẩm'!$A$5:$A$304,0)),"")))</f>
        <v/>
      </c>
      <c r="J573" s="16">
        <f>IF(OR(D573="",F573=""),"",F573*I573-N(H573))</f>
        <v/>
      </c>
      <c r="K573" s="16">
        <f>IF(OR(D573="",F573=""),"",F573*IFERROR(INDEX('Sản phẩm'!$D$5:$D$304,MATCH(D573,'Sản phẩm'!$A$5:$A$304,0)),""))</f>
        <v/>
      </c>
      <c r="L573" s="16">
        <f>IF(J573="","",J573-K573)</f>
        <v/>
      </c>
      <c r="M573" s="14">
        <f>IF(A573="","",MONTH(A573))</f>
        <v/>
      </c>
      <c r="N573" s="14">
        <f>IF(A573="","",YEAR(A573))</f>
        <v/>
      </c>
    </row>
    <row r="574">
      <c r="A574" s="15" t="n"/>
      <c r="B574" s="10" t="n"/>
      <c r="C574" s="10" t="n"/>
      <c r="D574" s="10" t="n"/>
      <c r="E574" s="14">
        <f>IF(D574="","",IFERROR(INDEX('Sản phẩm'!$B$5:$B$304,MATCH(D574,'Sản phẩm'!$A$5:$A$304,0)),""))</f>
        <v/>
      </c>
      <c r="F574" s="12" t="n"/>
      <c r="G574" s="11" t="n"/>
      <c r="H574" s="11" t="n"/>
      <c r="I574" s="16">
        <f>IF(D574="","",IF(G574&lt;&gt;"",G574,IFERROR(INDEX('Sản phẩm'!$E$5:$E$304,MATCH(D574,'Sản phẩm'!$A$5:$A$304,0)),"")))</f>
        <v/>
      </c>
      <c r="J574" s="16">
        <f>IF(OR(D574="",F574=""),"",F574*I574-N(H574))</f>
        <v/>
      </c>
      <c r="K574" s="16">
        <f>IF(OR(D574="",F574=""),"",F574*IFERROR(INDEX('Sản phẩm'!$D$5:$D$304,MATCH(D574,'Sản phẩm'!$A$5:$A$304,0)),""))</f>
        <v/>
      </c>
      <c r="L574" s="16">
        <f>IF(J574="","",J574-K574)</f>
        <v/>
      </c>
      <c r="M574" s="14">
        <f>IF(A574="","",MONTH(A574))</f>
        <v/>
      </c>
      <c r="N574" s="14">
        <f>IF(A574="","",YEAR(A574))</f>
        <v/>
      </c>
    </row>
    <row r="575">
      <c r="A575" s="15" t="n"/>
      <c r="B575" s="10" t="n"/>
      <c r="C575" s="10" t="n"/>
      <c r="D575" s="10" t="n"/>
      <c r="E575" s="14">
        <f>IF(D575="","",IFERROR(INDEX('Sản phẩm'!$B$5:$B$304,MATCH(D575,'Sản phẩm'!$A$5:$A$304,0)),""))</f>
        <v/>
      </c>
      <c r="F575" s="12" t="n"/>
      <c r="G575" s="11" t="n"/>
      <c r="H575" s="11" t="n"/>
      <c r="I575" s="16">
        <f>IF(D575="","",IF(G575&lt;&gt;"",G575,IFERROR(INDEX('Sản phẩm'!$E$5:$E$304,MATCH(D575,'Sản phẩm'!$A$5:$A$304,0)),"")))</f>
        <v/>
      </c>
      <c r="J575" s="16">
        <f>IF(OR(D575="",F575=""),"",F575*I575-N(H575))</f>
        <v/>
      </c>
      <c r="K575" s="16">
        <f>IF(OR(D575="",F575=""),"",F575*IFERROR(INDEX('Sản phẩm'!$D$5:$D$304,MATCH(D575,'Sản phẩm'!$A$5:$A$304,0)),""))</f>
        <v/>
      </c>
      <c r="L575" s="16">
        <f>IF(J575="","",J575-K575)</f>
        <v/>
      </c>
      <c r="M575" s="14">
        <f>IF(A575="","",MONTH(A575))</f>
        <v/>
      </c>
      <c r="N575" s="14">
        <f>IF(A575="","",YEAR(A575))</f>
        <v/>
      </c>
    </row>
    <row r="576">
      <c r="A576" s="15" t="n"/>
      <c r="B576" s="10" t="n"/>
      <c r="C576" s="10" t="n"/>
      <c r="D576" s="10" t="n"/>
      <c r="E576" s="14">
        <f>IF(D576="","",IFERROR(INDEX('Sản phẩm'!$B$5:$B$304,MATCH(D576,'Sản phẩm'!$A$5:$A$304,0)),""))</f>
        <v/>
      </c>
      <c r="F576" s="12" t="n"/>
      <c r="G576" s="11" t="n"/>
      <c r="H576" s="11" t="n"/>
      <c r="I576" s="16">
        <f>IF(D576="","",IF(G576&lt;&gt;"",G576,IFERROR(INDEX('Sản phẩm'!$E$5:$E$304,MATCH(D576,'Sản phẩm'!$A$5:$A$304,0)),"")))</f>
        <v/>
      </c>
      <c r="J576" s="16">
        <f>IF(OR(D576="",F576=""),"",F576*I576-N(H576))</f>
        <v/>
      </c>
      <c r="K576" s="16">
        <f>IF(OR(D576="",F576=""),"",F576*IFERROR(INDEX('Sản phẩm'!$D$5:$D$304,MATCH(D576,'Sản phẩm'!$A$5:$A$304,0)),""))</f>
        <v/>
      </c>
      <c r="L576" s="16">
        <f>IF(J576="","",J576-K576)</f>
        <v/>
      </c>
      <c r="M576" s="14">
        <f>IF(A576="","",MONTH(A576))</f>
        <v/>
      </c>
      <c r="N576" s="14">
        <f>IF(A576="","",YEAR(A576))</f>
        <v/>
      </c>
    </row>
    <row r="577">
      <c r="A577" s="15" t="n"/>
      <c r="B577" s="10" t="n"/>
      <c r="C577" s="10" t="n"/>
      <c r="D577" s="10" t="n"/>
      <c r="E577" s="14">
        <f>IF(D577="","",IFERROR(INDEX('Sản phẩm'!$B$5:$B$304,MATCH(D577,'Sản phẩm'!$A$5:$A$304,0)),""))</f>
        <v/>
      </c>
      <c r="F577" s="12" t="n"/>
      <c r="G577" s="11" t="n"/>
      <c r="H577" s="11" t="n"/>
      <c r="I577" s="16">
        <f>IF(D577="","",IF(G577&lt;&gt;"",G577,IFERROR(INDEX('Sản phẩm'!$E$5:$E$304,MATCH(D577,'Sản phẩm'!$A$5:$A$304,0)),"")))</f>
        <v/>
      </c>
      <c r="J577" s="16">
        <f>IF(OR(D577="",F577=""),"",F577*I577-N(H577))</f>
        <v/>
      </c>
      <c r="K577" s="16">
        <f>IF(OR(D577="",F577=""),"",F577*IFERROR(INDEX('Sản phẩm'!$D$5:$D$304,MATCH(D577,'Sản phẩm'!$A$5:$A$304,0)),""))</f>
        <v/>
      </c>
      <c r="L577" s="16">
        <f>IF(J577="","",J577-K577)</f>
        <v/>
      </c>
      <c r="M577" s="14">
        <f>IF(A577="","",MONTH(A577))</f>
        <v/>
      </c>
      <c r="N577" s="14">
        <f>IF(A577="","",YEAR(A577))</f>
        <v/>
      </c>
    </row>
    <row r="578">
      <c r="A578" s="15" t="n"/>
      <c r="B578" s="10" t="n"/>
      <c r="C578" s="10" t="n"/>
      <c r="D578" s="10" t="n"/>
      <c r="E578" s="14">
        <f>IF(D578="","",IFERROR(INDEX('Sản phẩm'!$B$5:$B$304,MATCH(D578,'Sản phẩm'!$A$5:$A$304,0)),""))</f>
        <v/>
      </c>
      <c r="F578" s="12" t="n"/>
      <c r="G578" s="11" t="n"/>
      <c r="H578" s="11" t="n"/>
      <c r="I578" s="16">
        <f>IF(D578="","",IF(G578&lt;&gt;"",G578,IFERROR(INDEX('Sản phẩm'!$E$5:$E$304,MATCH(D578,'Sản phẩm'!$A$5:$A$304,0)),"")))</f>
        <v/>
      </c>
      <c r="J578" s="16">
        <f>IF(OR(D578="",F578=""),"",F578*I578-N(H578))</f>
        <v/>
      </c>
      <c r="K578" s="16">
        <f>IF(OR(D578="",F578=""),"",F578*IFERROR(INDEX('Sản phẩm'!$D$5:$D$304,MATCH(D578,'Sản phẩm'!$A$5:$A$304,0)),""))</f>
        <v/>
      </c>
      <c r="L578" s="16">
        <f>IF(J578="","",J578-K578)</f>
        <v/>
      </c>
      <c r="M578" s="14">
        <f>IF(A578="","",MONTH(A578))</f>
        <v/>
      </c>
      <c r="N578" s="14">
        <f>IF(A578="","",YEAR(A578))</f>
        <v/>
      </c>
    </row>
    <row r="579">
      <c r="A579" s="15" t="n"/>
      <c r="B579" s="10" t="n"/>
      <c r="C579" s="10" t="n"/>
      <c r="D579" s="10" t="n"/>
      <c r="E579" s="14">
        <f>IF(D579="","",IFERROR(INDEX('Sản phẩm'!$B$5:$B$304,MATCH(D579,'Sản phẩm'!$A$5:$A$304,0)),""))</f>
        <v/>
      </c>
      <c r="F579" s="12" t="n"/>
      <c r="G579" s="11" t="n"/>
      <c r="H579" s="11" t="n"/>
      <c r="I579" s="16">
        <f>IF(D579="","",IF(G579&lt;&gt;"",G579,IFERROR(INDEX('Sản phẩm'!$E$5:$E$304,MATCH(D579,'Sản phẩm'!$A$5:$A$304,0)),"")))</f>
        <v/>
      </c>
      <c r="J579" s="16">
        <f>IF(OR(D579="",F579=""),"",F579*I579-N(H579))</f>
        <v/>
      </c>
      <c r="K579" s="16">
        <f>IF(OR(D579="",F579=""),"",F579*IFERROR(INDEX('Sản phẩm'!$D$5:$D$304,MATCH(D579,'Sản phẩm'!$A$5:$A$304,0)),""))</f>
        <v/>
      </c>
      <c r="L579" s="16">
        <f>IF(J579="","",J579-K579)</f>
        <v/>
      </c>
      <c r="M579" s="14">
        <f>IF(A579="","",MONTH(A579))</f>
        <v/>
      </c>
      <c r="N579" s="14">
        <f>IF(A579="","",YEAR(A579))</f>
        <v/>
      </c>
    </row>
    <row r="580">
      <c r="A580" s="15" t="n"/>
      <c r="B580" s="10" t="n"/>
      <c r="C580" s="10" t="n"/>
      <c r="D580" s="10" t="n"/>
      <c r="E580" s="14">
        <f>IF(D580="","",IFERROR(INDEX('Sản phẩm'!$B$5:$B$304,MATCH(D580,'Sản phẩm'!$A$5:$A$304,0)),""))</f>
        <v/>
      </c>
      <c r="F580" s="12" t="n"/>
      <c r="G580" s="11" t="n"/>
      <c r="H580" s="11" t="n"/>
      <c r="I580" s="16">
        <f>IF(D580="","",IF(G580&lt;&gt;"",G580,IFERROR(INDEX('Sản phẩm'!$E$5:$E$304,MATCH(D580,'Sản phẩm'!$A$5:$A$304,0)),"")))</f>
        <v/>
      </c>
      <c r="J580" s="16">
        <f>IF(OR(D580="",F580=""),"",F580*I580-N(H580))</f>
        <v/>
      </c>
      <c r="K580" s="16">
        <f>IF(OR(D580="",F580=""),"",F580*IFERROR(INDEX('Sản phẩm'!$D$5:$D$304,MATCH(D580,'Sản phẩm'!$A$5:$A$304,0)),""))</f>
        <v/>
      </c>
      <c r="L580" s="16">
        <f>IF(J580="","",J580-K580)</f>
        <v/>
      </c>
      <c r="M580" s="14">
        <f>IF(A580="","",MONTH(A580))</f>
        <v/>
      </c>
      <c r="N580" s="14">
        <f>IF(A580="","",YEAR(A580))</f>
        <v/>
      </c>
    </row>
    <row r="581">
      <c r="A581" s="15" t="n"/>
      <c r="B581" s="10" t="n"/>
      <c r="C581" s="10" t="n"/>
      <c r="D581" s="10" t="n"/>
      <c r="E581" s="14">
        <f>IF(D581="","",IFERROR(INDEX('Sản phẩm'!$B$5:$B$304,MATCH(D581,'Sản phẩm'!$A$5:$A$304,0)),""))</f>
        <v/>
      </c>
      <c r="F581" s="12" t="n"/>
      <c r="G581" s="11" t="n"/>
      <c r="H581" s="11" t="n"/>
      <c r="I581" s="16">
        <f>IF(D581="","",IF(G581&lt;&gt;"",G581,IFERROR(INDEX('Sản phẩm'!$E$5:$E$304,MATCH(D581,'Sản phẩm'!$A$5:$A$304,0)),"")))</f>
        <v/>
      </c>
      <c r="J581" s="16">
        <f>IF(OR(D581="",F581=""),"",F581*I581-N(H581))</f>
        <v/>
      </c>
      <c r="K581" s="16">
        <f>IF(OR(D581="",F581=""),"",F581*IFERROR(INDEX('Sản phẩm'!$D$5:$D$304,MATCH(D581,'Sản phẩm'!$A$5:$A$304,0)),""))</f>
        <v/>
      </c>
      <c r="L581" s="16">
        <f>IF(J581="","",J581-K581)</f>
        <v/>
      </c>
      <c r="M581" s="14">
        <f>IF(A581="","",MONTH(A581))</f>
        <v/>
      </c>
      <c r="N581" s="14">
        <f>IF(A581="","",YEAR(A581))</f>
        <v/>
      </c>
    </row>
    <row r="582">
      <c r="A582" s="15" t="n"/>
      <c r="B582" s="10" t="n"/>
      <c r="C582" s="10" t="n"/>
      <c r="D582" s="10" t="n"/>
      <c r="E582" s="14">
        <f>IF(D582="","",IFERROR(INDEX('Sản phẩm'!$B$5:$B$304,MATCH(D582,'Sản phẩm'!$A$5:$A$304,0)),""))</f>
        <v/>
      </c>
      <c r="F582" s="12" t="n"/>
      <c r="G582" s="11" t="n"/>
      <c r="H582" s="11" t="n"/>
      <c r="I582" s="16">
        <f>IF(D582="","",IF(G582&lt;&gt;"",G582,IFERROR(INDEX('Sản phẩm'!$E$5:$E$304,MATCH(D582,'Sản phẩm'!$A$5:$A$304,0)),"")))</f>
        <v/>
      </c>
      <c r="J582" s="16">
        <f>IF(OR(D582="",F582=""),"",F582*I582-N(H582))</f>
        <v/>
      </c>
      <c r="K582" s="16">
        <f>IF(OR(D582="",F582=""),"",F582*IFERROR(INDEX('Sản phẩm'!$D$5:$D$304,MATCH(D582,'Sản phẩm'!$A$5:$A$304,0)),""))</f>
        <v/>
      </c>
      <c r="L582" s="16">
        <f>IF(J582="","",J582-K582)</f>
        <v/>
      </c>
      <c r="M582" s="14">
        <f>IF(A582="","",MONTH(A582))</f>
        <v/>
      </c>
      <c r="N582" s="14">
        <f>IF(A582="","",YEAR(A582))</f>
        <v/>
      </c>
    </row>
    <row r="583">
      <c r="A583" s="15" t="n"/>
      <c r="B583" s="10" t="n"/>
      <c r="C583" s="10" t="n"/>
      <c r="D583" s="10" t="n"/>
      <c r="E583" s="14">
        <f>IF(D583="","",IFERROR(INDEX('Sản phẩm'!$B$5:$B$304,MATCH(D583,'Sản phẩm'!$A$5:$A$304,0)),""))</f>
        <v/>
      </c>
      <c r="F583" s="12" t="n"/>
      <c r="G583" s="11" t="n"/>
      <c r="H583" s="11" t="n"/>
      <c r="I583" s="16">
        <f>IF(D583="","",IF(G583&lt;&gt;"",G583,IFERROR(INDEX('Sản phẩm'!$E$5:$E$304,MATCH(D583,'Sản phẩm'!$A$5:$A$304,0)),"")))</f>
        <v/>
      </c>
      <c r="J583" s="16">
        <f>IF(OR(D583="",F583=""),"",F583*I583-N(H583))</f>
        <v/>
      </c>
      <c r="K583" s="16">
        <f>IF(OR(D583="",F583=""),"",F583*IFERROR(INDEX('Sản phẩm'!$D$5:$D$304,MATCH(D583,'Sản phẩm'!$A$5:$A$304,0)),""))</f>
        <v/>
      </c>
      <c r="L583" s="16">
        <f>IF(J583="","",J583-K583)</f>
        <v/>
      </c>
      <c r="M583" s="14">
        <f>IF(A583="","",MONTH(A583))</f>
        <v/>
      </c>
      <c r="N583" s="14">
        <f>IF(A583="","",YEAR(A583))</f>
        <v/>
      </c>
    </row>
    <row r="584">
      <c r="A584" s="15" t="n"/>
      <c r="B584" s="10" t="n"/>
      <c r="C584" s="10" t="n"/>
      <c r="D584" s="10" t="n"/>
      <c r="E584" s="14">
        <f>IF(D584="","",IFERROR(INDEX('Sản phẩm'!$B$5:$B$304,MATCH(D584,'Sản phẩm'!$A$5:$A$304,0)),""))</f>
        <v/>
      </c>
      <c r="F584" s="12" t="n"/>
      <c r="G584" s="11" t="n"/>
      <c r="H584" s="11" t="n"/>
      <c r="I584" s="16">
        <f>IF(D584="","",IF(G584&lt;&gt;"",G584,IFERROR(INDEX('Sản phẩm'!$E$5:$E$304,MATCH(D584,'Sản phẩm'!$A$5:$A$304,0)),"")))</f>
        <v/>
      </c>
      <c r="J584" s="16">
        <f>IF(OR(D584="",F584=""),"",F584*I584-N(H584))</f>
        <v/>
      </c>
      <c r="K584" s="16">
        <f>IF(OR(D584="",F584=""),"",F584*IFERROR(INDEX('Sản phẩm'!$D$5:$D$304,MATCH(D584,'Sản phẩm'!$A$5:$A$304,0)),""))</f>
        <v/>
      </c>
      <c r="L584" s="16">
        <f>IF(J584="","",J584-K584)</f>
        <v/>
      </c>
      <c r="M584" s="14">
        <f>IF(A584="","",MONTH(A584))</f>
        <v/>
      </c>
      <c r="N584" s="14">
        <f>IF(A584="","",YEAR(A584))</f>
        <v/>
      </c>
    </row>
    <row r="585">
      <c r="A585" s="15" t="n"/>
      <c r="B585" s="10" t="n"/>
      <c r="C585" s="10" t="n"/>
      <c r="D585" s="10" t="n"/>
      <c r="E585" s="14">
        <f>IF(D585="","",IFERROR(INDEX('Sản phẩm'!$B$5:$B$304,MATCH(D585,'Sản phẩm'!$A$5:$A$304,0)),""))</f>
        <v/>
      </c>
      <c r="F585" s="12" t="n"/>
      <c r="G585" s="11" t="n"/>
      <c r="H585" s="11" t="n"/>
      <c r="I585" s="16">
        <f>IF(D585="","",IF(G585&lt;&gt;"",G585,IFERROR(INDEX('Sản phẩm'!$E$5:$E$304,MATCH(D585,'Sản phẩm'!$A$5:$A$304,0)),"")))</f>
        <v/>
      </c>
      <c r="J585" s="16">
        <f>IF(OR(D585="",F585=""),"",F585*I585-N(H585))</f>
        <v/>
      </c>
      <c r="K585" s="16">
        <f>IF(OR(D585="",F585=""),"",F585*IFERROR(INDEX('Sản phẩm'!$D$5:$D$304,MATCH(D585,'Sản phẩm'!$A$5:$A$304,0)),""))</f>
        <v/>
      </c>
      <c r="L585" s="16">
        <f>IF(J585="","",J585-K585)</f>
        <v/>
      </c>
      <c r="M585" s="14">
        <f>IF(A585="","",MONTH(A585))</f>
        <v/>
      </c>
      <c r="N585" s="14">
        <f>IF(A585="","",YEAR(A585))</f>
        <v/>
      </c>
    </row>
    <row r="586">
      <c r="A586" s="15" t="n"/>
      <c r="B586" s="10" t="n"/>
      <c r="C586" s="10" t="n"/>
      <c r="D586" s="10" t="n"/>
      <c r="E586" s="14">
        <f>IF(D586="","",IFERROR(INDEX('Sản phẩm'!$B$5:$B$304,MATCH(D586,'Sản phẩm'!$A$5:$A$304,0)),""))</f>
        <v/>
      </c>
      <c r="F586" s="12" t="n"/>
      <c r="G586" s="11" t="n"/>
      <c r="H586" s="11" t="n"/>
      <c r="I586" s="16">
        <f>IF(D586="","",IF(G586&lt;&gt;"",G586,IFERROR(INDEX('Sản phẩm'!$E$5:$E$304,MATCH(D586,'Sản phẩm'!$A$5:$A$304,0)),"")))</f>
        <v/>
      </c>
      <c r="J586" s="16">
        <f>IF(OR(D586="",F586=""),"",F586*I586-N(H586))</f>
        <v/>
      </c>
      <c r="K586" s="16">
        <f>IF(OR(D586="",F586=""),"",F586*IFERROR(INDEX('Sản phẩm'!$D$5:$D$304,MATCH(D586,'Sản phẩm'!$A$5:$A$304,0)),""))</f>
        <v/>
      </c>
      <c r="L586" s="16">
        <f>IF(J586="","",J586-K586)</f>
        <v/>
      </c>
      <c r="M586" s="14">
        <f>IF(A586="","",MONTH(A586))</f>
        <v/>
      </c>
      <c r="N586" s="14">
        <f>IF(A586="","",YEAR(A586))</f>
        <v/>
      </c>
    </row>
    <row r="587">
      <c r="A587" s="15" t="n"/>
      <c r="B587" s="10" t="n"/>
      <c r="C587" s="10" t="n"/>
      <c r="D587" s="10" t="n"/>
      <c r="E587" s="14">
        <f>IF(D587="","",IFERROR(INDEX('Sản phẩm'!$B$5:$B$304,MATCH(D587,'Sản phẩm'!$A$5:$A$304,0)),""))</f>
        <v/>
      </c>
      <c r="F587" s="12" t="n"/>
      <c r="G587" s="11" t="n"/>
      <c r="H587" s="11" t="n"/>
      <c r="I587" s="16">
        <f>IF(D587="","",IF(G587&lt;&gt;"",G587,IFERROR(INDEX('Sản phẩm'!$E$5:$E$304,MATCH(D587,'Sản phẩm'!$A$5:$A$304,0)),"")))</f>
        <v/>
      </c>
      <c r="J587" s="16">
        <f>IF(OR(D587="",F587=""),"",F587*I587-N(H587))</f>
        <v/>
      </c>
      <c r="K587" s="16">
        <f>IF(OR(D587="",F587=""),"",F587*IFERROR(INDEX('Sản phẩm'!$D$5:$D$304,MATCH(D587,'Sản phẩm'!$A$5:$A$304,0)),""))</f>
        <v/>
      </c>
      <c r="L587" s="16">
        <f>IF(J587="","",J587-K587)</f>
        <v/>
      </c>
      <c r="M587" s="14">
        <f>IF(A587="","",MONTH(A587))</f>
        <v/>
      </c>
      <c r="N587" s="14">
        <f>IF(A587="","",YEAR(A587))</f>
        <v/>
      </c>
    </row>
    <row r="588">
      <c r="A588" s="15" t="n"/>
      <c r="B588" s="10" t="n"/>
      <c r="C588" s="10" t="n"/>
      <c r="D588" s="10" t="n"/>
      <c r="E588" s="14">
        <f>IF(D588="","",IFERROR(INDEX('Sản phẩm'!$B$5:$B$304,MATCH(D588,'Sản phẩm'!$A$5:$A$304,0)),""))</f>
        <v/>
      </c>
      <c r="F588" s="12" t="n"/>
      <c r="G588" s="11" t="n"/>
      <c r="H588" s="11" t="n"/>
      <c r="I588" s="16">
        <f>IF(D588="","",IF(G588&lt;&gt;"",G588,IFERROR(INDEX('Sản phẩm'!$E$5:$E$304,MATCH(D588,'Sản phẩm'!$A$5:$A$304,0)),"")))</f>
        <v/>
      </c>
      <c r="J588" s="16">
        <f>IF(OR(D588="",F588=""),"",F588*I588-N(H588))</f>
        <v/>
      </c>
      <c r="K588" s="16">
        <f>IF(OR(D588="",F588=""),"",F588*IFERROR(INDEX('Sản phẩm'!$D$5:$D$304,MATCH(D588,'Sản phẩm'!$A$5:$A$304,0)),""))</f>
        <v/>
      </c>
      <c r="L588" s="16">
        <f>IF(J588="","",J588-K588)</f>
        <v/>
      </c>
      <c r="M588" s="14">
        <f>IF(A588="","",MONTH(A588))</f>
        <v/>
      </c>
      <c r="N588" s="14">
        <f>IF(A588="","",YEAR(A588))</f>
        <v/>
      </c>
    </row>
    <row r="589">
      <c r="A589" s="15" t="n"/>
      <c r="B589" s="10" t="n"/>
      <c r="C589" s="10" t="n"/>
      <c r="D589" s="10" t="n"/>
      <c r="E589" s="14">
        <f>IF(D589="","",IFERROR(INDEX('Sản phẩm'!$B$5:$B$304,MATCH(D589,'Sản phẩm'!$A$5:$A$304,0)),""))</f>
        <v/>
      </c>
      <c r="F589" s="12" t="n"/>
      <c r="G589" s="11" t="n"/>
      <c r="H589" s="11" t="n"/>
      <c r="I589" s="16">
        <f>IF(D589="","",IF(G589&lt;&gt;"",G589,IFERROR(INDEX('Sản phẩm'!$E$5:$E$304,MATCH(D589,'Sản phẩm'!$A$5:$A$304,0)),"")))</f>
        <v/>
      </c>
      <c r="J589" s="16">
        <f>IF(OR(D589="",F589=""),"",F589*I589-N(H589))</f>
        <v/>
      </c>
      <c r="K589" s="16">
        <f>IF(OR(D589="",F589=""),"",F589*IFERROR(INDEX('Sản phẩm'!$D$5:$D$304,MATCH(D589,'Sản phẩm'!$A$5:$A$304,0)),""))</f>
        <v/>
      </c>
      <c r="L589" s="16">
        <f>IF(J589="","",J589-K589)</f>
        <v/>
      </c>
      <c r="M589" s="14">
        <f>IF(A589="","",MONTH(A589))</f>
        <v/>
      </c>
      <c r="N589" s="14">
        <f>IF(A589="","",YEAR(A589))</f>
        <v/>
      </c>
    </row>
    <row r="590">
      <c r="A590" s="15" t="n"/>
      <c r="B590" s="10" t="n"/>
      <c r="C590" s="10" t="n"/>
      <c r="D590" s="10" t="n"/>
      <c r="E590" s="14">
        <f>IF(D590="","",IFERROR(INDEX('Sản phẩm'!$B$5:$B$304,MATCH(D590,'Sản phẩm'!$A$5:$A$304,0)),""))</f>
        <v/>
      </c>
      <c r="F590" s="12" t="n"/>
      <c r="G590" s="11" t="n"/>
      <c r="H590" s="11" t="n"/>
      <c r="I590" s="16">
        <f>IF(D590="","",IF(G590&lt;&gt;"",G590,IFERROR(INDEX('Sản phẩm'!$E$5:$E$304,MATCH(D590,'Sản phẩm'!$A$5:$A$304,0)),"")))</f>
        <v/>
      </c>
      <c r="J590" s="16">
        <f>IF(OR(D590="",F590=""),"",F590*I590-N(H590))</f>
        <v/>
      </c>
      <c r="K590" s="16">
        <f>IF(OR(D590="",F590=""),"",F590*IFERROR(INDEX('Sản phẩm'!$D$5:$D$304,MATCH(D590,'Sản phẩm'!$A$5:$A$304,0)),""))</f>
        <v/>
      </c>
      <c r="L590" s="16">
        <f>IF(J590="","",J590-K590)</f>
        <v/>
      </c>
      <c r="M590" s="14">
        <f>IF(A590="","",MONTH(A590))</f>
        <v/>
      </c>
      <c r="N590" s="14">
        <f>IF(A590="","",YEAR(A590))</f>
        <v/>
      </c>
    </row>
    <row r="591">
      <c r="A591" s="15" t="n"/>
      <c r="B591" s="10" t="n"/>
      <c r="C591" s="10" t="n"/>
      <c r="D591" s="10" t="n"/>
      <c r="E591" s="14">
        <f>IF(D591="","",IFERROR(INDEX('Sản phẩm'!$B$5:$B$304,MATCH(D591,'Sản phẩm'!$A$5:$A$304,0)),""))</f>
        <v/>
      </c>
      <c r="F591" s="12" t="n"/>
      <c r="G591" s="11" t="n"/>
      <c r="H591" s="11" t="n"/>
      <c r="I591" s="16">
        <f>IF(D591="","",IF(G591&lt;&gt;"",G591,IFERROR(INDEX('Sản phẩm'!$E$5:$E$304,MATCH(D591,'Sản phẩm'!$A$5:$A$304,0)),"")))</f>
        <v/>
      </c>
      <c r="J591" s="16">
        <f>IF(OR(D591="",F591=""),"",F591*I591-N(H591))</f>
        <v/>
      </c>
      <c r="K591" s="16">
        <f>IF(OR(D591="",F591=""),"",F591*IFERROR(INDEX('Sản phẩm'!$D$5:$D$304,MATCH(D591,'Sản phẩm'!$A$5:$A$304,0)),""))</f>
        <v/>
      </c>
      <c r="L591" s="16">
        <f>IF(J591="","",J591-K591)</f>
        <v/>
      </c>
      <c r="M591" s="14">
        <f>IF(A591="","",MONTH(A591))</f>
        <v/>
      </c>
      <c r="N591" s="14">
        <f>IF(A591="","",YEAR(A591))</f>
        <v/>
      </c>
    </row>
    <row r="592">
      <c r="A592" s="15" t="n"/>
      <c r="B592" s="10" t="n"/>
      <c r="C592" s="10" t="n"/>
      <c r="D592" s="10" t="n"/>
      <c r="E592" s="14">
        <f>IF(D592="","",IFERROR(INDEX('Sản phẩm'!$B$5:$B$304,MATCH(D592,'Sản phẩm'!$A$5:$A$304,0)),""))</f>
        <v/>
      </c>
      <c r="F592" s="12" t="n"/>
      <c r="G592" s="11" t="n"/>
      <c r="H592" s="11" t="n"/>
      <c r="I592" s="16">
        <f>IF(D592="","",IF(G592&lt;&gt;"",G592,IFERROR(INDEX('Sản phẩm'!$E$5:$E$304,MATCH(D592,'Sản phẩm'!$A$5:$A$304,0)),"")))</f>
        <v/>
      </c>
      <c r="J592" s="16">
        <f>IF(OR(D592="",F592=""),"",F592*I592-N(H592))</f>
        <v/>
      </c>
      <c r="K592" s="16">
        <f>IF(OR(D592="",F592=""),"",F592*IFERROR(INDEX('Sản phẩm'!$D$5:$D$304,MATCH(D592,'Sản phẩm'!$A$5:$A$304,0)),""))</f>
        <v/>
      </c>
      <c r="L592" s="16">
        <f>IF(J592="","",J592-K592)</f>
        <v/>
      </c>
      <c r="M592" s="14">
        <f>IF(A592="","",MONTH(A592))</f>
        <v/>
      </c>
      <c r="N592" s="14">
        <f>IF(A592="","",YEAR(A592))</f>
        <v/>
      </c>
    </row>
    <row r="593">
      <c r="A593" s="15" t="n"/>
      <c r="B593" s="10" t="n"/>
      <c r="C593" s="10" t="n"/>
      <c r="D593" s="10" t="n"/>
      <c r="E593" s="14">
        <f>IF(D593="","",IFERROR(INDEX('Sản phẩm'!$B$5:$B$304,MATCH(D593,'Sản phẩm'!$A$5:$A$304,0)),""))</f>
        <v/>
      </c>
      <c r="F593" s="12" t="n"/>
      <c r="G593" s="11" t="n"/>
      <c r="H593" s="11" t="n"/>
      <c r="I593" s="16">
        <f>IF(D593="","",IF(G593&lt;&gt;"",G593,IFERROR(INDEX('Sản phẩm'!$E$5:$E$304,MATCH(D593,'Sản phẩm'!$A$5:$A$304,0)),"")))</f>
        <v/>
      </c>
      <c r="J593" s="16">
        <f>IF(OR(D593="",F593=""),"",F593*I593-N(H593))</f>
        <v/>
      </c>
      <c r="K593" s="16">
        <f>IF(OR(D593="",F593=""),"",F593*IFERROR(INDEX('Sản phẩm'!$D$5:$D$304,MATCH(D593,'Sản phẩm'!$A$5:$A$304,0)),""))</f>
        <v/>
      </c>
      <c r="L593" s="16">
        <f>IF(J593="","",J593-K593)</f>
        <v/>
      </c>
      <c r="M593" s="14">
        <f>IF(A593="","",MONTH(A593))</f>
        <v/>
      </c>
      <c r="N593" s="14">
        <f>IF(A593="","",YEAR(A593))</f>
        <v/>
      </c>
    </row>
    <row r="594">
      <c r="A594" s="15" t="n"/>
      <c r="B594" s="10" t="n"/>
      <c r="C594" s="10" t="n"/>
      <c r="D594" s="10" t="n"/>
      <c r="E594" s="14">
        <f>IF(D594="","",IFERROR(INDEX('Sản phẩm'!$B$5:$B$304,MATCH(D594,'Sản phẩm'!$A$5:$A$304,0)),""))</f>
        <v/>
      </c>
      <c r="F594" s="12" t="n"/>
      <c r="G594" s="11" t="n"/>
      <c r="H594" s="11" t="n"/>
      <c r="I594" s="16">
        <f>IF(D594="","",IF(G594&lt;&gt;"",G594,IFERROR(INDEX('Sản phẩm'!$E$5:$E$304,MATCH(D594,'Sản phẩm'!$A$5:$A$304,0)),"")))</f>
        <v/>
      </c>
      <c r="J594" s="16">
        <f>IF(OR(D594="",F594=""),"",F594*I594-N(H594))</f>
        <v/>
      </c>
      <c r="K594" s="16">
        <f>IF(OR(D594="",F594=""),"",F594*IFERROR(INDEX('Sản phẩm'!$D$5:$D$304,MATCH(D594,'Sản phẩm'!$A$5:$A$304,0)),""))</f>
        <v/>
      </c>
      <c r="L594" s="16">
        <f>IF(J594="","",J594-K594)</f>
        <v/>
      </c>
      <c r="M594" s="14">
        <f>IF(A594="","",MONTH(A594))</f>
        <v/>
      </c>
      <c r="N594" s="14">
        <f>IF(A594="","",YEAR(A594))</f>
        <v/>
      </c>
    </row>
    <row r="595">
      <c r="A595" s="15" t="n"/>
      <c r="B595" s="10" t="n"/>
      <c r="C595" s="10" t="n"/>
      <c r="D595" s="10" t="n"/>
      <c r="E595" s="14">
        <f>IF(D595="","",IFERROR(INDEX('Sản phẩm'!$B$5:$B$304,MATCH(D595,'Sản phẩm'!$A$5:$A$304,0)),""))</f>
        <v/>
      </c>
      <c r="F595" s="12" t="n"/>
      <c r="G595" s="11" t="n"/>
      <c r="H595" s="11" t="n"/>
      <c r="I595" s="16">
        <f>IF(D595="","",IF(G595&lt;&gt;"",G595,IFERROR(INDEX('Sản phẩm'!$E$5:$E$304,MATCH(D595,'Sản phẩm'!$A$5:$A$304,0)),"")))</f>
        <v/>
      </c>
      <c r="J595" s="16">
        <f>IF(OR(D595="",F595=""),"",F595*I595-N(H595))</f>
        <v/>
      </c>
      <c r="K595" s="16">
        <f>IF(OR(D595="",F595=""),"",F595*IFERROR(INDEX('Sản phẩm'!$D$5:$D$304,MATCH(D595,'Sản phẩm'!$A$5:$A$304,0)),""))</f>
        <v/>
      </c>
      <c r="L595" s="16">
        <f>IF(J595="","",J595-K595)</f>
        <v/>
      </c>
      <c r="M595" s="14">
        <f>IF(A595="","",MONTH(A595))</f>
        <v/>
      </c>
      <c r="N595" s="14">
        <f>IF(A595="","",YEAR(A595))</f>
        <v/>
      </c>
    </row>
    <row r="596">
      <c r="A596" s="15" t="n"/>
      <c r="B596" s="10" t="n"/>
      <c r="C596" s="10" t="n"/>
      <c r="D596" s="10" t="n"/>
      <c r="E596" s="14">
        <f>IF(D596="","",IFERROR(INDEX('Sản phẩm'!$B$5:$B$304,MATCH(D596,'Sản phẩm'!$A$5:$A$304,0)),""))</f>
        <v/>
      </c>
      <c r="F596" s="12" t="n"/>
      <c r="G596" s="11" t="n"/>
      <c r="H596" s="11" t="n"/>
      <c r="I596" s="16">
        <f>IF(D596="","",IF(G596&lt;&gt;"",G596,IFERROR(INDEX('Sản phẩm'!$E$5:$E$304,MATCH(D596,'Sản phẩm'!$A$5:$A$304,0)),"")))</f>
        <v/>
      </c>
      <c r="J596" s="16">
        <f>IF(OR(D596="",F596=""),"",F596*I596-N(H596))</f>
        <v/>
      </c>
      <c r="K596" s="16">
        <f>IF(OR(D596="",F596=""),"",F596*IFERROR(INDEX('Sản phẩm'!$D$5:$D$304,MATCH(D596,'Sản phẩm'!$A$5:$A$304,0)),""))</f>
        <v/>
      </c>
      <c r="L596" s="16">
        <f>IF(J596="","",J596-K596)</f>
        <v/>
      </c>
      <c r="M596" s="14">
        <f>IF(A596="","",MONTH(A596))</f>
        <v/>
      </c>
      <c r="N596" s="14">
        <f>IF(A596="","",YEAR(A596))</f>
        <v/>
      </c>
    </row>
    <row r="597">
      <c r="A597" s="15" t="n"/>
      <c r="B597" s="10" t="n"/>
      <c r="C597" s="10" t="n"/>
      <c r="D597" s="10" t="n"/>
      <c r="E597" s="14">
        <f>IF(D597="","",IFERROR(INDEX('Sản phẩm'!$B$5:$B$304,MATCH(D597,'Sản phẩm'!$A$5:$A$304,0)),""))</f>
        <v/>
      </c>
      <c r="F597" s="12" t="n"/>
      <c r="G597" s="11" t="n"/>
      <c r="H597" s="11" t="n"/>
      <c r="I597" s="16">
        <f>IF(D597="","",IF(G597&lt;&gt;"",G597,IFERROR(INDEX('Sản phẩm'!$E$5:$E$304,MATCH(D597,'Sản phẩm'!$A$5:$A$304,0)),"")))</f>
        <v/>
      </c>
      <c r="J597" s="16">
        <f>IF(OR(D597="",F597=""),"",F597*I597-N(H597))</f>
        <v/>
      </c>
      <c r="K597" s="16">
        <f>IF(OR(D597="",F597=""),"",F597*IFERROR(INDEX('Sản phẩm'!$D$5:$D$304,MATCH(D597,'Sản phẩm'!$A$5:$A$304,0)),""))</f>
        <v/>
      </c>
      <c r="L597" s="16">
        <f>IF(J597="","",J597-K597)</f>
        <v/>
      </c>
      <c r="M597" s="14">
        <f>IF(A597="","",MONTH(A597))</f>
        <v/>
      </c>
      <c r="N597" s="14">
        <f>IF(A597="","",YEAR(A597))</f>
        <v/>
      </c>
    </row>
    <row r="598">
      <c r="A598" s="15" t="n"/>
      <c r="B598" s="10" t="n"/>
      <c r="C598" s="10" t="n"/>
      <c r="D598" s="10" t="n"/>
      <c r="E598" s="14">
        <f>IF(D598="","",IFERROR(INDEX('Sản phẩm'!$B$5:$B$304,MATCH(D598,'Sản phẩm'!$A$5:$A$304,0)),""))</f>
        <v/>
      </c>
      <c r="F598" s="12" t="n"/>
      <c r="G598" s="11" t="n"/>
      <c r="H598" s="11" t="n"/>
      <c r="I598" s="16">
        <f>IF(D598="","",IF(G598&lt;&gt;"",G598,IFERROR(INDEX('Sản phẩm'!$E$5:$E$304,MATCH(D598,'Sản phẩm'!$A$5:$A$304,0)),"")))</f>
        <v/>
      </c>
      <c r="J598" s="16">
        <f>IF(OR(D598="",F598=""),"",F598*I598-N(H598))</f>
        <v/>
      </c>
      <c r="K598" s="16">
        <f>IF(OR(D598="",F598=""),"",F598*IFERROR(INDEX('Sản phẩm'!$D$5:$D$304,MATCH(D598,'Sản phẩm'!$A$5:$A$304,0)),""))</f>
        <v/>
      </c>
      <c r="L598" s="16">
        <f>IF(J598="","",J598-K598)</f>
        <v/>
      </c>
      <c r="M598" s="14">
        <f>IF(A598="","",MONTH(A598))</f>
        <v/>
      </c>
      <c r="N598" s="14">
        <f>IF(A598="","",YEAR(A598))</f>
        <v/>
      </c>
    </row>
    <row r="599">
      <c r="A599" s="15" t="n"/>
      <c r="B599" s="10" t="n"/>
      <c r="C599" s="10" t="n"/>
      <c r="D599" s="10" t="n"/>
      <c r="E599" s="14">
        <f>IF(D599="","",IFERROR(INDEX('Sản phẩm'!$B$5:$B$304,MATCH(D599,'Sản phẩm'!$A$5:$A$304,0)),""))</f>
        <v/>
      </c>
      <c r="F599" s="12" t="n"/>
      <c r="G599" s="11" t="n"/>
      <c r="H599" s="11" t="n"/>
      <c r="I599" s="16">
        <f>IF(D599="","",IF(G599&lt;&gt;"",G599,IFERROR(INDEX('Sản phẩm'!$E$5:$E$304,MATCH(D599,'Sản phẩm'!$A$5:$A$304,0)),"")))</f>
        <v/>
      </c>
      <c r="J599" s="16">
        <f>IF(OR(D599="",F599=""),"",F599*I599-N(H599))</f>
        <v/>
      </c>
      <c r="K599" s="16">
        <f>IF(OR(D599="",F599=""),"",F599*IFERROR(INDEX('Sản phẩm'!$D$5:$D$304,MATCH(D599,'Sản phẩm'!$A$5:$A$304,0)),""))</f>
        <v/>
      </c>
      <c r="L599" s="16">
        <f>IF(J599="","",J599-K599)</f>
        <v/>
      </c>
      <c r="M599" s="14">
        <f>IF(A599="","",MONTH(A599))</f>
        <v/>
      </c>
      <c r="N599" s="14">
        <f>IF(A599="","",YEAR(A599))</f>
        <v/>
      </c>
    </row>
    <row r="600">
      <c r="A600" s="15" t="n"/>
      <c r="B600" s="10" t="n"/>
      <c r="C600" s="10" t="n"/>
      <c r="D600" s="10" t="n"/>
      <c r="E600" s="14">
        <f>IF(D600="","",IFERROR(INDEX('Sản phẩm'!$B$5:$B$304,MATCH(D600,'Sản phẩm'!$A$5:$A$304,0)),""))</f>
        <v/>
      </c>
      <c r="F600" s="12" t="n"/>
      <c r="G600" s="11" t="n"/>
      <c r="H600" s="11" t="n"/>
      <c r="I600" s="16">
        <f>IF(D600="","",IF(G600&lt;&gt;"",G600,IFERROR(INDEX('Sản phẩm'!$E$5:$E$304,MATCH(D600,'Sản phẩm'!$A$5:$A$304,0)),"")))</f>
        <v/>
      </c>
      <c r="J600" s="16">
        <f>IF(OR(D600="",F600=""),"",F600*I600-N(H600))</f>
        <v/>
      </c>
      <c r="K600" s="16">
        <f>IF(OR(D600="",F600=""),"",F600*IFERROR(INDEX('Sản phẩm'!$D$5:$D$304,MATCH(D600,'Sản phẩm'!$A$5:$A$304,0)),""))</f>
        <v/>
      </c>
      <c r="L600" s="16">
        <f>IF(J600="","",J600-K600)</f>
        <v/>
      </c>
      <c r="M600" s="14">
        <f>IF(A600="","",MONTH(A600))</f>
        <v/>
      </c>
      <c r="N600" s="14">
        <f>IF(A600="","",YEAR(A600))</f>
        <v/>
      </c>
    </row>
    <row r="601">
      <c r="A601" s="15" t="n"/>
      <c r="B601" s="10" t="n"/>
      <c r="C601" s="10" t="n"/>
      <c r="D601" s="10" t="n"/>
      <c r="E601" s="14">
        <f>IF(D601="","",IFERROR(INDEX('Sản phẩm'!$B$5:$B$304,MATCH(D601,'Sản phẩm'!$A$5:$A$304,0)),""))</f>
        <v/>
      </c>
      <c r="F601" s="12" t="n"/>
      <c r="G601" s="11" t="n"/>
      <c r="H601" s="11" t="n"/>
      <c r="I601" s="16">
        <f>IF(D601="","",IF(G601&lt;&gt;"",G601,IFERROR(INDEX('Sản phẩm'!$E$5:$E$304,MATCH(D601,'Sản phẩm'!$A$5:$A$304,0)),"")))</f>
        <v/>
      </c>
      <c r="J601" s="16">
        <f>IF(OR(D601="",F601=""),"",F601*I601-N(H601))</f>
        <v/>
      </c>
      <c r="K601" s="16">
        <f>IF(OR(D601="",F601=""),"",F601*IFERROR(INDEX('Sản phẩm'!$D$5:$D$304,MATCH(D601,'Sản phẩm'!$A$5:$A$304,0)),""))</f>
        <v/>
      </c>
      <c r="L601" s="16">
        <f>IF(J601="","",J601-K601)</f>
        <v/>
      </c>
      <c r="M601" s="14">
        <f>IF(A601="","",MONTH(A601))</f>
        <v/>
      </c>
      <c r="N601" s="14">
        <f>IF(A601="","",YEAR(A601))</f>
        <v/>
      </c>
    </row>
    <row r="602">
      <c r="A602" s="15" t="n"/>
      <c r="B602" s="10" t="n"/>
      <c r="C602" s="10" t="n"/>
      <c r="D602" s="10" t="n"/>
      <c r="E602" s="14">
        <f>IF(D602="","",IFERROR(INDEX('Sản phẩm'!$B$5:$B$304,MATCH(D602,'Sản phẩm'!$A$5:$A$304,0)),""))</f>
        <v/>
      </c>
      <c r="F602" s="12" t="n"/>
      <c r="G602" s="11" t="n"/>
      <c r="H602" s="11" t="n"/>
      <c r="I602" s="16">
        <f>IF(D602="","",IF(G602&lt;&gt;"",G602,IFERROR(INDEX('Sản phẩm'!$E$5:$E$304,MATCH(D602,'Sản phẩm'!$A$5:$A$304,0)),"")))</f>
        <v/>
      </c>
      <c r="J602" s="16">
        <f>IF(OR(D602="",F602=""),"",F602*I602-N(H602))</f>
        <v/>
      </c>
      <c r="K602" s="16">
        <f>IF(OR(D602="",F602=""),"",F602*IFERROR(INDEX('Sản phẩm'!$D$5:$D$304,MATCH(D602,'Sản phẩm'!$A$5:$A$304,0)),""))</f>
        <v/>
      </c>
      <c r="L602" s="16">
        <f>IF(J602="","",J602-K602)</f>
        <v/>
      </c>
      <c r="M602" s="14">
        <f>IF(A602="","",MONTH(A602))</f>
        <v/>
      </c>
      <c r="N602" s="14">
        <f>IF(A602="","",YEAR(A602))</f>
        <v/>
      </c>
    </row>
    <row r="603">
      <c r="A603" s="15" t="n"/>
      <c r="B603" s="10" t="n"/>
      <c r="C603" s="10" t="n"/>
      <c r="D603" s="10" t="n"/>
      <c r="E603" s="14">
        <f>IF(D603="","",IFERROR(INDEX('Sản phẩm'!$B$5:$B$304,MATCH(D603,'Sản phẩm'!$A$5:$A$304,0)),""))</f>
        <v/>
      </c>
      <c r="F603" s="12" t="n"/>
      <c r="G603" s="11" t="n"/>
      <c r="H603" s="11" t="n"/>
      <c r="I603" s="16">
        <f>IF(D603="","",IF(G603&lt;&gt;"",G603,IFERROR(INDEX('Sản phẩm'!$E$5:$E$304,MATCH(D603,'Sản phẩm'!$A$5:$A$304,0)),"")))</f>
        <v/>
      </c>
      <c r="J603" s="16">
        <f>IF(OR(D603="",F603=""),"",F603*I603-N(H603))</f>
        <v/>
      </c>
      <c r="K603" s="16">
        <f>IF(OR(D603="",F603=""),"",F603*IFERROR(INDEX('Sản phẩm'!$D$5:$D$304,MATCH(D603,'Sản phẩm'!$A$5:$A$304,0)),""))</f>
        <v/>
      </c>
      <c r="L603" s="16">
        <f>IF(J603="","",J603-K603)</f>
        <v/>
      </c>
      <c r="M603" s="14">
        <f>IF(A603="","",MONTH(A603))</f>
        <v/>
      </c>
      <c r="N603" s="14">
        <f>IF(A603="","",YEAR(A603))</f>
        <v/>
      </c>
    </row>
    <row r="604">
      <c r="A604" s="15" t="n"/>
      <c r="B604" s="10" t="n"/>
      <c r="C604" s="10" t="n"/>
      <c r="D604" s="10" t="n"/>
      <c r="E604" s="14">
        <f>IF(D604="","",IFERROR(INDEX('Sản phẩm'!$B$5:$B$304,MATCH(D604,'Sản phẩm'!$A$5:$A$304,0)),""))</f>
        <v/>
      </c>
      <c r="F604" s="12" t="n"/>
      <c r="G604" s="11" t="n"/>
      <c r="H604" s="11" t="n"/>
      <c r="I604" s="16">
        <f>IF(D604="","",IF(G604&lt;&gt;"",G604,IFERROR(INDEX('Sản phẩm'!$E$5:$E$304,MATCH(D604,'Sản phẩm'!$A$5:$A$304,0)),"")))</f>
        <v/>
      </c>
      <c r="J604" s="16">
        <f>IF(OR(D604="",F604=""),"",F604*I604-N(H604))</f>
        <v/>
      </c>
      <c r="K604" s="16">
        <f>IF(OR(D604="",F604=""),"",F604*IFERROR(INDEX('Sản phẩm'!$D$5:$D$304,MATCH(D604,'Sản phẩm'!$A$5:$A$304,0)),""))</f>
        <v/>
      </c>
      <c r="L604" s="16">
        <f>IF(J604="","",J604-K604)</f>
        <v/>
      </c>
      <c r="M604" s="14">
        <f>IF(A604="","",MONTH(A604))</f>
        <v/>
      </c>
      <c r="N604" s="14">
        <f>IF(A604="","",YEAR(A604))</f>
        <v/>
      </c>
    </row>
    <row r="605">
      <c r="A605" s="15" t="n"/>
      <c r="B605" s="10" t="n"/>
      <c r="C605" s="10" t="n"/>
      <c r="D605" s="10" t="n"/>
      <c r="E605" s="14">
        <f>IF(D605="","",IFERROR(INDEX('Sản phẩm'!$B$5:$B$304,MATCH(D605,'Sản phẩm'!$A$5:$A$304,0)),""))</f>
        <v/>
      </c>
      <c r="F605" s="12" t="n"/>
      <c r="G605" s="11" t="n"/>
      <c r="H605" s="11" t="n"/>
      <c r="I605" s="16">
        <f>IF(D605="","",IF(G605&lt;&gt;"",G605,IFERROR(INDEX('Sản phẩm'!$E$5:$E$304,MATCH(D605,'Sản phẩm'!$A$5:$A$304,0)),"")))</f>
        <v/>
      </c>
      <c r="J605" s="16">
        <f>IF(OR(D605="",F605=""),"",F605*I605-N(H605))</f>
        <v/>
      </c>
      <c r="K605" s="16">
        <f>IF(OR(D605="",F605=""),"",F605*IFERROR(INDEX('Sản phẩm'!$D$5:$D$304,MATCH(D605,'Sản phẩm'!$A$5:$A$304,0)),""))</f>
        <v/>
      </c>
      <c r="L605" s="16">
        <f>IF(J605="","",J605-K605)</f>
        <v/>
      </c>
      <c r="M605" s="14">
        <f>IF(A605="","",MONTH(A605))</f>
        <v/>
      </c>
      <c r="N605" s="14">
        <f>IF(A605="","",YEAR(A605))</f>
        <v/>
      </c>
    </row>
    <row r="606">
      <c r="A606" s="15" t="n"/>
      <c r="B606" s="10" t="n"/>
      <c r="C606" s="10" t="n"/>
      <c r="D606" s="10" t="n"/>
      <c r="E606" s="14">
        <f>IF(D606="","",IFERROR(INDEX('Sản phẩm'!$B$5:$B$304,MATCH(D606,'Sản phẩm'!$A$5:$A$304,0)),""))</f>
        <v/>
      </c>
      <c r="F606" s="12" t="n"/>
      <c r="G606" s="11" t="n"/>
      <c r="H606" s="11" t="n"/>
      <c r="I606" s="16">
        <f>IF(D606="","",IF(G606&lt;&gt;"",G606,IFERROR(INDEX('Sản phẩm'!$E$5:$E$304,MATCH(D606,'Sản phẩm'!$A$5:$A$304,0)),"")))</f>
        <v/>
      </c>
      <c r="J606" s="16">
        <f>IF(OR(D606="",F606=""),"",F606*I606-N(H606))</f>
        <v/>
      </c>
      <c r="K606" s="16">
        <f>IF(OR(D606="",F606=""),"",F606*IFERROR(INDEX('Sản phẩm'!$D$5:$D$304,MATCH(D606,'Sản phẩm'!$A$5:$A$304,0)),""))</f>
        <v/>
      </c>
      <c r="L606" s="16">
        <f>IF(J606="","",J606-K606)</f>
        <v/>
      </c>
      <c r="M606" s="14">
        <f>IF(A606="","",MONTH(A606))</f>
        <v/>
      </c>
      <c r="N606" s="14">
        <f>IF(A606="","",YEAR(A606))</f>
        <v/>
      </c>
    </row>
    <row r="607">
      <c r="A607" s="15" t="n"/>
      <c r="B607" s="10" t="n"/>
      <c r="C607" s="10" t="n"/>
      <c r="D607" s="10" t="n"/>
      <c r="E607" s="14">
        <f>IF(D607="","",IFERROR(INDEX('Sản phẩm'!$B$5:$B$304,MATCH(D607,'Sản phẩm'!$A$5:$A$304,0)),""))</f>
        <v/>
      </c>
      <c r="F607" s="12" t="n"/>
      <c r="G607" s="11" t="n"/>
      <c r="H607" s="11" t="n"/>
      <c r="I607" s="16">
        <f>IF(D607="","",IF(G607&lt;&gt;"",G607,IFERROR(INDEX('Sản phẩm'!$E$5:$E$304,MATCH(D607,'Sản phẩm'!$A$5:$A$304,0)),"")))</f>
        <v/>
      </c>
      <c r="J607" s="16">
        <f>IF(OR(D607="",F607=""),"",F607*I607-N(H607))</f>
        <v/>
      </c>
      <c r="K607" s="16">
        <f>IF(OR(D607="",F607=""),"",F607*IFERROR(INDEX('Sản phẩm'!$D$5:$D$304,MATCH(D607,'Sản phẩm'!$A$5:$A$304,0)),""))</f>
        <v/>
      </c>
      <c r="L607" s="16">
        <f>IF(J607="","",J607-K607)</f>
        <v/>
      </c>
      <c r="M607" s="14">
        <f>IF(A607="","",MONTH(A607))</f>
        <v/>
      </c>
      <c r="N607" s="14">
        <f>IF(A607="","",YEAR(A607))</f>
        <v/>
      </c>
    </row>
    <row r="608">
      <c r="A608" s="15" t="n"/>
      <c r="B608" s="10" t="n"/>
      <c r="C608" s="10" t="n"/>
      <c r="D608" s="10" t="n"/>
      <c r="E608" s="14">
        <f>IF(D608="","",IFERROR(INDEX('Sản phẩm'!$B$5:$B$304,MATCH(D608,'Sản phẩm'!$A$5:$A$304,0)),""))</f>
        <v/>
      </c>
      <c r="F608" s="12" t="n"/>
      <c r="G608" s="11" t="n"/>
      <c r="H608" s="11" t="n"/>
      <c r="I608" s="16">
        <f>IF(D608="","",IF(G608&lt;&gt;"",G608,IFERROR(INDEX('Sản phẩm'!$E$5:$E$304,MATCH(D608,'Sản phẩm'!$A$5:$A$304,0)),"")))</f>
        <v/>
      </c>
      <c r="J608" s="16">
        <f>IF(OR(D608="",F608=""),"",F608*I608-N(H608))</f>
        <v/>
      </c>
      <c r="K608" s="16">
        <f>IF(OR(D608="",F608=""),"",F608*IFERROR(INDEX('Sản phẩm'!$D$5:$D$304,MATCH(D608,'Sản phẩm'!$A$5:$A$304,0)),""))</f>
        <v/>
      </c>
      <c r="L608" s="16">
        <f>IF(J608="","",J608-K608)</f>
        <v/>
      </c>
      <c r="M608" s="14">
        <f>IF(A608="","",MONTH(A608))</f>
        <v/>
      </c>
      <c r="N608" s="14">
        <f>IF(A608="","",YEAR(A608))</f>
        <v/>
      </c>
    </row>
    <row r="609">
      <c r="A609" s="15" t="n"/>
      <c r="B609" s="10" t="n"/>
      <c r="C609" s="10" t="n"/>
      <c r="D609" s="10" t="n"/>
      <c r="E609" s="14">
        <f>IF(D609="","",IFERROR(INDEX('Sản phẩm'!$B$5:$B$304,MATCH(D609,'Sản phẩm'!$A$5:$A$304,0)),""))</f>
        <v/>
      </c>
      <c r="F609" s="12" t="n"/>
      <c r="G609" s="11" t="n"/>
      <c r="H609" s="11" t="n"/>
      <c r="I609" s="16">
        <f>IF(D609="","",IF(G609&lt;&gt;"",G609,IFERROR(INDEX('Sản phẩm'!$E$5:$E$304,MATCH(D609,'Sản phẩm'!$A$5:$A$304,0)),"")))</f>
        <v/>
      </c>
      <c r="J609" s="16">
        <f>IF(OR(D609="",F609=""),"",F609*I609-N(H609))</f>
        <v/>
      </c>
      <c r="K609" s="16">
        <f>IF(OR(D609="",F609=""),"",F609*IFERROR(INDEX('Sản phẩm'!$D$5:$D$304,MATCH(D609,'Sản phẩm'!$A$5:$A$304,0)),""))</f>
        <v/>
      </c>
      <c r="L609" s="16">
        <f>IF(J609="","",J609-K609)</f>
        <v/>
      </c>
      <c r="M609" s="14">
        <f>IF(A609="","",MONTH(A609))</f>
        <v/>
      </c>
      <c r="N609" s="14">
        <f>IF(A609="","",YEAR(A609))</f>
        <v/>
      </c>
    </row>
    <row r="610">
      <c r="A610" s="15" t="n"/>
      <c r="B610" s="10" t="n"/>
      <c r="C610" s="10" t="n"/>
      <c r="D610" s="10" t="n"/>
      <c r="E610" s="14">
        <f>IF(D610="","",IFERROR(INDEX('Sản phẩm'!$B$5:$B$304,MATCH(D610,'Sản phẩm'!$A$5:$A$304,0)),""))</f>
        <v/>
      </c>
      <c r="F610" s="12" t="n"/>
      <c r="G610" s="11" t="n"/>
      <c r="H610" s="11" t="n"/>
      <c r="I610" s="16">
        <f>IF(D610="","",IF(G610&lt;&gt;"",G610,IFERROR(INDEX('Sản phẩm'!$E$5:$E$304,MATCH(D610,'Sản phẩm'!$A$5:$A$304,0)),"")))</f>
        <v/>
      </c>
      <c r="J610" s="16">
        <f>IF(OR(D610="",F610=""),"",F610*I610-N(H610))</f>
        <v/>
      </c>
      <c r="K610" s="16">
        <f>IF(OR(D610="",F610=""),"",F610*IFERROR(INDEX('Sản phẩm'!$D$5:$D$304,MATCH(D610,'Sản phẩm'!$A$5:$A$304,0)),""))</f>
        <v/>
      </c>
      <c r="L610" s="16">
        <f>IF(J610="","",J610-K610)</f>
        <v/>
      </c>
      <c r="M610" s="14">
        <f>IF(A610="","",MONTH(A610))</f>
        <v/>
      </c>
      <c r="N610" s="14">
        <f>IF(A610="","",YEAR(A610))</f>
        <v/>
      </c>
    </row>
    <row r="611">
      <c r="A611" s="15" t="n"/>
      <c r="B611" s="10" t="n"/>
      <c r="C611" s="10" t="n"/>
      <c r="D611" s="10" t="n"/>
      <c r="E611" s="14">
        <f>IF(D611="","",IFERROR(INDEX('Sản phẩm'!$B$5:$B$304,MATCH(D611,'Sản phẩm'!$A$5:$A$304,0)),""))</f>
        <v/>
      </c>
      <c r="F611" s="12" t="n"/>
      <c r="G611" s="11" t="n"/>
      <c r="H611" s="11" t="n"/>
      <c r="I611" s="16">
        <f>IF(D611="","",IF(G611&lt;&gt;"",G611,IFERROR(INDEX('Sản phẩm'!$E$5:$E$304,MATCH(D611,'Sản phẩm'!$A$5:$A$304,0)),"")))</f>
        <v/>
      </c>
      <c r="J611" s="16">
        <f>IF(OR(D611="",F611=""),"",F611*I611-N(H611))</f>
        <v/>
      </c>
      <c r="K611" s="16">
        <f>IF(OR(D611="",F611=""),"",F611*IFERROR(INDEX('Sản phẩm'!$D$5:$D$304,MATCH(D611,'Sản phẩm'!$A$5:$A$304,0)),""))</f>
        <v/>
      </c>
      <c r="L611" s="16">
        <f>IF(J611="","",J611-K611)</f>
        <v/>
      </c>
      <c r="M611" s="14">
        <f>IF(A611="","",MONTH(A611))</f>
        <v/>
      </c>
      <c r="N611" s="14">
        <f>IF(A611="","",YEAR(A611))</f>
        <v/>
      </c>
    </row>
    <row r="612">
      <c r="A612" s="15" t="n"/>
      <c r="B612" s="10" t="n"/>
      <c r="C612" s="10" t="n"/>
      <c r="D612" s="10" t="n"/>
      <c r="E612" s="14">
        <f>IF(D612="","",IFERROR(INDEX('Sản phẩm'!$B$5:$B$304,MATCH(D612,'Sản phẩm'!$A$5:$A$304,0)),""))</f>
        <v/>
      </c>
      <c r="F612" s="12" t="n"/>
      <c r="G612" s="11" t="n"/>
      <c r="H612" s="11" t="n"/>
      <c r="I612" s="16">
        <f>IF(D612="","",IF(G612&lt;&gt;"",G612,IFERROR(INDEX('Sản phẩm'!$E$5:$E$304,MATCH(D612,'Sản phẩm'!$A$5:$A$304,0)),"")))</f>
        <v/>
      </c>
      <c r="J612" s="16">
        <f>IF(OR(D612="",F612=""),"",F612*I612-N(H612))</f>
        <v/>
      </c>
      <c r="K612" s="16">
        <f>IF(OR(D612="",F612=""),"",F612*IFERROR(INDEX('Sản phẩm'!$D$5:$D$304,MATCH(D612,'Sản phẩm'!$A$5:$A$304,0)),""))</f>
        <v/>
      </c>
      <c r="L612" s="16">
        <f>IF(J612="","",J612-K612)</f>
        <v/>
      </c>
      <c r="M612" s="14">
        <f>IF(A612="","",MONTH(A612))</f>
        <v/>
      </c>
      <c r="N612" s="14">
        <f>IF(A612="","",YEAR(A612))</f>
        <v/>
      </c>
    </row>
    <row r="613">
      <c r="A613" s="15" t="n"/>
      <c r="B613" s="10" t="n"/>
      <c r="C613" s="10" t="n"/>
      <c r="D613" s="10" t="n"/>
      <c r="E613" s="14">
        <f>IF(D613="","",IFERROR(INDEX('Sản phẩm'!$B$5:$B$304,MATCH(D613,'Sản phẩm'!$A$5:$A$304,0)),""))</f>
        <v/>
      </c>
      <c r="F613" s="12" t="n"/>
      <c r="G613" s="11" t="n"/>
      <c r="H613" s="11" t="n"/>
      <c r="I613" s="16">
        <f>IF(D613="","",IF(G613&lt;&gt;"",G613,IFERROR(INDEX('Sản phẩm'!$E$5:$E$304,MATCH(D613,'Sản phẩm'!$A$5:$A$304,0)),"")))</f>
        <v/>
      </c>
      <c r="J613" s="16">
        <f>IF(OR(D613="",F613=""),"",F613*I613-N(H613))</f>
        <v/>
      </c>
      <c r="K613" s="16">
        <f>IF(OR(D613="",F613=""),"",F613*IFERROR(INDEX('Sản phẩm'!$D$5:$D$304,MATCH(D613,'Sản phẩm'!$A$5:$A$304,0)),""))</f>
        <v/>
      </c>
      <c r="L613" s="16">
        <f>IF(J613="","",J613-K613)</f>
        <v/>
      </c>
      <c r="M613" s="14">
        <f>IF(A613="","",MONTH(A613))</f>
        <v/>
      </c>
      <c r="N613" s="14">
        <f>IF(A613="","",YEAR(A613))</f>
        <v/>
      </c>
    </row>
    <row r="614">
      <c r="A614" s="15" t="n"/>
      <c r="B614" s="10" t="n"/>
      <c r="C614" s="10" t="n"/>
      <c r="D614" s="10" t="n"/>
      <c r="E614" s="14">
        <f>IF(D614="","",IFERROR(INDEX('Sản phẩm'!$B$5:$B$304,MATCH(D614,'Sản phẩm'!$A$5:$A$304,0)),""))</f>
        <v/>
      </c>
      <c r="F614" s="12" t="n"/>
      <c r="G614" s="11" t="n"/>
      <c r="H614" s="11" t="n"/>
      <c r="I614" s="16">
        <f>IF(D614="","",IF(G614&lt;&gt;"",G614,IFERROR(INDEX('Sản phẩm'!$E$5:$E$304,MATCH(D614,'Sản phẩm'!$A$5:$A$304,0)),"")))</f>
        <v/>
      </c>
      <c r="J614" s="16">
        <f>IF(OR(D614="",F614=""),"",F614*I614-N(H614))</f>
        <v/>
      </c>
      <c r="K614" s="16">
        <f>IF(OR(D614="",F614=""),"",F614*IFERROR(INDEX('Sản phẩm'!$D$5:$D$304,MATCH(D614,'Sản phẩm'!$A$5:$A$304,0)),""))</f>
        <v/>
      </c>
      <c r="L614" s="16">
        <f>IF(J614="","",J614-K614)</f>
        <v/>
      </c>
      <c r="M614" s="14">
        <f>IF(A614="","",MONTH(A614))</f>
        <v/>
      </c>
      <c r="N614" s="14">
        <f>IF(A614="","",YEAR(A614))</f>
        <v/>
      </c>
    </row>
    <row r="615">
      <c r="A615" s="15" t="n"/>
      <c r="B615" s="10" t="n"/>
      <c r="C615" s="10" t="n"/>
      <c r="D615" s="10" t="n"/>
      <c r="E615" s="14">
        <f>IF(D615="","",IFERROR(INDEX('Sản phẩm'!$B$5:$B$304,MATCH(D615,'Sản phẩm'!$A$5:$A$304,0)),""))</f>
        <v/>
      </c>
      <c r="F615" s="12" t="n"/>
      <c r="G615" s="11" t="n"/>
      <c r="H615" s="11" t="n"/>
      <c r="I615" s="16">
        <f>IF(D615="","",IF(G615&lt;&gt;"",G615,IFERROR(INDEX('Sản phẩm'!$E$5:$E$304,MATCH(D615,'Sản phẩm'!$A$5:$A$304,0)),"")))</f>
        <v/>
      </c>
      <c r="J615" s="16">
        <f>IF(OR(D615="",F615=""),"",F615*I615-N(H615))</f>
        <v/>
      </c>
      <c r="K615" s="16">
        <f>IF(OR(D615="",F615=""),"",F615*IFERROR(INDEX('Sản phẩm'!$D$5:$D$304,MATCH(D615,'Sản phẩm'!$A$5:$A$304,0)),""))</f>
        <v/>
      </c>
      <c r="L615" s="16">
        <f>IF(J615="","",J615-K615)</f>
        <v/>
      </c>
      <c r="M615" s="14">
        <f>IF(A615="","",MONTH(A615))</f>
        <v/>
      </c>
      <c r="N615" s="14">
        <f>IF(A615="","",YEAR(A615))</f>
        <v/>
      </c>
    </row>
    <row r="616">
      <c r="A616" s="15" t="n"/>
      <c r="B616" s="10" t="n"/>
      <c r="C616" s="10" t="n"/>
      <c r="D616" s="10" t="n"/>
      <c r="E616" s="14">
        <f>IF(D616="","",IFERROR(INDEX('Sản phẩm'!$B$5:$B$304,MATCH(D616,'Sản phẩm'!$A$5:$A$304,0)),""))</f>
        <v/>
      </c>
      <c r="F616" s="12" t="n"/>
      <c r="G616" s="11" t="n"/>
      <c r="H616" s="11" t="n"/>
      <c r="I616" s="16">
        <f>IF(D616="","",IF(G616&lt;&gt;"",G616,IFERROR(INDEX('Sản phẩm'!$E$5:$E$304,MATCH(D616,'Sản phẩm'!$A$5:$A$304,0)),"")))</f>
        <v/>
      </c>
      <c r="J616" s="16">
        <f>IF(OR(D616="",F616=""),"",F616*I616-N(H616))</f>
        <v/>
      </c>
      <c r="K616" s="16">
        <f>IF(OR(D616="",F616=""),"",F616*IFERROR(INDEX('Sản phẩm'!$D$5:$D$304,MATCH(D616,'Sản phẩm'!$A$5:$A$304,0)),""))</f>
        <v/>
      </c>
      <c r="L616" s="16">
        <f>IF(J616="","",J616-K616)</f>
        <v/>
      </c>
      <c r="M616" s="14">
        <f>IF(A616="","",MONTH(A616))</f>
        <v/>
      </c>
      <c r="N616" s="14">
        <f>IF(A616="","",YEAR(A616))</f>
        <v/>
      </c>
    </row>
    <row r="617">
      <c r="A617" s="15" t="n"/>
      <c r="B617" s="10" t="n"/>
      <c r="C617" s="10" t="n"/>
      <c r="D617" s="10" t="n"/>
      <c r="E617" s="14">
        <f>IF(D617="","",IFERROR(INDEX('Sản phẩm'!$B$5:$B$304,MATCH(D617,'Sản phẩm'!$A$5:$A$304,0)),""))</f>
        <v/>
      </c>
      <c r="F617" s="12" t="n"/>
      <c r="G617" s="11" t="n"/>
      <c r="H617" s="11" t="n"/>
      <c r="I617" s="16">
        <f>IF(D617="","",IF(G617&lt;&gt;"",G617,IFERROR(INDEX('Sản phẩm'!$E$5:$E$304,MATCH(D617,'Sản phẩm'!$A$5:$A$304,0)),"")))</f>
        <v/>
      </c>
      <c r="J617" s="16">
        <f>IF(OR(D617="",F617=""),"",F617*I617-N(H617))</f>
        <v/>
      </c>
      <c r="K617" s="16">
        <f>IF(OR(D617="",F617=""),"",F617*IFERROR(INDEX('Sản phẩm'!$D$5:$D$304,MATCH(D617,'Sản phẩm'!$A$5:$A$304,0)),""))</f>
        <v/>
      </c>
      <c r="L617" s="16">
        <f>IF(J617="","",J617-K617)</f>
        <v/>
      </c>
      <c r="M617" s="14">
        <f>IF(A617="","",MONTH(A617))</f>
        <v/>
      </c>
      <c r="N617" s="14">
        <f>IF(A617="","",YEAR(A617))</f>
        <v/>
      </c>
    </row>
    <row r="618">
      <c r="A618" s="15" t="n"/>
      <c r="B618" s="10" t="n"/>
      <c r="C618" s="10" t="n"/>
      <c r="D618" s="10" t="n"/>
      <c r="E618" s="14">
        <f>IF(D618="","",IFERROR(INDEX('Sản phẩm'!$B$5:$B$304,MATCH(D618,'Sản phẩm'!$A$5:$A$304,0)),""))</f>
        <v/>
      </c>
      <c r="F618" s="12" t="n"/>
      <c r="G618" s="11" t="n"/>
      <c r="H618" s="11" t="n"/>
      <c r="I618" s="16">
        <f>IF(D618="","",IF(G618&lt;&gt;"",G618,IFERROR(INDEX('Sản phẩm'!$E$5:$E$304,MATCH(D618,'Sản phẩm'!$A$5:$A$304,0)),"")))</f>
        <v/>
      </c>
      <c r="J618" s="16">
        <f>IF(OR(D618="",F618=""),"",F618*I618-N(H618))</f>
        <v/>
      </c>
      <c r="K618" s="16">
        <f>IF(OR(D618="",F618=""),"",F618*IFERROR(INDEX('Sản phẩm'!$D$5:$D$304,MATCH(D618,'Sản phẩm'!$A$5:$A$304,0)),""))</f>
        <v/>
      </c>
      <c r="L618" s="16">
        <f>IF(J618="","",J618-K618)</f>
        <v/>
      </c>
      <c r="M618" s="14">
        <f>IF(A618="","",MONTH(A618))</f>
        <v/>
      </c>
      <c r="N618" s="14">
        <f>IF(A618="","",YEAR(A618))</f>
        <v/>
      </c>
    </row>
    <row r="619">
      <c r="A619" s="15" t="n"/>
      <c r="B619" s="10" t="n"/>
      <c r="C619" s="10" t="n"/>
      <c r="D619" s="10" t="n"/>
      <c r="E619" s="14">
        <f>IF(D619="","",IFERROR(INDEX('Sản phẩm'!$B$5:$B$304,MATCH(D619,'Sản phẩm'!$A$5:$A$304,0)),""))</f>
        <v/>
      </c>
      <c r="F619" s="12" t="n"/>
      <c r="G619" s="11" t="n"/>
      <c r="H619" s="11" t="n"/>
      <c r="I619" s="16">
        <f>IF(D619="","",IF(G619&lt;&gt;"",G619,IFERROR(INDEX('Sản phẩm'!$E$5:$E$304,MATCH(D619,'Sản phẩm'!$A$5:$A$304,0)),"")))</f>
        <v/>
      </c>
      <c r="J619" s="16">
        <f>IF(OR(D619="",F619=""),"",F619*I619-N(H619))</f>
        <v/>
      </c>
      <c r="K619" s="16">
        <f>IF(OR(D619="",F619=""),"",F619*IFERROR(INDEX('Sản phẩm'!$D$5:$D$304,MATCH(D619,'Sản phẩm'!$A$5:$A$304,0)),""))</f>
        <v/>
      </c>
      <c r="L619" s="16">
        <f>IF(J619="","",J619-K619)</f>
        <v/>
      </c>
      <c r="M619" s="14">
        <f>IF(A619="","",MONTH(A619))</f>
        <v/>
      </c>
      <c r="N619" s="14">
        <f>IF(A619="","",YEAR(A619))</f>
        <v/>
      </c>
    </row>
    <row r="620">
      <c r="A620" s="15" t="n"/>
      <c r="B620" s="10" t="n"/>
      <c r="C620" s="10" t="n"/>
      <c r="D620" s="10" t="n"/>
      <c r="E620" s="14">
        <f>IF(D620="","",IFERROR(INDEX('Sản phẩm'!$B$5:$B$304,MATCH(D620,'Sản phẩm'!$A$5:$A$304,0)),""))</f>
        <v/>
      </c>
      <c r="F620" s="12" t="n"/>
      <c r="G620" s="11" t="n"/>
      <c r="H620" s="11" t="n"/>
      <c r="I620" s="16">
        <f>IF(D620="","",IF(G620&lt;&gt;"",G620,IFERROR(INDEX('Sản phẩm'!$E$5:$E$304,MATCH(D620,'Sản phẩm'!$A$5:$A$304,0)),"")))</f>
        <v/>
      </c>
      <c r="J620" s="16">
        <f>IF(OR(D620="",F620=""),"",F620*I620-N(H620))</f>
        <v/>
      </c>
      <c r="K620" s="16">
        <f>IF(OR(D620="",F620=""),"",F620*IFERROR(INDEX('Sản phẩm'!$D$5:$D$304,MATCH(D620,'Sản phẩm'!$A$5:$A$304,0)),""))</f>
        <v/>
      </c>
      <c r="L620" s="16">
        <f>IF(J620="","",J620-K620)</f>
        <v/>
      </c>
      <c r="M620" s="14">
        <f>IF(A620="","",MONTH(A620))</f>
        <v/>
      </c>
      <c r="N620" s="14">
        <f>IF(A620="","",YEAR(A620))</f>
        <v/>
      </c>
    </row>
    <row r="621">
      <c r="A621" s="15" t="n"/>
      <c r="B621" s="10" t="n"/>
      <c r="C621" s="10" t="n"/>
      <c r="D621" s="10" t="n"/>
      <c r="E621" s="14">
        <f>IF(D621="","",IFERROR(INDEX('Sản phẩm'!$B$5:$B$304,MATCH(D621,'Sản phẩm'!$A$5:$A$304,0)),""))</f>
        <v/>
      </c>
      <c r="F621" s="12" t="n"/>
      <c r="G621" s="11" t="n"/>
      <c r="H621" s="11" t="n"/>
      <c r="I621" s="16">
        <f>IF(D621="","",IF(G621&lt;&gt;"",G621,IFERROR(INDEX('Sản phẩm'!$E$5:$E$304,MATCH(D621,'Sản phẩm'!$A$5:$A$304,0)),"")))</f>
        <v/>
      </c>
      <c r="J621" s="16">
        <f>IF(OR(D621="",F621=""),"",F621*I621-N(H621))</f>
        <v/>
      </c>
      <c r="K621" s="16">
        <f>IF(OR(D621="",F621=""),"",F621*IFERROR(INDEX('Sản phẩm'!$D$5:$D$304,MATCH(D621,'Sản phẩm'!$A$5:$A$304,0)),""))</f>
        <v/>
      </c>
      <c r="L621" s="16">
        <f>IF(J621="","",J621-K621)</f>
        <v/>
      </c>
      <c r="M621" s="14">
        <f>IF(A621="","",MONTH(A621))</f>
        <v/>
      </c>
      <c r="N621" s="14">
        <f>IF(A621="","",YEAR(A621))</f>
        <v/>
      </c>
    </row>
    <row r="622">
      <c r="A622" s="15" t="n"/>
      <c r="B622" s="10" t="n"/>
      <c r="C622" s="10" t="n"/>
      <c r="D622" s="10" t="n"/>
      <c r="E622" s="14">
        <f>IF(D622="","",IFERROR(INDEX('Sản phẩm'!$B$5:$B$304,MATCH(D622,'Sản phẩm'!$A$5:$A$304,0)),""))</f>
        <v/>
      </c>
      <c r="F622" s="12" t="n"/>
      <c r="G622" s="11" t="n"/>
      <c r="H622" s="11" t="n"/>
      <c r="I622" s="16">
        <f>IF(D622="","",IF(G622&lt;&gt;"",G622,IFERROR(INDEX('Sản phẩm'!$E$5:$E$304,MATCH(D622,'Sản phẩm'!$A$5:$A$304,0)),"")))</f>
        <v/>
      </c>
      <c r="J622" s="16">
        <f>IF(OR(D622="",F622=""),"",F622*I622-N(H622))</f>
        <v/>
      </c>
      <c r="K622" s="16">
        <f>IF(OR(D622="",F622=""),"",F622*IFERROR(INDEX('Sản phẩm'!$D$5:$D$304,MATCH(D622,'Sản phẩm'!$A$5:$A$304,0)),""))</f>
        <v/>
      </c>
      <c r="L622" s="16">
        <f>IF(J622="","",J622-K622)</f>
        <v/>
      </c>
      <c r="M622" s="14">
        <f>IF(A622="","",MONTH(A622))</f>
        <v/>
      </c>
      <c r="N622" s="14">
        <f>IF(A622="","",YEAR(A622))</f>
        <v/>
      </c>
    </row>
    <row r="623">
      <c r="A623" s="15" t="n"/>
      <c r="B623" s="10" t="n"/>
      <c r="C623" s="10" t="n"/>
      <c r="D623" s="10" t="n"/>
      <c r="E623" s="14">
        <f>IF(D623="","",IFERROR(INDEX('Sản phẩm'!$B$5:$B$304,MATCH(D623,'Sản phẩm'!$A$5:$A$304,0)),""))</f>
        <v/>
      </c>
      <c r="F623" s="12" t="n"/>
      <c r="G623" s="11" t="n"/>
      <c r="H623" s="11" t="n"/>
      <c r="I623" s="16">
        <f>IF(D623="","",IF(G623&lt;&gt;"",G623,IFERROR(INDEX('Sản phẩm'!$E$5:$E$304,MATCH(D623,'Sản phẩm'!$A$5:$A$304,0)),"")))</f>
        <v/>
      </c>
      <c r="J623" s="16">
        <f>IF(OR(D623="",F623=""),"",F623*I623-N(H623))</f>
        <v/>
      </c>
      <c r="K623" s="16">
        <f>IF(OR(D623="",F623=""),"",F623*IFERROR(INDEX('Sản phẩm'!$D$5:$D$304,MATCH(D623,'Sản phẩm'!$A$5:$A$304,0)),""))</f>
        <v/>
      </c>
      <c r="L623" s="16">
        <f>IF(J623="","",J623-K623)</f>
        <v/>
      </c>
      <c r="M623" s="14">
        <f>IF(A623="","",MONTH(A623))</f>
        <v/>
      </c>
      <c r="N623" s="14">
        <f>IF(A623="","",YEAR(A623))</f>
        <v/>
      </c>
    </row>
    <row r="624">
      <c r="A624" s="15" t="n"/>
      <c r="B624" s="10" t="n"/>
      <c r="C624" s="10" t="n"/>
      <c r="D624" s="10" t="n"/>
      <c r="E624" s="14">
        <f>IF(D624="","",IFERROR(INDEX('Sản phẩm'!$B$5:$B$304,MATCH(D624,'Sản phẩm'!$A$5:$A$304,0)),""))</f>
        <v/>
      </c>
      <c r="F624" s="12" t="n"/>
      <c r="G624" s="11" t="n"/>
      <c r="H624" s="11" t="n"/>
      <c r="I624" s="16">
        <f>IF(D624="","",IF(G624&lt;&gt;"",G624,IFERROR(INDEX('Sản phẩm'!$E$5:$E$304,MATCH(D624,'Sản phẩm'!$A$5:$A$304,0)),"")))</f>
        <v/>
      </c>
      <c r="J624" s="16">
        <f>IF(OR(D624="",F624=""),"",F624*I624-N(H624))</f>
        <v/>
      </c>
      <c r="K624" s="16">
        <f>IF(OR(D624="",F624=""),"",F624*IFERROR(INDEX('Sản phẩm'!$D$5:$D$304,MATCH(D624,'Sản phẩm'!$A$5:$A$304,0)),""))</f>
        <v/>
      </c>
      <c r="L624" s="16">
        <f>IF(J624="","",J624-K624)</f>
        <v/>
      </c>
      <c r="M624" s="14">
        <f>IF(A624="","",MONTH(A624))</f>
        <v/>
      </c>
      <c r="N624" s="14">
        <f>IF(A624="","",YEAR(A624))</f>
        <v/>
      </c>
    </row>
    <row r="625">
      <c r="A625" s="15" t="n"/>
      <c r="B625" s="10" t="n"/>
      <c r="C625" s="10" t="n"/>
      <c r="D625" s="10" t="n"/>
      <c r="E625" s="14">
        <f>IF(D625="","",IFERROR(INDEX('Sản phẩm'!$B$5:$B$304,MATCH(D625,'Sản phẩm'!$A$5:$A$304,0)),""))</f>
        <v/>
      </c>
      <c r="F625" s="12" t="n"/>
      <c r="G625" s="11" t="n"/>
      <c r="H625" s="11" t="n"/>
      <c r="I625" s="16">
        <f>IF(D625="","",IF(G625&lt;&gt;"",G625,IFERROR(INDEX('Sản phẩm'!$E$5:$E$304,MATCH(D625,'Sản phẩm'!$A$5:$A$304,0)),"")))</f>
        <v/>
      </c>
      <c r="J625" s="16">
        <f>IF(OR(D625="",F625=""),"",F625*I625-N(H625))</f>
        <v/>
      </c>
      <c r="K625" s="16">
        <f>IF(OR(D625="",F625=""),"",F625*IFERROR(INDEX('Sản phẩm'!$D$5:$D$304,MATCH(D625,'Sản phẩm'!$A$5:$A$304,0)),""))</f>
        <v/>
      </c>
      <c r="L625" s="16">
        <f>IF(J625="","",J625-K625)</f>
        <v/>
      </c>
      <c r="M625" s="14">
        <f>IF(A625="","",MONTH(A625))</f>
        <v/>
      </c>
      <c r="N625" s="14">
        <f>IF(A625="","",YEAR(A625))</f>
        <v/>
      </c>
    </row>
    <row r="626">
      <c r="A626" s="15" t="n"/>
      <c r="B626" s="10" t="n"/>
      <c r="C626" s="10" t="n"/>
      <c r="D626" s="10" t="n"/>
      <c r="E626" s="14">
        <f>IF(D626="","",IFERROR(INDEX('Sản phẩm'!$B$5:$B$304,MATCH(D626,'Sản phẩm'!$A$5:$A$304,0)),""))</f>
        <v/>
      </c>
      <c r="F626" s="12" t="n"/>
      <c r="G626" s="11" t="n"/>
      <c r="H626" s="11" t="n"/>
      <c r="I626" s="16">
        <f>IF(D626="","",IF(G626&lt;&gt;"",G626,IFERROR(INDEX('Sản phẩm'!$E$5:$E$304,MATCH(D626,'Sản phẩm'!$A$5:$A$304,0)),"")))</f>
        <v/>
      </c>
      <c r="J626" s="16">
        <f>IF(OR(D626="",F626=""),"",F626*I626-N(H626))</f>
        <v/>
      </c>
      <c r="K626" s="16">
        <f>IF(OR(D626="",F626=""),"",F626*IFERROR(INDEX('Sản phẩm'!$D$5:$D$304,MATCH(D626,'Sản phẩm'!$A$5:$A$304,0)),""))</f>
        <v/>
      </c>
      <c r="L626" s="16">
        <f>IF(J626="","",J626-K626)</f>
        <v/>
      </c>
      <c r="M626" s="14">
        <f>IF(A626="","",MONTH(A626))</f>
        <v/>
      </c>
      <c r="N626" s="14">
        <f>IF(A626="","",YEAR(A626))</f>
        <v/>
      </c>
    </row>
    <row r="627">
      <c r="A627" s="15" t="n"/>
      <c r="B627" s="10" t="n"/>
      <c r="C627" s="10" t="n"/>
      <c r="D627" s="10" t="n"/>
      <c r="E627" s="14">
        <f>IF(D627="","",IFERROR(INDEX('Sản phẩm'!$B$5:$B$304,MATCH(D627,'Sản phẩm'!$A$5:$A$304,0)),""))</f>
        <v/>
      </c>
      <c r="F627" s="12" t="n"/>
      <c r="G627" s="11" t="n"/>
      <c r="H627" s="11" t="n"/>
      <c r="I627" s="16">
        <f>IF(D627="","",IF(G627&lt;&gt;"",G627,IFERROR(INDEX('Sản phẩm'!$E$5:$E$304,MATCH(D627,'Sản phẩm'!$A$5:$A$304,0)),"")))</f>
        <v/>
      </c>
      <c r="J627" s="16">
        <f>IF(OR(D627="",F627=""),"",F627*I627-N(H627))</f>
        <v/>
      </c>
      <c r="K627" s="16">
        <f>IF(OR(D627="",F627=""),"",F627*IFERROR(INDEX('Sản phẩm'!$D$5:$D$304,MATCH(D627,'Sản phẩm'!$A$5:$A$304,0)),""))</f>
        <v/>
      </c>
      <c r="L627" s="16">
        <f>IF(J627="","",J627-K627)</f>
        <v/>
      </c>
      <c r="M627" s="14">
        <f>IF(A627="","",MONTH(A627))</f>
        <v/>
      </c>
      <c r="N627" s="14">
        <f>IF(A627="","",YEAR(A627))</f>
        <v/>
      </c>
    </row>
    <row r="628">
      <c r="A628" s="15" t="n"/>
      <c r="B628" s="10" t="n"/>
      <c r="C628" s="10" t="n"/>
      <c r="D628" s="10" t="n"/>
      <c r="E628" s="14">
        <f>IF(D628="","",IFERROR(INDEX('Sản phẩm'!$B$5:$B$304,MATCH(D628,'Sản phẩm'!$A$5:$A$304,0)),""))</f>
        <v/>
      </c>
      <c r="F628" s="12" t="n"/>
      <c r="G628" s="11" t="n"/>
      <c r="H628" s="11" t="n"/>
      <c r="I628" s="16">
        <f>IF(D628="","",IF(G628&lt;&gt;"",G628,IFERROR(INDEX('Sản phẩm'!$E$5:$E$304,MATCH(D628,'Sản phẩm'!$A$5:$A$304,0)),"")))</f>
        <v/>
      </c>
      <c r="J628" s="16">
        <f>IF(OR(D628="",F628=""),"",F628*I628-N(H628))</f>
        <v/>
      </c>
      <c r="K628" s="16">
        <f>IF(OR(D628="",F628=""),"",F628*IFERROR(INDEX('Sản phẩm'!$D$5:$D$304,MATCH(D628,'Sản phẩm'!$A$5:$A$304,0)),""))</f>
        <v/>
      </c>
      <c r="L628" s="16">
        <f>IF(J628="","",J628-K628)</f>
        <v/>
      </c>
      <c r="M628" s="14">
        <f>IF(A628="","",MONTH(A628))</f>
        <v/>
      </c>
      <c r="N628" s="14">
        <f>IF(A628="","",YEAR(A628))</f>
        <v/>
      </c>
    </row>
    <row r="629">
      <c r="A629" s="15" t="n"/>
      <c r="B629" s="10" t="n"/>
      <c r="C629" s="10" t="n"/>
      <c r="D629" s="10" t="n"/>
      <c r="E629" s="14">
        <f>IF(D629="","",IFERROR(INDEX('Sản phẩm'!$B$5:$B$304,MATCH(D629,'Sản phẩm'!$A$5:$A$304,0)),""))</f>
        <v/>
      </c>
      <c r="F629" s="12" t="n"/>
      <c r="G629" s="11" t="n"/>
      <c r="H629" s="11" t="n"/>
      <c r="I629" s="16">
        <f>IF(D629="","",IF(G629&lt;&gt;"",G629,IFERROR(INDEX('Sản phẩm'!$E$5:$E$304,MATCH(D629,'Sản phẩm'!$A$5:$A$304,0)),"")))</f>
        <v/>
      </c>
      <c r="J629" s="16">
        <f>IF(OR(D629="",F629=""),"",F629*I629-N(H629))</f>
        <v/>
      </c>
      <c r="K629" s="16">
        <f>IF(OR(D629="",F629=""),"",F629*IFERROR(INDEX('Sản phẩm'!$D$5:$D$304,MATCH(D629,'Sản phẩm'!$A$5:$A$304,0)),""))</f>
        <v/>
      </c>
      <c r="L629" s="16">
        <f>IF(J629="","",J629-K629)</f>
        <v/>
      </c>
      <c r="M629" s="14">
        <f>IF(A629="","",MONTH(A629))</f>
        <v/>
      </c>
      <c r="N629" s="14">
        <f>IF(A629="","",YEAR(A629))</f>
        <v/>
      </c>
    </row>
    <row r="630">
      <c r="A630" s="15" t="n"/>
      <c r="B630" s="10" t="n"/>
      <c r="C630" s="10" t="n"/>
      <c r="D630" s="10" t="n"/>
      <c r="E630" s="14">
        <f>IF(D630="","",IFERROR(INDEX('Sản phẩm'!$B$5:$B$304,MATCH(D630,'Sản phẩm'!$A$5:$A$304,0)),""))</f>
        <v/>
      </c>
      <c r="F630" s="12" t="n"/>
      <c r="G630" s="11" t="n"/>
      <c r="H630" s="11" t="n"/>
      <c r="I630" s="16">
        <f>IF(D630="","",IF(G630&lt;&gt;"",G630,IFERROR(INDEX('Sản phẩm'!$E$5:$E$304,MATCH(D630,'Sản phẩm'!$A$5:$A$304,0)),"")))</f>
        <v/>
      </c>
      <c r="J630" s="16">
        <f>IF(OR(D630="",F630=""),"",F630*I630-N(H630))</f>
        <v/>
      </c>
      <c r="K630" s="16">
        <f>IF(OR(D630="",F630=""),"",F630*IFERROR(INDEX('Sản phẩm'!$D$5:$D$304,MATCH(D630,'Sản phẩm'!$A$5:$A$304,0)),""))</f>
        <v/>
      </c>
      <c r="L630" s="16">
        <f>IF(J630="","",J630-K630)</f>
        <v/>
      </c>
      <c r="M630" s="14">
        <f>IF(A630="","",MONTH(A630))</f>
        <v/>
      </c>
      <c r="N630" s="14">
        <f>IF(A630="","",YEAR(A630))</f>
        <v/>
      </c>
    </row>
    <row r="631">
      <c r="A631" s="15" t="n"/>
      <c r="B631" s="10" t="n"/>
      <c r="C631" s="10" t="n"/>
      <c r="D631" s="10" t="n"/>
      <c r="E631" s="14">
        <f>IF(D631="","",IFERROR(INDEX('Sản phẩm'!$B$5:$B$304,MATCH(D631,'Sản phẩm'!$A$5:$A$304,0)),""))</f>
        <v/>
      </c>
      <c r="F631" s="12" t="n"/>
      <c r="G631" s="11" t="n"/>
      <c r="H631" s="11" t="n"/>
      <c r="I631" s="16">
        <f>IF(D631="","",IF(G631&lt;&gt;"",G631,IFERROR(INDEX('Sản phẩm'!$E$5:$E$304,MATCH(D631,'Sản phẩm'!$A$5:$A$304,0)),"")))</f>
        <v/>
      </c>
      <c r="J631" s="16">
        <f>IF(OR(D631="",F631=""),"",F631*I631-N(H631))</f>
        <v/>
      </c>
      <c r="K631" s="16">
        <f>IF(OR(D631="",F631=""),"",F631*IFERROR(INDEX('Sản phẩm'!$D$5:$D$304,MATCH(D631,'Sản phẩm'!$A$5:$A$304,0)),""))</f>
        <v/>
      </c>
      <c r="L631" s="16">
        <f>IF(J631="","",J631-K631)</f>
        <v/>
      </c>
      <c r="M631" s="14">
        <f>IF(A631="","",MONTH(A631))</f>
        <v/>
      </c>
      <c r="N631" s="14">
        <f>IF(A631="","",YEAR(A631))</f>
        <v/>
      </c>
    </row>
    <row r="632">
      <c r="A632" s="15" t="n"/>
      <c r="B632" s="10" t="n"/>
      <c r="C632" s="10" t="n"/>
      <c r="D632" s="10" t="n"/>
      <c r="E632" s="14">
        <f>IF(D632="","",IFERROR(INDEX('Sản phẩm'!$B$5:$B$304,MATCH(D632,'Sản phẩm'!$A$5:$A$304,0)),""))</f>
        <v/>
      </c>
      <c r="F632" s="12" t="n"/>
      <c r="G632" s="11" t="n"/>
      <c r="H632" s="11" t="n"/>
      <c r="I632" s="16">
        <f>IF(D632="","",IF(G632&lt;&gt;"",G632,IFERROR(INDEX('Sản phẩm'!$E$5:$E$304,MATCH(D632,'Sản phẩm'!$A$5:$A$304,0)),"")))</f>
        <v/>
      </c>
      <c r="J632" s="16">
        <f>IF(OR(D632="",F632=""),"",F632*I632-N(H632))</f>
        <v/>
      </c>
      <c r="K632" s="16">
        <f>IF(OR(D632="",F632=""),"",F632*IFERROR(INDEX('Sản phẩm'!$D$5:$D$304,MATCH(D632,'Sản phẩm'!$A$5:$A$304,0)),""))</f>
        <v/>
      </c>
      <c r="L632" s="16">
        <f>IF(J632="","",J632-K632)</f>
        <v/>
      </c>
      <c r="M632" s="14">
        <f>IF(A632="","",MONTH(A632))</f>
        <v/>
      </c>
      <c r="N632" s="14">
        <f>IF(A632="","",YEAR(A632))</f>
        <v/>
      </c>
    </row>
    <row r="633">
      <c r="A633" s="15" t="n"/>
      <c r="B633" s="10" t="n"/>
      <c r="C633" s="10" t="n"/>
      <c r="D633" s="10" t="n"/>
      <c r="E633" s="14">
        <f>IF(D633="","",IFERROR(INDEX('Sản phẩm'!$B$5:$B$304,MATCH(D633,'Sản phẩm'!$A$5:$A$304,0)),""))</f>
        <v/>
      </c>
      <c r="F633" s="12" t="n"/>
      <c r="G633" s="11" t="n"/>
      <c r="H633" s="11" t="n"/>
      <c r="I633" s="16">
        <f>IF(D633="","",IF(G633&lt;&gt;"",G633,IFERROR(INDEX('Sản phẩm'!$E$5:$E$304,MATCH(D633,'Sản phẩm'!$A$5:$A$304,0)),"")))</f>
        <v/>
      </c>
      <c r="J633" s="16">
        <f>IF(OR(D633="",F633=""),"",F633*I633-N(H633))</f>
        <v/>
      </c>
      <c r="K633" s="16">
        <f>IF(OR(D633="",F633=""),"",F633*IFERROR(INDEX('Sản phẩm'!$D$5:$D$304,MATCH(D633,'Sản phẩm'!$A$5:$A$304,0)),""))</f>
        <v/>
      </c>
      <c r="L633" s="16">
        <f>IF(J633="","",J633-K633)</f>
        <v/>
      </c>
      <c r="M633" s="14">
        <f>IF(A633="","",MONTH(A633))</f>
        <v/>
      </c>
      <c r="N633" s="14">
        <f>IF(A633="","",YEAR(A633))</f>
        <v/>
      </c>
    </row>
    <row r="634">
      <c r="A634" s="15" t="n"/>
      <c r="B634" s="10" t="n"/>
      <c r="C634" s="10" t="n"/>
      <c r="D634" s="10" t="n"/>
      <c r="E634" s="14">
        <f>IF(D634="","",IFERROR(INDEX('Sản phẩm'!$B$5:$B$304,MATCH(D634,'Sản phẩm'!$A$5:$A$304,0)),""))</f>
        <v/>
      </c>
      <c r="F634" s="12" t="n"/>
      <c r="G634" s="11" t="n"/>
      <c r="H634" s="11" t="n"/>
      <c r="I634" s="16">
        <f>IF(D634="","",IF(G634&lt;&gt;"",G634,IFERROR(INDEX('Sản phẩm'!$E$5:$E$304,MATCH(D634,'Sản phẩm'!$A$5:$A$304,0)),"")))</f>
        <v/>
      </c>
      <c r="J634" s="16">
        <f>IF(OR(D634="",F634=""),"",F634*I634-N(H634))</f>
        <v/>
      </c>
      <c r="K634" s="16">
        <f>IF(OR(D634="",F634=""),"",F634*IFERROR(INDEX('Sản phẩm'!$D$5:$D$304,MATCH(D634,'Sản phẩm'!$A$5:$A$304,0)),""))</f>
        <v/>
      </c>
      <c r="L634" s="16">
        <f>IF(J634="","",J634-K634)</f>
        <v/>
      </c>
      <c r="M634" s="14">
        <f>IF(A634="","",MONTH(A634))</f>
        <v/>
      </c>
      <c r="N634" s="14">
        <f>IF(A634="","",YEAR(A634))</f>
        <v/>
      </c>
    </row>
    <row r="635">
      <c r="A635" s="15" t="n"/>
      <c r="B635" s="10" t="n"/>
      <c r="C635" s="10" t="n"/>
      <c r="D635" s="10" t="n"/>
      <c r="E635" s="14">
        <f>IF(D635="","",IFERROR(INDEX('Sản phẩm'!$B$5:$B$304,MATCH(D635,'Sản phẩm'!$A$5:$A$304,0)),""))</f>
        <v/>
      </c>
      <c r="F635" s="12" t="n"/>
      <c r="G635" s="11" t="n"/>
      <c r="H635" s="11" t="n"/>
      <c r="I635" s="16">
        <f>IF(D635="","",IF(G635&lt;&gt;"",G635,IFERROR(INDEX('Sản phẩm'!$E$5:$E$304,MATCH(D635,'Sản phẩm'!$A$5:$A$304,0)),"")))</f>
        <v/>
      </c>
      <c r="J635" s="16">
        <f>IF(OR(D635="",F635=""),"",F635*I635-N(H635))</f>
        <v/>
      </c>
      <c r="K635" s="16">
        <f>IF(OR(D635="",F635=""),"",F635*IFERROR(INDEX('Sản phẩm'!$D$5:$D$304,MATCH(D635,'Sản phẩm'!$A$5:$A$304,0)),""))</f>
        <v/>
      </c>
      <c r="L635" s="16">
        <f>IF(J635="","",J635-K635)</f>
        <v/>
      </c>
      <c r="M635" s="14">
        <f>IF(A635="","",MONTH(A635))</f>
        <v/>
      </c>
      <c r="N635" s="14">
        <f>IF(A635="","",YEAR(A635))</f>
        <v/>
      </c>
    </row>
    <row r="636">
      <c r="A636" s="15" t="n"/>
      <c r="B636" s="10" t="n"/>
      <c r="C636" s="10" t="n"/>
      <c r="D636" s="10" t="n"/>
      <c r="E636" s="14">
        <f>IF(D636="","",IFERROR(INDEX('Sản phẩm'!$B$5:$B$304,MATCH(D636,'Sản phẩm'!$A$5:$A$304,0)),""))</f>
        <v/>
      </c>
      <c r="F636" s="12" t="n"/>
      <c r="G636" s="11" t="n"/>
      <c r="H636" s="11" t="n"/>
      <c r="I636" s="16">
        <f>IF(D636="","",IF(G636&lt;&gt;"",G636,IFERROR(INDEX('Sản phẩm'!$E$5:$E$304,MATCH(D636,'Sản phẩm'!$A$5:$A$304,0)),"")))</f>
        <v/>
      </c>
      <c r="J636" s="16">
        <f>IF(OR(D636="",F636=""),"",F636*I636-N(H636))</f>
        <v/>
      </c>
      <c r="K636" s="16">
        <f>IF(OR(D636="",F636=""),"",F636*IFERROR(INDEX('Sản phẩm'!$D$5:$D$304,MATCH(D636,'Sản phẩm'!$A$5:$A$304,0)),""))</f>
        <v/>
      </c>
      <c r="L636" s="16">
        <f>IF(J636="","",J636-K636)</f>
        <v/>
      </c>
      <c r="M636" s="14">
        <f>IF(A636="","",MONTH(A636))</f>
        <v/>
      </c>
      <c r="N636" s="14">
        <f>IF(A636="","",YEAR(A636))</f>
        <v/>
      </c>
    </row>
    <row r="637">
      <c r="A637" s="15" t="n"/>
      <c r="B637" s="10" t="n"/>
      <c r="C637" s="10" t="n"/>
      <c r="D637" s="10" t="n"/>
      <c r="E637" s="14">
        <f>IF(D637="","",IFERROR(INDEX('Sản phẩm'!$B$5:$B$304,MATCH(D637,'Sản phẩm'!$A$5:$A$304,0)),""))</f>
        <v/>
      </c>
      <c r="F637" s="12" t="n"/>
      <c r="G637" s="11" t="n"/>
      <c r="H637" s="11" t="n"/>
      <c r="I637" s="16">
        <f>IF(D637="","",IF(G637&lt;&gt;"",G637,IFERROR(INDEX('Sản phẩm'!$E$5:$E$304,MATCH(D637,'Sản phẩm'!$A$5:$A$304,0)),"")))</f>
        <v/>
      </c>
      <c r="J637" s="16">
        <f>IF(OR(D637="",F637=""),"",F637*I637-N(H637))</f>
        <v/>
      </c>
      <c r="K637" s="16">
        <f>IF(OR(D637="",F637=""),"",F637*IFERROR(INDEX('Sản phẩm'!$D$5:$D$304,MATCH(D637,'Sản phẩm'!$A$5:$A$304,0)),""))</f>
        <v/>
      </c>
      <c r="L637" s="16">
        <f>IF(J637="","",J637-K637)</f>
        <v/>
      </c>
      <c r="M637" s="14">
        <f>IF(A637="","",MONTH(A637))</f>
        <v/>
      </c>
      <c r="N637" s="14">
        <f>IF(A637="","",YEAR(A637))</f>
        <v/>
      </c>
    </row>
    <row r="638">
      <c r="A638" s="15" t="n"/>
      <c r="B638" s="10" t="n"/>
      <c r="C638" s="10" t="n"/>
      <c r="D638" s="10" t="n"/>
      <c r="E638" s="14">
        <f>IF(D638="","",IFERROR(INDEX('Sản phẩm'!$B$5:$B$304,MATCH(D638,'Sản phẩm'!$A$5:$A$304,0)),""))</f>
        <v/>
      </c>
      <c r="F638" s="12" t="n"/>
      <c r="G638" s="11" t="n"/>
      <c r="H638" s="11" t="n"/>
      <c r="I638" s="16">
        <f>IF(D638="","",IF(G638&lt;&gt;"",G638,IFERROR(INDEX('Sản phẩm'!$E$5:$E$304,MATCH(D638,'Sản phẩm'!$A$5:$A$304,0)),"")))</f>
        <v/>
      </c>
      <c r="J638" s="16">
        <f>IF(OR(D638="",F638=""),"",F638*I638-N(H638))</f>
        <v/>
      </c>
      <c r="K638" s="16">
        <f>IF(OR(D638="",F638=""),"",F638*IFERROR(INDEX('Sản phẩm'!$D$5:$D$304,MATCH(D638,'Sản phẩm'!$A$5:$A$304,0)),""))</f>
        <v/>
      </c>
      <c r="L638" s="16">
        <f>IF(J638="","",J638-K638)</f>
        <v/>
      </c>
      <c r="M638" s="14">
        <f>IF(A638="","",MONTH(A638))</f>
        <v/>
      </c>
      <c r="N638" s="14">
        <f>IF(A638="","",YEAR(A638))</f>
        <v/>
      </c>
    </row>
    <row r="639">
      <c r="A639" s="15" t="n"/>
      <c r="B639" s="10" t="n"/>
      <c r="C639" s="10" t="n"/>
      <c r="D639" s="10" t="n"/>
      <c r="E639" s="14">
        <f>IF(D639="","",IFERROR(INDEX('Sản phẩm'!$B$5:$B$304,MATCH(D639,'Sản phẩm'!$A$5:$A$304,0)),""))</f>
        <v/>
      </c>
      <c r="F639" s="12" t="n"/>
      <c r="G639" s="11" t="n"/>
      <c r="H639" s="11" t="n"/>
      <c r="I639" s="16">
        <f>IF(D639="","",IF(G639&lt;&gt;"",G639,IFERROR(INDEX('Sản phẩm'!$E$5:$E$304,MATCH(D639,'Sản phẩm'!$A$5:$A$304,0)),"")))</f>
        <v/>
      </c>
      <c r="J639" s="16">
        <f>IF(OR(D639="",F639=""),"",F639*I639-N(H639))</f>
        <v/>
      </c>
      <c r="K639" s="16">
        <f>IF(OR(D639="",F639=""),"",F639*IFERROR(INDEX('Sản phẩm'!$D$5:$D$304,MATCH(D639,'Sản phẩm'!$A$5:$A$304,0)),""))</f>
        <v/>
      </c>
      <c r="L639" s="16">
        <f>IF(J639="","",J639-K639)</f>
        <v/>
      </c>
      <c r="M639" s="14">
        <f>IF(A639="","",MONTH(A639))</f>
        <v/>
      </c>
      <c r="N639" s="14">
        <f>IF(A639="","",YEAR(A639))</f>
        <v/>
      </c>
    </row>
    <row r="640">
      <c r="A640" s="15" t="n"/>
      <c r="B640" s="10" t="n"/>
      <c r="C640" s="10" t="n"/>
      <c r="D640" s="10" t="n"/>
      <c r="E640" s="14">
        <f>IF(D640="","",IFERROR(INDEX('Sản phẩm'!$B$5:$B$304,MATCH(D640,'Sản phẩm'!$A$5:$A$304,0)),""))</f>
        <v/>
      </c>
      <c r="F640" s="12" t="n"/>
      <c r="G640" s="11" t="n"/>
      <c r="H640" s="11" t="n"/>
      <c r="I640" s="16">
        <f>IF(D640="","",IF(G640&lt;&gt;"",G640,IFERROR(INDEX('Sản phẩm'!$E$5:$E$304,MATCH(D640,'Sản phẩm'!$A$5:$A$304,0)),"")))</f>
        <v/>
      </c>
      <c r="J640" s="16">
        <f>IF(OR(D640="",F640=""),"",F640*I640-N(H640))</f>
        <v/>
      </c>
      <c r="K640" s="16">
        <f>IF(OR(D640="",F640=""),"",F640*IFERROR(INDEX('Sản phẩm'!$D$5:$D$304,MATCH(D640,'Sản phẩm'!$A$5:$A$304,0)),""))</f>
        <v/>
      </c>
      <c r="L640" s="16">
        <f>IF(J640="","",J640-K640)</f>
        <v/>
      </c>
      <c r="M640" s="14">
        <f>IF(A640="","",MONTH(A640))</f>
        <v/>
      </c>
      <c r="N640" s="14">
        <f>IF(A640="","",YEAR(A640))</f>
        <v/>
      </c>
    </row>
    <row r="641">
      <c r="A641" s="15" t="n"/>
      <c r="B641" s="10" t="n"/>
      <c r="C641" s="10" t="n"/>
      <c r="D641" s="10" t="n"/>
      <c r="E641" s="14">
        <f>IF(D641="","",IFERROR(INDEX('Sản phẩm'!$B$5:$B$304,MATCH(D641,'Sản phẩm'!$A$5:$A$304,0)),""))</f>
        <v/>
      </c>
      <c r="F641" s="12" t="n"/>
      <c r="G641" s="11" t="n"/>
      <c r="H641" s="11" t="n"/>
      <c r="I641" s="16">
        <f>IF(D641="","",IF(G641&lt;&gt;"",G641,IFERROR(INDEX('Sản phẩm'!$E$5:$E$304,MATCH(D641,'Sản phẩm'!$A$5:$A$304,0)),"")))</f>
        <v/>
      </c>
      <c r="J641" s="16">
        <f>IF(OR(D641="",F641=""),"",F641*I641-N(H641))</f>
        <v/>
      </c>
      <c r="K641" s="16">
        <f>IF(OR(D641="",F641=""),"",F641*IFERROR(INDEX('Sản phẩm'!$D$5:$D$304,MATCH(D641,'Sản phẩm'!$A$5:$A$304,0)),""))</f>
        <v/>
      </c>
      <c r="L641" s="16">
        <f>IF(J641="","",J641-K641)</f>
        <v/>
      </c>
      <c r="M641" s="14">
        <f>IF(A641="","",MONTH(A641))</f>
        <v/>
      </c>
      <c r="N641" s="14">
        <f>IF(A641="","",YEAR(A641))</f>
        <v/>
      </c>
    </row>
    <row r="642">
      <c r="A642" s="15" t="n"/>
      <c r="B642" s="10" t="n"/>
      <c r="C642" s="10" t="n"/>
      <c r="D642" s="10" t="n"/>
      <c r="E642" s="14">
        <f>IF(D642="","",IFERROR(INDEX('Sản phẩm'!$B$5:$B$304,MATCH(D642,'Sản phẩm'!$A$5:$A$304,0)),""))</f>
        <v/>
      </c>
      <c r="F642" s="12" t="n"/>
      <c r="G642" s="11" t="n"/>
      <c r="H642" s="11" t="n"/>
      <c r="I642" s="16">
        <f>IF(D642="","",IF(G642&lt;&gt;"",G642,IFERROR(INDEX('Sản phẩm'!$E$5:$E$304,MATCH(D642,'Sản phẩm'!$A$5:$A$304,0)),"")))</f>
        <v/>
      </c>
      <c r="J642" s="16">
        <f>IF(OR(D642="",F642=""),"",F642*I642-N(H642))</f>
        <v/>
      </c>
      <c r="K642" s="16">
        <f>IF(OR(D642="",F642=""),"",F642*IFERROR(INDEX('Sản phẩm'!$D$5:$D$304,MATCH(D642,'Sản phẩm'!$A$5:$A$304,0)),""))</f>
        <v/>
      </c>
      <c r="L642" s="16">
        <f>IF(J642="","",J642-K642)</f>
        <v/>
      </c>
      <c r="M642" s="14">
        <f>IF(A642="","",MONTH(A642))</f>
        <v/>
      </c>
      <c r="N642" s="14">
        <f>IF(A642="","",YEAR(A642))</f>
        <v/>
      </c>
    </row>
    <row r="643">
      <c r="A643" s="15" t="n"/>
      <c r="B643" s="10" t="n"/>
      <c r="C643" s="10" t="n"/>
      <c r="D643" s="10" t="n"/>
      <c r="E643" s="14">
        <f>IF(D643="","",IFERROR(INDEX('Sản phẩm'!$B$5:$B$304,MATCH(D643,'Sản phẩm'!$A$5:$A$304,0)),""))</f>
        <v/>
      </c>
      <c r="F643" s="12" t="n"/>
      <c r="G643" s="11" t="n"/>
      <c r="H643" s="11" t="n"/>
      <c r="I643" s="16">
        <f>IF(D643="","",IF(G643&lt;&gt;"",G643,IFERROR(INDEX('Sản phẩm'!$E$5:$E$304,MATCH(D643,'Sản phẩm'!$A$5:$A$304,0)),"")))</f>
        <v/>
      </c>
      <c r="J643" s="16">
        <f>IF(OR(D643="",F643=""),"",F643*I643-N(H643))</f>
        <v/>
      </c>
      <c r="K643" s="16">
        <f>IF(OR(D643="",F643=""),"",F643*IFERROR(INDEX('Sản phẩm'!$D$5:$D$304,MATCH(D643,'Sản phẩm'!$A$5:$A$304,0)),""))</f>
        <v/>
      </c>
      <c r="L643" s="16">
        <f>IF(J643="","",J643-K643)</f>
        <v/>
      </c>
      <c r="M643" s="14">
        <f>IF(A643="","",MONTH(A643))</f>
        <v/>
      </c>
      <c r="N643" s="14">
        <f>IF(A643="","",YEAR(A643))</f>
        <v/>
      </c>
    </row>
    <row r="644">
      <c r="A644" s="15" t="n"/>
      <c r="B644" s="10" t="n"/>
      <c r="C644" s="10" t="n"/>
      <c r="D644" s="10" t="n"/>
      <c r="E644" s="14">
        <f>IF(D644="","",IFERROR(INDEX('Sản phẩm'!$B$5:$B$304,MATCH(D644,'Sản phẩm'!$A$5:$A$304,0)),""))</f>
        <v/>
      </c>
      <c r="F644" s="12" t="n"/>
      <c r="G644" s="11" t="n"/>
      <c r="H644" s="11" t="n"/>
      <c r="I644" s="16">
        <f>IF(D644="","",IF(G644&lt;&gt;"",G644,IFERROR(INDEX('Sản phẩm'!$E$5:$E$304,MATCH(D644,'Sản phẩm'!$A$5:$A$304,0)),"")))</f>
        <v/>
      </c>
      <c r="J644" s="16">
        <f>IF(OR(D644="",F644=""),"",F644*I644-N(H644))</f>
        <v/>
      </c>
      <c r="K644" s="16">
        <f>IF(OR(D644="",F644=""),"",F644*IFERROR(INDEX('Sản phẩm'!$D$5:$D$304,MATCH(D644,'Sản phẩm'!$A$5:$A$304,0)),""))</f>
        <v/>
      </c>
      <c r="L644" s="16">
        <f>IF(J644="","",J644-K644)</f>
        <v/>
      </c>
      <c r="M644" s="14">
        <f>IF(A644="","",MONTH(A644))</f>
        <v/>
      </c>
      <c r="N644" s="14">
        <f>IF(A644="","",YEAR(A644))</f>
        <v/>
      </c>
    </row>
    <row r="645">
      <c r="A645" s="15" t="n"/>
      <c r="B645" s="10" t="n"/>
      <c r="C645" s="10" t="n"/>
      <c r="D645" s="10" t="n"/>
      <c r="E645" s="14">
        <f>IF(D645="","",IFERROR(INDEX('Sản phẩm'!$B$5:$B$304,MATCH(D645,'Sản phẩm'!$A$5:$A$304,0)),""))</f>
        <v/>
      </c>
      <c r="F645" s="12" t="n"/>
      <c r="G645" s="11" t="n"/>
      <c r="H645" s="11" t="n"/>
      <c r="I645" s="16">
        <f>IF(D645="","",IF(G645&lt;&gt;"",G645,IFERROR(INDEX('Sản phẩm'!$E$5:$E$304,MATCH(D645,'Sản phẩm'!$A$5:$A$304,0)),"")))</f>
        <v/>
      </c>
      <c r="J645" s="16">
        <f>IF(OR(D645="",F645=""),"",F645*I645-N(H645))</f>
        <v/>
      </c>
      <c r="K645" s="16">
        <f>IF(OR(D645="",F645=""),"",F645*IFERROR(INDEX('Sản phẩm'!$D$5:$D$304,MATCH(D645,'Sản phẩm'!$A$5:$A$304,0)),""))</f>
        <v/>
      </c>
      <c r="L645" s="16">
        <f>IF(J645="","",J645-K645)</f>
        <v/>
      </c>
      <c r="M645" s="14">
        <f>IF(A645="","",MONTH(A645))</f>
        <v/>
      </c>
      <c r="N645" s="14">
        <f>IF(A645="","",YEAR(A645))</f>
        <v/>
      </c>
    </row>
    <row r="646">
      <c r="A646" s="15" t="n"/>
      <c r="B646" s="10" t="n"/>
      <c r="C646" s="10" t="n"/>
      <c r="D646" s="10" t="n"/>
      <c r="E646" s="14">
        <f>IF(D646="","",IFERROR(INDEX('Sản phẩm'!$B$5:$B$304,MATCH(D646,'Sản phẩm'!$A$5:$A$304,0)),""))</f>
        <v/>
      </c>
      <c r="F646" s="12" t="n"/>
      <c r="G646" s="11" t="n"/>
      <c r="H646" s="11" t="n"/>
      <c r="I646" s="16">
        <f>IF(D646="","",IF(G646&lt;&gt;"",G646,IFERROR(INDEX('Sản phẩm'!$E$5:$E$304,MATCH(D646,'Sản phẩm'!$A$5:$A$304,0)),"")))</f>
        <v/>
      </c>
      <c r="J646" s="16">
        <f>IF(OR(D646="",F646=""),"",F646*I646-N(H646))</f>
        <v/>
      </c>
      <c r="K646" s="16">
        <f>IF(OR(D646="",F646=""),"",F646*IFERROR(INDEX('Sản phẩm'!$D$5:$D$304,MATCH(D646,'Sản phẩm'!$A$5:$A$304,0)),""))</f>
        <v/>
      </c>
      <c r="L646" s="16">
        <f>IF(J646="","",J646-K646)</f>
        <v/>
      </c>
      <c r="M646" s="14">
        <f>IF(A646="","",MONTH(A646))</f>
        <v/>
      </c>
      <c r="N646" s="14">
        <f>IF(A646="","",YEAR(A646))</f>
        <v/>
      </c>
    </row>
    <row r="647">
      <c r="A647" s="15" t="n"/>
      <c r="B647" s="10" t="n"/>
      <c r="C647" s="10" t="n"/>
      <c r="D647" s="10" t="n"/>
      <c r="E647" s="14">
        <f>IF(D647="","",IFERROR(INDEX('Sản phẩm'!$B$5:$B$304,MATCH(D647,'Sản phẩm'!$A$5:$A$304,0)),""))</f>
        <v/>
      </c>
      <c r="F647" s="12" t="n"/>
      <c r="G647" s="11" t="n"/>
      <c r="H647" s="11" t="n"/>
      <c r="I647" s="16">
        <f>IF(D647="","",IF(G647&lt;&gt;"",G647,IFERROR(INDEX('Sản phẩm'!$E$5:$E$304,MATCH(D647,'Sản phẩm'!$A$5:$A$304,0)),"")))</f>
        <v/>
      </c>
      <c r="J647" s="16">
        <f>IF(OR(D647="",F647=""),"",F647*I647-N(H647))</f>
        <v/>
      </c>
      <c r="K647" s="16">
        <f>IF(OR(D647="",F647=""),"",F647*IFERROR(INDEX('Sản phẩm'!$D$5:$D$304,MATCH(D647,'Sản phẩm'!$A$5:$A$304,0)),""))</f>
        <v/>
      </c>
      <c r="L647" s="16">
        <f>IF(J647="","",J647-K647)</f>
        <v/>
      </c>
      <c r="M647" s="14">
        <f>IF(A647="","",MONTH(A647))</f>
        <v/>
      </c>
      <c r="N647" s="14">
        <f>IF(A647="","",YEAR(A647))</f>
        <v/>
      </c>
    </row>
    <row r="648">
      <c r="A648" s="15" t="n"/>
      <c r="B648" s="10" t="n"/>
      <c r="C648" s="10" t="n"/>
      <c r="D648" s="10" t="n"/>
      <c r="E648" s="14">
        <f>IF(D648="","",IFERROR(INDEX('Sản phẩm'!$B$5:$B$304,MATCH(D648,'Sản phẩm'!$A$5:$A$304,0)),""))</f>
        <v/>
      </c>
      <c r="F648" s="12" t="n"/>
      <c r="G648" s="11" t="n"/>
      <c r="H648" s="11" t="n"/>
      <c r="I648" s="16">
        <f>IF(D648="","",IF(G648&lt;&gt;"",G648,IFERROR(INDEX('Sản phẩm'!$E$5:$E$304,MATCH(D648,'Sản phẩm'!$A$5:$A$304,0)),"")))</f>
        <v/>
      </c>
      <c r="J648" s="16">
        <f>IF(OR(D648="",F648=""),"",F648*I648-N(H648))</f>
        <v/>
      </c>
      <c r="K648" s="16">
        <f>IF(OR(D648="",F648=""),"",F648*IFERROR(INDEX('Sản phẩm'!$D$5:$D$304,MATCH(D648,'Sản phẩm'!$A$5:$A$304,0)),""))</f>
        <v/>
      </c>
      <c r="L648" s="16">
        <f>IF(J648="","",J648-K648)</f>
        <v/>
      </c>
      <c r="M648" s="14">
        <f>IF(A648="","",MONTH(A648))</f>
        <v/>
      </c>
      <c r="N648" s="14">
        <f>IF(A648="","",YEAR(A648))</f>
        <v/>
      </c>
    </row>
    <row r="649">
      <c r="A649" s="15" t="n"/>
      <c r="B649" s="10" t="n"/>
      <c r="C649" s="10" t="n"/>
      <c r="D649" s="10" t="n"/>
      <c r="E649" s="14">
        <f>IF(D649="","",IFERROR(INDEX('Sản phẩm'!$B$5:$B$304,MATCH(D649,'Sản phẩm'!$A$5:$A$304,0)),""))</f>
        <v/>
      </c>
      <c r="F649" s="12" t="n"/>
      <c r="G649" s="11" t="n"/>
      <c r="H649" s="11" t="n"/>
      <c r="I649" s="16">
        <f>IF(D649="","",IF(G649&lt;&gt;"",G649,IFERROR(INDEX('Sản phẩm'!$E$5:$E$304,MATCH(D649,'Sản phẩm'!$A$5:$A$304,0)),"")))</f>
        <v/>
      </c>
      <c r="J649" s="16">
        <f>IF(OR(D649="",F649=""),"",F649*I649-N(H649))</f>
        <v/>
      </c>
      <c r="K649" s="16">
        <f>IF(OR(D649="",F649=""),"",F649*IFERROR(INDEX('Sản phẩm'!$D$5:$D$304,MATCH(D649,'Sản phẩm'!$A$5:$A$304,0)),""))</f>
        <v/>
      </c>
      <c r="L649" s="16">
        <f>IF(J649="","",J649-K649)</f>
        <v/>
      </c>
      <c r="M649" s="14">
        <f>IF(A649="","",MONTH(A649))</f>
        <v/>
      </c>
      <c r="N649" s="14">
        <f>IF(A649="","",YEAR(A649))</f>
        <v/>
      </c>
    </row>
    <row r="650">
      <c r="A650" s="15" t="n"/>
      <c r="B650" s="10" t="n"/>
      <c r="C650" s="10" t="n"/>
      <c r="D650" s="10" t="n"/>
      <c r="E650" s="14">
        <f>IF(D650="","",IFERROR(INDEX('Sản phẩm'!$B$5:$B$304,MATCH(D650,'Sản phẩm'!$A$5:$A$304,0)),""))</f>
        <v/>
      </c>
      <c r="F650" s="12" t="n"/>
      <c r="G650" s="11" t="n"/>
      <c r="H650" s="11" t="n"/>
      <c r="I650" s="16">
        <f>IF(D650="","",IF(G650&lt;&gt;"",G650,IFERROR(INDEX('Sản phẩm'!$E$5:$E$304,MATCH(D650,'Sản phẩm'!$A$5:$A$304,0)),"")))</f>
        <v/>
      </c>
      <c r="J650" s="16">
        <f>IF(OR(D650="",F650=""),"",F650*I650-N(H650))</f>
        <v/>
      </c>
      <c r="K650" s="16">
        <f>IF(OR(D650="",F650=""),"",F650*IFERROR(INDEX('Sản phẩm'!$D$5:$D$304,MATCH(D650,'Sản phẩm'!$A$5:$A$304,0)),""))</f>
        <v/>
      </c>
      <c r="L650" s="16">
        <f>IF(J650="","",J650-K650)</f>
        <v/>
      </c>
      <c r="M650" s="14">
        <f>IF(A650="","",MONTH(A650))</f>
        <v/>
      </c>
      <c r="N650" s="14">
        <f>IF(A650="","",YEAR(A650))</f>
        <v/>
      </c>
    </row>
    <row r="651">
      <c r="A651" s="15" t="n"/>
      <c r="B651" s="10" t="n"/>
      <c r="C651" s="10" t="n"/>
      <c r="D651" s="10" t="n"/>
      <c r="E651" s="14">
        <f>IF(D651="","",IFERROR(INDEX('Sản phẩm'!$B$5:$B$304,MATCH(D651,'Sản phẩm'!$A$5:$A$304,0)),""))</f>
        <v/>
      </c>
      <c r="F651" s="12" t="n"/>
      <c r="G651" s="11" t="n"/>
      <c r="H651" s="11" t="n"/>
      <c r="I651" s="16">
        <f>IF(D651="","",IF(G651&lt;&gt;"",G651,IFERROR(INDEX('Sản phẩm'!$E$5:$E$304,MATCH(D651,'Sản phẩm'!$A$5:$A$304,0)),"")))</f>
        <v/>
      </c>
      <c r="J651" s="16">
        <f>IF(OR(D651="",F651=""),"",F651*I651-N(H651))</f>
        <v/>
      </c>
      <c r="K651" s="16">
        <f>IF(OR(D651="",F651=""),"",F651*IFERROR(INDEX('Sản phẩm'!$D$5:$D$304,MATCH(D651,'Sản phẩm'!$A$5:$A$304,0)),""))</f>
        <v/>
      </c>
      <c r="L651" s="16">
        <f>IF(J651="","",J651-K651)</f>
        <v/>
      </c>
      <c r="M651" s="14">
        <f>IF(A651="","",MONTH(A651))</f>
        <v/>
      </c>
      <c r="N651" s="14">
        <f>IF(A651="","",YEAR(A651))</f>
        <v/>
      </c>
    </row>
    <row r="652">
      <c r="A652" s="15" t="n"/>
      <c r="B652" s="10" t="n"/>
      <c r="C652" s="10" t="n"/>
      <c r="D652" s="10" t="n"/>
      <c r="E652" s="14">
        <f>IF(D652="","",IFERROR(INDEX('Sản phẩm'!$B$5:$B$304,MATCH(D652,'Sản phẩm'!$A$5:$A$304,0)),""))</f>
        <v/>
      </c>
      <c r="F652" s="12" t="n"/>
      <c r="G652" s="11" t="n"/>
      <c r="H652" s="11" t="n"/>
      <c r="I652" s="16">
        <f>IF(D652="","",IF(G652&lt;&gt;"",G652,IFERROR(INDEX('Sản phẩm'!$E$5:$E$304,MATCH(D652,'Sản phẩm'!$A$5:$A$304,0)),"")))</f>
        <v/>
      </c>
      <c r="J652" s="16">
        <f>IF(OR(D652="",F652=""),"",F652*I652-N(H652))</f>
        <v/>
      </c>
      <c r="K652" s="16">
        <f>IF(OR(D652="",F652=""),"",F652*IFERROR(INDEX('Sản phẩm'!$D$5:$D$304,MATCH(D652,'Sản phẩm'!$A$5:$A$304,0)),""))</f>
        <v/>
      </c>
      <c r="L652" s="16">
        <f>IF(J652="","",J652-K652)</f>
        <v/>
      </c>
      <c r="M652" s="14">
        <f>IF(A652="","",MONTH(A652))</f>
        <v/>
      </c>
      <c r="N652" s="14">
        <f>IF(A652="","",YEAR(A652))</f>
        <v/>
      </c>
    </row>
    <row r="653">
      <c r="A653" s="15" t="n"/>
      <c r="B653" s="10" t="n"/>
      <c r="C653" s="10" t="n"/>
      <c r="D653" s="10" t="n"/>
      <c r="E653" s="14">
        <f>IF(D653="","",IFERROR(INDEX('Sản phẩm'!$B$5:$B$304,MATCH(D653,'Sản phẩm'!$A$5:$A$304,0)),""))</f>
        <v/>
      </c>
      <c r="F653" s="12" t="n"/>
      <c r="G653" s="11" t="n"/>
      <c r="H653" s="11" t="n"/>
      <c r="I653" s="16">
        <f>IF(D653="","",IF(G653&lt;&gt;"",G653,IFERROR(INDEX('Sản phẩm'!$E$5:$E$304,MATCH(D653,'Sản phẩm'!$A$5:$A$304,0)),"")))</f>
        <v/>
      </c>
      <c r="J653" s="16">
        <f>IF(OR(D653="",F653=""),"",F653*I653-N(H653))</f>
        <v/>
      </c>
      <c r="K653" s="16">
        <f>IF(OR(D653="",F653=""),"",F653*IFERROR(INDEX('Sản phẩm'!$D$5:$D$304,MATCH(D653,'Sản phẩm'!$A$5:$A$304,0)),""))</f>
        <v/>
      </c>
      <c r="L653" s="16">
        <f>IF(J653="","",J653-K653)</f>
        <v/>
      </c>
      <c r="M653" s="14">
        <f>IF(A653="","",MONTH(A653))</f>
        <v/>
      </c>
      <c r="N653" s="14">
        <f>IF(A653="","",YEAR(A653))</f>
        <v/>
      </c>
    </row>
    <row r="654">
      <c r="A654" s="15" t="n"/>
      <c r="B654" s="10" t="n"/>
      <c r="C654" s="10" t="n"/>
      <c r="D654" s="10" t="n"/>
      <c r="E654" s="14">
        <f>IF(D654="","",IFERROR(INDEX('Sản phẩm'!$B$5:$B$304,MATCH(D654,'Sản phẩm'!$A$5:$A$304,0)),""))</f>
        <v/>
      </c>
      <c r="F654" s="12" t="n"/>
      <c r="G654" s="11" t="n"/>
      <c r="H654" s="11" t="n"/>
      <c r="I654" s="16">
        <f>IF(D654="","",IF(G654&lt;&gt;"",G654,IFERROR(INDEX('Sản phẩm'!$E$5:$E$304,MATCH(D654,'Sản phẩm'!$A$5:$A$304,0)),"")))</f>
        <v/>
      </c>
      <c r="J654" s="16">
        <f>IF(OR(D654="",F654=""),"",F654*I654-N(H654))</f>
        <v/>
      </c>
      <c r="K654" s="16">
        <f>IF(OR(D654="",F654=""),"",F654*IFERROR(INDEX('Sản phẩm'!$D$5:$D$304,MATCH(D654,'Sản phẩm'!$A$5:$A$304,0)),""))</f>
        <v/>
      </c>
      <c r="L654" s="16">
        <f>IF(J654="","",J654-K654)</f>
        <v/>
      </c>
      <c r="M654" s="14">
        <f>IF(A654="","",MONTH(A654))</f>
        <v/>
      </c>
      <c r="N654" s="14">
        <f>IF(A654="","",YEAR(A654))</f>
        <v/>
      </c>
    </row>
    <row r="655">
      <c r="A655" s="15" t="n"/>
      <c r="B655" s="10" t="n"/>
      <c r="C655" s="10" t="n"/>
      <c r="D655" s="10" t="n"/>
      <c r="E655" s="14">
        <f>IF(D655="","",IFERROR(INDEX('Sản phẩm'!$B$5:$B$304,MATCH(D655,'Sản phẩm'!$A$5:$A$304,0)),""))</f>
        <v/>
      </c>
      <c r="F655" s="12" t="n"/>
      <c r="G655" s="11" t="n"/>
      <c r="H655" s="11" t="n"/>
      <c r="I655" s="16">
        <f>IF(D655="","",IF(G655&lt;&gt;"",G655,IFERROR(INDEX('Sản phẩm'!$E$5:$E$304,MATCH(D655,'Sản phẩm'!$A$5:$A$304,0)),"")))</f>
        <v/>
      </c>
      <c r="J655" s="16">
        <f>IF(OR(D655="",F655=""),"",F655*I655-N(H655))</f>
        <v/>
      </c>
      <c r="K655" s="16">
        <f>IF(OR(D655="",F655=""),"",F655*IFERROR(INDEX('Sản phẩm'!$D$5:$D$304,MATCH(D655,'Sản phẩm'!$A$5:$A$304,0)),""))</f>
        <v/>
      </c>
      <c r="L655" s="16">
        <f>IF(J655="","",J655-K655)</f>
        <v/>
      </c>
      <c r="M655" s="14">
        <f>IF(A655="","",MONTH(A655))</f>
        <v/>
      </c>
      <c r="N655" s="14">
        <f>IF(A655="","",YEAR(A655))</f>
        <v/>
      </c>
    </row>
    <row r="656">
      <c r="A656" s="15" t="n"/>
      <c r="B656" s="10" t="n"/>
      <c r="C656" s="10" t="n"/>
      <c r="D656" s="10" t="n"/>
      <c r="E656" s="14">
        <f>IF(D656="","",IFERROR(INDEX('Sản phẩm'!$B$5:$B$304,MATCH(D656,'Sản phẩm'!$A$5:$A$304,0)),""))</f>
        <v/>
      </c>
      <c r="F656" s="12" t="n"/>
      <c r="G656" s="11" t="n"/>
      <c r="H656" s="11" t="n"/>
      <c r="I656" s="16">
        <f>IF(D656="","",IF(G656&lt;&gt;"",G656,IFERROR(INDEX('Sản phẩm'!$E$5:$E$304,MATCH(D656,'Sản phẩm'!$A$5:$A$304,0)),"")))</f>
        <v/>
      </c>
      <c r="J656" s="16">
        <f>IF(OR(D656="",F656=""),"",F656*I656-N(H656))</f>
        <v/>
      </c>
      <c r="K656" s="16">
        <f>IF(OR(D656="",F656=""),"",F656*IFERROR(INDEX('Sản phẩm'!$D$5:$D$304,MATCH(D656,'Sản phẩm'!$A$5:$A$304,0)),""))</f>
        <v/>
      </c>
      <c r="L656" s="16">
        <f>IF(J656="","",J656-K656)</f>
        <v/>
      </c>
      <c r="M656" s="14">
        <f>IF(A656="","",MONTH(A656))</f>
        <v/>
      </c>
      <c r="N656" s="14">
        <f>IF(A656="","",YEAR(A656))</f>
        <v/>
      </c>
    </row>
    <row r="657">
      <c r="A657" s="15" t="n"/>
      <c r="B657" s="10" t="n"/>
      <c r="C657" s="10" t="n"/>
      <c r="D657" s="10" t="n"/>
      <c r="E657" s="14">
        <f>IF(D657="","",IFERROR(INDEX('Sản phẩm'!$B$5:$B$304,MATCH(D657,'Sản phẩm'!$A$5:$A$304,0)),""))</f>
        <v/>
      </c>
      <c r="F657" s="12" t="n"/>
      <c r="G657" s="11" t="n"/>
      <c r="H657" s="11" t="n"/>
      <c r="I657" s="16">
        <f>IF(D657="","",IF(G657&lt;&gt;"",G657,IFERROR(INDEX('Sản phẩm'!$E$5:$E$304,MATCH(D657,'Sản phẩm'!$A$5:$A$304,0)),"")))</f>
        <v/>
      </c>
      <c r="J657" s="16">
        <f>IF(OR(D657="",F657=""),"",F657*I657-N(H657))</f>
        <v/>
      </c>
      <c r="K657" s="16">
        <f>IF(OR(D657="",F657=""),"",F657*IFERROR(INDEX('Sản phẩm'!$D$5:$D$304,MATCH(D657,'Sản phẩm'!$A$5:$A$304,0)),""))</f>
        <v/>
      </c>
      <c r="L657" s="16">
        <f>IF(J657="","",J657-K657)</f>
        <v/>
      </c>
      <c r="M657" s="14">
        <f>IF(A657="","",MONTH(A657))</f>
        <v/>
      </c>
      <c r="N657" s="14">
        <f>IF(A657="","",YEAR(A657))</f>
        <v/>
      </c>
    </row>
    <row r="658">
      <c r="A658" s="15" t="n"/>
      <c r="B658" s="10" t="n"/>
      <c r="C658" s="10" t="n"/>
      <c r="D658" s="10" t="n"/>
      <c r="E658" s="14">
        <f>IF(D658="","",IFERROR(INDEX('Sản phẩm'!$B$5:$B$304,MATCH(D658,'Sản phẩm'!$A$5:$A$304,0)),""))</f>
        <v/>
      </c>
      <c r="F658" s="12" t="n"/>
      <c r="G658" s="11" t="n"/>
      <c r="H658" s="11" t="n"/>
      <c r="I658" s="16">
        <f>IF(D658="","",IF(G658&lt;&gt;"",G658,IFERROR(INDEX('Sản phẩm'!$E$5:$E$304,MATCH(D658,'Sản phẩm'!$A$5:$A$304,0)),"")))</f>
        <v/>
      </c>
      <c r="J658" s="16">
        <f>IF(OR(D658="",F658=""),"",F658*I658-N(H658))</f>
        <v/>
      </c>
      <c r="K658" s="16">
        <f>IF(OR(D658="",F658=""),"",F658*IFERROR(INDEX('Sản phẩm'!$D$5:$D$304,MATCH(D658,'Sản phẩm'!$A$5:$A$304,0)),""))</f>
        <v/>
      </c>
      <c r="L658" s="16">
        <f>IF(J658="","",J658-K658)</f>
        <v/>
      </c>
      <c r="M658" s="14">
        <f>IF(A658="","",MONTH(A658))</f>
        <v/>
      </c>
      <c r="N658" s="14">
        <f>IF(A658="","",YEAR(A658))</f>
        <v/>
      </c>
    </row>
    <row r="659">
      <c r="A659" s="15" t="n"/>
      <c r="B659" s="10" t="n"/>
      <c r="C659" s="10" t="n"/>
      <c r="D659" s="10" t="n"/>
      <c r="E659" s="14">
        <f>IF(D659="","",IFERROR(INDEX('Sản phẩm'!$B$5:$B$304,MATCH(D659,'Sản phẩm'!$A$5:$A$304,0)),""))</f>
        <v/>
      </c>
      <c r="F659" s="12" t="n"/>
      <c r="G659" s="11" t="n"/>
      <c r="H659" s="11" t="n"/>
      <c r="I659" s="16">
        <f>IF(D659="","",IF(G659&lt;&gt;"",G659,IFERROR(INDEX('Sản phẩm'!$E$5:$E$304,MATCH(D659,'Sản phẩm'!$A$5:$A$304,0)),"")))</f>
        <v/>
      </c>
      <c r="J659" s="16">
        <f>IF(OR(D659="",F659=""),"",F659*I659-N(H659))</f>
        <v/>
      </c>
      <c r="K659" s="16">
        <f>IF(OR(D659="",F659=""),"",F659*IFERROR(INDEX('Sản phẩm'!$D$5:$D$304,MATCH(D659,'Sản phẩm'!$A$5:$A$304,0)),""))</f>
        <v/>
      </c>
      <c r="L659" s="16">
        <f>IF(J659="","",J659-K659)</f>
        <v/>
      </c>
      <c r="M659" s="14">
        <f>IF(A659="","",MONTH(A659))</f>
        <v/>
      </c>
      <c r="N659" s="14">
        <f>IF(A659="","",YEAR(A659))</f>
        <v/>
      </c>
    </row>
    <row r="660">
      <c r="A660" s="15" t="n"/>
      <c r="B660" s="10" t="n"/>
      <c r="C660" s="10" t="n"/>
      <c r="D660" s="10" t="n"/>
      <c r="E660" s="14">
        <f>IF(D660="","",IFERROR(INDEX('Sản phẩm'!$B$5:$B$304,MATCH(D660,'Sản phẩm'!$A$5:$A$304,0)),""))</f>
        <v/>
      </c>
      <c r="F660" s="12" t="n"/>
      <c r="G660" s="11" t="n"/>
      <c r="H660" s="11" t="n"/>
      <c r="I660" s="16">
        <f>IF(D660="","",IF(G660&lt;&gt;"",G660,IFERROR(INDEX('Sản phẩm'!$E$5:$E$304,MATCH(D660,'Sản phẩm'!$A$5:$A$304,0)),"")))</f>
        <v/>
      </c>
      <c r="J660" s="16">
        <f>IF(OR(D660="",F660=""),"",F660*I660-N(H660))</f>
        <v/>
      </c>
      <c r="K660" s="16">
        <f>IF(OR(D660="",F660=""),"",F660*IFERROR(INDEX('Sản phẩm'!$D$5:$D$304,MATCH(D660,'Sản phẩm'!$A$5:$A$304,0)),""))</f>
        <v/>
      </c>
      <c r="L660" s="16">
        <f>IF(J660="","",J660-K660)</f>
        <v/>
      </c>
      <c r="M660" s="14">
        <f>IF(A660="","",MONTH(A660))</f>
        <v/>
      </c>
      <c r="N660" s="14">
        <f>IF(A660="","",YEAR(A660))</f>
        <v/>
      </c>
    </row>
    <row r="661">
      <c r="A661" s="15" t="n"/>
      <c r="B661" s="10" t="n"/>
      <c r="C661" s="10" t="n"/>
      <c r="D661" s="10" t="n"/>
      <c r="E661" s="14">
        <f>IF(D661="","",IFERROR(INDEX('Sản phẩm'!$B$5:$B$304,MATCH(D661,'Sản phẩm'!$A$5:$A$304,0)),""))</f>
        <v/>
      </c>
      <c r="F661" s="12" t="n"/>
      <c r="G661" s="11" t="n"/>
      <c r="H661" s="11" t="n"/>
      <c r="I661" s="16">
        <f>IF(D661="","",IF(G661&lt;&gt;"",G661,IFERROR(INDEX('Sản phẩm'!$E$5:$E$304,MATCH(D661,'Sản phẩm'!$A$5:$A$304,0)),"")))</f>
        <v/>
      </c>
      <c r="J661" s="16">
        <f>IF(OR(D661="",F661=""),"",F661*I661-N(H661))</f>
        <v/>
      </c>
      <c r="K661" s="16">
        <f>IF(OR(D661="",F661=""),"",F661*IFERROR(INDEX('Sản phẩm'!$D$5:$D$304,MATCH(D661,'Sản phẩm'!$A$5:$A$304,0)),""))</f>
        <v/>
      </c>
      <c r="L661" s="16">
        <f>IF(J661="","",J661-K661)</f>
        <v/>
      </c>
      <c r="M661" s="14">
        <f>IF(A661="","",MONTH(A661))</f>
        <v/>
      </c>
      <c r="N661" s="14">
        <f>IF(A661="","",YEAR(A661))</f>
        <v/>
      </c>
    </row>
    <row r="662">
      <c r="A662" s="15" t="n"/>
      <c r="B662" s="10" t="n"/>
      <c r="C662" s="10" t="n"/>
      <c r="D662" s="10" t="n"/>
      <c r="E662" s="14">
        <f>IF(D662="","",IFERROR(INDEX('Sản phẩm'!$B$5:$B$304,MATCH(D662,'Sản phẩm'!$A$5:$A$304,0)),""))</f>
        <v/>
      </c>
      <c r="F662" s="12" t="n"/>
      <c r="G662" s="11" t="n"/>
      <c r="H662" s="11" t="n"/>
      <c r="I662" s="16">
        <f>IF(D662="","",IF(G662&lt;&gt;"",G662,IFERROR(INDEX('Sản phẩm'!$E$5:$E$304,MATCH(D662,'Sản phẩm'!$A$5:$A$304,0)),"")))</f>
        <v/>
      </c>
      <c r="J662" s="16">
        <f>IF(OR(D662="",F662=""),"",F662*I662-N(H662))</f>
        <v/>
      </c>
      <c r="K662" s="16">
        <f>IF(OR(D662="",F662=""),"",F662*IFERROR(INDEX('Sản phẩm'!$D$5:$D$304,MATCH(D662,'Sản phẩm'!$A$5:$A$304,0)),""))</f>
        <v/>
      </c>
      <c r="L662" s="16">
        <f>IF(J662="","",J662-K662)</f>
        <v/>
      </c>
      <c r="M662" s="14">
        <f>IF(A662="","",MONTH(A662))</f>
        <v/>
      </c>
      <c r="N662" s="14">
        <f>IF(A662="","",YEAR(A662))</f>
        <v/>
      </c>
    </row>
    <row r="663">
      <c r="A663" s="15" t="n"/>
      <c r="B663" s="10" t="n"/>
      <c r="C663" s="10" t="n"/>
      <c r="D663" s="10" t="n"/>
      <c r="E663" s="14">
        <f>IF(D663="","",IFERROR(INDEX('Sản phẩm'!$B$5:$B$304,MATCH(D663,'Sản phẩm'!$A$5:$A$304,0)),""))</f>
        <v/>
      </c>
      <c r="F663" s="12" t="n"/>
      <c r="G663" s="11" t="n"/>
      <c r="H663" s="11" t="n"/>
      <c r="I663" s="16">
        <f>IF(D663="","",IF(G663&lt;&gt;"",G663,IFERROR(INDEX('Sản phẩm'!$E$5:$E$304,MATCH(D663,'Sản phẩm'!$A$5:$A$304,0)),"")))</f>
        <v/>
      </c>
      <c r="J663" s="16">
        <f>IF(OR(D663="",F663=""),"",F663*I663-N(H663))</f>
        <v/>
      </c>
      <c r="K663" s="16">
        <f>IF(OR(D663="",F663=""),"",F663*IFERROR(INDEX('Sản phẩm'!$D$5:$D$304,MATCH(D663,'Sản phẩm'!$A$5:$A$304,0)),""))</f>
        <v/>
      </c>
      <c r="L663" s="16">
        <f>IF(J663="","",J663-K663)</f>
        <v/>
      </c>
      <c r="M663" s="14">
        <f>IF(A663="","",MONTH(A663))</f>
        <v/>
      </c>
      <c r="N663" s="14">
        <f>IF(A663="","",YEAR(A663))</f>
        <v/>
      </c>
    </row>
    <row r="664">
      <c r="A664" s="15" t="n"/>
      <c r="B664" s="10" t="n"/>
      <c r="C664" s="10" t="n"/>
      <c r="D664" s="10" t="n"/>
      <c r="E664" s="14">
        <f>IF(D664="","",IFERROR(INDEX('Sản phẩm'!$B$5:$B$304,MATCH(D664,'Sản phẩm'!$A$5:$A$304,0)),""))</f>
        <v/>
      </c>
      <c r="F664" s="12" t="n"/>
      <c r="G664" s="11" t="n"/>
      <c r="H664" s="11" t="n"/>
      <c r="I664" s="16">
        <f>IF(D664="","",IF(G664&lt;&gt;"",G664,IFERROR(INDEX('Sản phẩm'!$E$5:$E$304,MATCH(D664,'Sản phẩm'!$A$5:$A$304,0)),"")))</f>
        <v/>
      </c>
      <c r="J664" s="16">
        <f>IF(OR(D664="",F664=""),"",F664*I664-N(H664))</f>
        <v/>
      </c>
      <c r="K664" s="16">
        <f>IF(OR(D664="",F664=""),"",F664*IFERROR(INDEX('Sản phẩm'!$D$5:$D$304,MATCH(D664,'Sản phẩm'!$A$5:$A$304,0)),""))</f>
        <v/>
      </c>
      <c r="L664" s="16">
        <f>IF(J664="","",J664-K664)</f>
        <v/>
      </c>
      <c r="M664" s="14">
        <f>IF(A664="","",MONTH(A664))</f>
        <v/>
      </c>
      <c r="N664" s="14">
        <f>IF(A664="","",YEAR(A664))</f>
        <v/>
      </c>
    </row>
    <row r="665">
      <c r="A665" s="15" t="n"/>
      <c r="B665" s="10" t="n"/>
      <c r="C665" s="10" t="n"/>
      <c r="D665" s="10" t="n"/>
      <c r="E665" s="14">
        <f>IF(D665="","",IFERROR(INDEX('Sản phẩm'!$B$5:$B$304,MATCH(D665,'Sản phẩm'!$A$5:$A$304,0)),""))</f>
        <v/>
      </c>
      <c r="F665" s="12" t="n"/>
      <c r="G665" s="11" t="n"/>
      <c r="H665" s="11" t="n"/>
      <c r="I665" s="16">
        <f>IF(D665="","",IF(G665&lt;&gt;"",G665,IFERROR(INDEX('Sản phẩm'!$E$5:$E$304,MATCH(D665,'Sản phẩm'!$A$5:$A$304,0)),"")))</f>
        <v/>
      </c>
      <c r="J665" s="16">
        <f>IF(OR(D665="",F665=""),"",F665*I665-N(H665))</f>
        <v/>
      </c>
      <c r="K665" s="16">
        <f>IF(OR(D665="",F665=""),"",F665*IFERROR(INDEX('Sản phẩm'!$D$5:$D$304,MATCH(D665,'Sản phẩm'!$A$5:$A$304,0)),""))</f>
        <v/>
      </c>
      <c r="L665" s="16">
        <f>IF(J665="","",J665-K665)</f>
        <v/>
      </c>
      <c r="M665" s="14">
        <f>IF(A665="","",MONTH(A665))</f>
        <v/>
      </c>
      <c r="N665" s="14">
        <f>IF(A665="","",YEAR(A665))</f>
        <v/>
      </c>
    </row>
    <row r="666">
      <c r="A666" s="15" t="n"/>
      <c r="B666" s="10" t="n"/>
      <c r="C666" s="10" t="n"/>
      <c r="D666" s="10" t="n"/>
      <c r="E666" s="14">
        <f>IF(D666="","",IFERROR(INDEX('Sản phẩm'!$B$5:$B$304,MATCH(D666,'Sản phẩm'!$A$5:$A$304,0)),""))</f>
        <v/>
      </c>
      <c r="F666" s="12" t="n"/>
      <c r="G666" s="11" t="n"/>
      <c r="H666" s="11" t="n"/>
      <c r="I666" s="16">
        <f>IF(D666="","",IF(G666&lt;&gt;"",G666,IFERROR(INDEX('Sản phẩm'!$E$5:$E$304,MATCH(D666,'Sản phẩm'!$A$5:$A$304,0)),"")))</f>
        <v/>
      </c>
      <c r="J666" s="16">
        <f>IF(OR(D666="",F666=""),"",F666*I666-N(H666))</f>
        <v/>
      </c>
      <c r="K666" s="16">
        <f>IF(OR(D666="",F666=""),"",F666*IFERROR(INDEX('Sản phẩm'!$D$5:$D$304,MATCH(D666,'Sản phẩm'!$A$5:$A$304,0)),""))</f>
        <v/>
      </c>
      <c r="L666" s="16">
        <f>IF(J666="","",J666-K666)</f>
        <v/>
      </c>
      <c r="M666" s="14">
        <f>IF(A666="","",MONTH(A666))</f>
        <v/>
      </c>
      <c r="N666" s="14">
        <f>IF(A666="","",YEAR(A666))</f>
        <v/>
      </c>
    </row>
    <row r="667">
      <c r="A667" s="15" t="n"/>
      <c r="B667" s="10" t="n"/>
      <c r="C667" s="10" t="n"/>
      <c r="D667" s="10" t="n"/>
      <c r="E667" s="14">
        <f>IF(D667="","",IFERROR(INDEX('Sản phẩm'!$B$5:$B$304,MATCH(D667,'Sản phẩm'!$A$5:$A$304,0)),""))</f>
        <v/>
      </c>
      <c r="F667" s="12" t="n"/>
      <c r="G667" s="11" t="n"/>
      <c r="H667" s="11" t="n"/>
      <c r="I667" s="16">
        <f>IF(D667="","",IF(G667&lt;&gt;"",G667,IFERROR(INDEX('Sản phẩm'!$E$5:$E$304,MATCH(D667,'Sản phẩm'!$A$5:$A$304,0)),"")))</f>
        <v/>
      </c>
      <c r="J667" s="16">
        <f>IF(OR(D667="",F667=""),"",F667*I667-N(H667))</f>
        <v/>
      </c>
      <c r="K667" s="16">
        <f>IF(OR(D667="",F667=""),"",F667*IFERROR(INDEX('Sản phẩm'!$D$5:$D$304,MATCH(D667,'Sản phẩm'!$A$5:$A$304,0)),""))</f>
        <v/>
      </c>
      <c r="L667" s="16">
        <f>IF(J667="","",J667-K667)</f>
        <v/>
      </c>
      <c r="M667" s="14">
        <f>IF(A667="","",MONTH(A667))</f>
        <v/>
      </c>
      <c r="N667" s="14">
        <f>IF(A667="","",YEAR(A667))</f>
        <v/>
      </c>
    </row>
    <row r="668">
      <c r="A668" s="15" t="n"/>
      <c r="B668" s="10" t="n"/>
      <c r="C668" s="10" t="n"/>
      <c r="D668" s="10" t="n"/>
      <c r="E668" s="14">
        <f>IF(D668="","",IFERROR(INDEX('Sản phẩm'!$B$5:$B$304,MATCH(D668,'Sản phẩm'!$A$5:$A$304,0)),""))</f>
        <v/>
      </c>
      <c r="F668" s="12" t="n"/>
      <c r="G668" s="11" t="n"/>
      <c r="H668" s="11" t="n"/>
      <c r="I668" s="16">
        <f>IF(D668="","",IF(G668&lt;&gt;"",G668,IFERROR(INDEX('Sản phẩm'!$E$5:$E$304,MATCH(D668,'Sản phẩm'!$A$5:$A$304,0)),"")))</f>
        <v/>
      </c>
      <c r="J668" s="16">
        <f>IF(OR(D668="",F668=""),"",F668*I668-N(H668))</f>
        <v/>
      </c>
      <c r="K668" s="16">
        <f>IF(OR(D668="",F668=""),"",F668*IFERROR(INDEX('Sản phẩm'!$D$5:$D$304,MATCH(D668,'Sản phẩm'!$A$5:$A$304,0)),""))</f>
        <v/>
      </c>
      <c r="L668" s="16">
        <f>IF(J668="","",J668-K668)</f>
        <v/>
      </c>
      <c r="M668" s="14">
        <f>IF(A668="","",MONTH(A668))</f>
        <v/>
      </c>
      <c r="N668" s="14">
        <f>IF(A668="","",YEAR(A668))</f>
        <v/>
      </c>
    </row>
    <row r="669">
      <c r="A669" s="15" t="n"/>
      <c r="B669" s="10" t="n"/>
      <c r="C669" s="10" t="n"/>
      <c r="D669" s="10" t="n"/>
      <c r="E669" s="14">
        <f>IF(D669="","",IFERROR(INDEX('Sản phẩm'!$B$5:$B$304,MATCH(D669,'Sản phẩm'!$A$5:$A$304,0)),""))</f>
        <v/>
      </c>
      <c r="F669" s="12" t="n"/>
      <c r="G669" s="11" t="n"/>
      <c r="H669" s="11" t="n"/>
      <c r="I669" s="16">
        <f>IF(D669="","",IF(G669&lt;&gt;"",G669,IFERROR(INDEX('Sản phẩm'!$E$5:$E$304,MATCH(D669,'Sản phẩm'!$A$5:$A$304,0)),"")))</f>
        <v/>
      </c>
      <c r="J669" s="16">
        <f>IF(OR(D669="",F669=""),"",F669*I669-N(H669))</f>
        <v/>
      </c>
      <c r="K669" s="16">
        <f>IF(OR(D669="",F669=""),"",F669*IFERROR(INDEX('Sản phẩm'!$D$5:$D$304,MATCH(D669,'Sản phẩm'!$A$5:$A$304,0)),""))</f>
        <v/>
      </c>
      <c r="L669" s="16">
        <f>IF(J669="","",J669-K669)</f>
        <v/>
      </c>
      <c r="M669" s="14">
        <f>IF(A669="","",MONTH(A669))</f>
        <v/>
      </c>
      <c r="N669" s="14">
        <f>IF(A669="","",YEAR(A669))</f>
        <v/>
      </c>
    </row>
    <row r="670">
      <c r="A670" s="15" t="n"/>
      <c r="B670" s="10" t="n"/>
      <c r="C670" s="10" t="n"/>
      <c r="D670" s="10" t="n"/>
      <c r="E670" s="14">
        <f>IF(D670="","",IFERROR(INDEX('Sản phẩm'!$B$5:$B$304,MATCH(D670,'Sản phẩm'!$A$5:$A$304,0)),""))</f>
        <v/>
      </c>
      <c r="F670" s="12" t="n"/>
      <c r="G670" s="11" t="n"/>
      <c r="H670" s="11" t="n"/>
      <c r="I670" s="16">
        <f>IF(D670="","",IF(G670&lt;&gt;"",G670,IFERROR(INDEX('Sản phẩm'!$E$5:$E$304,MATCH(D670,'Sản phẩm'!$A$5:$A$304,0)),"")))</f>
        <v/>
      </c>
      <c r="J670" s="16">
        <f>IF(OR(D670="",F670=""),"",F670*I670-N(H670))</f>
        <v/>
      </c>
      <c r="K670" s="16">
        <f>IF(OR(D670="",F670=""),"",F670*IFERROR(INDEX('Sản phẩm'!$D$5:$D$304,MATCH(D670,'Sản phẩm'!$A$5:$A$304,0)),""))</f>
        <v/>
      </c>
      <c r="L670" s="16">
        <f>IF(J670="","",J670-K670)</f>
        <v/>
      </c>
      <c r="M670" s="14">
        <f>IF(A670="","",MONTH(A670))</f>
        <v/>
      </c>
      <c r="N670" s="14">
        <f>IF(A670="","",YEAR(A670))</f>
        <v/>
      </c>
    </row>
    <row r="671">
      <c r="A671" s="15" t="n"/>
      <c r="B671" s="10" t="n"/>
      <c r="C671" s="10" t="n"/>
      <c r="D671" s="10" t="n"/>
      <c r="E671" s="14">
        <f>IF(D671="","",IFERROR(INDEX('Sản phẩm'!$B$5:$B$304,MATCH(D671,'Sản phẩm'!$A$5:$A$304,0)),""))</f>
        <v/>
      </c>
      <c r="F671" s="12" t="n"/>
      <c r="G671" s="11" t="n"/>
      <c r="H671" s="11" t="n"/>
      <c r="I671" s="16">
        <f>IF(D671="","",IF(G671&lt;&gt;"",G671,IFERROR(INDEX('Sản phẩm'!$E$5:$E$304,MATCH(D671,'Sản phẩm'!$A$5:$A$304,0)),"")))</f>
        <v/>
      </c>
      <c r="J671" s="16">
        <f>IF(OR(D671="",F671=""),"",F671*I671-N(H671))</f>
        <v/>
      </c>
      <c r="K671" s="16">
        <f>IF(OR(D671="",F671=""),"",F671*IFERROR(INDEX('Sản phẩm'!$D$5:$D$304,MATCH(D671,'Sản phẩm'!$A$5:$A$304,0)),""))</f>
        <v/>
      </c>
      <c r="L671" s="16">
        <f>IF(J671="","",J671-K671)</f>
        <v/>
      </c>
      <c r="M671" s="14">
        <f>IF(A671="","",MONTH(A671))</f>
        <v/>
      </c>
      <c r="N671" s="14">
        <f>IF(A671="","",YEAR(A671))</f>
        <v/>
      </c>
    </row>
    <row r="672">
      <c r="A672" s="15" t="n"/>
      <c r="B672" s="10" t="n"/>
      <c r="C672" s="10" t="n"/>
      <c r="D672" s="10" t="n"/>
      <c r="E672" s="14">
        <f>IF(D672="","",IFERROR(INDEX('Sản phẩm'!$B$5:$B$304,MATCH(D672,'Sản phẩm'!$A$5:$A$304,0)),""))</f>
        <v/>
      </c>
      <c r="F672" s="12" t="n"/>
      <c r="G672" s="11" t="n"/>
      <c r="H672" s="11" t="n"/>
      <c r="I672" s="16">
        <f>IF(D672="","",IF(G672&lt;&gt;"",G672,IFERROR(INDEX('Sản phẩm'!$E$5:$E$304,MATCH(D672,'Sản phẩm'!$A$5:$A$304,0)),"")))</f>
        <v/>
      </c>
      <c r="J672" s="16">
        <f>IF(OR(D672="",F672=""),"",F672*I672-N(H672))</f>
        <v/>
      </c>
      <c r="K672" s="16">
        <f>IF(OR(D672="",F672=""),"",F672*IFERROR(INDEX('Sản phẩm'!$D$5:$D$304,MATCH(D672,'Sản phẩm'!$A$5:$A$304,0)),""))</f>
        <v/>
      </c>
      <c r="L672" s="16">
        <f>IF(J672="","",J672-K672)</f>
        <v/>
      </c>
      <c r="M672" s="14">
        <f>IF(A672="","",MONTH(A672))</f>
        <v/>
      </c>
      <c r="N672" s="14">
        <f>IF(A672="","",YEAR(A672))</f>
        <v/>
      </c>
    </row>
    <row r="673">
      <c r="A673" s="15" t="n"/>
      <c r="B673" s="10" t="n"/>
      <c r="C673" s="10" t="n"/>
      <c r="D673" s="10" t="n"/>
      <c r="E673" s="14">
        <f>IF(D673="","",IFERROR(INDEX('Sản phẩm'!$B$5:$B$304,MATCH(D673,'Sản phẩm'!$A$5:$A$304,0)),""))</f>
        <v/>
      </c>
      <c r="F673" s="12" t="n"/>
      <c r="G673" s="11" t="n"/>
      <c r="H673" s="11" t="n"/>
      <c r="I673" s="16">
        <f>IF(D673="","",IF(G673&lt;&gt;"",G673,IFERROR(INDEX('Sản phẩm'!$E$5:$E$304,MATCH(D673,'Sản phẩm'!$A$5:$A$304,0)),"")))</f>
        <v/>
      </c>
      <c r="J673" s="16">
        <f>IF(OR(D673="",F673=""),"",F673*I673-N(H673))</f>
        <v/>
      </c>
      <c r="K673" s="16">
        <f>IF(OR(D673="",F673=""),"",F673*IFERROR(INDEX('Sản phẩm'!$D$5:$D$304,MATCH(D673,'Sản phẩm'!$A$5:$A$304,0)),""))</f>
        <v/>
      </c>
      <c r="L673" s="16">
        <f>IF(J673="","",J673-K673)</f>
        <v/>
      </c>
      <c r="M673" s="14">
        <f>IF(A673="","",MONTH(A673))</f>
        <v/>
      </c>
      <c r="N673" s="14">
        <f>IF(A673="","",YEAR(A673))</f>
        <v/>
      </c>
    </row>
    <row r="674">
      <c r="A674" s="15" t="n"/>
      <c r="B674" s="10" t="n"/>
      <c r="C674" s="10" t="n"/>
      <c r="D674" s="10" t="n"/>
      <c r="E674" s="14">
        <f>IF(D674="","",IFERROR(INDEX('Sản phẩm'!$B$5:$B$304,MATCH(D674,'Sản phẩm'!$A$5:$A$304,0)),""))</f>
        <v/>
      </c>
      <c r="F674" s="12" t="n"/>
      <c r="G674" s="11" t="n"/>
      <c r="H674" s="11" t="n"/>
      <c r="I674" s="16">
        <f>IF(D674="","",IF(G674&lt;&gt;"",G674,IFERROR(INDEX('Sản phẩm'!$E$5:$E$304,MATCH(D674,'Sản phẩm'!$A$5:$A$304,0)),"")))</f>
        <v/>
      </c>
      <c r="J674" s="16">
        <f>IF(OR(D674="",F674=""),"",F674*I674-N(H674))</f>
        <v/>
      </c>
      <c r="K674" s="16">
        <f>IF(OR(D674="",F674=""),"",F674*IFERROR(INDEX('Sản phẩm'!$D$5:$D$304,MATCH(D674,'Sản phẩm'!$A$5:$A$304,0)),""))</f>
        <v/>
      </c>
      <c r="L674" s="16">
        <f>IF(J674="","",J674-K674)</f>
        <v/>
      </c>
      <c r="M674" s="14">
        <f>IF(A674="","",MONTH(A674))</f>
        <v/>
      </c>
      <c r="N674" s="14">
        <f>IF(A674="","",YEAR(A674))</f>
        <v/>
      </c>
    </row>
    <row r="675">
      <c r="A675" s="15" t="n"/>
      <c r="B675" s="10" t="n"/>
      <c r="C675" s="10" t="n"/>
      <c r="D675" s="10" t="n"/>
      <c r="E675" s="14">
        <f>IF(D675="","",IFERROR(INDEX('Sản phẩm'!$B$5:$B$304,MATCH(D675,'Sản phẩm'!$A$5:$A$304,0)),""))</f>
        <v/>
      </c>
      <c r="F675" s="12" t="n"/>
      <c r="G675" s="11" t="n"/>
      <c r="H675" s="11" t="n"/>
      <c r="I675" s="16">
        <f>IF(D675="","",IF(G675&lt;&gt;"",G675,IFERROR(INDEX('Sản phẩm'!$E$5:$E$304,MATCH(D675,'Sản phẩm'!$A$5:$A$304,0)),"")))</f>
        <v/>
      </c>
      <c r="J675" s="16">
        <f>IF(OR(D675="",F675=""),"",F675*I675-N(H675))</f>
        <v/>
      </c>
      <c r="K675" s="16">
        <f>IF(OR(D675="",F675=""),"",F675*IFERROR(INDEX('Sản phẩm'!$D$5:$D$304,MATCH(D675,'Sản phẩm'!$A$5:$A$304,0)),""))</f>
        <v/>
      </c>
      <c r="L675" s="16">
        <f>IF(J675="","",J675-K675)</f>
        <v/>
      </c>
      <c r="M675" s="14">
        <f>IF(A675="","",MONTH(A675))</f>
        <v/>
      </c>
      <c r="N675" s="14">
        <f>IF(A675="","",YEAR(A675))</f>
        <v/>
      </c>
    </row>
    <row r="676">
      <c r="A676" s="15" t="n"/>
      <c r="B676" s="10" t="n"/>
      <c r="C676" s="10" t="n"/>
      <c r="D676" s="10" t="n"/>
      <c r="E676" s="14">
        <f>IF(D676="","",IFERROR(INDEX('Sản phẩm'!$B$5:$B$304,MATCH(D676,'Sản phẩm'!$A$5:$A$304,0)),""))</f>
        <v/>
      </c>
      <c r="F676" s="12" t="n"/>
      <c r="G676" s="11" t="n"/>
      <c r="H676" s="11" t="n"/>
      <c r="I676" s="16">
        <f>IF(D676="","",IF(G676&lt;&gt;"",G676,IFERROR(INDEX('Sản phẩm'!$E$5:$E$304,MATCH(D676,'Sản phẩm'!$A$5:$A$304,0)),"")))</f>
        <v/>
      </c>
      <c r="J676" s="16">
        <f>IF(OR(D676="",F676=""),"",F676*I676-N(H676))</f>
        <v/>
      </c>
      <c r="K676" s="16">
        <f>IF(OR(D676="",F676=""),"",F676*IFERROR(INDEX('Sản phẩm'!$D$5:$D$304,MATCH(D676,'Sản phẩm'!$A$5:$A$304,0)),""))</f>
        <v/>
      </c>
      <c r="L676" s="16">
        <f>IF(J676="","",J676-K676)</f>
        <v/>
      </c>
      <c r="M676" s="14">
        <f>IF(A676="","",MONTH(A676))</f>
        <v/>
      </c>
      <c r="N676" s="14">
        <f>IF(A676="","",YEAR(A676))</f>
        <v/>
      </c>
    </row>
    <row r="677">
      <c r="A677" s="15" t="n"/>
      <c r="B677" s="10" t="n"/>
      <c r="C677" s="10" t="n"/>
      <c r="D677" s="10" t="n"/>
      <c r="E677" s="14">
        <f>IF(D677="","",IFERROR(INDEX('Sản phẩm'!$B$5:$B$304,MATCH(D677,'Sản phẩm'!$A$5:$A$304,0)),""))</f>
        <v/>
      </c>
      <c r="F677" s="12" t="n"/>
      <c r="G677" s="11" t="n"/>
      <c r="H677" s="11" t="n"/>
      <c r="I677" s="16">
        <f>IF(D677="","",IF(G677&lt;&gt;"",G677,IFERROR(INDEX('Sản phẩm'!$E$5:$E$304,MATCH(D677,'Sản phẩm'!$A$5:$A$304,0)),"")))</f>
        <v/>
      </c>
      <c r="J677" s="16">
        <f>IF(OR(D677="",F677=""),"",F677*I677-N(H677))</f>
        <v/>
      </c>
      <c r="K677" s="16">
        <f>IF(OR(D677="",F677=""),"",F677*IFERROR(INDEX('Sản phẩm'!$D$5:$D$304,MATCH(D677,'Sản phẩm'!$A$5:$A$304,0)),""))</f>
        <v/>
      </c>
      <c r="L677" s="16">
        <f>IF(J677="","",J677-K677)</f>
        <v/>
      </c>
      <c r="M677" s="14">
        <f>IF(A677="","",MONTH(A677))</f>
        <v/>
      </c>
      <c r="N677" s="14">
        <f>IF(A677="","",YEAR(A677))</f>
        <v/>
      </c>
    </row>
    <row r="678">
      <c r="A678" s="15" t="n"/>
      <c r="B678" s="10" t="n"/>
      <c r="C678" s="10" t="n"/>
      <c r="D678" s="10" t="n"/>
      <c r="E678" s="14">
        <f>IF(D678="","",IFERROR(INDEX('Sản phẩm'!$B$5:$B$304,MATCH(D678,'Sản phẩm'!$A$5:$A$304,0)),""))</f>
        <v/>
      </c>
      <c r="F678" s="12" t="n"/>
      <c r="G678" s="11" t="n"/>
      <c r="H678" s="11" t="n"/>
      <c r="I678" s="16">
        <f>IF(D678="","",IF(G678&lt;&gt;"",G678,IFERROR(INDEX('Sản phẩm'!$E$5:$E$304,MATCH(D678,'Sản phẩm'!$A$5:$A$304,0)),"")))</f>
        <v/>
      </c>
      <c r="J678" s="16">
        <f>IF(OR(D678="",F678=""),"",F678*I678-N(H678))</f>
        <v/>
      </c>
      <c r="K678" s="16">
        <f>IF(OR(D678="",F678=""),"",F678*IFERROR(INDEX('Sản phẩm'!$D$5:$D$304,MATCH(D678,'Sản phẩm'!$A$5:$A$304,0)),""))</f>
        <v/>
      </c>
      <c r="L678" s="16">
        <f>IF(J678="","",J678-K678)</f>
        <v/>
      </c>
      <c r="M678" s="14">
        <f>IF(A678="","",MONTH(A678))</f>
        <v/>
      </c>
      <c r="N678" s="14">
        <f>IF(A678="","",YEAR(A678))</f>
        <v/>
      </c>
    </row>
    <row r="679">
      <c r="A679" s="15" t="n"/>
      <c r="B679" s="10" t="n"/>
      <c r="C679" s="10" t="n"/>
      <c r="D679" s="10" t="n"/>
      <c r="E679" s="14">
        <f>IF(D679="","",IFERROR(INDEX('Sản phẩm'!$B$5:$B$304,MATCH(D679,'Sản phẩm'!$A$5:$A$304,0)),""))</f>
        <v/>
      </c>
      <c r="F679" s="12" t="n"/>
      <c r="G679" s="11" t="n"/>
      <c r="H679" s="11" t="n"/>
      <c r="I679" s="16">
        <f>IF(D679="","",IF(G679&lt;&gt;"",G679,IFERROR(INDEX('Sản phẩm'!$E$5:$E$304,MATCH(D679,'Sản phẩm'!$A$5:$A$304,0)),"")))</f>
        <v/>
      </c>
      <c r="J679" s="16">
        <f>IF(OR(D679="",F679=""),"",F679*I679-N(H679))</f>
        <v/>
      </c>
      <c r="K679" s="16">
        <f>IF(OR(D679="",F679=""),"",F679*IFERROR(INDEX('Sản phẩm'!$D$5:$D$304,MATCH(D679,'Sản phẩm'!$A$5:$A$304,0)),""))</f>
        <v/>
      </c>
      <c r="L679" s="16">
        <f>IF(J679="","",J679-K679)</f>
        <v/>
      </c>
      <c r="M679" s="14">
        <f>IF(A679="","",MONTH(A679))</f>
        <v/>
      </c>
      <c r="N679" s="14">
        <f>IF(A679="","",YEAR(A679))</f>
        <v/>
      </c>
    </row>
    <row r="680">
      <c r="A680" s="15" t="n"/>
      <c r="B680" s="10" t="n"/>
      <c r="C680" s="10" t="n"/>
      <c r="D680" s="10" t="n"/>
      <c r="E680" s="14">
        <f>IF(D680="","",IFERROR(INDEX('Sản phẩm'!$B$5:$B$304,MATCH(D680,'Sản phẩm'!$A$5:$A$304,0)),""))</f>
        <v/>
      </c>
      <c r="F680" s="12" t="n"/>
      <c r="G680" s="11" t="n"/>
      <c r="H680" s="11" t="n"/>
      <c r="I680" s="16">
        <f>IF(D680="","",IF(G680&lt;&gt;"",G680,IFERROR(INDEX('Sản phẩm'!$E$5:$E$304,MATCH(D680,'Sản phẩm'!$A$5:$A$304,0)),"")))</f>
        <v/>
      </c>
      <c r="J680" s="16">
        <f>IF(OR(D680="",F680=""),"",F680*I680-N(H680))</f>
        <v/>
      </c>
      <c r="K680" s="16">
        <f>IF(OR(D680="",F680=""),"",F680*IFERROR(INDEX('Sản phẩm'!$D$5:$D$304,MATCH(D680,'Sản phẩm'!$A$5:$A$304,0)),""))</f>
        <v/>
      </c>
      <c r="L680" s="16">
        <f>IF(J680="","",J680-K680)</f>
        <v/>
      </c>
      <c r="M680" s="14">
        <f>IF(A680="","",MONTH(A680))</f>
        <v/>
      </c>
      <c r="N680" s="14">
        <f>IF(A680="","",YEAR(A680))</f>
        <v/>
      </c>
    </row>
    <row r="681">
      <c r="A681" s="15" t="n"/>
      <c r="B681" s="10" t="n"/>
      <c r="C681" s="10" t="n"/>
      <c r="D681" s="10" t="n"/>
      <c r="E681" s="14">
        <f>IF(D681="","",IFERROR(INDEX('Sản phẩm'!$B$5:$B$304,MATCH(D681,'Sản phẩm'!$A$5:$A$304,0)),""))</f>
        <v/>
      </c>
      <c r="F681" s="12" t="n"/>
      <c r="G681" s="11" t="n"/>
      <c r="H681" s="11" t="n"/>
      <c r="I681" s="16">
        <f>IF(D681="","",IF(G681&lt;&gt;"",G681,IFERROR(INDEX('Sản phẩm'!$E$5:$E$304,MATCH(D681,'Sản phẩm'!$A$5:$A$304,0)),"")))</f>
        <v/>
      </c>
      <c r="J681" s="16">
        <f>IF(OR(D681="",F681=""),"",F681*I681-N(H681))</f>
        <v/>
      </c>
      <c r="K681" s="16">
        <f>IF(OR(D681="",F681=""),"",F681*IFERROR(INDEX('Sản phẩm'!$D$5:$D$304,MATCH(D681,'Sản phẩm'!$A$5:$A$304,0)),""))</f>
        <v/>
      </c>
      <c r="L681" s="16">
        <f>IF(J681="","",J681-K681)</f>
        <v/>
      </c>
      <c r="M681" s="14">
        <f>IF(A681="","",MONTH(A681))</f>
        <v/>
      </c>
      <c r="N681" s="14">
        <f>IF(A681="","",YEAR(A681))</f>
        <v/>
      </c>
    </row>
    <row r="682">
      <c r="A682" s="15" t="n"/>
      <c r="B682" s="10" t="n"/>
      <c r="C682" s="10" t="n"/>
      <c r="D682" s="10" t="n"/>
      <c r="E682" s="14">
        <f>IF(D682="","",IFERROR(INDEX('Sản phẩm'!$B$5:$B$304,MATCH(D682,'Sản phẩm'!$A$5:$A$304,0)),""))</f>
        <v/>
      </c>
      <c r="F682" s="12" t="n"/>
      <c r="G682" s="11" t="n"/>
      <c r="H682" s="11" t="n"/>
      <c r="I682" s="16">
        <f>IF(D682="","",IF(G682&lt;&gt;"",G682,IFERROR(INDEX('Sản phẩm'!$E$5:$E$304,MATCH(D682,'Sản phẩm'!$A$5:$A$304,0)),"")))</f>
        <v/>
      </c>
      <c r="J682" s="16">
        <f>IF(OR(D682="",F682=""),"",F682*I682-N(H682))</f>
        <v/>
      </c>
      <c r="K682" s="16">
        <f>IF(OR(D682="",F682=""),"",F682*IFERROR(INDEX('Sản phẩm'!$D$5:$D$304,MATCH(D682,'Sản phẩm'!$A$5:$A$304,0)),""))</f>
        <v/>
      </c>
      <c r="L682" s="16">
        <f>IF(J682="","",J682-K682)</f>
        <v/>
      </c>
      <c r="M682" s="14">
        <f>IF(A682="","",MONTH(A682))</f>
        <v/>
      </c>
      <c r="N682" s="14">
        <f>IF(A682="","",YEAR(A682))</f>
        <v/>
      </c>
    </row>
    <row r="683">
      <c r="A683" s="15" t="n"/>
      <c r="B683" s="10" t="n"/>
      <c r="C683" s="10" t="n"/>
      <c r="D683" s="10" t="n"/>
      <c r="E683" s="14">
        <f>IF(D683="","",IFERROR(INDEX('Sản phẩm'!$B$5:$B$304,MATCH(D683,'Sản phẩm'!$A$5:$A$304,0)),""))</f>
        <v/>
      </c>
      <c r="F683" s="12" t="n"/>
      <c r="G683" s="11" t="n"/>
      <c r="H683" s="11" t="n"/>
      <c r="I683" s="16">
        <f>IF(D683="","",IF(G683&lt;&gt;"",G683,IFERROR(INDEX('Sản phẩm'!$E$5:$E$304,MATCH(D683,'Sản phẩm'!$A$5:$A$304,0)),"")))</f>
        <v/>
      </c>
      <c r="J683" s="16">
        <f>IF(OR(D683="",F683=""),"",F683*I683-N(H683))</f>
        <v/>
      </c>
      <c r="K683" s="16">
        <f>IF(OR(D683="",F683=""),"",F683*IFERROR(INDEX('Sản phẩm'!$D$5:$D$304,MATCH(D683,'Sản phẩm'!$A$5:$A$304,0)),""))</f>
        <v/>
      </c>
      <c r="L683" s="16">
        <f>IF(J683="","",J683-K683)</f>
        <v/>
      </c>
      <c r="M683" s="14">
        <f>IF(A683="","",MONTH(A683))</f>
        <v/>
      </c>
      <c r="N683" s="14">
        <f>IF(A683="","",YEAR(A683))</f>
        <v/>
      </c>
    </row>
    <row r="684">
      <c r="A684" s="15" t="n"/>
      <c r="B684" s="10" t="n"/>
      <c r="C684" s="10" t="n"/>
      <c r="D684" s="10" t="n"/>
      <c r="E684" s="14">
        <f>IF(D684="","",IFERROR(INDEX('Sản phẩm'!$B$5:$B$304,MATCH(D684,'Sản phẩm'!$A$5:$A$304,0)),""))</f>
        <v/>
      </c>
      <c r="F684" s="12" t="n"/>
      <c r="G684" s="11" t="n"/>
      <c r="H684" s="11" t="n"/>
      <c r="I684" s="16">
        <f>IF(D684="","",IF(G684&lt;&gt;"",G684,IFERROR(INDEX('Sản phẩm'!$E$5:$E$304,MATCH(D684,'Sản phẩm'!$A$5:$A$304,0)),"")))</f>
        <v/>
      </c>
      <c r="J684" s="16">
        <f>IF(OR(D684="",F684=""),"",F684*I684-N(H684))</f>
        <v/>
      </c>
      <c r="K684" s="16">
        <f>IF(OR(D684="",F684=""),"",F684*IFERROR(INDEX('Sản phẩm'!$D$5:$D$304,MATCH(D684,'Sản phẩm'!$A$5:$A$304,0)),""))</f>
        <v/>
      </c>
      <c r="L684" s="16">
        <f>IF(J684="","",J684-K684)</f>
        <v/>
      </c>
      <c r="M684" s="14">
        <f>IF(A684="","",MONTH(A684))</f>
        <v/>
      </c>
      <c r="N684" s="14">
        <f>IF(A684="","",YEAR(A684))</f>
        <v/>
      </c>
    </row>
    <row r="685">
      <c r="A685" s="15" t="n"/>
      <c r="B685" s="10" t="n"/>
      <c r="C685" s="10" t="n"/>
      <c r="D685" s="10" t="n"/>
      <c r="E685" s="14">
        <f>IF(D685="","",IFERROR(INDEX('Sản phẩm'!$B$5:$B$304,MATCH(D685,'Sản phẩm'!$A$5:$A$304,0)),""))</f>
        <v/>
      </c>
      <c r="F685" s="12" t="n"/>
      <c r="G685" s="11" t="n"/>
      <c r="H685" s="11" t="n"/>
      <c r="I685" s="16">
        <f>IF(D685="","",IF(G685&lt;&gt;"",G685,IFERROR(INDEX('Sản phẩm'!$E$5:$E$304,MATCH(D685,'Sản phẩm'!$A$5:$A$304,0)),"")))</f>
        <v/>
      </c>
      <c r="J685" s="16">
        <f>IF(OR(D685="",F685=""),"",F685*I685-N(H685))</f>
        <v/>
      </c>
      <c r="K685" s="16">
        <f>IF(OR(D685="",F685=""),"",F685*IFERROR(INDEX('Sản phẩm'!$D$5:$D$304,MATCH(D685,'Sản phẩm'!$A$5:$A$304,0)),""))</f>
        <v/>
      </c>
      <c r="L685" s="16">
        <f>IF(J685="","",J685-K685)</f>
        <v/>
      </c>
      <c r="M685" s="14">
        <f>IF(A685="","",MONTH(A685))</f>
        <v/>
      </c>
      <c r="N685" s="14">
        <f>IF(A685="","",YEAR(A685))</f>
        <v/>
      </c>
    </row>
    <row r="686">
      <c r="A686" s="15" t="n"/>
      <c r="B686" s="10" t="n"/>
      <c r="C686" s="10" t="n"/>
      <c r="D686" s="10" t="n"/>
      <c r="E686" s="14">
        <f>IF(D686="","",IFERROR(INDEX('Sản phẩm'!$B$5:$B$304,MATCH(D686,'Sản phẩm'!$A$5:$A$304,0)),""))</f>
        <v/>
      </c>
      <c r="F686" s="12" t="n"/>
      <c r="G686" s="11" t="n"/>
      <c r="H686" s="11" t="n"/>
      <c r="I686" s="16">
        <f>IF(D686="","",IF(G686&lt;&gt;"",G686,IFERROR(INDEX('Sản phẩm'!$E$5:$E$304,MATCH(D686,'Sản phẩm'!$A$5:$A$304,0)),"")))</f>
        <v/>
      </c>
      <c r="J686" s="16">
        <f>IF(OR(D686="",F686=""),"",F686*I686-N(H686))</f>
        <v/>
      </c>
      <c r="K686" s="16">
        <f>IF(OR(D686="",F686=""),"",F686*IFERROR(INDEX('Sản phẩm'!$D$5:$D$304,MATCH(D686,'Sản phẩm'!$A$5:$A$304,0)),""))</f>
        <v/>
      </c>
      <c r="L686" s="16">
        <f>IF(J686="","",J686-K686)</f>
        <v/>
      </c>
      <c r="M686" s="14">
        <f>IF(A686="","",MONTH(A686))</f>
        <v/>
      </c>
      <c r="N686" s="14">
        <f>IF(A686="","",YEAR(A686))</f>
        <v/>
      </c>
    </row>
    <row r="687">
      <c r="A687" s="15" t="n"/>
      <c r="B687" s="10" t="n"/>
      <c r="C687" s="10" t="n"/>
      <c r="D687" s="10" t="n"/>
      <c r="E687" s="14">
        <f>IF(D687="","",IFERROR(INDEX('Sản phẩm'!$B$5:$B$304,MATCH(D687,'Sản phẩm'!$A$5:$A$304,0)),""))</f>
        <v/>
      </c>
      <c r="F687" s="12" t="n"/>
      <c r="G687" s="11" t="n"/>
      <c r="H687" s="11" t="n"/>
      <c r="I687" s="16">
        <f>IF(D687="","",IF(G687&lt;&gt;"",G687,IFERROR(INDEX('Sản phẩm'!$E$5:$E$304,MATCH(D687,'Sản phẩm'!$A$5:$A$304,0)),"")))</f>
        <v/>
      </c>
      <c r="J687" s="16">
        <f>IF(OR(D687="",F687=""),"",F687*I687-N(H687))</f>
        <v/>
      </c>
      <c r="K687" s="16">
        <f>IF(OR(D687="",F687=""),"",F687*IFERROR(INDEX('Sản phẩm'!$D$5:$D$304,MATCH(D687,'Sản phẩm'!$A$5:$A$304,0)),""))</f>
        <v/>
      </c>
      <c r="L687" s="16">
        <f>IF(J687="","",J687-K687)</f>
        <v/>
      </c>
      <c r="M687" s="14">
        <f>IF(A687="","",MONTH(A687))</f>
        <v/>
      </c>
      <c r="N687" s="14">
        <f>IF(A687="","",YEAR(A687))</f>
        <v/>
      </c>
    </row>
    <row r="688">
      <c r="A688" s="15" t="n"/>
      <c r="B688" s="10" t="n"/>
      <c r="C688" s="10" t="n"/>
      <c r="D688" s="10" t="n"/>
      <c r="E688" s="14">
        <f>IF(D688="","",IFERROR(INDEX('Sản phẩm'!$B$5:$B$304,MATCH(D688,'Sản phẩm'!$A$5:$A$304,0)),""))</f>
        <v/>
      </c>
      <c r="F688" s="12" t="n"/>
      <c r="G688" s="11" t="n"/>
      <c r="H688" s="11" t="n"/>
      <c r="I688" s="16">
        <f>IF(D688="","",IF(G688&lt;&gt;"",G688,IFERROR(INDEX('Sản phẩm'!$E$5:$E$304,MATCH(D688,'Sản phẩm'!$A$5:$A$304,0)),"")))</f>
        <v/>
      </c>
      <c r="J688" s="16">
        <f>IF(OR(D688="",F688=""),"",F688*I688-N(H688))</f>
        <v/>
      </c>
      <c r="K688" s="16">
        <f>IF(OR(D688="",F688=""),"",F688*IFERROR(INDEX('Sản phẩm'!$D$5:$D$304,MATCH(D688,'Sản phẩm'!$A$5:$A$304,0)),""))</f>
        <v/>
      </c>
      <c r="L688" s="16">
        <f>IF(J688="","",J688-K688)</f>
        <v/>
      </c>
      <c r="M688" s="14">
        <f>IF(A688="","",MONTH(A688))</f>
        <v/>
      </c>
      <c r="N688" s="14">
        <f>IF(A688="","",YEAR(A688))</f>
        <v/>
      </c>
    </row>
    <row r="689">
      <c r="A689" s="15" t="n"/>
      <c r="B689" s="10" t="n"/>
      <c r="C689" s="10" t="n"/>
      <c r="D689" s="10" t="n"/>
      <c r="E689" s="14">
        <f>IF(D689="","",IFERROR(INDEX('Sản phẩm'!$B$5:$B$304,MATCH(D689,'Sản phẩm'!$A$5:$A$304,0)),""))</f>
        <v/>
      </c>
      <c r="F689" s="12" t="n"/>
      <c r="G689" s="11" t="n"/>
      <c r="H689" s="11" t="n"/>
      <c r="I689" s="16">
        <f>IF(D689="","",IF(G689&lt;&gt;"",G689,IFERROR(INDEX('Sản phẩm'!$E$5:$E$304,MATCH(D689,'Sản phẩm'!$A$5:$A$304,0)),"")))</f>
        <v/>
      </c>
      <c r="J689" s="16">
        <f>IF(OR(D689="",F689=""),"",F689*I689-N(H689))</f>
        <v/>
      </c>
      <c r="K689" s="16">
        <f>IF(OR(D689="",F689=""),"",F689*IFERROR(INDEX('Sản phẩm'!$D$5:$D$304,MATCH(D689,'Sản phẩm'!$A$5:$A$304,0)),""))</f>
        <v/>
      </c>
      <c r="L689" s="16">
        <f>IF(J689="","",J689-K689)</f>
        <v/>
      </c>
      <c r="M689" s="14">
        <f>IF(A689="","",MONTH(A689))</f>
        <v/>
      </c>
      <c r="N689" s="14">
        <f>IF(A689="","",YEAR(A689))</f>
        <v/>
      </c>
    </row>
    <row r="690">
      <c r="A690" s="15" t="n"/>
      <c r="B690" s="10" t="n"/>
      <c r="C690" s="10" t="n"/>
      <c r="D690" s="10" t="n"/>
      <c r="E690" s="14">
        <f>IF(D690="","",IFERROR(INDEX('Sản phẩm'!$B$5:$B$304,MATCH(D690,'Sản phẩm'!$A$5:$A$304,0)),""))</f>
        <v/>
      </c>
      <c r="F690" s="12" t="n"/>
      <c r="G690" s="11" t="n"/>
      <c r="H690" s="11" t="n"/>
      <c r="I690" s="16">
        <f>IF(D690="","",IF(G690&lt;&gt;"",G690,IFERROR(INDEX('Sản phẩm'!$E$5:$E$304,MATCH(D690,'Sản phẩm'!$A$5:$A$304,0)),"")))</f>
        <v/>
      </c>
      <c r="J690" s="16">
        <f>IF(OR(D690="",F690=""),"",F690*I690-N(H690))</f>
        <v/>
      </c>
      <c r="K690" s="16">
        <f>IF(OR(D690="",F690=""),"",F690*IFERROR(INDEX('Sản phẩm'!$D$5:$D$304,MATCH(D690,'Sản phẩm'!$A$5:$A$304,0)),""))</f>
        <v/>
      </c>
      <c r="L690" s="16">
        <f>IF(J690="","",J690-K690)</f>
        <v/>
      </c>
      <c r="M690" s="14">
        <f>IF(A690="","",MONTH(A690))</f>
        <v/>
      </c>
      <c r="N690" s="14">
        <f>IF(A690="","",YEAR(A690))</f>
        <v/>
      </c>
    </row>
    <row r="691">
      <c r="A691" s="15" t="n"/>
      <c r="B691" s="10" t="n"/>
      <c r="C691" s="10" t="n"/>
      <c r="D691" s="10" t="n"/>
      <c r="E691" s="14">
        <f>IF(D691="","",IFERROR(INDEX('Sản phẩm'!$B$5:$B$304,MATCH(D691,'Sản phẩm'!$A$5:$A$304,0)),""))</f>
        <v/>
      </c>
      <c r="F691" s="12" t="n"/>
      <c r="G691" s="11" t="n"/>
      <c r="H691" s="11" t="n"/>
      <c r="I691" s="16">
        <f>IF(D691="","",IF(G691&lt;&gt;"",G691,IFERROR(INDEX('Sản phẩm'!$E$5:$E$304,MATCH(D691,'Sản phẩm'!$A$5:$A$304,0)),"")))</f>
        <v/>
      </c>
      <c r="J691" s="16">
        <f>IF(OR(D691="",F691=""),"",F691*I691-N(H691))</f>
        <v/>
      </c>
      <c r="K691" s="16">
        <f>IF(OR(D691="",F691=""),"",F691*IFERROR(INDEX('Sản phẩm'!$D$5:$D$304,MATCH(D691,'Sản phẩm'!$A$5:$A$304,0)),""))</f>
        <v/>
      </c>
      <c r="L691" s="16">
        <f>IF(J691="","",J691-K691)</f>
        <v/>
      </c>
      <c r="M691" s="14">
        <f>IF(A691="","",MONTH(A691))</f>
        <v/>
      </c>
      <c r="N691" s="14">
        <f>IF(A691="","",YEAR(A691))</f>
        <v/>
      </c>
    </row>
    <row r="692">
      <c r="A692" s="15" t="n"/>
      <c r="B692" s="10" t="n"/>
      <c r="C692" s="10" t="n"/>
      <c r="D692" s="10" t="n"/>
      <c r="E692" s="14">
        <f>IF(D692="","",IFERROR(INDEX('Sản phẩm'!$B$5:$B$304,MATCH(D692,'Sản phẩm'!$A$5:$A$304,0)),""))</f>
        <v/>
      </c>
      <c r="F692" s="12" t="n"/>
      <c r="G692" s="11" t="n"/>
      <c r="H692" s="11" t="n"/>
      <c r="I692" s="16">
        <f>IF(D692="","",IF(G692&lt;&gt;"",G692,IFERROR(INDEX('Sản phẩm'!$E$5:$E$304,MATCH(D692,'Sản phẩm'!$A$5:$A$304,0)),"")))</f>
        <v/>
      </c>
      <c r="J692" s="16">
        <f>IF(OR(D692="",F692=""),"",F692*I692-N(H692))</f>
        <v/>
      </c>
      <c r="K692" s="16">
        <f>IF(OR(D692="",F692=""),"",F692*IFERROR(INDEX('Sản phẩm'!$D$5:$D$304,MATCH(D692,'Sản phẩm'!$A$5:$A$304,0)),""))</f>
        <v/>
      </c>
      <c r="L692" s="16">
        <f>IF(J692="","",J692-K692)</f>
        <v/>
      </c>
      <c r="M692" s="14">
        <f>IF(A692="","",MONTH(A692))</f>
        <v/>
      </c>
      <c r="N692" s="14">
        <f>IF(A692="","",YEAR(A692))</f>
        <v/>
      </c>
    </row>
    <row r="693">
      <c r="A693" s="15" t="n"/>
      <c r="B693" s="10" t="n"/>
      <c r="C693" s="10" t="n"/>
      <c r="D693" s="10" t="n"/>
      <c r="E693" s="14">
        <f>IF(D693="","",IFERROR(INDEX('Sản phẩm'!$B$5:$B$304,MATCH(D693,'Sản phẩm'!$A$5:$A$304,0)),""))</f>
        <v/>
      </c>
      <c r="F693" s="12" t="n"/>
      <c r="G693" s="11" t="n"/>
      <c r="H693" s="11" t="n"/>
      <c r="I693" s="16">
        <f>IF(D693="","",IF(G693&lt;&gt;"",G693,IFERROR(INDEX('Sản phẩm'!$E$5:$E$304,MATCH(D693,'Sản phẩm'!$A$5:$A$304,0)),"")))</f>
        <v/>
      </c>
      <c r="J693" s="16">
        <f>IF(OR(D693="",F693=""),"",F693*I693-N(H693))</f>
        <v/>
      </c>
      <c r="K693" s="16">
        <f>IF(OR(D693="",F693=""),"",F693*IFERROR(INDEX('Sản phẩm'!$D$5:$D$304,MATCH(D693,'Sản phẩm'!$A$5:$A$304,0)),""))</f>
        <v/>
      </c>
      <c r="L693" s="16">
        <f>IF(J693="","",J693-K693)</f>
        <v/>
      </c>
      <c r="M693" s="14">
        <f>IF(A693="","",MONTH(A693))</f>
        <v/>
      </c>
      <c r="N693" s="14">
        <f>IF(A693="","",YEAR(A693))</f>
        <v/>
      </c>
    </row>
    <row r="694">
      <c r="A694" s="15" t="n"/>
      <c r="B694" s="10" t="n"/>
      <c r="C694" s="10" t="n"/>
      <c r="D694" s="10" t="n"/>
      <c r="E694" s="14">
        <f>IF(D694="","",IFERROR(INDEX('Sản phẩm'!$B$5:$B$304,MATCH(D694,'Sản phẩm'!$A$5:$A$304,0)),""))</f>
        <v/>
      </c>
      <c r="F694" s="12" t="n"/>
      <c r="G694" s="11" t="n"/>
      <c r="H694" s="11" t="n"/>
      <c r="I694" s="16">
        <f>IF(D694="","",IF(G694&lt;&gt;"",G694,IFERROR(INDEX('Sản phẩm'!$E$5:$E$304,MATCH(D694,'Sản phẩm'!$A$5:$A$304,0)),"")))</f>
        <v/>
      </c>
      <c r="J694" s="16">
        <f>IF(OR(D694="",F694=""),"",F694*I694-N(H694))</f>
        <v/>
      </c>
      <c r="K694" s="16">
        <f>IF(OR(D694="",F694=""),"",F694*IFERROR(INDEX('Sản phẩm'!$D$5:$D$304,MATCH(D694,'Sản phẩm'!$A$5:$A$304,0)),""))</f>
        <v/>
      </c>
      <c r="L694" s="16">
        <f>IF(J694="","",J694-K694)</f>
        <v/>
      </c>
      <c r="M694" s="14">
        <f>IF(A694="","",MONTH(A694))</f>
        <v/>
      </c>
      <c r="N694" s="14">
        <f>IF(A694="","",YEAR(A694))</f>
        <v/>
      </c>
    </row>
    <row r="695">
      <c r="A695" s="15" t="n"/>
      <c r="B695" s="10" t="n"/>
      <c r="C695" s="10" t="n"/>
      <c r="D695" s="10" t="n"/>
      <c r="E695" s="14">
        <f>IF(D695="","",IFERROR(INDEX('Sản phẩm'!$B$5:$B$304,MATCH(D695,'Sản phẩm'!$A$5:$A$304,0)),""))</f>
        <v/>
      </c>
      <c r="F695" s="12" t="n"/>
      <c r="G695" s="11" t="n"/>
      <c r="H695" s="11" t="n"/>
      <c r="I695" s="16">
        <f>IF(D695="","",IF(G695&lt;&gt;"",G695,IFERROR(INDEX('Sản phẩm'!$E$5:$E$304,MATCH(D695,'Sản phẩm'!$A$5:$A$304,0)),"")))</f>
        <v/>
      </c>
      <c r="J695" s="16">
        <f>IF(OR(D695="",F695=""),"",F695*I695-N(H695))</f>
        <v/>
      </c>
      <c r="K695" s="16">
        <f>IF(OR(D695="",F695=""),"",F695*IFERROR(INDEX('Sản phẩm'!$D$5:$D$304,MATCH(D695,'Sản phẩm'!$A$5:$A$304,0)),""))</f>
        <v/>
      </c>
      <c r="L695" s="16">
        <f>IF(J695="","",J695-K695)</f>
        <v/>
      </c>
      <c r="M695" s="14">
        <f>IF(A695="","",MONTH(A695))</f>
        <v/>
      </c>
      <c r="N695" s="14">
        <f>IF(A695="","",YEAR(A695))</f>
        <v/>
      </c>
    </row>
    <row r="696">
      <c r="A696" s="15" t="n"/>
      <c r="B696" s="10" t="n"/>
      <c r="C696" s="10" t="n"/>
      <c r="D696" s="10" t="n"/>
      <c r="E696" s="14">
        <f>IF(D696="","",IFERROR(INDEX('Sản phẩm'!$B$5:$B$304,MATCH(D696,'Sản phẩm'!$A$5:$A$304,0)),""))</f>
        <v/>
      </c>
      <c r="F696" s="12" t="n"/>
      <c r="G696" s="11" t="n"/>
      <c r="H696" s="11" t="n"/>
      <c r="I696" s="16">
        <f>IF(D696="","",IF(G696&lt;&gt;"",G696,IFERROR(INDEX('Sản phẩm'!$E$5:$E$304,MATCH(D696,'Sản phẩm'!$A$5:$A$304,0)),"")))</f>
        <v/>
      </c>
      <c r="J696" s="16">
        <f>IF(OR(D696="",F696=""),"",F696*I696-N(H696))</f>
        <v/>
      </c>
      <c r="K696" s="16">
        <f>IF(OR(D696="",F696=""),"",F696*IFERROR(INDEX('Sản phẩm'!$D$5:$D$304,MATCH(D696,'Sản phẩm'!$A$5:$A$304,0)),""))</f>
        <v/>
      </c>
      <c r="L696" s="16">
        <f>IF(J696="","",J696-K696)</f>
        <v/>
      </c>
      <c r="M696" s="14">
        <f>IF(A696="","",MONTH(A696))</f>
        <v/>
      </c>
      <c r="N696" s="14">
        <f>IF(A696="","",YEAR(A696))</f>
        <v/>
      </c>
    </row>
    <row r="697">
      <c r="A697" s="15" t="n"/>
      <c r="B697" s="10" t="n"/>
      <c r="C697" s="10" t="n"/>
      <c r="D697" s="10" t="n"/>
      <c r="E697" s="14">
        <f>IF(D697="","",IFERROR(INDEX('Sản phẩm'!$B$5:$B$304,MATCH(D697,'Sản phẩm'!$A$5:$A$304,0)),""))</f>
        <v/>
      </c>
      <c r="F697" s="12" t="n"/>
      <c r="G697" s="11" t="n"/>
      <c r="H697" s="11" t="n"/>
      <c r="I697" s="16">
        <f>IF(D697="","",IF(G697&lt;&gt;"",G697,IFERROR(INDEX('Sản phẩm'!$E$5:$E$304,MATCH(D697,'Sản phẩm'!$A$5:$A$304,0)),"")))</f>
        <v/>
      </c>
      <c r="J697" s="16">
        <f>IF(OR(D697="",F697=""),"",F697*I697-N(H697))</f>
        <v/>
      </c>
      <c r="K697" s="16">
        <f>IF(OR(D697="",F697=""),"",F697*IFERROR(INDEX('Sản phẩm'!$D$5:$D$304,MATCH(D697,'Sản phẩm'!$A$5:$A$304,0)),""))</f>
        <v/>
      </c>
      <c r="L697" s="16">
        <f>IF(J697="","",J697-K697)</f>
        <v/>
      </c>
      <c r="M697" s="14">
        <f>IF(A697="","",MONTH(A697))</f>
        <v/>
      </c>
      <c r="N697" s="14">
        <f>IF(A697="","",YEAR(A697))</f>
        <v/>
      </c>
    </row>
    <row r="698">
      <c r="A698" s="15" t="n"/>
      <c r="B698" s="10" t="n"/>
      <c r="C698" s="10" t="n"/>
      <c r="D698" s="10" t="n"/>
      <c r="E698" s="14">
        <f>IF(D698="","",IFERROR(INDEX('Sản phẩm'!$B$5:$B$304,MATCH(D698,'Sản phẩm'!$A$5:$A$304,0)),""))</f>
        <v/>
      </c>
      <c r="F698" s="12" t="n"/>
      <c r="G698" s="11" t="n"/>
      <c r="H698" s="11" t="n"/>
      <c r="I698" s="16">
        <f>IF(D698="","",IF(G698&lt;&gt;"",G698,IFERROR(INDEX('Sản phẩm'!$E$5:$E$304,MATCH(D698,'Sản phẩm'!$A$5:$A$304,0)),"")))</f>
        <v/>
      </c>
      <c r="J698" s="16">
        <f>IF(OR(D698="",F698=""),"",F698*I698-N(H698))</f>
        <v/>
      </c>
      <c r="K698" s="16">
        <f>IF(OR(D698="",F698=""),"",F698*IFERROR(INDEX('Sản phẩm'!$D$5:$D$304,MATCH(D698,'Sản phẩm'!$A$5:$A$304,0)),""))</f>
        <v/>
      </c>
      <c r="L698" s="16">
        <f>IF(J698="","",J698-K698)</f>
        <v/>
      </c>
      <c r="M698" s="14">
        <f>IF(A698="","",MONTH(A698))</f>
        <v/>
      </c>
      <c r="N698" s="14">
        <f>IF(A698="","",YEAR(A698))</f>
        <v/>
      </c>
    </row>
    <row r="699">
      <c r="A699" s="15" t="n"/>
      <c r="B699" s="10" t="n"/>
      <c r="C699" s="10" t="n"/>
      <c r="D699" s="10" t="n"/>
      <c r="E699" s="14">
        <f>IF(D699="","",IFERROR(INDEX('Sản phẩm'!$B$5:$B$304,MATCH(D699,'Sản phẩm'!$A$5:$A$304,0)),""))</f>
        <v/>
      </c>
      <c r="F699" s="12" t="n"/>
      <c r="G699" s="11" t="n"/>
      <c r="H699" s="11" t="n"/>
      <c r="I699" s="16">
        <f>IF(D699="","",IF(G699&lt;&gt;"",G699,IFERROR(INDEX('Sản phẩm'!$E$5:$E$304,MATCH(D699,'Sản phẩm'!$A$5:$A$304,0)),"")))</f>
        <v/>
      </c>
      <c r="J699" s="16">
        <f>IF(OR(D699="",F699=""),"",F699*I699-N(H699))</f>
        <v/>
      </c>
      <c r="K699" s="16">
        <f>IF(OR(D699="",F699=""),"",F699*IFERROR(INDEX('Sản phẩm'!$D$5:$D$304,MATCH(D699,'Sản phẩm'!$A$5:$A$304,0)),""))</f>
        <v/>
      </c>
      <c r="L699" s="16">
        <f>IF(J699="","",J699-K699)</f>
        <v/>
      </c>
      <c r="M699" s="14">
        <f>IF(A699="","",MONTH(A699))</f>
        <v/>
      </c>
      <c r="N699" s="14">
        <f>IF(A699="","",YEAR(A699))</f>
        <v/>
      </c>
    </row>
    <row r="700">
      <c r="A700" s="15" t="n"/>
      <c r="B700" s="10" t="n"/>
      <c r="C700" s="10" t="n"/>
      <c r="D700" s="10" t="n"/>
      <c r="E700" s="14">
        <f>IF(D700="","",IFERROR(INDEX('Sản phẩm'!$B$5:$B$304,MATCH(D700,'Sản phẩm'!$A$5:$A$304,0)),""))</f>
        <v/>
      </c>
      <c r="F700" s="12" t="n"/>
      <c r="G700" s="11" t="n"/>
      <c r="H700" s="11" t="n"/>
      <c r="I700" s="16">
        <f>IF(D700="","",IF(G700&lt;&gt;"",G700,IFERROR(INDEX('Sản phẩm'!$E$5:$E$304,MATCH(D700,'Sản phẩm'!$A$5:$A$304,0)),"")))</f>
        <v/>
      </c>
      <c r="J700" s="16">
        <f>IF(OR(D700="",F700=""),"",F700*I700-N(H700))</f>
        <v/>
      </c>
      <c r="K700" s="16">
        <f>IF(OR(D700="",F700=""),"",F700*IFERROR(INDEX('Sản phẩm'!$D$5:$D$304,MATCH(D700,'Sản phẩm'!$A$5:$A$304,0)),""))</f>
        <v/>
      </c>
      <c r="L700" s="16">
        <f>IF(J700="","",J700-K700)</f>
        <v/>
      </c>
      <c r="M700" s="14">
        <f>IF(A700="","",MONTH(A700))</f>
        <v/>
      </c>
      <c r="N700" s="14">
        <f>IF(A700="","",YEAR(A700))</f>
        <v/>
      </c>
    </row>
    <row r="701">
      <c r="A701" s="15" t="n"/>
      <c r="B701" s="10" t="n"/>
      <c r="C701" s="10" t="n"/>
      <c r="D701" s="10" t="n"/>
      <c r="E701" s="14">
        <f>IF(D701="","",IFERROR(INDEX('Sản phẩm'!$B$5:$B$304,MATCH(D701,'Sản phẩm'!$A$5:$A$304,0)),""))</f>
        <v/>
      </c>
      <c r="F701" s="12" t="n"/>
      <c r="G701" s="11" t="n"/>
      <c r="H701" s="11" t="n"/>
      <c r="I701" s="16">
        <f>IF(D701="","",IF(G701&lt;&gt;"",G701,IFERROR(INDEX('Sản phẩm'!$E$5:$E$304,MATCH(D701,'Sản phẩm'!$A$5:$A$304,0)),"")))</f>
        <v/>
      </c>
      <c r="J701" s="16">
        <f>IF(OR(D701="",F701=""),"",F701*I701-N(H701))</f>
        <v/>
      </c>
      <c r="K701" s="16">
        <f>IF(OR(D701="",F701=""),"",F701*IFERROR(INDEX('Sản phẩm'!$D$5:$D$304,MATCH(D701,'Sản phẩm'!$A$5:$A$304,0)),""))</f>
        <v/>
      </c>
      <c r="L701" s="16">
        <f>IF(J701="","",J701-K701)</f>
        <v/>
      </c>
      <c r="M701" s="14">
        <f>IF(A701="","",MONTH(A701))</f>
        <v/>
      </c>
      <c r="N701" s="14">
        <f>IF(A701="","",YEAR(A701))</f>
        <v/>
      </c>
    </row>
    <row r="702">
      <c r="A702" s="15" t="n"/>
      <c r="B702" s="10" t="n"/>
      <c r="C702" s="10" t="n"/>
      <c r="D702" s="10" t="n"/>
      <c r="E702" s="14">
        <f>IF(D702="","",IFERROR(INDEX('Sản phẩm'!$B$5:$B$304,MATCH(D702,'Sản phẩm'!$A$5:$A$304,0)),""))</f>
        <v/>
      </c>
      <c r="F702" s="12" t="n"/>
      <c r="G702" s="11" t="n"/>
      <c r="H702" s="11" t="n"/>
      <c r="I702" s="16">
        <f>IF(D702="","",IF(G702&lt;&gt;"",G702,IFERROR(INDEX('Sản phẩm'!$E$5:$E$304,MATCH(D702,'Sản phẩm'!$A$5:$A$304,0)),"")))</f>
        <v/>
      </c>
      <c r="J702" s="16">
        <f>IF(OR(D702="",F702=""),"",F702*I702-N(H702))</f>
        <v/>
      </c>
      <c r="K702" s="16">
        <f>IF(OR(D702="",F702=""),"",F702*IFERROR(INDEX('Sản phẩm'!$D$5:$D$304,MATCH(D702,'Sản phẩm'!$A$5:$A$304,0)),""))</f>
        <v/>
      </c>
      <c r="L702" s="16">
        <f>IF(J702="","",J702-K702)</f>
        <v/>
      </c>
      <c r="M702" s="14">
        <f>IF(A702="","",MONTH(A702))</f>
        <v/>
      </c>
      <c r="N702" s="14">
        <f>IF(A702="","",YEAR(A702))</f>
        <v/>
      </c>
    </row>
    <row r="703">
      <c r="A703" s="15" t="n"/>
      <c r="B703" s="10" t="n"/>
      <c r="C703" s="10" t="n"/>
      <c r="D703" s="10" t="n"/>
      <c r="E703" s="14">
        <f>IF(D703="","",IFERROR(INDEX('Sản phẩm'!$B$5:$B$304,MATCH(D703,'Sản phẩm'!$A$5:$A$304,0)),""))</f>
        <v/>
      </c>
      <c r="F703" s="12" t="n"/>
      <c r="G703" s="11" t="n"/>
      <c r="H703" s="11" t="n"/>
      <c r="I703" s="16">
        <f>IF(D703="","",IF(G703&lt;&gt;"",G703,IFERROR(INDEX('Sản phẩm'!$E$5:$E$304,MATCH(D703,'Sản phẩm'!$A$5:$A$304,0)),"")))</f>
        <v/>
      </c>
      <c r="J703" s="16">
        <f>IF(OR(D703="",F703=""),"",F703*I703-N(H703))</f>
        <v/>
      </c>
      <c r="K703" s="16">
        <f>IF(OR(D703="",F703=""),"",F703*IFERROR(INDEX('Sản phẩm'!$D$5:$D$304,MATCH(D703,'Sản phẩm'!$A$5:$A$304,0)),""))</f>
        <v/>
      </c>
      <c r="L703" s="16">
        <f>IF(J703="","",J703-K703)</f>
        <v/>
      </c>
      <c r="M703" s="14">
        <f>IF(A703="","",MONTH(A703))</f>
        <v/>
      </c>
      <c r="N703" s="14">
        <f>IF(A703="","",YEAR(A703))</f>
        <v/>
      </c>
    </row>
    <row r="704">
      <c r="A704" s="15" t="n"/>
      <c r="B704" s="10" t="n"/>
      <c r="C704" s="10" t="n"/>
      <c r="D704" s="10" t="n"/>
      <c r="E704" s="14">
        <f>IF(D704="","",IFERROR(INDEX('Sản phẩm'!$B$5:$B$304,MATCH(D704,'Sản phẩm'!$A$5:$A$304,0)),""))</f>
        <v/>
      </c>
      <c r="F704" s="12" t="n"/>
      <c r="G704" s="11" t="n"/>
      <c r="H704" s="11" t="n"/>
      <c r="I704" s="16">
        <f>IF(D704="","",IF(G704&lt;&gt;"",G704,IFERROR(INDEX('Sản phẩm'!$E$5:$E$304,MATCH(D704,'Sản phẩm'!$A$5:$A$304,0)),"")))</f>
        <v/>
      </c>
      <c r="J704" s="16">
        <f>IF(OR(D704="",F704=""),"",F704*I704-N(H704))</f>
        <v/>
      </c>
      <c r="K704" s="16">
        <f>IF(OR(D704="",F704=""),"",F704*IFERROR(INDEX('Sản phẩm'!$D$5:$D$304,MATCH(D704,'Sản phẩm'!$A$5:$A$304,0)),""))</f>
        <v/>
      </c>
      <c r="L704" s="16">
        <f>IF(J704="","",J704-K704)</f>
        <v/>
      </c>
      <c r="M704" s="14">
        <f>IF(A704="","",MONTH(A704))</f>
        <v/>
      </c>
      <c r="N704" s="14">
        <f>IF(A704="","",YEAR(A704))</f>
        <v/>
      </c>
    </row>
    <row r="705">
      <c r="A705" s="15" t="n"/>
      <c r="B705" s="10" t="n"/>
      <c r="C705" s="10" t="n"/>
      <c r="D705" s="10" t="n"/>
      <c r="E705" s="14">
        <f>IF(D705="","",IFERROR(INDEX('Sản phẩm'!$B$5:$B$304,MATCH(D705,'Sản phẩm'!$A$5:$A$304,0)),""))</f>
        <v/>
      </c>
      <c r="F705" s="12" t="n"/>
      <c r="G705" s="11" t="n"/>
      <c r="H705" s="11" t="n"/>
      <c r="I705" s="16">
        <f>IF(D705="","",IF(G705&lt;&gt;"",G705,IFERROR(INDEX('Sản phẩm'!$E$5:$E$304,MATCH(D705,'Sản phẩm'!$A$5:$A$304,0)),"")))</f>
        <v/>
      </c>
      <c r="J705" s="16">
        <f>IF(OR(D705="",F705=""),"",F705*I705-N(H705))</f>
        <v/>
      </c>
      <c r="K705" s="16">
        <f>IF(OR(D705="",F705=""),"",F705*IFERROR(INDEX('Sản phẩm'!$D$5:$D$304,MATCH(D705,'Sản phẩm'!$A$5:$A$304,0)),""))</f>
        <v/>
      </c>
      <c r="L705" s="16">
        <f>IF(J705="","",J705-K705)</f>
        <v/>
      </c>
      <c r="M705" s="14">
        <f>IF(A705="","",MONTH(A705))</f>
        <v/>
      </c>
      <c r="N705" s="14">
        <f>IF(A705="","",YEAR(A705))</f>
        <v/>
      </c>
    </row>
    <row r="706">
      <c r="A706" s="15" t="n"/>
      <c r="B706" s="10" t="n"/>
      <c r="C706" s="10" t="n"/>
      <c r="D706" s="10" t="n"/>
      <c r="E706" s="14">
        <f>IF(D706="","",IFERROR(INDEX('Sản phẩm'!$B$5:$B$304,MATCH(D706,'Sản phẩm'!$A$5:$A$304,0)),""))</f>
        <v/>
      </c>
      <c r="F706" s="12" t="n"/>
      <c r="G706" s="11" t="n"/>
      <c r="H706" s="11" t="n"/>
      <c r="I706" s="16">
        <f>IF(D706="","",IF(G706&lt;&gt;"",G706,IFERROR(INDEX('Sản phẩm'!$E$5:$E$304,MATCH(D706,'Sản phẩm'!$A$5:$A$304,0)),"")))</f>
        <v/>
      </c>
      <c r="J706" s="16">
        <f>IF(OR(D706="",F706=""),"",F706*I706-N(H706))</f>
        <v/>
      </c>
      <c r="K706" s="16">
        <f>IF(OR(D706="",F706=""),"",F706*IFERROR(INDEX('Sản phẩm'!$D$5:$D$304,MATCH(D706,'Sản phẩm'!$A$5:$A$304,0)),""))</f>
        <v/>
      </c>
      <c r="L706" s="16">
        <f>IF(J706="","",J706-K706)</f>
        <v/>
      </c>
      <c r="M706" s="14">
        <f>IF(A706="","",MONTH(A706))</f>
        <v/>
      </c>
      <c r="N706" s="14">
        <f>IF(A706="","",YEAR(A706))</f>
        <v/>
      </c>
    </row>
    <row r="707">
      <c r="A707" s="15" t="n"/>
      <c r="B707" s="10" t="n"/>
      <c r="C707" s="10" t="n"/>
      <c r="D707" s="10" t="n"/>
      <c r="E707" s="14">
        <f>IF(D707="","",IFERROR(INDEX('Sản phẩm'!$B$5:$B$304,MATCH(D707,'Sản phẩm'!$A$5:$A$304,0)),""))</f>
        <v/>
      </c>
      <c r="F707" s="12" t="n"/>
      <c r="G707" s="11" t="n"/>
      <c r="H707" s="11" t="n"/>
      <c r="I707" s="16">
        <f>IF(D707="","",IF(G707&lt;&gt;"",G707,IFERROR(INDEX('Sản phẩm'!$E$5:$E$304,MATCH(D707,'Sản phẩm'!$A$5:$A$304,0)),"")))</f>
        <v/>
      </c>
      <c r="J707" s="16">
        <f>IF(OR(D707="",F707=""),"",F707*I707-N(H707))</f>
        <v/>
      </c>
      <c r="K707" s="16">
        <f>IF(OR(D707="",F707=""),"",F707*IFERROR(INDEX('Sản phẩm'!$D$5:$D$304,MATCH(D707,'Sản phẩm'!$A$5:$A$304,0)),""))</f>
        <v/>
      </c>
      <c r="L707" s="16">
        <f>IF(J707="","",J707-K707)</f>
        <v/>
      </c>
      <c r="M707" s="14">
        <f>IF(A707="","",MONTH(A707))</f>
        <v/>
      </c>
      <c r="N707" s="14">
        <f>IF(A707="","",YEAR(A707))</f>
        <v/>
      </c>
    </row>
    <row r="708">
      <c r="A708" s="15" t="n"/>
      <c r="B708" s="10" t="n"/>
      <c r="C708" s="10" t="n"/>
      <c r="D708" s="10" t="n"/>
      <c r="E708" s="14">
        <f>IF(D708="","",IFERROR(INDEX('Sản phẩm'!$B$5:$B$304,MATCH(D708,'Sản phẩm'!$A$5:$A$304,0)),""))</f>
        <v/>
      </c>
      <c r="F708" s="12" t="n"/>
      <c r="G708" s="11" t="n"/>
      <c r="H708" s="11" t="n"/>
      <c r="I708" s="16">
        <f>IF(D708="","",IF(G708&lt;&gt;"",G708,IFERROR(INDEX('Sản phẩm'!$E$5:$E$304,MATCH(D708,'Sản phẩm'!$A$5:$A$304,0)),"")))</f>
        <v/>
      </c>
      <c r="J708" s="16">
        <f>IF(OR(D708="",F708=""),"",F708*I708-N(H708))</f>
        <v/>
      </c>
      <c r="K708" s="16">
        <f>IF(OR(D708="",F708=""),"",F708*IFERROR(INDEX('Sản phẩm'!$D$5:$D$304,MATCH(D708,'Sản phẩm'!$A$5:$A$304,0)),""))</f>
        <v/>
      </c>
      <c r="L708" s="16">
        <f>IF(J708="","",J708-K708)</f>
        <v/>
      </c>
      <c r="M708" s="14">
        <f>IF(A708="","",MONTH(A708))</f>
        <v/>
      </c>
      <c r="N708" s="14">
        <f>IF(A708="","",YEAR(A708))</f>
        <v/>
      </c>
    </row>
    <row r="709">
      <c r="A709" s="15" t="n"/>
      <c r="B709" s="10" t="n"/>
      <c r="C709" s="10" t="n"/>
      <c r="D709" s="10" t="n"/>
      <c r="E709" s="14">
        <f>IF(D709="","",IFERROR(INDEX('Sản phẩm'!$B$5:$B$304,MATCH(D709,'Sản phẩm'!$A$5:$A$304,0)),""))</f>
        <v/>
      </c>
      <c r="F709" s="12" t="n"/>
      <c r="G709" s="11" t="n"/>
      <c r="H709" s="11" t="n"/>
      <c r="I709" s="16">
        <f>IF(D709="","",IF(G709&lt;&gt;"",G709,IFERROR(INDEX('Sản phẩm'!$E$5:$E$304,MATCH(D709,'Sản phẩm'!$A$5:$A$304,0)),"")))</f>
        <v/>
      </c>
      <c r="J709" s="16">
        <f>IF(OR(D709="",F709=""),"",F709*I709-N(H709))</f>
        <v/>
      </c>
      <c r="K709" s="16">
        <f>IF(OR(D709="",F709=""),"",F709*IFERROR(INDEX('Sản phẩm'!$D$5:$D$304,MATCH(D709,'Sản phẩm'!$A$5:$A$304,0)),""))</f>
        <v/>
      </c>
      <c r="L709" s="16">
        <f>IF(J709="","",J709-K709)</f>
        <v/>
      </c>
      <c r="M709" s="14">
        <f>IF(A709="","",MONTH(A709))</f>
        <v/>
      </c>
      <c r="N709" s="14">
        <f>IF(A709="","",YEAR(A709))</f>
        <v/>
      </c>
    </row>
    <row r="710">
      <c r="A710" s="15" t="n"/>
      <c r="B710" s="10" t="n"/>
      <c r="C710" s="10" t="n"/>
      <c r="D710" s="10" t="n"/>
      <c r="E710" s="14">
        <f>IF(D710="","",IFERROR(INDEX('Sản phẩm'!$B$5:$B$304,MATCH(D710,'Sản phẩm'!$A$5:$A$304,0)),""))</f>
        <v/>
      </c>
      <c r="F710" s="12" t="n"/>
      <c r="G710" s="11" t="n"/>
      <c r="H710" s="11" t="n"/>
      <c r="I710" s="16">
        <f>IF(D710="","",IF(G710&lt;&gt;"",G710,IFERROR(INDEX('Sản phẩm'!$E$5:$E$304,MATCH(D710,'Sản phẩm'!$A$5:$A$304,0)),"")))</f>
        <v/>
      </c>
      <c r="J710" s="16">
        <f>IF(OR(D710="",F710=""),"",F710*I710-N(H710))</f>
        <v/>
      </c>
      <c r="K710" s="16">
        <f>IF(OR(D710="",F710=""),"",F710*IFERROR(INDEX('Sản phẩm'!$D$5:$D$304,MATCH(D710,'Sản phẩm'!$A$5:$A$304,0)),""))</f>
        <v/>
      </c>
      <c r="L710" s="16">
        <f>IF(J710="","",J710-K710)</f>
        <v/>
      </c>
      <c r="M710" s="14">
        <f>IF(A710="","",MONTH(A710))</f>
        <v/>
      </c>
      <c r="N710" s="14">
        <f>IF(A710="","",YEAR(A710))</f>
        <v/>
      </c>
    </row>
    <row r="711">
      <c r="A711" s="15" t="n"/>
      <c r="B711" s="10" t="n"/>
      <c r="C711" s="10" t="n"/>
      <c r="D711" s="10" t="n"/>
      <c r="E711" s="14">
        <f>IF(D711="","",IFERROR(INDEX('Sản phẩm'!$B$5:$B$304,MATCH(D711,'Sản phẩm'!$A$5:$A$304,0)),""))</f>
        <v/>
      </c>
      <c r="F711" s="12" t="n"/>
      <c r="G711" s="11" t="n"/>
      <c r="H711" s="11" t="n"/>
      <c r="I711" s="16">
        <f>IF(D711="","",IF(G711&lt;&gt;"",G711,IFERROR(INDEX('Sản phẩm'!$E$5:$E$304,MATCH(D711,'Sản phẩm'!$A$5:$A$304,0)),"")))</f>
        <v/>
      </c>
      <c r="J711" s="16">
        <f>IF(OR(D711="",F711=""),"",F711*I711-N(H711))</f>
        <v/>
      </c>
      <c r="K711" s="16">
        <f>IF(OR(D711="",F711=""),"",F711*IFERROR(INDEX('Sản phẩm'!$D$5:$D$304,MATCH(D711,'Sản phẩm'!$A$5:$A$304,0)),""))</f>
        <v/>
      </c>
      <c r="L711" s="16">
        <f>IF(J711="","",J711-K711)</f>
        <v/>
      </c>
      <c r="M711" s="14">
        <f>IF(A711="","",MONTH(A711))</f>
        <v/>
      </c>
      <c r="N711" s="14">
        <f>IF(A711="","",YEAR(A711))</f>
        <v/>
      </c>
    </row>
    <row r="712">
      <c r="A712" s="15" t="n"/>
      <c r="B712" s="10" t="n"/>
      <c r="C712" s="10" t="n"/>
      <c r="D712" s="10" t="n"/>
      <c r="E712" s="14">
        <f>IF(D712="","",IFERROR(INDEX('Sản phẩm'!$B$5:$B$304,MATCH(D712,'Sản phẩm'!$A$5:$A$304,0)),""))</f>
        <v/>
      </c>
      <c r="F712" s="12" t="n"/>
      <c r="G712" s="11" t="n"/>
      <c r="H712" s="11" t="n"/>
      <c r="I712" s="16">
        <f>IF(D712="","",IF(G712&lt;&gt;"",G712,IFERROR(INDEX('Sản phẩm'!$E$5:$E$304,MATCH(D712,'Sản phẩm'!$A$5:$A$304,0)),"")))</f>
        <v/>
      </c>
      <c r="J712" s="16">
        <f>IF(OR(D712="",F712=""),"",F712*I712-N(H712))</f>
        <v/>
      </c>
      <c r="K712" s="16">
        <f>IF(OR(D712="",F712=""),"",F712*IFERROR(INDEX('Sản phẩm'!$D$5:$D$304,MATCH(D712,'Sản phẩm'!$A$5:$A$304,0)),""))</f>
        <v/>
      </c>
      <c r="L712" s="16">
        <f>IF(J712="","",J712-K712)</f>
        <v/>
      </c>
      <c r="M712" s="14">
        <f>IF(A712="","",MONTH(A712))</f>
        <v/>
      </c>
      <c r="N712" s="14">
        <f>IF(A712="","",YEAR(A712))</f>
        <v/>
      </c>
    </row>
    <row r="713">
      <c r="A713" s="15" t="n"/>
      <c r="B713" s="10" t="n"/>
      <c r="C713" s="10" t="n"/>
      <c r="D713" s="10" t="n"/>
      <c r="E713" s="14">
        <f>IF(D713="","",IFERROR(INDEX('Sản phẩm'!$B$5:$B$304,MATCH(D713,'Sản phẩm'!$A$5:$A$304,0)),""))</f>
        <v/>
      </c>
      <c r="F713" s="12" t="n"/>
      <c r="G713" s="11" t="n"/>
      <c r="H713" s="11" t="n"/>
      <c r="I713" s="16">
        <f>IF(D713="","",IF(G713&lt;&gt;"",G713,IFERROR(INDEX('Sản phẩm'!$E$5:$E$304,MATCH(D713,'Sản phẩm'!$A$5:$A$304,0)),"")))</f>
        <v/>
      </c>
      <c r="J713" s="16">
        <f>IF(OR(D713="",F713=""),"",F713*I713-N(H713))</f>
        <v/>
      </c>
      <c r="K713" s="16">
        <f>IF(OR(D713="",F713=""),"",F713*IFERROR(INDEX('Sản phẩm'!$D$5:$D$304,MATCH(D713,'Sản phẩm'!$A$5:$A$304,0)),""))</f>
        <v/>
      </c>
      <c r="L713" s="16">
        <f>IF(J713="","",J713-K713)</f>
        <v/>
      </c>
      <c r="M713" s="14">
        <f>IF(A713="","",MONTH(A713))</f>
        <v/>
      </c>
      <c r="N713" s="14">
        <f>IF(A713="","",YEAR(A713))</f>
        <v/>
      </c>
    </row>
    <row r="714">
      <c r="A714" s="15" t="n"/>
      <c r="B714" s="10" t="n"/>
      <c r="C714" s="10" t="n"/>
      <c r="D714" s="10" t="n"/>
      <c r="E714" s="14">
        <f>IF(D714="","",IFERROR(INDEX('Sản phẩm'!$B$5:$B$304,MATCH(D714,'Sản phẩm'!$A$5:$A$304,0)),""))</f>
        <v/>
      </c>
      <c r="F714" s="12" t="n"/>
      <c r="G714" s="11" t="n"/>
      <c r="H714" s="11" t="n"/>
      <c r="I714" s="16">
        <f>IF(D714="","",IF(G714&lt;&gt;"",G714,IFERROR(INDEX('Sản phẩm'!$E$5:$E$304,MATCH(D714,'Sản phẩm'!$A$5:$A$304,0)),"")))</f>
        <v/>
      </c>
      <c r="J714" s="16">
        <f>IF(OR(D714="",F714=""),"",F714*I714-N(H714))</f>
        <v/>
      </c>
      <c r="K714" s="16">
        <f>IF(OR(D714="",F714=""),"",F714*IFERROR(INDEX('Sản phẩm'!$D$5:$D$304,MATCH(D714,'Sản phẩm'!$A$5:$A$304,0)),""))</f>
        <v/>
      </c>
      <c r="L714" s="16">
        <f>IF(J714="","",J714-K714)</f>
        <v/>
      </c>
      <c r="M714" s="14">
        <f>IF(A714="","",MONTH(A714))</f>
        <v/>
      </c>
      <c r="N714" s="14">
        <f>IF(A714="","",YEAR(A714))</f>
        <v/>
      </c>
    </row>
    <row r="715">
      <c r="A715" s="15" t="n"/>
      <c r="B715" s="10" t="n"/>
      <c r="C715" s="10" t="n"/>
      <c r="D715" s="10" t="n"/>
      <c r="E715" s="14">
        <f>IF(D715="","",IFERROR(INDEX('Sản phẩm'!$B$5:$B$304,MATCH(D715,'Sản phẩm'!$A$5:$A$304,0)),""))</f>
        <v/>
      </c>
      <c r="F715" s="12" t="n"/>
      <c r="G715" s="11" t="n"/>
      <c r="H715" s="11" t="n"/>
      <c r="I715" s="16">
        <f>IF(D715="","",IF(G715&lt;&gt;"",G715,IFERROR(INDEX('Sản phẩm'!$E$5:$E$304,MATCH(D715,'Sản phẩm'!$A$5:$A$304,0)),"")))</f>
        <v/>
      </c>
      <c r="J715" s="16">
        <f>IF(OR(D715="",F715=""),"",F715*I715-N(H715))</f>
        <v/>
      </c>
      <c r="K715" s="16">
        <f>IF(OR(D715="",F715=""),"",F715*IFERROR(INDEX('Sản phẩm'!$D$5:$D$304,MATCH(D715,'Sản phẩm'!$A$5:$A$304,0)),""))</f>
        <v/>
      </c>
      <c r="L715" s="16">
        <f>IF(J715="","",J715-K715)</f>
        <v/>
      </c>
      <c r="M715" s="14">
        <f>IF(A715="","",MONTH(A715))</f>
        <v/>
      </c>
      <c r="N715" s="14">
        <f>IF(A715="","",YEAR(A715))</f>
        <v/>
      </c>
    </row>
    <row r="716">
      <c r="A716" s="15" t="n"/>
      <c r="B716" s="10" t="n"/>
      <c r="C716" s="10" t="n"/>
      <c r="D716" s="10" t="n"/>
      <c r="E716" s="14">
        <f>IF(D716="","",IFERROR(INDEX('Sản phẩm'!$B$5:$B$304,MATCH(D716,'Sản phẩm'!$A$5:$A$304,0)),""))</f>
        <v/>
      </c>
      <c r="F716" s="12" t="n"/>
      <c r="G716" s="11" t="n"/>
      <c r="H716" s="11" t="n"/>
      <c r="I716" s="16">
        <f>IF(D716="","",IF(G716&lt;&gt;"",G716,IFERROR(INDEX('Sản phẩm'!$E$5:$E$304,MATCH(D716,'Sản phẩm'!$A$5:$A$304,0)),"")))</f>
        <v/>
      </c>
      <c r="J716" s="16">
        <f>IF(OR(D716="",F716=""),"",F716*I716-N(H716))</f>
        <v/>
      </c>
      <c r="K716" s="16">
        <f>IF(OR(D716="",F716=""),"",F716*IFERROR(INDEX('Sản phẩm'!$D$5:$D$304,MATCH(D716,'Sản phẩm'!$A$5:$A$304,0)),""))</f>
        <v/>
      </c>
      <c r="L716" s="16">
        <f>IF(J716="","",J716-K716)</f>
        <v/>
      </c>
      <c r="M716" s="14">
        <f>IF(A716="","",MONTH(A716))</f>
        <v/>
      </c>
      <c r="N716" s="14">
        <f>IF(A716="","",YEAR(A716))</f>
        <v/>
      </c>
    </row>
    <row r="717">
      <c r="A717" s="15" t="n"/>
      <c r="B717" s="10" t="n"/>
      <c r="C717" s="10" t="n"/>
      <c r="D717" s="10" t="n"/>
      <c r="E717" s="14">
        <f>IF(D717="","",IFERROR(INDEX('Sản phẩm'!$B$5:$B$304,MATCH(D717,'Sản phẩm'!$A$5:$A$304,0)),""))</f>
        <v/>
      </c>
      <c r="F717" s="12" t="n"/>
      <c r="G717" s="11" t="n"/>
      <c r="H717" s="11" t="n"/>
      <c r="I717" s="16">
        <f>IF(D717="","",IF(G717&lt;&gt;"",G717,IFERROR(INDEX('Sản phẩm'!$E$5:$E$304,MATCH(D717,'Sản phẩm'!$A$5:$A$304,0)),"")))</f>
        <v/>
      </c>
      <c r="J717" s="16">
        <f>IF(OR(D717="",F717=""),"",F717*I717-N(H717))</f>
        <v/>
      </c>
      <c r="K717" s="16">
        <f>IF(OR(D717="",F717=""),"",F717*IFERROR(INDEX('Sản phẩm'!$D$5:$D$304,MATCH(D717,'Sản phẩm'!$A$5:$A$304,0)),""))</f>
        <v/>
      </c>
      <c r="L717" s="16">
        <f>IF(J717="","",J717-K717)</f>
        <v/>
      </c>
      <c r="M717" s="14">
        <f>IF(A717="","",MONTH(A717))</f>
        <v/>
      </c>
      <c r="N717" s="14">
        <f>IF(A717="","",YEAR(A717))</f>
        <v/>
      </c>
    </row>
    <row r="718">
      <c r="A718" s="15" t="n"/>
      <c r="B718" s="10" t="n"/>
      <c r="C718" s="10" t="n"/>
      <c r="D718" s="10" t="n"/>
      <c r="E718" s="14">
        <f>IF(D718="","",IFERROR(INDEX('Sản phẩm'!$B$5:$B$304,MATCH(D718,'Sản phẩm'!$A$5:$A$304,0)),""))</f>
        <v/>
      </c>
      <c r="F718" s="12" t="n"/>
      <c r="G718" s="11" t="n"/>
      <c r="H718" s="11" t="n"/>
      <c r="I718" s="16">
        <f>IF(D718="","",IF(G718&lt;&gt;"",G718,IFERROR(INDEX('Sản phẩm'!$E$5:$E$304,MATCH(D718,'Sản phẩm'!$A$5:$A$304,0)),"")))</f>
        <v/>
      </c>
      <c r="J718" s="16">
        <f>IF(OR(D718="",F718=""),"",F718*I718-N(H718))</f>
        <v/>
      </c>
      <c r="K718" s="16">
        <f>IF(OR(D718="",F718=""),"",F718*IFERROR(INDEX('Sản phẩm'!$D$5:$D$304,MATCH(D718,'Sản phẩm'!$A$5:$A$304,0)),""))</f>
        <v/>
      </c>
      <c r="L718" s="16">
        <f>IF(J718="","",J718-K718)</f>
        <v/>
      </c>
      <c r="M718" s="14">
        <f>IF(A718="","",MONTH(A718))</f>
        <v/>
      </c>
      <c r="N718" s="14">
        <f>IF(A718="","",YEAR(A718))</f>
        <v/>
      </c>
    </row>
    <row r="719">
      <c r="A719" s="15" t="n"/>
      <c r="B719" s="10" t="n"/>
      <c r="C719" s="10" t="n"/>
      <c r="D719" s="10" t="n"/>
      <c r="E719" s="14">
        <f>IF(D719="","",IFERROR(INDEX('Sản phẩm'!$B$5:$B$304,MATCH(D719,'Sản phẩm'!$A$5:$A$304,0)),""))</f>
        <v/>
      </c>
      <c r="F719" s="12" t="n"/>
      <c r="G719" s="11" t="n"/>
      <c r="H719" s="11" t="n"/>
      <c r="I719" s="16">
        <f>IF(D719="","",IF(G719&lt;&gt;"",G719,IFERROR(INDEX('Sản phẩm'!$E$5:$E$304,MATCH(D719,'Sản phẩm'!$A$5:$A$304,0)),"")))</f>
        <v/>
      </c>
      <c r="J719" s="16">
        <f>IF(OR(D719="",F719=""),"",F719*I719-N(H719))</f>
        <v/>
      </c>
      <c r="K719" s="16">
        <f>IF(OR(D719="",F719=""),"",F719*IFERROR(INDEX('Sản phẩm'!$D$5:$D$304,MATCH(D719,'Sản phẩm'!$A$5:$A$304,0)),""))</f>
        <v/>
      </c>
      <c r="L719" s="16">
        <f>IF(J719="","",J719-K719)</f>
        <v/>
      </c>
      <c r="M719" s="14">
        <f>IF(A719="","",MONTH(A719))</f>
        <v/>
      </c>
      <c r="N719" s="14">
        <f>IF(A719="","",YEAR(A719))</f>
        <v/>
      </c>
    </row>
    <row r="720">
      <c r="A720" s="15" t="n"/>
      <c r="B720" s="10" t="n"/>
      <c r="C720" s="10" t="n"/>
      <c r="D720" s="10" t="n"/>
      <c r="E720" s="14">
        <f>IF(D720="","",IFERROR(INDEX('Sản phẩm'!$B$5:$B$304,MATCH(D720,'Sản phẩm'!$A$5:$A$304,0)),""))</f>
        <v/>
      </c>
      <c r="F720" s="12" t="n"/>
      <c r="G720" s="11" t="n"/>
      <c r="H720" s="11" t="n"/>
      <c r="I720" s="16">
        <f>IF(D720="","",IF(G720&lt;&gt;"",G720,IFERROR(INDEX('Sản phẩm'!$E$5:$E$304,MATCH(D720,'Sản phẩm'!$A$5:$A$304,0)),"")))</f>
        <v/>
      </c>
      <c r="J720" s="16">
        <f>IF(OR(D720="",F720=""),"",F720*I720-N(H720))</f>
        <v/>
      </c>
      <c r="K720" s="16">
        <f>IF(OR(D720="",F720=""),"",F720*IFERROR(INDEX('Sản phẩm'!$D$5:$D$304,MATCH(D720,'Sản phẩm'!$A$5:$A$304,0)),""))</f>
        <v/>
      </c>
      <c r="L720" s="16">
        <f>IF(J720="","",J720-K720)</f>
        <v/>
      </c>
      <c r="M720" s="14">
        <f>IF(A720="","",MONTH(A720))</f>
        <v/>
      </c>
      <c r="N720" s="14">
        <f>IF(A720="","",YEAR(A720))</f>
        <v/>
      </c>
    </row>
    <row r="721">
      <c r="A721" s="15" t="n"/>
      <c r="B721" s="10" t="n"/>
      <c r="C721" s="10" t="n"/>
      <c r="D721" s="10" t="n"/>
      <c r="E721" s="14">
        <f>IF(D721="","",IFERROR(INDEX('Sản phẩm'!$B$5:$B$304,MATCH(D721,'Sản phẩm'!$A$5:$A$304,0)),""))</f>
        <v/>
      </c>
      <c r="F721" s="12" t="n"/>
      <c r="G721" s="11" t="n"/>
      <c r="H721" s="11" t="n"/>
      <c r="I721" s="16">
        <f>IF(D721="","",IF(G721&lt;&gt;"",G721,IFERROR(INDEX('Sản phẩm'!$E$5:$E$304,MATCH(D721,'Sản phẩm'!$A$5:$A$304,0)),"")))</f>
        <v/>
      </c>
      <c r="J721" s="16">
        <f>IF(OR(D721="",F721=""),"",F721*I721-N(H721))</f>
        <v/>
      </c>
      <c r="K721" s="16">
        <f>IF(OR(D721="",F721=""),"",F721*IFERROR(INDEX('Sản phẩm'!$D$5:$D$304,MATCH(D721,'Sản phẩm'!$A$5:$A$304,0)),""))</f>
        <v/>
      </c>
      <c r="L721" s="16">
        <f>IF(J721="","",J721-K721)</f>
        <v/>
      </c>
      <c r="M721" s="14">
        <f>IF(A721="","",MONTH(A721))</f>
        <v/>
      </c>
      <c r="N721" s="14">
        <f>IF(A721="","",YEAR(A721))</f>
        <v/>
      </c>
    </row>
    <row r="722">
      <c r="A722" s="15" t="n"/>
      <c r="B722" s="10" t="n"/>
      <c r="C722" s="10" t="n"/>
      <c r="D722" s="10" t="n"/>
      <c r="E722" s="14">
        <f>IF(D722="","",IFERROR(INDEX('Sản phẩm'!$B$5:$B$304,MATCH(D722,'Sản phẩm'!$A$5:$A$304,0)),""))</f>
        <v/>
      </c>
      <c r="F722" s="12" t="n"/>
      <c r="G722" s="11" t="n"/>
      <c r="H722" s="11" t="n"/>
      <c r="I722" s="16">
        <f>IF(D722="","",IF(G722&lt;&gt;"",G722,IFERROR(INDEX('Sản phẩm'!$E$5:$E$304,MATCH(D722,'Sản phẩm'!$A$5:$A$304,0)),"")))</f>
        <v/>
      </c>
      <c r="J722" s="16">
        <f>IF(OR(D722="",F722=""),"",F722*I722-N(H722))</f>
        <v/>
      </c>
      <c r="K722" s="16">
        <f>IF(OR(D722="",F722=""),"",F722*IFERROR(INDEX('Sản phẩm'!$D$5:$D$304,MATCH(D722,'Sản phẩm'!$A$5:$A$304,0)),""))</f>
        <v/>
      </c>
      <c r="L722" s="16">
        <f>IF(J722="","",J722-K722)</f>
        <v/>
      </c>
      <c r="M722" s="14">
        <f>IF(A722="","",MONTH(A722))</f>
        <v/>
      </c>
      <c r="N722" s="14">
        <f>IF(A722="","",YEAR(A722))</f>
        <v/>
      </c>
    </row>
    <row r="723">
      <c r="A723" s="15" t="n"/>
      <c r="B723" s="10" t="n"/>
      <c r="C723" s="10" t="n"/>
      <c r="D723" s="10" t="n"/>
      <c r="E723" s="14">
        <f>IF(D723="","",IFERROR(INDEX('Sản phẩm'!$B$5:$B$304,MATCH(D723,'Sản phẩm'!$A$5:$A$304,0)),""))</f>
        <v/>
      </c>
      <c r="F723" s="12" t="n"/>
      <c r="G723" s="11" t="n"/>
      <c r="H723" s="11" t="n"/>
      <c r="I723" s="16">
        <f>IF(D723="","",IF(G723&lt;&gt;"",G723,IFERROR(INDEX('Sản phẩm'!$E$5:$E$304,MATCH(D723,'Sản phẩm'!$A$5:$A$304,0)),"")))</f>
        <v/>
      </c>
      <c r="J723" s="16">
        <f>IF(OR(D723="",F723=""),"",F723*I723-N(H723))</f>
        <v/>
      </c>
      <c r="K723" s="16">
        <f>IF(OR(D723="",F723=""),"",F723*IFERROR(INDEX('Sản phẩm'!$D$5:$D$304,MATCH(D723,'Sản phẩm'!$A$5:$A$304,0)),""))</f>
        <v/>
      </c>
      <c r="L723" s="16">
        <f>IF(J723="","",J723-K723)</f>
        <v/>
      </c>
      <c r="M723" s="14">
        <f>IF(A723="","",MONTH(A723))</f>
        <v/>
      </c>
      <c r="N723" s="14">
        <f>IF(A723="","",YEAR(A723))</f>
        <v/>
      </c>
    </row>
    <row r="724">
      <c r="A724" s="15" t="n"/>
      <c r="B724" s="10" t="n"/>
      <c r="C724" s="10" t="n"/>
      <c r="D724" s="10" t="n"/>
      <c r="E724" s="14">
        <f>IF(D724="","",IFERROR(INDEX('Sản phẩm'!$B$5:$B$304,MATCH(D724,'Sản phẩm'!$A$5:$A$304,0)),""))</f>
        <v/>
      </c>
      <c r="F724" s="12" t="n"/>
      <c r="G724" s="11" t="n"/>
      <c r="H724" s="11" t="n"/>
      <c r="I724" s="16">
        <f>IF(D724="","",IF(G724&lt;&gt;"",G724,IFERROR(INDEX('Sản phẩm'!$E$5:$E$304,MATCH(D724,'Sản phẩm'!$A$5:$A$304,0)),"")))</f>
        <v/>
      </c>
      <c r="J724" s="16">
        <f>IF(OR(D724="",F724=""),"",F724*I724-N(H724))</f>
        <v/>
      </c>
      <c r="K724" s="16">
        <f>IF(OR(D724="",F724=""),"",F724*IFERROR(INDEX('Sản phẩm'!$D$5:$D$304,MATCH(D724,'Sản phẩm'!$A$5:$A$304,0)),""))</f>
        <v/>
      </c>
      <c r="L724" s="16">
        <f>IF(J724="","",J724-K724)</f>
        <v/>
      </c>
      <c r="M724" s="14">
        <f>IF(A724="","",MONTH(A724))</f>
        <v/>
      </c>
      <c r="N724" s="14">
        <f>IF(A724="","",YEAR(A724))</f>
        <v/>
      </c>
    </row>
    <row r="725">
      <c r="A725" s="15" t="n"/>
      <c r="B725" s="10" t="n"/>
      <c r="C725" s="10" t="n"/>
      <c r="D725" s="10" t="n"/>
      <c r="E725" s="14">
        <f>IF(D725="","",IFERROR(INDEX('Sản phẩm'!$B$5:$B$304,MATCH(D725,'Sản phẩm'!$A$5:$A$304,0)),""))</f>
        <v/>
      </c>
      <c r="F725" s="12" t="n"/>
      <c r="G725" s="11" t="n"/>
      <c r="H725" s="11" t="n"/>
      <c r="I725" s="16">
        <f>IF(D725="","",IF(G725&lt;&gt;"",G725,IFERROR(INDEX('Sản phẩm'!$E$5:$E$304,MATCH(D725,'Sản phẩm'!$A$5:$A$304,0)),"")))</f>
        <v/>
      </c>
      <c r="J725" s="16">
        <f>IF(OR(D725="",F725=""),"",F725*I725-N(H725))</f>
        <v/>
      </c>
      <c r="K725" s="16">
        <f>IF(OR(D725="",F725=""),"",F725*IFERROR(INDEX('Sản phẩm'!$D$5:$D$304,MATCH(D725,'Sản phẩm'!$A$5:$A$304,0)),""))</f>
        <v/>
      </c>
      <c r="L725" s="16">
        <f>IF(J725="","",J725-K725)</f>
        <v/>
      </c>
      <c r="M725" s="14">
        <f>IF(A725="","",MONTH(A725))</f>
        <v/>
      </c>
      <c r="N725" s="14">
        <f>IF(A725="","",YEAR(A725))</f>
        <v/>
      </c>
    </row>
    <row r="726">
      <c r="A726" s="15" t="n"/>
      <c r="B726" s="10" t="n"/>
      <c r="C726" s="10" t="n"/>
      <c r="D726" s="10" t="n"/>
      <c r="E726" s="14">
        <f>IF(D726="","",IFERROR(INDEX('Sản phẩm'!$B$5:$B$304,MATCH(D726,'Sản phẩm'!$A$5:$A$304,0)),""))</f>
        <v/>
      </c>
      <c r="F726" s="12" t="n"/>
      <c r="G726" s="11" t="n"/>
      <c r="H726" s="11" t="n"/>
      <c r="I726" s="16">
        <f>IF(D726="","",IF(G726&lt;&gt;"",G726,IFERROR(INDEX('Sản phẩm'!$E$5:$E$304,MATCH(D726,'Sản phẩm'!$A$5:$A$304,0)),"")))</f>
        <v/>
      </c>
      <c r="J726" s="16">
        <f>IF(OR(D726="",F726=""),"",F726*I726-N(H726))</f>
        <v/>
      </c>
      <c r="K726" s="16">
        <f>IF(OR(D726="",F726=""),"",F726*IFERROR(INDEX('Sản phẩm'!$D$5:$D$304,MATCH(D726,'Sản phẩm'!$A$5:$A$304,0)),""))</f>
        <v/>
      </c>
      <c r="L726" s="16">
        <f>IF(J726="","",J726-K726)</f>
        <v/>
      </c>
      <c r="M726" s="14">
        <f>IF(A726="","",MONTH(A726))</f>
        <v/>
      </c>
      <c r="N726" s="14">
        <f>IF(A726="","",YEAR(A726))</f>
        <v/>
      </c>
    </row>
    <row r="727">
      <c r="A727" s="15" t="n"/>
      <c r="B727" s="10" t="n"/>
      <c r="C727" s="10" t="n"/>
      <c r="D727" s="10" t="n"/>
      <c r="E727" s="14">
        <f>IF(D727="","",IFERROR(INDEX('Sản phẩm'!$B$5:$B$304,MATCH(D727,'Sản phẩm'!$A$5:$A$304,0)),""))</f>
        <v/>
      </c>
      <c r="F727" s="12" t="n"/>
      <c r="G727" s="11" t="n"/>
      <c r="H727" s="11" t="n"/>
      <c r="I727" s="16">
        <f>IF(D727="","",IF(G727&lt;&gt;"",G727,IFERROR(INDEX('Sản phẩm'!$E$5:$E$304,MATCH(D727,'Sản phẩm'!$A$5:$A$304,0)),"")))</f>
        <v/>
      </c>
      <c r="J727" s="16">
        <f>IF(OR(D727="",F727=""),"",F727*I727-N(H727))</f>
        <v/>
      </c>
      <c r="K727" s="16">
        <f>IF(OR(D727="",F727=""),"",F727*IFERROR(INDEX('Sản phẩm'!$D$5:$D$304,MATCH(D727,'Sản phẩm'!$A$5:$A$304,0)),""))</f>
        <v/>
      </c>
      <c r="L727" s="16">
        <f>IF(J727="","",J727-K727)</f>
        <v/>
      </c>
      <c r="M727" s="14">
        <f>IF(A727="","",MONTH(A727))</f>
        <v/>
      </c>
      <c r="N727" s="14">
        <f>IF(A727="","",YEAR(A727))</f>
        <v/>
      </c>
    </row>
    <row r="728">
      <c r="A728" s="15" t="n"/>
      <c r="B728" s="10" t="n"/>
      <c r="C728" s="10" t="n"/>
      <c r="D728" s="10" t="n"/>
      <c r="E728" s="14">
        <f>IF(D728="","",IFERROR(INDEX('Sản phẩm'!$B$5:$B$304,MATCH(D728,'Sản phẩm'!$A$5:$A$304,0)),""))</f>
        <v/>
      </c>
      <c r="F728" s="12" t="n"/>
      <c r="G728" s="11" t="n"/>
      <c r="H728" s="11" t="n"/>
      <c r="I728" s="16">
        <f>IF(D728="","",IF(G728&lt;&gt;"",G728,IFERROR(INDEX('Sản phẩm'!$E$5:$E$304,MATCH(D728,'Sản phẩm'!$A$5:$A$304,0)),"")))</f>
        <v/>
      </c>
      <c r="J728" s="16">
        <f>IF(OR(D728="",F728=""),"",F728*I728-N(H728))</f>
        <v/>
      </c>
      <c r="K728" s="16">
        <f>IF(OR(D728="",F728=""),"",F728*IFERROR(INDEX('Sản phẩm'!$D$5:$D$304,MATCH(D728,'Sản phẩm'!$A$5:$A$304,0)),""))</f>
        <v/>
      </c>
      <c r="L728" s="16">
        <f>IF(J728="","",J728-K728)</f>
        <v/>
      </c>
      <c r="M728" s="14">
        <f>IF(A728="","",MONTH(A728))</f>
        <v/>
      </c>
      <c r="N728" s="14">
        <f>IF(A728="","",YEAR(A728))</f>
        <v/>
      </c>
    </row>
    <row r="729">
      <c r="A729" s="15" t="n"/>
      <c r="B729" s="10" t="n"/>
      <c r="C729" s="10" t="n"/>
      <c r="D729" s="10" t="n"/>
      <c r="E729" s="14">
        <f>IF(D729="","",IFERROR(INDEX('Sản phẩm'!$B$5:$B$304,MATCH(D729,'Sản phẩm'!$A$5:$A$304,0)),""))</f>
        <v/>
      </c>
      <c r="F729" s="12" t="n"/>
      <c r="G729" s="11" t="n"/>
      <c r="H729" s="11" t="n"/>
      <c r="I729" s="16">
        <f>IF(D729="","",IF(G729&lt;&gt;"",G729,IFERROR(INDEX('Sản phẩm'!$E$5:$E$304,MATCH(D729,'Sản phẩm'!$A$5:$A$304,0)),"")))</f>
        <v/>
      </c>
      <c r="J729" s="16">
        <f>IF(OR(D729="",F729=""),"",F729*I729-N(H729))</f>
        <v/>
      </c>
      <c r="K729" s="16">
        <f>IF(OR(D729="",F729=""),"",F729*IFERROR(INDEX('Sản phẩm'!$D$5:$D$304,MATCH(D729,'Sản phẩm'!$A$5:$A$304,0)),""))</f>
        <v/>
      </c>
      <c r="L729" s="16">
        <f>IF(J729="","",J729-K729)</f>
        <v/>
      </c>
      <c r="M729" s="14">
        <f>IF(A729="","",MONTH(A729))</f>
        <v/>
      </c>
      <c r="N729" s="14">
        <f>IF(A729="","",YEAR(A729))</f>
        <v/>
      </c>
    </row>
    <row r="730">
      <c r="A730" s="15" t="n"/>
      <c r="B730" s="10" t="n"/>
      <c r="C730" s="10" t="n"/>
      <c r="D730" s="10" t="n"/>
      <c r="E730" s="14">
        <f>IF(D730="","",IFERROR(INDEX('Sản phẩm'!$B$5:$B$304,MATCH(D730,'Sản phẩm'!$A$5:$A$304,0)),""))</f>
        <v/>
      </c>
      <c r="F730" s="12" t="n"/>
      <c r="G730" s="11" t="n"/>
      <c r="H730" s="11" t="n"/>
      <c r="I730" s="16">
        <f>IF(D730="","",IF(G730&lt;&gt;"",G730,IFERROR(INDEX('Sản phẩm'!$E$5:$E$304,MATCH(D730,'Sản phẩm'!$A$5:$A$304,0)),"")))</f>
        <v/>
      </c>
      <c r="J730" s="16">
        <f>IF(OR(D730="",F730=""),"",F730*I730-N(H730))</f>
        <v/>
      </c>
      <c r="K730" s="16">
        <f>IF(OR(D730="",F730=""),"",F730*IFERROR(INDEX('Sản phẩm'!$D$5:$D$304,MATCH(D730,'Sản phẩm'!$A$5:$A$304,0)),""))</f>
        <v/>
      </c>
      <c r="L730" s="16">
        <f>IF(J730="","",J730-K730)</f>
        <v/>
      </c>
      <c r="M730" s="14">
        <f>IF(A730="","",MONTH(A730))</f>
        <v/>
      </c>
      <c r="N730" s="14">
        <f>IF(A730="","",YEAR(A730))</f>
        <v/>
      </c>
    </row>
    <row r="731">
      <c r="A731" s="15" t="n"/>
      <c r="B731" s="10" t="n"/>
      <c r="C731" s="10" t="n"/>
      <c r="D731" s="10" t="n"/>
      <c r="E731" s="14">
        <f>IF(D731="","",IFERROR(INDEX('Sản phẩm'!$B$5:$B$304,MATCH(D731,'Sản phẩm'!$A$5:$A$304,0)),""))</f>
        <v/>
      </c>
      <c r="F731" s="12" t="n"/>
      <c r="G731" s="11" t="n"/>
      <c r="H731" s="11" t="n"/>
      <c r="I731" s="16">
        <f>IF(D731="","",IF(G731&lt;&gt;"",G731,IFERROR(INDEX('Sản phẩm'!$E$5:$E$304,MATCH(D731,'Sản phẩm'!$A$5:$A$304,0)),"")))</f>
        <v/>
      </c>
      <c r="J731" s="16">
        <f>IF(OR(D731="",F731=""),"",F731*I731-N(H731))</f>
        <v/>
      </c>
      <c r="K731" s="16">
        <f>IF(OR(D731="",F731=""),"",F731*IFERROR(INDEX('Sản phẩm'!$D$5:$D$304,MATCH(D731,'Sản phẩm'!$A$5:$A$304,0)),""))</f>
        <v/>
      </c>
      <c r="L731" s="16">
        <f>IF(J731="","",J731-K731)</f>
        <v/>
      </c>
      <c r="M731" s="14">
        <f>IF(A731="","",MONTH(A731))</f>
        <v/>
      </c>
      <c r="N731" s="14">
        <f>IF(A731="","",YEAR(A731))</f>
        <v/>
      </c>
    </row>
    <row r="732">
      <c r="A732" s="15" t="n"/>
      <c r="B732" s="10" t="n"/>
      <c r="C732" s="10" t="n"/>
      <c r="D732" s="10" t="n"/>
      <c r="E732" s="14">
        <f>IF(D732="","",IFERROR(INDEX('Sản phẩm'!$B$5:$B$304,MATCH(D732,'Sản phẩm'!$A$5:$A$304,0)),""))</f>
        <v/>
      </c>
      <c r="F732" s="12" t="n"/>
      <c r="G732" s="11" t="n"/>
      <c r="H732" s="11" t="n"/>
      <c r="I732" s="16">
        <f>IF(D732="","",IF(G732&lt;&gt;"",G732,IFERROR(INDEX('Sản phẩm'!$E$5:$E$304,MATCH(D732,'Sản phẩm'!$A$5:$A$304,0)),"")))</f>
        <v/>
      </c>
      <c r="J732" s="16">
        <f>IF(OR(D732="",F732=""),"",F732*I732-N(H732))</f>
        <v/>
      </c>
      <c r="K732" s="16">
        <f>IF(OR(D732="",F732=""),"",F732*IFERROR(INDEX('Sản phẩm'!$D$5:$D$304,MATCH(D732,'Sản phẩm'!$A$5:$A$304,0)),""))</f>
        <v/>
      </c>
      <c r="L732" s="16">
        <f>IF(J732="","",J732-K732)</f>
        <v/>
      </c>
      <c r="M732" s="14">
        <f>IF(A732="","",MONTH(A732))</f>
        <v/>
      </c>
      <c r="N732" s="14">
        <f>IF(A732="","",YEAR(A732))</f>
        <v/>
      </c>
    </row>
    <row r="733">
      <c r="A733" s="15" t="n"/>
      <c r="B733" s="10" t="n"/>
      <c r="C733" s="10" t="n"/>
      <c r="D733" s="10" t="n"/>
      <c r="E733" s="14">
        <f>IF(D733="","",IFERROR(INDEX('Sản phẩm'!$B$5:$B$304,MATCH(D733,'Sản phẩm'!$A$5:$A$304,0)),""))</f>
        <v/>
      </c>
      <c r="F733" s="12" t="n"/>
      <c r="G733" s="11" t="n"/>
      <c r="H733" s="11" t="n"/>
      <c r="I733" s="16">
        <f>IF(D733="","",IF(G733&lt;&gt;"",G733,IFERROR(INDEX('Sản phẩm'!$E$5:$E$304,MATCH(D733,'Sản phẩm'!$A$5:$A$304,0)),"")))</f>
        <v/>
      </c>
      <c r="J733" s="16">
        <f>IF(OR(D733="",F733=""),"",F733*I733-N(H733))</f>
        <v/>
      </c>
      <c r="K733" s="16">
        <f>IF(OR(D733="",F733=""),"",F733*IFERROR(INDEX('Sản phẩm'!$D$5:$D$304,MATCH(D733,'Sản phẩm'!$A$5:$A$304,0)),""))</f>
        <v/>
      </c>
      <c r="L733" s="16">
        <f>IF(J733="","",J733-K733)</f>
        <v/>
      </c>
      <c r="M733" s="14">
        <f>IF(A733="","",MONTH(A733))</f>
        <v/>
      </c>
      <c r="N733" s="14">
        <f>IF(A733="","",YEAR(A733))</f>
        <v/>
      </c>
    </row>
    <row r="734">
      <c r="A734" s="15" t="n"/>
      <c r="B734" s="10" t="n"/>
      <c r="C734" s="10" t="n"/>
      <c r="D734" s="10" t="n"/>
      <c r="E734" s="14">
        <f>IF(D734="","",IFERROR(INDEX('Sản phẩm'!$B$5:$B$304,MATCH(D734,'Sản phẩm'!$A$5:$A$304,0)),""))</f>
        <v/>
      </c>
      <c r="F734" s="12" t="n"/>
      <c r="G734" s="11" t="n"/>
      <c r="H734" s="11" t="n"/>
      <c r="I734" s="16">
        <f>IF(D734="","",IF(G734&lt;&gt;"",G734,IFERROR(INDEX('Sản phẩm'!$E$5:$E$304,MATCH(D734,'Sản phẩm'!$A$5:$A$304,0)),"")))</f>
        <v/>
      </c>
      <c r="J734" s="16">
        <f>IF(OR(D734="",F734=""),"",F734*I734-N(H734))</f>
        <v/>
      </c>
      <c r="K734" s="16">
        <f>IF(OR(D734="",F734=""),"",F734*IFERROR(INDEX('Sản phẩm'!$D$5:$D$304,MATCH(D734,'Sản phẩm'!$A$5:$A$304,0)),""))</f>
        <v/>
      </c>
      <c r="L734" s="16">
        <f>IF(J734="","",J734-K734)</f>
        <v/>
      </c>
      <c r="M734" s="14">
        <f>IF(A734="","",MONTH(A734))</f>
        <v/>
      </c>
      <c r="N734" s="14">
        <f>IF(A734="","",YEAR(A734))</f>
        <v/>
      </c>
    </row>
    <row r="735">
      <c r="A735" s="15" t="n"/>
      <c r="B735" s="10" t="n"/>
      <c r="C735" s="10" t="n"/>
      <c r="D735" s="10" t="n"/>
      <c r="E735" s="14">
        <f>IF(D735="","",IFERROR(INDEX('Sản phẩm'!$B$5:$B$304,MATCH(D735,'Sản phẩm'!$A$5:$A$304,0)),""))</f>
        <v/>
      </c>
      <c r="F735" s="12" t="n"/>
      <c r="G735" s="11" t="n"/>
      <c r="H735" s="11" t="n"/>
      <c r="I735" s="16">
        <f>IF(D735="","",IF(G735&lt;&gt;"",G735,IFERROR(INDEX('Sản phẩm'!$E$5:$E$304,MATCH(D735,'Sản phẩm'!$A$5:$A$304,0)),"")))</f>
        <v/>
      </c>
      <c r="J735" s="16">
        <f>IF(OR(D735="",F735=""),"",F735*I735-N(H735))</f>
        <v/>
      </c>
      <c r="K735" s="16">
        <f>IF(OR(D735="",F735=""),"",F735*IFERROR(INDEX('Sản phẩm'!$D$5:$D$304,MATCH(D735,'Sản phẩm'!$A$5:$A$304,0)),""))</f>
        <v/>
      </c>
      <c r="L735" s="16">
        <f>IF(J735="","",J735-K735)</f>
        <v/>
      </c>
      <c r="M735" s="14">
        <f>IF(A735="","",MONTH(A735))</f>
        <v/>
      </c>
      <c r="N735" s="14">
        <f>IF(A735="","",YEAR(A735))</f>
        <v/>
      </c>
    </row>
    <row r="736">
      <c r="A736" s="15" t="n"/>
      <c r="B736" s="10" t="n"/>
      <c r="C736" s="10" t="n"/>
      <c r="D736" s="10" t="n"/>
      <c r="E736" s="14">
        <f>IF(D736="","",IFERROR(INDEX('Sản phẩm'!$B$5:$B$304,MATCH(D736,'Sản phẩm'!$A$5:$A$304,0)),""))</f>
        <v/>
      </c>
      <c r="F736" s="12" t="n"/>
      <c r="G736" s="11" t="n"/>
      <c r="H736" s="11" t="n"/>
      <c r="I736" s="16">
        <f>IF(D736="","",IF(G736&lt;&gt;"",G736,IFERROR(INDEX('Sản phẩm'!$E$5:$E$304,MATCH(D736,'Sản phẩm'!$A$5:$A$304,0)),"")))</f>
        <v/>
      </c>
      <c r="J736" s="16">
        <f>IF(OR(D736="",F736=""),"",F736*I736-N(H736))</f>
        <v/>
      </c>
      <c r="K736" s="16">
        <f>IF(OR(D736="",F736=""),"",F736*IFERROR(INDEX('Sản phẩm'!$D$5:$D$304,MATCH(D736,'Sản phẩm'!$A$5:$A$304,0)),""))</f>
        <v/>
      </c>
      <c r="L736" s="16">
        <f>IF(J736="","",J736-K736)</f>
        <v/>
      </c>
      <c r="M736" s="14">
        <f>IF(A736="","",MONTH(A736))</f>
        <v/>
      </c>
      <c r="N736" s="14">
        <f>IF(A736="","",YEAR(A736))</f>
        <v/>
      </c>
    </row>
    <row r="737">
      <c r="A737" s="15" t="n"/>
      <c r="B737" s="10" t="n"/>
      <c r="C737" s="10" t="n"/>
      <c r="D737" s="10" t="n"/>
      <c r="E737" s="14">
        <f>IF(D737="","",IFERROR(INDEX('Sản phẩm'!$B$5:$B$304,MATCH(D737,'Sản phẩm'!$A$5:$A$304,0)),""))</f>
        <v/>
      </c>
      <c r="F737" s="12" t="n"/>
      <c r="G737" s="11" t="n"/>
      <c r="H737" s="11" t="n"/>
      <c r="I737" s="16">
        <f>IF(D737="","",IF(G737&lt;&gt;"",G737,IFERROR(INDEX('Sản phẩm'!$E$5:$E$304,MATCH(D737,'Sản phẩm'!$A$5:$A$304,0)),"")))</f>
        <v/>
      </c>
      <c r="J737" s="16">
        <f>IF(OR(D737="",F737=""),"",F737*I737-N(H737))</f>
        <v/>
      </c>
      <c r="K737" s="16">
        <f>IF(OR(D737="",F737=""),"",F737*IFERROR(INDEX('Sản phẩm'!$D$5:$D$304,MATCH(D737,'Sản phẩm'!$A$5:$A$304,0)),""))</f>
        <v/>
      </c>
      <c r="L737" s="16">
        <f>IF(J737="","",J737-K737)</f>
        <v/>
      </c>
      <c r="M737" s="14">
        <f>IF(A737="","",MONTH(A737))</f>
        <v/>
      </c>
      <c r="N737" s="14">
        <f>IF(A737="","",YEAR(A737))</f>
        <v/>
      </c>
    </row>
    <row r="738">
      <c r="A738" s="15" t="n"/>
      <c r="B738" s="10" t="n"/>
      <c r="C738" s="10" t="n"/>
      <c r="D738" s="10" t="n"/>
      <c r="E738" s="14">
        <f>IF(D738="","",IFERROR(INDEX('Sản phẩm'!$B$5:$B$304,MATCH(D738,'Sản phẩm'!$A$5:$A$304,0)),""))</f>
        <v/>
      </c>
      <c r="F738" s="12" t="n"/>
      <c r="G738" s="11" t="n"/>
      <c r="H738" s="11" t="n"/>
      <c r="I738" s="16">
        <f>IF(D738="","",IF(G738&lt;&gt;"",G738,IFERROR(INDEX('Sản phẩm'!$E$5:$E$304,MATCH(D738,'Sản phẩm'!$A$5:$A$304,0)),"")))</f>
        <v/>
      </c>
      <c r="J738" s="16">
        <f>IF(OR(D738="",F738=""),"",F738*I738-N(H738))</f>
        <v/>
      </c>
      <c r="K738" s="16">
        <f>IF(OR(D738="",F738=""),"",F738*IFERROR(INDEX('Sản phẩm'!$D$5:$D$304,MATCH(D738,'Sản phẩm'!$A$5:$A$304,0)),""))</f>
        <v/>
      </c>
      <c r="L738" s="16">
        <f>IF(J738="","",J738-K738)</f>
        <v/>
      </c>
      <c r="M738" s="14">
        <f>IF(A738="","",MONTH(A738))</f>
        <v/>
      </c>
      <c r="N738" s="14">
        <f>IF(A738="","",YEAR(A738))</f>
        <v/>
      </c>
    </row>
    <row r="739">
      <c r="A739" s="15" t="n"/>
      <c r="B739" s="10" t="n"/>
      <c r="C739" s="10" t="n"/>
      <c r="D739" s="10" t="n"/>
      <c r="E739" s="14">
        <f>IF(D739="","",IFERROR(INDEX('Sản phẩm'!$B$5:$B$304,MATCH(D739,'Sản phẩm'!$A$5:$A$304,0)),""))</f>
        <v/>
      </c>
      <c r="F739" s="12" t="n"/>
      <c r="G739" s="11" t="n"/>
      <c r="H739" s="11" t="n"/>
      <c r="I739" s="16">
        <f>IF(D739="","",IF(G739&lt;&gt;"",G739,IFERROR(INDEX('Sản phẩm'!$E$5:$E$304,MATCH(D739,'Sản phẩm'!$A$5:$A$304,0)),"")))</f>
        <v/>
      </c>
      <c r="J739" s="16">
        <f>IF(OR(D739="",F739=""),"",F739*I739-N(H739))</f>
        <v/>
      </c>
      <c r="K739" s="16">
        <f>IF(OR(D739="",F739=""),"",F739*IFERROR(INDEX('Sản phẩm'!$D$5:$D$304,MATCH(D739,'Sản phẩm'!$A$5:$A$304,0)),""))</f>
        <v/>
      </c>
      <c r="L739" s="16">
        <f>IF(J739="","",J739-K739)</f>
        <v/>
      </c>
      <c r="M739" s="14">
        <f>IF(A739="","",MONTH(A739))</f>
        <v/>
      </c>
      <c r="N739" s="14">
        <f>IF(A739="","",YEAR(A739))</f>
        <v/>
      </c>
    </row>
    <row r="740">
      <c r="A740" s="15" t="n"/>
      <c r="B740" s="10" t="n"/>
      <c r="C740" s="10" t="n"/>
      <c r="D740" s="10" t="n"/>
      <c r="E740" s="14">
        <f>IF(D740="","",IFERROR(INDEX('Sản phẩm'!$B$5:$B$304,MATCH(D740,'Sản phẩm'!$A$5:$A$304,0)),""))</f>
        <v/>
      </c>
      <c r="F740" s="12" t="n"/>
      <c r="G740" s="11" t="n"/>
      <c r="H740" s="11" t="n"/>
      <c r="I740" s="16">
        <f>IF(D740="","",IF(G740&lt;&gt;"",G740,IFERROR(INDEX('Sản phẩm'!$E$5:$E$304,MATCH(D740,'Sản phẩm'!$A$5:$A$304,0)),"")))</f>
        <v/>
      </c>
      <c r="J740" s="16">
        <f>IF(OR(D740="",F740=""),"",F740*I740-N(H740))</f>
        <v/>
      </c>
      <c r="K740" s="16">
        <f>IF(OR(D740="",F740=""),"",F740*IFERROR(INDEX('Sản phẩm'!$D$5:$D$304,MATCH(D740,'Sản phẩm'!$A$5:$A$304,0)),""))</f>
        <v/>
      </c>
      <c r="L740" s="16">
        <f>IF(J740="","",J740-K740)</f>
        <v/>
      </c>
      <c r="M740" s="14">
        <f>IF(A740="","",MONTH(A740))</f>
        <v/>
      </c>
      <c r="N740" s="14">
        <f>IF(A740="","",YEAR(A740))</f>
        <v/>
      </c>
    </row>
    <row r="741">
      <c r="A741" s="15" t="n"/>
      <c r="B741" s="10" t="n"/>
      <c r="C741" s="10" t="n"/>
      <c r="D741" s="10" t="n"/>
      <c r="E741" s="14">
        <f>IF(D741="","",IFERROR(INDEX('Sản phẩm'!$B$5:$B$304,MATCH(D741,'Sản phẩm'!$A$5:$A$304,0)),""))</f>
        <v/>
      </c>
      <c r="F741" s="12" t="n"/>
      <c r="G741" s="11" t="n"/>
      <c r="H741" s="11" t="n"/>
      <c r="I741" s="16">
        <f>IF(D741="","",IF(G741&lt;&gt;"",G741,IFERROR(INDEX('Sản phẩm'!$E$5:$E$304,MATCH(D741,'Sản phẩm'!$A$5:$A$304,0)),"")))</f>
        <v/>
      </c>
      <c r="J741" s="16">
        <f>IF(OR(D741="",F741=""),"",F741*I741-N(H741))</f>
        <v/>
      </c>
      <c r="K741" s="16">
        <f>IF(OR(D741="",F741=""),"",F741*IFERROR(INDEX('Sản phẩm'!$D$5:$D$304,MATCH(D741,'Sản phẩm'!$A$5:$A$304,0)),""))</f>
        <v/>
      </c>
      <c r="L741" s="16">
        <f>IF(J741="","",J741-K741)</f>
        <v/>
      </c>
      <c r="M741" s="14">
        <f>IF(A741="","",MONTH(A741))</f>
        <v/>
      </c>
      <c r="N741" s="14">
        <f>IF(A741="","",YEAR(A741))</f>
        <v/>
      </c>
    </row>
    <row r="742">
      <c r="A742" s="15" t="n"/>
      <c r="B742" s="10" t="n"/>
      <c r="C742" s="10" t="n"/>
      <c r="D742" s="10" t="n"/>
      <c r="E742" s="14">
        <f>IF(D742="","",IFERROR(INDEX('Sản phẩm'!$B$5:$B$304,MATCH(D742,'Sản phẩm'!$A$5:$A$304,0)),""))</f>
        <v/>
      </c>
      <c r="F742" s="12" t="n"/>
      <c r="G742" s="11" t="n"/>
      <c r="H742" s="11" t="n"/>
      <c r="I742" s="16">
        <f>IF(D742="","",IF(G742&lt;&gt;"",G742,IFERROR(INDEX('Sản phẩm'!$E$5:$E$304,MATCH(D742,'Sản phẩm'!$A$5:$A$304,0)),"")))</f>
        <v/>
      </c>
      <c r="J742" s="16">
        <f>IF(OR(D742="",F742=""),"",F742*I742-N(H742))</f>
        <v/>
      </c>
      <c r="K742" s="16">
        <f>IF(OR(D742="",F742=""),"",F742*IFERROR(INDEX('Sản phẩm'!$D$5:$D$304,MATCH(D742,'Sản phẩm'!$A$5:$A$304,0)),""))</f>
        <v/>
      </c>
      <c r="L742" s="16">
        <f>IF(J742="","",J742-K742)</f>
        <v/>
      </c>
      <c r="M742" s="14">
        <f>IF(A742="","",MONTH(A742))</f>
        <v/>
      </c>
      <c r="N742" s="14">
        <f>IF(A742="","",YEAR(A742))</f>
        <v/>
      </c>
    </row>
    <row r="743">
      <c r="A743" s="15" t="n"/>
      <c r="B743" s="10" t="n"/>
      <c r="C743" s="10" t="n"/>
      <c r="D743" s="10" t="n"/>
      <c r="E743" s="14">
        <f>IF(D743="","",IFERROR(INDEX('Sản phẩm'!$B$5:$B$304,MATCH(D743,'Sản phẩm'!$A$5:$A$304,0)),""))</f>
        <v/>
      </c>
      <c r="F743" s="12" t="n"/>
      <c r="G743" s="11" t="n"/>
      <c r="H743" s="11" t="n"/>
      <c r="I743" s="16">
        <f>IF(D743="","",IF(G743&lt;&gt;"",G743,IFERROR(INDEX('Sản phẩm'!$E$5:$E$304,MATCH(D743,'Sản phẩm'!$A$5:$A$304,0)),"")))</f>
        <v/>
      </c>
      <c r="J743" s="16">
        <f>IF(OR(D743="",F743=""),"",F743*I743-N(H743))</f>
        <v/>
      </c>
      <c r="K743" s="16">
        <f>IF(OR(D743="",F743=""),"",F743*IFERROR(INDEX('Sản phẩm'!$D$5:$D$304,MATCH(D743,'Sản phẩm'!$A$5:$A$304,0)),""))</f>
        <v/>
      </c>
      <c r="L743" s="16">
        <f>IF(J743="","",J743-K743)</f>
        <v/>
      </c>
      <c r="M743" s="14">
        <f>IF(A743="","",MONTH(A743))</f>
        <v/>
      </c>
      <c r="N743" s="14">
        <f>IF(A743="","",YEAR(A743))</f>
        <v/>
      </c>
    </row>
    <row r="744">
      <c r="A744" s="15" t="n"/>
      <c r="B744" s="10" t="n"/>
      <c r="C744" s="10" t="n"/>
      <c r="D744" s="10" t="n"/>
      <c r="E744" s="14">
        <f>IF(D744="","",IFERROR(INDEX('Sản phẩm'!$B$5:$B$304,MATCH(D744,'Sản phẩm'!$A$5:$A$304,0)),""))</f>
        <v/>
      </c>
      <c r="F744" s="12" t="n"/>
      <c r="G744" s="11" t="n"/>
      <c r="H744" s="11" t="n"/>
      <c r="I744" s="16">
        <f>IF(D744="","",IF(G744&lt;&gt;"",G744,IFERROR(INDEX('Sản phẩm'!$E$5:$E$304,MATCH(D744,'Sản phẩm'!$A$5:$A$304,0)),"")))</f>
        <v/>
      </c>
      <c r="J744" s="16">
        <f>IF(OR(D744="",F744=""),"",F744*I744-N(H744))</f>
        <v/>
      </c>
      <c r="K744" s="16">
        <f>IF(OR(D744="",F744=""),"",F744*IFERROR(INDEX('Sản phẩm'!$D$5:$D$304,MATCH(D744,'Sản phẩm'!$A$5:$A$304,0)),""))</f>
        <v/>
      </c>
      <c r="L744" s="16">
        <f>IF(J744="","",J744-K744)</f>
        <v/>
      </c>
      <c r="M744" s="14">
        <f>IF(A744="","",MONTH(A744))</f>
        <v/>
      </c>
      <c r="N744" s="14">
        <f>IF(A744="","",YEAR(A744))</f>
        <v/>
      </c>
    </row>
    <row r="745">
      <c r="A745" s="15" t="n"/>
      <c r="B745" s="10" t="n"/>
      <c r="C745" s="10" t="n"/>
      <c r="D745" s="10" t="n"/>
      <c r="E745" s="14">
        <f>IF(D745="","",IFERROR(INDEX('Sản phẩm'!$B$5:$B$304,MATCH(D745,'Sản phẩm'!$A$5:$A$304,0)),""))</f>
        <v/>
      </c>
      <c r="F745" s="12" t="n"/>
      <c r="G745" s="11" t="n"/>
      <c r="H745" s="11" t="n"/>
      <c r="I745" s="16">
        <f>IF(D745="","",IF(G745&lt;&gt;"",G745,IFERROR(INDEX('Sản phẩm'!$E$5:$E$304,MATCH(D745,'Sản phẩm'!$A$5:$A$304,0)),"")))</f>
        <v/>
      </c>
      <c r="J745" s="16">
        <f>IF(OR(D745="",F745=""),"",F745*I745-N(H745))</f>
        <v/>
      </c>
      <c r="K745" s="16">
        <f>IF(OR(D745="",F745=""),"",F745*IFERROR(INDEX('Sản phẩm'!$D$5:$D$304,MATCH(D745,'Sản phẩm'!$A$5:$A$304,0)),""))</f>
        <v/>
      </c>
      <c r="L745" s="16">
        <f>IF(J745="","",J745-K745)</f>
        <v/>
      </c>
      <c r="M745" s="14">
        <f>IF(A745="","",MONTH(A745))</f>
        <v/>
      </c>
      <c r="N745" s="14">
        <f>IF(A745="","",YEAR(A745))</f>
        <v/>
      </c>
    </row>
    <row r="746">
      <c r="A746" s="15" t="n"/>
      <c r="B746" s="10" t="n"/>
      <c r="C746" s="10" t="n"/>
      <c r="D746" s="10" t="n"/>
      <c r="E746" s="14">
        <f>IF(D746="","",IFERROR(INDEX('Sản phẩm'!$B$5:$B$304,MATCH(D746,'Sản phẩm'!$A$5:$A$304,0)),""))</f>
        <v/>
      </c>
      <c r="F746" s="12" t="n"/>
      <c r="G746" s="11" t="n"/>
      <c r="H746" s="11" t="n"/>
      <c r="I746" s="16">
        <f>IF(D746="","",IF(G746&lt;&gt;"",G746,IFERROR(INDEX('Sản phẩm'!$E$5:$E$304,MATCH(D746,'Sản phẩm'!$A$5:$A$304,0)),"")))</f>
        <v/>
      </c>
      <c r="J746" s="16">
        <f>IF(OR(D746="",F746=""),"",F746*I746-N(H746))</f>
        <v/>
      </c>
      <c r="K746" s="16">
        <f>IF(OR(D746="",F746=""),"",F746*IFERROR(INDEX('Sản phẩm'!$D$5:$D$304,MATCH(D746,'Sản phẩm'!$A$5:$A$304,0)),""))</f>
        <v/>
      </c>
      <c r="L746" s="16">
        <f>IF(J746="","",J746-K746)</f>
        <v/>
      </c>
      <c r="M746" s="14">
        <f>IF(A746="","",MONTH(A746))</f>
        <v/>
      </c>
      <c r="N746" s="14">
        <f>IF(A746="","",YEAR(A746))</f>
        <v/>
      </c>
    </row>
    <row r="747">
      <c r="A747" s="15" t="n"/>
      <c r="B747" s="10" t="n"/>
      <c r="C747" s="10" t="n"/>
      <c r="D747" s="10" t="n"/>
      <c r="E747" s="14">
        <f>IF(D747="","",IFERROR(INDEX('Sản phẩm'!$B$5:$B$304,MATCH(D747,'Sản phẩm'!$A$5:$A$304,0)),""))</f>
        <v/>
      </c>
      <c r="F747" s="12" t="n"/>
      <c r="G747" s="11" t="n"/>
      <c r="H747" s="11" t="n"/>
      <c r="I747" s="16">
        <f>IF(D747="","",IF(G747&lt;&gt;"",G747,IFERROR(INDEX('Sản phẩm'!$E$5:$E$304,MATCH(D747,'Sản phẩm'!$A$5:$A$304,0)),"")))</f>
        <v/>
      </c>
      <c r="J747" s="16">
        <f>IF(OR(D747="",F747=""),"",F747*I747-N(H747))</f>
        <v/>
      </c>
      <c r="K747" s="16">
        <f>IF(OR(D747="",F747=""),"",F747*IFERROR(INDEX('Sản phẩm'!$D$5:$D$304,MATCH(D747,'Sản phẩm'!$A$5:$A$304,0)),""))</f>
        <v/>
      </c>
      <c r="L747" s="16">
        <f>IF(J747="","",J747-K747)</f>
        <v/>
      </c>
      <c r="M747" s="14">
        <f>IF(A747="","",MONTH(A747))</f>
        <v/>
      </c>
      <c r="N747" s="14">
        <f>IF(A747="","",YEAR(A747))</f>
        <v/>
      </c>
    </row>
    <row r="748">
      <c r="A748" s="15" t="n"/>
      <c r="B748" s="10" t="n"/>
      <c r="C748" s="10" t="n"/>
      <c r="D748" s="10" t="n"/>
      <c r="E748" s="14">
        <f>IF(D748="","",IFERROR(INDEX('Sản phẩm'!$B$5:$B$304,MATCH(D748,'Sản phẩm'!$A$5:$A$304,0)),""))</f>
        <v/>
      </c>
      <c r="F748" s="12" t="n"/>
      <c r="G748" s="11" t="n"/>
      <c r="H748" s="11" t="n"/>
      <c r="I748" s="16">
        <f>IF(D748="","",IF(G748&lt;&gt;"",G748,IFERROR(INDEX('Sản phẩm'!$E$5:$E$304,MATCH(D748,'Sản phẩm'!$A$5:$A$304,0)),"")))</f>
        <v/>
      </c>
      <c r="J748" s="16">
        <f>IF(OR(D748="",F748=""),"",F748*I748-N(H748))</f>
        <v/>
      </c>
      <c r="K748" s="16">
        <f>IF(OR(D748="",F748=""),"",F748*IFERROR(INDEX('Sản phẩm'!$D$5:$D$304,MATCH(D748,'Sản phẩm'!$A$5:$A$304,0)),""))</f>
        <v/>
      </c>
      <c r="L748" s="16">
        <f>IF(J748="","",J748-K748)</f>
        <v/>
      </c>
      <c r="M748" s="14">
        <f>IF(A748="","",MONTH(A748))</f>
        <v/>
      </c>
      <c r="N748" s="14">
        <f>IF(A748="","",YEAR(A748))</f>
        <v/>
      </c>
    </row>
    <row r="749">
      <c r="A749" s="15" t="n"/>
      <c r="B749" s="10" t="n"/>
      <c r="C749" s="10" t="n"/>
      <c r="D749" s="10" t="n"/>
      <c r="E749" s="14">
        <f>IF(D749="","",IFERROR(INDEX('Sản phẩm'!$B$5:$B$304,MATCH(D749,'Sản phẩm'!$A$5:$A$304,0)),""))</f>
        <v/>
      </c>
      <c r="F749" s="12" t="n"/>
      <c r="G749" s="11" t="n"/>
      <c r="H749" s="11" t="n"/>
      <c r="I749" s="16">
        <f>IF(D749="","",IF(G749&lt;&gt;"",G749,IFERROR(INDEX('Sản phẩm'!$E$5:$E$304,MATCH(D749,'Sản phẩm'!$A$5:$A$304,0)),"")))</f>
        <v/>
      </c>
      <c r="J749" s="16">
        <f>IF(OR(D749="",F749=""),"",F749*I749-N(H749))</f>
        <v/>
      </c>
      <c r="K749" s="16">
        <f>IF(OR(D749="",F749=""),"",F749*IFERROR(INDEX('Sản phẩm'!$D$5:$D$304,MATCH(D749,'Sản phẩm'!$A$5:$A$304,0)),""))</f>
        <v/>
      </c>
      <c r="L749" s="16">
        <f>IF(J749="","",J749-K749)</f>
        <v/>
      </c>
      <c r="M749" s="14">
        <f>IF(A749="","",MONTH(A749))</f>
        <v/>
      </c>
      <c r="N749" s="14">
        <f>IF(A749="","",YEAR(A749))</f>
        <v/>
      </c>
    </row>
    <row r="750">
      <c r="A750" s="15" t="n"/>
      <c r="B750" s="10" t="n"/>
      <c r="C750" s="10" t="n"/>
      <c r="D750" s="10" t="n"/>
      <c r="E750" s="14">
        <f>IF(D750="","",IFERROR(INDEX('Sản phẩm'!$B$5:$B$304,MATCH(D750,'Sản phẩm'!$A$5:$A$304,0)),""))</f>
        <v/>
      </c>
      <c r="F750" s="12" t="n"/>
      <c r="G750" s="11" t="n"/>
      <c r="H750" s="11" t="n"/>
      <c r="I750" s="16">
        <f>IF(D750="","",IF(G750&lt;&gt;"",G750,IFERROR(INDEX('Sản phẩm'!$E$5:$E$304,MATCH(D750,'Sản phẩm'!$A$5:$A$304,0)),"")))</f>
        <v/>
      </c>
      <c r="J750" s="16">
        <f>IF(OR(D750="",F750=""),"",F750*I750-N(H750))</f>
        <v/>
      </c>
      <c r="K750" s="16">
        <f>IF(OR(D750="",F750=""),"",F750*IFERROR(INDEX('Sản phẩm'!$D$5:$D$304,MATCH(D750,'Sản phẩm'!$A$5:$A$304,0)),""))</f>
        <v/>
      </c>
      <c r="L750" s="16">
        <f>IF(J750="","",J750-K750)</f>
        <v/>
      </c>
      <c r="M750" s="14">
        <f>IF(A750="","",MONTH(A750))</f>
        <v/>
      </c>
      <c r="N750" s="14">
        <f>IF(A750="","",YEAR(A750))</f>
        <v/>
      </c>
    </row>
    <row r="751">
      <c r="A751" s="15" t="n"/>
      <c r="B751" s="10" t="n"/>
      <c r="C751" s="10" t="n"/>
      <c r="D751" s="10" t="n"/>
      <c r="E751" s="14">
        <f>IF(D751="","",IFERROR(INDEX('Sản phẩm'!$B$5:$B$304,MATCH(D751,'Sản phẩm'!$A$5:$A$304,0)),""))</f>
        <v/>
      </c>
      <c r="F751" s="12" t="n"/>
      <c r="G751" s="11" t="n"/>
      <c r="H751" s="11" t="n"/>
      <c r="I751" s="16">
        <f>IF(D751="","",IF(G751&lt;&gt;"",G751,IFERROR(INDEX('Sản phẩm'!$E$5:$E$304,MATCH(D751,'Sản phẩm'!$A$5:$A$304,0)),"")))</f>
        <v/>
      </c>
      <c r="J751" s="16">
        <f>IF(OR(D751="",F751=""),"",F751*I751-N(H751))</f>
        <v/>
      </c>
      <c r="K751" s="16">
        <f>IF(OR(D751="",F751=""),"",F751*IFERROR(INDEX('Sản phẩm'!$D$5:$D$304,MATCH(D751,'Sản phẩm'!$A$5:$A$304,0)),""))</f>
        <v/>
      </c>
      <c r="L751" s="16">
        <f>IF(J751="","",J751-K751)</f>
        <v/>
      </c>
      <c r="M751" s="14">
        <f>IF(A751="","",MONTH(A751))</f>
        <v/>
      </c>
      <c r="N751" s="14">
        <f>IF(A751="","",YEAR(A751))</f>
        <v/>
      </c>
    </row>
    <row r="752">
      <c r="A752" s="15" t="n"/>
      <c r="B752" s="10" t="n"/>
      <c r="C752" s="10" t="n"/>
      <c r="D752" s="10" t="n"/>
      <c r="E752" s="14">
        <f>IF(D752="","",IFERROR(INDEX('Sản phẩm'!$B$5:$B$304,MATCH(D752,'Sản phẩm'!$A$5:$A$304,0)),""))</f>
        <v/>
      </c>
      <c r="F752" s="12" t="n"/>
      <c r="G752" s="11" t="n"/>
      <c r="H752" s="11" t="n"/>
      <c r="I752" s="16">
        <f>IF(D752="","",IF(G752&lt;&gt;"",G752,IFERROR(INDEX('Sản phẩm'!$E$5:$E$304,MATCH(D752,'Sản phẩm'!$A$5:$A$304,0)),"")))</f>
        <v/>
      </c>
      <c r="J752" s="16">
        <f>IF(OR(D752="",F752=""),"",F752*I752-N(H752))</f>
        <v/>
      </c>
      <c r="K752" s="16">
        <f>IF(OR(D752="",F752=""),"",F752*IFERROR(INDEX('Sản phẩm'!$D$5:$D$304,MATCH(D752,'Sản phẩm'!$A$5:$A$304,0)),""))</f>
        <v/>
      </c>
      <c r="L752" s="16">
        <f>IF(J752="","",J752-K752)</f>
        <v/>
      </c>
      <c r="M752" s="14">
        <f>IF(A752="","",MONTH(A752))</f>
        <v/>
      </c>
      <c r="N752" s="14">
        <f>IF(A752="","",YEAR(A752))</f>
        <v/>
      </c>
    </row>
    <row r="753">
      <c r="A753" s="15" t="n"/>
      <c r="B753" s="10" t="n"/>
      <c r="C753" s="10" t="n"/>
      <c r="D753" s="10" t="n"/>
      <c r="E753" s="14">
        <f>IF(D753="","",IFERROR(INDEX('Sản phẩm'!$B$5:$B$304,MATCH(D753,'Sản phẩm'!$A$5:$A$304,0)),""))</f>
        <v/>
      </c>
      <c r="F753" s="12" t="n"/>
      <c r="G753" s="11" t="n"/>
      <c r="H753" s="11" t="n"/>
      <c r="I753" s="16">
        <f>IF(D753="","",IF(G753&lt;&gt;"",G753,IFERROR(INDEX('Sản phẩm'!$E$5:$E$304,MATCH(D753,'Sản phẩm'!$A$5:$A$304,0)),"")))</f>
        <v/>
      </c>
      <c r="J753" s="16">
        <f>IF(OR(D753="",F753=""),"",F753*I753-N(H753))</f>
        <v/>
      </c>
      <c r="K753" s="16">
        <f>IF(OR(D753="",F753=""),"",F753*IFERROR(INDEX('Sản phẩm'!$D$5:$D$304,MATCH(D753,'Sản phẩm'!$A$5:$A$304,0)),""))</f>
        <v/>
      </c>
      <c r="L753" s="16">
        <f>IF(J753="","",J753-K753)</f>
        <v/>
      </c>
      <c r="M753" s="14">
        <f>IF(A753="","",MONTH(A753))</f>
        <v/>
      </c>
      <c r="N753" s="14">
        <f>IF(A753="","",YEAR(A753))</f>
        <v/>
      </c>
    </row>
    <row r="754">
      <c r="A754" s="15" t="n"/>
      <c r="B754" s="10" t="n"/>
      <c r="C754" s="10" t="n"/>
      <c r="D754" s="10" t="n"/>
      <c r="E754" s="14">
        <f>IF(D754="","",IFERROR(INDEX('Sản phẩm'!$B$5:$B$304,MATCH(D754,'Sản phẩm'!$A$5:$A$304,0)),""))</f>
        <v/>
      </c>
      <c r="F754" s="12" t="n"/>
      <c r="G754" s="11" t="n"/>
      <c r="H754" s="11" t="n"/>
      <c r="I754" s="16">
        <f>IF(D754="","",IF(G754&lt;&gt;"",G754,IFERROR(INDEX('Sản phẩm'!$E$5:$E$304,MATCH(D754,'Sản phẩm'!$A$5:$A$304,0)),"")))</f>
        <v/>
      </c>
      <c r="J754" s="16">
        <f>IF(OR(D754="",F754=""),"",F754*I754-N(H754))</f>
        <v/>
      </c>
      <c r="K754" s="16">
        <f>IF(OR(D754="",F754=""),"",F754*IFERROR(INDEX('Sản phẩm'!$D$5:$D$304,MATCH(D754,'Sản phẩm'!$A$5:$A$304,0)),""))</f>
        <v/>
      </c>
      <c r="L754" s="16">
        <f>IF(J754="","",J754-K754)</f>
        <v/>
      </c>
      <c r="M754" s="14">
        <f>IF(A754="","",MONTH(A754))</f>
        <v/>
      </c>
      <c r="N754" s="14">
        <f>IF(A754="","",YEAR(A754))</f>
        <v/>
      </c>
    </row>
    <row r="755">
      <c r="A755" s="15" t="n"/>
      <c r="B755" s="10" t="n"/>
      <c r="C755" s="10" t="n"/>
      <c r="D755" s="10" t="n"/>
      <c r="E755" s="14">
        <f>IF(D755="","",IFERROR(INDEX('Sản phẩm'!$B$5:$B$304,MATCH(D755,'Sản phẩm'!$A$5:$A$304,0)),""))</f>
        <v/>
      </c>
      <c r="F755" s="12" t="n"/>
      <c r="G755" s="11" t="n"/>
      <c r="H755" s="11" t="n"/>
      <c r="I755" s="16">
        <f>IF(D755="","",IF(G755&lt;&gt;"",G755,IFERROR(INDEX('Sản phẩm'!$E$5:$E$304,MATCH(D755,'Sản phẩm'!$A$5:$A$304,0)),"")))</f>
        <v/>
      </c>
      <c r="J755" s="16">
        <f>IF(OR(D755="",F755=""),"",F755*I755-N(H755))</f>
        <v/>
      </c>
      <c r="K755" s="16">
        <f>IF(OR(D755="",F755=""),"",F755*IFERROR(INDEX('Sản phẩm'!$D$5:$D$304,MATCH(D755,'Sản phẩm'!$A$5:$A$304,0)),""))</f>
        <v/>
      </c>
      <c r="L755" s="16">
        <f>IF(J755="","",J755-K755)</f>
        <v/>
      </c>
      <c r="M755" s="14">
        <f>IF(A755="","",MONTH(A755))</f>
        <v/>
      </c>
      <c r="N755" s="14">
        <f>IF(A755="","",YEAR(A755))</f>
        <v/>
      </c>
    </row>
    <row r="756">
      <c r="A756" s="15" t="n"/>
      <c r="B756" s="10" t="n"/>
      <c r="C756" s="10" t="n"/>
      <c r="D756" s="10" t="n"/>
      <c r="E756" s="14">
        <f>IF(D756="","",IFERROR(INDEX('Sản phẩm'!$B$5:$B$304,MATCH(D756,'Sản phẩm'!$A$5:$A$304,0)),""))</f>
        <v/>
      </c>
      <c r="F756" s="12" t="n"/>
      <c r="G756" s="11" t="n"/>
      <c r="H756" s="11" t="n"/>
      <c r="I756" s="16">
        <f>IF(D756="","",IF(G756&lt;&gt;"",G756,IFERROR(INDEX('Sản phẩm'!$E$5:$E$304,MATCH(D756,'Sản phẩm'!$A$5:$A$304,0)),"")))</f>
        <v/>
      </c>
      <c r="J756" s="16">
        <f>IF(OR(D756="",F756=""),"",F756*I756-N(H756))</f>
        <v/>
      </c>
      <c r="K756" s="16">
        <f>IF(OR(D756="",F756=""),"",F756*IFERROR(INDEX('Sản phẩm'!$D$5:$D$304,MATCH(D756,'Sản phẩm'!$A$5:$A$304,0)),""))</f>
        <v/>
      </c>
      <c r="L756" s="16">
        <f>IF(J756="","",J756-K756)</f>
        <v/>
      </c>
      <c r="M756" s="14">
        <f>IF(A756="","",MONTH(A756))</f>
        <v/>
      </c>
      <c r="N756" s="14">
        <f>IF(A756="","",YEAR(A756))</f>
        <v/>
      </c>
    </row>
    <row r="757">
      <c r="A757" s="15" t="n"/>
      <c r="B757" s="10" t="n"/>
      <c r="C757" s="10" t="n"/>
      <c r="D757" s="10" t="n"/>
      <c r="E757" s="14">
        <f>IF(D757="","",IFERROR(INDEX('Sản phẩm'!$B$5:$B$304,MATCH(D757,'Sản phẩm'!$A$5:$A$304,0)),""))</f>
        <v/>
      </c>
      <c r="F757" s="12" t="n"/>
      <c r="G757" s="11" t="n"/>
      <c r="H757" s="11" t="n"/>
      <c r="I757" s="16">
        <f>IF(D757="","",IF(G757&lt;&gt;"",G757,IFERROR(INDEX('Sản phẩm'!$E$5:$E$304,MATCH(D757,'Sản phẩm'!$A$5:$A$304,0)),"")))</f>
        <v/>
      </c>
      <c r="J757" s="16">
        <f>IF(OR(D757="",F757=""),"",F757*I757-N(H757))</f>
        <v/>
      </c>
      <c r="K757" s="16">
        <f>IF(OR(D757="",F757=""),"",F757*IFERROR(INDEX('Sản phẩm'!$D$5:$D$304,MATCH(D757,'Sản phẩm'!$A$5:$A$304,0)),""))</f>
        <v/>
      </c>
      <c r="L757" s="16">
        <f>IF(J757="","",J757-K757)</f>
        <v/>
      </c>
      <c r="M757" s="14">
        <f>IF(A757="","",MONTH(A757))</f>
        <v/>
      </c>
      <c r="N757" s="14">
        <f>IF(A757="","",YEAR(A757))</f>
        <v/>
      </c>
    </row>
    <row r="758">
      <c r="A758" s="15" t="n"/>
      <c r="B758" s="10" t="n"/>
      <c r="C758" s="10" t="n"/>
      <c r="D758" s="10" t="n"/>
      <c r="E758" s="14">
        <f>IF(D758="","",IFERROR(INDEX('Sản phẩm'!$B$5:$B$304,MATCH(D758,'Sản phẩm'!$A$5:$A$304,0)),""))</f>
        <v/>
      </c>
      <c r="F758" s="12" t="n"/>
      <c r="G758" s="11" t="n"/>
      <c r="H758" s="11" t="n"/>
      <c r="I758" s="16">
        <f>IF(D758="","",IF(G758&lt;&gt;"",G758,IFERROR(INDEX('Sản phẩm'!$E$5:$E$304,MATCH(D758,'Sản phẩm'!$A$5:$A$304,0)),"")))</f>
        <v/>
      </c>
      <c r="J758" s="16">
        <f>IF(OR(D758="",F758=""),"",F758*I758-N(H758))</f>
        <v/>
      </c>
      <c r="K758" s="16">
        <f>IF(OR(D758="",F758=""),"",F758*IFERROR(INDEX('Sản phẩm'!$D$5:$D$304,MATCH(D758,'Sản phẩm'!$A$5:$A$304,0)),""))</f>
        <v/>
      </c>
      <c r="L758" s="16">
        <f>IF(J758="","",J758-K758)</f>
        <v/>
      </c>
      <c r="M758" s="14">
        <f>IF(A758="","",MONTH(A758))</f>
        <v/>
      </c>
      <c r="N758" s="14">
        <f>IF(A758="","",YEAR(A758))</f>
        <v/>
      </c>
    </row>
    <row r="759">
      <c r="A759" s="15" t="n"/>
      <c r="B759" s="10" t="n"/>
      <c r="C759" s="10" t="n"/>
      <c r="D759" s="10" t="n"/>
      <c r="E759" s="14">
        <f>IF(D759="","",IFERROR(INDEX('Sản phẩm'!$B$5:$B$304,MATCH(D759,'Sản phẩm'!$A$5:$A$304,0)),""))</f>
        <v/>
      </c>
      <c r="F759" s="12" t="n"/>
      <c r="G759" s="11" t="n"/>
      <c r="H759" s="11" t="n"/>
      <c r="I759" s="16">
        <f>IF(D759="","",IF(G759&lt;&gt;"",G759,IFERROR(INDEX('Sản phẩm'!$E$5:$E$304,MATCH(D759,'Sản phẩm'!$A$5:$A$304,0)),"")))</f>
        <v/>
      </c>
      <c r="J759" s="16">
        <f>IF(OR(D759="",F759=""),"",F759*I759-N(H759))</f>
        <v/>
      </c>
      <c r="K759" s="16">
        <f>IF(OR(D759="",F759=""),"",F759*IFERROR(INDEX('Sản phẩm'!$D$5:$D$304,MATCH(D759,'Sản phẩm'!$A$5:$A$304,0)),""))</f>
        <v/>
      </c>
      <c r="L759" s="16">
        <f>IF(J759="","",J759-K759)</f>
        <v/>
      </c>
      <c r="M759" s="14">
        <f>IF(A759="","",MONTH(A759))</f>
        <v/>
      </c>
      <c r="N759" s="14">
        <f>IF(A759="","",YEAR(A759))</f>
        <v/>
      </c>
    </row>
    <row r="760">
      <c r="A760" s="15" t="n"/>
      <c r="B760" s="10" t="n"/>
      <c r="C760" s="10" t="n"/>
      <c r="D760" s="10" t="n"/>
      <c r="E760" s="14">
        <f>IF(D760="","",IFERROR(INDEX('Sản phẩm'!$B$5:$B$304,MATCH(D760,'Sản phẩm'!$A$5:$A$304,0)),""))</f>
        <v/>
      </c>
      <c r="F760" s="12" t="n"/>
      <c r="G760" s="11" t="n"/>
      <c r="H760" s="11" t="n"/>
      <c r="I760" s="16">
        <f>IF(D760="","",IF(G760&lt;&gt;"",G760,IFERROR(INDEX('Sản phẩm'!$E$5:$E$304,MATCH(D760,'Sản phẩm'!$A$5:$A$304,0)),"")))</f>
        <v/>
      </c>
      <c r="J760" s="16">
        <f>IF(OR(D760="",F760=""),"",F760*I760-N(H760))</f>
        <v/>
      </c>
      <c r="K760" s="16">
        <f>IF(OR(D760="",F760=""),"",F760*IFERROR(INDEX('Sản phẩm'!$D$5:$D$304,MATCH(D760,'Sản phẩm'!$A$5:$A$304,0)),""))</f>
        <v/>
      </c>
      <c r="L760" s="16">
        <f>IF(J760="","",J760-K760)</f>
        <v/>
      </c>
      <c r="M760" s="14">
        <f>IF(A760="","",MONTH(A760))</f>
        <v/>
      </c>
      <c r="N760" s="14">
        <f>IF(A760="","",YEAR(A760))</f>
        <v/>
      </c>
    </row>
    <row r="761">
      <c r="A761" s="15" t="n"/>
      <c r="B761" s="10" t="n"/>
      <c r="C761" s="10" t="n"/>
      <c r="D761" s="10" t="n"/>
      <c r="E761" s="14">
        <f>IF(D761="","",IFERROR(INDEX('Sản phẩm'!$B$5:$B$304,MATCH(D761,'Sản phẩm'!$A$5:$A$304,0)),""))</f>
        <v/>
      </c>
      <c r="F761" s="12" t="n"/>
      <c r="G761" s="11" t="n"/>
      <c r="H761" s="11" t="n"/>
      <c r="I761" s="16">
        <f>IF(D761="","",IF(G761&lt;&gt;"",G761,IFERROR(INDEX('Sản phẩm'!$E$5:$E$304,MATCH(D761,'Sản phẩm'!$A$5:$A$304,0)),"")))</f>
        <v/>
      </c>
      <c r="J761" s="16">
        <f>IF(OR(D761="",F761=""),"",F761*I761-N(H761))</f>
        <v/>
      </c>
      <c r="K761" s="16">
        <f>IF(OR(D761="",F761=""),"",F761*IFERROR(INDEX('Sản phẩm'!$D$5:$D$304,MATCH(D761,'Sản phẩm'!$A$5:$A$304,0)),""))</f>
        <v/>
      </c>
      <c r="L761" s="16">
        <f>IF(J761="","",J761-K761)</f>
        <v/>
      </c>
      <c r="M761" s="14">
        <f>IF(A761="","",MONTH(A761))</f>
        <v/>
      </c>
      <c r="N761" s="14">
        <f>IF(A761="","",YEAR(A761))</f>
        <v/>
      </c>
    </row>
    <row r="762">
      <c r="A762" s="15" t="n"/>
      <c r="B762" s="10" t="n"/>
      <c r="C762" s="10" t="n"/>
      <c r="D762" s="10" t="n"/>
      <c r="E762" s="14">
        <f>IF(D762="","",IFERROR(INDEX('Sản phẩm'!$B$5:$B$304,MATCH(D762,'Sản phẩm'!$A$5:$A$304,0)),""))</f>
        <v/>
      </c>
      <c r="F762" s="12" t="n"/>
      <c r="G762" s="11" t="n"/>
      <c r="H762" s="11" t="n"/>
      <c r="I762" s="16">
        <f>IF(D762="","",IF(G762&lt;&gt;"",G762,IFERROR(INDEX('Sản phẩm'!$E$5:$E$304,MATCH(D762,'Sản phẩm'!$A$5:$A$304,0)),"")))</f>
        <v/>
      </c>
      <c r="J762" s="16">
        <f>IF(OR(D762="",F762=""),"",F762*I762-N(H762))</f>
        <v/>
      </c>
      <c r="K762" s="16">
        <f>IF(OR(D762="",F762=""),"",F762*IFERROR(INDEX('Sản phẩm'!$D$5:$D$304,MATCH(D762,'Sản phẩm'!$A$5:$A$304,0)),""))</f>
        <v/>
      </c>
      <c r="L762" s="16">
        <f>IF(J762="","",J762-K762)</f>
        <v/>
      </c>
      <c r="M762" s="14">
        <f>IF(A762="","",MONTH(A762))</f>
        <v/>
      </c>
      <c r="N762" s="14">
        <f>IF(A762="","",YEAR(A762))</f>
        <v/>
      </c>
    </row>
    <row r="763">
      <c r="A763" s="15" t="n"/>
      <c r="B763" s="10" t="n"/>
      <c r="C763" s="10" t="n"/>
      <c r="D763" s="10" t="n"/>
      <c r="E763" s="14">
        <f>IF(D763="","",IFERROR(INDEX('Sản phẩm'!$B$5:$B$304,MATCH(D763,'Sản phẩm'!$A$5:$A$304,0)),""))</f>
        <v/>
      </c>
      <c r="F763" s="12" t="n"/>
      <c r="G763" s="11" t="n"/>
      <c r="H763" s="11" t="n"/>
      <c r="I763" s="16">
        <f>IF(D763="","",IF(G763&lt;&gt;"",G763,IFERROR(INDEX('Sản phẩm'!$E$5:$E$304,MATCH(D763,'Sản phẩm'!$A$5:$A$304,0)),"")))</f>
        <v/>
      </c>
      <c r="J763" s="16">
        <f>IF(OR(D763="",F763=""),"",F763*I763-N(H763))</f>
        <v/>
      </c>
      <c r="K763" s="16">
        <f>IF(OR(D763="",F763=""),"",F763*IFERROR(INDEX('Sản phẩm'!$D$5:$D$304,MATCH(D763,'Sản phẩm'!$A$5:$A$304,0)),""))</f>
        <v/>
      </c>
      <c r="L763" s="16">
        <f>IF(J763="","",J763-K763)</f>
        <v/>
      </c>
      <c r="M763" s="14">
        <f>IF(A763="","",MONTH(A763))</f>
        <v/>
      </c>
      <c r="N763" s="14">
        <f>IF(A763="","",YEAR(A763))</f>
        <v/>
      </c>
    </row>
    <row r="764">
      <c r="A764" s="15" t="n"/>
      <c r="B764" s="10" t="n"/>
      <c r="C764" s="10" t="n"/>
      <c r="D764" s="10" t="n"/>
      <c r="E764" s="14">
        <f>IF(D764="","",IFERROR(INDEX('Sản phẩm'!$B$5:$B$304,MATCH(D764,'Sản phẩm'!$A$5:$A$304,0)),""))</f>
        <v/>
      </c>
      <c r="F764" s="12" t="n"/>
      <c r="G764" s="11" t="n"/>
      <c r="H764" s="11" t="n"/>
      <c r="I764" s="16">
        <f>IF(D764="","",IF(G764&lt;&gt;"",G764,IFERROR(INDEX('Sản phẩm'!$E$5:$E$304,MATCH(D764,'Sản phẩm'!$A$5:$A$304,0)),"")))</f>
        <v/>
      </c>
      <c r="J764" s="16">
        <f>IF(OR(D764="",F764=""),"",F764*I764-N(H764))</f>
        <v/>
      </c>
      <c r="K764" s="16">
        <f>IF(OR(D764="",F764=""),"",F764*IFERROR(INDEX('Sản phẩm'!$D$5:$D$304,MATCH(D764,'Sản phẩm'!$A$5:$A$304,0)),""))</f>
        <v/>
      </c>
      <c r="L764" s="16">
        <f>IF(J764="","",J764-K764)</f>
        <v/>
      </c>
      <c r="M764" s="14">
        <f>IF(A764="","",MONTH(A764))</f>
        <v/>
      </c>
      <c r="N764" s="14">
        <f>IF(A764="","",YEAR(A764))</f>
        <v/>
      </c>
    </row>
    <row r="765">
      <c r="A765" s="15" t="n"/>
      <c r="B765" s="10" t="n"/>
      <c r="C765" s="10" t="n"/>
      <c r="D765" s="10" t="n"/>
      <c r="E765" s="14">
        <f>IF(D765="","",IFERROR(INDEX('Sản phẩm'!$B$5:$B$304,MATCH(D765,'Sản phẩm'!$A$5:$A$304,0)),""))</f>
        <v/>
      </c>
      <c r="F765" s="12" t="n"/>
      <c r="G765" s="11" t="n"/>
      <c r="H765" s="11" t="n"/>
      <c r="I765" s="16">
        <f>IF(D765="","",IF(G765&lt;&gt;"",G765,IFERROR(INDEX('Sản phẩm'!$E$5:$E$304,MATCH(D765,'Sản phẩm'!$A$5:$A$304,0)),"")))</f>
        <v/>
      </c>
      <c r="J765" s="16">
        <f>IF(OR(D765="",F765=""),"",F765*I765-N(H765))</f>
        <v/>
      </c>
      <c r="K765" s="16">
        <f>IF(OR(D765="",F765=""),"",F765*IFERROR(INDEX('Sản phẩm'!$D$5:$D$304,MATCH(D765,'Sản phẩm'!$A$5:$A$304,0)),""))</f>
        <v/>
      </c>
      <c r="L765" s="16">
        <f>IF(J765="","",J765-K765)</f>
        <v/>
      </c>
      <c r="M765" s="14">
        <f>IF(A765="","",MONTH(A765))</f>
        <v/>
      </c>
      <c r="N765" s="14">
        <f>IF(A765="","",YEAR(A765))</f>
        <v/>
      </c>
    </row>
    <row r="766">
      <c r="A766" s="15" t="n"/>
      <c r="B766" s="10" t="n"/>
      <c r="C766" s="10" t="n"/>
      <c r="D766" s="10" t="n"/>
      <c r="E766" s="14">
        <f>IF(D766="","",IFERROR(INDEX('Sản phẩm'!$B$5:$B$304,MATCH(D766,'Sản phẩm'!$A$5:$A$304,0)),""))</f>
        <v/>
      </c>
      <c r="F766" s="12" t="n"/>
      <c r="G766" s="11" t="n"/>
      <c r="H766" s="11" t="n"/>
      <c r="I766" s="16">
        <f>IF(D766="","",IF(G766&lt;&gt;"",G766,IFERROR(INDEX('Sản phẩm'!$E$5:$E$304,MATCH(D766,'Sản phẩm'!$A$5:$A$304,0)),"")))</f>
        <v/>
      </c>
      <c r="J766" s="16">
        <f>IF(OR(D766="",F766=""),"",F766*I766-N(H766))</f>
        <v/>
      </c>
      <c r="K766" s="16">
        <f>IF(OR(D766="",F766=""),"",F766*IFERROR(INDEX('Sản phẩm'!$D$5:$D$304,MATCH(D766,'Sản phẩm'!$A$5:$A$304,0)),""))</f>
        <v/>
      </c>
      <c r="L766" s="16">
        <f>IF(J766="","",J766-K766)</f>
        <v/>
      </c>
      <c r="M766" s="14">
        <f>IF(A766="","",MONTH(A766))</f>
        <v/>
      </c>
      <c r="N766" s="14">
        <f>IF(A766="","",YEAR(A766))</f>
        <v/>
      </c>
    </row>
    <row r="767">
      <c r="A767" s="15" t="n"/>
      <c r="B767" s="10" t="n"/>
      <c r="C767" s="10" t="n"/>
      <c r="D767" s="10" t="n"/>
      <c r="E767" s="14">
        <f>IF(D767="","",IFERROR(INDEX('Sản phẩm'!$B$5:$B$304,MATCH(D767,'Sản phẩm'!$A$5:$A$304,0)),""))</f>
        <v/>
      </c>
      <c r="F767" s="12" t="n"/>
      <c r="G767" s="11" t="n"/>
      <c r="H767" s="11" t="n"/>
      <c r="I767" s="16">
        <f>IF(D767="","",IF(G767&lt;&gt;"",G767,IFERROR(INDEX('Sản phẩm'!$E$5:$E$304,MATCH(D767,'Sản phẩm'!$A$5:$A$304,0)),"")))</f>
        <v/>
      </c>
      <c r="J767" s="16">
        <f>IF(OR(D767="",F767=""),"",F767*I767-N(H767))</f>
        <v/>
      </c>
      <c r="K767" s="16">
        <f>IF(OR(D767="",F767=""),"",F767*IFERROR(INDEX('Sản phẩm'!$D$5:$D$304,MATCH(D767,'Sản phẩm'!$A$5:$A$304,0)),""))</f>
        <v/>
      </c>
      <c r="L767" s="16">
        <f>IF(J767="","",J767-K767)</f>
        <v/>
      </c>
      <c r="M767" s="14">
        <f>IF(A767="","",MONTH(A767))</f>
        <v/>
      </c>
      <c r="N767" s="14">
        <f>IF(A767="","",YEAR(A767))</f>
        <v/>
      </c>
    </row>
    <row r="768">
      <c r="A768" s="15" t="n"/>
      <c r="B768" s="10" t="n"/>
      <c r="C768" s="10" t="n"/>
      <c r="D768" s="10" t="n"/>
      <c r="E768" s="14">
        <f>IF(D768="","",IFERROR(INDEX('Sản phẩm'!$B$5:$B$304,MATCH(D768,'Sản phẩm'!$A$5:$A$304,0)),""))</f>
        <v/>
      </c>
      <c r="F768" s="12" t="n"/>
      <c r="G768" s="11" t="n"/>
      <c r="H768" s="11" t="n"/>
      <c r="I768" s="16">
        <f>IF(D768="","",IF(G768&lt;&gt;"",G768,IFERROR(INDEX('Sản phẩm'!$E$5:$E$304,MATCH(D768,'Sản phẩm'!$A$5:$A$304,0)),"")))</f>
        <v/>
      </c>
      <c r="J768" s="16">
        <f>IF(OR(D768="",F768=""),"",F768*I768-N(H768))</f>
        <v/>
      </c>
      <c r="K768" s="16">
        <f>IF(OR(D768="",F768=""),"",F768*IFERROR(INDEX('Sản phẩm'!$D$5:$D$304,MATCH(D768,'Sản phẩm'!$A$5:$A$304,0)),""))</f>
        <v/>
      </c>
      <c r="L768" s="16">
        <f>IF(J768="","",J768-K768)</f>
        <v/>
      </c>
      <c r="M768" s="14">
        <f>IF(A768="","",MONTH(A768))</f>
        <v/>
      </c>
      <c r="N768" s="14">
        <f>IF(A768="","",YEAR(A768))</f>
        <v/>
      </c>
    </row>
    <row r="769">
      <c r="A769" s="15" t="n"/>
      <c r="B769" s="10" t="n"/>
      <c r="C769" s="10" t="n"/>
      <c r="D769" s="10" t="n"/>
      <c r="E769" s="14">
        <f>IF(D769="","",IFERROR(INDEX('Sản phẩm'!$B$5:$B$304,MATCH(D769,'Sản phẩm'!$A$5:$A$304,0)),""))</f>
        <v/>
      </c>
      <c r="F769" s="12" t="n"/>
      <c r="G769" s="11" t="n"/>
      <c r="H769" s="11" t="n"/>
      <c r="I769" s="16">
        <f>IF(D769="","",IF(G769&lt;&gt;"",G769,IFERROR(INDEX('Sản phẩm'!$E$5:$E$304,MATCH(D769,'Sản phẩm'!$A$5:$A$304,0)),"")))</f>
        <v/>
      </c>
      <c r="J769" s="16">
        <f>IF(OR(D769="",F769=""),"",F769*I769-N(H769))</f>
        <v/>
      </c>
      <c r="K769" s="16">
        <f>IF(OR(D769="",F769=""),"",F769*IFERROR(INDEX('Sản phẩm'!$D$5:$D$304,MATCH(D769,'Sản phẩm'!$A$5:$A$304,0)),""))</f>
        <v/>
      </c>
      <c r="L769" s="16">
        <f>IF(J769="","",J769-K769)</f>
        <v/>
      </c>
      <c r="M769" s="14">
        <f>IF(A769="","",MONTH(A769))</f>
        <v/>
      </c>
      <c r="N769" s="14">
        <f>IF(A769="","",YEAR(A769))</f>
        <v/>
      </c>
    </row>
    <row r="770">
      <c r="A770" s="15" t="n"/>
      <c r="B770" s="10" t="n"/>
      <c r="C770" s="10" t="n"/>
      <c r="D770" s="10" t="n"/>
      <c r="E770" s="14">
        <f>IF(D770="","",IFERROR(INDEX('Sản phẩm'!$B$5:$B$304,MATCH(D770,'Sản phẩm'!$A$5:$A$304,0)),""))</f>
        <v/>
      </c>
      <c r="F770" s="12" t="n"/>
      <c r="G770" s="11" t="n"/>
      <c r="H770" s="11" t="n"/>
      <c r="I770" s="16">
        <f>IF(D770="","",IF(G770&lt;&gt;"",G770,IFERROR(INDEX('Sản phẩm'!$E$5:$E$304,MATCH(D770,'Sản phẩm'!$A$5:$A$304,0)),"")))</f>
        <v/>
      </c>
      <c r="J770" s="16">
        <f>IF(OR(D770="",F770=""),"",F770*I770-N(H770))</f>
        <v/>
      </c>
      <c r="K770" s="16">
        <f>IF(OR(D770="",F770=""),"",F770*IFERROR(INDEX('Sản phẩm'!$D$5:$D$304,MATCH(D770,'Sản phẩm'!$A$5:$A$304,0)),""))</f>
        <v/>
      </c>
      <c r="L770" s="16">
        <f>IF(J770="","",J770-K770)</f>
        <v/>
      </c>
      <c r="M770" s="14">
        <f>IF(A770="","",MONTH(A770))</f>
        <v/>
      </c>
      <c r="N770" s="14">
        <f>IF(A770="","",YEAR(A770))</f>
        <v/>
      </c>
    </row>
    <row r="771">
      <c r="A771" s="15" t="n"/>
      <c r="B771" s="10" t="n"/>
      <c r="C771" s="10" t="n"/>
      <c r="D771" s="10" t="n"/>
      <c r="E771" s="14">
        <f>IF(D771="","",IFERROR(INDEX('Sản phẩm'!$B$5:$B$304,MATCH(D771,'Sản phẩm'!$A$5:$A$304,0)),""))</f>
        <v/>
      </c>
      <c r="F771" s="12" t="n"/>
      <c r="G771" s="11" t="n"/>
      <c r="H771" s="11" t="n"/>
      <c r="I771" s="16">
        <f>IF(D771="","",IF(G771&lt;&gt;"",G771,IFERROR(INDEX('Sản phẩm'!$E$5:$E$304,MATCH(D771,'Sản phẩm'!$A$5:$A$304,0)),"")))</f>
        <v/>
      </c>
      <c r="J771" s="16">
        <f>IF(OR(D771="",F771=""),"",F771*I771-N(H771))</f>
        <v/>
      </c>
      <c r="K771" s="16">
        <f>IF(OR(D771="",F771=""),"",F771*IFERROR(INDEX('Sản phẩm'!$D$5:$D$304,MATCH(D771,'Sản phẩm'!$A$5:$A$304,0)),""))</f>
        <v/>
      </c>
      <c r="L771" s="16">
        <f>IF(J771="","",J771-K771)</f>
        <v/>
      </c>
      <c r="M771" s="14">
        <f>IF(A771="","",MONTH(A771))</f>
        <v/>
      </c>
      <c r="N771" s="14">
        <f>IF(A771="","",YEAR(A771))</f>
        <v/>
      </c>
    </row>
    <row r="772">
      <c r="A772" s="15" t="n"/>
      <c r="B772" s="10" t="n"/>
      <c r="C772" s="10" t="n"/>
      <c r="D772" s="10" t="n"/>
      <c r="E772" s="14">
        <f>IF(D772="","",IFERROR(INDEX('Sản phẩm'!$B$5:$B$304,MATCH(D772,'Sản phẩm'!$A$5:$A$304,0)),""))</f>
        <v/>
      </c>
      <c r="F772" s="12" t="n"/>
      <c r="G772" s="11" t="n"/>
      <c r="H772" s="11" t="n"/>
      <c r="I772" s="16">
        <f>IF(D772="","",IF(G772&lt;&gt;"",G772,IFERROR(INDEX('Sản phẩm'!$E$5:$E$304,MATCH(D772,'Sản phẩm'!$A$5:$A$304,0)),"")))</f>
        <v/>
      </c>
      <c r="J772" s="16">
        <f>IF(OR(D772="",F772=""),"",F772*I772-N(H772))</f>
        <v/>
      </c>
      <c r="K772" s="16">
        <f>IF(OR(D772="",F772=""),"",F772*IFERROR(INDEX('Sản phẩm'!$D$5:$D$304,MATCH(D772,'Sản phẩm'!$A$5:$A$304,0)),""))</f>
        <v/>
      </c>
      <c r="L772" s="16">
        <f>IF(J772="","",J772-K772)</f>
        <v/>
      </c>
      <c r="M772" s="14">
        <f>IF(A772="","",MONTH(A772))</f>
        <v/>
      </c>
      <c r="N772" s="14">
        <f>IF(A772="","",YEAR(A772))</f>
        <v/>
      </c>
    </row>
    <row r="773">
      <c r="A773" s="15" t="n"/>
      <c r="B773" s="10" t="n"/>
      <c r="C773" s="10" t="n"/>
      <c r="D773" s="10" t="n"/>
      <c r="E773" s="14">
        <f>IF(D773="","",IFERROR(INDEX('Sản phẩm'!$B$5:$B$304,MATCH(D773,'Sản phẩm'!$A$5:$A$304,0)),""))</f>
        <v/>
      </c>
      <c r="F773" s="12" t="n"/>
      <c r="G773" s="11" t="n"/>
      <c r="H773" s="11" t="n"/>
      <c r="I773" s="16">
        <f>IF(D773="","",IF(G773&lt;&gt;"",G773,IFERROR(INDEX('Sản phẩm'!$E$5:$E$304,MATCH(D773,'Sản phẩm'!$A$5:$A$304,0)),"")))</f>
        <v/>
      </c>
      <c r="J773" s="16">
        <f>IF(OR(D773="",F773=""),"",F773*I773-N(H773))</f>
        <v/>
      </c>
      <c r="K773" s="16">
        <f>IF(OR(D773="",F773=""),"",F773*IFERROR(INDEX('Sản phẩm'!$D$5:$D$304,MATCH(D773,'Sản phẩm'!$A$5:$A$304,0)),""))</f>
        <v/>
      </c>
      <c r="L773" s="16">
        <f>IF(J773="","",J773-K773)</f>
        <v/>
      </c>
      <c r="M773" s="14">
        <f>IF(A773="","",MONTH(A773))</f>
        <v/>
      </c>
      <c r="N773" s="14">
        <f>IF(A773="","",YEAR(A773))</f>
        <v/>
      </c>
    </row>
    <row r="774">
      <c r="A774" s="15" t="n"/>
      <c r="B774" s="10" t="n"/>
      <c r="C774" s="10" t="n"/>
      <c r="D774" s="10" t="n"/>
      <c r="E774" s="14">
        <f>IF(D774="","",IFERROR(INDEX('Sản phẩm'!$B$5:$B$304,MATCH(D774,'Sản phẩm'!$A$5:$A$304,0)),""))</f>
        <v/>
      </c>
      <c r="F774" s="12" t="n"/>
      <c r="G774" s="11" t="n"/>
      <c r="H774" s="11" t="n"/>
      <c r="I774" s="16">
        <f>IF(D774="","",IF(G774&lt;&gt;"",G774,IFERROR(INDEX('Sản phẩm'!$E$5:$E$304,MATCH(D774,'Sản phẩm'!$A$5:$A$304,0)),"")))</f>
        <v/>
      </c>
      <c r="J774" s="16">
        <f>IF(OR(D774="",F774=""),"",F774*I774-N(H774))</f>
        <v/>
      </c>
      <c r="K774" s="16">
        <f>IF(OR(D774="",F774=""),"",F774*IFERROR(INDEX('Sản phẩm'!$D$5:$D$304,MATCH(D774,'Sản phẩm'!$A$5:$A$304,0)),""))</f>
        <v/>
      </c>
      <c r="L774" s="16">
        <f>IF(J774="","",J774-K774)</f>
        <v/>
      </c>
      <c r="M774" s="14">
        <f>IF(A774="","",MONTH(A774))</f>
        <v/>
      </c>
      <c r="N774" s="14">
        <f>IF(A774="","",YEAR(A774))</f>
        <v/>
      </c>
    </row>
    <row r="775">
      <c r="A775" s="15" t="n"/>
      <c r="B775" s="10" t="n"/>
      <c r="C775" s="10" t="n"/>
      <c r="D775" s="10" t="n"/>
      <c r="E775" s="14">
        <f>IF(D775="","",IFERROR(INDEX('Sản phẩm'!$B$5:$B$304,MATCH(D775,'Sản phẩm'!$A$5:$A$304,0)),""))</f>
        <v/>
      </c>
      <c r="F775" s="12" t="n"/>
      <c r="G775" s="11" t="n"/>
      <c r="H775" s="11" t="n"/>
      <c r="I775" s="16">
        <f>IF(D775="","",IF(G775&lt;&gt;"",G775,IFERROR(INDEX('Sản phẩm'!$E$5:$E$304,MATCH(D775,'Sản phẩm'!$A$5:$A$304,0)),"")))</f>
        <v/>
      </c>
      <c r="J775" s="16">
        <f>IF(OR(D775="",F775=""),"",F775*I775-N(H775))</f>
        <v/>
      </c>
      <c r="K775" s="16">
        <f>IF(OR(D775="",F775=""),"",F775*IFERROR(INDEX('Sản phẩm'!$D$5:$D$304,MATCH(D775,'Sản phẩm'!$A$5:$A$304,0)),""))</f>
        <v/>
      </c>
      <c r="L775" s="16">
        <f>IF(J775="","",J775-K775)</f>
        <v/>
      </c>
      <c r="M775" s="14">
        <f>IF(A775="","",MONTH(A775))</f>
        <v/>
      </c>
      <c r="N775" s="14">
        <f>IF(A775="","",YEAR(A775))</f>
        <v/>
      </c>
    </row>
    <row r="776">
      <c r="A776" s="15" t="n"/>
      <c r="B776" s="10" t="n"/>
      <c r="C776" s="10" t="n"/>
      <c r="D776" s="10" t="n"/>
      <c r="E776" s="14">
        <f>IF(D776="","",IFERROR(INDEX('Sản phẩm'!$B$5:$B$304,MATCH(D776,'Sản phẩm'!$A$5:$A$304,0)),""))</f>
        <v/>
      </c>
      <c r="F776" s="12" t="n"/>
      <c r="G776" s="11" t="n"/>
      <c r="H776" s="11" t="n"/>
      <c r="I776" s="16">
        <f>IF(D776="","",IF(G776&lt;&gt;"",G776,IFERROR(INDEX('Sản phẩm'!$E$5:$E$304,MATCH(D776,'Sản phẩm'!$A$5:$A$304,0)),"")))</f>
        <v/>
      </c>
      <c r="J776" s="16">
        <f>IF(OR(D776="",F776=""),"",F776*I776-N(H776))</f>
        <v/>
      </c>
      <c r="K776" s="16">
        <f>IF(OR(D776="",F776=""),"",F776*IFERROR(INDEX('Sản phẩm'!$D$5:$D$304,MATCH(D776,'Sản phẩm'!$A$5:$A$304,0)),""))</f>
        <v/>
      </c>
      <c r="L776" s="16">
        <f>IF(J776="","",J776-K776)</f>
        <v/>
      </c>
      <c r="M776" s="14">
        <f>IF(A776="","",MONTH(A776))</f>
        <v/>
      </c>
      <c r="N776" s="14">
        <f>IF(A776="","",YEAR(A776))</f>
        <v/>
      </c>
    </row>
    <row r="777">
      <c r="A777" s="15" t="n"/>
      <c r="B777" s="10" t="n"/>
      <c r="C777" s="10" t="n"/>
      <c r="D777" s="10" t="n"/>
      <c r="E777" s="14">
        <f>IF(D777="","",IFERROR(INDEX('Sản phẩm'!$B$5:$B$304,MATCH(D777,'Sản phẩm'!$A$5:$A$304,0)),""))</f>
        <v/>
      </c>
      <c r="F777" s="12" t="n"/>
      <c r="G777" s="11" t="n"/>
      <c r="H777" s="11" t="n"/>
      <c r="I777" s="16">
        <f>IF(D777="","",IF(G777&lt;&gt;"",G777,IFERROR(INDEX('Sản phẩm'!$E$5:$E$304,MATCH(D777,'Sản phẩm'!$A$5:$A$304,0)),"")))</f>
        <v/>
      </c>
      <c r="J777" s="16">
        <f>IF(OR(D777="",F777=""),"",F777*I777-N(H777))</f>
        <v/>
      </c>
      <c r="K777" s="16">
        <f>IF(OR(D777="",F777=""),"",F777*IFERROR(INDEX('Sản phẩm'!$D$5:$D$304,MATCH(D777,'Sản phẩm'!$A$5:$A$304,0)),""))</f>
        <v/>
      </c>
      <c r="L777" s="16">
        <f>IF(J777="","",J777-K777)</f>
        <v/>
      </c>
      <c r="M777" s="14">
        <f>IF(A777="","",MONTH(A777))</f>
        <v/>
      </c>
      <c r="N777" s="14">
        <f>IF(A777="","",YEAR(A777))</f>
        <v/>
      </c>
    </row>
    <row r="778">
      <c r="A778" s="15" t="n"/>
      <c r="B778" s="10" t="n"/>
      <c r="C778" s="10" t="n"/>
      <c r="D778" s="10" t="n"/>
      <c r="E778" s="14">
        <f>IF(D778="","",IFERROR(INDEX('Sản phẩm'!$B$5:$B$304,MATCH(D778,'Sản phẩm'!$A$5:$A$304,0)),""))</f>
        <v/>
      </c>
      <c r="F778" s="12" t="n"/>
      <c r="G778" s="11" t="n"/>
      <c r="H778" s="11" t="n"/>
      <c r="I778" s="16">
        <f>IF(D778="","",IF(G778&lt;&gt;"",G778,IFERROR(INDEX('Sản phẩm'!$E$5:$E$304,MATCH(D778,'Sản phẩm'!$A$5:$A$304,0)),"")))</f>
        <v/>
      </c>
      <c r="J778" s="16">
        <f>IF(OR(D778="",F778=""),"",F778*I778-N(H778))</f>
        <v/>
      </c>
      <c r="K778" s="16">
        <f>IF(OR(D778="",F778=""),"",F778*IFERROR(INDEX('Sản phẩm'!$D$5:$D$304,MATCH(D778,'Sản phẩm'!$A$5:$A$304,0)),""))</f>
        <v/>
      </c>
      <c r="L778" s="16">
        <f>IF(J778="","",J778-K778)</f>
        <v/>
      </c>
      <c r="M778" s="14">
        <f>IF(A778="","",MONTH(A778))</f>
        <v/>
      </c>
      <c r="N778" s="14">
        <f>IF(A778="","",YEAR(A778))</f>
        <v/>
      </c>
    </row>
    <row r="779">
      <c r="A779" s="15" t="n"/>
      <c r="B779" s="10" t="n"/>
      <c r="C779" s="10" t="n"/>
      <c r="D779" s="10" t="n"/>
      <c r="E779" s="14">
        <f>IF(D779="","",IFERROR(INDEX('Sản phẩm'!$B$5:$B$304,MATCH(D779,'Sản phẩm'!$A$5:$A$304,0)),""))</f>
        <v/>
      </c>
      <c r="F779" s="12" t="n"/>
      <c r="G779" s="11" t="n"/>
      <c r="H779" s="11" t="n"/>
      <c r="I779" s="16">
        <f>IF(D779="","",IF(G779&lt;&gt;"",G779,IFERROR(INDEX('Sản phẩm'!$E$5:$E$304,MATCH(D779,'Sản phẩm'!$A$5:$A$304,0)),"")))</f>
        <v/>
      </c>
      <c r="J779" s="16">
        <f>IF(OR(D779="",F779=""),"",F779*I779-N(H779))</f>
        <v/>
      </c>
      <c r="K779" s="16">
        <f>IF(OR(D779="",F779=""),"",F779*IFERROR(INDEX('Sản phẩm'!$D$5:$D$304,MATCH(D779,'Sản phẩm'!$A$5:$A$304,0)),""))</f>
        <v/>
      </c>
      <c r="L779" s="16">
        <f>IF(J779="","",J779-K779)</f>
        <v/>
      </c>
      <c r="M779" s="14">
        <f>IF(A779="","",MONTH(A779))</f>
        <v/>
      </c>
      <c r="N779" s="14">
        <f>IF(A779="","",YEAR(A779))</f>
        <v/>
      </c>
    </row>
    <row r="780">
      <c r="A780" s="15" t="n"/>
      <c r="B780" s="10" t="n"/>
      <c r="C780" s="10" t="n"/>
      <c r="D780" s="10" t="n"/>
      <c r="E780" s="14">
        <f>IF(D780="","",IFERROR(INDEX('Sản phẩm'!$B$5:$B$304,MATCH(D780,'Sản phẩm'!$A$5:$A$304,0)),""))</f>
        <v/>
      </c>
      <c r="F780" s="12" t="n"/>
      <c r="G780" s="11" t="n"/>
      <c r="H780" s="11" t="n"/>
      <c r="I780" s="16">
        <f>IF(D780="","",IF(G780&lt;&gt;"",G780,IFERROR(INDEX('Sản phẩm'!$E$5:$E$304,MATCH(D780,'Sản phẩm'!$A$5:$A$304,0)),"")))</f>
        <v/>
      </c>
      <c r="J780" s="16">
        <f>IF(OR(D780="",F780=""),"",F780*I780-N(H780))</f>
        <v/>
      </c>
      <c r="K780" s="16">
        <f>IF(OR(D780="",F780=""),"",F780*IFERROR(INDEX('Sản phẩm'!$D$5:$D$304,MATCH(D780,'Sản phẩm'!$A$5:$A$304,0)),""))</f>
        <v/>
      </c>
      <c r="L780" s="16">
        <f>IF(J780="","",J780-K780)</f>
        <v/>
      </c>
      <c r="M780" s="14">
        <f>IF(A780="","",MONTH(A780))</f>
        <v/>
      </c>
      <c r="N780" s="14">
        <f>IF(A780="","",YEAR(A780))</f>
        <v/>
      </c>
    </row>
    <row r="781">
      <c r="A781" s="15" t="n"/>
      <c r="B781" s="10" t="n"/>
      <c r="C781" s="10" t="n"/>
      <c r="D781" s="10" t="n"/>
      <c r="E781" s="14">
        <f>IF(D781="","",IFERROR(INDEX('Sản phẩm'!$B$5:$B$304,MATCH(D781,'Sản phẩm'!$A$5:$A$304,0)),""))</f>
        <v/>
      </c>
      <c r="F781" s="12" t="n"/>
      <c r="G781" s="11" t="n"/>
      <c r="H781" s="11" t="n"/>
      <c r="I781" s="16">
        <f>IF(D781="","",IF(G781&lt;&gt;"",G781,IFERROR(INDEX('Sản phẩm'!$E$5:$E$304,MATCH(D781,'Sản phẩm'!$A$5:$A$304,0)),"")))</f>
        <v/>
      </c>
      <c r="J781" s="16">
        <f>IF(OR(D781="",F781=""),"",F781*I781-N(H781))</f>
        <v/>
      </c>
      <c r="K781" s="16">
        <f>IF(OR(D781="",F781=""),"",F781*IFERROR(INDEX('Sản phẩm'!$D$5:$D$304,MATCH(D781,'Sản phẩm'!$A$5:$A$304,0)),""))</f>
        <v/>
      </c>
      <c r="L781" s="16">
        <f>IF(J781="","",J781-K781)</f>
        <v/>
      </c>
      <c r="M781" s="14">
        <f>IF(A781="","",MONTH(A781))</f>
        <v/>
      </c>
      <c r="N781" s="14">
        <f>IF(A781="","",YEAR(A781))</f>
        <v/>
      </c>
    </row>
    <row r="782">
      <c r="A782" s="15" t="n"/>
      <c r="B782" s="10" t="n"/>
      <c r="C782" s="10" t="n"/>
      <c r="D782" s="10" t="n"/>
      <c r="E782" s="14">
        <f>IF(D782="","",IFERROR(INDEX('Sản phẩm'!$B$5:$B$304,MATCH(D782,'Sản phẩm'!$A$5:$A$304,0)),""))</f>
        <v/>
      </c>
      <c r="F782" s="12" t="n"/>
      <c r="G782" s="11" t="n"/>
      <c r="H782" s="11" t="n"/>
      <c r="I782" s="16">
        <f>IF(D782="","",IF(G782&lt;&gt;"",G782,IFERROR(INDEX('Sản phẩm'!$E$5:$E$304,MATCH(D782,'Sản phẩm'!$A$5:$A$304,0)),"")))</f>
        <v/>
      </c>
      <c r="J782" s="16">
        <f>IF(OR(D782="",F782=""),"",F782*I782-N(H782))</f>
        <v/>
      </c>
      <c r="K782" s="16">
        <f>IF(OR(D782="",F782=""),"",F782*IFERROR(INDEX('Sản phẩm'!$D$5:$D$304,MATCH(D782,'Sản phẩm'!$A$5:$A$304,0)),""))</f>
        <v/>
      </c>
      <c r="L782" s="16">
        <f>IF(J782="","",J782-K782)</f>
        <v/>
      </c>
      <c r="M782" s="14">
        <f>IF(A782="","",MONTH(A782))</f>
        <v/>
      </c>
      <c r="N782" s="14">
        <f>IF(A782="","",YEAR(A782))</f>
        <v/>
      </c>
    </row>
    <row r="783">
      <c r="A783" s="15" t="n"/>
      <c r="B783" s="10" t="n"/>
      <c r="C783" s="10" t="n"/>
      <c r="D783" s="10" t="n"/>
      <c r="E783" s="14">
        <f>IF(D783="","",IFERROR(INDEX('Sản phẩm'!$B$5:$B$304,MATCH(D783,'Sản phẩm'!$A$5:$A$304,0)),""))</f>
        <v/>
      </c>
      <c r="F783" s="12" t="n"/>
      <c r="G783" s="11" t="n"/>
      <c r="H783" s="11" t="n"/>
      <c r="I783" s="16">
        <f>IF(D783="","",IF(G783&lt;&gt;"",G783,IFERROR(INDEX('Sản phẩm'!$E$5:$E$304,MATCH(D783,'Sản phẩm'!$A$5:$A$304,0)),"")))</f>
        <v/>
      </c>
      <c r="J783" s="16">
        <f>IF(OR(D783="",F783=""),"",F783*I783-N(H783))</f>
        <v/>
      </c>
      <c r="K783" s="16">
        <f>IF(OR(D783="",F783=""),"",F783*IFERROR(INDEX('Sản phẩm'!$D$5:$D$304,MATCH(D783,'Sản phẩm'!$A$5:$A$304,0)),""))</f>
        <v/>
      </c>
      <c r="L783" s="16">
        <f>IF(J783="","",J783-K783)</f>
        <v/>
      </c>
      <c r="M783" s="14">
        <f>IF(A783="","",MONTH(A783))</f>
        <v/>
      </c>
      <c r="N783" s="14">
        <f>IF(A783="","",YEAR(A783))</f>
        <v/>
      </c>
    </row>
    <row r="784">
      <c r="A784" s="15" t="n"/>
      <c r="B784" s="10" t="n"/>
      <c r="C784" s="10" t="n"/>
      <c r="D784" s="10" t="n"/>
      <c r="E784" s="14">
        <f>IF(D784="","",IFERROR(INDEX('Sản phẩm'!$B$5:$B$304,MATCH(D784,'Sản phẩm'!$A$5:$A$304,0)),""))</f>
        <v/>
      </c>
      <c r="F784" s="12" t="n"/>
      <c r="G784" s="11" t="n"/>
      <c r="H784" s="11" t="n"/>
      <c r="I784" s="16">
        <f>IF(D784="","",IF(G784&lt;&gt;"",G784,IFERROR(INDEX('Sản phẩm'!$E$5:$E$304,MATCH(D784,'Sản phẩm'!$A$5:$A$304,0)),"")))</f>
        <v/>
      </c>
      <c r="J784" s="16">
        <f>IF(OR(D784="",F784=""),"",F784*I784-N(H784))</f>
        <v/>
      </c>
      <c r="K784" s="16">
        <f>IF(OR(D784="",F784=""),"",F784*IFERROR(INDEX('Sản phẩm'!$D$5:$D$304,MATCH(D784,'Sản phẩm'!$A$5:$A$304,0)),""))</f>
        <v/>
      </c>
      <c r="L784" s="16">
        <f>IF(J784="","",J784-K784)</f>
        <v/>
      </c>
      <c r="M784" s="14">
        <f>IF(A784="","",MONTH(A784))</f>
        <v/>
      </c>
      <c r="N784" s="14">
        <f>IF(A784="","",YEAR(A784))</f>
        <v/>
      </c>
    </row>
    <row r="785">
      <c r="A785" s="15" t="n"/>
      <c r="B785" s="10" t="n"/>
      <c r="C785" s="10" t="n"/>
      <c r="D785" s="10" t="n"/>
      <c r="E785" s="14">
        <f>IF(D785="","",IFERROR(INDEX('Sản phẩm'!$B$5:$B$304,MATCH(D785,'Sản phẩm'!$A$5:$A$304,0)),""))</f>
        <v/>
      </c>
      <c r="F785" s="12" t="n"/>
      <c r="G785" s="11" t="n"/>
      <c r="H785" s="11" t="n"/>
      <c r="I785" s="16">
        <f>IF(D785="","",IF(G785&lt;&gt;"",G785,IFERROR(INDEX('Sản phẩm'!$E$5:$E$304,MATCH(D785,'Sản phẩm'!$A$5:$A$304,0)),"")))</f>
        <v/>
      </c>
      <c r="J785" s="16">
        <f>IF(OR(D785="",F785=""),"",F785*I785-N(H785))</f>
        <v/>
      </c>
      <c r="K785" s="16">
        <f>IF(OR(D785="",F785=""),"",F785*IFERROR(INDEX('Sản phẩm'!$D$5:$D$304,MATCH(D785,'Sản phẩm'!$A$5:$A$304,0)),""))</f>
        <v/>
      </c>
      <c r="L785" s="16">
        <f>IF(J785="","",J785-K785)</f>
        <v/>
      </c>
      <c r="M785" s="14">
        <f>IF(A785="","",MONTH(A785))</f>
        <v/>
      </c>
      <c r="N785" s="14">
        <f>IF(A785="","",YEAR(A785))</f>
        <v/>
      </c>
    </row>
    <row r="786">
      <c r="A786" s="15" t="n"/>
      <c r="B786" s="10" t="n"/>
      <c r="C786" s="10" t="n"/>
      <c r="D786" s="10" t="n"/>
      <c r="E786" s="14">
        <f>IF(D786="","",IFERROR(INDEX('Sản phẩm'!$B$5:$B$304,MATCH(D786,'Sản phẩm'!$A$5:$A$304,0)),""))</f>
        <v/>
      </c>
      <c r="F786" s="12" t="n"/>
      <c r="G786" s="11" t="n"/>
      <c r="H786" s="11" t="n"/>
      <c r="I786" s="16">
        <f>IF(D786="","",IF(G786&lt;&gt;"",G786,IFERROR(INDEX('Sản phẩm'!$E$5:$E$304,MATCH(D786,'Sản phẩm'!$A$5:$A$304,0)),"")))</f>
        <v/>
      </c>
      <c r="J786" s="16">
        <f>IF(OR(D786="",F786=""),"",F786*I786-N(H786))</f>
        <v/>
      </c>
      <c r="K786" s="16">
        <f>IF(OR(D786="",F786=""),"",F786*IFERROR(INDEX('Sản phẩm'!$D$5:$D$304,MATCH(D786,'Sản phẩm'!$A$5:$A$304,0)),""))</f>
        <v/>
      </c>
      <c r="L786" s="16">
        <f>IF(J786="","",J786-K786)</f>
        <v/>
      </c>
      <c r="M786" s="14">
        <f>IF(A786="","",MONTH(A786))</f>
        <v/>
      </c>
      <c r="N786" s="14">
        <f>IF(A786="","",YEAR(A786))</f>
        <v/>
      </c>
    </row>
    <row r="787">
      <c r="A787" s="15" t="n"/>
      <c r="B787" s="10" t="n"/>
      <c r="C787" s="10" t="n"/>
      <c r="D787" s="10" t="n"/>
      <c r="E787" s="14">
        <f>IF(D787="","",IFERROR(INDEX('Sản phẩm'!$B$5:$B$304,MATCH(D787,'Sản phẩm'!$A$5:$A$304,0)),""))</f>
        <v/>
      </c>
      <c r="F787" s="12" t="n"/>
      <c r="G787" s="11" t="n"/>
      <c r="H787" s="11" t="n"/>
      <c r="I787" s="16">
        <f>IF(D787="","",IF(G787&lt;&gt;"",G787,IFERROR(INDEX('Sản phẩm'!$E$5:$E$304,MATCH(D787,'Sản phẩm'!$A$5:$A$304,0)),"")))</f>
        <v/>
      </c>
      <c r="J787" s="16">
        <f>IF(OR(D787="",F787=""),"",F787*I787-N(H787))</f>
        <v/>
      </c>
      <c r="K787" s="16">
        <f>IF(OR(D787="",F787=""),"",F787*IFERROR(INDEX('Sản phẩm'!$D$5:$D$304,MATCH(D787,'Sản phẩm'!$A$5:$A$304,0)),""))</f>
        <v/>
      </c>
      <c r="L787" s="16">
        <f>IF(J787="","",J787-K787)</f>
        <v/>
      </c>
      <c r="M787" s="14">
        <f>IF(A787="","",MONTH(A787))</f>
        <v/>
      </c>
      <c r="N787" s="14">
        <f>IF(A787="","",YEAR(A787))</f>
        <v/>
      </c>
    </row>
    <row r="788">
      <c r="A788" s="15" t="n"/>
      <c r="B788" s="10" t="n"/>
      <c r="C788" s="10" t="n"/>
      <c r="D788" s="10" t="n"/>
      <c r="E788" s="14">
        <f>IF(D788="","",IFERROR(INDEX('Sản phẩm'!$B$5:$B$304,MATCH(D788,'Sản phẩm'!$A$5:$A$304,0)),""))</f>
        <v/>
      </c>
      <c r="F788" s="12" t="n"/>
      <c r="G788" s="11" t="n"/>
      <c r="H788" s="11" t="n"/>
      <c r="I788" s="16">
        <f>IF(D788="","",IF(G788&lt;&gt;"",G788,IFERROR(INDEX('Sản phẩm'!$E$5:$E$304,MATCH(D788,'Sản phẩm'!$A$5:$A$304,0)),"")))</f>
        <v/>
      </c>
      <c r="J788" s="16">
        <f>IF(OR(D788="",F788=""),"",F788*I788-N(H788))</f>
        <v/>
      </c>
      <c r="K788" s="16">
        <f>IF(OR(D788="",F788=""),"",F788*IFERROR(INDEX('Sản phẩm'!$D$5:$D$304,MATCH(D788,'Sản phẩm'!$A$5:$A$304,0)),""))</f>
        <v/>
      </c>
      <c r="L788" s="16">
        <f>IF(J788="","",J788-K788)</f>
        <v/>
      </c>
      <c r="M788" s="14">
        <f>IF(A788="","",MONTH(A788))</f>
        <v/>
      </c>
      <c r="N788" s="14">
        <f>IF(A788="","",YEAR(A788))</f>
        <v/>
      </c>
    </row>
    <row r="789">
      <c r="A789" s="15" t="n"/>
      <c r="B789" s="10" t="n"/>
      <c r="C789" s="10" t="n"/>
      <c r="D789" s="10" t="n"/>
      <c r="E789" s="14">
        <f>IF(D789="","",IFERROR(INDEX('Sản phẩm'!$B$5:$B$304,MATCH(D789,'Sản phẩm'!$A$5:$A$304,0)),""))</f>
        <v/>
      </c>
      <c r="F789" s="12" t="n"/>
      <c r="G789" s="11" t="n"/>
      <c r="H789" s="11" t="n"/>
      <c r="I789" s="16">
        <f>IF(D789="","",IF(G789&lt;&gt;"",G789,IFERROR(INDEX('Sản phẩm'!$E$5:$E$304,MATCH(D789,'Sản phẩm'!$A$5:$A$304,0)),"")))</f>
        <v/>
      </c>
      <c r="J789" s="16">
        <f>IF(OR(D789="",F789=""),"",F789*I789-N(H789))</f>
        <v/>
      </c>
      <c r="K789" s="16">
        <f>IF(OR(D789="",F789=""),"",F789*IFERROR(INDEX('Sản phẩm'!$D$5:$D$304,MATCH(D789,'Sản phẩm'!$A$5:$A$304,0)),""))</f>
        <v/>
      </c>
      <c r="L789" s="16">
        <f>IF(J789="","",J789-K789)</f>
        <v/>
      </c>
      <c r="M789" s="14">
        <f>IF(A789="","",MONTH(A789))</f>
        <v/>
      </c>
      <c r="N789" s="14">
        <f>IF(A789="","",YEAR(A789))</f>
        <v/>
      </c>
    </row>
    <row r="790">
      <c r="A790" s="15" t="n"/>
      <c r="B790" s="10" t="n"/>
      <c r="C790" s="10" t="n"/>
      <c r="D790" s="10" t="n"/>
      <c r="E790" s="14">
        <f>IF(D790="","",IFERROR(INDEX('Sản phẩm'!$B$5:$B$304,MATCH(D790,'Sản phẩm'!$A$5:$A$304,0)),""))</f>
        <v/>
      </c>
      <c r="F790" s="12" t="n"/>
      <c r="G790" s="11" t="n"/>
      <c r="H790" s="11" t="n"/>
      <c r="I790" s="16">
        <f>IF(D790="","",IF(G790&lt;&gt;"",G790,IFERROR(INDEX('Sản phẩm'!$E$5:$E$304,MATCH(D790,'Sản phẩm'!$A$5:$A$304,0)),"")))</f>
        <v/>
      </c>
      <c r="J790" s="16">
        <f>IF(OR(D790="",F790=""),"",F790*I790-N(H790))</f>
        <v/>
      </c>
      <c r="K790" s="16">
        <f>IF(OR(D790="",F790=""),"",F790*IFERROR(INDEX('Sản phẩm'!$D$5:$D$304,MATCH(D790,'Sản phẩm'!$A$5:$A$304,0)),""))</f>
        <v/>
      </c>
      <c r="L790" s="16">
        <f>IF(J790="","",J790-K790)</f>
        <v/>
      </c>
      <c r="M790" s="14">
        <f>IF(A790="","",MONTH(A790))</f>
        <v/>
      </c>
      <c r="N790" s="14">
        <f>IF(A790="","",YEAR(A790))</f>
        <v/>
      </c>
    </row>
    <row r="791">
      <c r="A791" s="15" t="n"/>
      <c r="B791" s="10" t="n"/>
      <c r="C791" s="10" t="n"/>
      <c r="D791" s="10" t="n"/>
      <c r="E791" s="14">
        <f>IF(D791="","",IFERROR(INDEX('Sản phẩm'!$B$5:$B$304,MATCH(D791,'Sản phẩm'!$A$5:$A$304,0)),""))</f>
        <v/>
      </c>
      <c r="F791" s="12" t="n"/>
      <c r="G791" s="11" t="n"/>
      <c r="H791" s="11" t="n"/>
      <c r="I791" s="16">
        <f>IF(D791="","",IF(G791&lt;&gt;"",G791,IFERROR(INDEX('Sản phẩm'!$E$5:$E$304,MATCH(D791,'Sản phẩm'!$A$5:$A$304,0)),"")))</f>
        <v/>
      </c>
      <c r="J791" s="16">
        <f>IF(OR(D791="",F791=""),"",F791*I791-N(H791))</f>
        <v/>
      </c>
      <c r="K791" s="16">
        <f>IF(OR(D791="",F791=""),"",F791*IFERROR(INDEX('Sản phẩm'!$D$5:$D$304,MATCH(D791,'Sản phẩm'!$A$5:$A$304,0)),""))</f>
        <v/>
      </c>
      <c r="L791" s="16">
        <f>IF(J791="","",J791-K791)</f>
        <v/>
      </c>
      <c r="M791" s="14">
        <f>IF(A791="","",MONTH(A791))</f>
        <v/>
      </c>
      <c r="N791" s="14">
        <f>IF(A791="","",YEAR(A791))</f>
        <v/>
      </c>
    </row>
    <row r="792">
      <c r="A792" s="15" t="n"/>
      <c r="B792" s="10" t="n"/>
      <c r="C792" s="10" t="n"/>
      <c r="D792" s="10" t="n"/>
      <c r="E792" s="14">
        <f>IF(D792="","",IFERROR(INDEX('Sản phẩm'!$B$5:$B$304,MATCH(D792,'Sản phẩm'!$A$5:$A$304,0)),""))</f>
        <v/>
      </c>
      <c r="F792" s="12" t="n"/>
      <c r="G792" s="11" t="n"/>
      <c r="H792" s="11" t="n"/>
      <c r="I792" s="16">
        <f>IF(D792="","",IF(G792&lt;&gt;"",G792,IFERROR(INDEX('Sản phẩm'!$E$5:$E$304,MATCH(D792,'Sản phẩm'!$A$5:$A$304,0)),"")))</f>
        <v/>
      </c>
      <c r="J792" s="16">
        <f>IF(OR(D792="",F792=""),"",F792*I792-N(H792))</f>
        <v/>
      </c>
      <c r="K792" s="16">
        <f>IF(OR(D792="",F792=""),"",F792*IFERROR(INDEX('Sản phẩm'!$D$5:$D$304,MATCH(D792,'Sản phẩm'!$A$5:$A$304,0)),""))</f>
        <v/>
      </c>
      <c r="L792" s="16">
        <f>IF(J792="","",J792-K792)</f>
        <v/>
      </c>
      <c r="M792" s="14">
        <f>IF(A792="","",MONTH(A792))</f>
        <v/>
      </c>
      <c r="N792" s="14">
        <f>IF(A792="","",YEAR(A792))</f>
        <v/>
      </c>
    </row>
    <row r="793">
      <c r="A793" s="15" t="n"/>
      <c r="B793" s="10" t="n"/>
      <c r="C793" s="10" t="n"/>
      <c r="D793" s="10" t="n"/>
      <c r="E793" s="14">
        <f>IF(D793="","",IFERROR(INDEX('Sản phẩm'!$B$5:$B$304,MATCH(D793,'Sản phẩm'!$A$5:$A$304,0)),""))</f>
        <v/>
      </c>
      <c r="F793" s="12" t="n"/>
      <c r="G793" s="11" t="n"/>
      <c r="H793" s="11" t="n"/>
      <c r="I793" s="16">
        <f>IF(D793="","",IF(G793&lt;&gt;"",G793,IFERROR(INDEX('Sản phẩm'!$E$5:$E$304,MATCH(D793,'Sản phẩm'!$A$5:$A$304,0)),"")))</f>
        <v/>
      </c>
      <c r="J793" s="16">
        <f>IF(OR(D793="",F793=""),"",F793*I793-N(H793))</f>
        <v/>
      </c>
      <c r="K793" s="16">
        <f>IF(OR(D793="",F793=""),"",F793*IFERROR(INDEX('Sản phẩm'!$D$5:$D$304,MATCH(D793,'Sản phẩm'!$A$5:$A$304,0)),""))</f>
        <v/>
      </c>
      <c r="L793" s="16">
        <f>IF(J793="","",J793-K793)</f>
        <v/>
      </c>
      <c r="M793" s="14">
        <f>IF(A793="","",MONTH(A793))</f>
        <v/>
      </c>
      <c r="N793" s="14">
        <f>IF(A793="","",YEAR(A793))</f>
        <v/>
      </c>
    </row>
    <row r="794">
      <c r="A794" s="15" t="n"/>
      <c r="B794" s="10" t="n"/>
      <c r="C794" s="10" t="n"/>
      <c r="D794" s="10" t="n"/>
      <c r="E794" s="14">
        <f>IF(D794="","",IFERROR(INDEX('Sản phẩm'!$B$5:$B$304,MATCH(D794,'Sản phẩm'!$A$5:$A$304,0)),""))</f>
        <v/>
      </c>
      <c r="F794" s="12" t="n"/>
      <c r="G794" s="11" t="n"/>
      <c r="H794" s="11" t="n"/>
      <c r="I794" s="16">
        <f>IF(D794="","",IF(G794&lt;&gt;"",G794,IFERROR(INDEX('Sản phẩm'!$E$5:$E$304,MATCH(D794,'Sản phẩm'!$A$5:$A$304,0)),"")))</f>
        <v/>
      </c>
      <c r="J794" s="16">
        <f>IF(OR(D794="",F794=""),"",F794*I794-N(H794))</f>
        <v/>
      </c>
      <c r="K794" s="16">
        <f>IF(OR(D794="",F794=""),"",F794*IFERROR(INDEX('Sản phẩm'!$D$5:$D$304,MATCH(D794,'Sản phẩm'!$A$5:$A$304,0)),""))</f>
        <v/>
      </c>
      <c r="L794" s="16">
        <f>IF(J794="","",J794-K794)</f>
        <v/>
      </c>
      <c r="M794" s="14">
        <f>IF(A794="","",MONTH(A794))</f>
        <v/>
      </c>
      <c r="N794" s="14">
        <f>IF(A794="","",YEAR(A794))</f>
        <v/>
      </c>
    </row>
    <row r="795">
      <c r="A795" s="15" t="n"/>
      <c r="B795" s="10" t="n"/>
      <c r="C795" s="10" t="n"/>
      <c r="D795" s="10" t="n"/>
      <c r="E795" s="14">
        <f>IF(D795="","",IFERROR(INDEX('Sản phẩm'!$B$5:$B$304,MATCH(D795,'Sản phẩm'!$A$5:$A$304,0)),""))</f>
        <v/>
      </c>
      <c r="F795" s="12" t="n"/>
      <c r="G795" s="11" t="n"/>
      <c r="H795" s="11" t="n"/>
      <c r="I795" s="16">
        <f>IF(D795="","",IF(G795&lt;&gt;"",G795,IFERROR(INDEX('Sản phẩm'!$E$5:$E$304,MATCH(D795,'Sản phẩm'!$A$5:$A$304,0)),"")))</f>
        <v/>
      </c>
      <c r="J795" s="16">
        <f>IF(OR(D795="",F795=""),"",F795*I795-N(H795))</f>
        <v/>
      </c>
      <c r="K795" s="16">
        <f>IF(OR(D795="",F795=""),"",F795*IFERROR(INDEX('Sản phẩm'!$D$5:$D$304,MATCH(D795,'Sản phẩm'!$A$5:$A$304,0)),""))</f>
        <v/>
      </c>
      <c r="L795" s="16">
        <f>IF(J795="","",J795-K795)</f>
        <v/>
      </c>
      <c r="M795" s="14">
        <f>IF(A795="","",MONTH(A795))</f>
        <v/>
      </c>
      <c r="N795" s="14">
        <f>IF(A795="","",YEAR(A795))</f>
        <v/>
      </c>
    </row>
    <row r="796">
      <c r="A796" s="15" t="n"/>
      <c r="B796" s="10" t="n"/>
      <c r="C796" s="10" t="n"/>
      <c r="D796" s="10" t="n"/>
      <c r="E796" s="14">
        <f>IF(D796="","",IFERROR(INDEX('Sản phẩm'!$B$5:$B$304,MATCH(D796,'Sản phẩm'!$A$5:$A$304,0)),""))</f>
        <v/>
      </c>
      <c r="F796" s="12" t="n"/>
      <c r="G796" s="11" t="n"/>
      <c r="H796" s="11" t="n"/>
      <c r="I796" s="16">
        <f>IF(D796="","",IF(G796&lt;&gt;"",G796,IFERROR(INDEX('Sản phẩm'!$E$5:$E$304,MATCH(D796,'Sản phẩm'!$A$5:$A$304,0)),"")))</f>
        <v/>
      </c>
      <c r="J796" s="16">
        <f>IF(OR(D796="",F796=""),"",F796*I796-N(H796))</f>
        <v/>
      </c>
      <c r="K796" s="16">
        <f>IF(OR(D796="",F796=""),"",F796*IFERROR(INDEX('Sản phẩm'!$D$5:$D$304,MATCH(D796,'Sản phẩm'!$A$5:$A$304,0)),""))</f>
        <v/>
      </c>
      <c r="L796" s="16">
        <f>IF(J796="","",J796-K796)</f>
        <v/>
      </c>
      <c r="M796" s="14">
        <f>IF(A796="","",MONTH(A796))</f>
        <v/>
      </c>
      <c r="N796" s="14">
        <f>IF(A796="","",YEAR(A796))</f>
        <v/>
      </c>
    </row>
    <row r="797">
      <c r="A797" s="15" t="n"/>
      <c r="B797" s="10" t="n"/>
      <c r="C797" s="10" t="n"/>
      <c r="D797" s="10" t="n"/>
      <c r="E797" s="14">
        <f>IF(D797="","",IFERROR(INDEX('Sản phẩm'!$B$5:$B$304,MATCH(D797,'Sản phẩm'!$A$5:$A$304,0)),""))</f>
        <v/>
      </c>
      <c r="F797" s="12" t="n"/>
      <c r="G797" s="11" t="n"/>
      <c r="H797" s="11" t="n"/>
      <c r="I797" s="16">
        <f>IF(D797="","",IF(G797&lt;&gt;"",G797,IFERROR(INDEX('Sản phẩm'!$E$5:$E$304,MATCH(D797,'Sản phẩm'!$A$5:$A$304,0)),"")))</f>
        <v/>
      </c>
      <c r="J797" s="16">
        <f>IF(OR(D797="",F797=""),"",F797*I797-N(H797))</f>
        <v/>
      </c>
      <c r="K797" s="16">
        <f>IF(OR(D797="",F797=""),"",F797*IFERROR(INDEX('Sản phẩm'!$D$5:$D$304,MATCH(D797,'Sản phẩm'!$A$5:$A$304,0)),""))</f>
        <v/>
      </c>
      <c r="L797" s="16">
        <f>IF(J797="","",J797-K797)</f>
        <v/>
      </c>
      <c r="M797" s="14">
        <f>IF(A797="","",MONTH(A797))</f>
        <v/>
      </c>
      <c r="N797" s="14">
        <f>IF(A797="","",YEAR(A797))</f>
        <v/>
      </c>
    </row>
    <row r="798">
      <c r="A798" s="15" t="n"/>
      <c r="B798" s="10" t="n"/>
      <c r="C798" s="10" t="n"/>
      <c r="D798" s="10" t="n"/>
      <c r="E798" s="14">
        <f>IF(D798="","",IFERROR(INDEX('Sản phẩm'!$B$5:$B$304,MATCH(D798,'Sản phẩm'!$A$5:$A$304,0)),""))</f>
        <v/>
      </c>
      <c r="F798" s="12" t="n"/>
      <c r="G798" s="11" t="n"/>
      <c r="H798" s="11" t="n"/>
      <c r="I798" s="16">
        <f>IF(D798="","",IF(G798&lt;&gt;"",G798,IFERROR(INDEX('Sản phẩm'!$E$5:$E$304,MATCH(D798,'Sản phẩm'!$A$5:$A$304,0)),"")))</f>
        <v/>
      </c>
      <c r="J798" s="16">
        <f>IF(OR(D798="",F798=""),"",F798*I798-N(H798))</f>
        <v/>
      </c>
      <c r="K798" s="16">
        <f>IF(OR(D798="",F798=""),"",F798*IFERROR(INDEX('Sản phẩm'!$D$5:$D$304,MATCH(D798,'Sản phẩm'!$A$5:$A$304,0)),""))</f>
        <v/>
      </c>
      <c r="L798" s="16">
        <f>IF(J798="","",J798-K798)</f>
        <v/>
      </c>
      <c r="M798" s="14">
        <f>IF(A798="","",MONTH(A798))</f>
        <v/>
      </c>
      <c r="N798" s="14">
        <f>IF(A798="","",YEAR(A798))</f>
        <v/>
      </c>
    </row>
    <row r="799">
      <c r="A799" s="15" t="n"/>
      <c r="B799" s="10" t="n"/>
      <c r="C799" s="10" t="n"/>
      <c r="D799" s="10" t="n"/>
      <c r="E799" s="14">
        <f>IF(D799="","",IFERROR(INDEX('Sản phẩm'!$B$5:$B$304,MATCH(D799,'Sản phẩm'!$A$5:$A$304,0)),""))</f>
        <v/>
      </c>
      <c r="F799" s="12" t="n"/>
      <c r="G799" s="11" t="n"/>
      <c r="H799" s="11" t="n"/>
      <c r="I799" s="16">
        <f>IF(D799="","",IF(G799&lt;&gt;"",G799,IFERROR(INDEX('Sản phẩm'!$E$5:$E$304,MATCH(D799,'Sản phẩm'!$A$5:$A$304,0)),"")))</f>
        <v/>
      </c>
      <c r="J799" s="16">
        <f>IF(OR(D799="",F799=""),"",F799*I799-N(H799))</f>
        <v/>
      </c>
      <c r="K799" s="16">
        <f>IF(OR(D799="",F799=""),"",F799*IFERROR(INDEX('Sản phẩm'!$D$5:$D$304,MATCH(D799,'Sản phẩm'!$A$5:$A$304,0)),""))</f>
        <v/>
      </c>
      <c r="L799" s="16">
        <f>IF(J799="","",J799-K799)</f>
        <v/>
      </c>
      <c r="M799" s="14">
        <f>IF(A799="","",MONTH(A799))</f>
        <v/>
      </c>
      <c r="N799" s="14">
        <f>IF(A799="","",YEAR(A799))</f>
        <v/>
      </c>
    </row>
    <row r="800">
      <c r="A800" s="15" t="n"/>
      <c r="B800" s="10" t="n"/>
      <c r="C800" s="10" t="n"/>
      <c r="D800" s="10" t="n"/>
      <c r="E800" s="14">
        <f>IF(D800="","",IFERROR(INDEX('Sản phẩm'!$B$5:$B$304,MATCH(D800,'Sản phẩm'!$A$5:$A$304,0)),""))</f>
        <v/>
      </c>
      <c r="F800" s="12" t="n"/>
      <c r="G800" s="11" t="n"/>
      <c r="H800" s="11" t="n"/>
      <c r="I800" s="16">
        <f>IF(D800="","",IF(G800&lt;&gt;"",G800,IFERROR(INDEX('Sản phẩm'!$E$5:$E$304,MATCH(D800,'Sản phẩm'!$A$5:$A$304,0)),"")))</f>
        <v/>
      </c>
      <c r="J800" s="16">
        <f>IF(OR(D800="",F800=""),"",F800*I800-N(H800))</f>
        <v/>
      </c>
      <c r="K800" s="16">
        <f>IF(OR(D800="",F800=""),"",F800*IFERROR(INDEX('Sản phẩm'!$D$5:$D$304,MATCH(D800,'Sản phẩm'!$A$5:$A$304,0)),""))</f>
        <v/>
      </c>
      <c r="L800" s="16">
        <f>IF(J800="","",J800-K800)</f>
        <v/>
      </c>
      <c r="M800" s="14">
        <f>IF(A800="","",MONTH(A800))</f>
        <v/>
      </c>
      <c r="N800" s="14">
        <f>IF(A800="","",YEAR(A800))</f>
        <v/>
      </c>
    </row>
    <row r="801">
      <c r="A801" s="15" t="n"/>
      <c r="B801" s="10" t="n"/>
      <c r="C801" s="10" t="n"/>
      <c r="D801" s="10" t="n"/>
      <c r="E801" s="14">
        <f>IF(D801="","",IFERROR(INDEX('Sản phẩm'!$B$5:$B$304,MATCH(D801,'Sản phẩm'!$A$5:$A$304,0)),""))</f>
        <v/>
      </c>
      <c r="F801" s="12" t="n"/>
      <c r="G801" s="11" t="n"/>
      <c r="H801" s="11" t="n"/>
      <c r="I801" s="16">
        <f>IF(D801="","",IF(G801&lt;&gt;"",G801,IFERROR(INDEX('Sản phẩm'!$E$5:$E$304,MATCH(D801,'Sản phẩm'!$A$5:$A$304,0)),"")))</f>
        <v/>
      </c>
      <c r="J801" s="16">
        <f>IF(OR(D801="",F801=""),"",F801*I801-N(H801))</f>
        <v/>
      </c>
      <c r="K801" s="16">
        <f>IF(OR(D801="",F801=""),"",F801*IFERROR(INDEX('Sản phẩm'!$D$5:$D$304,MATCH(D801,'Sản phẩm'!$A$5:$A$304,0)),""))</f>
        <v/>
      </c>
      <c r="L801" s="16">
        <f>IF(J801="","",J801-K801)</f>
        <v/>
      </c>
      <c r="M801" s="14">
        <f>IF(A801="","",MONTH(A801))</f>
        <v/>
      </c>
      <c r="N801" s="14">
        <f>IF(A801="","",YEAR(A801))</f>
        <v/>
      </c>
    </row>
    <row r="802">
      <c r="A802" s="15" t="n"/>
      <c r="B802" s="10" t="n"/>
      <c r="C802" s="10" t="n"/>
      <c r="D802" s="10" t="n"/>
      <c r="E802" s="14">
        <f>IF(D802="","",IFERROR(INDEX('Sản phẩm'!$B$5:$B$304,MATCH(D802,'Sản phẩm'!$A$5:$A$304,0)),""))</f>
        <v/>
      </c>
      <c r="F802" s="12" t="n"/>
      <c r="G802" s="11" t="n"/>
      <c r="H802" s="11" t="n"/>
      <c r="I802" s="16">
        <f>IF(D802="","",IF(G802&lt;&gt;"",G802,IFERROR(INDEX('Sản phẩm'!$E$5:$E$304,MATCH(D802,'Sản phẩm'!$A$5:$A$304,0)),"")))</f>
        <v/>
      </c>
      <c r="J802" s="16">
        <f>IF(OR(D802="",F802=""),"",F802*I802-N(H802))</f>
        <v/>
      </c>
      <c r="K802" s="16">
        <f>IF(OR(D802="",F802=""),"",F802*IFERROR(INDEX('Sản phẩm'!$D$5:$D$304,MATCH(D802,'Sản phẩm'!$A$5:$A$304,0)),""))</f>
        <v/>
      </c>
      <c r="L802" s="16">
        <f>IF(J802="","",J802-K802)</f>
        <v/>
      </c>
      <c r="M802" s="14">
        <f>IF(A802="","",MONTH(A802))</f>
        <v/>
      </c>
      <c r="N802" s="14">
        <f>IF(A802="","",YEAR(A802))</f>
        <v/>
      </c>
    </row>
    <row r="803">
      <c r="A803" s="15" t="n"/>
      <c r="B803" s="10" t="n"/>
      <c r="C803" s="10" t="n"/>
      <c r="D803" s="10" t="n"/>
      <c r="E803" s="14">
        <f>IF(D803="","",IFERROR(INDEX('Sản phẩm'!$B$5:$B$304,MATCH(D803,'Sản phẩm'!$A$5:$A$304,0)),""))</f>
        <v/>
      </c>
      <c r="F803" s="12" t="n"/>
      <c r="G803" s="11" t="n"/>
      <c r="H803" s="11" t="n"/>
      <c r="I803" s="16">
        <f>IF(D803="","",IF(G803&lt;&gt;"",G803,IFERROR(INDEX('Sản phẩm'!$E$5:$E$304,MATCH(D803,'Sản phẩm'!$A$5:$A$304,0)),"")))</f>
        <v/>
      </c>
      <c r="J803" s="16">
        <f>IF(OR(D803="",F803=""),"",F803*I803-N(H803))</f>
        <v/>
      </c>
      <c r="K803" s="16">
        <f>IF(OR(D803="",F803=""),"",F803*IFERROR(INDEX('Sản phẩm'!$D$5:$D$304,MATCH(D803,'Sản phẩm'!$A$5:$A$304,0)),""))</f>
        <v/>
      </c>
      <c r="L803" s="16">
        <f>IF(J803="","",J803-K803)</f>
        <v/>
      </c>
      <c r="M803" s="14">
        <f>IF(A803="","",MONTH(A803))</f>
        <v/>
      </c>
      <c r="N803" s="14">
        <f>IF(A803="","",YEAR(A803))</f>
        <v/>
      </c>
    </row>
    <row r="804">
      <c r="A804" s="15" t="n"/>
      <c r="B804" s="10" t="n"/>
      <c r="C804" s="10" t="n"/>
      <c r="D804" s="10" t="n"/>
      <c r="E804" s="14">
        <f>IF(D804="","",IFERROR(INDEX('Sản phẩm'!$B$5:$B$304,MATCH(D804,'Sản phẩm'!$A$5:$A$304,0)),""))</f>
        <v/>
      </c>
      <c r="F804" s="12" t="n"/>
      <c r="G804" s="11" t="n"/>
      <c r="H804" s="11" t="n"/>
      <c r="I804" s="16">
        <f>IF(D804="","",IF(G804&lt;&gt;"",G804,IFERROR(INDEX('Sản phẩm'!$E$5:$E$304,MATCH(D804,'Sản phẩm'!$A$5:$A$304,0)),"")))</f>
        <v/>
      </c>
      <c r="J804" s="16">
        <f>IF(OR(D804="",F804=""),"",F804*I804-N(H804))</f>
        <v/>
      </c>
      <c r="K804" s="16">
        <f>IF(OR(D804="",F804=""),"",F804*IFERROR(INDEX('Sản phẩm'!$D$5:$D$304,MATCH(D804,'Sản phẩm'!$A$5:$A$304,0)),""))</f>
        <v/>
      </c>
      <c r="L804" s="16">
        <f>IF(J804="","",J804-K804)</f>
        <v/>
      </c>
      <c r="M804" s="14">
        <f>IF(A804="","",MONTH(A804))</f>
        <v/>
      </c>
      <c r="N804" s="14">
        <f>IF(A804="","",YEAR(A804))</f>
        <v/>
      </c>
    </row>
    <row r="805">
      <c r="A805" s="15" t="n"/>
      <c r="B805" s="10" t="n"/>
      <c r="C805" s="10" t="n"/>
      <c r="D805" s="10" t="n"/>
      <c r="E805" s="14">
        <f>IF(D805="","",IFERROR(INDEX('Sản phẩm'!$B$5:$B$304,MATCH(D805,'Sản phẩm'!$A$5:$A$304,0)),""))</f>
        <v/>
      </c>
      <c r="F805" s="12" t="n"/>
      <c r="G805" s="11" t="n"/>
      <c r="H805" s="11" t="n"/>
      <c r="I805" s="16">
        <f>IF(D805="","",IF(G805&lt;&gt;"",G805,IFERROR(INDEX('Sản phẩm'!$E$5:$E$304,MATCH(D805,'Sản phẩm'!$A$5:$A$304,0)),"")))</f>
        <v/>
      </c>
      <c r="J805" s="16">
        <f>IF(OR(D805="",F805=""),"",F805*I805-N(H805))</f>
        <v/>
      </c>
      <c r="K805" s="16">
        <f>IF(OR(D805="",F805=""),"",F805*IFERROR(INDEX('Sản phẩm'!$D$5:$D$304,MATCH(D805,'Sản phẩm'!$A$5:$A$304,0)),""))</f>
        <v/>
      </c>
      <c r="L805" s="16">
        <f>IF(J805="","",J805-K805)</f>
        <v/>
      </c>
      <c r="M805" s="14">
        <f>IF(A805="","",MONTH(A805))</f>
        <v/>
      </c>
      <c r="N805" s="14">
        <f>IF(A805="","",YEAR(A805))</f>
        <v/>
      </c>
    </row>
    <row r="806">
      <c r="A806" s="15" t="n"/>
      <c r="B806" s="10" t="n"/>
      <c r="C806" s="10" t="n"/>
      <c r="D806" s="10" t="n"/>
      <c r="E806" s="14">
        <f>IF(D806="","",IFERROR(INDEX('Sản phẩm'!$B$5:$B$304,MATCH(D806,'Sản phẩm'!$A$5:$A$304,0)),""))</f>
        <v/>
      </c>
      <c r="F806" s="12" t="n"/>
      <c r="G806" s="11" t="n"/>
      <c r="H806" s="11" t="n"/>
      <c r="I806" s="16">
        <f>IF(D806="","",IF(G806&lt;&gt;"",G806,IFERROR(INDEX('Sản phẩm'!$E$5:$E$304,MATCH(D806,'Sản phẩm'!$A$5:$A$304,0)),"")))</f>
        <v/>
      </c>
      <c r="J806" s="16">
        <f>IF(OR(D806="",F806=""),"",F806*I806-N(H806))</f>
        <v/>
      </c>
      <c r="K806" s="16">
        <f>IF(OR(D806="",F806=""),"",F806*IFERROR(INDEX('Sản phẩm'!$D$5:$D$304,MATCH(D806,'Sản phẩm'!$A$5:$A$304,0)),""))</f>
        <v/>
      </c>
      <c r="L806" s="16">
        <f>IF(J806="","",J806-K806)</f>
        <v/>
      </c>
      <c r="M806" s="14">
        <f>IF(A806="","",MONTH(A806))</f>
        <v/>
      </c>
      <c r="N806" s="14">
        <f>IF(A806="","",YEAR(A806))</f>
        <v/>
      </c>
    </row>
    <row r="807">
      <c r="A807" s="15" t="n"/>
      <c r="B807" s="10" t="n"/>
      <c r="C807" s="10" t="n"/>
      <c r="D807" s="10" t="n"/>
      <c r="E807" s="14">
        <f>IF(D807="","",IFERROR(INDEX('Sản phẩm'!$B$5:$B$304,MATCH(D807,'Sản phẩm'!$A$5:$A$304,0)),""))</f>
        <v/>
      </c>
      <c r="F807" s="12" t="n"/>
      <c r="G807" s="11" t="n"/>
      <c r="H807" s="11" t="n"/>
      <c r="I807" s="16">
        <f>IF(D807="","",IF(G807&lt;&gt;"",G807,IFERROR(INDEX('Sản phẩm'!$E$5:$E$304,MATCH(D807,'Sản phẩm'!$A$5:$A$304,0)),"")))</f>
        <v/>
      </c>
      <c r="J807" s="16">
        <f>IF(OR(D807="",F807=""),"",F807*I807-N(H807))</f>
        <v/>
      </c>
      <c r="K807" s="16">
        <f>IF(OR(D807="",F807=""),"",F807*IFERROR(INDEX('Sản phẩm'!$D$5:$D$304,MATCH(D807,'Sản phẩm'!$A$5:$A$304,0)),""))</f>
        <v/>
      </c>
      <c r="L807" s="16">
        <f>IF(J807="","",J807-K807)</f>
        <v/>
      </c>
      <c r="M807" s="14">
        <f>IF(A807="","",MONTH(A807))</f>
        <v/>
      </c>
      <c r="N807" s="14">
        <f>IF(A807="","",YEAR(A807))</f>
        <v/>
      </c>
    </row>
    <row r="808">
      <c r="A808" s="15" t="n"/>
      <c r="B808" s="10" t="n"/>
      <c r="C808" s="10" t="n"/>
      <c r="D808" s="10" t="n"/>
      <c r="E808" s="14">
        <f>IF(D808="","",IFERROR(INDEX('Sản phẩm'!$B$5:$B$304,MATCH(D808,'Sản phẩm'!$A$5:$A$304,0)),""))</f>
        <v/>
      </c>
      <c r="F808" s="12" t="n"/>
      <c r="G808" s="11" t="n"/>
      <c r="H808" s="11" t="n"/>
      <c r="I808" s="16">
        <f>IF(D808="","",IF(G808&lt;&gt;"",G808,IFERROR(INDEX('Sản phẩm'!$E$5:$E$304,MATCH(D808,'Sản phẩm'!$A$5:$A$304,0)),"")))</f>
        <v/>
      </c>
      <c r="J808" s="16">
        <f>IF(OR(D808="",F808=""),"",F808*I808-N(H808))</f>
        <v/>
      </c>
      <c r="K808" s="16">
        <f>IF(OR(D808="",F808=""),"",F808*IFERROR(INDEX('Sản phẩm'!$D$5:$D$304,MATCH(D808,'Sản phẩm'!$A$5:$A$304,0)),""))</f>
        <v/>
      </c>
      <c r="L808" s="16">
        <f>IF(J808="","",J808-K808)</f>
        <v/>
      </c>
      <c r="M808" s="14">
        <f>IF(A808="","",MONTH(A808))</f>
        <v/>
      </c>
      <c r="N808" s="14">
        <f>IF(A808="","",YEAR(A808))</f>
        <v/>
      </c>
    </row>
    <row r="809">
      <c r="A809" s="15" t="n"/>
      <c r="B809" s="10" t="n"/>
      <c r="C809" s="10" t="n"/>
      <c r="D809" s="10" t="n"/>
      <c r="E809" s="14">
        <f>IF(D809="","",IFERROR(INDEX('Sản phẩm'!$B$5:$B$304,MATCH(D809,'Sản phẩm'!$A$5:$A$304,0)),""))</f>
        <v/>
      </c>
      <c r="F809" s="12" t="n"/>
      <c r="G809" s="11" t="n"/>
      <c r="H809" s="11" t="n"/>
      <c r="I809" s="16">
        <f>IF(D809="","",IF(G809&lt;&gt;"",G809,IFERROR(INDEX('Sản phẩm'!$E$5:$E$304,MATCH(D809,'Sản phẩm'!$A$5:$A$304,0)),"")))</f>
        <v/>
      </c>
      <c r="J809" s="16">
        <f>IF(OR(D809="",F809=""),"",F809*I809-N(H809))</f>
        <v/>
      </c>
      <c r="K809" s="16">
        <f>IF(OR(D809="",F809=""),"",F809*IFERROR(INDEX('Sản phẩm'!$D$5:$D$304,MATCH(D809,'Sản phẩm'!$A$5:$A$304,0)),""))</f>
        <v/>
      </c>
      <c r="L809" s="16">
        <f>IF(J809="","",J809-K809)</f>
        <v/>
      </c>
      <c r="M809" s="14">
        <f>IF(A809="","",MONTH(A809))</f>
        <v/>
      </c>
      <c r="N809" s="14">
        <f>IF(A809="","",YEAR(A809))</f>
        <v/>
      </c>
    </row>
    <row r="810">
      <c r="A810" s="15" t="n"/>
      <c r="B810" s="10" t="n"/>
      <c r="C810" s="10" t="n"/>
      <c r="D810" s="10" t="n"/>
      <c r="E810" s="14">
        <f>IF(D810="","",IFERROR(INDEX('Sản phẩm'!$B$5:$B$304,MATCH(D810,'Sản phẩm'!$A$5:$A$304,0)),""))</f>
        <v/>
      </c>
      <c r="F810" s="12" t="n"/>
      <c r="G810" s="11" t="n"/>
      <c r="H810" s="11" t="n"/>
      <c r="I810" s="16">
        <f>IF(D810="","",IF(G810&lt;&gt;"",G810,IFERROR(INDEX('Sản phẩm'!$E$5:$E$304,MATCH(D810,'Sản phẩm'!$A$5:$A$304,0)),"")))</f>
        <v/>
      </c>
      <c r="J810" s="16">
        <f>IF(OR(D810="",F810=""),"",F810*I810-N(H810))</f>
        <v/>
      </c>
      <c r="K810" s="16">
        <f>IF(OR(D810="",F810=""),"",F810*IFERROR(INDEX('Sản phẩm'!$D$5:$D$304,MATCH(D810,'Sản phẩm'!$A$5:$A$304,0)),""))</f>
        <v/>
      </c>
      <c r="L810" s="16">
        <f>IF(J810="","",J810-K810)</f>
        <v/>
      </c>
      <c r="M810" s="14">
        <f>IF(A810="","",MONTH(A810))</f>
        <v/>
      </c>
      <c r="N810" s="14">
        <f>IF(A810="","",YEAR(A810))</f>
        <v/>
      </c>
    </row>
    <row r="811">
      <c r="A811" s="15" t="n"/>
      <c r="B811" s="10" t="n"/>
      <c r="C811" s="10" t="n"/>
      <c r="D811" s="10" t="n"/>
      <c r="E811" s="14">
        <f>IF(D811="","",IFERROR(INDEX('Sản phẩm'!$B$5:$B$304,MATCH(D811,'Sản phẩm'!$A$5:$A$304,0)),""))</f>
        <v/>
      </c>
      <c r="F811" s="12" t="n"/>
      <c r="G811" s="11" t="n"/>
      <c r="H811" s="11" t="n"/>
      <c r="I811" s="16">
        <f>IF(D811="","",IF(G811&lt;&gt;"",G811,IFERROR(INDEX('Sản phẩm'!$E$5:$E$304,MATCH(D811,'Sản phẩm'!$A$5:$A$304,0)),"")))</f>
        <v/>
      </c>
      <c r="J811" s="16">
        <f>IF(OR(D811="",F811=""),"",F811*I811-N(H811))</f>
        <v/>
      </c>
      <c r="K811" s="16">
        <f>IF(OR(D811="",F811=""),"",F811*IFERROR(INDEX('Sản phẩm'!$D$5:$D$304,MATCH(D811,'Sản phẩm'!$A$5:$A$304,0)),""))</f>
        <v/>
      </c>
      <c r="L811" s="16">
        <f>IF(J811="","",J811-K811)</f>
        <v/>
      </c>
      <c r="M811" s="14">
        <f>IF(A811="","",MONTH(A811))</f>
        <v/>
      </c>
      <c r="N811" s="14">
        <f>IF(A811="","",YEAR(A811))</f>
        <v/>
      </c>
    </row>
    <row r="812">
      <c r="A812" s="15" t="n"/>
      <c r="B812" s="10" t="n"/>
      <c r="C812" s="10" t="n"/>
      <c r="D812" s="10" t="n"/>
      <c r="E812" s="14">
        <f>IF(D812="","",IFERROR(INDEX('Sản phẩm'!$B$5:$B$304,MATCH(D812,'Sản phẩm'!$A$5:$A$304,0)),""))</f>
        <v/>
      </c>
      <c r="F812" s="12" t="n"/>
      <c r="G812" s="11" t="n"/>
      <c r="H812" s="11" t="n"/>
      <c r="I812" s="16">
        <f>IF(D812="","",IF(G812&lt;&gt;"",G812,IFERROR(INDEX('Sản phẩm'!$E$5:$E$304,MATCH(D812,'Sản phẩm'!$A$5:$A$304,0)),"")))</f>
        <v/>
      </c>
      <c r="J812" s="16">
        <f>IF(OR(D812="",F812=""),"",F812*I812-N(H812))</f>
        <v/>
      </c>
      <c r="K812" s="16">
        <f>IF(OR(D812="",F812=""),"",F812*IFERROR(INDEX('Sản phẩm'!$D$5:$D$304,MATCH(D812,'Sản phẩm'!$A$5:$A$304,0)),""))</f>
        <v/>
      </c>
      <c r="L812" s="16">
        <f>IF(J812="","",J812-K812)</f>
        <v/>
      </c>
      <c r="M812" s="14">
        <f>IF(A812="","",MONTH(A812))</f>
        <v/>
      </c>
      <c r="N812" s="14">
        <f>IF(A812="","",YEAR(A812))</f>
        <v/>
      </c>
    </row>
    <row r="813">
      <c r="A813" s="15" t="n"/>
      <c r="B813" s="10" t="n"/>
      <c r="C813" s="10" t="n"/>
      <c r="D813" s="10" t="n"/>
      <c r="E813" s="14">
        <f>IF(D813="","",IFERROR(INDEX('Sản phẩm'!$B$5:$B$304,MATCH(D813,'Sản phẩm'!$A$5:$A$304,0)),""))</f>
        <v/>
      </c>
      <c r="F813" s="12" t="n"/>
      <c r="G813" s="11" t="n"/>
      <c r="H813" s="11" t="n"/>
      <c r="I813" s="16">
        <f>IF(D813="","",IF(G813&lt;&gt;"",G813,IFERROR(INDEX('Sản phẩm'!$E$5:$E$304,MATCH(D813,'Sản phẩm'!$A$5:$A$304,0)),"")))</f>
        <v/>
      </c>
      <c r="J813" s="16">
        <f>IF(OR(D813="",F813=""),"",F813*I813-N(H813))</f>
        <v/>
      </c>
      <c r="K813" s="16">
        <f>IF(OR(D813="",F813=""),"",F813*IFERROR(INDEX('Sản phẩm'!$D$5:$D$304,MATCH(D813,'Sản phẩm'!$A$5:$A$304,0)),""))</f>
        <v/>
      </c>
      <c r="L813" s="16">
        <f>IF(J813="","",J813-K813)</f>
        <v/>
      </c>
      <c r="M813" s="14">
        <f>IF(A813="","",MONTH(A813))</f>
        <v/>
      </c>
      <c r="N813" s="14">
        <f>IF(A813="","",YEAR(A813))</f>
        <v/>
      </c>
    </row>
    <row r="814">
      <c r="A814" s="15" t="n"/>
      <c r="B814" s="10" t="n"/>
      <c r="C814" s="10" t="n"/>
      <c r="D814" s="10" t="n"/>
      <c r="E814" s="14">
        <f>IF(D814="","",IFERROR(INDEX('Sản phẩm'!$B$5:$B$304,MATCH(D814,'Sản phẩm'!$A$5:$A$304,0)),""))</f>
        <v/>
      </c>
      <c r="F814" s="12" t="n"/>
      <c r="G814" s="11" t="n"/>
      <c r="H814" s="11" t="n"/>
      <c r="I814" s="16">
        <f>IF(D814="","",IF(G814&lt;&gt;"",G814,IFERROR(INDEX('Sản phẩm'!$E$5:$E$304,MATCH(D814,'Sản phẩm'!$A$5:$A$304,0)),"")))</f>
        <v/>
      </c>
      <c r="J814" s="16">
        <f>IF(OR(D814="",F814=""),"",F814*I814-N(H814))</f>
        <v/>
      </c>
      <c r="K814" s="16">
        <f>IF(OR(D814="",F814=""),"",F814*IFERROR(INDEX('Sản phẩm'!$D$5:$D$304,MATCH(D814,'Sản phẩm'!$A$5:$A$304,0)),""))</f>
        <v/>
      </c>
      <c r="L814" s="16">
        <f>IF(J814="","",J814-K814)</f>
        <v/>
      </c>
      <c r="M814" s="14">
        <f>IF(A814="","",MONTH(A814))</f>
        <v/>
      </c>
      <c r="N814" s="14">
        <f>IF(A814="","",YEAR(A814))</f>
        <v/>
      </c>
    </row>
    <row r="815">
      <c r="A815" s="15" t="n"/>
      <c r="B815" s="10" t="n"/>
      <c r="C815" s="10" t="n"/>
      <c r="D815" s="10" t="n"/>
      <c r="E815" s="14">
        <f>IF(D815="","",IFERROR(INDEX('Sản phẩm'!$B$5:$B$304,MATCH(D815,'Sản phẩm'!$A$5:$A$304,0)),""))</f>
        <v/>
      </c>
      <c r="F815" s="12" t="n"/>
      <c r="G815" s="11" t="n"/>
      <c r="H815" s="11" t="n"/>
      <c r="I815" s="16">
        <f>IF(D815="","",IF(G815&lt;&gt;"",G815,IFERROR(INDEX('Sản phẩm'!$E$5:$E$304,MATCH(D815,'Sản phẩm'!$A$5:$A$304,0)),"")))</f>
        <v/>
      </c>
      <c r="J815" s="16">
        <f>IF(OR(D815="",F815=""),"",F815*I815-N(H815))</f>
        <v/>
      </c>
      <c r="K815" s="16">
        <f>IF(OR(D815="",F815=""),"",F815*IFERROR(INDEX('Sản phẩm'!$D$5:$D$304,MATCH(D815,'Sản phẩm'!$A$5:$A$304,0)),""))</f>
        <v/>
      </c>
      <c r="L815" s="16">
        <f>IF(J815="","",J815-K815)</f>
        <v/>
      </c>
      <c r="M815" s="14">
        <f>IF(A815="","",MONTH(A815))</f>
        <v/>
      </c>
      <c r="N815" s="14">
        <f>IF(A815="","",YEAR(A815))</f>
        <v/>
      </c>
    </row>
    <row r="816">
      <c r="A816" s="15" t="n"/>
      <c r="B816" s="10" t="n"/>
      <c r="C816" s="10" t="n"/>
      <c r="D816" s="10" t="n"/>
      <c r="E816" s="14">
        <f>IF(D816="","",IFERROR(INDEX('Sản phẩm'!$B$5:$B$304,MATCH(D816,'Sản phẩm'!$A$5:$A$304,0)),""))</f>
        <v/>
      </c>
      <c r="F816" s="12" t="n"/>
      <c r="G816" s="11" t="n"/>
      <c r="H816" s="11" t="n"/>
      <c r="I816" s="16">
        <f>IF(D816="","",IF(G816&lt;&gt;"",G816,IFERROR(INDEX('Sản phẩm'!$E$5:$E$304,MATCH(D816,'Sản phẩm'!$A$5:$A$304,0)),"")))</f>
        <v/>
      </c>
      <c r="J816" s="16">
        <f>IF(OR(D816="",F816=""),"",F816*I816-N(H816))</f>
        <v/>
      </c>
      <c r="K816" s="16">
        <f>IF(OR(D816="",F816=""),"",F816*IFERROR(INDEX('Sản phẩm'!$D$5:$D$304,MATCH(D816,'Sản phẩm'!$A$5:$A$304,0)),""))</f>
        <v/>
      </c>
      <c r="L816" s="16">
        <f>IF(J816="","",J816-K816)</f>
        <v/>
      </c>
      <c r="M816" s="14">
        <f>IF(A816="","",MONTH(A816))</f>
        <v/>
      </c>
      <c r="N816" s="14">
        <f>IF(A816="","",YEAR(A816))</f>
        <v/>
      </c>
    </row>
    <row r="817">
      <c r="A817" s="15" t="n"/>
      <c r="B817" s="10" t="n"/>
      <c r="C817" s="10" t="n"/>
      <c r="D817" s="10" t="n"/>
      <c r="E817" s="14">
        <f>IF(D817="","",IFERROR(INDEX('Sản phẩm'!$B$5:$B$304,MATCH(D817,'Sản phẩm'!$A$5:$A$304,0)),""))</f>
        <v/>
      </c>
      <c r="F817" s="12" t="n"/>
      <c r="G817" s="11" t="n"/>
      <c r="H817" s="11" t="n"/>
      <c r="I817" s="16">
        <f>IF(D817="","",IF(G817&lt;&gt;"",G817,IFERROR(INDEX('Sản phẩm'!$E$5:$E$304,MATCH(D817,'Sản phẩm'!$A$5:$A$304,0)),"")))</f>
        <v/>
      </c>
      <c r="J817" s="16">
        <f>IF(OR(D817="",F817=""),"",F817*I817-N(H817))</f>
        <v/>
      </c>
      <c r="K817" s="16">
        <f>IF(OR(D817="",F817=""),"",F817*IFERROR(INDEX('Sản phẩm'!$D$5:$D$304,MATCH(D817,'Sản phẩm'!$A$5:$A$304,0)),""))</f>
        <v/>
      </c>
      <c r="L817" s="16">
        <f>IF(J817="","",J817-K817)</f>
        <v/>
      </c>
      <c r="M817" s="14">
        <f>IF(A817="","",MONTH(A817))</f>
        <v/>
      </c>
      <c r="N817" s="14">
        <f>IF(A817="","",YEAR(A817))</f>
        <v/>
      </c>
    </row>
    <row r="818">
      <c r="A818" s="15" t="n"/>
      <c r="B818" s="10" t="n"/>
      <c r="C818" s="10" t="n"/>
      <c r="D818" s="10" t="n"/>
      <c r="E818" s="14">
        <f>IF(D818="","",IFERROR(INDEX('Sản phẩm'!$B$5:$B$304,MATCH(D818,'Sản phẩm'!$A$5:$A$304,0)),""))</f>
        <v/>
      </c>
      <c r="F818" s="12" t="n"/>
      <c r="G818" s="11" t="n"/>
      <c r="H818" s="11" t="n"/>
      <c r="I818" s="16">
        <f>IF(D818="","",IF(G818&lt;&gt;"",G818,IFERROR(INDEX('Sản phẩm'!$E$5:$E$304,MATCH(D818,'Sản phẩm'!$A$5:$A$304,0)),"")))</f>
        <v/>
      </c>
      <c r="J818" s="16">
        <f>IF(OR(D818="",F818=""),"",F818*I818-N(H818))</f>
        <v/>
      </c>
      <c r="K818" s="16">
        <f>IF(OR(D818="",F818=""),"",F818*IFERROR(INDEX('Sản phẩm'!$D$5:$D$304,MATCH(D818,'Sản phẩm'!$A$5:$A$304,0)),""))</f>
        <v/>
      </c>
      <c r="L818" s="16">
        <f>IF(J818="","",J818-K818)</f>
        <v/>
      </c>
      <c r="M818" s="14">
        <f>IF(A818="","",MONTH(A818))</f>
        <v/>
      </c>
      <c r="N818" s="14">
        <f>IF(A818="","",YEAR(A818))</f>
        <v/>
      </c>
    </row>
    <row r="819">
      <c r="A819" s="15" t="n"/>
      <c r="B819" s="10" t="n"/>
      <c r="C819" s="10" t="n"/>
      <c r="D819" s="10" t="n"/>
      <c r="E819" s="14">
        <f>IF(D819="","",IFERROR(INDEX('Sản phẩm'!$B$5:$B$304,MATCH(D819,'Sản phẩm'!$A$5:$A$304,0)),""))</f>
        <v/>
      </c>
      <c r="F819" s="12" t="n"/>
      <c r="G819" s="11" t="n"/>
      <c r="H819" s="11" t="n"/>
      <c r="I819" s="16">
        <f>IF(D819="","",IF(G819&lt;&gt;"",G819,IFERROR(INDEX('Sản phẩm'!$E$5:$E$304,MATCH(D819,'Sản phẩm'!$A$5:$A$304,0)),"")))</f>
        <v/>
      </c>
      <c r="J819" s="16">
        <f>IF(OR(D819="",F819=""),"",F819*I819-N(H819))</f>
        <v/>
      </c>
      <c r="K819" s="16">
        <f>IF(OR(D819="",F819=""),"",F819*IFERROR(INDEX('Sản phẩm'!$D$5:$D$304,MATCH(D819,'Sản phẩm'!$A$5:$A$304,0)),""))</f>
        <v/>
      </c>
      <c r="L819" s="16">
        <f>IF(J819="","",J819-K819)</f>
        <v/>
      </c>
      <c r="M819" s="14">
        <f>IF(A819="","",MONTH(A819))</f>
        <v/>
      </c>
      <c r="N819" s="14">
        <f>IF(A819="","",YEAR(A819))</f>
        <v/>
      </c>
    </row>
    <row r="820">
      <c r="A820" s="15" t="n"/>
      <c r="B820" s="10" t="n"/>
      <c r="C820" s="10" t="n"/>
      <c r="D820" s="10" t="n"/>
      <c r="E820" s="14">
        <f>IF(D820="","",IFERROR(INDEX('Sản phẩm'!$B$5:$B$304,MATCH(D820,'Sản phẩm'!$A$5:$A$304,0)),""))</f>
        <v/>
      </c>
      <c r="F820" s="12" t="n"/>
      <c r="G820" s="11" t="n"/>
      <c r="H820" s="11" t="n"/>
      <c r="I820" s="16">
        <f>IF(D820="","",IF(G820&lt;&gt;"",G820,IFERROR(INDEX('Sản phẩm'!$E$5:$E$304,MATCH(D820,'Sản phẩm'!$A$5:$A$304,0)),"")))</f>
        <v/>
      </c>
      <c r="J820" s="16">
        <f>IF(OR(D820="",F820=""),"",F820*I820-N(H820))</f>
        <v/>
      </c>
      <c r="K820" s="16">
        <f>IF(OR(D820="",F820=""),"",F820*IFERROR(INDEX('Sản phẩm'!$D$5:$D$304,MATCH(D820,'Sản phẩm'!$A$5:$A$304,0)),""))</f>
        <v/>
      </c>
      <c r="L820" s="16">
        <f>IF(J820="","",J820-K820)</f>
        <v/>
      </c>
      <c r="M820" s="14">
        <f>IF(A820="","",MONTH(A820))</f>
        <v/>
      </c>
      <c r="N820" s="14">
        <f>IF(A820="","",YEAR(A820))</f>
        <v/>
      </c>
    </row>
    <row r="821">
      <c r="A821" s="15" t="n"/>
      <c r="B821" s="10" t="n"/>
      <c r="C821" s="10" t="n"/>
      <c r="D821" s="10" t="n"/>
      <c r="E821" s="14">
        <f>IF(D821="","",IFERROR(INDEX('Sản phẩm'!$B$5:$B$304,MATCH(D821,'Sản phẩm'!$A$5:$A$304,0)),""))</f>
        <v/>
      </c>
      <c r="F821" s="12" t="n"/>
      <c r="G821" s="11" t="n"/>
      <c r="H821" s="11" t="n"/>
      <c r="I821" s="16">
        <f>IF(D821="","",IF(G821&lt;&gt;"",G821,IFERROR(INDEX('Sản phẩm'!$E$5:$E$304,MATCH(D821,'Sản phẩm'!$A$5:$A$304,0)),"")))</f>
        <v/>
      </c>
      <c r="J821" s="16">
        <f>IF(OR(D821="",F821=""),"",F821*I821-N(H821))</f>
        <v/>
      </c>
      <c r="K821" s="16">
        <f>IF(OR(D821="",F821=""),"",F821*IFERROR(INDEX('Sản phẩm'!$D$5:$D$304,MATCH(D821,'Sản phẩm'!$A$5:$A$304,0)),""))</f>
        <v/>
      </c>
      <c r="L821" s="16">
        <f>IF(J821="","",J821-K821)</f>
        <v/>
      </c>
      <c r="M821" s="14">
        <f>IF(A821="","",MONTH(A821))</f>
        <v/>
      </c>
      <c r="N821" s="14">
        <f>IF(A821="","",YEAR(A821))</f>
        <v/>
      </c>
    </row>
    <row r="822">
      <c r="A822" s="15" t="n"/>
      <c r="B822" s="10" t="n"/>
      <c r="C822" s="10" t="n"/>
      <c r="D822" s="10" t="n"/>
      <c r="E822" s="14">
        <f>IF(D822="","",IFERROR(INDEX('Sản phẩm'!$B$5:$B$304,MATCH(D822,'Sản phẩm'!$A$5:$A$304,0)),""))</f>
        <v/>
      </c>
      <c r="F822" s="12" t="n"/>
      <c r="G822" s="11" t="n"/>
      <c r="H822" s="11" t="n"/>
      <c r="I822" s="16">
        <f>IF(D822="","",IF(G822&lt;&gt;"",G822,IFERROR(INDEX('Sản phẩm'!$E$5:$E$304,MATCH(D822,'Sản phẩm'!$A$5:$A$304,0)),"")))</f>
        <v/>
      </c>
      <c r="J822" s="16">
        <f>IF(OR(D822="",F822=""),"",F822*I822-N(H822))</f>
        <v/>
      </c>
      <c r="K822" s="16">
        <f>IF(OR(D822="",F822=""),"",F822*IFERROR(INDEX('Sản phẩm'!$D$5:$D$304,MATCH(D822,'Sản phẩm'!$A$5:$A$304,0)),""))</f>
        <v/>
      </c>
      <c r="L822" s="16">
        <f>IF(J822="","",J822-K822)</f>
        <v/>
      </c>
      <c r="M822" s="14">
        <f>IF(A822="","",MONTH(A822))</f>
        <v/>
      </c>
      <c r="N822" s="14">
        <f>IF(A822="","",YEAR(A822))</f>
        <v/>
      </c>
    </row>
    <row r="823">
      <c r="A823" s="15" t="n"/>
      <c r="B823" s="10" t="n"/>
      <c r="C823" s="10" t="n"/>
      <c r="D823" s="10" t="n"/>
      <c r="E823" s="14">
        <f>IF(D823="","",IFERROR(INDEX('Sản phẩm'!$B$5:$B$304,MATCH(D823,'Sản phẩm'!$A$5:$A$304,0)),""))</f>
        <v/>
      </c>
      <c r="F823" s="12" t="n"/>
      <c r="G823" s="11" t="n"/>
      <c r="H823" s="11" t="n"/>
      <c r="I823" s="16">
        <f>IF(D823="","",IF(G823&lt;&gt;"",G823,IFERROR(INDEX('Sản phẩm'!$E$5:$E$304,MATCH(D823,'Sản phẩm'!$A$5:$A$304,0)),"")))</f>
        <v/>
      </c>
      <c r="J823" s="16">
        <f>IF(OR(D823="",F823=""),"",F823*I823-N(H823))</f>
        <v/>
      </c>
      <c r="K823" s="16">
        <f>IF(OR(D823="",F823=""),"",F823*IFERROR(INDEX('Sản phẩm'!$D$5:$D$304,MATCH(D823,'Sản phẩm'!$A$5:$A$304,0)),""))</f>
        <v/>
      </c>
      <c r="L823" s="16">
        <f>IF(J823="","",J823-K823)</f>
        <v/>
      </c>
      <c r="M823" s="14">
        <f>IF(A823="","",MONTH(A823))</f>
        <v/>
      </c>
      <c r="N823" s="14">
        <f>IF(A823="","",YEAR(A823))</f>
        <v/>
      </c>
    </row>
    <row r="824">
      <c r="A824" s="15" t="n"/>
      <c r="B824" s="10" t="n"/>
      <c r="C824" s="10" t="n"/>
      <c r="D824" s="10" t="n"/>
      <c r="E824" s="14">
        <f>IF(D824="","",IFERROR(INDEX('Sản phẩm'!$B$5:$B$304,MATCH(D824,'Sản phẩm'!$A$5:$A$304,0)),""))</f>
        <v/>
      </c>
      <c r="F824" s="12" t="n"/>
      <c r="G824" s="11" t="n"/>
      <c r="H824" s="11" t="n"/>
      <c r="I824" s="16">
        <f>IF(D824="","",IF(G824&lt;&gt;"",G824,IFERROR(INDEX('Sản phẩm'!$E$5:$E$304,MATCH(D824,'Sản phẩm'!$A$5:$A$304,0)),"")))</f>
        <v/>
      </c>
      <c r="J824" s="16">
        <f>IF(OR(D824="",F824=""),"",F824*I824-N(H824))</f>
        <v/>
      </c>
      <c r="K824" s="16">
        <f>IF(OR(D824="",F824=""),"",F824*IFERROR(INDEX('Sản phẩm'!$D$5:$D$304,MATCH(D824,'Sản phẩm'!$A$5:$A$304,0)),""))</f>
        <v/>
      </c>
      <c r="L824" s="16">
        <f>IF(J824="","",J824-K824)</f>
        <v/>
      </c>
      <c r="M824" s="14">
        <f>IF(A824="","",MONTH(A824))</f>
        <v/>
      </c>
      <c r="N824" s="14">
        <f>IF(A824="","",YEAR(A824))</f>
        <v/>
      </c>
    </row>
    <row r="825">
      <c r="A825" s="15" t="n"/>
      <c r="B825" s="10" t="n"/>
      <c r="C825" s="10" t="n"/>
      <c r="D825" s="10" t="n"/>
      <c r="E825" s="14">
        <f>IF(D825="","",IFERROR(INDEX('Sản phẩm'!$B$5:$B$304,MATCH(D825,'Sản phẩm'!$A$5:$A$304,0)),""))</f>
        <v/>
      </c>
      <c r="F825" s="12" t="n"/>
      <c r="G825" s="11" t="n"/>
      <c r="H825" s="11" t="n"/>
      <c r="I825" s="16">
        <f>IF(D825="","",IF(G825&lt;&gt;"",G825,IFERROR(INDEX('Sản phẩm'!$E$5:$E$304,MATCH(D825,'Sản phẩm'!$A$5:$A$304,0)),"")))</f>
        <v/>
      </c>
      <c r="J825" s="16">
        <f>IF(OR(D825="",F825=""),"",F825*I825-N(H825))</f>
        <v/>
      </c>
      <c r="K825" s="16">
        <f>IF(OR(D825="",F825=""),"",F825*IFERROR(INDEX('Sản phẩm'!$D$5:$D$304,MATCH(D825,'Sản phẩm'!$A$5:$A$304,0)),""))</f>
        <v/>
      </c>
      <c r="L825" s="16">
        <f>IF(J825="","",J825-K825)</f>
        <v/>
      </c>
      <c r="M825" s="14">
        <f>IF(A825="","",MONTH(A825))</f>
        <v/>
      </c>
      <c r="N825" s="14">
        <f>IF(A825="","",YEAR(A825))</f>
        <v/>
      </c>
    </row>
    <row r="826">
      <c r="A826" s="15" t="n"/>
      <c r="B826" s="10" t="n"/>
      <c r="C826" s="10" t="n"/>
      <c r="D826" s="10" t="n"/>
      <c r="E826" s="14">
        <f>IF(D826="","",IFERROR(INDEX('Sản phẩm'!$B$5:$B$304,MATCH(D826,'Sản phẩm'!$A$5:$A$304,0)),""))</f>
        <v/>
      </c>
      <c r="F826" s="12" t="n"/>
      <c r="G826" s="11" t="n"/>
      <c r="H826" s="11" t="n"/>
      <c r="I826" s="16">
        <f>IF(D826="","",IF(G826&lt;&gt;"",G826,IFERROR(INDEX('Sản phẩm'!$E$5:$E$304,MATCH(D826,'Sản phẩm'!$A$5:$A$304,0)),"")))</f>
        <v/>
      </c>
      <c r="J826" s="16">
        <f>IF(OR(D826="",F826=""),"",F826*I826-N(H826))</f>
        <v/>
      </c>
      <c r="K826" s="16">
        <f>IF(OR(D826="",F826=""),"",F826*IFERROR(INDEX('Sản phẩm'!$D$5:$D$304,MATCH(D826,'Sản phẩm'!$A$5:$A$304,0)),""))</f>
        <v/>
      </c>
      <c r="L826" s="16">
        <f>IF(J826="","",J826-K826)</f>
        <v/>
      </c>
      <c r="M826" s="14">
        <f>IF(A826="","",MONTH(A826))</f>
        <v/>
      </c>
      <c r="N826" s="14">
        <f>IF(A826="","",YEAR(A826))</f>
        <v/>
      </c>
    </row>
    <row r="827">
      <c r="A827" s="15" t="n"/>
      <c r="B827" s="10" t="n"/>
      <c r="C827" s="10" t="n"/>
      <c r="D827" s="10" t="n"/>
      <c r="E827" s="14">
        <f>IF(D827="","",IFERROR(INDEX('Sản phẩm'!$B$5:$B$304,MATCH(D827,'Sản phẩm'!$A$5:$A$304,0)),""))</f>
        <v/>
      </c>
      <c r="F827" s="12" t="n"/>
      <c r="G827" s="11" t="n"/>
      <c r="H827" s="11" t="n"/>
      <c r="I827" s="16">
        <f>IF(D827="","",IF(G827&lt;&gt;"",G827,IFERROR(INDEX('Sản phẩm'!$E$5:$E$304,MATCH(D827,'Sản phẩm'!$A$5:$A$304,0)),"")))</f>
        <v/>
      </c>
      <c r="J827" s="16">
        <f>IF(OR(D827="",F827=""),"",F827*I827-N(H827))</f>
        <v/>
      </c>
      <c r="K827" s="16">
        <f>IF(OR(D827="",F827=""),"",F827*IFERROR(INDEX('Sản phẩm'!$D$5:$D$304,MATCH(D827,'Sản phẩm'!$A$5:$A$304,0)),""))</f>
        <v/>
      </c>
      <c r="L827" s="16">
        <f>IF(J827="","",J827-K827)</f>
        <v/>
      </c>
      <c r="M827" s="14">
        <f>IF(A827="","",MONTH(A827))</f>
        <v/>
      </c>
      <c r="N827" s="14">
        <f>IF(A827="","",YEAR(A827))</f>
        <v/>
      </c>
    </row>
    <row r="828">
      <c r="A828" s="15" t="n"/>
      <c r="B828" s="10" t="n"/>
      <c r="C828" s="10" t="n"/>
      <c r="D828" s="10" t="n"/>
      <c r="E828" s="14">
        <f>IF(D828="","",IFERROR(INDEX('Sản phẩm'!$B$5:$B$304,MATCH(D828,'Sản phẩm'!$A$5:$A$304,0)),""))</f>
        <v/>
      </c>
      <c r="F828" s="12" t="n"/>
      <c r="G828" s="11" t="n"/>
      <c r="H828" s="11" t="n"/>
      <c r="I828" s="16">
        <f>IF(D828="","",IF(G828&lt;&gt;"",G828,IFERROR(INDEX('Sản phẩm'!$E$5:$E$304,MATCH(D828,'Sản phẩm'!$A$5:$A$304,0)),"")))</f>
        <v/>
      </c>
      <c r="J828" s="16">
        <f>IF(OR(D828="",F828=""),"",F828*I828-N(H828))</f>
        <v/>
      </c>
      <c r="K828" s="16">
        <f>IF(OR(D828="",F828=""),"",F828*IFERROR(INDEX('Sản phẩm'!$D$5:$D$304,MATCH(D828,'Sản phẩm'!$A$5:$A$304,0)),""))</f>
        <v/>
      </c>
      <c r="L828" s="16">
        <f>IF(J828="","",J828-K828)</f>
        <v/>
      </c>
      <c r="M828" s="14">
        <f>IF(A828="","",MONTH(A828))</f>
        <v/>
      </c>
      <c r="N828" s="14">
        <f>IF(A828="","",YEAR(A828))</f>
        <v/>
      </c>
    </row>
    <row r="829">
      <c r="A829" s="15" t="n"/>
      <c r="B829" s="10" t="n"/>
      <c r="C829" s="10" t="n"/>
      <c r="D829" s="10" t="n"/>
      <c r="E829" s="14">
        <f>IF(D829="","",IFERROR(INDEX('Sản phẩm'!$B$5:$B$304,MATCH(D829,'Sản phẩm'!$A$5:$A$304,0)),""))</f>
        <v/>
      </c>
      <c r="F829" s="12" t="n"/>
      <c r="G829" s="11" t="n"/>
      <c r="H829" s="11" t="n"/>
      <c r="I829" s="16">
        <f>IF(D829="","",IF(G829&lt;&gt;"",G829,IFERROR(INDEX('Sản phẩm'!$E$5:$E$304,MATCH(D829,'Sản phẩm'!$A$5:$A$304,0)),"")))</f>
        <v/>
      </c>
      <c r="J829" s="16">
        <f>IF(OR(D829="",F829=""),"",F829*I829-N(H829))</f>
        <v/>
      </c>
      <c r="K829" s="16">
        <f>IF(OR(D829="",F829=""),"",F829*IFERROR(INDEX('Sản phẩm'!$D$5:$D$304,MATCH(D829,'Sản phẩm'!$A$5:$A$304,0)),""))</f>
        <v/>
      </c>
      <c r="L829" s="16">
        <f>IF(J829="","",J829-K829)</f>
        <v/>
      </c>
      <c r="M829" s="14">
        <f>IF(A829="","",MONTH(A829))</f>
        <v/>
      </c>
      <c r="N829" s="14">
        <f>IF(A829="","",YEAR(A829))</f>
        <v/>
      </c>
    </row>
    <row r="830">
      <c r="A830" s="15" t="n"/>
      <c r="B830" s="10" t="n"/>
      <c r="C830" s="10" t="n"/>
      <c r="D830" s="10" t="n"/>
      <c r="E830" s="14">
        <f>IF(D830="","",IFERROR(INDEX('Sản phẩm'!$B$5:$B$304,MATCH(D830,'Sản phẩm'!$A$5:$A$304,0)),""))</f>
        <v/>
      </c>
      <c r="F830" s="12" t="n"/>
      <c r="G830" s="11" t="n"/>
      <c r="H830" s="11" t="n"/>
      <c r="I830" s="16">
        <f>IF(D830="","",IF(G830&lt;&gt;"",G830,IFERROR(INDEX('Sản phẩm'!$E$5:$E$304,MATCH(D830,'Sản phẩm'!$A$5:$A$304,0)),"")))</f>
        <v/>
      </c>
      <c r="J830" s="16">
        <f>IF(OR(D830="",F830=""),"",F830*I830-N(H830))</f>
        <v/>
      </c>
      <c r="K830" s="16">
        <f>IF(OR(D830="",F830=""),"",F830*IFERROR(INDEX('Sản phẩm'!$D$5:$D$304,MATCH(D830,'Sản phẩm'!$A$5:$A$304,0)),""))</f>
        <v/>
      </c>
      <c r="L830" s="16">
        <f>IF(J830="","",J830-K830)</f>
        <v/>
      </c>
      <c r="M830" s="14">
        <f>IF(A830="","",MONTH(A830))</f>
        <v/>
      </c>
      <c r="N830" s="14">
        <f>IF(A830="","",YEAR(A830))</f>
        <v/>
      </c>
    </row>
    <row r="831">
      <c r="A831" s="15" t="n"/>
      <c r="B831" s="10" t="n"/>
      <c r="C831" s="10" t="n"/>
      <c r="D831" s="10" t="n"/>
      <c r="E831" s="14">
        <f>IF(D831="","",IFERROR(INDEX('Sản phẩm'!$B$5:$B$304,MATCH(D831,'Sản phẩm'!$A$5:$A$304,0)),""))</f>
        <v/>
      </c>
      <c r="F831" s="12" t="n"/>
      <c r="G831" s="11" t="n"/>
      <c r="H831" s="11" t="n"/>
      <c r="I831" s="16">
        <f>IF(D831="","",IF(G831&lt;&gt;"",G831,IFERROR(INDEX('Sản phẩm'!$E$5:$E$304,MATCH(D831,'Sản phẩm'!$A$5:$A$304,0)),"")))</f>
        <v/>
      </c>
      <c r="J831" s="16">
        <f>IF(OR(D831="",F831=""),"",F831*I831-N(H831))</f>
        <v/>
      </c>
      <c r="K831" s="16">
        <f>IF(OR(D831="",F831=""),"",F831*IFERROR(INDEX('Sản phẩm'!$D$5:$D$304,MATCH(D831,'Sản phẩm'!$A$5:$A$304,0)),""))</f>
        <v/>
      </c>
      <c r="L831" s="16">
        <f>IF(J831="","",J831-K831)</f>
        <v/>
      </c>
      <c r="M831" s="14">
        <f>IF(A831="","",MONTH(A831))</f>
        <v/>
      </c>
      <c r="N831" s="14">
        <f>IF(A831="","",YEAR(A831))</f>
        <v/>
      </c>
    </row>
    <row r="832">
      <c r="A832" s="15" t="n"/>
      <c r="B832" s="10" t="n"/>
      <c r="C832" s="10" t="n"/>
      <c r="D832" s="10" t="n"/>
      <c r="E832" s="14">
        <f>IF(D832="","",IFERROR(INDEX('Sản phẩm'!$B$5:$B$304,MATCH(D832,'Sản phẩm'!$A$5:$A$304,0)),""))</f>
        <v/>
      </c>
      <c r="F832" s="12" t="n"/>
      <c r="G832" s="11" t="n"/>
      <c r="H832" s="11" t="n"/>
      <c r="I832" s="16">
        <f>IF(D832="","",IF(G832&lt;&gt;"",G832,IFERROR(INDEX('Sản phẩm'!$E$5:$E$304,MATCH(D832,'Sản phẩm'!$A$5:$A$304,0)),"")))</f>
        <v/>
      </c>
      <c r="J832" s="16">
        <f>IF(OR(D832="",F832=""),"",F832*I832-N(H832))</f>
        <v/>
      </c>
      <c r="K832" s="16">
        <f>IF(OR(D832="",F832=""),"",F832*IFERROR(INDEX('Sản phẩm'!$D$5:$D$304,MATCH(D832,'Sản phẩm'!$A$5:$A$304,0)),""))</f>
        <v/>
      </c>
      <c r="L832" s="16">
        <f>IF(J832="","",J832-K832)</f>
        <v/>
      </c>
      <c r="M832" s="14">
        <f>IF(A832="","",MONTH(A832))</f>
        <v/>
      </c>
      <c r="N832" s="14">
        <f>IF(A832="","",YEAR(A832))</f>
        <v/>
      </c>
    </row>
    <row r="833">
      <c r="A833" s="15" t="n"/>
      <c r="B833" s="10" t="n"/>
      <c r="C833" s="10" t="n"/>
      <c r="D833" s="10" t="n"/>
      <c r="E833" s="14">
        <f>IF(D833="","",IFERROR(INDEX('Sản phẩm'!$B$5:$B$304,MATCH(D833,'Sản phẩm'!$A$5:$A$304,0)),""))</f>
        <v/>
      </c>
      <c r="F833" s="12" t="n"/>
      <c r="G833" s="11" t="n"/>
      <c r="H833" s="11" t="n"/>
      <c r="I833" s="16">
        <f>IF(D833="","",IF(G833&lt;&gt;"",G833,IFERROR(INDEX('Sản phẩm'!$E$5:$E$304,MATCH(D833,'Sản phẩm'!$A$5:$A$304,0)),"")))</f>
        <v/>
      </c>
      <c r="J833" s="16">
        <f>IF(OR(D833="",F833=""),"",F833*I833-N(H833))</f>
        <v/>
      </c>
      <c r="K833" s="16">
        <f>IF(OR(D833="",F833=""),"",F833*IFERROR(INDEX('Sản phẩm'!$D$5:$D$304,MATCH(D833,'Sản phẩm'!$A$5:$A$304,0)),""))</f>
        <v/>
      </c>
      <c r="L833" s="16">
        <f>IF(J833="","",J833-K833)</f>
        <v/>
      </c>
      <c r="M833" s="14">
        <f>IF(A833="","",MONTH(A833))</f>
        <v/>
      </c>
      <c r="N833" s="14">
        <f>IF(A833="","",YEAR(A833))</f>
        <v/>
      </c>
    </row>
    <row r="834">
      <c r="A834" s="15" t="n"/>
      <c r="B834" s="10" t="n"/>
      <c r="C834" s="10" t="n"/>
      <c r="D834" s="10" t="n"/>
      <c r="E834" s="14">
        <f>IF(D834="","",IFERROR(INDEX('Sản phẩm'!$B$5:$B$304,MATCH(D834,'Sản phẩm'!$A$5:$A$304,0)),""))</f>
        <v/>
      </c>
      <c r="F834" s="12" t="n"/>
      <c r="G834" s="11" t="n"/>
      <c r="H834" s="11" t="n"/>
      <c r="I834" s="16">
        <f>IF(D834="","",IF(G834&lt;&gt;"",G834,IFERROR(INDEX('Sản phẩm'!$E$5:$E$304,MATCH(D834,'Sản phẩm'!$A$5:$A$304,0)),"")))</f>
        <v/>
      </c>
      <c r="J834" s="16">
        <f>IF(OR(D834="",F834=""),"",F834*I834-N(H834))</f>
        <v/>
      </c>
      <c r="K834" s="16">
        <f>IF(OR(D834="",F834=""),"",F834*IFERROR(INDEX('Sản phẩm'!$D$5:$D$304,MATCH(D834,'Sản phẩm'!$A$5:$A$304,0)),""))</f>
        <v/>
      </c>
      <c r="L834" s="16">
        <f>IF(J834="","",J834-K834)</f>
        <v/>
      </c>
      <c r="M834" s="14">
        <f>IF(A834="","",MONTH(A834))</f>
        <v/>
      </c>
      <c r="N834" s="14">
        <f>IF(A834="","",YEAR(A834))</f>
        <v/>
      </c>
    </row>
    <row r="835">
      <c r="A835" s="15" t="n"/>
      <c r="B835" s="10" t="n"/>
      <c r="C835" s="10" t="n"/>
      <c r="D835" s="10" t="n"/>
      <c r="E835" s="14">
        <f>IF(D835="","",IFERROR(INDEX('Sản phẩm'!$B$5:$B$304,MATCH(D835,'Sản phẩm'!$A$5:$A$304,0)),""))</f>
        <v/>
      </c>
      <c r="F835" s="12" t="n"/>
      <c r="G835" s="11" t="n"/>
      <c r="H835" s="11" t="n"/>
      <c r="I835" s="16">
        <f>IF(D835="","",IF(G835&lt;&gt;"",G835,IFERROR(INDEX('Sản phẩm'!$E$5:$E$304,MATCH(D835,'Sản phẩm'!$A$5:$A$304,0)),"")))</f>
        <v/>
      </c>
      <c r="J835" s="16">
        <f>IF(OR(D835="",F835=""),"",F835*I835-N(H835))</f>
        <v/>
      </c>
      <c r="K835" s="16">
        <f>IF(OR(D835="",F835=""),"",F835*IFERROR(INDEX('Sản phẩm'!$D$5:$D$304,MATCH(D835,'Sản phẩm'!$A$5:$A$304,0)),""))</f>
        <v/>
      </c>
      <c r="L835" s="16">
        <f>IF(J835="","",J835-K835)</f>
        <v/>
      </c>
      <c r="M835" s="14">
        <f>IF(A835="","",MONTH(A835))</f>
        <v/>
      </c>
      <c r="N835" s="14">
        <f>IF(A835="","",YEAR(A835))</f>
        <v/>
      </c>
    </row>
    <row r="836">
      <c r="A836" s="15" t="n"/>
      <c r="B836" s="10" t="n"/>
      <c r="C836" s="10" t="n"/>
      <c r="D836" s="10" t="n"/>
      <c r="E836" s="14">
        <f>IF(D836="","",IFERROR(INDEX('Sản phẩm'!$B$5:$B$304,MATCH(D836,'Sản phẩm'!$A$5:$A$304,0)),""))</f>
        <v/>
      </c>
      <c r="F836" s="12" t="n"/>
      <c r="G836" s="11" t="n"/>
      <c r="H836" s="11" t="n"/>
      <c r="I836" s="16">
        <f>IF(D836="","",IF(G836&lt;&gt;"",G836,IFERROR(INDEX('Sản phẩm'!$E$5:$E$304,MATCH(D836,'Sản phẩm'!$A$5:$A$304,0)),"")))</f>
        <v/>
      </c>
      <c r="J836" s="16">
        <f>IF(OR(D836="",F836=""),"",F836*I836-N(H836))</f>
        <v/>
      </c>
      <c r="K836" s="16">
        <f>IF(OR(D836="",F836=""),"",F836*IFERROR(INDEX('Sản phẩm'!$D$5:$D$304,MATCH(D836,'Sản phẩm'!$A$5:$A$304,0)),""))</f>
        <v/>
      </c>
      <c r="L836" s="16">
        <f>IF(J836="","",J836-K836)</f>
        <v/>
      </c>
      <c r="M836" s="14">
        <f>IF(A836="","",MONTH(A836))</f>
        <v/>
      </c>
      <c r="N836" s="14">
        <f>IF(A836="","",YEAR(A836))</f>
        <v/>
      </c>
    </row>
    <row r="837">
      <c r="A837" s="15" t="n"/>
      <c r="B837" s="10" t="n"/>
      <c r="C837" s="10" t="n"/>
      <c r="D837" s="10" t="n"/>
      <c r="E837" s="14">
        <f>IF(D837="","",IFERROR(INDEX('Sản phẩm'!$B$5:$B$304,MATCH(D837,'Sản phẩm'!$A$5:$A$304,0)),""))</f>
        <v/>
      </c>
      <c r="F837" s="12" t="n"/>
      <c r="G837" s="11" t="n"/>
      <c r="H837" s="11" t="n"/>
      <c r="I837" s="16">
        <f>IF(D837="","",IF(G837&lt;&gt;"",G837,IFERROR(INDEX('Sản phẩm'!$E$5:$E$304,MATCH(D837,'Sản phẩm'!$A$5:$A$304,0)),"")))</f>
        <v/>
      </c>
      <c r="J837" s="16">
        <f>IF(OR(D837="",F837=""),"",F837*I837-N(H837))</f>
        <v/>
      </c>
      <c r="K837" s="16">
        <f>IF(OR(D837="",F837=""),"",F837*IFERROR(INDEX('Sản phẩm'!$D$5:$D$304,MATCH(D837,'Sản phẩm'!$A$5:$A$304,0)),""))</f>
        <v/>
      </c>
      <c r="L837" s="16">
        <f>IF(J837="","",J837-K837)</f>
        <v/>
      </c>
      <c r="M837" s="14">
        <f>IF(A837="","",MONTH(A837))</f>
        <v/>
      </c>
      <c r="N837" s="14">
        <f>IF(A837="","",YEAR(A837))</f>
        <v/>
      </c>
    </row>
    <row r="838">
      <c r="A838" s="15" t="n"/>
      <c r="B838" s="10" t="n"/>
      <c r="C838" s="10" t="n"/>
      <c r="D838" s="10" t="n"/>
      <c r="E838" s="14">
        <f>IF(D838="","",IFERROR(INDEX('Sản phẩm'!$B$5:$B$304,MATCH(D838,'Sản phẩm'!$A$5:$A$304,0)),""))</f>
        <v/>
      </c>
      <c r="F838" s="12" t="n"/>
      <c r="G838" s="11" t="n"/>
      <c r="H838" s="11" t="n"/>
      <c r="I838" s="16">
        <f>IF(D838="","",IF(G838&lt;&gt;"",G838,IFERROR(INDEX('Sản phẩm'!$E$5:$E$304,MATCH(D838,'Sản phẩm'!$A$5:$A$304,0)),"")))</f>
        <v/>
      </c>
      <c r="J838" s="16">
        <f>IF(OR(D838="",F838=""),"",F838*I838-N(H838))</f>
        <v/>
      </c>
      <c r="K838" s="16">
        <f>IF(OR(D838="",F838=""),"",F838*IFERROR(INDEX('Sản phẩm'!$D$5:$D$304,MATCH(D838,'Sản phẩm'!$A$5:$A$304,0)),""))</f>
        <v/>
      </c>
      <c r="L838" s="16">
        <f>IF(J838="","",J838-K838)</f>
        <v/>
      </c>
      <c r="M838" s="14">
        <f>IF(A838="","",MONTH(A838))</f>
        <v/>
      </c>
      <c r="N838" s="14">
        <f>IF(A838="","",YEAR(A838))</f>
        <v/>
      </c>
    </row>
    <row r="839">
      <c r="A839" s="15" t="n"/>
      <c r="B839" s="10" t="n"/>
      <c r="C839" s="10" t="n"/>
      <c r="D839" s="10" t="n"/>
      <c r="E839" s="14">
        <f>IF(D839="","",IFERROR(INDEX('Sản phẩm'!$B$5:$B$304,MATCH(D839,'Sản phẩm'!$A$5:$A$304,0)),""))</f>
        <v/>
      </c>
      <c r="F839" s="12" t="n"/>
      <c r="G839" s="11" t="n"/>
      <c r="H839" s="11" t="n"/>
      <c r="I839" s="16">
        <f>IF(D839="","",IF(G839&lt;&gt;"",G839,IFERROR(INDEX('Sản phẩm'!$E$5:$E$304,MATCH(D839,'Sản phẩm'!$A$5:$A$304,0)),"")))</f>
        <v/>
      </c>
      <c r="J839" s="16">
        <f>IF(OR(D839="",F839=""),"",F839*I839-N(H839))</f>
        <v/>
      </c>
      <c r="K839" s="16">
        <f>IF(OR(D839="",F839=""),"",F839*IFERROR(INDEX('Sản phẩm'!$D$5:$D$304,MATCH(D839,'Sản phẩm'!$A$5:$A$304,0)),""))</f>
        <v/>
      </c>
      <c r="L839" s="16">
        <f>IF(J839="","",J839-K839)</f>
        <v/>
      </c>
      <c r="M839" s="14">
        <f>IF(A839="","",MONTH(A839))</f>
        <v/>
      </c>
      <c r="N839" s="14">
        <f>IF(A839="","",YEAR(A839))</f>
        <v/>
      </c>
    </row>
    <row r="840">
      <c r="A840" s="15" t="n"/>
      <c r="B840" s="10" t="n"/>
      <c r="C840" s="10" t="n"/>
      <c r="D840" s="10" t="n"/>
      <c r="E840" s="14">
        <f>IF(D840="","",IFERROR(INDEX('Sản phẩm'!$B$5:$B$304,MATCH(D840,'Sản phẩm'!$A$5:$A$304,0)),""))</f>
        <v/>
      </c>
      <c r="F840" s="12" t="n"/>
      <c r="G840" s="11" t="n"/>
      <c r="H840" s="11" t="n"/>
      <c r="I840" s="16">
        <f>IF(D840="","",IF(G840&lt;&gt;"",G840,IFERROR(INDEX('Sản phẩm'!$E$5:$E$304,MATCH(D840,'Sản phẩm'!$A$5:$A$304,0)),"")))</f>
        <v/>
      </c>
      <c r="J840" s="16">
        <f>IF(OR(D840="",F840=""),"",F840*I840-N(H840))</f>
        <v/>
      </c>
      <c r="K840" s="16">
        <f>IF(OR(D840="",F840=""),"",F840*IFERROR(INDEX('Sản phẩm'!$D$5:$D$304,MATCH(D840,'Sản phẩm'!$A$5:$A$304,0)),""))</f>
        <v/>
      </c>
      <c r="L840" s="16">
        <f>IF(J840="","",J840-K840)</f>
        <v/>
      </c>
      <c r="M840" s="14">
        <f>IF(A840="","",MONTH(A840))</f>
        <v/>
      </c>
      <c r="N840" s="14">
        <f>IF(A840="","",YEAR(A840))</f>
        <v/>
      </c>
    </row>
    <row r="841">
      <c r="A841" s="15" t="n"/>
      <c r="B841" s="10" t="n"/>
      <c r="C841" s="10" t="n"/>
      <c r="D841" s="10" t="n"/>
      <c r="E841" s="14">
        <f>IF(D841="","",IFERROR(INDEX('Sản phẩm'!$B$5:$B$304,MATCH(D841,'Sản phẩm'!$A$5:$A$304,0)),""))</f>
        <v/>
      </c>
      <c r="F841" s="12" t="n"/>
      <c r="G841" s="11" t="n"/>
      <c r="H841" s="11" t="n"/>
      <c r="I841" s="16">
        <f>IF(D841="","",IF(G841&lt;&gt;"",G841,IFERROR(INDEX('Sản phẩm'!$E$5:$E$304,MATCH(D841,'Sản phẩm'!$A$5:$A$304,0)),"")))</f>
        <v/>
      </c>
      <c r="J841" s="16">
        <f>IF(OR(D841="",F841=""),"",F841*I841-N(H841))</f>
        <v/>
      </c>
      <c r="K841" s="16">
        <f>IF(OR(D841="",F841=""),"",F841*IFERROR(INDEX('Sản phẩm'!$D$5:$D$304,MATCH(D841,'Sản phẩm'!$A$5:$A$304,0)),""))</f>
        <v/>
      </c>
      <c r="L841" s="16">
        <f>IF(J841="","",J841-K841)</f>
        <v/>
      </c>
      <c r="M841" s="14">
        <f>IF(A841="","",MONTH(A841))</f>
        <v/>
      </c>
      <c r="N841" s="14">
        <f>IF(A841="","",YEAR(A841))</f>
        <v/>
      </c>
    </row>
    <row r="842">
      <c r="A842" s="15" t="n"/>
      <c r="B842" s="10" t="n"/>
      <c r="C842" s="10" t="n"/>
      <c r="D842" s="10" t="n"/>
      <c r="E842" s="14">
        <f>IF(D842="","",IFERROR(INDEX('Sản phẩm'!$B$5:$B$304,MATCH(D842,'Sản phẩm'!$A$5:$A$304,0)),""))</f>
        <v/>
      </c>
      <c r="F842" s="12" t="n"/>
      <c r="G842" s="11" t="n"/>
      <c r="H842" s="11" t="n"/>
      <c r="I842" s="16">
        <f>IF(D842="","",IF(G842&lt;&gt;"",G842,IFERROR(INDEX('Sản phẩm'!$E$5:$E$304,MATCH(D842,'Sản phẩm'!$A$5:$A$304,0)),"")))</f>
        <v/>
      </c>
      <c r="J842" s="16">
        <f>IF(OR(D842="",F842=""),"",F842*I842-N(H842))</f>
        <v/>
      </c>
      <c r="K842" s="16">
        <f>IF(OR(D842="",F842=""),"",F842*IFERROR(INDEX('Sản phẩm'!$D$5:$D$304,MATCH(D842,'Sản phẩm'!$A$5:$A$304,0)),""))</f>
        <v/>
      </c>
      <c r="L842" s="16">
        <f>IF(J842="","",J842-K842)</f>
        <v/>
      </c>
      <c r="M842" s="14">
        <f>IF(A842="","",MONTH(A842))</f>
        <v/>
      </c>
      <c r="N842" s="14">
        <f>IF(A842="","",YEAR(A842))</f>
        <v/>
      </c>
    </row>
    <row r="843">
      <c r="A843" s="15" t="n"/>
      <c r="B843" s="10" t="n"/>
      <c r="C843" s="10" t="n"/>
      <c r="D843" s="10" t="n"/>
      <c r="E843" s="14">
        <f>IF(D843="","",IFERROR(INDEX('Sản phẩm'!$B$5:$B$304,MATCH(D843,'Sản phẩm'!$A$5:$A$304,0)),""))</f>
        <v/>
      </c>
      <c r="F843" s="12" t="n"/>
      <c r="G843" s="11" t="n"/>
      <c r="H843" s="11" t="n"/>
      <c r="I843" s="16">
        <f>IF(D843="","",IF(G843&lt;&gt;"",G843,IFERROR(INDEX('Sản phẩm'!$E$5:$E$304,MATCH(D843,'Sản phẩm'!$A$5:$A$304,0)),"")))</f>
        <v/>
      </c>
      <c r="J843" s="16">
        <f>IF(OR(D843="",F843=""),"",F843*I843-N(H843))</f>
        <v/>
      </c>
      <c r="K843" s="16">
        <f>IF(OR(D843="",F843=""),"",F843*IFERROR(INDEX('Sản phẩm'!$D$5:$D$304,MATCH(D843,'Sản phẩm'!$A$5:$A$304,0)),""))</f>
        <v/>
      </c>
      <c r="L843" s="16">
        <f>IF(J843="","",J843-K843)</f>
        <v/>
      </c>
      <c r="M843" s="14">
        <f>IF(A843="","",MONTH(A843))</f>
        <v/>
      </c>
      <c r="N843" s="14">
        <f>IF(A843="","",YEAR(A843))</f>
        <v/>
      </c>
    </row>
    <row r="844">
      <c r="A844" s="15" t="n"/>
      <c r="B844" s="10" t="n"/>
      <c r="C844" s="10" t="n"/>
      <c r="D844" s="10" t="n"/>
      <c r="E844" s="14">
        <f>IF(D844="","",IFERROR(INDEX('Sản phẩm'!$B$5:$B$304,MATCH(D844,'Sản phẩm'!$A$5:$A$304,0)),""))</f>
        <v/>
      </c>
      <c r="F844" s="12" t="n"/>
      <c r="G844" s="11" t="n"/>
      <c r="H844" s="11" t="n"/>
      <c r="I844" s="16">
        <f>IF(D844="","",IF(G844&lt;&gt;"",G844,IFERROR(INDEX('Sản phẩm'!$E$5:$E$304,MATCH(D844,'Sản phẩm'!$A$5:$A$304,0)),"")))</f>
        <v/>
      </c>
      <c r="J844" s="16">
        <f>IF(OR(D844="",F844=""),"",F844*I844-N(H844))</f>
        <v/>
      </c>
      <c r="K844" s="16">
        <f>IF(OR(D844="",F844=""),"",F844*IFERROR(INDEX('Sản phẩm'!$D$5:$D$304,MATCH(D844,'Sản phẩm'!$A$5:$A$304,0)),""))</f>
        <v/>
      </c>
      <c r="L844" s="16">
        <f>IF(J844="","",J844-K844)</f>
        <v/>
      </c>
      <c r="M844" s="14">
        <f>IF(A844="","",MONTH(A844))</f>
        <v/>
      </c>
      <c r="N844" s="14">
        <f>IF(A844="","",YEAR(A844))</f>
        <v/>
      </c>
    </row>
    <row r="845">
      <c r="A845" s="15" t="n"/>
      <c r="B845" s="10" t="n"/>
      <c r="C845" s="10" t="n"/>
      <c r="D845" s="10" t="n"/>
      <c r="E845" s="14">
        <f>IF(D845="","",IFERROR(INDEX('Sản phẩm'!$B$5:$B$304,MATCH(D845,'Sản phẩm'!$A$5:$A$304,0)),""))</f>
        <v/>
      </c>
      <c r="F845" s="12" t="n"/>
      <c r="G845" s="11" t="n"/>
      <c r="H845" s="11" t="n"/>
      <c r="I845" s="16">
        <f>IF(D845="","",IF(G845&lt;&gt;"",G845,IFERROR(INDEX('Sản phẩm'!$E$5:$E$304,MATCH(D845,'Sản phẩm'!$A$5:$A$304,0)),"")))</f>
        <v/>
      </c>
      <c r="J845" s="16">
        <f>IF(OR(D845="",F845=""),"",F845*I845-N(H845))</f>
        <v/>
      </c>
      <c r="K845" s="16">
        <f>IF(OR(D845="",F845=""),"",F845*IFERROR(INDEX('Sản phẩm'!$D$5:$D$304,MATCH(D845,'Sản phẩm'!$A$5:$A$304,0)),""))</f>
        <v/>
      </c>
      <c r="L845" s="16">
        <f>IF(J845="","",J845-K845)</f>
        <v/>
      </c>
      <c r="M845" s="14">
        <f>IF(A845="","",MONTH(A845))</f>
        <v/>
      </c>
      <c r="N845" s="14">
        <f>IF(A845="","",YEAR(A845))</f>
        <v/>
      </c>
    </row>
    <row r="846">
      <c r="A846" s="15" t="n"/>
      <c r="B846" s="10" t="n"/>
      <c r="C846" s="10" t="n"/>
      <c r="D846" s="10" t="n"/>
      <c r="E846" s="14">
        <f>IF(D846="","",IFERROR(INDEX('Sản phẩm'!$B$5:$B$304,MATCH(D846,'Sản phẩm'!$A$5:$A$304,0)),""))</f>
        <v/>
      </c>
      <c r="F846" s="12" t="n"/>
      <c r="G846" s="11" t="n"/>
      <c r="H846" s="11" t="n"/>
      <c r="I846" s="16">
        <f>IF(D846="","",IF(G846&lt;&gt;"",G846,IFERROR(INDEX('Sản phẩm'!$E$5:$E$304,MATCH(D846,'Sản phẩm'!$A$5:$A$304,0)),"")))</f>
        <v/>
      </c>
      <c r="J846" s="16">
        <f>IF(OR(D846="",F846=""),"",F846*I846-N(H846))</f>
        <v/>
      </c>
      <c r="K846" s="16">
        <f>IF(OR(D846="",F846=""),"",F846*IFERROR(INDEX('Sản phẩm'!$D$5:$D$304,MATCH(D846,'Sản phẩm'!$A$5:$A$304,0)),""))</f>
        <v/>
      </c>
      <c r="L846" s="16">
        <f>IF(J846="","",J846-K846)</f>
        <v/>
      </c>
      <c r="M846" s="14">
        <f>IF(A846="","",MONTH(A846))</f>
        <v/>
      </c>
      <c r="N846" s="14">
        <f>IF(A846="","",YEAR(A846))</f>
        <v/>
      </c>
    </row>
    <row r="847">
      <c r="A847" s="15" t="n"/>
      <c r="B847" s="10" t="n"/>
      <c r="C847" s="10" t="n"/>
      <c r="D847" s="10" t="n"/>
      <c r="E847" s="14">
        <f>IF(D847="","",IFERROR(INDEX('Sản phẩm'!$B$5:$B$304,MATCH(D847,'Sản phẩm'!$A$5:$A$304,0)),""))</f>
        <v/>
      </c>
      <c r="F847" s="12" t="n"/>
      <c r="G847" s="11" t="n"/>
      <c r="H847" s="11" t="n"/>
      <c r="I847" s="16">
        <f>IF(D847="","",IF(G847&lt;&gt;"",G847,IFERROR(INDEX('Sản phẩm'!$E$5:$E$304,MATCH(D847,'Sản phẩm'!$A$5:$A$304,0)),"")))</f>
        <v/>
      </c>
      <c r="J847" s="16">
        <f>IF(OR(D847="",F847=""),"",F847*I847-N(H847))</f>
        <v/>
      </c>
      <c r="K847" s="16">
        <f>IF(OR(D847="",F847=""),"",F847*IFERROR(INDEX('Sản phẩm'!$D$5:$D$304,MATCH(D847,'Sản phẩm'!$A$5:$A$304,0)),""))</f>
        <v/>
      </c>
      <c r="L847" s="16">
        <f>IF(J847="","",J847-K847)</f>
        <v/>
      </c>
      <c r="M847" s="14">
        <f>IF(A847="","",MONTH(A847))</f>
        <v/>
      </c>
      <c r="N847" s="14">
        <f>IF(A847="","",YEAR(A847))</f>
        <v/>
      </c>
    </row>
    <row r="848">
      <c r="A848" s="15" t="n"/>
      <c r="B848" s="10" t="n"/>
      <c r="C848" s="10" t="n"/>
      <c r="D848" s="10" t="n"/>
      <c r="E848" s="14">
        <f>IF(D848="","",IFERROR(INDEX('Sản phẩm'!$B$5:$B$304,MATCH(D848,'Sản phẩm'!$A$5:$A$304,0)),""))</f>
        <v/>
      </c>
      <c r="F848" s="12" t="n"/>
      <c r="G848" s="11" t="n"/>
      <c r="H848" s="11" t="n"/>
      <c r="I848" s="16">
        <f>IF(D848="","",IF(G848&lt;&gt;"",G848,IFERROR(INDEX('Sản phẩm'!$E$5:$E$304,MATCH(D848,'Sản phẩm'!$A$5:$A$304,0)),"")))</f>
        <v/>
      </c>
      <c r="J848" s="16">
        <f>IF(OR(D848="",F848=""),"",F848*I848-N(H848))</f>
        <v/>
      </c>
      <c r="K848" s="16">
        <f>IF(OR(D848="",F848=""),"",F848*IFERROR(INDEX('Sản phẩm'!$D$5:$D$304,MATCH(D848,'Sản phẩm'!$A$5:$A$304,0)),""))</f>
        <v/>
      </c>
      <c r="L848" s="16">
        <f>IF(J848="","",J848-K848)</f>
        <v/>
      </c>
      <c r="M848" s="14">
        <f>IF(A848="","",MONTH(A848))</f>
        <v/>
      </c>
      <c r="N848" s="14">
        <f>IF(A848="","",YEAR(A848))</f>
        <v/>
      </c>
    </row>
    <row r="849">
      <c r="A849" s="15" t="n"/>
      <c r="B849" s="10" t="n"/>
      <c r="C849" s="10" t="n"/>
      <c r="D849" s="10" t="n"/>
      <c r="E849" s="14">
        <f>IF(D849="","",IFERROR(INDEX('Sản phẩm'!$B$5:$B$304,MATCH(D849,'Sản phẩm'!$A$5:$A$304,0)),""))</f>
        <v/>
      </c>
      <c r="F849" s="12" t="n"/>
      <c r="G849" s="11" t="n"/>
      <c r="H849" s="11" t="n"/>
      <c r="I849" s="16">
        <f>IF(D849="","",IF(G849&lt;&gt;"",G849,IFERROR(INDEX('Sản phẩm'!$E$5:$E$304,MATCH(D849,'Sản phẩm'!$A$5:$A$304,0)),"")))</f>
        <v/>
      </c>
      <c r="J849" s="16">
        <f>IF(OR(D849="",F849=""),"",F849*I849-N(H849))</f>
        <v/>
      </c>
      <c r="K849" s="16">
        <f>IF(OR(D849="",F849=""),"",F849*IFERROR(INDEX('Sản phẩm'!$D$5:$D$304,MATCH(D849,'Sản phẩm'!$A$5:$A$304,0)),""))</f>
        <v/>
      </c>
      <c r="L849" s="16">
        <f>IF(J849="","",J849-K849)</f>
        <v/>
      </c>
      <c r="M849" s="14">
        <f>IF(A849="","",MONTH(A849))</f>
        <v/>
      </c>
      <c r="N849" s="14">
        <f>IF(A849="","",YEAR(A849))</f>
        <v/>
      </c>
    </row>
    <row r="850">
      <c r="A850" s="15" t="n"/>
      <c r="B850" s="10" t="n"/>
      <c r="C850" s="10" t="n"/>
      <c r="D850" s="10" t="n"/>
      <c r="E850" s="14">
        <f>IF(D850="","",IFERROR(INDEX('Sản phẩm'!$B$5:$B$304,MATCH(D850,'Sản phẩm'!$A$5:$A$304,0)),""))</f>
        <v/>
      </c>
      <c r="F850" s="12" t="n"/>
      <c r="G850" s="11" t="n"/>
      <c r="H850" s="11" t="n"/>
      <c r="I850" s="16">
        <f>IF(D850="","",IF(G850&lt;&gt;"",G850,IFERROR(INDEX('Sản phẩm'!$E$5:$E$304,MATCH(D850,'Sản phẩm'!$A$5:$A$304,0)),"")))</f>
        <v/>
      </c>
      <c r="J850" s="16">
        <f>IF(OR(D850="",F850=""),"",F850*I850-N(H850))</f>
        <v/>
      </c>
      <c r="K850" s="16">
        <f>IF(OR(D850="",F850=""),"",F850*IFERROR(INDEX('Sản phẩm'!$D$5:$D$304,MATCH(D850,'Sản phẩm'!$A$5:$A$304,0)),""))</f>
        <v/>
      </c>
      <c r="L850" s="16">
        <f>IF(J850="","",J850-K850)</f>
        <v/>
      </c>
      <c r="M850" s="14">
        <f>IF(A850="","",MONTH(A850))</f>
        <v/>
      </c>
      <c r="N850" s="14">
        <f>IF(A850="","",YEAR(A850))</f>
        <v/>
      </c>
    </row>
    <row r="851">
      <c r="A851" s="15" t="n"/>
      <c r="B851" s="10" t="n"/>
      <c r="C851" s="10" t="n"/>
      <c r="D851" s="10" t="n"/>
      <c r="E851" s="14">
        <f>IF(D851="","",IFERROR(INDEX('Sản phẩm'!$B$5:$B$304,MATCH(D851,'Sản phẩm'!$A$5:$A$304,0)),""))</f>
        <v/>
      </c>
      <c r="F851" s="12" t="n"/>
      <c r="G851" s="11" t="n"/>
      <c r="H851" s="11" t="n"/>
      <c r="I851" s="16">
        <f>IF(D851="","",IF(G851&lt;&gt;"",G851,IFERROR(INDEX('Sản phẩm'!$E$5:$E$304,MATCH(D851,'Sản phẩm'!$A$5:$A$304,0)),"")))</f>
        <v/>
      </c>
      <c r="J851" s="16">
        <f>IF(OR(D851="",F851=""),"",F851*I851-N(H851))</f>
        <v/>
      </c>
      <c r="K851" s="16">
        <f>IF(OR(D851="",F851=""),"",F851*IFERROR(INDEX('Sản phẩm'!$D$5:$D$304,MATCH(D851,'Sản phẩm'!$A$5:$A$304,0)),""))</f>
        <v/>
      </c>
      <c r="L851" s="16">
        <f>IF(J851="","",J851-K851)</f>
        <v/>
      </c>
      <c r="M851" s="14">
        <f>IF(A851="","",MONTH(A851))</f>
        <v/>
      </c>
      <c r="N851" s="14">
        <f>IF(A851="","",YEAR(A851))</f>
        <v/>
      </c>
    </row>
    <row r="852">
      <c r="A852" s="15" t="n"/>
      <c r="B852" s="10" t="n"/>
      <c r="C852" s="10" t="n"/>
      <c r="D852" s="10" t="n"/>
      <c r="E852" s="14">
        <f>IF(D852="","",IFERROR(INDEX('Sản phẩm'!$B$5:$B$304,MATCH(D852,'Sản phẩm'!$A$5:$A$304,0)),""))</f>
        <v/>
      </c>
      <c r="F852" s="12" t="n"/>
      <c r="G852" s="11" t="n"/>
      <c r="H852" s="11" t="n"/>
      <c r="I852" s="16">
        <f>IF(D852="","",IF(G852&lt;&gt;"",G852,IFERROR(INDEX('Sản phẩm'!$E$5:$E$304,MATCH(D852,'Sản phẩm'!$A$5:$A$304,0)),"")))</f>
        <v/>
      </c>
      <c r="J852" s="16">
        <f>IF(OR(D852="",F852=""),"",F852*I852-N(H852))</f>
        <v/>
      </c>
      <c r="K852" s="16">
        <f>IF(OR(D852="",F852=""),"",F852*IFERROR(INDEX('Sản phẩm'!$D$5:$D$304,MATCH(D852,'Sản phẩm'!$A$5:$A$304,0)),""))</f>
        <v/>
      </c>
      <c r="L852" s="16">
        <f>IF(J852="","",J852-K852)</f>
        <v/>
      </c>
      <c r="M852" s="14">
        <f>IF(A852="","",MONTH(A852))</f>
        <v/>
      </c>
      <c r="N852" s="14">
        <f>IF(A852="","",YEAR(A852))</f>
        <v/>
      </c>
    </row>
    <row r="853">
      <c r="A853" s="15" t="n"/>
      <c r="B853" s="10" t="n"/>
      <c r="C853" s="10" t="n"/>
      <c r="D853" s="10" t="n"/>
      <c r="E853" s="14">
        <f>IF(D853="","",IFERROR(INDEX('Sản phẩm'!$B$5:$B$304,MATCH(D853,'Sản phẩm'!$A$5:$A$304,0)),""))</f>
        <v/>
      </c>
      <c r="F853" s="12" t="n"/>
      <c r="G853" s="11" t="n"/>
      <c r="H853" s="11" t="n"/>
      <c r="I853" s="16">
        <f>IF(D853="","",IF(G853&lt;&gt;"",G853,IFERROR(INDEX('Sản phẩm'!$E$5:$E$304,MATCH(D853,'Sản phẩm'!$A$5:$A$304,0)),"")))</f>
        <v/>
      </c>
      <c r="J853" s="16">
        <f>IF(OR(D853="",F853=""),"",F853*I853-N(H853))</f>
        <v/>
      </c>
      <c r="K853" s="16">
        <f>IF(OR(D853="",F853=""),"",F853*IFERROR(INDEX('Sản phẩm'!$D$5:$D$304,MATCH(D853,'Sản phẩm'!$A$5:$A$304,0)),""))</f>
        <v/>
      </c>
      <c r="L853" s="16">
        <f>IF(J853="","",J853-K853)</f>
        <v/>
      </c>
      <c r="M853" s="14">
        <f>IF(A853="","",MONTH(A853))</f>
        <v/>
      </c>
      <c r="N853" s="14">
        <f>IF(A853="","",YEAR(A853))</f>
        <v/>
      </c>
    </row>
    <row r="854">
      <c r="A854" s="15" t="n"/>
      <c r="B854" s="10" t="n"/>
      <c r="C854" s="10" t="n"/>
      <c r="D854" s="10" t="n"/>
      <c r="E854" s="14">
        <f>IF(D854="","",IFERROR(INDEX('Sản phẩm'!$B$5:$B$304,MATCH(D854,'Sản phẩm'!$A$5:$A$304,0)),""))</f>
        <v/>
      </c>
      <c r="F854" s="12" t="n"/>
      <c r="G854" s="11" t="n"/>
      <c r="H854" s="11" t="n"/>
      <c r="I854" s="16">
        <f>IF(D854="","",IF(G854&lt;&gt;"",G854,IFERROR(INDEX('Sản phẩm'!$E$5:$E$304,MATCH(D854,'Sản phẩm'!$A$5:$A$304,0)),"")))</f>
        <v/>
      </c>
      <c r="J854" s="16">
        <f>IF(OR(D854="",F854=""),"",F854*I854-N(H854))</f>
        <v/>
      </c>
      <c r="K854" s="16">
        <f>IF(OR(D854="",F854=""),"",F854*IFERROR(INDEX('Sản phẩm'!$D$5:$D$304,MATCH(D854,'Sản phẩm'!$A$5:$A$304,0)),""))</f>
        <v/>
      </c>
      <c r="L854" s="16">
        <f>IF(J854="","",J854-K854)</f>
        <v/>
      </c>
      <c r="M854" s="14">
        <f>IF(A854="","",MONTH(A854))</f>
        <v/>
      </c>
      <c r="N854" s="14">
        <f>IF(A854="","",YEAR(A854))</f>
        <v/>
      </c>
    </row>
    <row r="855">
      <c r="A855" s="15" t="n"/>
      <c r="B855" s="10" t="n"/>
      <c r="C855" s="10" t="n"/>
      <c r="D855" s="10" t="n"/>
      <c r="E855" s="14">
        <f>IF(D855="","",IFERROR(INDEX('Sản phẩm'!$B$5:$B$304,MATCH(D855,'Sản phẩm'!$A$5:$A$304,0)),""))</f>
        <v/>
      </c>
      <c r="F855" s="12" t="n"/>
      <c r="G855" s="11" t="n"/>
      <c r="H855" s="11" t="n"/>
      <c r="I855" s="16">
        <f>IF(D855="","",IF(G855&lt;&gt;"",G855,IFERROR(INDEX('Sản phẩm'!$E$5:$E$304,MATCH(D855,'Sản phẩm'!$A$5:$A$304,0)),"")))</f>
        <v/>
      </c>
      <c r="J855" s="16">
        <f>IF(OR(D855="",F855=""),"",F855*I855-N(H855))</f>
        <v/>
      </c>
      <c r="K855" s="16">
        <f>IF(OR(D855="",F855=""),"",F855*IFERROR(INDEX('Sản phẩm'!$D$5:$D$304,MATCH(D855,'Sản phẩm'!$A$5:$A$304,0)),""))</f>
        <v/>
      </c>
      <c r="L855" s="16">
        <f>IF(J855="","",J855-K855)</f>
        <v/>
      </c>
      <c r="M855" s="14">
        <f>IF(A855="","",MONTH(A855))</f>
        <v/>
      </c>
      <c r="N855" s="14">
        <f>IF(A855="","",YEAR(A855))</f>
        <v/>
      </c>
    </row>
    <row r="856">
      <c r="A856" s="15" t="n"/>
      <c r="B856" s="10" t="n"/>
      <c r="C856" s="10" t="n"/>
      <c r="D856" s="10" t="n"/>
      <c r="E856" s="14">
        <f>IF(D856="","",IFERROR(INDEX('Sản phẩm'!$B$5:$B$304,MATCH(D856,'Sản phẩm'!$A$5:$A$304,0)),""))</f>
        <v/>
      </c>
      <c r="F856" s="12" t="n"/>
      <c r="G856" s="11" t="n"/>
      <c r="H856" s="11" t="n"/>
      <c r="I856" s="16">
        <f>IF(D856="","",IF(G856&lt;&gt;"",G856,IFERROR(INDEX('Sản phẩm'!$E$5:$E$304,MATCH(D856,'Sản phẩm'!$A$5:$A$304,0)),"")))</f>
        <v/>
      </c>
      <c r="J856" s="16">
        <f>IF(OR(D856="",F856=""),"",F856*I856-N(H856))</f>
        <v/>
      </c>
      <c r="K856" s="16">
        <f>IF(OR(D856="",F856=""),"",F856*IFERROR(INDEX('Sản phẩm'!$D$5:$D$304,MATCH(D856,'Sản phẩm'!$A$5:$A$304,0)),""))</f>
        <v/>
      </c>
      <c r="L856" s="16">
        <f>IF(J856="","",J856-K856)</f>
        <v/>
      </c>
      <c r="M856" s="14">
        <f>IF(A856="","",MONTH(A856))</f>
        <v/>
      </c>
      <c r="N856" s="14">
        <f>IF(A856="","",YEAR(A856))</f>
        <v/>
      </c>
    </row>
    <row r="857">
      <c r="A857" s="15" t="n"/>
      <c r="B857" s="10" t="n"/>
      <c r="C857" s="10" t="n"/>
      <c r="D857" s="10" t="n"/>
      <c r="E857" s="14">
        <f>IF(D857="","",IFERROR(INDEX('Sản phẩm'!$B$5:$B$304,MATCH(D857,'Sản phẩm'!$A$5:$A$304,0)),""))</f>
        <v/>
      </c>
      <c r="F857" s="12" t="n"/>
      <c r="G857" s="11" t="n"/>
      <c r="H857" s="11" t="n"/>
      <c r="I857" s="16">
        <f>IF(D857="","",IF(G857&lt;&gt;"",G857,IFERROR(INDEX('Sản phẩm'!$E$5:$E$304,MATCH(D857,'Sản phẩm'!$A$5:$A$304,0)),"")))</f>
        <v/>
      </c>
      <c r="J857" s="16">
        <f>IF(OR(D857="",F857=""),"",F857*I857-N(H857))</f>
        <v/>
      </c>
      <c r="K857" s="16">
        <f>IF(OR(D857="",F857=""),"",F857*IFERROR(INDEX('Sản phẩm'!$D$5:$D$304,MATCH(D857,'Sản phẩm'!$A$5:$A$304,0)),""))</f>
        <v/>
      </c>
      <c r="L857" s="16">
        <f>IF(J857="","",J857-K857)</f>
        <v/>
      </c>
      <c r="M857" s="14">
        <f>IF(A857="","",MONTH(A857))</f>
        <v/>
      </c>
      <c r="N857" s="14">
        <f>IF(A857="","",YEAR(A857))</f>
        <v/>
      </c>
    </row>
    <row r="858">
      <c r="A858" s="15" t="n"/>
      <c r="B858" s="10" t="n"/>
      <c r="C858" s="10" t="n"/>
      <c r="D858" s="10" t="n"/>
      <c r="E858" s="14">
        <f>IF(D858="","",IFERROR(INDEX('Sản phẩm'!$B$5:$B$304,MATCH(D858,'Sản phẩm'!$A$5:$A$304,0)),""))</f>
        <v/>
      </c>
      <c r="F858" s="12" t="n"/>
      <c r="G858" s="11" t="n"/>
      <c r="H858" s="11" t="n"/>
      <c r="I858" s="16">
        <f>IF(D858="","",IF(G858&lt;&gt;"",G858,IFERROR(INDEX('Sản phẩm'!$E$5:$E$304,MATCH(D858,'Sản phẩm'!$A$5:$A$304,0)),"")))</f>
        <v/>
      </c>
      <c r="J858" s="16">
        <f>IF(OR(D858="",F858=""),"",F858*I858-N(H858))</f>
        <v/>
      </c>
      <c r="K858" s="16">
        <f>IF(OR(D858="",F858=""),"",F858*IFERROR(INDEX('Sản phẩm'!$D$5:$D$304,MATCH(D858,'Sản phẩm'!$A$5:$A$304,0)),""))</f>
        <v/>
      </c>
      <c r="L858" s="16">
        <f>IF(J858="","",J858-K858)</f>
        <v/>
      </c>
      <c r="M858" s="14">
        <f>IF(A858="","",MONTH(A858))</f>
        <v/>
      </c>
      <c r="N858" s="14">
        <f>IF(A858="","",YEAR(A858))</f>
        <v/>
      </c>
    </row>
    <row r="859">
      <c r="A859" s="15" t="n"/>
      <c r="B859" s="10" t="n"/>
      <c r="C859" s="10" t="n"/>
      <c r="D859" s="10" t="n"/>
      <c r="E859" s="14">
        <f>IF(D859="","",IFERROR(INDEX('Sản phẩm'!$B$5:$B$304,MATCH(D859,'Sản phẩm'!$A$5:$A$304,0)),""))</f>
        <v/>
      </c>
      <c r="F859" s="12" t="n"/>
      <c r="G859" s="11" t="n"/>
      <c r="H859" s="11" t="n"/>
      <c r="I859" s="16">
        <f>IF(D859="","",IF(G859&lt;&gt;"",G859,IFERROR(INDEX('Sản phẩm'!$E$5:$E$304,MATCH(D859,'Sản phẩm'!$A$5:$A$304,0)),"")))</f>
        <v/>
      </c>
      <c r="J859" s="16">
        <f>IF(OR(D859="",F859=""),"",F859*I859-N(H859))</f>
        <v/>
      </c>
      <c r="K859" s="16">
        <f>IF(OR(D859="",F859=""),"",F859*IFERROR(INDEX('Sản phẩm'!$D$5:$D$304,MATCH(D859,'Sản phẩm'!$A$5:$A$304,0)),""))</f>
        <v/>
      </c>
      <c r="L859" s="16">
        <f>IF(J859="","",J859-K859)</f>
        <v/>
      </c>
      <c r="M859" s="14">
        <f>IF(A859="","",MONTH(A859))</f>
        <v/>
      </c>
      <c r="N859" s="14">
        <f>IF(A859="","",YEAR(A859))</f>
        <v/>
      </c>
    </row>
    <row r="860">
      <c r="A860" s="15" t="n"/>
      <c r="B860" s="10" t="n"/>
      <c r="C860" s="10" t="n"/>
      <c r="D860" s="10" t="n"/>
      <c r="E860" s="14">
        <f>IF(D860="","",IFERROR(INDEX('Sản phẩm'!$B$5:$B$304,MATCH(D860,'Sản phẩm'!$A$5:$A$304,0)),""))</f>
        <v/>
      </c>
      <c r="F860" s="12" t="n"/>
      <c r="G860" s="11" t="n"/>
      <c r="H860" s="11" t="n"/>
      <c r="I860" s="16">
        <f>IF(D860="","",IF(G860&lt;&gt;"",G860,IFERROR(INDEX('Sản phẩm'!$E$5:$E$304,MATCH(D860,'Sản phẩm'!$A$5:$A$304,0)),"")))</f>
        <v/>
      </c>
      <c r="J860" s="16">
        <f>IF(OR(D860="",F860=""),"",F860*I860-N(H860))</f>
        <v/>
      </c>
      <c r="K860" s="16">
        <f>IF(OR(D860="",F860=""),"",F860*IFERROR(INDEX('Sản phẩm'!$D$5:$D$304,MATCH(D860,'Sản phẩm'!$A$5:$A$304,0)),""))</f>
        <v/>
      </c>
      <c r="L860" s="16">
        <f>IF(J860="","",J860-K860)</f>
        <v/>
      </c>
      <c r="M860" s="14">
        <f>IF(A860="","",MONTH(A860))</f>
        <v/>
      </c>
      <c r="N860" s="14">
        <f>IF(A860="","",YEAR(A860))</f>
        <v/>
      </c>
    </row>
    <row r="861">
      <c r="A861" s="15" t="n"/>
      <c r="B861" s="10" t="n"/>
      <c r="C861" s="10" t="n"/>
      <c r="D861" s="10" t="n"/>
      <c r="E861" s="14">
        <f>IF(D861="","",IFERROR(INDEX('Sản phẩm'!$B$5:$B$304,MATCH(D861,'Sản phẩm'!$A$5:$A$304,0)),""))</f>
        <v/>
      </c>
      <c r="F861" s="12" t="n"/>
      <c r="G861" s="11" t="n"/>
      <c r="H861" s="11" t="n"/>
      <c r="I861" s="16">
        <f>IF(D861="","",IF(G861&lt;&gt;"",G861,IFERROR(INDEX('Sản phẩm'!$E$5:$E$304,MATCH(D861,'Sản phẩm'!$A$5:$A$304,0)),"")))</f>
        <v/>
      </c>
      <c r="J861" s="16">
        <f>IF(OR(D861="",F861=""),"",F861*I861-N(H861))</f>
        <v/>
      </c>
      <c r="K861" s="16">
        <f>IF(OR(D861="",F861=""),"",F861*IFERROR(INDEX('Sản phẩm'!$D$5:$D$304,MATCH(D861,'Sản phẩm'!$A$5:$A$304,0)),""))</f>
        <v/>
      </c>
      <c r="L861" s="16">
        <f>IF(J861="","",J861-K861)</f>
        <v/>
      </c>
      <c r="M861" s="14">
        <f>IF(A861="","",MONTH(A861))</f>
        <v/>
      </c>
      <c r="N861" s="14">
        <f>IF(A861="","",YEAR(A861))</f>
        <v/>
      </c>
    </row>
    <row r="862">
      <c r="A862" s="15" t="n"/>
      <c r="B862" s="10" t="n"/>
      <c r="C862" s="10" t="n"/>
      <c r="D862" s="10" t="n"/>
      <c r="E862" s="14">
        <f>IF(D862="","",IFERROR(INDEX('Sản phẩm'!$B$5:$B$304,MATCH(D862,'Sản phẩm'!$A$5:$A$304,0)),""))</f>
        <v/>
      </c>
      <c r="F862" s="12" t="n"/>
      <c r="G862" s="11" t="n"/>
      <c r="H862" s="11" t="n"/>
      <c r="I862" s="16">
        <f>IF(D862="","",IF(G862&lt;&gt;"",G862,IFERROR(INDEX('Sản phẩm'!$E$5:$E$304,MATCH(D862,'Sản phẩm'!$A$5:$A$304,0)),"")))</f>
        <v/>
      </c>
      <c r="J862" s="16">
        <f>IF(OR(D862="",F862=""),"",F862*I862-N(H862))</f>
        <v/>
      </c>
      <c r="K862" s="16">
        <f>IF(OR(D862="",F862=""),"",F862*IFERROR(INDEX('Sản phẩm'!$D$5:$D$304,MATCH(D862,'Sản phẩm'!$A$5:$A$304,0)),""))</f>
        <v/>
      </c>
      <c r="L862" s="16">
        <f>IF(J862="","",J862-K862)</f>
        <v/>
      </c>
      <c r="M862" s="14">
        <f>IF(A862="","",MONTH(A862))</f>
        <v/>
      </c>
      <c r="N862" s="14">
        <f>IF(A862="","",YEAR(A862))</f>
        <v/>
      </c>
    </row>
    <row r="863">
      <c r="A863" s="15" t="n"/>
      <c r="B863" s="10" t="n"/>
      <c r="C863" s="10" t="n"/>
      <c r="D863" s="10" t="n"/>
      <c r="E863" s="14">
        <f>IF(D863="","",IFERROR(INDEX('Sản phẩm'!$B$5:$B$304,MATCH(D863,'Sản phẩm'!$A$5:$A$304,0)),""))</f>
        <v/>
      </c>
      <c r="F863" s="12" t="n"/>
      <c r="G863" s="11" t="n"/>
      <c r="H863" s="11" t="n"/>
      <c r="I863" s="16">
        <f>IF(D863="","",IF(G863&lt;&gt;"",G863,IFERROR(INDEX('Sản phẩm'!$E$5:$E$304,MATCH(D863,'Sản phẩm'!$A$5:$A$304,0)),"")))</f>
        <v/>
      </c>
      <c r="J863" s="16">
        <f>IF(OR(D863="",F863=""),"",F863*I863-N(H863))</f>
        <v/>
      </c>
      <c r="K863" s="16">
        <f>IF(OR(D863="",F863=""),"",F863*IFERROR(INDEX('Sản phẩm'!$D$5:$D$304,MATCH(D863,'Sản phẩm'!$A$5:$A$304,0)),""))</f>
        <v/>
      </c>
      <c r="L863" s="16">
        <f>IF(J863="","",J863-K863)</f>
        <v/>
      </c>
      <c r="M863" s="14">
        <f>IF(A863="","",MONTH(A863))</f>
        <v/>
      </c>
      <c r="N863" s="14">
        <f>IF(A863="","",YEAR(A863))</f>
        <v/>
      </c>
    </row>
    <row r="864">
      <c r="A864" s="15" t="n"/>
      <c r="B864" s="10" t="n"/>
      <c r="C864" s="10" t="n"/>
      <c r="D864" s="10" t="n"/>
      <c r="E864" s="14">
        <f>IF(D864="","",IFERROR(INDEX('Sản phẩm'!$B$5:$B$304,MATCH(D864,'Sản phẩm'!$A$5:$A$304,0)),""))</f>
        <v/>
      </c>
      <c r="F864" s="12" t="n"/>
      <c r="G864" s="11" t="n"/>
      <c r="H864" s="11" t="n"/>
      <c r="I864" s="16">
        <f>IF(D864="","",IF(G864&lt;&gt;"",G864,IFERROR(INDEX('Sản phẩm'!$E$5:$E$304,MATCH(D864,'Sản phẩm'!$A$5:$A$304,0)),"")))</f>
        <v/>
      </c>
      <c r="J864" s="16">
        <f>IF(OR(D864="",F864=""),"",F864*I864-N(H864))</f>
        <v/>
      </c>
      <c r="K864" s="16">
        <f>IF(OR(D864="",F864=""),"",F864*IFERROR(INDEX('Sản phẩm'!$D$5:$D$304,MATCH(D864,'Sản phẩm'!$A$5:$A$304,0)),""))</f>
        <v/>
      </c>
      <c r="L864" s="16">
        <f>IF(J864="","",J864-K864)</f>
        <v/>
      </c>
      <c r="M864" s="14">
        <f>IF(A864="","",MONTH(A864))</f>
        <v/>
      </c>
      <c r="N864" s="14">
        <f>IF(A864="","",YEAR(A864))</f>
        <v/>
      </c>
    </row>
    <row r="865">
      <c r="A865" s="15" t="n"/>
      <c r="B865" s="10" t="n"/>
      <c r="C865" s="10" t="n"/>
      <c r="D865" s="10" t="n"/>
      <c r="E865" s="14">
        <f>IF(D865="","",IFERROR(INDEX('Sản phẩm'!$B$5:$B$304,MATCH(D865,'Sản phẩm'!$A$5:$A$304,0)),""))</f>
        <v/>
      </c>
      <c r="F865" s="12" t="n"/>
      <c r="G865" s="11" t="n"/>
      <c r="H865" s="11" t="n"/>
      <c r="I865" s="16">
        <f>IF(D865="","",IF(G865&lt;&gt;"",G865,IFERROR(INDEX('Sản phẩm'!$E$5:$E$304,MATCH(D865,'Sản phẩm'!$A$5:$A$304,0)),"")))</f>
        <v/>
      </c>
      <c r="J865" s="16">
        <f>IF(OR(D865="",F865=""),"",F865*I865-N(H865))</f>
        <v/>
      </c>
      <c r="K865" s="16">
        <f>IF(OR(D865="",F865=""),"",F865*IFERROR(INDEX('Sản phẩm'!$D$5:$D$304,MATCH(D865,'Sản phẩm'!$A$5:$A$304,0)),""))</f>
        <v/>
      </c>
      <c r="L865" s="16">
        <f>IF(J865="","",J865-K865)</f>
        <v/>
      </c>
      <c r="M865" s="14">
        <f>IF(A865="","",MONTH(A865))</f>
        <v/>
      </c>
      <c r="N865" s="14">
        <f>IF(A865="","",YEAR(A865))</f>
        <v/>
      </c>
    </row>
    <row r="866">
      <c r="A866" s="15" t="n"/>
      <c r="B866" s="10" t="n"/>
      <c r="C866" s="10" t="n"/>
      <c r="D866" s="10" t="n"/>
      <c r="E866" s="14">
        <f>IF(D866="","",IFERROR(INDEX('Sản phẩm'!$B$5:$B$304,MATCH(D866,'Sản phẩm'!$A$5:$A$304,0)),""))</f>
        <v/>
      </c>
      <c r="F866" s="12" t="n"/>
      <c r="G866" s="11" t="n"/>
      <c r="H866" s="11" t="n"/>
      <c r="I866" s="16">
        <f>IF(D866="","",IF(G866&lt;&gt;"",G866,IFERROR(INDEX('Sản phẩm'!$E$5:$E$304,MATCH(D866,'Sản phẩm'!$A$5:$A$304,0)),"")))</f>
        <v/>
      </c>
      <c r="J866" s="16">
        <f>IF(OR(D866="",F866=""),"",F866*I866-N(H866))</f>
        <v/>
      </c>
      <c r="K866" s="16">
        <f>IF(OR(D866="",F866=""),"",F866*IFERROR(INDEX('Sản phẩm'!$D$5:$D$304,MATCH(D866,'Sản phẩm'!$A$5:$A$304,0)),""))</f>
        <v/>
      </c>
      <c r="L866" s="16">
        <f>IF(J866="","",J866-K866)</f>
        <v/>
      </c>
      <c r="M866" s="14">
        <f>IF(A866="","",MONTH(A866))</f>
        <v/>
      </c>
      <c r="N866" s="14">
        <f>IF(A866="","",YEAR(A866))</f>
        <v/>
      </c>
    </row>
    <row r="867">
      <c r="A867" s="15" t="n"/>
      <c r="B867" s="10" t="n"/>
      <c r="C867" s="10" t="n"/>
      <c r="D867" s="10" t="n"/>
      <c r="E867" s="14">
        <f>IF(D867="","",IFERROR(INDEX('Sản phẩm'!$B$5:$B$304,MATCH(D867,'Sản phẩm'!$A$5:$A$304,0)),""))</f>
        <v/>
      </c>
      <c r="F867" s="12" t="n"/>
      <c r="G867" s="11" t="n"/>
      <c r="H867" s="11" t="n"/>
      <c r="I867" s="16">
        <f>IF(D867="","",IF(G867&lt;&gt;"",G867,IFERROR(INDEX('Sản phẩm'!$E$5:$E$304,MATCH(D867,'Sản phẩm'!$A$5:$A$304,0)),"")))</f>
        <v/>
      </c>
      <c r="J867" s="16">
        <f>IF(OR(D867="",F867=""),"",F867*I867-N(H867))</f>
        <v/>
      </c>
      <c r="K867" s="16">
        <f>IF(OR(D867="",F867=""),"",F867*IFERROR(INDEX('Sản phẩm'!$D$5:$D$304,MATCH(D867,'Sản phẩm'!$A$5:$A$304,0)),""))</f>
        <v/>
      </c>
      <c r="L867" s="16">
        <f>IF(J867="","",J867-K867)</f>
        <v/>
      </c>
      <c r="M867" s="14">
        <f>IF(A867="","",MONTH(A867))</f>
        <v/>
      </c>
      <c r="N867" s="14">
        <f>IF(A867="","",YEAR(A867))</f>
        <v/>
      </c>
    </row>
    <row r="868">
      <c r="A868" s="15" t="n"/>
      <c r="B868" s="10" t="n"/>
      <c r="C868" s="10" t="n"/>
      <c r="D868" s="10" t="n"/>
      <c r="E868" s="14">
        <f>IF(D868="","",IFERROR(INDEX('Sản phẩm'!$B$5:$B$304,MATCH(D868,'Sản phẩm'!$A$5:$A$304,0)),""))</f>
        <v/>
      </c>
      <c r="F868" s="12" t="n"/>
      <c r="G868" s="11" t="n"/>
      <c r="H868" s="11" t="n"/>
      <c r="I868" s="16">
        <f>IF(D868="","",IF(G868&lt;&gt;"",G868,IFERROR(INDEX('Sản phẩm'!$E$5:$E$304,MATCH(D868,'Sản phẩm'!$A$5:$A$304,0)),"")))</f>
        <v/>
      </c>
      <c r="J868" s="16">
        <f>IF(OR(D868="",F868=""),"",F868*I868-N(H868))</f>
        <v/>
      </c>
      <c r="K868" s="16">
        <f>IF(OR(D868="",F868=""),"",F868*IFERROR(INDEX('Sản phẩm'!$D$5:$D$304,MATCH(D868,'Sản phẩm'!$A$5:$A$304,0)),""))</f>
        <v/>
      </c>
      <c r="L868" s="16">
        <f>IF(J868="","",J868-K868)</f>
        <v/>
      </c>
      <c r="M868" s="14">
        <f>IF(A868="","",MONTH(A868))</f>
        <v/>
      </c>
      <c r="N868" s="14">
        <f>IF(A868="","",YEAR(A868))</f>
        <v/>
      </c>
    </row>
    <row r="869">
      <c r="A869" s="15" t="n"/>
      <c r="B869" s="10" t="n"/>
      <c r="C869" s="10" t="n"/>
      <c r="D869" s="10" t="n"/>
      <c r="E869" s="14">
        <f>IF(D869="","",IFERROR(INDEX('Sản phẩm'!$B$5:$B$304,MATCH(D869,'Sản phẩm'!$A$5:$A$304,0)),""))</f>
        <v/>
      </c>
      <c r="F869" s="12" t="n"/>
      <c r="G869" s="11" t="n"/>
      <c r="H869" s="11" t="n"/>
      <c r="I869" s="16">
        <f>IF(D869="","",IF(G869&lt;&gt;"",G869,IFERROR(INDEX('Sản phẩm'!$E$5:$E$304,MATCH(D869,'Sản phẩm'!$A$5:$A$304,0)),"")))</f>
        <v/>
      </c>
      <c r="J869" s="16">
        <f>IF(OR(D869="",F869=""),"",F869*I869-N(H869))</f>
        <v/>
      </c>
      <c r="K869" s="16">
        <f>IF(OR(D869="",F869=""),"",F869*IFERROR(INDEX('Sản phẩm'!$D$5:$D$304,MATCH(D869,'Sản phẩm'!$A$5:$A$304,0)),""))</f>
        <v/>
      </c>
      <c r="L869" s="16">
        <f>IF(J869="","",J869-K869)</f>
        <v/>
      </c>
      <c r="M869" s="14">
        <f>IF(A869="","",MONTH(A869))</f>
        <v/>
      </c>
      <c r="N869" s="14">
        <f>IF(A869="","",YEAR(A869))</f>
        <v/>
      </c>
    </row>
    <row r="870">
      <c r="A870" s="15" t="n"/>
      <c r="B870" s="10" t="n"/>
      <c r="C870" s="10" t="n"/>
      <c r="D870" s="10" t="n"/>
      <c r="E870" s="14">
        <f>IF(D870="","",IFERROR(INDEX('Sản phẩm'!$B$5:$B$304,MATCH(D870,'Sản phẩm'!$A$5:$A$304,0)),""))</f>
        <v/>
      </c>
      <c r="F870" s="12" t="n"/>
      <c r="G870" s="11" t="n"/>
      <c r="H870" s="11" t="n"/>
      <c r="I870" s="16">
        <f>IF(D870="","",IF(G870&lt;&gt;"",G870,IFERROR(INDEX('Sản phẩm'!$E$5:$E$304,MATCH(D870,'Sản phẩm'!$A$5:$A$304,0)),"")))</f>
        <v/>
      </c>
      <c r="J870" s="16">
        <f>IF(OR(D870="",F870=""),"",F870*I870-N(H870))</f>
        <v/>
      </c>
      <c r="K870" s="16">
        <f>IF(OR(D870="",F870=""),"",F870*IFERROR(INDEX('Sản phẩm'!$D$5:$D$304,MATCH(D870,'Sản phẩm'!$A$5:$A$304,0)),""))</f>
        <v/>
      </c>
      <c r="L870" s="16">
        <f>IF(J870="","",J870-K870)</f>
        <v/>
      </c>
      <c r="M870" s="14">
        <f>IF(A870="","",MONTH(A870))</f>
        <v/>
      </c>
      <c r="N870" s="14">
        <f>IF(A870="","",YEAR(A870))</f>
        <v/>
      </c>
    </row>
    <row r="871">
      <c r="A871" s="15" t="n"/>
      <c r="B871" s="10" t="n"/>
      <c r="C871" s="10" t="n"/>
      <c r="D871" s="10" t="n"/>
      <c r="E871" s="14">
        <f>IF(D871="","",IFERROR(INDEX('Sản phẩm'!$B$5:$B$304,MATCH(D871,'Sản phẩm'!$A$5:$A$304,0)),""))</f>
        <v/>
      </c>
      <c r="F871" s="12" t="n"/>
      <c r="G871" s="11" t="n"/>
      <c r="H871" s="11" t="n"/>
      <c r="I871" s="16">
        <f>IF(D871="","",IF(G871&lt;&gt;"",G871,IFERROR(INDEX('Sản phẩm'!$E$5:$E$304,MATCH(D871,'Sản phẩm'!$A$5:$A$304,0)),"")))</f>
        <v/>
      </c>
      <c r="J871" s="16">
        <f>IF(OR(D871="",F871=""),"",F871*I871-N(H871))</f>
        <v/>
      </c>
      <c r="K871" s="16">
        <f>IF(OR(D871="",F871=""),"",F871*IFERROR(INDEX('Sản phẩm'!$D$5:$D$304,MATCH(D871,'Sản phẩm'!$A$5:$A$304,0)),""))</f>
        <v/>
      </c>
      <c r="L871" s="16">
        <f>IF(J871="","",J871-K871)</f>
        <v/>
      </c>
      <c r="M871" s="14">
        <f>IF(A871="","",MONTH(A871))</f>
        <v/>
      </c>
      <c r="N871" s="14">
        <f>IF(A871="","",YEAR(A871))</f>
        <v/>
      </c>
    </row>
    <row r="872">
      <c r="A872" s="15" t="n"/>
      <c r="B872" s="10" t="n"/>
      <c r="C872" s="10" t="n"/>
      <c r="D872" s="10" t="n"/>
      <c r="E872" s="14">
        <f>IF(D872="","",IFERROR(INDEX('Sản phẩm'!$B$5:$B$304,MATCH(D872,'Sản phẩm'!$A$5:$A$304,0)),""))</f>
        <v/>
      </c>
      <c r="F872" s="12" t="n"/>
      <c r="G872" s="11" t="n"/>
      <c r="H872" s="11" t="n"/>
      <c r="I872" s="16">
        <f>IF(D872="","",IF(G872&lt;&gt;"",G872,IFERROR(INDEX('Sản phẩm'!$E$5:$E$304,MATCH(D872,'Sản phẩm'!$A$5:$A$304,0)),"")))</f>
        <v/>
      </c>
      <c r="J872" s="16">
        <f>IF(OR(D872="",F872=""),"",F872*I872-N(H872))</f>
        <v/>
      </c>
      <c r="K872" s="16">
        <f>IF(OR(D872="",F872=""),"",F872*IFERROR(INDEX('Sản phẩm'!$D$5:$D$304,MATCH(D872,'Sản phẩm'!$A$5:$A$304,0)),""))</f>
        <v/>
      </c>
      <c r="L872" s="16">
        <f>IF(J872="","",J872-K872)</f>
        <v/>
      </c>
      <c r="M872" s="14">
        <f>IF(A872="","",MONTH(A872))</f>
        <v/>
      </c>
      <c r="N872" s="14">
        <f>IF(A872="","",YEAR(A872))</f>
        <v/>
      </c>
    </row>
    <row r="873">
      <c r="A873" s="15" t="n"/>
      <c r="B873" s="10" t="n"/>
      <c r="C873" s="10" t="n"/>
      <c r="D873" s="10" t="n"/>
      <c r="E873" s="14">
        <f>IF(D873="","",IFERROR(INDEX('Sản phẩm'!$B$5:$B$304,MATCH(D873,'Sản phẩm'!$A$5:$A$304,0)),""))</f>
        <v/>
      </c>
      <c r="F873" s="12" t="n"/>
      <c r="G873" s="11" t="n"/>
      <c r="H873" s="11" t="n"/>
      <c r="I873" s="16">
        <f>IF(D873="","",IF(G873&lt;&gt;"",G873,IFERROR(INDEX('Sản phẩm'!$E$5:$E$304,MATCH(D873,'Sản phẩm'!$A$5:$A$304,0)),"")))</f>
        <v/>
      </c>
      <c r="J873" s="16">
        <f>IF(OR(D873="",F873=""),"",F873*I873-N(H873))</f>
        <v/>
      </c>
      <c r="K873" s="16">
        <f>IF(OR(D873="",F873=""),"",F873*IFERROR(INDEX('Sản phẩm'!$D$5:$D$304,MATCH(D873,'Sản phẩm'!$A$5:$A$304,0)),""))</f>
        <v/>
      </c>
      <c r="L873" s="16">
        <f>IF(J873="","",J873-K873)</f>
        <v/>
      </c>
      <c r="M873" s="14">
        <f>IF(A873="","",MONTH(A873))</f>
        <v/>
      </c>
      <c r="N873" s="14">
        <f>IF(A873="","",YEAR(A873))</f>
        <v/>
      </c>
    </row>
    <row r="874">
      <c r="A874" s="15" t="n"/>
      <c r="B874" s="10" t="n"/>
      <c r="C874" s="10" t="n"/>
      <c r="D874" s="10" t="n"/>
      <c r="E874" s="14">
        <f>IF(D874="","",IFERROR(INDEX('Sản phẩm'!$B$5:$B$304,MATCH(D874,'Sản phẩm'!$A$5:$A$304,0)),""))</f>
        <v/>
      </c>
      <c r="F874" s="12" t="n"/>
      <c r="G874" s="11" t="n"/>
      <c r="H874" s="11" t="n"/>
      <c r="I874" s="16">
        <f>IF(D874="","",IF(G874&lt;&gt;"",G874,IFERROR(INDEX('Sản phẩm'!$E$5:$E$304,MATCH(D874,'Sản phẩm'!$A$5:$A$304,0)),"")))</f>
        <v/>
      </c>
      <c r="J874" s="16">
        <f>IF(OR(D874="",F874=""),"",F874*I874-N(H874))</f>
        <v/>
      </c>
      <c r="K874" s="16">
        <f>IF(OR(D874="",F874=""),"",F874*IFERROR(INDEX('Sản phẩm'!$D$5:$D$304,MATCH(D874,'Sản phẩm'!$A$5:$A$304,0)),""))</f>
        <v/>
      </c>
      <c r="L874" s="16">
        <f>IF(J874="","",J874-K874)</f>
        <v/>
      </c>
      <c r="M874" s="14">
        <f>IF(A874="","",MONTH(A874))</f>
        <v/>
      </c>
      <c r="N874" s="14">
        <f>IF(A874="","",YEAR(A874))</f>
        <v/>
      </c>
    </row>
    <row r="875">
      <c r="A875" s="15" t="n"/>
      <c r="B875" s="10" t="n"/>
      <c r="C875" s="10" t="n"/>
      <c r="D875" s="10" t="n"/>
      <c r="E875" s="14">
        <f>IF(D875="","",IFERROR(INDEX('Sản phẩm'!$B$5:$B$304,MATCH(D875,'Sản phẩm'!$A$5:$A$304,0)),""))</f>
        <v/>
      </c>
      <c r="F875" s="12" t="n"/>
      <c r="G875" s="11" t="n"/>
      <c r="H875" s="11" t="n"/>
      <c r="I875" s="16">
        <f>IF(D875="","",IF(G875&lt;&gt;"",G875,IFERROR(INDEX('Sản phẩm'!$E$5:$E$304,MATCH(D875,'Sản phẩm'!$A$5:$A$304,0)),"")))</f>
        <v/>
      </c>
      <c r="J875" s="16">
        <f>IF(OR(D875="",F875=""),"",F875*I875-N(H875))</f>
        <v/>
      </c>
      <c r="K875" s="16">
        <f>IF(OR(D875="",F875=""),"",F875*IFERROR(INDEX('Sản phẩm'!$D$5:$D$304,MATCH(D875,'Sản phẩm'!$A$5:$A$304,0)),""))</f>
        <v/>
      </c>
      <c r="L875" s="16">
        <f>IF(J875="","",J875-K875)</f>
        <v/>
      </c>
      <c r="M875" s="14">
        <f>IF(A875="","",MONTH(A875))</f>
        <v/>
      </c>
      <c r="N875" s="14">
        <f>IF(A875="","",YEAR(A875))</f>
        <v/>
      </c>
    </row>
    <row r="876">
      <c r="A876" s="15" t="n"/>
      <c r="B876" s="10" t="n"/>
      <c r="C876" s="10" t="n"/>
      <c r="D876" s="10" t="n"/>
      <c r="E876" s="14">
        <f>IF(D876="","",IFERROR(INDEX('Sản phẩm'!$B$5:$B$304,MATCH(D876,'Sản phẩm'!$A$5:$A$304,0)),""))</f>
        <v/>
      </c>
      <c r="F876" s="12" t="n"/>
      <c r="G876" s="11" t="n"/>
      <c r="H876" s="11" t="n"/>
      <c r="I876" s="16">
        <f>IF(D876="","",IF(G876&lt;&gt;"",G876,IFERROR(INDEX('Sản phẩm'!$E$5:$E$304,MATCH(D876,'Sản phẩm'!$A$5:$A$304,0)),"")))</f>
        <v/>
      </c>
      <c r="J876" s="16">
        <f>IF(OR(D876="",F876=""),"",F876*I876-N(H876))</f>
        <v/>
      </c>
      <c r="K876" s="16">
        <f>IF(OR(D876="",F876=""),"",F876*IFERROR(INDEX('Sản phẩm'!$D$5:$D$304,MATCH(D876,'Sản phẩm'!$A$5:$A$304,0)),""))</f>
        <v/>
      </c>
      <c r="L876" s="16">
        <f>IF(J876="","",J876-K876)</f>
        <v/>
      </c>
      <c r="M876" s="14">
        <f>IF(A876="","",MONTH(A876))</f>
        <v/>
      </c>
      <c r="N876" s="14">
        <f>IF(A876="","",YEAR(A876))</f>
        <v/>
      </c>
    </row>
    <row r="877">
      <c r="A877" s="15" t="n"/>
      <c r="B877" s="10" t="n"/>
      <c r="C877" s="10" t="n"/>
      <c r="D877" s="10" t="n"/>
      <c r="E877" s="14">
        <f>IF(D877="","",IFERROR(INDEX('Sản phẩm'!$B$5:$B$304,MATCH(D877,'Sản phẩm'!$A$5:$A$304,0)),""))</f>
        <v/>
      </c>
      <c r="F877" s="12" t="n"/>
      <c r="G877" s="11" t="n"/>
      <c r="H877" s="11" t="n"/>
      <c r="I877" s="16">
        <f>IF(D877="","",IF(G877&lt;&gt;"",G877,IFERROR(INDEX('Sản phẩm'!$E$5:$E$304,MATCH(D877,'Sản phẩm'!$A$5:$A$304,0)),"")))</f>
        <v/>
      </c>
      <c r="J877" s="16">
        <f>IF(OR(D877="",F877=""),"",F877*I877-N(H877))</f>
        <v/>
      </c>
      <c r="K877" s="16">
        <f>IF(OR(D877="",F877=""),"",F877*IFERROR(INDEX('Sản phẩm'!$D$5:$D$304,MATCH(D877,'Sản phẩm'!$A$5:$A$304,0)),""))</f>
        <v/>
      </c>
      <c r="L877" s="16">
        <f>IF(J877="","",J877-K877)</f>
        <v/>
      </c>
      <c r="M877" s="14">
        <f>IF(A877="","",MONTH(A877))</f>
        <v/>
      </c>
      <c r="N877" s="14">
        <f>IF(A877="","",YEAR(A877))</f>
        <v/>
      </c>
    </row>
    <row r="878">
      <c r="A878" s="15" t="n"/>
      <c r="B878" s="10" t="n"/>
      <c r="C878" s="10" t="n"/>
      <c r="D878" s="10" t="n"/>
      <c r="E878" s="14">
        <f>IF(D878="","",IFERROR(INDEX('Sản phẩm'!$B$5:$B$304,MATCH(D878,'Sản phẩm'!$A$5:$A$304,0)),""))</f>
        <v/>
      </c>
      <c r="F878" s="12" t="n"/>
      <c r="G878" s="11" t="n"/>
      <c r="H878" s="11" t="n"/>
      <c r="I878" s="16">
        <f>IF(D878="","",IF(G878&lt;&gt;"",G878,IFERROR(INDEX('Sản phẩm'!$E$5:$E$304,MATCH(D878,'Sản phẩm'!$A$5:$A$304,0)),"")))</f>
        <v/>
      </c>
      <c r="J878" s="16">
        <f>IF(OR(D878="",F878=""),"",F878*I878-N(H878))</f>
        <v/>
      </c>
      <c r="K878" s="16">
        <f>IF(OR(D878="",F878=""),"",F878*IFERROR(INDEX('Sản phẩm'!$D$5:$D$304,MATCH(D878,'Sản phẩm'!$A$5:$A$304,0)),""))</f>
        <v/>
      </c>
      <c r="L878" s="16">
        <f>IF(J878="","",J878-K878)</f>
        <v/>
      </c>
      <c r="M878" s="14">
        <f>IF(A878="","",MONTH(A878))</f>
        <v/>
      </c>
      <c r="N878" s="14">
        <f>IF(A878="","",YEAR(A878))</f>
        <v/>
      </c>
    </row>
    <row r="879">
      <c r="A879" s="15" t="n"/>
      <c r="B879" s="10" t="n"/>
      <c r="C879" s="10" t="n"/>
      <c r="D879" s="10" t="n"/>
      <c r="E879" s="14">
        <f>IF(D879="","",IFERROR(INDEX('Sản phẩm'!$B$5:$B$304,MATCH(D879,'Sản phẩm'!$A$5:$A$304,0)),""))</f>
        <v/>
      </c>
      <c r="F879" s="12" t="n"/>
      <c r="G879" s="11" t="n"/>
      <c r="H879" s="11" t="n"/>
      <c r="I879" s="16">
        <f>IF(D879="","",IF(G879&lt;&gt;"",G879,IFERROR(INDEX('Sản phẩm'!$E$5:$E$304,MATCH(D879,'Sản phẩm'!$A$5:$A$304,0)),"")))</f>
        <v/>
      </c>
      <c r="J879" s="16">
        <f>IF(OR(D879="",F879=""),"",F879*I879-N(H879))</f>
        <v/>
      </c>
      <c r="K879" s="16">
        <f>IF(OR(D879="",F879=""),"",F879*IFERROR(INDEX('Sản phẩm'!$D$5:$D$304,MATCH(D879,'Sản phẩm'!$A$5:$A$304,0)),""))</f>
        <v/>
      </c>
      <c r="L879" s="16">
        <f>IF(J879="","",J879-K879)</f>
        <v/>
      </c>
      <c r="M879" s="14">
        <f>IF(A879="","",MONTH(A879))</f>
        <v/>
      </c>
      <c r="N879" s="14">
        <f>IF(A879="","",YEAR(A879))</f>
        <v/>
      </c>
    </row>
    <row r="880">
      <c r="A880" s="15" t="n"/>
      <c r="B880" s="10" t="n"/>
      <c r="C880" s="10" t="n"/>
      <c r="D880" s="10" t="n"/>
      <c r="E880" s="14">
        <f>IF(D880="","",IFERROR(INDEX('Sản phẩm'!$B$5:$B$304,MATCH(D880,'Sản phẩm'!$A$5:$A$304,0)),""))</f>
        <v/>
      </c>
      <c r="F880" s="12" t="n"/>
      <c r="G880" s="11" t="n"/>
      <c r="H880" s="11" t="n"/>
      <c r="I880" s="16">
        <f>IF(D880="","",IF(G880&lt;&gt;"",G880,IFERROR(INDEX('Sản phẩm'!$E$5:$E$304,MATCH(D880,'Sản phẩm'!$A$5:$A$304,0)),"")))</f>
        <v/>
      </c>
      <c r="J880" s="16">
        <f>IF(OR(D880="",F880=""),"",F880*I880-N(H880))</f>
        <v/>
      </c>
      <c r="K880" s="16">
        <f>IF(OR(D880="",F880=""),"",F880*IFERROR(INDEX('Sản phẩm'!$D$5:$D$304,MATCH(D880,'Sản phẩm'!$A$5:$A$304,0)),""))</f>
        <v/>
      </c>
      <c r="L880" s="16">
        <f>IF(J880="","",J880-K880)</f>
        <v/>
      </c>
      <c r="M880" s="14">
        <f>IF(A880="","",MONTH(A880))</f>
        <v/>
      </c>
      <c r="N880" s="14">
        <f>IF(A880="","",YEAR(A880))</f>
        <v/>
      </c>
    </row>
    <row r="881">
      <c r="A881" s="15" t="n"/>
      <c r="B881" s="10" t="n"/>
      <c r="C881" s="10" t="n"/>
      <c r="D881" s="10" t="n"/>
      <c r="E881" s="14">
        <f>IF(D881="","",IFERROR(INDEX('Sản phẩm'!$B$5:$B$304,MATCH(D881,'Sản phẩm'!$A$5:$A$304,0)),""))</f>
        <v/>
      </c>
      <c r="F881" s="12" t="n"/>
      <c r="G881" s="11" t="n"/>
      <c r="H881" s="11" t="n"/>
      <c r="I881" s="16">
        <f>IF(D881="","",IF(G881&lt;&gt;"",G881,IFERROR(INDEX('Sản phẩm'!$E$5:$E$304,MATCH(D881,'Sản phẩm'!$A$5:$A$304,0)),"")))</f>
        <v/>
      </c>
      <c r="J881" s="16">
        <f>IF(OR(D881="",F881=""),"",F881*I881-N(H881))</f>
        <v/>
      </c>
      <c r="K881" s="16">
        <f>IF(OR(D881="",F881=""),"",F881*IFERROR(INDEX('Sản phẩm'!$D$5:$D$304,MATCH(D881,'Sản phẩm'!$A$5:$A$304,0)),""))</f>
        <v/>
      </c>
      <c r="L881" s="16">
        <f>IF(J881="","",J881-K881)</f>
        <v/>
      </c>
      <c r="M881" s="14">
        <f>IF(A881="","",MONTH(A881))</f>
        <v/>
      </c>
      <c r="N881" s="14">
        <f>IF(A881="","",YEAR(A881))</f>
        <v/>
      </c>
    </row>
    <row r="882">
      <c r="A882" s="15" t="n"/>
      <c r="B882" s="10" t="n"/>
      <c r="C882" s="10" t="n"/>
      <c r="D882" s="10" t="n"/>
      <c r="E882" s="14">
        <f>IF(D882="","",IFERROR(INDEX('Sản phẩm'!$B$5:$B$304,MATCH(D882,'Sản phẩm'!$A$5:$A$304,0)),""))</f>
        <v/>
      </c>
      <c r="F882" s="12" t="n"/>
      <c r="G882" s="11" t="n"/>
      <c r="H882" s="11" t="n"/>
      <c r="I882" s="16">
        <f>IF(D882="","",IF(G882&lt;&gt;"",G882,IFERROR(INDEX('Sản phẩm'!$E$5:$E$304,MATCH(D882,'Sản phẩm'!$A$5:$A$304,0)),"")))</f>
        <v/>
      </c>
      <c r="J882" s="16">
        <f>IF(OR(D882="",F882=""),"",F882*I882-N(H882))</f>
        <v/>
      </c>
      <c r="K882" s="16">
        <f>IF(OR(D882="",F882=""),"",F882*IFERROR(INDEX('Sản phẩm'!$D$5:$D$304,MATCH(D882,'Sản phẩm'!$A$5:$A$304,0)),""))</f>
        <v/>
      </c>
      <c r="L882" s="16">
        <f>IF(J882="","",J882-K882)</f>
        <v/>
      </c>
      <c r="M882" s="14">
        <f>IF(A882="","",MONTH(A882))</f>
        <v/>
      </c>
      <c r="N882" s="14">
        <f>IF(A882="","",YEAR(A882))</f>
        <v/>
      </c>
    </row>
    <row r="883">
      <c r="A883" s="15" t="n"/>
      <c r="B883" s="10" t="n"/>
      <c r="C883" s="10" t="n"/>
      <c r="D883" s="10" t="n"/>
      <c r="E883" s="14">
        <f>IF(D883="","",IFERROR(INDEX('Sản phẩm'!$B$5:$B$304,MATCH(D883,'Sản phẩm'!$A$5:$A$304,0)),""))</f>
        <v/>
      </c>
      <c r="F883" s="12" t="n"/>
      <c r="G883" s="11" t="n"/>
      <c r="H883" s="11" t="n"/>
      <c r="I883" s="16">
        <f>IF(D883="","",IF(G883&lt;&gt;"",G883,IFERROR(INDEX('Sản phẩm'!$E$5:$E$304,MATCH(D883,'Sản phẩm'!$A$5:$A$304,0)),"")))</f>
        <v/>
      </c>
      <c r="J883" s="16">
        <f>IF(OR(D883="",F883=""),"",F883*I883-N(H883))</f>
        <v/>
      </c>
      <c r="K883" s="16">
        <f>IF(OR(D883="",F883=""),"",F883*IFERROR(INDEX('Sản phẩm'!$D$5:$D$304,MATCH(D883,'Sản phẩm'!$A$5:$A$304,0)),""))</f>
        <v/>
      </c>
      <c r="L883" s="16">
        <f>IF(J883="","",J883-K883)</f>
        <v/>
      </c>
      <c r="M883" s="14">
        <f>IF(A883="","",MONTH(A883))</f>
        <v/>
      </c>
      <c r="N883" s="14">
        <f>IF(A883="","",YEAR(A883))</f>
        <v/>
      </c>
    </row>
    <row r="884">
      <c r="A884" s="15" t="n"/>
      <c r="B884" s="10" t="n"/>
      <c r="C884" s="10" t="n"/>
      <c r="D884" s="10" t="n"/>
      <c r="E884" s="14">
        <f>IF(D884="","",IFERROR(INDEX('Sản phẩm'!$B$5:$B$304,MATCH(D884,'Sản phẩm'!$A$5:$A$304,0)),""))</f>
        <v/>
      </c>
      <c r="F884" s="12" t="n"/>
      <c r="G884" s="11" t="n"/>
      <c r="H884" s="11" t="n"/>
      <c r="I884" s="16">
        <f>IF(D884="","",IF(G884&lt;&gt;"",G884,IFERROR(INDEX('Sản phẩm'!$E$5:$E$304,MATCH(D884,'Sản phẩm'!$A$5:$A$304,0)),"")))</f>
        <v/>
      </c>
      <c r="J884" s="16">
        <f>IF(OR(D884="",F884=""),"",F884*I884-N(H884))</f>
        <v/>
      </c>
      <c r="K884" s="16">
        <f>IF(OR(D884="",F884=""),"",F884*IFERROR(INDEX('Sản phẩm'!$D$5:$D$304,MATCH(D884,'Sản phẩm'!$A$5:$A$304,0)),""))</f>
        <v/>
      </c>
      <c r="L884" s="16">
        <f>IF(J884="","",J884-K884)</f>
        <v/>
      </c>
      <c r="M884" s="14">
        <f>IF(A884="","",MONTH(A884))</f>
        <v/>
      </c>
      <c r="N884" s="14">
        <f>IF(A884="","",YEAR(A884))</f>
        <v/>
      </c>
    </row>
    <row r="885">
      <c r="A885" s="15" t="n"/>
      <c r="B885" s="10" t="n"/>
      <c r="C885" s="10" t="n"/>
      <c r="D885" s="10" t="n"/>
      <c r="E885" s="14">
        <f>IF(D885="","",IFERROR(INDEX('Sản phẩm'!$B$5:$B$304,MATCH(D885,'Sản phẩm'!$A$5:$A$304,0)),""))</f>
        <v/>
      </c>
      <c r="F885" s="12" t="n"/>
      <c r="G885" s="11" t="n"/>
      <c r="H885" s="11" t="n"/>
      <c r="I885" s="16">
        <f>IF(D885="","",IF(G885&lt;&gt;"",G885,IFERROR(INDEX('Sản phẩm'!$E$5:$E$304,MATCH(D885,'Sản phẩm'!$A$5:$A$304,0)),"")))</f>
        <v/>
      </c>
      <c r="J885" s="16">
        <f>IF(OR(D885="",F885=""),"",F885*I885-N(H885))</f>
        <v/>
      </c>
      <c r="K885" s="16">
        <f>IF(OR(D885="",F885=""),"",F885*IFERROR(INDEX('Sản phẩm'!$D$5:$D$304,MATCH(D885,'Sản phẩm'!$A$5:$A$304,0)),""))</f>
        <v/>
      </c>
      <c r="L885" s="16">
        <f>IF(J885="","",J885-K885)</f>
        <v/>
      </c>
      <c r="M885" s="14">
        <f>IF(A885="","",MONTH(A885))</f>
        <v/>
      </c>
      <c r="N885" s="14">
        <f>IF(A885="","",YEAR(A885))</f>
        <v/>
      </c>
    </row>
    <row r="886">
      <c r="A886" s="15" t="n"/>
      <c r="B886" s="10" t="n"/>
      <c r="C886" s="10" t="n"/>
      <c r="D886" s="10" t="n"/>
      <c r="E886" s="14">
        <f>IF(D886="","",IFERROR(INDEX('Sản phẩm'!$B$5:$B$304,MATCH(D886,'Sản phẩm'!$A$5:$A$304,0)),""))</f>
        <v/>
      </c>
      <c r="F886" s="12" t="n"/>
      <c r="G886" s="11" t="n"/>
      <c r="H886" s="11" t="n"/>
      <c r="I886" s="16">
        <f>IF(D886="","",IF(G886&lt;&gt;"",G886,IFERROR(INDEX('Sản phẩm'!$E$5:$E$304,MATCH(D886,'Sản phẩm'!$A$5:$A$304,0)),"")))</f>
        <v/>
      </c>
      <c r="J886" s="16">
        <f>IF(OR(D886="",F886=""),"",F886*I886-N(H886))</f>
        <v/>
      </c>
      <c r="K886" s="16">
        <f>IF(OR(D886="",F886=""),"",F886*IFERROR(INDEX('Sản phẩm'!$D$5:$D$304,MATCH(D886,'Sản phẩm'!$A$5:$A$304,0)),""))</f>
        <v/>
      </c>
      <c r="L886" s="16">
        <f>IF(J886="","",J886-K886)</f>
        <v/>
      </c>
      <c r="M886" s="14">
        <f>IF(A886="","",MONTH(A886))</f>
        <v/>
      </c>
      <c r="N886" s="14">
        <f>IF(A886="","",YEAR(A886))</f>
        <v/>
      </c>
    </row>
    <row r="887">
      <c r="A887" s="15" t="n"/>
      <c r="B887" s="10" t="n"/>
      <c r="C887" s="10" t="n"/>
      <c r="D887" s="10" t="n"/>
      <c r="E887" s="14">
        <f>IF(D887="","",IFERROR(INDEX('Sản phẩm'!$B$5:$B$304,MATCH(D887,'Sản phẩm'!$A$5:$A$304,0)),""))</f>
        <v/>
      </c>
      <c r="F887" s="12" t="n"/>
      <c r="G887" s="11" t="n"/>
      <c r="H887" s="11" t="n"/>
      <c r="I887" s="16">
        <f>IF(D887="","",IF(G887&lt;&gt;"",G887,IFERROR(INDEX('Sản phẩm'!$E$5:$E$304,MATCH(D887,'Sản phẩm'!$A$5:$A$304,0)),"")))</f>
        <v/>
      </c>
      <c r="J887" s="16">
        <f>IF(OR(D887="",F887=""),"",F887*I887-N(H887))</f>
        <v/>
      </c>
      <c r="K887" s="16">
        <f>IF(OR(D887="",F887=""),"",F887*IFERROR(INDEX('Sản phẩm'!$D$5:$D$304,MATCH(D887,'Sản phẩm'!$A$5:$A$304,0)),""))</f>
        <v/>
      </c>
      <c r="L887" s="16">
        <f>IF(J887="","",J887-K887)</f>
        <v/>
      </c>
      <c r="M887" s="14">
        <f>IF(A887="","",MONTH(A887))</f>
        <v/>
      </c>
      <c r="N887" s="14">
        <f>IF(A887="","",YEAR(A887))</f>
        <v/>
      </c>
    </row>
    <row r="888">
      <c r="A888" s="15" t="n"/>
      <c r="B888" s="10" t="n"/>
      <c r="C888" s="10" t="n"/>
      <c r="D888" s="10" t="n"/>
      <c r="E888" s="14">
        <f>IF(D888="","",IFERROR(INDEX('Sản phẩm'!$B$5:$B$304,MATCH(D888,'Sản phẩm'!$A$5:$A$304,0)),""))</f>
        <v/>
      </c>
      <c r="F888" s="12" t="n"/>
      <c r="G888" s="11" t="n"/>
      <c r="H888" s="11" t="n"/>
      <c r="I888" s="16">
        <f>IF(D888="","",IF(G888&lt;&gt;"",G888,IFERROR(INDEX('Sản phẩm'!$E$5:$E$304,MATCH(D888,'Sản phẩm'!$A$5:$A$304,0)),"")))</f>
        <v/>
      </c>
      <c r="J888" s="16">
        <f>IF(OR(D888="",F888=""),"",F888*I888-N(H888))</f>
        <v/>
      </c>
      <c r="K888" s="16">
        <f>IF(OR(D888="",F888=""),"",F888*IFERROR(INDEX('Sản phẩm'!$D$5:$D$304,MATCH(D888,'Sản phẩm'!$A$5:$A$304,0)),""))</f>
        <v/>
      </c>
      <c r="L888" s="16">
        <f>IF(J888="","",J888-K888)</f>
        <v/>
      </c>
      <c r="M888" s="14">
        <f>IF(A888="","",MONTH(A888))</f>
        <v/>
      </c>
      <c r="N888" s="14">
        <f>IF(A888="","",YEAR(A888))</f>
        <v/>
      </c>
    </row>
    <row r="889">
      <c r="A889" s="15" t="n"/>
      <c r="B889" s="10" t="n"/>
      <c r="C889" s="10" t="n"/>
      <c r="D889" s="10" t="n"/>
      <c r="E889" s="14">
        <f>IF(D889="","",IFERROR(INDEX('Sản phẩm'!$B$5:$B$304,MATCH(D889,'Sản phẩm'!$A$5:$A$304,0)),""))</f>
        <v/>
      </c>
      <c r="F889" s="12" t="n"/>
      <c r="G889" s="11" t="n"/>
      <c r="H889" s="11" t="n"/>
      <c r="I889" s="16">
        <f>IF(D889="","",IF(G889&lt;&gt;"",G889,IFERROR(INDEX('Sản phẩm'!$E$5:$E$304,MATCH(D889,'Sản phẩm'!$A$5:$A$304,0)),"")))</f>
        <v/>
      </c>
      <c r="J889" s="16">
        <f>IF(OR(D889="",F889=""),"",F889*I889-N(H889))</f>
        <v/>
      </c>
      <c r="K889" s="16">
        <f>IF(OR(D889="",F889=""),"",F889*IFERROR(INDEX('Sản phẩm'!$D$5:$D$304,MATCH(D889,'Sản phẩm'!$A$5:$A$304,0)),""))</f>
        <v/>
      </c>
      <c r="L889" s="16">
        <f>IF(J889="","",J889-K889)</f>
        <v/>
      </c>
      <c r="M889" s="14">
        <f>IF(A889="","",MONTH(A889))</f>
        <v/>
      </c>
      <c r="N889" s="14">
        <f>IF(A889="","",YEAR(A889))</f>
        <v/>
      </c>
    </row>
    <row r="890">
      <c r="A890" s="15" t="n"/>
      <c r="B890" s="10" t="n"/>
      <c r="C890" s="10" t="n"/>
      <c r="D890" s="10" t="n"/>
      <c r="E890" s="14">
        <f>IF(D890="","",IFERROR(INDEX('Sản phẩm'!$B$5:$B$304,MATCH(D890,'Sản phẩm'!$A$5:$A$304,0)),""))</f>
        <v/>
      </c>
      <c r="F890" s="12" t="n"/>
      <c r="G890" s="11" t="n"/>
      <c r="H890" s="11" t="n"/>
      <c r="I890" s="16">
        <f>IF(D890="","",IF(G890&lt;&gt;"",G890,IFERROR(INDEX('Sản phẩm'!$E$5:$E$304,MATCH(D890,'Sản phẩm'!$A$5:$A$304,0)),"")))</f>
        <v/>
      </c>
      <c r="J890" s="16">
        <f>IF(OR(D890="",F890=""),"",F890*I890-N(H890))</f>
        <v/>
      </c>
      <c r="K890" s="16">
        <f>IF(OR(D890="",F890=""),"",F890*IFERROR(INDEX('Sản phẩm'!$D$5:$D$304,MATCH(D890,'Sản phẩm'!$A$5:$A$304,0)),""))</f>
        <v/>
      </c>
      <c r="L890" s="16">
        <f>IF(J890="","",J890-K890)</f>
        <v/>
      </c>
      <c r="M890" s="14">
        <f>IF(A890="","",MONTH(A890))</f>
        <v/>
      </c>
      <c r="N890" s="14">
        <f>IF(A890="","",YEAR(A890))</f>
        <v/>
      </c>
    </row>
    <row r="891">
      <c r="A891" s="15" t="n"/>
      <c r="B891" s="10" t="n"/>
      <c r="C891" s="10" t="n"/>
      <c r="D891" s="10" t="n"/>
      <c r="E891" s="14">
        <f>IF(D891="","",IFERROR(INDEX('Sản phẩm'!$B$5:$B$304,MATCH(D891,'Sản phẩm'!$A$5:$A$304,0)),""))</f>
        <v/>
      </c>
      <c r="F891" s="12" t="n"/>
      <c r="G891" s="11" t="n"/>
      <c r="H891" s="11" t="n"/>
      <c r="I891" s="16">
        <f>IF(D891="","",IF(G891&lt;&gt;"",G891,IFERROR(INDEX('Sản phẩm'!$E$5:$E$304,MATCH(D891,'Sản phẩm'!$A$5:$A$304,0)),"")))</f>
        <v/>
      </c>
      <c r="J891" s="16">
        <f>IF(OR(D891="",F891=""),"",F891*I891-N(H891))</f>
        <v/>
      </c>
      <c r="K891" s="16">
        <f>IF(OR(D891="",F891=""),"",F891*IFERROR(INDEX('Sản phẩm'!$D$5:$D$304,MATCH(D891,'Sản phẩm'!$A$5:$A$304,0)),""))</f>
        <v/>
      </c>
      <c r="L891" s="16">
        <f>IF(J891="","",J891-K891)</f>
        <v/>
      </c>
      <c r="M891" s="14">
        <f>IF(A891="","",MONTH(A891))</f>
        <v/>
      </c>
      <c r="N891" s="14">
        <f>IF(A891="","",YEAR(A891))</f>
        <v/>
      </c>
    </row>
    <row r="892">
      <c r="A892" s="15" t="n"/>
      <c r="B892" s="10" t="n"/>
      <c r="C892" s="10" t="n"/>
      <c r="D892" s="10" t="n"/>
      <c r="E892" s="14">
        <f>IF(D892="","",IFERROR(INDEX('Sản phẩm'!$B$5:$B$304,MATCH(D892,'Sản phẩm'!$A$5:$A$304,0)),""))</f>
        <v/>
      </c>
      <c r="F892" s="12" t="n"/>
      <c r="G892" s="11" t="n"/>
      <c r="H892" s="11" t="n"/>
      <c r="I892" s="16">
        <f>IF(D892="","",IF(G892&lt;&gt;"",G892,IFERROR(INDEX('Sản phẩm'!$E$5:$E$304,MATCH(D892,'Sản phẩm'!$A$5:$A$304,0)),"")))</f>
        <v/>
      </c>
      <c r="J892" s="16">
        <f>IF(OR(D892="",F892=""),"",F892*I892-N(H892))</f>
        <v/>
      </c>
      <c r="K892" s="16">
        <f>IF(OR(D892="",F892=""),"",F892*IFERROR(INDEX('Sản phẩm'!$D$5:$D$304,MATCH(D892,'Sản phẩm'!$A$5:$A$304,0)),""))</f>
        <v/>
      </c>
      <c r="L892" s="16">
        <f>IF(J892="","",J892-K892)</f>
        <v/>
      </c>
      <c r="M892" s="14">
        <f>IF(A892="","",MONTH(A892))</f>
        <v/>
      </c>
      <c r="N892" s="14">
        <f>IF(A892="","",YEAR(A892))</f>
        <v/>
      </c>
    </row>
    <row r="893">
      <c r="A893" s="15" t="n"/>
      <c r="B893" s="10" t="n"/>
      <c r="C893" s="10" t="n"/>
      <c r="D893" s="10" t="n"/>
      <c r="E893" s="14">
        <f>IF(D893="","",IFERROR(INDEX('Sản phẩm'!$B$5:$B$304,MATCH(D893,'Sản phẩm'!$A$5:$A$304,0)),""))</f>
        <v/>
      </c>
      <c r="F893" s="12" t="n"/>
      <c r="G893" s="11" t="n"/>
      <c r="H893" s="11" t="n"/>
      <c r="I893" s="16">
        <f>IF(D893="","",IF(G893&lt;&gt;"",G893,IFERROR(INDEX('Sản phẩm'!$E$5:$E$304,MATCH(D893,'Sản phẩm'!$A$5:$A$304,0)),"")))</f>
        <v/>
      </c>
      <c r="J893" s="16">
        <f>IF(OR(D893="",F893=""),"",F893*I893-N(H893))</f>
        <v/>
      </c>
      <c r="K893" s="16">
        <f>IF(OR(D893="",F893=""),"",F893*IFERROR(INDEX('Sản phẩm'!$D$5:$D$304,MATCH(D893,'Sản phẩm'!$A$5:$A$304,0)),""))</f>
        <v/>
      </c>
      <c r="L893" s="16">
        <f>IF(J893="","",J893-K893)</f>
        <v/>
      </c>
      <c r="M893" s="14">
        <f>IF(A893="","",MONTH(A893))</f>
        <v/>
      </c>
      <c r="N893" s="14">
        <f>IF(A893="","",YEAR(A893))</f>
        <v/>
      </c>
    </row>
    <row r="894">
      <c r="A894" s="15" t="n"/>
      <c r="B894" s="10" t="n"/>
      <c r="C894" s="10" t="n"/>
      <c r="D894" s="10" t="n"/>
      <c r="E894" s="14">
        <f>IF(D894="","",IFERROR(INDEX('Sản phẩm'!$B$5:$B$304,MATCH(D894,'Sản phẩm'!$A$5:$A$304,0)),""))</f>
        <v/>
      </c>
      <c r="F894" s="12" t="n"/>
      <c r="G894" s="11" t="n"/>
      <c r="H894" s="11" t="n"/>
      <c r="I894" s="16">
        <f>IF(D894="","",IF(G894&lt;&gt;"",G894,IFERROR(INDEX('Sản phẩm'!$E$5:$E$304,MATCH(D894,'Sản phẩm'!$A$5:$A$304,0)),"")))</f>
        <v/>
      </c>
      <c r="J894" s="16">
        <f>IF(OR(D894="",F894=""),"",F894*I894-N(H894))</f>
        <v/>
      </c>
      <c r="K894" s="16">
        <f>IF(OR(D894="",F894=""),"",F894*IFERROR(INDEX('Sản phẩm'!$D$5:$D$304,MATCH(D894,'Sản phẩm'!$A$5:$A$304,0)),""))</f>
        <v/>
      </c>
      <c r="L894" s="16">
        <f>IF(J894="","",J894-K894)</f>
        <v/>
      </c>
      <c r="M894" s="14">
        <f>IF(A894="","",MONTH(A894))</f>
        <v/>
      </c>
      <c r="N894" s="14">
        <f>IF(A894="","",YEAR(A894))</f>
        <v/>
      </c>
    </row>
    <row r="895">
      <c r="A895" s="15" t="n"/>
      <c r="B895" s="10" t="n"/>
      <c r="C895" s="10" t="n"/>
      <c r="D895" s="10" t="n"/>
      <c r="E895" s="14">
        <f>IF(D895="","",IFERROR(INDEX('Sản phẩm'!$B$5:$B$304,MATCH(D895,'Sản phẩm'!$A$5:$A$304,0)),""))</f>
        <v/>
      </c>
      <c r="F895" s="12" t="n"/>
      <c r="G895" s="11" t="n"/>
      <c r="H895" s="11" t="n"/>
      <c r="I895" s="16">
        <f>IF(D895="","",IF(G895&lt;&gt;"",G895,IFERROR(INDEX('Sản phẩm'!$E$5:$E$304,MATCH(D895,'Sản phẩm'!$A$5:$A$304,0)),"")))</f>
        <v/>
      </c>
      <c r="J895" s="16">
        <f>IF(OR(D895="",F895=""),"",F895*I895-N(H895))</f>
        <v/>
      </c>
      <c r="K895" s="16">
        <f>IF(OR(D895="",F895=""),"",F895*IFERROR(INDEX('Sản phẩm'!$D$5:$D$304,MATCH(D895,'Sản phẩm'!$A$5:$A$304,0)),""))</f>
        <v/>
      </c>
      <c r="L895" s="16">
        <f>IF(J895="","",J895-K895)</f>
        <v/>
      </c>
      <c r="M895" s="14">
        <f>IF(A895="","",MONTH(A895))</f>
        <v/>
      </c>
      <c r="N895" s="14">
        <f>IF(A895="","",YEAR(A895))</f>
        <v/>
      </c>
    </row>
    <row r="896">
      <c r="A896" s="15" t="n"/>
      <c r="B896" s="10" t="n"/>
      <c r="C896" s="10" t="n"/>
      <c r="D896" s="10" t="n"/>
      <c r="E896" s="14">
        <f>IF(D896="","",IFERROR(INDEX('Sản phẩm'!$B$5:$B$304,MATCH(D896,'Sản phẩm'!$A$5:$A$304,0)),""))</f>
        <v/>
      </c>
      <c r="F896" s="12" t="n"/>
      <c r="G896" s="11" t="n"/>
      <c r="H896" s="11" t="n"/>
      <c r="I896" s="16">
        <f>IF(D896="","",IF(G896&lt;&gt;"",G896,IFERROR(INDEX('Sản phẩm'!$E$5:$E$304,MATCH(D896,'Sản phẩm'!$A$5:$A$304,0)),"")))</f>
        <v/>
      </c>
      <c r="J896" s="16">
        <f>IF(OR(D896="",F896=""),"",F896*I896-N(H896))</f>
        <v/>
      </c>
      <c r="K896" s="16">
        <f>IF(OR(D896="",F896=""),"",F896*IFERROR(INDEX('Sản phẩm'!$D$5:$D$304,MATCH(D896,'Sản phẩm'!$A$5:$A$304,0)),""))</f>
        <v/>
      </c>
      <c r="L896" s="16">
        <f>IF(J896="","",J896-K896)</f>
        <v/>
      </c>
      <c r="M896" s="14">
        <f>IF(A896="","",MONTH(A896))</f>
        <v/>
      </c>
      <c r="N896" s="14">
        <f>IF(A896="","",YEAR(A896))</f>
        <v/>
      </c>
    </row>
    <row r="897">
      <c r="A897" s="15" t="n"/>
      <c r="B897" s="10" t="n"/>
      <c r="C897" s="10" t="n"/>
      <c r="D897" s="10" t="n"/>
      <c r="E897" s="14">
        <f>IF(D897="","",IFERROR(INDEX('Sản phẩm'!$B$5:$B$304,MATCH(D897,'Sản phẩm'!$A$5:$A$304,0)),""))</f>
        <v/>
      </c>
      <c r="F897" s="12" t="n"/>
      <c r="G897" s="11" t="n"/>
      <c r="H897" s="11" t="n"/>
      <c r="I897" s="16">
        <f>IF(D897="","",IF(G897&lt;&gt;"",G897,IFERROR(INDEX('Sản phẩm'!$E$5:$E$304,MATCH(D897,'Sản phẩm'!$A$5:$A$304,0)),"")))</f>
        <v/>
      </c>
      <c r="J897" s="16">
        <f>IF(OR(D897="",F897=""),"",F897*I897-N(H897))</f>
        <v/>
      </c>
      <c r="K897" s="16">
        <f>IF(OR(D897="",F897=""),"",F897*IFERROR(INDEX('Sản phẩm'!$D$5:$D$304,MATCH(D897,'Sản phẩm'!$A$5:$A$304,0)),""))</f>
        <v/>
      </c>
      <c r="L897" s="16">
        <f>IF(J897="","",J897-K897)</f>
        <v/>
      </c>
      <c r="M897" s="14">
        <f>IF(A897="","",MONTH(A897))</f>
        <v/>
      </c>
      <c r="N897" s="14">
        <f>IF(A897="","",YEAR(A897))</f>
        <v/>
      </c>
    </row>
    <row r="898">
      <c r="A898" s="15" t="n"/>
      <c r="B898" s="10" t="n"/>
      <c r="C898" s="10" t="n"/>
      <c r="D898" s="10" t="n"/>
      <c r="E898" s="14">
        <f>IF(D898="","",IFERROR(INDEX('Sản phẩm'!$B$5:$B$304,MATCH(D898,'Sản phẩm'!$A$5:$A$304,0)),""))</f>
        <v/>
      </c>
      <c r="F898" s="12" t="n"/>
      <c r="G898" s="11" t="n"/>
      <c r="H898" s="11" t="n"/>
      <c r="I898" s="16">
        <f>IF(D898="","",IF(G898&lt;&gt;"",G898,IFERROR(INDEX('Sản phẩm'!$E$5:$E$304,MATCH(D898,'Sản phẩm'!$A$5:$A$304,0)),"")))</f>
        <v/>
      </c>
      <c r="J898" s="16">
        <f>IF(OR(D898="",F898=""),"",F898*I898-N(H898))</f>
        <v/>
      </c>
      <c r="K898" s="16">
        <f>IF(OR(D898="",F898=""),"",F898*IFERROR(INDEX('Sản phẩm'!$D$5:$D$304,MATCH(D898,'Sản phẩm'!$A$5:$A$304,0)),""))</f>
        <v/>
      </c>
      <c r="L898" s="16">
        <f>IF(J898="","",J898-K898)</f>
        <v/>
      </c>
      <c r="M898" s="14">
        <f>IF(A898="","",MONTH(A898))</f>
        <v/>
      </c>
      <c r="N898" s="14">
        <f>IF(A898="","",YEAR(A898))</f>
        <v/>
      </c>
    </row>
    <row r="899">
      <c r="A899" s="15" t="n"/>
      <c r="B899" s="10" t="n"/>
      <c r="C899" s="10" t="n"/>
      <c r="D899" s="10" t="n"/>
      <c r="E899" s="14">
        <f>IF(D899="","",IFERROR(INDEX('Sản phẩm'!$B$5:$B$304,MATCH(D899,'Sản phẩm'!$A$5:$A$304,0)),""))</f>
        <v/>
      </c>
      <c r="F899" s="12" t="n"/>
      <c r="G899" s="11" t="n"/>
      <c r="H899" s="11" t="n"/>
      <c r="I899" s="16">
        <f>IF(D899="","",IF(G899&lt;&gt;"",G899,IFERROR(INDEX('Sản phẩm'!$E$5:$E$304,MATCH(D899,'Sản phẩm'!$A$5:$A$304,0)),"")))</f>
        <v/>
      </c>
      <c r="J899" s="16">
        <f>IF(OR(D899="",F899=""),"",F899*I899-N(H899))</f>
        <v/>
      </c>
      <c r="K899" s="16">
        <f>IF(OR(D899="",F899=""),"",F899*IFERROR(INDEX('Sản phẩm'!$D$5:$D$304,MATCH(D899,'Sản phẩm'!$A$5:$A$304,0)),""))</f>
        <v/>
      </c>
      <c r="L899" s="16">
        <f>IF(J899="","",J899-K899)</f>
        <v/>
      </c>
      <c r="M899" s="14">
        <f>IF(A899="","",MONTH(A899))</f>
        <v/>
      </c>
      <c r="N899" s="14">
        <f>IF(A899="","",YEAR(A899))</f>
        <v/>
      </c>
    </row>
    <row r="900">
      <c r="A900" s="15" t="n"/>
      <c r="B900" s="10" t="n"/>
      <c r="C900" s="10" t="n"/>
      <c r="D900" s="10" t="n"/>
      <c r="E900" s="14">
        <f>IF(D900="","",IFERROR(INDEX('Sản phẩm'!$B$5:$B$304,MATCH(D900,'Sản phẩm'!$A$5:$A$304,0)),""))</f>
        <v/>
      </c>
      <c r="F900" s="12" t="n"/>
      <c r="G900" s="11" t="n"/>
      <c r="H900" s="11" t="n"/>
      <c r="I900" s="16">
        <f>IF(D900="","",IF(G900&lt;&gt;"",G900,IFERROR(INDEX('Sản phẩm'!$E$5:$E$304,MATCH(D900,'Sản phẩm'!$A$5:$A$304,0)),"")))</f>
        <v/>
      </c>
      <c r="J900" s="16">
        <f>IF(OR(D900="",F900=""),"",F900*I900-N(H900))</f>
        <v/>
      </c>
      <c r="K900" s="16">
        <f>IF(OR(D900="",F900=""),"",F900*IFERROR(INDEX('Sản phẩm'!$D$5:$D$304,MATCH(D900,'Sản phẩm'!$A$5:$A$304,0)),""))</f>
        <v/>
      </c>
      <c r="L900" s="16">
        <f>IF(J900="","",J900-K900)</f>
        <v/>
      </c>
      <c r="M900" s="14">
        <f>IF(A900="","",MONTH(A900))</f>
        <v/>
      </c>
      <c r="N900" s="14">
        <f>IF(A900="","",YEAR(A900))</f>
        <v/>
      </c>
    </row>
    <row r="901">
      <c r="A901" s="15" t="n"/>
      <c r="B901" s="10" t="n"/>
      <c r="C901" s="10" t="n"/>
      <c r="D901" s="10" t="n"/>
      <c r="E901" s="14">
        <f>IF(D901="","",IFERROR(INDEX('Sản phẩm'!$B$5:$B$304,MATCH(D901,'Sản phẩm'!$A$5:$A$304,0)),""))</f>
        <v/>
      </c>
      <c r="F901" s="12" t="n"/>
      <c r="G901" s="11" t="n"/>
      <c r="H901" s="11" t="n"/>
      <c r="I901" s="16">
        <f>IF(D901="","",IF(G901&lt;&gt;"",G901,IFERROR(INDEX('Sản phẩm'!$E$5:$E$304,MATCH(D901,'Sản phẩm'!$A$5:$A$304,0)),"")))</f>
        <v/>
      </c>
      <c r="J901" s="16">
        <f>IF(OR(D901="",F901=""),"",F901*I901-N(H901))</f>
        <v/>
      </c>
      <c r="K901" s="16">
        <f>IF(OR(D901="",F901=""),"",F901*IFERROR(INDEX('Sản phẩm'!$D$5:$D$304,MATCH(D901,'Sản phẩm'!$A$5:$A$304,0)),""))</f>
        <v/>
      </c>
      <c r="L901" s="16">
        <f>IF(J901="","",J901-K901)</f>
        <v/>
      </c>
      <c r="M901" s="14">
        <f>IF(A901="","",MONTH(A901))</f>
        <v/>
      </c>
      <c r="N901" s="14">
        <f>IF(A901="","",YEAR(A901))</f>
        <v/>
      </c>
    </row>
    <row r="902">
      <c r="A902" s="15" t="n"/>
      <c r="B902" s="10" t="n"/>
      <c r="C902" s="10" t="n"/>
      <c r="D902" s="10" t="n"/>
      <c r="E902" s="14">
        <f>IF(D902="","",IFERROR(INDEX('Sản phẩm'!$B$5:$B$304,MATCH(D902,'Sản phẩm'!$A$5:$A$304,0)),""))</f>
        <v/>
      </c>
      <c r="F902" s="12" t="n"/>
      <c r="G902" s="11" t="n"/>
      <c r="H902" s="11" t="n"/>
      <c r="I902" s="16">
        <f>IF(D902="","",IF(G902&lt;&gt;"",G902,IFERROR(INDEX('Sản phẩm'!$E$5:$E$304,MATCH(D902,'Sản phẩm'!$A$5:$A$304,0)),"")))</f>
        <v/>
      </c>
      <c r="J902" s="16">
        <f>IF(OR(D902="",F902=""),"",F902*I902-N(H902))</f>
        <v/>
      </c>
      <c r="K902" s="16">
        <f>IF(OR(D902="",F902=""),"",F902*IFERROR(INDEX('Sản phẩm'!$D$5:$D$304,MATCH(D902,'Sản phẩm'!$A$5:$A$304,0)),""))</f>
        <v/>
      </c>
      <c r="L902" s="16">
        <f>IF(J902="","",J902-K902)</f>
        <v/>
      </c>
      <c r="M902" s="14">
        <f>IF(A902="","",MONTH(A902))</f>
        <v/>
      </c>
      <c r="N902" s="14">
        <f>IF(A902="","",YEAR(A902))</f>
        <v/>
      </c>
    </row>
    <row r="903">
      <c r="A903" s="15" t="n"/>
      <c r="B903" s="10" t="n"/>
      <c r="C903" s="10" t="n"/>
      <c r="D903" s="10" t="n"/>
      <c r="E903" s="14">
        <f>IF(D903="","",IFERROR(INDEX('Sản phẩm'!$B$5:$B$304,MATCH(D903,'Sản phẩm'!$A$5:$A$304,0)),""))</f>
        <v/>
      </c>
      <c r="F903" s="12" t="n"/>
      <c r="G903" s="11" t="n"/>
      <c r="H903" s="11" t="n"/>
      <c r="I903" s="16">
        <f>IF(D903="","",IF(G903&lt;&gt;"",G903,IFERROR(INDEX('Sản phẩm'!$E$5:$E$304,MATCH(D903,'Sản phẩm'!$A$5:$A$304,0)),"")))</f>
        <v/>
      </c>
      <c r="J903" s="16">
        <f>IF(OR(D903="",F903=""),"",F903*I903-N(H903))</f>
        <v/>
      </c>
      <c r="K903" s="16">
        <f>IF(OR(D903="",F903=""),"",F903*IFERROR(INDEX('Sản phẩm'!$D$5:$D$304,MATCH(D903,'Sản phẩm'!$A$5:$A$304,0)),""))</f>
        <v/>
      </c>
      <c r="L903" s="16">
        <f>IF(J903="","",J903-K903)</f>
        <v/>
      </c>
      <c r="M903" s="14">
        <f>IF(A903="","",MONTH(A903))</f>
        <v/>
      </c>
      <c r="N903" s="14">
        <f>IF(A903="","",YEAR(A903))</f>
        <v/>
      </c>
    </row>
    <row r="904">
      <c r="A904" s="15" t="n"/>
      <c r="B904" s="10" t="n"/>
      <c r="C904" s="10" t="n"/>
      <c r="D904" s="10" t="n"/>
      <c r="E904" s="14">
        <f>IF(D904="","",IFERROR(INDEX('Sản phẩm'!$B$5:$B$304,MATCH(D904,'Sản phẩm'!$A$5:$A$304,0)),""))</f>
        <v/>
      </c>
      <c r="F904" s="12" t="n"/>
      <c r="G904" s="11" t="n"/>
      <c r="H904" s="11" t="n"/>
      <c r="I904" s="16">
        <f>IF(D904="","",IF(G904&lt;&gt;"",G904,IFERROR(INDEX('Sản phẩm'!$E$5:$E$304,MATCH(D904,'Sản phẩm'!$A$5:$A$304,0)),"")))</f>
        <v/>
      </c>
      <c r="J904" s="16">
        <f>IF(OR(D904="",F904=""),"",F904*I904-N(H904))</f>
        <v/>
      </c>
      <c r="K904" s="16">
        <f>IF(OR(D904="",F904=""),"",F904*IFERROR(INDEX('Sản phẩm'!$D$5:$D$304,MATCH(D904,'Sản phẩm'!$A$5:$A$304,0)),""))</f>
        <v/>
      </c>
      <c r="L904" s="16">
        <f>IF(J904="","",J904-K904)</f>
        <v/>
      </c>
      <c r="M904" s="14">
        <f>IF(A904="","",MONTH(A904))</f>
        <v/>
      </c>
      <c r="N904" s="14">
        <f>IF(A904="","",YEAR(A904))</f>
        <v/>
      </c>
    </row>
    <row r="905">
      <c r="A905" s="15" t="n"/>
      <c r="B905" s="10" t="n"/>
      <c r="C905" s="10" t="n"/>
      <c r="D905" s="10" t="n"/>
      <c r="E905" s="14">
        <f>IF(D905="","",IFERROR(INDEX('Sản phẩm'!$B$5:$B$304,MATCH(D905,'Sản phẩm'!$A$5:$A$304,0)),""))</f>
        <v/>
      </c>
      <c r="F905" s="12" t="n"/>
      <c r="G905" s="11" t="n"/>
      <c r="H905" s="11" t="n"/>
      <c r="I905" s="16">
        <f>IF(D905="","",IF(G905&lt;&gt;"",G905,IFERROR(INDEX('Sản phẩm'!$E$5:$E$304,MATCH(D905,'Sản phẩm'!$A$5:$A$304,0)),"")))</f>
        <v/>
      </c>
      <c r="J905" s="16">
        <f>IF(OR(D905="",F905=""),"",F905*I905-N(H905))</f>
        <v/>
      </c>
      <c r="K905" s="16">
        <f>IF(OR(D905="",F905=""),"",F905*IFERROR(INDEX('Sản phẩm'!$D$5:$D$304,MATCH(D905,'Sản phẩm'!$A$5:$A$304,0)),""))</f>
        <v/>
      </c>
      <c r="L905" s="16">
        <f>IF(J905="","",J905-K905)</f>
        <v/>
      </c>
      <c r="M905" s="14">
        <f>IF(A905="","",MONTH(A905))</f>
        <v/>
      </c>
      <c r="N905" s="14">
        <f>IF(A905="","",YEAR(A905))</f>
        <v/>
      </c>
    </row>
    <row r="906">
      <c r="A906" s="15" t="n"/>
      <c r="B906" s="10" t="n"/>
      <c r="C906" s="10" t="n"/>
      <c r="D906" s="10" t="n"/>
      <c r="E906" s="14">
        <f>IF(D906="","",IFERROR(INDEX('Sản phẩm'!$B$5:$B$304,MATCH(D906,'Sản phẩm'!$A$5:$A$304,0)),""))</f>
        <v/>
      </c>
      <c r="F906" s="12" t="n"/>
      <c r="G906" s="11" t="n"/>
      <c r="H906" s="11" t="n"/>
      <c r="I906" s="16">
        <f>IF(D906="","",IF(G906&lt;&gt;"",G906,IFERROR(INDEX('Sản phẩm'!$E$5:$E$304,MATCH(D906,'Sản phẩm'!$A$5:$A$304,0)),"")))</f>
        <v/>
      </c>
      <c r="J906" s="16">
        <f>IF(OR(D906="",F906=""),"",F906*I906-N(H906))</f>
        <v/>
      </c>
      <c r="K906" s="16">
        <f>IF(OR(D906="",F906=""),"",F906*IFERROR(INDEX('Sản phẩm'!$D$5:$D$304,MATCH(D906,'Sản phẩm'!$A$5:$A$304,0)),""))</f>
        <v/>
      </c>
      <c r="L906" s="16">
        <f>IF(J906="","",J906-K906)</f>
        <v/>
      </c>
      <c r="M906" s="14">
        <f>IF(A906="","",MONTH(A906))</f>
        <v/>
      </c>
      <c r="N906" s="14">
        <f>IF(A906="","",YEAR(A906))</f>
        <v/>
      </c>
    </row>
    <row r="907">
      <c r="A907" s="15" t="n"/>
      <c r="B907" s="10" t="n"/>
      <c r="C907" s="10" t="n"/>
      <c r="D907" s="10" t="n"/>
      <c r="E907" s="14">
        <f>IF(D907="","",IFERROR(INDEX('Sản phẩm'!$B$5:$B$304,MATCH(D907,'Sản phẩm'!$A$5:$A$304,0)),""))</f>
        <v/>
      </c>
      <c r="F907" s="12" t="n"/>
      <c r="G907" s="11" t="n"/>
      <c r="H907" s="11" t="n"/>
      <c r="I907" s="16">
        <f>IF(D907="","",IF(G907&lt;&gt;"",G907,IFERROR(INDEX('Sản phẩm'!$E$5:$E$304,MATCH(D907,'Sản phẩm'!$A$5:$A$304,0)),"")))</f>
        <v/>
      </c>
      <c r="J907" s="16">
        <f>IF(OR(D907="",F907=""),"",F907*I907-N(H907))</f>
        <v/>
      </c>
      <c r="K907" s="16">
        <f>IF(OR(D907="",F907=""),"",F907*IFERROR(INDEX('Sản phẩm'!$D$5:$D$304,MATCH(D907,'Sản phẩm'!$A$5:$A$304,0)),""))</f>
        <v/>
      </c>
      <c r="L907" s="16">
        <f>IF(J907="","",J907-K907)</f>
        <v/>
      </c>
      <c r="M907" s="14">
        <f>IF(A907="","",MONTH(A907))</f>
        <v/>
      </c>
      <c r="N907" s="14">
        <f>IF(A907="","",YEAR(A907))</f>
        <v/>
      </c>
    </row>
    <row r="908">
      <c r="A908" s="15" t="n"/>
      <c r="B908" s="10" t="n"/>
      <c r="C908" s="10" t="n"/>
      <c r="D908" s="10" t="n"/>
      <c r="E908" s="14">
        <f>IF(D908="","",IFERROR(INDEX('Sản phẩm'!$B$5:$B$304,MATCH(D908,'Sản phẩm'!$A$5:$A$304,0)),""))</f>
        <v/>
      </c>
      <c r="F908" s="12" t="n"/>
      <c r="G908" s="11" t="n"/>
      <c r="H908" s="11" t="n"/>
      <c r="I908" s="16">
        <f>IF(D908="","",IF(G908&lt;&gt;"",G908,IFERROR(INDEX('Sản phẩm'!$E$5:$E$304,MATCH(D908,'Sản phẩm'!$A$5:$A$304,0)),"")))</f>
        <v/>
      </c>
      <c r="J908" s="16">
        <f>IF(OR(D908="",F908=""),"",F908*I908-N(H908))</f>
        <v/>
      </c>
      <c r="K908" s="16">
        <f>IF(OR(D908="",F908=""),"",F908*IFERROR(INDEX('Sản phẩm'!$D$5:$D$304,MATCH(D908,'Sản phẩm'!$A$5:$A$304,0)),""))</f>
        <v/>
      </c>
      <c r="L908" s="16">
        <f>IF(J908="","",J908-K908)</f>
        <v/>
      </c>
      <c r="M908" s="14">
        <f>IF(A908="","",MONTH(A908))</f>
        <v/>
      </c>
      <c r="N908" s="14">
        <f>IF(A908="","",YEAR(A908))</f>
        <v/>
      </c>
    </row>
    <row r="909">
      <c r="A909" s="15" t="n"/>
      <c r="B909" s="10" t="n"/>
      <c r="C909" s="10" t="n"/>
      <c r="D909" s="10" t="n"/>
      <c r="E909" s="14">
        <f>IF(D909="","",IFERROR(INDEX('Sản phẩm'!$B$5:$B$304,MATCH(D909,'Sản phẩm'!$A$5:$A$304,0)),""))</f>
        <v/>
      </c>
      <c r="F909" s="12" t="n"/>
      <c r="G909" s="11" t="n"/>
      <c r="H909" s="11" t="n"/>
      <c r="I909" s="16">
        <f>IF(D909="","",IF(G909&lt;&gt;"",G909,IFERROR(INDEX('Sản phẩm'!$E$5:$E$304,MATCH(D909,'Sản phẩm'!$A$5:$A$304,0)),"")))</f>
        <v/>
      </c>
      <c r="J909" s="16">
        <f>IF(OR(D909="",F909=""),"",F909*I909-N(H909))</f>
        <v/>
      </c>
      <c r="K909" s="16">
        <f>IF(OR(D909="",F909=""),"",F909*IFERROR(INDEX('Sản phẩm'!$D$5:$D$304,MATCH(D909,'Sản phẩm'!$A$5:$A$304,0)),""))</f>
        <v/>
      </c>
      <c r="L909" s="16">
        <f>IF(J909="","",J909-K909)</f>
        <v/>
      </c>
      <c r="M909" s="14">
        <f>IF(A909="","",MONTH(A909))</f>
        <v/>
      </c>
      <c r="N909" s="14">
        <f>IF(A909="","",YEAR(A909))</f>
        <v/>
      </c>
    </row>
    <row r="910">
      <c r="A910" s="15" t="n"/>
      <c r="B910" s="10" t="n"/>
      <c r="C910" s="10" t="n"/>
      <c r="D910" s="10" t="n"/>
      <c r="E910" s="14">
        <f>IF(D910="","",IFERROR(INDEX('Sản phẩm'!$B$5:$B$304,MATCH(D910,'Sản phẩm'!$A$5:$A$304,0)),""))</f>
        <v/>
      </c>
      <c r="F910" s="12" t="n"/>
      <c r="G910" s="11" t="n"/>
      <c r="H910" s="11" t="n"/>
      <c r="I910" s="16">
        <f>IF(D910="","",IF(G910&lt;&gt;"",G910,IFERROR(INDEX('Sản phẩm'!$E$5:$E$304,MATCH(D910,'Sản phẩm'!$A$5:$A$304,0)),"")))</f>
        <v/>
      </c>
      <c r="J910" s="16">
        <f>IF(OR(D910="",F910=""),"",F910*I910-N(H910))</f>
        <v/>
      </c>
      <c r="K910" s="16">
        <f>IF(OR(D910="",F910=""),"",F910*IFERROR(INDEX('Sản phẩm'!$D$5:$D$304,MATCH(D910,'Sản phẩm'!$A$5:$A$304,0)),""))</f>
        <v/>
      </c>
      <c r="L910" s="16">
        <f>IF(J910="","",J910-K910)</f>
        <v/>
      </c>
      <c r="M910" s="14">
        <f>IF(A910="","",MONTH(A910))</f>
        <v/>
      </c>
      <c r="N910" s="14">
        <f>IF(A910="","",YEAR(A910))</f>
        <v/>
      </c>
    </row>
    <row r="911">
      <c r="A911" s="15" t="n"/>
      <c r="B911" s="10" t="n"/>
      <c r="C911" s="10" t="n"/>
      <c r="D911" s="10" t="n"/>
      <c r="E911" s="14">
        <f>IF(D911="","",IFERROR(INDEX('Sản phẩm'!$B$5:$B$304,MATCH(D911,'Sản phẩm'!$A$5:$A$304,0)),""))</f>
        <v/>
      </c>
      <c r="F911" s="12" t="n"/>
      <c r="G911" s="11" t="n"/>
      <c r="H911" s="11" t="n"/>
      <c r="I911" s="16">
        <f>IF(D911="","",IF(G911&lt;&gt;"",G911,IFERROR(INDEX('Sản phẩm'!$E$5:$E$304,MATCH(D911,'Sản phẩm'!$A$5:$A$304,0)),"")))</f>
        <v/>
      </c>
      <c r="J911" s="16">
        <f>IF(OR(D911="",F911=""),"",F911*I911-N(H911))</f>
        <v/>
      </c>
      <c r="K911" s="16">
        <f>IF(OR(D911="",F911=""),"",F911*IFERROR(INDEX('Sản phẩm'!$D$5:$D$304,MATCH(D911,'Sản phẩm'!$A$5:$A$304,0)),""))</f>
        <v/>
      </c>
      <c r="L911" s="16">
        <f>IF(J911="","",J911-K911)</f>
        <v/>
      </c>
      <c r="M911" s="14">
        <f>IF(A911="","",MONTH(A911))</f>
        <v/>
      </c>
      <c r="N911" s="14">
        <f>IF(A911="","",YEAR(A911))</f>
        <v/>
      </c>
    </row>
    <row r="912">
      <c r="A912" s="15" t="n"/>
      <c r="B912" s="10" t="n"/>
      <c r="C912" s="10" t="n"/>
      <c r="D912" s="10" t="n"/>
      <c r="E912" s="14">
        <f>IF(D912="","",IFERROR(INDEX('Sản phẩm'!$B$5:$B$304,MATCH(D912,'Sản phẩm'!$A$5:$A$304,0)),""))</f>
        <v/>
      </c>
      <c r="F912" s="12" t="n"/>
      <c r="G912" s="11" t="n"/>
      <c r="H912" s="11" t="n"/>
      <c r="I912" s="16">
        <f>IF(D912="","",IF(G912&lt;&gt;"",G912,IFERROR(INDEX('Sản phẩm'!$E$5:$E$304,MATCH(D912,'Sản phẩm'!$A$5:$A$304,0)),"")))</f>
        <v/>
      </c>
      <c r="J912" s="16">
        <f>IF(OR(D912="",F912=""),"",F912*I912-N(H912))</f>
        <v/>
      </c>
      <c r="K912" s="16">
        <f>IF(OR(D912="",F912=""),"",F912*IFERROR(INDEX('Sản phẩm'!$D$5:$D$304,MATCH(D912,'Sản phẩm'!$A$5:$A$304,0)),""))</f>
        <v/>
      </c>
      <c r="L912" s="16">
        <f>IF(J912="","",J912-K912)</f>
        <v/>
      </c>
      <c r="M912" s="14">
        <f>IF(A912="","",MONTH(A912))</f>
        <v/>
      </c>
      <c r="N912" s="14">
        <f>IF(A912="","",YEAR(A912))</f>
        <v/>
      </c>
    </row>
    <row r="913">
      <c r="A913" s="15" t="n"/>
      <c r="B913" s="10" t="n"/>
      <c r="C913" s="10" t="n"/>
      <c r="D913" s="10" t="n"/>
      <c r="E913" s="14">
        <f>IF(D913="","",IFERROR(INDEX('Sản phẩm'!$B$5:$B$304,MATCH(D913,'Sản phẩm'!$A$5:$A$304,0)),""))</f>
        <v/>
      </c>
      <c r="F913" s="12" t="n"/>
      <c r="G913" s="11" t="n"/>
      <c r="H913" s="11" t="n"/>
      <c r="I913" s="16">
        <f>IF(D913="","",IF(G913&lt;&gt;"",G913,IFERROR(INDEX('Sản phẩm'!$E$5:$E$304,MATCH(D913,'Sản phẩm'!$A$5:$A$304,0)),"")))</f>
        <v/>
      </c>
      <c r="J913" s="16">
        <f>IF(OR(D913="",F913=""),"",F913*I913-N(H913))</f>
        <v/>
      </c>
      <c r="K913" s="16">
        <f>IF(OR(D913="",F913=""),"",F913*IFERROR(INDEX('Sản phẩm'!$D$5:$D$304,MATCH(D913,'Sản phẩm'!$A$5:$A$304,0)),""))</f>
        <v/>
      </c>
      <c r="L913" s="16">
        <f>IF(J913="","",J913-K913)</f>
        <v/>
      </c>
      <c r="M913" s="14">
        <f>IF(A913="","",MONTH(A913))</f>
        <v/>
      </c>
      <c r="N913" s="14">
        <f>IF(A913="","",YEAR(A913))</f>
        <v/>
      </c>
    </row>
    <row r="914">
      <c r="A914" s="15" t="n"/>
      <c r="B914" s="10" t="n"/>
      <c r="C914" s="10" t="n"/>
      <c r="D914" s="10" t="n"/>
      <c r="E914" s="14">
        <f>IF(D914="","",IFERROR(INDEX('Sản phẩm'!$B$5:$B$304,MATCH(D914,'Sản phẩm'!$A$5:$A$304,0)),""))</f>
        <v/>
      </c>
      <c r="F914" s="12" t="n"/>
      <c r="G914" s="11" t="n"/>
      <c r="H914" s="11" t="n"/>
      <c r="I914" s="16">
        <f>IF(D914="","",IF(G914&lt;&gt;"",G914,IFERROR(INDEX('Sản phẩm'!$E$5:$E$304,MATCH(D914,'Sản phẩm'!$A$5:$A$304,0)),"")))</f>
        <v/>
      </c>
      <c r="J914" s="16">
        <f>IF(OR(D914="",F914=""),"",F914*I914-N(H914))</f>
        <v/>
      </c>
      <c r="K914" s="16">
        <f>IF(OR(D914="",F914=""),"",F914*IFERROR(INDEX('Sản phẩm'!$D$5:$D$304,MATCH(D914,'Sản phẩm'!$A$5:$A$304,0)),""))</f>
        <v/>
      </c>
      <c r="L914" s="16">
        <f>IF(J914="","",J914-K914)</f>
        <v/>
      </c>
      <c r="M914" s="14">
        <f>IF(A914="","",MONTH(A914))</f>
        <v/>
      </c>
      <c r="N914" s="14">
        <f>IF(A914="","",YEAR(A914))</f>
        <v/>
      </c>
    </row>
    <row r="915">
      <c r="A915" s="15" t="n"/>
      <c r="B915" s="10" t="n"/>
      <c r="C915" s="10" t="n"/>
      <c r="D915" s="10" t="n"/>
      <c r="E915" s="14">
        <f>IF(D915="","",IFERROR(INDEX('Sản phẩm'!$B$5:$B$304,MATCH(D915,'Sản phẩm'!$A$5:$A$304,0)),""))</f>
        <v/>
      </c>
      <c r="F915" s="12" t="n"/>
      <c r="G915" s="11" t="n"/>
      <c r="H915" s="11" t="n"/>
      <c r="I915" s="16">
        <f>IF(D915="","",IF(G915&lt;&gt;"",G915,IFERROR(INDEX('Sản phẩm'!$E$5:$E$304,MATCH(D915,'Sản phẩm'!$A$5:$A$304,0)),"")))</f>
        <v/>
      </c>
      <c r="J915" s="16">
        <f>IF(OR(D915="",F915=""),"",F915*I915-N(H915))</f>
        <v/>
      </c>
      <c r="K915" s="16">
        <f>IF(OR(D915="",F915=""),"",F915*IFERROR(INDEX('Sản phẩm'!$D$5:$D$304,MATCH(D915,'Sản phẩm'!$A$5:$A$304,0)),""))</f>
        <v/>
      </c>
      <c r="L915" s="16">
        <f>IF(J915="","",J915-K915)</f>
        <v/>
      </c>
      <c r="M915" s="14">
        <f>IF(A915="","",MONTH(A915))</f>
        <v/>
      </c>
      <c r="N915" s="14">
        <f>IF(A915="","",YEAR(A915))</f>
        <v/>
      </c>
    </row>
    <row r="916">
      <c r="A916" s="15" t="n"/>
      <c r="B916" s="10" t="n"/>
      <c r="C916" s="10" t="n"/>
      <c r="D916" s="10" t="n"/>
      <c r="E916" s="14">
        <f>IF(D916="","",IFERROR(INDEX('Sản phẩm'!$B$5:$B$304,MATCH(D916,'Sản phẩm'!$A$5:$A$304,0)),""))</f>
        <v/>
      </c>
      <c r="F916" s="12" t="n"/>
      <c r="G916" s="11" t="n"/>
      <c r="H916" s="11" t="n"/>
      <c r="I916" s="16">
        <f>IF(D916="","",IF(G916&lt;&gt;"",G916,IFERROR(INDEX('Sản phẩm'!$E$5:$E$304,MATCH(D916,'Sản phẩm'!$A$5:$A$304,0)),"")))</f>
        <v/>
      </c>
      <c r="J916" s="16">
        <f>IF(OR(D916="",F916=""),"",F916*I916-N(H916))</f>
        <v/>
      </c>
      <c r="K916" s="16">
        <f>IF(OR(D916="",F916=""),"",F916*IFERROR(INDEX('Sản phẩm'!$D$5:$D$304,MATCH(D916,'Sản phẩm'!$A$5:$A$304,0)),""))</f>
        <v/>
      </c>
      <c r="L916" s="16">
        <f>IF(J916="","",J916-K916)</f>
        <v/>
      </c>
      <c r="M916" s="14">
        <f>IF(A916="","",MONTH(A916))</f>
        <v/>
      </c>
      <c r="N916" s="14">
        <f>IF(A916="","",YEAR(A916))</f>
        <v/>
      </c>
    </row>
    <row r="917">
      <c r="A917" s="15" t="n"/>
      <c r="B917" s="10" t="n"/>
      <c r="C917" s="10" t="n"/>
      <c r="D917" s="10" t="n"/>
      <c r="E917" s="14">
        <f>IF(D917="","",IFERROR(INDEX('Sản phẩm'!$B$5:$B$304,MATCH(D917,'Sản phẩm'!$A$5:$A$304,0)),""))</f>
        <v/>
      </c>
      <c r="F917" s="12" t="n"/>
      <c r="G917" s="11" t="n"/>
      <c r="H917" s="11" t="n"/>
      <c r="I917" s="16">
        <f>IF(D917="","",IF(G917&lt;&gt;"",G917,IFERROR(INDEX('Sản phẩm'!$E$5:$E$304,MATCH(D917,'Sản phẩm'!$A$5:$A$304,0)),"")))</f>
        <v/>
      </c>
      <c r="J917" s="16">
        <f>IF(OR(D917="",F917=""),"",F917*I917-N(H917))</f>
        <v/>
      </c>
      <c r="K917" s="16">
        <f>IF(OR(D917="",F917=""),"",F917*IFERROR(INDEX('Sản phẩm'!$D$5:$D$304,MATCH(D917,'Sản phẩm'!$A$5:$A$304,0)),""))</f>
        <v/>
      </c>
      <c r="L917" s="16">
        <f>IF(J917="","",J917-K917)</f>
        <v/>
      </c>
      <c r="M917" s="14">
        <f>IF(A917="","",MONTH(A917))</f>
        <v/>
      </c>
      <c r="N917" s="14">
        <f>IF(A917="","",YEAR(A917))</f>
        <v/>
      </c>
    </row>
    <row r="918">
      <c r="A918" s="15" t="n"/>
      <c r="B918" s="10" t="n"/>
      <c r="C918" s="10" t="n"/>
      <c r="D918" s="10" t="n"/>
      <c r="E918" s="14">
        <f>IF(D918="","",IFERROR(INDEX('Sản phẩm'!$B$5:$B$304,MATCH(D918,'Sản phẩm'!$A$5:$A$304,0)),""))</f>
        <v/>
      </c>
      <c r="F918" s="12" t="n"/>
      <c r="G918" s="11" t="n"/>
      <c r="H918" s="11" t="n"/>
      <c r="I918" s="16">
        <f>IF(D918="","",IF(G918&lt;&gt;"",G918,IFERROR(INDEX('Sản phẩm'!$E$5:$E$304,MATCH(D918,'Sản phẩm'!$A$5:$A$304,0)),"")))</f>
        <v/>
      </c>
      <c r="J918" s="16">
        <f>IF(OR(D918="",F918=""),"",F918*I918-N(H918))</f>
        <v/>
      </c>
      <c r="K918" s="16">
        <f>IF(OR(D918="",F918=""),"",F918*IFERROR(INDEX('Sản phẩm'!$D$5:$D$304,MATCH(D918,'Sản phẩm'!$A$5:$A$304,0)),""))</f>
        <v/>
      </c>
      <c r="L918" s="16">
        <f>IF(J918="","",J918-K918)</f>
        <v/>
      </c>
      <c r="M918" s="14">
        <f>IF(A918="","",MONTH(A918))</f>
        <v/>
      </c>
      <c r="N918" s="14">
        <f>IF(A918="","",YEAR(A918))</f>
        <v/>
      </c>
    </row>
    <row r="919">
      <c r="A919" s="15" t="n"/>
      <c r="B919" s="10" t="n"/>
      <c r="C919" s="10" t="n"/>
      <c r="D919" s="10" t="n"/>
      <c r="E919" s="14">
        <f>IF(D919="","",IFERROR(INDEX('Sản phẩm'!$B$5:$B$304,MATCH(D919,'Sản phẩm'!$A$5:$A$304,0)),""))</f>
        <v/>
      </c>
      <c r="F919" s="12" t="n"/>
      <c r="G919" s="11" t="n"/>
      <c r="H919" s="11" t="n"/>
      <c r="I919" s="16">
        <f>IF(D919="","",IF(G919&lt;&gt;"",G919,IFERROR(INDEX('Sản phẩm'!$E$5:$E$304,MATCH(D919,'Sản phẩm'!$A$5:$A$304,0)),"")))</f>
        <v/>
      </c>
      <c r="J919" s="16">
        <f>IF(OR(D919="",F919=""),"",F919*I919-N(H919))</f>
        <v/>
      </c>
      <c r="K919" s="16">
        <f>IF(OR(D919="",F919=""),"",F919*IFERROR(INDEX('Sản phẩm'!$D$5:$D$304,MATCH(D919,'Sản phẩm'!$A$5:$A$304,0)),""))</f>
        <v/>
      </c>
      <c r="L919" s="16">
        <f>IF(J919="","",J919-K919)</f>
        <v/>
      </c>
      <c r="M919" s="14">
        <f>IF(A919="","",MONTH(A919))</f>
        <v/>
      </c>
      <c r="N919" s="14">
        <f>IF(A919="","",YEAR(A919))</f>
        <v/>
      </c>
    </row>
    <row r="920">
      <c r="A920" s="15" t="n"/>
      <c r="B920" s="10" t="n"/>
      <c r="C920" s="10" t="n"/>
      <c r="D920" s="10" t="n"/>
      <c r="E920" s="14">
        <f>IF(D920="","",IFERROR(INDEX('Sản phẩm'!$B$5:$B$304,MATCH(D920,'Sản phẩm'!$A$5:$A$304,0)),""))</f>
        <v/>
      </c>
      <c r="F920" s="12" t="n"/>
      <c r="G920" s="11" t="n"/>
      <c r="H920" s="11" t="n"/>
      <c r="I920" s="16">
        <f>IF(D920="","",IF(G920&lt;&gt;"",G920,IFERROR(INDEX('Sản phẩm'!$E$5:$E$304,MATCH(D920,'Sản phẩm'!$A$5:$A$304,0)),"")))</f>
        <v/>
      </c>
      <c r="J920" s="16">
        <f>IF(OR(D920="",F920=""),"",F920*I920-N(H920))</f>
        <v/>
      </c>
      <c r="K920" s="16">
        <f>IF(OR(D920="",F920=""),"",F920*IFERROR(INDEX('Sản phẩm'!$D$5:$D$304,MATCH(D920,'Sản phẩm'!$A$5:$A$304,0)),""))</f>
        <v/>
      </c>
      <c r="L920" s="16">
        <f>IF(J920="","",J920-K920)</f>
        <v/>
      </c>
      <c r="M920" s="14">
        <f>IF(A920="","",MONTH(A920))</f>
        <v/>
      </c>
      <c r="N920" s="14">
        <f>IF(A920="","",YEAR(A920))</f>
        <v/>
      </c>
    </row>
    <row r="921">
      <c r="A921" s="15" t="n"/>
      <c r="B921" s="10" t="n"/>
      <c r="C921" s="10" t="n"/>
      <c r="D921" s="10" t="n"/>
      <c r="E921" s="14">
        <f>IF(D921="","",IFERROR(INDEX('Sản phẩm'!$B$5:$B$304,MATCH(D921,'Sản phẩm'!$A$5:$A$304,0)),""))</f>
        <v/>
      </c>
      <c r="F921" s="12" t="n"/>
      <c r="G921" s="11" t="n"/>
      <c r="H921" s="11" t="n"/>
      <c r="I921" s="16">
        <f>IF(D921="","",IF(G921&lt;&gt;"",G921,IFERROR(INDEX('Sản phẩm'!$E$5:$E$304,MATCH(D921,'Sản phẩm'!$A$5:$A$304,0)),"")))</f>
        <v/>
      </c>
      <c r="J921" s="16">
        <f>IF(OR(D921="",F921=""),"",F921*I921-N(H921))</f>
        <v/>
      </c>
      <c r="K921" s="16">
        <f>IF(OR(D921="",F921=""),"",F921*IFERROR(INDEX('Sản phẩm'!$D$5:$D$304,MATCH(D921,'Sản phẩm'!$A$5:$A$304,0)),""))</f>
        <v/>
      </c>
      <c r="L921" s="16">
        <f>IF(J921="","",J921-K921)</f>
        <v/>
      </c>
      <c r="M921" s="14">
        <f>IF(A921="","",MONTH(A921))</f>
        <v/>
      </c>
      <c r="N921" s="14">
        <f>IF(A921="","",YEAR(A921))</f>
        <v/>
      </c>
    </row>
    <row r="922">
      <c r="A922" s="15" t="n"/>
      <c r="B922" s="10" t="n"/>
      <c r="C922" s="10" t="n"/>
      <c r="D922" s="10" t="n"/>
      <c r="E922" s="14">
        <f>IF(D922="","",IFERROR(INDEX('Sản phẩm'!$B$5:$B$304,MATCH(D922,'Sản phẩm'!$A$5:$A$304,0)),""))</f>
        <v/>
      </c>
      <c r="F922" s="12" t="n"/>
      <c r="G922" s="11" t="n"/>
      <c r="H922" s="11" t="n"/>
      <c r="I922" s="16">
        <f>IF(D922="","",IF(G922&lt;&gt;"",G922,IFERROR(INDEX('Sản phẩm'!$E$5:$E$304,MATCH(D922,'Sản phẩm'!$A$5:$A$304,0)),"")))</f>
        <v/>
      </c>
      <c r="J922" s="16">
        <f>IF(OR(D922="",F922=""),"",F922*I922-N(H922))</f>
        <v/>
      </c>
      <c r="K922" s="16">
        <f>IF(OR(D922="",F922=""),"",F922*IFERROR(INDEX('Sản phẩm'!$D$5:$D$304,MATCH(D922,'Sản phẩm'!$A$5:$A$304,0)),""))</f>
        <v/>
      </c>
      <c r="L922" s="16">
        <f>IF(J922="","",J922-K922)</f>
        <v/>
      </c>
      <c r="M922" s="14">
        <f>IF(A922="","",MONTH(A922))</f>
        <v/>
      </c>
      <c r="N922" s="14">
        <f>IF(A922="","",YEAR(A922))</f>
        <v/>
      </c>
    </row>
    <row r="923">
      <c r="A923" s="15" t="n"/>
      <c r="B923" s="10" t="n"/>
      <c r="C923" s="10" t="n"/>
      <c r="D923" s="10" t="n"/>
      <c r="E923" s="14">
        <f>IF(D923="","",IFERROR(INDEX('Sản phẩm'!$B$5:$B$304,MATCH(D923,'Sản phẩm'!$A$5:$A$304,0)),""))</f>
        <v/>
      </c>
      <c r="F923" s="12" t="n"/>
      <c r="G923" s="11" t="n"/>
      <c r="H923" s="11" t="n"/>
      <c r="I923" s="16">
        <f>IF(D923="","",IF(G923&lt;&gt;"",G923,IFERROR(INDEX('Sản phẩm'!$E$5:$E$304,MATCH(D923,'Sản phẩm'!$A$5:$A$304,0)),"")))</f>
        <v/>
      </c>
      <c r="J923" s="16">
        <f>IF(OR(D923="",F923=""),"",F923*I923-N(H923))</f>
        <v/>
      </c>
      <c r="K923" s="16">
        <f>IF(OR(D923="",F923=""),"",F923*IFERROR(INDEX('Sản phẩm'!$D$5:$D$304,MATCH(D923,'Sản phẩm'!$A$5:$A$304,0)),""))</f>
        <v/>
      </c>
      <c r="L923" s="16">
        <f>IF(J923="","",J923-K923)</f>
        <v/>
      </c>
      <c r="M923" s="14">
        <f>IF(A923="","",MONTH(A923))</f>
        <v/>
      </c>
      <c r="N923" s="14">
        <f>IF(A923="","",YEAR(A923))</f>
        <v/>
      </c>
    </row>
    <row r="924">
      <c r="A924" s="15" t="n"/>
      <c r="B924" s="10" t="n"/>
      <c r="C924" s="10" t="n"/>
      <c r="D924" s="10" t="n"/>
      <c r="E924" s="14">
        <f>IF(D924="","",IFERROR(INDEX('Sản phẩm'!$B$5:$B$304,MATCH(D924,'Sản phẩm'!$A$5:$A$304,0)),""))</f>
        <v/>
      </c>
      <c r="F924" s="12" t="n"/>
      <c r="G924" s="11" t="n"/>
      <c r="H924" s="11" t="n"/>
      <c r="I924" s="16">
        <f>IF(D924="","",IF(G924&lt;&gt;"",G924,IFERROR(INDEX('Sản phẩm'!$E$5:$E$304,MATCH(D924,'Sản phẩm'!$A$5:$A$304,0)),"")))</f>
        <v/>
      </c>
      <c r="J924" s="16">
        <f>IF(OR(D924="",F924=""),"",F924*I924-N(H924))</f>
        <v/>
      </c>
      <c r="K924" s="16">
        <f>IF(OR(D924="",F924=""),"",F924*IFERROR(INDEX('Sản phẩm'!$D$5:$D$304,MATCH(D924,'Sản phẩm'!$A$5:$A$304,0)),""))</f>
        <v/>
      </c>
      <c r="L924" s="16">
        <f>IF(J924="","",J924-K924)</f>
        <v/>
      </c>
      <c r="M924" s="14">
        <f>IF(A924="","",MONTH(A924))</f>
        <v/>
      </c>
      <c r="N924" s="14">
        <f>IF(A924="","",YEAR(A924))</f>
        <v/>
      </c>
    </row>
    <row r="925">
      <c r="A925" s="15" t="n"/>
      <c r="B925" s="10" t="n"/>
      <c r="C925" s="10" t="n"/>
      <c r="D925" s="10" t="n"/>
      <c r="E925" s="14">
        <f>IF(D925="","",IFERROR(INDEX('Sản phẩm'!$B$5:$B$304,MATCH(D925,'Sản phẩm'!$A$5:$A$304,0)),""))</f>
        <v/>
      </c>
      <c r="F925" s="12" t="n"/>
      <c r="G925" s="11" t="n"/>
      <c r="H925" s="11" t="n"/>
      <c r="I925" s="16">
        <f>IF(D925="","",IF(G925&lt;&gt;"",G925,IFERROR(INDEX('Sản phẩm'!$E$5:$E$304,MATCH(D925,'Sản phẩm'!$A$5:$A$304,0)),"")))</f>
        <v/>
      </c>
      <c r="J925" s="16">
        <f>IF(OR(D925="",F925=""),"",F925*I925-N(H925))</f>
        <v/>
      </c>
      <c r="K925" s="16">
        <f>IF(OR(D925="",F925=""),"",F925*IFERROR(INDEX('Sản phẩm'!$D$5:$D$304,MATCH(D925,'Sản phẩm'!$A$5:$A$304,0)),""))</f>
        <v/>
      </c>
      <c r="L925" s="16">
        <f>IF(J925="","",J925-K925)</f>
        <v/>
      </c>
      <c r="M925" s="14">
        <f>IF(A925="","",MONTH(A925))</f>
        <v/>
      </c>
      <c r="N925" s="14">
        <f>IF(A925="","",YEAR(A925))</f>
        <v/>
      </c>
    </row>
    <row r="926">
      <c r="A926" s="15" t="n"/>
      <c r="B926" s="10" t="n"/>
      <c r="C926" s="10" t="n"/>
      <c r="D926" s="10" t="n"/>
      <c r="E926" s="14">
        <f>IF(D926="","",IFERROR(INDEX('Sản phẩm'!$B$5:$B$304,MATCH(D926,'Sản phẩm'!$A$5:$A$304,0)),""))</f>
        <v/>
      </c>
      <c r="F926" s="12" t="n"/>
      <c r="G926" s="11" t="n"/>
      <c r="H926" s="11" t="n"/>
      <c r="I926" s="16">
        <f>IF(D926="","",IF(G926&lt;&gt;"",G926,IFERROR(INDEX('Sản phẩm'!$E$5:$E$304,MATCH(D926,'Sản phẩm'!$A$5:$A$304,0)),"")))</f>
        <v/>
      </c>
      <c r="J926" s="16">
        <f>IF(OR(D926="",F926=""),"",F926*I926-N(H926))</f>
        <v/>
      </c>
      <c r="K926" s="16">
        <f>IF(OR(D926="",F926=""),"",F926*IFERROR(INDEX('Sản phẩm'!$D$5:$D$304,MATCH(D926,'Sản phẩm'!$A$5:$A$304,0)),""))</f>
        <v/>
      </c>
      <c r="L926" s="16">
        <f>IF(J926="","",J926-K926)</f>
        <v/>
      </c>
      <c r="M926" s="14">
        <f>IF(A926="","",MONTH(A926))</f>
        <v/>
      </c>
      <c r="N926" s="14">
        <f>IF(A926="","",YEAR(A926))</f>
        <v/>
      </c>
    </row>
    <row r="927">
      <c r="A927" s="15" t="n"/>
      <c r="B927" s="10" t="n"/>
      <c r="C927" s="10" t="n"/>
      <c r="D927" s="10" t="n"/>
      <c r="E927" s="14">
        <f>IF(D927="","",IFERROR(INDEX('Sản phẩm'!$B$5:$B$304,MATCH(D927,'Sản phẩm'!$A$5:$A$304,0)),""))</f>
        <v/>
      </c>
      <c r="F927" s="12" t="n"/>
      <c r="G927" s="11" t="n"/>
      <c r="H927" s="11" t="n"/>
      <c r="I927" s="16">
        <f>IF(D927="","",IF(G927&lt;&gt;"",G927,IFERROR(INDEX('Sản phẩm'!$E$5:$E$304,MATCH(D927,'Sản phẩm'!$A$5:$A$304,0)),"")))</f>
        <v/>
      </c>
      <c r="J927" s="16">
        <f>IF(OR(D927="",F927=""),"",F927*I927-N(H927))</f>
        <v/>
      </c>
      <c r="K927" s="16">
        <f>IF(OR(D927="",F927=""),"",F927*IFERROR(INDEX('Sản phẩm'!$D$5:$D$304,MATCH(D927,'Sản phẩm'!$A$5:$A$304,0)),""))</f>
        <v/>
      </c>
      <c r="L927" s="16">
        <f>IF(J927="","",J927-K927)</f>
        <v/>
      </c>
      <c r="M927" s="14">
        <f>IF(A927="","",MONTH(A927))</f>
        <v/>
      </c>
      <c r="N927" s="14">
        <f>IF(A927="","",YEAR(A927))</f>
        <v/>
      </c>
    </row>
    <row r="928">
      <c r="A928" s="15" t="n"/>
      <c r="B928" s="10" t="n"/>
      <c r="C928" s="10" t="n"/>
      <c r="D928" s="10" t="n"/>
      <c r="E928" s="14">
        <f>IF(D928="","",IFERROR(INDEX('Sản phẩm'!$B$5:$B$304,MATCH(D928,'Sản phẩm'!$A$5:$A$304,0)),""))</f>
        <v/>
      </c>
      <c r="F928" s="12" t="n"/>
      <c r="G928" s="11" t="n"/>
      <c r="H928" s="11" t="n"/>
      <c r="I928" s="16">
        <f>IF(D928="","",IF(G928&lt;&gt;"",G928,IFERROR(INDEX('Sản phẩm'!$E$5:$E$304,MATCH(D928,'Sản phẩm'!$A$5:$A$304,0)),"")))</f>
        <v/>
      </c>
      <c r="J928" s="16">
        <f>IF(OR(D928="",F928=""),"",F928*I928-N(H928))</f>
        <v/>
      </c>
      <c r="K928" s="16">
        <f>IF(OR(D928="",F928=""),"",F928*IFERROR(INDEX('Sản phẩm'!$D$5:$D$304,MATCH(D928,'Sản phẩm'!$A$5:$A$304,0)),""))</f>
        <v/>
      </c>
      <c r="L928" s="16">
        <f>IF(J928="","",J928-K928)</f>
        <v/>
      </c>
      <c r="M928" s="14">
        <f>IF(A928="","",MONTH(A928))</f>
        <v/>
      </c>
      <c r="N928" s="14">
        <f>IF(A928="","",YEAR(A928))</f>
        <v/>
      </c>
    </row>
    <row r="929">
      <c r="A929" s="15" t="n"/>
      <c r="B929" s="10" t="n"/>
      <c r="C929" s="10" t="n"/>
      <c r="D929" s="10" t="n"/>
      <c r="E929" s="14">
        <f>IF(D929="","",IFERROR(INDEX('Sản phẩm'!$B$5:$B$304,MATCH(D929,'Sản phẩm'!$A$5:$A$304,0)),""))</f>
        <v/>
      </c>
      <c r="F929" s="12" t="n"/>
      <c r="G929" s="11" t="n"/>
      <c r="H929" s="11" t="n"/>
      <c r="I929" s="16">
        <f>IF(D929="","",IF(G929&lt;&gt;"",G929,IFERROR(INDEX('Sản phẩm'!$E$5:$E$304,MATCH(D929,'Sản phẩm'!$A$5:$A$304,0)),"")))</f>
        <v/>
      </c>
      <c r="J929" s="16">
        <f>IF(OR(D929="",F929=""),"",F929*I929-N(H929))</f>
        <v/>
      </c>
      <c r="K929" s="16">
        <f>IF(OR(D929="",F929=""),"",F929*IFERROR(INDEX('Sản phẩm'!$D$5:$D$304,MATCH(D929,'Sản phẩm'!$A$5:$A$304,0)),""))</f>
        <v/>
      </c>
      <c r="L929" s="16">
        <f>IF(J929="","",J929-K929)</f>
        <v/>
      </c>
      <c r="M929" s="14">
        <f>IF(A929="","",MONTH(A929))</f>
        <v/>
      </c>
      <c r="N929" s="14">
        <f>IF(A929="","",YEAR(A929))</f>
        <v/>
      </c>
    </row>
    <row r="930">
      <c r="A930" s="15" t="n"/>
      <c r="B930" s="10" t="n"/>
      <c r="C930" s="10" t="n"/>
      <c r="D930" s="10" t="n"/>
      <c r="E930" s="14">
        <f>IF(D930="","",IFERROR(INDEX('Sản phẩm'!$B$5:$B$304,MATCH(D930,'Sản phẩm'!$A$5:$A$304,0)),""))</f>
        <v/>
      </c>
      <c r="F930" s="12" t="n"/>
      <c r="G930" s="11" t="n"/>
      <c r="H930" s="11" t="n"/>
      <c r="I930" s="16">
        <f>IF(D930="","",IF(G930&lt;&gt;"",G930,IFERROR(INDEX('Sản phẩm'!$E$5:$E$304,MATCH(D930,'Sản phẩm'!$A$5:$A$304,0)),"")))</f>
        <v/>
      </c>
      <c r="J930" s="16">
        <f>IF(OR(D930="",F930=""),"",F930*I930-N(H930))</f>
        <v/>
      </c>
      <c r="K930" s="16">
        <f>IF(OR(D930="",F930=""),"",F930*IFERROR(INDEX('Sản phẩm'!$D$5:$D$304,MATCH(D930,'Sản phẩm'!$A$5:$A$304,0)),""))</f>
        <v/>
      </c>
      <c r="L930" s="16">
        <f>IF(J930="","",J930-K930)</f>
        <v/>
      </c>
      <c r="M930" s="14">
        <f>IF(A930="","",MONTH(A930))</f>
        <v/>
      </c>
      <c r="N930" s="14">
        <f>IF(A930="","",YEAR(A930))</f>
        <v/>
      </c>
    </row>
    <row r="931">
      <c r="A931" s="15" t="n"/>
      <c r="B931" s="10" t="n"/>
      <c r="C931" s="10" t="n"/>
      <c r="D931" s="10" t="n"/>
      <c r="E931" s="14">
        <f>IF(D931="","",IFERROR(INDEX('Sản phẩm'!$B$5:$B$304,MATCH(D931,'Sản phẩm'!$A$5:$A$304,0)),""))</f>
        <v/>
      </c>
      <c r="F931" s="12" t="n"/>
      <c r="G931" s="11" t="n"/>
      <c r="H931" s="11" t="n"/>
      <c r="I931" s="16">
        <f>IF(D931="","",IF(G931&lt;&gt;"",G931,IFERROR(INDEX('Sản phẩm'!$E$5:$E$304,MATCH(D931,'Sản phẩm'!$A$5:$A$304,0)),"")))</f>
        <v/>
      </c>
      <c r="J931" s="16">
        <f>IF(OR(D931="",F931=""),"",F931*I931-N(H931))</f>
        <v/>
      </c>
      <c r="K931" s="16">
        <f>IF(OR(D931="",F931=""),"",F931*IFERROR(INDEX('Sản phẩm'!$D$5:$D$304,MATCH(D931,'Sản phẩm'!$A$5:$A$304,0)),""))</f>
        <v/>
      </c>
      <c r="L931" s="16">
        <f>IF(J931="","",J931-K931)</f>
        <v/>
      </c>
      <c r="M931" s="14">
        <f>IF(A931="","",MONTH(A931))</f>
        <v/>
      </c>
      <c r="N931" s="14">
        <f>IF(A931="","",YEAR(A931))</f>
        <v/>
      </c>
    </row>
    <row r="932">
      <c r="A932" s="15" t="n"/>
      <c r="B932" s="10" t="n"/>
      <c r="C932" s="10" t="n"/>
      <c r="D932" s="10" t="n"/>
      <c r="E932" s="14">
        <f>IF(D932="","",IFERROR(INDEX('Sản phẩm'!$B$5:$B$304,MATCH(D932,'Sản phẩm'!$A$5:$A$304,0)),""))</f>
        <v/>
      </c>
      <c r="F932" s="12" t="n"/>
      <c r="G932" s="11" t="n"/>
      <c r="H932" s="11" t="n"/>
      <c r="I932" s="16">
        <f>IF(D932="","",IF(G932&lt;&gt;"",G932,IFERROR(INDEX('Sản phẩm'!$E$5:$E$304,MATCH(D932,'Sản phẩm'!$A$5:$A$304,0)),"")))</f>
        <v/>
      </c>
      <c r="J932" s="16">
        <f>IF(OR(D932="",F932=""),"",F932*I932-N(H932))</f>
        <v/>
      </c>
      <c r="K932" s="16">
        <f>IF(OR(D932="",F932=""),"",F932*IFERROR(INDEX('Sản phẩm'!$D$5:$D$304,MATCH(D932,'Sản phẩm'!$A$5:$A$304,0)),""))</f>
        <v/>
      </c>
      <c r="L932" s="16">
        <f>IF(J932="","",J932-K932)</f>
        <v/>
      </c>
      <c r="M932" s="14">
        <f>IF(A932="","",MONTH(A932))</f>
        <v/>
      </c>
      <c r="N932" s="14">
        <f>IF(A932="","",YEAR(A932))</f>
        <v/>
      </c>
    </row>
    <row r="933">
      <c r="A933" s="15" t="n"/>
      <c r="B933" s="10" t="n"/>
      <c r="C933" s="10" t="n"/>
      <c r="D933" s="10" t="n"/>
      <c r="E933" s="14">
        <f>IF(D933="","",IFERROR(INDEX('Sản phẩm'!$B$5:$B$304,MATCH(D933,'Sản phẩm'!$A$5:$A$304,0)),""))</f>
        <v/>
      </c>
      <c r="F933" s="12" t="n"/>
      <c r="G933" s="11" t="n"/>
      <c r="H933" s="11" t="n"/>
      <c r="I933" s="16">
        <f>IF(D933="","",IF(G933&lt;&gt;"",G933,IFERROR(INDEX('Sản phẩm'!$E$5:$E$304,MATCH(D933,'Sản phẩm'!$A$5:$A$304,0)),"")))</f>
        <v/>
      </c>
      <c r="J933" s="16">
        <f>IF(OR(D933="",F933=""),"",F933*I933-N(H933))</f>
        <v/>
      </c>
      <c r="K933" s="16">
        <f>IF(OR(D933="",F933=""),"",F933*IFERROR(INDEX('Sản phẩm'!$D$5:$D$304,MATCH(D933,'Sản phẩm'!$A$5:$A$304,0)),""))</f>
        <v/>
      </c>
      <c r="L933" s="16">
        <f>IF(J933="","",J933-K933)</f>
        <v/>
      </c>
      <c r="M933" s="14">
        <f>IF(A933="","",MONTH(A933))</f>
        <v/>
      </c>
      <c r="N933" s="14">
        <f>IF(A933="","",YEAR(A933))</f>
        <v/>
      </c>
    </row>
    <row r="934">
      <c r="A934" s="15" t="n"/>
      <c r="B934" s="10" t="n"/>
      <c r="C934" s="10" t="n"/>
      <c r="D934" s="10" t="n"/>
      <c r="E934" s="14">
        <f>IF(D934="","",IFERROR(INDEX('Sản phẩm'!$B$5:$B$304,MATCH(D934,'Sản phẩm'!$A$5:$A$304,0)),""))</f>
        <v/>
      </c>
      <c r="F934" s="12" t="n"/>
      <c r="G934" s="11" t="n"/>
      <c r="H934" s="11" t="n"/>
      <c r="I934" s="16">
        <f>IF(D934="","",IF(G934&lt;&gt;"",G934,IFERROR(INDEX('Sản phẩm'!$E$5:$E$304,MATCH(D934,'Sản phẩm'!$A$5:$A$304,0)),"")))</f>
        <v/>
      </c>
      <c r="J934" s="16">
        <f>IF(OR(D934="",F934=""),"",F934*I934-N(H934))</f>
        <v/>
      </c>
      <c r="K934" s="16">
        <f>IF(OR(D934="",F934=""),"",F934*IFERROR(INDEX('Sản phẩm'!$D$5:$D$304,MATCH(D934,'Sản phẩm'!$A$5:$A$304,0)),""))</f>
        <v/>
      </c>
      <c r="L934" s="16">
        <f>IF(J934="","",J934-K934)</f>
        <v/>
      </c>
      <c r="M934" s="14">
        <f>IF(A934="","",MONTH(A934))</f>
        <v/>
      </c>
      <c r="N934" s="14">
        <f>IF(A934="","",YEAR(A934))</f>
        <v/>
      </c>
    </row>
    <row r="935">
      <c r="A935" s="15" t="n"/>
      <c r="B935" s="10" t="n"/>
      <c r="C935" s="10" t="n"/>
      <c r="D935" s="10" t="n"/>
      <c r="E935" s="14">
        <f>IF(D935="","",IFERROR(INDEX('Sản phẩm'!$B$5:$B$304,MATCH(D935,'Sản phẩm'!$A$5:$A$304,0)),""))</f>
        <v/>
      </c>
      <c r="F935" s="12" t="n"/>
      <c r="G935" s="11" t="n"/>
      <c r="H935" s="11" t="n"/>
      <c r="I935" s="16">
        <f>IF(D935="","",IF(G935&lt;&gt;"",G935,IFERROR(INDEX('Sản phẩm'!$E$5:$E$304,MATCH(D935,'Sản phẩm'!$A$5:$A$304,0)),"")))</f>
        <v/>
      </c>
      <c r="J935" s="16">
        <f>IF(OR(D935="",F935=""),"",F935*I935-N(H935))</f>
        <v/>
      </c>
      <c r="K935" s="16">
        <f>IF(OR(D935="",F935=""),"",F935*IFERROR(INDEX('Sản phẩm'!$D$5:$D$304,MATCH(D935,'Sản phẩm'!$A$5:$A$304,0)),""))</f>
        <v/>
      </c>
      <c r="L935" s="16">
        <f>IF(J935="","",J935-K935)</f>
        <v/>
      </c>
      <c r="M935" s="14">
        <f>IF(A935="","",MONTH(A935))</f>
        <v/>
      </c>
      <c r="N935" s="14">
        <f>IF(A935="","",YEAR(A935))</f>
        <v/>
      </c>
    </row>
    <row r="936">
      <c r="A936" s="15" t="n"/>
      <c r="B936" s="10" t="n"/>
      <c r="C936" s="10" t="n"/>
      <c r="D936" s="10" t="n"/>
      <c r="E936" s="14">
        <f>IF(D936="","",IFERROR(INDEX('Sản phẩm'!$B$5:$B$304,MATCH(D936,'Sản phẩm'!$A$5:$A$304,0)),""))</f>
        <v/>
      </c>
      <c r="F936" s="12" t="n"/>
      <c r="G936" s="11" t="n"/>
      <c r="H936" s="11" t="n"/>
      <c r="I936" s="16">
        <f>IF(D936="","",IF(G936&lt;&gt;"",G936,IFERROR(INDEX('Sản phẩm'!$E$5:$E$304,MATCH(D936,'Sản phẩm'!$A$5:$A$304,0)),"")))</f>
        <v/>
      </c>
      <c r="J936" s="16">
        <f>IF(OR(D936="",F936=""),"",F936*I936-N(H936))</f>
        <v/>
      </c>
      <c r="K936" s="16">
        <f>IF(OR(D936="",F936=""),"",F936*IFERROR(INDEX('Sản phẩm'!$D$5:$D$304,MATCH(D936,'Sản phẩm'!$A$5:$A$304,0)),""))</f>
        <v/>
      </c>
      <c r="L936" s="16">
        <f>IF(J936="","",J936-K936)</f>
        <v/>
      </c>
      <c r="M936" s="14">
        <f>IF(A936="","",MONTH(A936))</f>
        <v/>
      </c>
      <c r="N936" s="14">
        <f>IF(A936="","",YEAR(A936))</f>
        <v/>
      </c>
    </row>
    <row r="937">
      <c r="A937" s="15" t="n"/>
      <c r="B937" s="10" t="n"/>
      <c r="C937" s="10" t="n"/>
      <c r="D937" s="10" t="n"/>
      <c r="E937" s="14">
        <f>IF(D937="","",IFERROR(INDEX('Sản phẩm'!$B$5:$B$304,MATCH(D937,'Sản phẩm'!$A$5:$A$304,0)),""))</f>
        <v/>
      </c>
      <c r="F937" s="12" t="n"/>
      <c r="G937" s="11" t="n"/>
      <c r="H937" s="11" t="n"/>
      <c r="I937" s="16">
        <f>IF(D937="","",IF(G937&lt;&gt;"",G937,IFERROR(INDEX('Sản phẩm'!$E$5:$E$304,MATCH(D937,'Sản phẩm'!$A$5:$A$304,0)),"")))</f>
        <v/>
      </c>
      <c r="J937" s="16">
        <f>IF(OR(D937="",F937=""),"",F937*I937-N(H937))</f>
        <v/>
      </c>
      <c r="K937" s="16">
        <f>IF(OR(D937="",F937=""),"",F937*IFERROR(INDEX('Sản phẩm'!$D$5:$D$304,MATCH(D937,'Sản phẩm'!$A$5:$A$304,0)),""))</f>
        <v/>
      </c>
      <c r="L937" s="16">
        <f>IF(J937="","",J937-K937)</f>
        <v/>
      </c>
      <c r="M937" s="14">
        <f>IF(A937="","",MONTH(A937))</f>
        <v/>
      </c>
      <c r="N937" s="14">
        <f>IF(A937="","",YEAR(A937))</f>
        <v/>
      </c>
    </row>
    <row r="938">
      <c r="A938" s="15" t="n"/>
      <c r="B938" s="10" t="n"/>
      <c r="C938" s="10" t="n"/>
      <c r="D938" s="10" t="n"/>
      <c r="E938" s="14">
        <f>IF(D938="","",IFERROR(INDEX('Sản phẩm'!$B$5:$B$304,MATCH(D938,'Sản phẩm'!$A$5:$A$304,0)),""))</f>
        <v/>
      </c>
      <c r="F938" s="12" t="n"/>
      <c r="G938" s="11" t="n"/>
      <c r="H938" s="11" t="n"/>
      <c r="I938" s="16">
        <f>IF(D938="","",IF(G938&lt;&gt;"",G938,IFERROR(INDEX('Sản phẩm'!$E$5:$E$304,MATCH(D938,'Sản phẩm'!$A$5:$A$304,0)),"")))</f>
        <v/>
      </c>
      <c r="J938" s="16">
        <f>IF(OR(D938="",F938=""),"",F938*I938-N(H938))</f>
        <v/>
      </c>
      <c r="K938" s="16">
        <f>IF(OR(D938="",F938=""),"",F938*IFERROR(INDEX('Sản phẩm'!$D$5:$D$304,MATCH(D938,'Sản phẩm'!$A$5:$A$304,0)),""))</f>
        <v/>
      </c>
      <c r="L938" s="16">
        <f>IF(J938="","",J938-K938)</f>
        <v/>
      </c>
      <c r="M938" s="14">
        <f>IF(A938="","",MONTH(A938))</f>
        <v/>
      </c>
      <c r="N938" s="14">
        <f>IF(A938="","",YEAR(A938))</f>
        <v/>
      </c>
    </row>
    <row r="939">
      <c r="A939" s="15" t="n"/>
      <c r="B939" s="10" t="n"/>
      <c r="C939" s="10" t="n"/>
      <c r="D939" s="10" t="n"/>
      <c r="E939" s="14">
        <f>IF(D939="","",IFERROR(INDEX('Sản phẩm'!$B$5:$B$304,MATCH(D939,'Sản phẩm'!$A$5:$A$304,0)),""))</f>
        <v/>
      </c>
      <c r="F939" s="12" t="n"/>
      <c r="G939" s="11" t="n"/>
      <c r="H939" s="11" t="n"/>
      <c r="I939" s="16">
        <f>IF(D939="","",IF(G939&lt;&gt;"",G939,IFERROR(INDEX('Sản phẩm'!$E$5:$E$304,MATCH(D939,'Sản phẩm'!$A$5:$A$304,0)),"")))</f>
        <v/>
      </c>
      <c r="J939" s="16">
        <f>IF(OR(D939="",F939=""),"",F939*I939-N(H939))</f>
        <v/>
      </c>
      <c r="K939" s="16">
        <f>IF(OR(D939="",F939=""),"",F939*IFERROR(INDEX('Sản phẩm'!$D$5:$D$304,MATCH(D939,'Sản phẩm'!$A$5:$A$304,0)),""))</f>
        <v/>
      </c>
      <c r="L939" s="16">
        <f>IF(J939="","",J939-K939)</f>
        <v/>
      </c>
      <c r="M939" s="14">
        <f>IF(A939="","",MONTH(A939))</f>
        <v/>
      </c>
      <c r="N939" s="14">
        <f>IF(A939="","",YEAR(A939))</f>
        <v/>
      </c>
    </row>
    <row r="940">
      <c r="A940" s="15" t="n"/>
      <c r="B940" s="10" t="n"/>
      <c r="C940" s="10" t="n"/>
      <c r="D940" s="10" t="n"/>
      <c r="E940" s="14">
        <f>IF(D940="","",IFERROR(INDEX('Sản phẩm'!$B$5:$B$304,MATCH(D940,'Sản phẩm'!$A$5:$A$304,0)),""))</f>
        <v/>
      </c>
      <c r="F940" s="12" t="n"/>
      <c r="G940" s="11" t="n"/>
      <c r="H940" s="11" t="n"/>
      <c r="I940" s="16">
        <f>IF(D940="","",IF(G940&lt;&gt;"",G940,IFERROR(INDEX('Sản phẩm'!$E$5:$E$304,MATCH(D940,'Sản phẩm'!$A$5:$A$304,0)),"")))</f>
        <v/>
      </c>
      <c r="J940" s="16">
        <f>IF(OR(D940="",F940=""),"",F940*I940-N(H940))</f>
        <v/>
      </c>
      <c r="K940" s="16">
        <f>IF(OR(D940="",F940=""),"",F940*IFERROR(INDEX('Sản phẩm'!$D$5:$D$304,MATCH(D940,'Sản phẩm'!$A$5:$A$304,0)),""))</f>
        <v/>
      </c>
      <c r="L940" s="16">
        <f>IF(J940="","",J940-K940)</f>
        <v/>
      </c>
      <c r="M940" s="14">
        <f>IF(A940="","",MONTH(A940))</f>
        <v/>
      </c>
      <c r="N940" s="14">
        <f>IF(A940="","",YEAR(A940))</f>
        <v/>
      </c>
    </row>
    <row r="941">
      <c r="A941" s="15" t="n"/>
      <c r="B941" s="10" t="n"/>
      <c r="C941" s="10" t="n"/>
      <c r="D941" s="10" t="n"/>
      <c r="E941" s="14">
        <f>IF(D941="","",IFERROR(INDEX('Sản phẩm'!$B$5:$B$304,MATCH(D941,'Sản phẩm'!$A$5:$A$304,0)),""))</f>
        <v/>
      </c>
      <c r="F941" s="12" t="n"/>
      <c r="G941" s="11" t="n"/>
      <c r="H941" s="11" t="n"/>
      <c r="I941" s="16">
        <f>IF(D941="","",IF(G941&lt;&gt;"",G941,IFERROR(INDEX('Sản phẩm'!$E$5:$E$304,MATCH(D941,'Sản phẩm'!$A$5:$A$304,0)),"")))</f>
        <v/>
      </c>
      <c r="J941" s="16">
        <f>IF(OR(D941="",F941=""),"",F941*I941-N(H941))</f>
        <v/>
      </c>
      <c r="K941" s="16">
        <f>IF(OR(D941="",F941=""),"",F941*IFERROR(INDEX('Sản phẩm'!$D$5:$D$304,MATCH(D941,'Sản phẩm'!$A$5:$A$304,0)),""))</f>
        <v/>
      </c>
      <c r="L941" s="16">
        <f>IF(J941="","",J941-K941)</f>
        <v/>
      </c>
      <c r="M941" s="14">
        <f>IF(A941="","",MONTH(A941))</f>
        <v/>
      </c>
      <c r="N941" s="14">
        <f>IF(A941="","",YEAR(A941))</f>
        <v/>
      </c>
    </row>
    <row r="942">
      <c r="A942" s="15" t="n"/>
      <c r="B942" s="10" t="n"/>
      <c r="C942" s="10" t="n"/>
      <c r="D942" s="10" t="n"/>
      <c r="E942" s="14">
        <f>IF(D942="","",IFERROR(INDEX('Sản phẩm'!$B$5:$B$304,MATCH(D942,'Sản phẩm'!$A$5:$A$304,0)),""))</f>
        <v/>
      </c>
      <c r="F942" s="12" t="n"/>
      <c r="G942" s="11" t="n"/>
      <c r="H942" s="11" t="n"/>
      <c r="I942" s="16">
        <f>IF(D942="","",IF(G942&lt;&gt;"",G942,IFERROR(INDEX('Sản phẩm'!$E$5:$E$304,MATCH(D942,'Sản phẩm'!$A$5:$A$304,0)),"")))</f>
        <v/>
      </c>
      <c r="J942" s="16">
        <f>IF(OR(D942="",F942=""),"",F942*I942-N(H942))</f>
        <v/>
      </c>
      <c r="K942" s="16">
        <f>IF(OR(D942="",F942=""),"",F942*IFERROR(INDEX('Sản phẩm'!$D$5:$D$304,MATCH(D942,'Sản phẩm'!$A$5:$A$304,0)),""))</f>
        <v/>
      </c>
      <c r="L942" s="16">
        <f>IF(J942="","",J942-K942)</f>
        <v/>
      </c>
      <c r="M942" s="14">
        <f>IF(A942="","",MONTH(A942))</f>
        <v/>
      </c>
      <c r="N942" s="14">
        <f>IF(A942="","",YEAR(A942))</f>
        <v/>
      </c>
    </row>
    <row r="943">
      <c r="A943" s="15" t="n"/>
      <c r="B943" s="10" t="n"/>
      <c r="C943" s="10" t="n"/>
      <c r="D943" s="10" t="n"/>
      <c r="E943" s="14">
        <f>IF(D943="","",IFERROR(INDEX('Sản phẩm'!$B$5:$B$304,MATCH(D943,'Sản phẩm'!$A$5:$A$304,0)),""))</f>
        <v/>
      </c>
      <c r="F943" s="12" t="n"/>
      <c r="G943" s="11" t="n"/>
      <c r="H943" s="11" t="n"/>
      <c r="I943" s="16">
        <f>IF(D943="","",IF(G943&lt;&gt;"",G943,IFERROR(INDEX('Sản phẩm'!$E$5:$E$304,MATCH(D943,'Sản phẩm'!$A$5:$A$304,0)),"")))</f>
        <v/>
      </c>
      <c r="J943" s="16">
        <f>IF(OR(D943="",F943=""),"",F943*I943-N(H943))</f>
        <v/>
      </c>
      <c r="K943" s="16">
        <f>IF(OR(D943="",F943=""),"",F943*IFERROR(INDEX('Sản phẩm'!$D$5:$D$304,MATCH(D943,'Sản phẩm'!$A$5:$A$304,0)),""))</f>
        <v/>
      </c>
      <c r="L943" s="16">
        <f>IF(J943="","",J943-K943)</f>
        <v/>
      </c>
      <c r="M943" s="14">
        <f>IF(A943="","",MONTH(A943))</f>
        <v/>
      </c>
      <c r="N943" s="14">
        <f>IF(A943="","",YEAR(A943))</f>
        <v/>
      </c>
    </row>
    <row r="944">
      <c r="A944" s="15" t="n"/>
      <c r="B944" s="10" t="n"/>
      <c r="C944" s="10" t="n"/>
      <c r="D944" s="10" t="n"/>
      <c r="E944" s="14">
        <f>IF(D944="","",IFERROR(INDEX('Sản phẩm'!$B$5:$B$304,MATCH(D944,'Sản phẩm'!$A$5:$A$304,0)),""))</f>
        <v/>
      </c>
      <c r="F944" s="12" t="n"/>
      <c r="G944" s="11" t="n"/>
      <c r="H944" s="11" t="n"/>
      <c r="I944" s="16">
        <f>IF(D944="","",IF(G944&lt;&gt;"",G944,IFERROR(INDEX('Sản phẩm'!$E$5:$E$304,MATCH(D944,'Sản phẩm'!$A$5:$A$304,0)),"")))</f>
        <v/>
      </c>
      <c r="J944" s="16">
        <f>IF(OR(D944="",F944=""),"",F944*I944-N(H944))</f>
        <v/>
      </c>
      <c r="K944" s="16">
        <f>IF(OR(D944="",F944=""),"",F944*IFERROR(INDEX('Sản phẩm'!$D$5:$D$304,MATCH(D944,'Sản phẩm'!$A$5:$A$304,0)),""))</f>
        <v/>
      </c>
      <c r="L944" s="16">
        <f>IF(J944="","",J944-K944)</f>
        <v/>
      </c>
      <c r="M944" s="14">
        <f>IF(A944="","",MONTH(A944))</f>
        <v/>
      </c>
      <c r="N944" s="14">
        <f>IF(A944="","",YEAR(A944))</f>
        <v/>
      </c>
    </row>
    <row r="945">
      <c r="A945" s="15" t="n"/>
      <c r="B945" s="10" t="n"/>
      <c r="C945" s="10" t="n"/>
      <c r="D945" s="10" t="n"/>
      <c r="E945" s="14">
        <f>IF(D945="","",IFERROR(INDEX('Sản phẩm'!$B$5:$B$304,MATCH(D945,'Sản phẩm'!$A$5:$A$304,0)),""))</f>
        <v/>
      </c>
      <c r="F945" s="12" t="n"/>
      <c r="G945" s="11" t="n"/>
      <c r="H945" s="11" t="n"/>
      <c r="I945" s="16">
        <f>IF(D945="","",IF(G945&lt;&gt;"",G945,IFERROR(INDEX('Sản phẩm'!$E$5:$E$304,MATCH(D945,'Sản phẩm'!$A$5:$A$304,0)),"")))</f>
        <v/>
      </c>
      <c r="J945" s="16">
        <f>IF(OR(D945="",F945=""),"",F945*I945-N(H945))</f>
        <v/>
      </c>
      <c r="K945" s="16">
        <f>IF(OR(D945="",F945=""),"",F945*IFERROR(INDEX('Sản phẩm'!$D$5:$D$304,MATCH(D945,'Sản phẩm'!$A$5:$A$304,0)),""))</f>
        <v/>
      </c>
      <c r="L945" s="16">
        <f>IF(J945="","",J945-K945)</f>
        <v/>
      </c>
      <c r="M945" s="14">
        <f>IF(A945="","",MONTH(A945))</f>
        <v/>
      </c>
      <c r="N945" s="14">
        <f>IF(A945="","",YEAR(A945))</f>
        <v/>
      </c>
    </row>
    <row r="946">
      <c r="A946" s="15" t="n"/>
      <c r="B946" s="10" t="n"/>
      <c r="C946" s="10" t="n"/>
      <c r="D946" s="10" t="n"/>
      <c r="E946" s="14">
        <f>IF(D946="","",IFERROR(INDEX('Sản phẩm'!$B$5:$B$304,MATCH(D946,'Sản phẩm'!$A$5:$A$304,0)),""))</f>
        <v/>
      </c>
      <c r="F946" s="12" t="n"/>
      <c r="G946" s="11" t="n"/>
      <c r="H946" s="11" t="n"/>
      <c r="I946" s="16">
        <f>IF(D946="","",IF(G946&lt;&gt;"",G946,IFERROR(INDEX('Sản phẩm'!$E$5:$E$304,MATCH(D946,'Sản phẩm'!$A$5:$A$304,0)),"")))</f>
        <v/>
      </c>
      <c r="J946" s="16">
        <f>IF(OR(D946="",F946=""),"",F946*I946-N(H946))</f>
        <v/>
      </c>
      <c r="K946" s="16">
        <f>IF(OR(D946="",F946=""),"",F946*IFERROR(INDEX('Sản phẩm'!$D$5:$D$304,MATCH(D946,'Sản phẩm'!$A$5:$A$304,0)),""))</f>
        <v/>
      </c>
      <c r="L946" s="16">
        <f>IF(J946="","",J946-K946)</f>
        <v/>
      </c>
      <c r="M946" s="14">
        <f>IF(A946="","",MONTH(A946))</f>
        <v/>
      </c>
      <c r="N946" s="14">
        <f>IF(A946="","",YEAR(A946))</f>
        <v/>
      </c>
    </row>
    <row r="947">
      <c r="A947" s="15" t="n"/>
      <c r="B947" s="10" t="n"/>
      <c r="C947" s="10" t="n"/>
      <c r="D947" s="10" t="n"/>
      <c r="E947" s="14">
        <f>IF(D947="","",IFERROR(INDEX('Sản phẩm'!$B$5:$B$304,MATCH(D947,'Sản phẩm'!$A$5:$A$304,0)),""))</f>
        <v/>
      </c>
      <c r="F947" s="12" t="n"/>
      <c r="G947" s="11" t="n"/>
      <c r="H947" s="11" t="n"/>
      <c r="I947" s="16">
        <f>IF(D947="","",IF(G947&lt;&gt;"",G947,IFERROR(INDEX('Sản phẩm'!$E$5:$E$304,MATCH(D947,'Sản phẩm'!$A$5:$A$304,0)),"")))</f>
        <v/>
      </c>
      <c r="J947" s="16">
        <f>IF(OR(D947="",F947=""),"",F947*I947-N(H947))</f>
        <v/>
      </c>
      <c r="K947" s="16">
        <f>IF(OR(D947="",F947=""),"",F947*IFERROR(INDEX('Sản phẩm'!$D$5:$D$304,MATCH(D947,'Sản phẩm'!$A$5:$A$304,0)),""))</f>
        <v/>
      </c>
      <c r="L947" s="16">
        <f>IF(J947="","",J947-K947)</f>
        <v/>
      </c>
      <c r="M947" s="14">
        <f>IF(A947="","",MONTH(A947))</f>
        <v/>
      </c>
      <c r="N947" s="14">
        <f>IF(A947="","",YEAR(A947))</f>
        <v/>
      </c>
    </row>
    <row r="948">
      <c r="A948" s="15" t="n"/>
      <c r="B948" s="10" t="n"/>
      <c r="C948" s="10" t="n"/>
      <c r="D948" s="10" t="n"/>
      <c r="E948" s="14">
        <f>IF(D948="","",IFERROR(INDEX('Sản phẩm'!$B$5:$B$304,MATCH(D948,'Sản phẩm'!$A$5:$A$304,0)),""))</f>
        <v/>
      </c>
      <c r="F948" s="12" t="n"/>
      <c r="G948" s="11" t="n"/>
      <c r="H948" s="11" t="n"/>
      <c r="I948" s="16">
        <f>IF(D948="","",IF(G948&lt;&gt;"",G948,IFERROR(INDEX('Sản phẩm'!$E$5:$E$304,MATCH(D948,'Sản phẩm'!$A$5:$A$304,0)),"")))</f>
        <v/>
      </c>
      <c r="J948" s="16">
        <f>IF(OR(D948="",F948=""),"",F948*I948-N(H948))</f>
        <v/>
      </c>
      <c r="K948" s="16">
        <f>IF(OR(D948="",F948=""),"",F948*IFERROR(INDEX('Sản phẩm'!$D$5:$D$304,MATCH(D948,'Sản phẩm'!$A$5:$A$304,0)),""))</f>
        <v/>
      </c>
      <c r="L948" s="16">
        <f>IF(J948="","",J948-K948)</f>
        <v/>
      </c>
      <c r="M948" s="14">
        <f>IF(A948="","",MONTH(A948))</f>
        <v/>
      </c>
      <c r="N948" s="14">
        <f>IF(A948="","",YEAR(A948))</f>
        <v/>
      </c>
    </row>
    <row r="949">
      <c r="A949" s="15" t="n"/>
      <c r="B949" s="10" t="n"/>
      <c r="C949" s="10" t="n"/>
      <c r="D949" s="10" t="n"/>
      <c r="E949" s="14">
        <f>IF(D949="","",IFERROR(INDEX('Sản phẩm'!$B$5:$B$304,MATCH(D949,'Sản phẩm'!$A$5:$A$304,0)),""))</f>
        <v/>
      </c>
      <c r="F949" s="12" t="n"/>
      <c r="G949" s="11" t="n"/>
      <c r="H949" s="11" t="n"/>
      <c r="I949" s="16">
        <f>IF(D949="","",IF(G949&lt;&gt;"",G949,IFERROR(INDEX('Sản phẩm'!$E$5:$E$304,MATCH(D949,'Sản phẩm'!$A$5:$A$304,0)),"")))</f>
        <v/>
      </c>
      <c r="J949" s="16">
        <f>IF(OR(D949="",F949=""),"",F949*I949-N(H949))</f>
        <v/>
      </c>
      <c r="K949" s="16">
        <f>IF(OR(D949="",F949=""),"",F949*IFERROR(INDEX('Sản phẩm'!$D$5:$D$304,MATCH(D949,'Sản phẩm'!$A$5:$A$304,0)),""))</f>
        <v/>
      </c>
      <c r="L949" s="16">
        <f>IF(J949="","",J949-K949)</f>
        <v/>
      </c>
      <c r="M949" s="14">
        <f>IF(A949="","",MONTH(A949))</f>
        <v/>
      </c>
      <c r="N949" s="14">
        <f>IF(A949="","",YEAR(A949))</f>
        <v/>
      </c>
    </row>
    <row r="950">
      <c r="A950" s="15" t="n"/>
      <c r="B950" s="10" t="n"/>
      <c r="C950" s="10" t="n"/>
      <c r="D950" s="10" t="n"/>
      <c r="E950" s="14">
        <f>IF(D950="","",IFERROR(INDEX('Sản phẩm'!$B$5:$B$304,MATCH(D950,'Sản phẩm'!$A$5:$A$304,0)),""))</f>
        <v/>
      </c>
      <c r="F950" s="12" t="n"/>
      <c r="G950" s="11" t="n"/>
      <c r="H950" s="11" t="n"/>
      <c r="I950" s="16">
        <f>IF(D950="","",IF(G950&lt;&gt;"",G950,IFERROR(INDEX('Sản phẩm'!$E$5:$E$304,MATCH(D950,'Sản phẩm'!$A$5:$A$304,0)),"")))</f>
        <v/>
      </c>
      <c r="J950" s="16">
        <f>IF(OR(D950="",F950=""),"",F950*I950-N(H950))</f>
        <v/>
      </c>
      <c r="K950" s="16">
        <f>IF(OR(D950="",F950=""),"",F950*IFERROR(INDEX('Sản phẩm'!$D$5:$D$304,MATCH(D950,'Sản phẩm'!$A$5:$A$304,0)),""))</f>
        <v/>
      </c>
      <c r="L950" s="16">
        <f>IF(J950="","",J950-K950)</f>
        <v/>
      </c>
      <c r="M950" s="14">
        <f>IF(A950="","",MONTH(A950))</f>
        <v/>
      </c>
      <c r="N950" s="14">
        <f>IF(A950="","",YEAR(A950))</f>
        <v/>
      </c>
    </row>
    <row r="951">
      <c r="A951" s="15" t="n"/>
      <c r="B951" s="10" t="n"/>
      <c r="C951" s="10" t="n"/>
      <c r="D951" s="10" t="n"/>
      <c r="E951" s="14">
        <f>IF(D951="","",IFERROR(INDEX('Sản phẩm'!$B$5:$B$304,MATCH(D951,'Sản phẩm'!$A$5:$A$304,0)),""))</f>
        <v/>
      </c>
      <c r="F951" s="12" t="n"/>
      <c r="G951" s="11" t="n"/>
      <c r="H951" s="11" t="n"/>
      <c r="I951" s="16">
        <f>IF(D951="","",IF(G951&lt;&gt;"",G951,IFERROR(INDEX('Sản phẩm'!$E$5:$E$304,MATCH(D951,'Sản phẩm'!$A$5:$A$304,0)),"")))</f>
        <v/>
      </c>
      <c r="J951" s="16">
        <f>IF(OR(D951="",F951=""),"",F951*I951-N(H951))</f>
        <v/>
      </c>
      <c r="K951" s="16">
        <f>IF(OR(D951="",F951=""),"",F951*IFERROR(INDEX('Sản phẩm'!$D$5:$D$304,MATCH(D951,'Sản phẩm'!$A$5:$A$304,0)),""))</f>
        <v/>
      </c>
      <c r="L951" s="16">
        <f>IF(J951="","",J951-K951)</f>
        <v/>
      </c>
      <c r="M951" s="14">
        <f>IF(A951="","",MONTH(A951))</f>
        <v/>
      </c>
      <c r="N951" s="14">
        <f>IF(A951="","",YEAR(A951))</f>
        <v/>
      </c>
    </row>
    <row r="952">
      <c r="A952" s="15" t="n"/>
      <c r="B952" s="10" t="n"/>
      <c r="C952" s="10" t="n"/>
      <c r="D952" s="10" t="n"/>
      <c r="E952" s="14">
        <f>IF(D952="","",IFERROR(INDEX('Sản phẩm'!$B$5:$B$304,MATCH(D952,'Sản phẩm'!$A$5:$A$304,0)),""))</f>
        <v/>
      </c>
      <c r="F952" s="12" t="n"/>
      <c r="G952" s="11" t="n"/>
      <c r="H952" s="11" t="n"/>
      <c r="I952" s="16">
        <f>IF(D952="","",IF(G952&lt;&gt;"",G952,IFERROR(INDEX('Sản phẩm'!$E$5:$E$304,MATCH(D952,'Sản phẩm'!$A$5:$A$304,0)),"")))</f>
        <v/>
      </c>
      <c r="J952" s="16">
        <f>IF(OR(D952="",F952=""),"",F952*I952-N(H952))</f>
        <v/>
      </c>
      <c r="K952" s="16">
        <f>IF(OR(D952="",F952=""),"",F952*IFERROR(INDEX('Sản phẩm'!$D$5:$D$304,MATCH(D952,'Sản phẩm'!$A$5:$A$304,0)),""))</f>
        <v/>
      </c>
      <c r="L952" s="16">
        <f>IF(J952="","",J952-K952)</f>
        <v/>
      </c>
      <c r="M952" s="14">
        <f>IF(A952="","",MONTH(A952))</f>
        <v/>
      </c>
      <c r="N952" s="14">
        <f>IF(A952="","",YEAR(A952))</f>
        <v/>
      </c>
    </row>
    <row r="953">
      <c r="A953" s="15" t="n"/>
      <c r="B953" s="10" t="n"/>
      <c r="C953" s="10" t="n"/>
      <c r="D953" s="10" t="n"/>
      <c r="E953" s="14">
        <f>IF(D953="","",IFERROR(INDEX('Sản phẩm'!$B$5:$B$304,MATCH(D953,'Sản phẩm'!$A$5:$A$304,0)),""))</f>
        <v/>
      </c>
      <c r="F953" s="12" t="n"/>
      <c r="G953" s="11" t="n"/>
      <c r="H953" s="11" t="n"/>
      <c r="I953" s="16">
        <f>IF(D953="","",IF(G953&lt;&gt;"",G953,IFERROR(INDEX('Sản phẩm'!$E$5:$E$304,MATCH(D953,'Sản phẩm'!$A$5:$A$304,0)),"")))</f>
        <v/>
      </c>
      <c r="J953" s="16">
        <f>IF(OR(D953="",F953=""),"",F953*I953-N(H953))</f>
        <v/>
      </c>
      <c r="K953" s="16">
        <f>IF(OR(D953="",F953=""),"",F953*IFERROR(INDEX('Sản phẩm'!$D$5:$D$304,MATCH(D953,'Sản phẩm'!$A$5:$A$304,0)),""))</f>
        <v/>
      </c>
      <c r="L953" s="16">
        <f>IF(J953="","",J953-K953)</f>
        <v/>
      </c>
      <c r="M953" s="14">
        <f>IF(A953="","",MONTH(A953))</f>
        <v/>
      </c>
      <c r="N953" s="14">
        <f>IF(A953="","",YEAR(A953))</f>
        <v/>
      </c>
    </row>
    <row r="954">
      <c r="A954" s="15" t="n"/>
      <c r="B954" s="10" t="n"/>
      <c r="C954" s="10" t="n"/>
      <c r="D954" s="10" t="n"/>
      <c r="E954" s="14">
        <f>IF(D954="","",IFERROR(INDEX('Sản phẩm'!$B$5:$B$304,MATCH(D954,'Sản phẩm'!$A$5:$A$304,0)),""))</f>
        <v/>
      </c>
      <c r="F954" s="12" t="n"/>
      <c r="G954" s="11" t="n"/>
      <c r="H954" s="11" t="n"/>
      <c r="I954" s="16">
        <f>IF(D954="","",IF(G954&lt;&gt;"",G954,IFERROR(INDEX('Sản phẩm'!$E$5:$E$304,MATCH(D954,'Sản phẩm'!$A$5:$A$304,0)),"")))</f>
        <v/>
      </c>
      <c r="J954" s="16">
        <f>IF(OR(D954="",F954=""),"",F954*I954-N(H954))</f>
        <v/>
      </c>
      <c r="K954" s="16">
        <f>IF(OR(D954="",F954=""),"",F954*IFERROR(INDEX('Sản phẩm'!$D$5:$D$304,MATCH(D954,'Sản phẩm'!$A$5:$A$304,0)),""))</f>
        <v/>
      </c>
      <c r="L954" s="16">
        <f>IF(J954="","",J954-K954)</f>
        <v/>
      </c>
      <c r="M954" s="14">
        <f>IF(A954="","",MONTH(A954))</f>
        <v/>
      </c>
      <c r="N954" s="14">
        <f>IF(A954="","",YEAR(A954))</f>
        <v/>
      </c>
    </row>
    <row r="955">
      <c r="A955" s="15" t="n"/>
      <c r="B955" s="10" t="n"/>
      <c r="C955" s="10" t="n"/>
      <c r="D955" s="10" t="n"/>
      <c r="E955" s="14">
        <f>IF(D955="","",IFERROR(INDEX('Sản phẩm'!$B$5:$B$304,MATCH(D955,'Sản phẩm'!$A$5:$A$304,0)),""))</f>
        <v/>
      </c>
      <c r="F955" s="12" t="n"/>
      <c r="G955" s="11" t="n"/>
      <c r="H955" s="11" t="n"/>
      <c r="I955" s="16">
        <f>IF(D955="","",IF(G955&lt;&gt;"",G955,IFERROR(INDEX('Sản phẩm'!$E$5:$E$304,MATCH(D955,'Sản phẩm'!$A$5:$A$304,0)),"")))</f>
        <v/>
      </c>
      <c r="J955" s="16">
        <f>IF(OR(D955="",F955=""),"",F955*I955-N(H955))</f>
        <v/>
      </c>
      <c r="K955" s="16">
        <f>IF(OR(D955="",F955=""),"",F955*IFERROR(INDEX('Sản phẩm'!$D$5:$D$304,MATCH(D955,'Sản phẩm'!$A$5:$A$304,0)),""))</f>
        <v/>
      </c>
      <c r="L955" s="16">
        <f>IF(J955="","",J955-K955)</f>
        <v/>
      </c>
      <c r="M955" s="14">
        <f>IF(A955="","",MONTH(A955))</f>
        <v/>
      </c>
      <c r="N955" s="14">
        <f>IF(A955="","",YEAR(A955))</f>
        <v/>
      </c>
    </row>
    <row r="956">
      <c r="A956" s="15" t="n"/>
      <c r="B956" s="10" t="n"/>
      <c r="C956" s="10" t="n"/>
      <c r="D956" s="10" t="n"/>
      <c r="E956" s="14">
        <f>IF(D956="","",IFERROR(INDEX('Sản phẩm'!$B$5:$B$304,MATCH(D956,'Sản phẩm'!$A$5:$A$304,0)),""))</f>
        <v/>
      </c>
      <c r="F956" s="12" t="n"/>
      <c r="G956" s="11" t="n"/>
      <c r="H956" s="11" t="n"/>
      <c r="I956" s="16">
        <f>IF(D956="","",IF(G956&lt;&gt;"",G956,IFERROR(INDEX('Sản phẩm'!$E$5:$E$304,MATCH(D956,'Sản phẩm'!$A$5:$A$304,0)),"")))</f>
        <v/>
      </c>
      <c r="J956" s="16">
        <f>IF(OR(D956="",F956=""),"",F956*I956-N(H956))</f>
        <v/>
      </c>
      <c r="K956" s="16">
        <f>IF(OR(D956="",F956=""),"",F956*IFERROR(INDEX('Sản phẩm'!$D$5:$D$304,MATCH(D956,'Sản phẩm'!$A$5:$A$304,0)),""))</f>
        <v/>
      </c>
      <c r="L956" s="16">
        <f>IF(J956="","",J956-K956)</f>
        <v/>
      </c>
      <c r="M956" s="14">
        <f>IF(A956="","",MONTH(A956))</f>
        <v/>
      </c>
      <c r="N956" s="14">
        <f>IF(A956="","",YEAR(A956))</f>
        <v/>
      </c>
    </row>
    <row r="957">
      <c r="A957" s="15" t="n"/>
      <c r="B957" s="10" t="n"/>
      <c r="C957" s="10" t="n"/>
      <c r="D957" s="10" t="n"/>
      <c r="E957" s="14">
        <f>IF(D957="","",IFERROR(INDEX('Sản phẩm'!$B$5:$B$304,MATCH(D957,'Sản phẩm'!$A$5:$A$304,0)),""))</f>
        <v/>
      </c>
      <c r="F957" s="12" t="n"/>
      <c r="G957" s="11" t="n"/>
      <c r="H957" s="11" t="n"/>
      <c r="I957" s="16">
        <f>IF(D957="","",IF(G957&lt;&gt;"",G957,IFERROR(INDEX('Sản phẩm'!$E$5:$E$304,MATCH(D957,'Sản phẩm'!$A$5:$A$304,0)),"")))</f>
        <v/>
      </c>
      <c r="J957" s="16">
        <f>IF(OR(D957="",F957=""),"",F957*I957-N(H957))</f>
        <v/>
      </c>
      <c r="K957" s="16">
        <f>IF(OR(D957="",F957=""),"",F957*IFERROR(INDEX('Sản phẩm'!$D$5:$D$304,MATCH(D957,'Sản phẩm'!$A$5:$A$304,0)),""))</f>
        <v/>
      </c>
      <c r="L957" s="16">
        <f>IF(J957="","",J957-K957)</f>
        <v/>
      </c>
      <c r="M957" s="14">
        <f>IF(A957="","",MONTH(A957))</f>
        <v/>
      </c>
      <c r="N957" s="14">
        <f>IF(A957="","",YEAR(A957))</f>
        <v/>
      </c>
    </row>
    <row r="958">
      <c r="A958" s="15" t="n"/>
      <c r="B958" s="10" t="n"/>
      <c r="C958" s="10" t="n"/>
      <c r="D958" s="10" t="n"/>
      <c r="E958" s="14">
        <f>IF(D958="","",IFERROR(INDEX('Sản phẩm'!$B$5:$B$304,MATCH(D958,'Sản phẩm'!$A$5:$A$304,0)),""))</f>
        <v/>
      </c>
      <c r="F958" s="12" t="n"/>
      <c r="G958" s="11" t="n"/>
      <c r="H958" s="11" t="n"/>
      <c r="I958" s="16">
        <f>IF(D958="","",IF(G958&lt;&gt;"",G958,IFERROR(INDEX('Sản phẩm'!$E$5:$E$304,MATCH(D958,'Sản phẩm'!$A$5:$A$304,0)),"")))</f>
        <v/>
      </c>
      <c r="J958" s="16">
        <f>IF(OR(D958="",F958=""),"",F958*I958-N(H958))</f>
        <v/>
      </c>
      <c r="K958" s="16">
        <f>IF(OR(D958="",F958=""),"",F958*IFERROR(INDEX('Sản phẩm'!$D$5:$D$304,MATCH(D958,'Sản phẩm'!$A$5:$A$304,0)),""))</f>
        <v/>
      </c>
      <c r="L958" s="16">
        <f>IF(J958="","",J958-K958)</f>
        <v/>
      </c>
      <c r="M958" s="14">
        <f>IF(A958="","",MONTH(A958))</f>
        <v/>
      </c>
      <c r="N958" s="14">
        <f>IF(A958="","",YEAR(A958))</f>
        <v/>
      </c>
    </row>
    <row r="959">
      <c r="A959" s="15" t="n"/>
      <c r="B959" s="10" t="n"/>
      <c r="C959" s="10" t="n"/>
      <c r="D959" s="10" t="n"/>
      <c r="E959" s="14">
        <f>IF(D959="","",IFERROR(INDEX('Sản phẩm'!$B$5:$B$304,MATCH(D959,'Sản phẩm'!$A$5:$A$304,0)),""))</f>
        <v/>
      </c>
      <c r="F959" s="12" t="n"/>
      <c r="G959" s="11" t="n"/>
      <c r="H959" s="11" t="n"/>
      <c r="I959" s="16">
        <f>IF(D959="","",IF(G959&lt;&gt;"",G959,IFERROR(INDEX('Sản phẩm'!$E$5:$E$304,MATCH(D959,'Sản phẩm'!$A$5:$A$304,0)),"")))</f>
        <v/>
      </c>
      <c r="J959" s="16">
        <f>IF(OR(D959="",F959=""),"",F959*I959-N(H959))</f>
        <v/>
      </c>
      <c r="K959" s="16">
        <f>IF(OR(D959="",F959=""),"",F959*IFERROR(INDEX('Sản phẩm'!$D$5:$D$304,MATCH(D959,'Sản phẩm'!$A$5:$A$304,0)),""))</f>
        <v/>
      </c>
      <c r="L959" s="16">
        <f>IF(J959="","",J959-K959)</f>
        <v/>
      </c>
      <c r="M959" s="14">
        <f>IF(A959="","",MONTH(A959))</f>
        <v/>
      </c>
      <c r="N959" s="14">
        <f>IF(A959="","",YEAR(A959))</f>
        <v/>
      </c>
    </row>
    <row r="960">
      <c r="A960" s="15" t="n"/>
      <c r="B960" s="10" t="n"/>
      <c r="C960" s="10" t="n"/>
      <c r="D960" s="10" t="n"/>
      <c r="E960" s="14">
        <f>IF(D960="","",IFERROR(INDEX('Sản phẩm'!$B$5:$B$304,MATCH(D960,'Sản phẩm'!$A$5:$A$304,0)),""))</f>
        <v/>
      </c>
      <c r="F960" s="12" t="n"/>
      <c r="G960" s="11" t="n"/>
      <c r="H960" s="11" t="n"/>
      <c r="I960" s="16">
        <f>IF(D960="","",IF(G960&lt;&gt;"",G960,IFERROR(INDEX('Sản phẩm'!$E$5:$E$304,MATCH(D960,'Sản phẩm'!$A$5:$A$304,0)),"")))</f>
        <v/>
      </c>
      <c r="J960" s="16">
        <f>IF(OR(D960="",F960=""),"",F960*I960-N(H960))</f>
        <v/>
      </c>
      <c r="K960" s="16">
        <f>IF(OR(D960="",F960=""),"",F960*IFERROR(INDEX('Sản phẩm'!$D$5:$D$304,MATCH(D960,'Sản phẩm'!$A$5:$A$304,0)),""))</f>
        <v/>
      </c>
      <c r="L960" s="16">
        <f>IF(J960="","",J960-K960)</f>
        <v/>
      </c>
      <c r="M960" s="14">
        <f>IF(A960="","",MONTH(A960))</f>
        <v/>
      </c>
      <c r="N960" s="14">
        <f>IF(A960="","",YEAR(A960))</f>
        <v/>
      </c>
    </row>
    <row r="961">
      <c r="A961" s="15" t="n"/>
      <c r="B961" s="10" t="n"/>
      <c r="C961" s="10" t="n"/>
      <c r="D961" s="10" t="n"/>
      <c r="E961" s="14">
        <f>IF(D961="","",IFERROR(INDEX('Sản phẩm'!$B$5:$B$304,MATCH(D961,'Sản phẩm'!$A$5:$A$304,0)),""))</f>
        <v/>
      </c>
      <c r="F961" s="12" t="n"/>
      <c r="G961" s="11" t="n"/>
      <c r="H961" s="11" t="n"/>
      <c r="I961" s="16">
        <f>IF(D961="","",IF(G961&lt;&gt;"",G961,IFERROR(INDEX('Sản phẩm'!$E$5:$E$304,MATCH(D961,'Sản phẩm'!$A$5:$A$304,0)),"")))</f>
        <v/>
      </c>
      <c r="J961" s="16">
        <f>IF(OR(D961="",F961=""),"",F961*I961-N(H961))</f>
        <v/>
      </c>
      <c r="K961" s="16">
        <f>IF(OR(D961="",F961=""),"",F961*IFERROR(INDEX('Sản phẩm'!$D$5:$D$304,MATCH(D961,'Sản phẩm'!$A$5:$A$304,0)),""))</f>
        <v/>
      </c>
      <c r="L961" s="16">
        <f>IF(J961="","",J961-K961)</f>
        <v/>
      </c>
      <c r="M961" s="14">
        <f>IF(A961="","",MONTH(A961))</f>
        <v/>
      </c>
      <c r="N961" s="14">
        <f>IF(A961="","",YEAR(A961))</f>
        <v/>
      </c>
    </row>
    <row r="962">
      <c r="A962" s="15" t="n"/>
      <c r="B962" s="10" t="n"/>
      <c r="C962" s="10" t="n"/>
      <c r="D962" s="10" t="n"/>
      <c r="E962" s="14">
        <f>IF(D962="","",IFERROR(INDEX('Sản phẩm'!$B$5:$B$304,MATCH(D962,'Sản phẩm'!$A$5:$A$304,0)),""))</f>
        <v/>
      </c>
      <c r="F962" s="12" t="n"/>
      <c r="G962" s="11" t="n"/>
      <c r="H962" s="11" t="n"/>
      <c r="I962" s="16">
        <f>IF(D962="","",IF(G962&lt;&gt;"",G962,IFERROR(INDEX('Sản phẩm'!$E$5:$E$304,MATCH(D962,'Sản phẩm'!$A$5:$A$304,0)),"")))</f>
        <v/>
      </c>
      <c r="J962" s="16">
        <f>IF(OR(D962="",F962=""),"",F962*I962-N(H962))</f>
        <v/>
      </c>
      <c r="K962" s="16">
        <f>IF(OR(D962="",F962=""),"",F962*IFERROR(INDEX('Sản phẩm'!$D$5:$D$304,MATCH(D962,'Sản phẩm'!$A$5:$A$304,0)),""))</f>
        <v/>
      </c>
      <c r="L962" s="16">
        <f>IF(J962="","",J962-K962)</f>
        <v/>
      </c>
      <c r="M962" s="14">
        <f>IF(A962="","",MONTH(A962))</f>
        <v/>
      </c>
      <c r="N962" s="14">
        <f>IF(A962="","",YEAR(A962))</f>
        <v/>
      </c>
    </row>
    <row r="963">
      <c r="A963" s="15" t="n"/>
      <c r="B963" s="10" t="n"/>
      <c r="C963" s="10" t="n"/>
      <c r="D963" s="10" t="n"/>
      <c r="E963" s="14">
        <f>IF(D963="","",IFERROR(INDEX('Sản phẩm'!$B$5:$B$304,MATCH(D963,'Sản phẩm'!$A$5:$A$304,0)),""))</f>
        <v/>
      </c>
      <c r="F963" s="12" t="n"/>
      <c r="G963" s="11" t="n"/>
      <c r="H963" s="11" t="n"/>
      <c r="I963" s="16">
        <f>IF(D963="","",IF(G963&lt;&gt;"",G963,IFERROR(INDEX('Sản phẩm'!$E$5:$E$304,MATCH(D963,'Sản phẩm'!$A$5:$A$304,0)),"")))</f>
        <v/>
      </c>
      <c r="J963" s="16">
        <f>IF(OR(D963="",F963=""),"",F963*I963-N(H963))</f>
        <v/>
      </c>
      <c r="K963" s="16">
        <f>IF(OR(D963="",F963=""),"",F963*IFERROR(INDEX('Sản phẩm'!$D$5:$D$304,MATCH(D963,'Sản phẩm'!$A$5:$A$304,0)),""))</f>
        <v/>
      </c>
      <c r="L963" s="16">
        <f>IF(J963="","",J963-K963)</f>
        <v/>
      </c>
      <c r="M963" s="14">
        <f>IF(A963="","",MONTH(A963))</f>
        <v/>
      </c>
      <c r="N963" s="14">
        <f>IF(A963="","",YEAR(A963))</f>
        <v/>
      </c>
    </row>
    <row r="964">
      <c r="A964" s="15" t="n"/>
      <c r="B964" s="10" t="n"/>
      <c r="C964" s="10" t="n"/>
      <c r="D964" s="10" t="n"/>
      <c r="E964" s="14">
        <f>IF(D964="","",IFERROR(INDEX('Sản phẩm'!$B$5:$B$304,MATCH(D964,'Sản phẩm'!$A$5:$A$304,0)),""))</f>
        <v/>
      </c>
      <c r="F964" s="12" t="n"/>
      <c r="G964" s="11" t="n"/>
      <c r="H964" s="11" t="n"/>
      <c r="I964" s="16">
        <f>IF(D964="","",IF(G964&lt;&gt;"",G964,IFERROR(INDEX('Sản phẩm'!$E$5:$E$304,MATCH(D964,'Sản phẩm'!$A$5:$A$304,0)),"")))</f>
        <v/>
      </c>
      <c r="J964" s="16">
        <f>IF(OR(D964="",F964=""),"",F964*I964-N(H964))</f>
        <v/>
      </c>
      <c r="K964" s="16">
        <f>IF(OR(D964="",F964=""),"",F964*IFERROR(INDEX('Sản phẩm'!$D$5:$D$304,MATCH(D964,'Sản phẩm'!$A$5:$A$304,0)),""))</f>
        <v/>
      </c>
      <c r="L964" s="16">
        <f>IF(J964="","",J964-K964)</f>
        <v/>
      </c>
      <c r="M964" s="14">
        <f>IF(A964="","",MONTH(A964))</f>
        <v/>
      </c>
      <c r="N964" s="14">
        <f>IF(A964="","",YEAR(A964))</f>
        <v/>
      </c>
    </row>
    <row r="965">
      <c r="A965" s="15" t="n"/>
      <c r="B965" s="10" t="n"/>
      <c r="C965" s="10" t="n"/>
      <c r="D965" s="10" t="n"/>
      <c r="E965" s="14">
        <f>IF(D965="","",IFERROR(INDEX('Sản phẩm'!$B$5:$B$304,MATCH(D965,'Sản phẩm'!$A$5:$A$304,0)),""))</f>
        <v/>
      </c>
      <c r="F965" s="12" t="n"/>
      <c r="G965" s="11" t="n"/>
      <c r="H965" s="11" t="n"/>
      <c r="I965" s="16">
        <f>IF(D965="","",IF(G965&lt;&gt;"",G965,IFERROR(INDEX('Sản phẩm'!$E$5:$E$304,MATCH(D965,'Sản phẩm'!$A$5:$A$304,0)),"")))</f>
        <v/>
      </c>
      <c r="J965" s="16">
        <f>IF(OR(D965="",F965=""),"",F965*I965-N(H965))</f>
        <v/>
      </c>
      <c r="K965" s="16">
        <f>IF(OR(D965="",F965=""),"",F965*IFERROR(INDEX('Sản phẩm'!$D$5:$D$304,MATCH(D965,'Sản phẩm'!$A$5:$A$304,0)),""))</f>
        <v/>
      </c>
      <c r="L965" s="16">
        <f>IF(J965="","",J965-K965)</f>
        <v/>
      </c>
      <c r="M965" s="14">
        <f>IF(A965="","",MONTH(A965))</f>
        <v/>
      </c>
      <c r="N965" s="14">
        <f>IF(A965="","",YEAR(A965))</f>
        <v/>
      </c>
    </row>
    <row r="966">
      <c r="A966" s="15" t="n"/>
      <c r="B966" s="10" t="n"/>
      <c r="C966" s="10" t="n"/>
      <c r="D966" s="10" t="n"/>
      <c r="E966" s="14">
        <f>IF(D966="","",IFERROR(INDEX('Sản phẩm'!$B$5:$B$304,MATCH(D966,'Sản phẩm'!$A$5:$A$304,0)),""))</f>
        <v/>
      </c>
      <c r="F966" s="12" t="n"/>
      <c r="G966" s="11" t="n"/>
      <c r="H966" s="11" t="n"/>
      <c r="I966" s="16">
        <f>IF(D966="","",IF(G966&lt;&gt;"",G966,IFERROR(INDEX('Sản phẩm'!$E$5:$E$304,MATCH(D966,'Sản phẩm'!$A$5:$A$304,0)),"")))</f>
        <v/>
      </c>
      <c r="J966" s="16">
        <f>IF(OR(D966="",F966=""),"",F966*I966-N(H966))</f>
        <v/>
      </c>
      <c r="K966" s="16">
        <f>IF(OR(D966="",F966=""),"",F966*IFERROR(INDEX('Sản phẩm'!$D$5:$D$304,MATCH(D966,'Sản phẩm'!$A$5:$A$304,0)),""))</f>
        <v/>
      </c>
      <c r="L966" s="16">
        <f>IF(J966="","",J966-K966)</f>
        <v/>
      </c>
      <c r="M966" s="14">
        <f>IF(A966="","",MONTH(A966))</f>
        <v/>
      </c>
      <c r="N966" s="14">
        <f>IF(A966="","",YEAR(A966))</f>
        <v/>
      </c>
    </row>
    <row r="967">
      <c r="A967" s="15" t="n"/>
      <c r="B967" s="10" t="n"/>
      <c r="C967" s="10" t="n"/>
      <c r="D967" s="10" t="n"/>
      <c r="E967" s="14">
        <f>IF(D967="","",IFERROR(INDEX('Sản phẩm'!$B$5:$B$304,MATCH(D967,'Sản phẩm'!$A$5:$A$304,0)),""))</f>
        <v/>
      </c>
      <c r="F967" s="12" t="n"/>
      <c r="G967" s="11" t="n"/>
      <c r="H967" s="11" t="n"/>
      <c r="I967" s="16">
        <f>IF(D967="","",IF(G967&lt;&gt;"",G967,IFERROR(INDEX('Sản phẩm'!$E$5:$E$304,MATCH(D967,'Sản phẩm'!$A$5:$A$304,0)),"")))</f>
        <v/>
      </c>
      <c r="J967" s="16">
        <f>IF(OR(D967="",F967=""),"",F967*I967-N(H967))</f>
        <v/>
      </c>
      <c r="K967" s="16">
        <f>IF(OR(D967="",F967=""),"",F967*IFERROR(INDEX('Sản phẩm'!$D$5:$D$304,MATCH(D967,'Sản phẩm'!$A$5:$A$304,0)),""))</f>
        <v/>
      </c>
      <c r="L967" s="16">
        <f>IF(J967="","",J967-K967)</f>
        <v/>
      </c>
      <c r="M967" s="14">
        <f>IF(A967="","",MONTH(A967))</f>
        <v/>
      </c>
      <c r="N967" s="14">
        <f>IF(A967="","",YEAR(A967))</f>
        <v/>
      </c>
    </row>
    <row r="968">
      <c r="A968" s="15" t="n"/>
      <c r="B968" s="10" t="n"/>
      <c r="C968" s="10" t="n"/>
      <c r="D968" s="10" t="n"/>
      <c r="E968" s="14">
        <f>IF(D968="","",IFERROR(INDEX('Sản phẩm'!$B$5:$B$304,MATCH(D968,'Sản phẩm'!$A$5:$A$304,0)),""))</f>
        <v/>
      </c>
      <c r="F968" s="12" t="n"/>
      <c r="G968" s="11" t="n"/>
      <c r="H968" s="11" t="n"/>
      <c r="I968" s="16">
        <f>IF(D968="","",IF(G968&lt;&gt;"",G968,IFERROR(INDEX('Sản phẩm'!$E$5:$E$304,MATCH(D968,'Sản phẩm'!$A$5:$A$304,0)),"")))</f>
        <v/>
      </c>
      <c r="J968" s="16">
        <f>IF(OR(D968="",F968=""),"",F968*I968-N(H968))</f>
        <v/>
      </c>
      <c r="K968" s="16">
        <f>IF(OR(D968="",F968=""),"",F968*IFERROR(INDEX('Sản phẩm'!$D$5:$D$304,MATCH(D968,'Sản phẩm'!$A$5:$A$304,0)),""))</f>
        <v/>
      </c>
      <c r="L968" s="16">
        <f>IF(J968="","",J968-K968)</f>
        <v/>
      </c>
      <c r="M968" s="14">
        <f>IF(A968="","",MONTH(A968))</f>
        <v/>
      </c>
      <c r="N968" s="14">
        <f>IF(A968="","",YEAR(A968))</f>
        <v/>
      </c>
    </row>
    <row r="969">
      <c r="A969" s="15" t="n"/>
      <c r="B969" s="10" t="n"/>
      <c r="C969" s="10" t="n"/>
      <c r="D969" s="10" t="n"/>
      <c r="E969" s="14">
        <f>IF(D969="","",IFERROR(INDEX('Sản phẩm'!$B$5:$B$304,MATCH(D969,'Sản phẩm'!$A$5:$A$304,0)),""))</f>
        <v/>
      </c>
      <c r="F969" s="12" t="n"/>
      <c r="G969" s="11" t="n"/>
      <c r="H969" s="11" t="n"/>
      <c r="I969" s="16">
        <f>IF(D969="","",IF(G969&lt;&gt;"",G969,IFERROR(INDEX('Sản phẩm'!$E$5:$E$304,MATCH(D969,'Sản phẩm'!$A$5:$A$304,0)),"")))</f>
        <v/>
      </c>
      <c r="J969" s="16">
        <f>IF(OR(D969="",F969=""),"",F969*I969-N(H969))</f>
        <v/>
      </c>
      <c r="K969" s="16">
        <f>IF(OR(D969="",F969=""),"",F969*IFERROR(INDEX('Sản phẩm'!$D$5:$D$304,MATCH(D969,'Sản phẩm'!$A$5:$A$304,0)),""))</f>
        <v/>
      </c>
      <c r="L969" s="16">
        <f>IF(J969="","",J969-K969)</f>
        <v/>
      </c>
      <c r="M969" s="14">
        <f>IF(A969="","",MONTH(A969))</f>
        <v/>
      </c>
      <c r="N969" s="14">
        <f>IF(A969="","",YEAR(A969))</f>
        <v/>
      </c>
    </row>
    <row r="970">
      <c r="A970" s="15" t="n"/>
      <c r="B970" s="10" t="n"/>
      <c r="C970" s="10" t="n"/>
      <c r="D970" s="10" t="n"/>
      <c r="E970" s="14">
        <f>IF(D970="","",IFERROR(INDEX('Sản phẩm'!$B$5:$B$304,MATCH(D970,'Sản phẩm'!$A$5:$A$304,0)),""))</f>
        <v/>
      </c>
      <c r="F970" s="12" t="n"/>
      <c r="G970" s="11" t="n"/>
      <c r="H970" s="11" t="n"/>
      <c r="I970" s="16">
        <f>IF(D970="","",IF(G970&lt;&gt;"",G970,IFERROR(INDEX('Sản phẩm'!$E$5:$E$304,MATCH(D970,'Sản phẩm'!$A$5:$A$304,0)),"")))</f>
        <v/>
      </c>
      <c r="J970" s="16">
        <f>IF(OR(D970="",F970=""),"",F970*I970-N(H970))</f>
        <v/>
      </c>
      <c r="K970" s="16">
        <f>IF(OR(D970="",F970=""),"",F970*IFERROR(INDEX('Sản phẩm'!$D$5:$D$304,MATCH(D970,'Sản phẩm'!$A$5:$A$304,0)),""))</f>
        <v/>
      </c>
      <c r="L970" s="16">
        <f>IF(J970="","",J970-K970)</f>
        <v/>
      </c>
      <c r="M970" s="14">
        <f>IF(A970="","",MONTH(A970))</f>
        <v/>
      </c>
      <c r="N970" s="14">
        <f>IF(A970="","",YEAR(A970))</f>
        <v/>
      </c>
    </row>
    <row r="971">
      <c r="A971" s="15" t="n"/>
      <c r="B971" s="10" t="n"/>
      <c r="C971" s="10" t="n"/>
      <c r="D971" s="10" t="n"/>
      <c r="E971" s="14">
        <f>IF(D971="","",IFERROR(INDEX('Sản phẩm'!$B$5:$B$304,MATCH(D971,'Sản phẩm'!$A$5:$A$304,0)),""))</f>
        <v/>
      </c>
      <c r="F971" s="12" t="n"/>
      <c r="G971" s="11" t="n"/>
      <c r="H971" s="11" t="n"/>
      <c r="I971" s="16">
        <f>IF(D971="","",IF(G971&lt;&gt;"",G971,IFERROR(INDEX('Sản phẩm'!$E$5:$E$304,MATCH(D971,'Sản phẩm'!$A$5:$A$304,0)),"")))</f>
        <v/>
      </c>
      <c r="J971" s="16">
        <f>IF(OR(D971="",F971=""),"",F971*I971-N(H971))</f>
        <v/>
      </c>
      <c r="K971" s="16">
        <f>IF(OR(D971="",F971=""),"",F971*IFERROR(INDEX('Sản phẩm'!$D$5:$D$304,MATCH(D971,'Sản phẩm'!$A$5:$A$304,0)),""))</f>
        <v/>
      </c>
      <c r="L971" s="16">
        <f>IF(J971="","",J971-K971)</f>
        <v/>
      </c>
      <c r="M971" s="14">
        <f>IF(A971="","",MONTH(A971))</f>
        <v/>
      </c>
      <c r="N971" s="14">
        <f>IF(A971="","",YEAR(A971))</f>
        <v/>
      </c>
    </row>
    <row r="972">
      <c r="A972" s="15" t="n"/>
      <c r="B972" s="10" t="n"/>
      <c r="C972" s="10" t="n"/>
      <c r="D972" s="10" t="n"/>
      <c r="E972" s="14">
        <f>IF(D972="","",IFERROR(INDEX('Sản phẩm'!$B$5:$B$304,MATCH(D972,'Sản phẩm'!$A$5:$A$304,0)),""))</f>
        <v/>
      </c>
      <c r="F972" s="12" t="n"/>
      <c r="G972" s="11" t="n"/>
      <c r="H972" s="11" t="n"/>
      <c r="I972" s="16">
        <f>IF(D972="","",IF(G972&lt;&gt;"",G972,IFERROR(INDEX('Sản phẩm'!$E$5:$E$304,MATCH(D972,'Sản phẩm'!$A$5:$A$304,0)),"")))</f>
        <v/>
      </c>
      <c r="J972" s="16">
        <f>IF(OR(D972="",F972=""),"",F972*I972-N(H972))</f>
        <v/>
      </c>
      <c r="K972" s="16">
        <f>IF(OR(D972="",F972=""),"",F972*IFERROR(INDEX('Sản phẩm'!$D$5:$D$304,MATCH(D972,'Sản phẩm'!$A$5:$A$304,0)),""))</f>
        <v/>
      </c>
      <c r="L972" s="16">
        <f>IF(J972="","",J972-K972)</f>
        <v/>
      </c>
      <c r="M972" s="14">
        <f>IF(A972="","",MONTH(A972))</f>
        <v/>
      </c>
      <c r="N972" s="14">
        <f>IF(A972="","",YEAR(A972))</f>
        <v/>
      </c>
    </row>
    <row r="973">
      <c r="A973" s="15" t="n"/>
      <c r="B973" s="10" t="n"/>
      <c r="C973" s="10" t="n"/>
      <c r="D973" s="10" t="n"/>
      <c r="E973" s="14">
        <f>IF(D973="","",IFERROR(INDEX('Sản phẩm'!$B$5:$B$304,MATCH(D973,'Sản phẩm'!$A$5:$A$304,0)),""))</f>
        <v/>
      </c>
      <c r="F973" s="12" t="n"/>
      <c r="G973" s="11" t="n"/>
      <c r="H973" s="11" t="n"/>
      <c r="I973" s="16">
        <f>IF(D973="","",IF(G973&lt;&gt;"",G973,IFERROR(INDEX('Sản phẩm'!$E$5:$E$304,MATCH(D973,'Sản phẩm'!$A$5:$A$304,0)),"")))</f>
        <v/>
      </c>
      <c r="J973" s="16">
        <f>IF(OR(D973="",F973=""),"",F973*I973-N(H973))</f>
        <v/>
      </c>
      <c r="K973" s="16">
        <f>IF(OR(D973="",F973=""),"",F973*IFERROR(INDEX('Sản phẩm'!$D$5:$D$304,MATCH(D973,'Sản phẩm'!$A$5:$A$304,0)),""))</f>
        <v/>
      </c>
      <c r="L973" s="16">
        <f>IF(J973="","",J973-K973)</f>
        <v/>
      </c>
      <c r="M973" s="14">
        <f>IF(A973="","",MONTH(A973))</f>
        <v/>
      </c>
      <c r="N973" s="14">
        <f>IF(A973="","",YEAR(A973))</f>
        <v/>
      </c>
    </row>
    <row r="974">
      <c r="A974" s="15" t="n"/>
      <c r="B974" s="10" t="n"/>
      <c r="C974" s="10" t="n"/>
      <c r="D974" s="10" t="n"/>
      <c r="E974" s="14">
        <f>IF(D974="","",IFERROR(INDEX('Sản phẩm'!$B$5:$B$304,MATCH(D974,'Sản phẩm'!$A$5:$A$304,0)),""))</f>
        <v/>
      </c>
      <c r="F974" s="12" t="n"/>
      <c r="G974" s="11" t="n"/>
      <c r="H974" s="11" t="n"/>
      <c r="I974" s="16">
        <f>IF(D974="","",IF(G974&lt;&gt;"",G974,IFERROR(INDEX('Sản phẩm'!$E$5:$E$304,MATCH(D974,'Sản phẩm'!$A$5:$A$304,0)),"")))</f>
        <v/>
      </c>
      <c r="J974" s="16">
        <f>IF(OR(D974="",F974=""),"",F974*I974-N(H974))</f>
        <v/>
      </c>
      <c r="K974" s="16">
        <f>IF(OR(D974="",F974=""),"",F974*IFERROR(INDEX('Sản phẩm'!$D$5:$D$304,MATCH(D974,'Sản phẩm'!$A$5:$A$304,0)),""))</f>
        <v/>
      </c>
      <c r="L974" s="16">
        <f>IF(J974="","",J974-K974)</f>
        <v/>
      </c>
      <c r="M974" s="14">
        <f>IF(A974="","",MONTH(A974))</f>
        <v/>
      </c>
      <c r="N974" s="14">
        <f>IF(A974="","",YEAR(A974))</f>
        <v/>
      </c>
    </row>
    <row r="975">
      <c r="A975" s="15" t="n"/>
      <c r="B975" s="10" t="n"/>
      <c r="C975" s="10" t="n"/>
      <c r="D975" s="10" t="n"/>
      <c r="E975" s="14">
        <f>IF(D975="","",IFERROR(INDEX('Sản phẩm'!$B$5:$B$304,MATCH(D975,'Sản phẩm'!$A$5:$A$304,0)),""))</f>
        <v/>
      </c>
      <c r="F975" s="12" t="n"/>
      <c r="G975" s="11" t="n"/>
      <c r="H975" s="11" t="n"/>
      <c r="I975" s="16">
        <f>IF(D975="","",IF(G975&lt;&gt;"",G975,IFERROR(INDEX('Sản phẩm'!$E$5:$E$304,MATCH(D975,'Sản phẩm'!$A$5:$A$304,0)),"")))</f>
        <v/>
      </c>
      <c r="J975" s="16">
        <f>IF(OR(D975="",F975=""),"",F975*I975-N(H975))</f>
        <v/>
      </c>
      <c r="K975" s="16">
        <f>IF(OR(D975="",F975=""),"",F975*IFERROR(INDEX('Sản phẩm'!$D$5:$D$304,MATCH(D975,'Sản phẩm'!$A$5:$A$304,0)),""))</f>
        <v/>
      </c>
      <c r="L975" s="16">
        <f>IF(J975="","",J975-K975)</f>
        <v/>
      </c>
      <c r="M975" s="14">
        <f>IF(A975="","",MONTH(A975))</f>
        <v/>
      </c>
      <c r="N975" s="14">
        <f>IF(A975="","",YEAR(A975))</f>
        <v/>
      </c>
    </row>
    <row r="976">
      <c r="A976" s="15" t="n"/>
      <c r="B976" s="10" t="n"/>
      <c r="C976" s="10" t="n"/>
      <c r="D976" s="10" t="n"/>
      <c r="E976" s="14">
        <f>IF(D976="","",IFERROR(INDEX('Sản phẩm'!$B$5:$B$304,MATCH(D976,'Sản phẩm'!$A$5:$A$304,0)),""))</f>
        <v/>
      </c>
      <c r="F976" s="12" t="n"/>
      <c r="G976" s="11" t="n"/>
      <c r="H976" s="11" t="n"/>
      <c r="I976" s="16">
        <f>IF(D976="","",IF(G976&lt;&gt;"",G976,IFERROR(INDEX('Sản phẩm'!$E$5:$E$304,MATCH(D976,'Sản phẩm'!$A$5:$A$304,0)),"")))</f>
        <v/>
      </c>
      <c r="J976" s="16">
        <f>IF(OR(D976="",F976=""),"",F976*I976-N(H976))</f>
        <v/>
      </c>
      <c r="K976" s="16">
        <f>IF(OR(D976="",F976=""),"",F976*IFERROR(INDEX('Sản phẩm'!$D$5:$D$304,MATCH(D976,'Sản phẩm'!$A$5:$A$304,0)),""))</f>
        <v/>
      </c>
      <c r="L976" s="16">
        <f>IF(J976="","",J976-K976)</f>
        <v/>
      </c>
      <c r="M976" s="14">
        <f>IF(A976="","",MONTH(A976))</f>
        <v/>
      </c>
      <c r="N976" s="14">
        <f>IF(A976="","",YEAR(A976))</f>
        <v/>
      </c>
    </row>
    <row r="977">
      <c r="A977" s="15" t="n"/>
      <c r="B977" s="10" t="n"/>
      <c r="C977" s="10" t="n"/>
      <c r="D977" s="10" t="n"/>
      <c r="E977" s="14">
        <f>IF(D977="","",IFERROR(INDEX('Sản phẩm'!$B$5:$B$304,MATCH(D977,'Sản phẩm'!$A$5:$A$304,0)),""))</f>
        <v/>
      </c>
      <c r="F977" s="12" t="n"/>
      <c r="G977" s="11" t="n"/>
      <c r="H977" s="11" t="n"/>
      <c r="I977" s="16">
        <f>IF(D977="","",IF(G977&lt;&gt;"",G977,IFERROR(INDEX('Sản phẩm'!$E$5:$E$304,MATCH(D977,'Sản phẩm'!$A$5:$A$304,0)),"")))</f>
        <v/>
      </c>
      <c r="J977" s="16">
        <f>IF(OR(D977="",F977=""),"",F977*I977-N(H977))</f>
        <v/>
      </c>
      <c r="K977" s="16">
        <f>IF(OR(D977="",F977=""),"",F977*IFERROR(INDEX('Sản phẩm'!$D$5:$D$304,MATCH(D977,'Sản phẩm'!$A$5:$A$304,0)),""))</f>
        <v/>
      </c>
      <c r="L977" s="16">
        <f>IF(J977="","",J977-K977)</f>
        <v/>
      </c>
      <c r="M977" s="14">
        <f>IF(A977="","",MONTH(A977))</f>
        <v/>
      </c>
      <c r="N977" s="14">
        <f>IF(A977="","",YEAR(A977))</f>
        <v/>
      </c>
    </row>
    <row r="978">
      <c r="A978" s="15" t="n"/>
      <c r="B978" s="10" t="n"/>
      <c r="C978" s="10" t="n"/>
      <c r="D978" s="10" t="n"/>
      <c r="E978" s="14">
        <f>IF(D978="","",IFERROR(INDEX('Sản phẩm'!$B$5:$B$304,MATCH(D978,'Sản phẩm'!$A$5:$A$304,0)),""))</f>
        <v/>
      </c>
      <c r="F978" s="12" t="n"/>
      <c r="G978" s="11" t="n"/>
      <c r="H978" s="11" t="n"/>
      <c r="I978" s="16">
        <f>IF(D978="","",IF(G978&lt;&gt;"",G978,IFERROR(INDEX('Sản phẩm'!$E$5:$E$304,MATCH(D978,'Sản phẩm'!$A$5:$A$304,0)),"")))</f>
        <v/>
      </c>
      <c r="J978" s="16">
        <f>IF(OR(D978="",F978=""),"",F978*I978-N(H978))</f>
        <v/>
      </c>
      <c r="K978" s="16">
        <f>IF(OR(D978="",F978=""),"",F978*IFERROR(INDEX('Sản phẩm'!$D$5:$D$304,MATCH(D978,'Sản phẩm'!$A$5:$A$304,0)),""))</f>
        <v/>
      </c>
      <c r="L978" s="16">
        <f>IF(J978="","",J978-K978)</f>
        <v/>
      </c>
      <c r="M978" s="14">
        <f>IF(A978="","",MONTH(A978))</f>
        <v/>
      </c>
      <c r="N978" s="14">
        <f>IF(A978="","",YEAR(A978))</f>
        <v/>
      </c>
    </row>
    <row r="979">
      <c r="A979" s="15" t="n"/>
      <c r="B979" s="10" t="n"/>
      <c r="C979" s="10" t="n"/>
      <c r="D979" s="10" t="n"/>
      <c r="E979" s="14">
        <f>IF(D979="","",IFERROR(INDEX('Sản phẩm'!$B$5:$B$304,MATCH(D979,'Sản phẩm'!$A$5:$A$304,0)),""))</f>
        <v/>
      </c>
      <c r="F979" s="12" t="n"/>
      <c r="G979" s="11" t="n"/>
      <c r="H979" s="11" t="n"/>
      <c r="I979" s="16">
        <f>IF(D979="","",IF(G979&lt;&gt;"",G979,IFERROR(INDEX('Sản phẩm'!$E$5:$E$304,MATCH(D979,'Sản phẩm'!$A$5:$A$304,0)),"")))</f>
        <v/>
      </c>
      <c r="J979" s="16">
        <f>IF(OR(D979="",F979=""),"",F979*I979-N(H979))</f>
        <v/>
      </c>
      <c r="K979" s="16">
        <f>IF(OR(D979="",F979=""),"",F979*IFERROR(INDEX('Sản phẩm'!$D$5:$D$304,MATCH(D979,'Sản phẩm'!$A$5:$A$304,0)),""))</f>
        <v/>
      </c>
      <c r="L979" s="16">
        <f>IF(J979="","",J979-K979)</f>
        <v/>
      </c>
      <c r="M979" s="14">
        <f>IF(A979="","",MONTH(A979))</f>
        <v/>
      </c>
      <c r="N979" s="14">
        <f>IF(A979="","",YEAR(A979))</f>
        <v/>
      </c>
    </row>
    <row r="980">
      <c r="A980" s="15" t="n"/>
      <c r="B980" s="10" t="n"/>
      <c r="C980" s="10" t="n"/>
      <c r="D980" s="10" t="n"/>
      <c r="E980" s="14">
        <f>IF(D980="","",IFERROR(INDEX('Sản phẩm'!$B$5:$B$304,MATCH(D980,'Sản phẩm'!$A$5:$A$304,0)),""))</f>
        <v/>
      </c>
      <c r="F980" s="12" t="n"/>
      <c r="G980" s="11" t="n"/>
      <c r="H980" s="11" t="n"/>
      <c r="I980" s="16">
        <f>IF(D980="","",IF(G980&lt;&gt;"",G980,IFERROR(INDEX('Sản phẩm'!$E$5:$E$304,MATCH(D980,'Sản phẩm'!$A$5:$A$304,0)),"")))</f>
        <v/>
      </c>
      <c r="J980" s="16">
        <f>IF(OR(D980="",F980=""),"",F980*I980-N(H980))</f>
        <v/>
      </c>
      <c r="K980" s="16">
        <f>IF(OR(D980="",F980=""),"",F980*IFERROR(INDEX('Sản phẩm'!$D$5:$D$304,MATCH(D980,'Sản phẩm'!$A$5:$A$304,0)),""))</f>
        <v/>
      </c>
      <c r="L980" s="16">
        <f>IF(J980="","",J980-K980)</f>
        <v/>
      </c>
      <c r="M980" s="14">
        <f>IF(A980="","",MONTH(A980))</f>
        <v/>
      </c>
      <c r="N980" s="14">
        <f>IF(A980="","",YEAR(A980))</f>
        <v/>
      </c>
    </row>
    <row r="981">
      <c r="A981" s="15" t="n"/>
      <c r="B981" s="10" t="n"/>
      <c r="C981" s="10" t="n"/>
      <c r="D981" s="10" t="n"/>
      <c r="E981" s="14">
        <f>IF(D981="","",IFERROR(INDEX('Sản phẩm'!$B$5:$B$304,MATCH(D981,'Sản phẩm'!$A$5:$A$304,0)),""))</f>
        <v/>
      </c>
      <c r="F981" s="12" t="n"/>
      <c r="G981" s="11" t="n"/>
      <c r="H981" s="11" t="n"/>
      <c r="I981" s="16">
        <f>IF(D981="","",IF(G981&lt;&gt;"",G981,IFERROR(INDEX('Sản phẩm'!$E$5:$E$304,MATCH(D981,'Sản phẩm'!$A$5:$A$304,0)),"")))</f>
        <v/>
      </c>
      <c r="J981" s="16">
        <f>IF(OR(D981="",F981=""),"",F981*I981-N(H981))</f>
        <v/>
      </c>
      <c r="K981" s="16">
        <f>IF(OR(D981="",F981=""),"",F981*IFERROR(INDEX('Sản phẩm'!$D$5:$D$304,MATCH(D981,'Sản phẩm'!$A$5:$A$304,0)),""))</f>
        <v/>
      </c>
      <c r="L981" s="16">
        <f>IF(J981="","",J981-K981)</f>
        <v/>
      </c>
      <c r="M981" s="14">
        <f>IF(A981="","",MONTH(A981))</f>
        <v/>
      </c>
      <c r="N981" s="14">
        <f>IF(A981="","",YEAR(A981))</f>
        <v/>
      </c>
    </row>
    <row r="982">
      <c r="A982" s="15" t="n"/>
      <c r="B982" s="10" t="n"/>
      <c r="C982" s="10" t="n"/>
      <c r="D982" s="10" t="n"/>
      <c r="E982" s="14">
        <f>IF(D982="","",IFERROR(INDEX('Sản phẩm'!$B$5:$B$304,MATCH(D982,'Sản phẩm'!$A$5:$A$304,0)),""))</f>
        <v/>
      </c>
      <c r="F982" s="12" t="n"/>
      <c r="G982" s="11" t="n"/>
      <c r="H982" s="11" t="n"/>
      <c r="I982" s="16">
        <f>IF(D982="","",IF(G982&lt;&gt;"",G982,IFERROR(INDEX('Sản phẩm'!$E$5:$E$304,MATCH(D982,'Sản phẩm'!$A$5:$A$304,0)),"")))</f>
        <v/>
      </c>
      <c r="J982" s="16">
        <f>IF(OR(D982="",F982=""),"",F982*I982-N(H982))</f>
        <v/>
      </c>
      <c r="K982" s="16">
        <f>IF(OR(D982="",F982=""),"",F982*IFERROR(INDEX('Sản phẩm'!$D$5:$D$304,MATCH(D982,'Sản phẩm'!$A$5:$A$304,0)),""))</f>
        <v/>
      </c>
      <c r="L982" s="16">
        <f>IF(J982="","",J982-K982)</f>
        <v/>
      </c>
      <c r="M982" s="14">
        <f>IF(A982="","",MONTH(A982))</f>
        <v/>
      </c>
      <c r="N982" s="14">
        <f>IF(A982="","",YEAR(A982))</f>
        <v/>
      </c>
    </row>
    <row r="983">
      <c r="A983" s="15" t="n"/>
      <c r="B983" s="10" t="n"/>
      <c r="C983" s="10" t="n"/>
      <c r="D983" s="10" t="n"/>
      <c r="E983" s="14">
        <f>IF(D983="","",IFERROR(INDEX('Sản phẩm'!$B$5:$B$304,MATCH(D983,'Sản phẩm'!$A$5:$A$304,0)),""))</f>
        <v/>
      </c>
      <c r="F983" s="12" t="n"/>
      <c r="G983" s="11" t="n"/>
      <c r="H983" s="11" t="n"/>
      <c r="I983" s="16">
        <f>IF(D983="","",IF(G983&lt;&gt;"",G983,IFERROR(INDEX('Sản phẩm'!$E$5:$E$304,MATCH(D983,'Sản phẩm'!$A$5:$A$304,0)),"")))</f>
        <v/>
      </c>
      <c r="J983" s="16">
        <f>IF(OR(D983="",F983=""),"",F983*I983-N(H983))</f>
        <v/>
      </c>
      <c r="K983" s="16">
        <f>IF(OR(D983="",F983=""),"",F983*IFERROR(INDEX('Sản phẩm'!$D$5:$D$304,MATCH(D983,'Sản phẩm'!$A$5:$A$304,0)),""))</f>
        <v/>
      </c>
      <c r="L983" s="16">
        <f>IF(J983="","",J983-K983)</f>
        <v/>
      </c>
      <c r="M983" s="14">
        <f>IF(A983="","",MONTH(A983))</f>
        <v/>
      </c>
      <c r="N983" s="14">
        <f>IF(A983="","",YEAR(A983))</f>
        <v/>
      </c>
    </row>
    <row r="984">
      <c r="A984" s="15" t="n"/>
      <c r="B984" s="10" t="n"/>
      <c r="C984" s="10" t="n"/>
      <c r="D984" s="10" t="n"/>
      <c r="E984" s="14">
        <f>IF(D984="","",IFERROR(INDEX('Sản phẩm'!$B$5:$B$304,MATCH(D984,'Sản phẩm'!$A$5:$A$304,0)),""))</f>
        <v/>
      </c>
      <c r="F984" s="12" t="n"/>
      <c r="G984" s="11" t="n"/>
      <c r="H984" s="11" t="n"/>
      <c r="I984" s="16">
        <f>IF(D984="","",IF(G984&lt;&gt;"",G984,IFERROR(INDEX('Sản phẩm'!$E$5:$E$304,MATCH(D984,'Sản phẩm'!$A$5:$A$304,0)),"")))</f>
        <v/>
      </c>
      <c r="J984" s="16">
        <f>IF(OR(D984="",F984=""),"",F984*I984-N(H984))</f>
        <v/>
      </c>
      <c r="K984" s="16">
        <f>IF(OR(D984="",F984=""),"",F984*IFERROR(INDEX('Sản phẩm'!$D$5:$D$304,MATCH(D984,'Sản phẩm'!$A$5:$A$304,0)),""))</f>
        <v/>
      </c>
      <c r="L984" s="16">
        <f>IF(J984="","",J984-K984)</f>
        <v/>
      </c>
      <c r="M984" s="14">
        <f>IF(A984="","",MONTH(A984))</f>
        <v/>
      </c>
      <c r="N984" s="14">
        <f>IF(A984="","",YEAR(A984))</f>
        <v/>
      </c>
    </row>
    <row r="985">
      <c r="A985" s="15" t="n"/>
      <c r="B985" s="10" t="n"/>
      <c r="C985" s="10" t="n"/>
      <c r="D985" s="10" t="n"/>
      <c r="E985" s="14">
        <f>IF(D985="","",IFERROR(INDEX('Sản phẩm'!$B$5:$B$304,MATCH(D985,'Sản phẩm'!$A$5:$A$304,0)),""))</f>
        <v/>
      </c>
      <c r="F985" s="12" t="n"/>
      <c r="G985" s="11" t="n"/>
      <c r="H985" s="11" t="n"/>
      <c r="I985" s="16">
        <f>IF(D985="","",IF(G985&lt;&gt;"",G985,IFERROR(INDEX('Sản phẩm'!$E$5:$E$304,MATCH(D985,'Sản phẩm'!$A$5:$A$304,0)),"")))</f>
        <v/>
      </c>
      <c r="J985" s="16">
        <f>IF(OR(D985="",F985=""),"",F985*I985-N(H985))</f>
        <v/>
      </c>
      <c r="K985" s="16">
        <f>IF(OR(D985="",F985=""),"",F985*IFERROR(INDEX('Sản phẩm'!$D$5:$D$304,MATCH(D985,'Sản phẩm'!$A$5:$A$304,0)),""))</f>
        <v/>
      </c>
      <c r="L985" s="16">
        <f>IF(J985="","",J985-K985)</f>
        <v/>
      </c>
      <c r="M985" s="14">
        <f>IF(A985="","",MONTH(A985))</f>
        <v/>
      </c>
      <c r="N985" s="14">
        <f>IF(A985="","",YEAR(A985))</f>
        <v/>
      </c>
    </row>
    <row r="986">
      <c r="A986" s="15" t="n"/>
      <c r="B986" s="10" t="n"/>
      <c r="C986" s="10" t="n"/>
      <c r="D986" s="10" t="n"/>
      <c r="E986" s="14">
        <f>IF(D986="","",IFERROR(INDEX('Sản phẩm'!$B$5:$B$304,MATCH(D986,'Sản phẩm'!$A$5:$A$304,0)),""))</f>
        <v/>
      </c>
      <c r="F986" s="12" t="n"/>
      <c r="G986" s="11" t="n"/>
      <c r="H986" s="11" t="n"/>
      <c r="I986" s="16">
        <f>IF(D986="","",IF(G986&lt;&gt;"",G986,IFERROR(INDEX('Sản phẩm'!$E$5:$E$304,MATCH(D986,'Sản phẩm'!$A$5:$A$304,0)),"")))</f>
        <v/>
      </c>
      <c r="J986" s="16">
        <f>IF(OR(D986="",F986=""),"",F986*I986-N(H986))</f>
        <v/>
      </c>
      <c r="K986" s="16">
        <f>IF(OR(D986="",F986=""),"",F986*IFERROR(INDEX('Sản phẩm'!$D$5:$D$304,MATCH(D986,'Sản phẩm'!$A$5:$A$304,0)),""))</f>
        <v/>
      </c>
      <c r="L986" s="16">
        <f>IF(J986="","",J986-K986)</f>
        <v/>
      </c>
      <c r="M986" s="14">
        <f>IF(A986="","",MONTH(A986))</f>
        <v/>
      </c>
      <c r="N986" s="14">
        <f>IF(A986="","",YEAR(A986))</f>
        <v/>
      </c>
    </row>
    <row r="987">
      <c r="A987" s="15" t="n"/>
      <c r="B987" s="10" t="n"/>
      <c r="C987" s="10" t="n"/>
      <c r="D987" s="10" t="n"/>
      <c r="E987" s="14">
        <f>IF(D987="","",IFERROR(INDEX('Sản phẩm'!$B$5:$B$304,MATCH(D987,'Sản phẩm'!$A$5:$A$304,0)),""))</f>
        <v/>
      </c>
      <c r="F987" s="12" t="n"/>
      <c r="G987" s="11" t="n"/>
      <c r="H987" s="11" t="n"/>
      <c r="I987" s="16">
        <f>IF(D987="","",IF(G987&lt;&gt;"",G987,IFERROR(INDEX('Sản phẩm'!$E$5:$E$304,MATCH(D987,'Sản phẩm'!$A$5:$A$304,0)),"")))</f>
        <v/>
      </c>
      <c r="J987" s="16">
        <f>IF(OR(D987="",F987=""),"",F987*I987-N(H987))</f>
        <v/>
      </c>
      <c r="K987" s="16">
        <f>IF(OR(D987="",F987=""),"",F987*IFERROR(INDEX('Sản phẩm'!$D$5:$D$304,MATCH(D987,'Sản phẩm'!$A$5:$A$304,0)),""))</f>
        <v/>
      </c>
      <c r="L987" s="16">
        <f>IF(J987="","",J987-K987)</f>
        <v/>
      </c>
      <c r="M987" s="14">
        <f>IF(A987="","",MONTH(A987))</f>
        <v/>
      </c>
      <c r="N987" s="14">
        <f>IF(A987="","",YEAR(A987))</f>
        <v/>
      </c>
    </row>
    <row r="988">
      <c r="A988" s="15" t="n"/>
      <c r="B988" s="10" t="n"/>
      <c r="C988" s="10" t="n"/>
      <c r="D988" s="10" t="n"/>
      <c r="E988" s="14">
        <f>IF(D988="","",IFERROR(INDEX('Sản phẩm'!$B$5:$B$304,MATCH(D988,'Sản phẩm'!$A$5:$A$304,0)),""))</f>
        <v/>
      </c>
      <c r="F988" s="12" t="n"/>
      <c r="G988" s="11" t="n"/>
      <c r="H988" s="11" t="n"/>
      <c r="I988" s="16">
        <f>IF(D988="","",IF(G988&lt;&gt;"",G988,IFERROR(INDEX('Sản phẩm'!$E$5:$E$304,MATCH(D988,'Sản phẩm'!$A$5:$A$304,0)),"")))</f>
        <v/>
      </c>
      <c r="J988" s="16">
        <f>IF(OR(D988="",F988=""),"",F988*I988-N(H988))</f>
        <v/>
      </c>
      <c r="K988" s="16">
        <f>IF(OR(D988="",F988=""),"",F988*IFERROR(INDEX('Sản phẩm'!$D$5:$D$304,MATCH(D988,'Sản phẩm'!$A$5:$A$304,0)),""))</f>
        <v/>
      </c>
      <c r="L988" s="16">
        <f>IF(J988="","",J988-K988)</f>
        <v/>
      </c>
      <c r="M988" s="14">
        <f>IF(A988="","",MONTH(A988))</f>
        <v/>
      </c>
      <c r="N988" s="14">
        <f>IF(A988="","",YEAR(A988))</f>
        <v/>
      </c>
    </row>
    <row r="989">
      <c r="A989" s="15" t="n"/>
      <c r="B989" s="10" t="n"/>
      <c r="C989" s="10" t="n"/>
      <c r="D989" s="10" t="n"/>
      <c r="E989" s="14">
        <f>IF(D989="","",IFERROR(INDEX('Sản phẩm'!$B$5:$B$304,MATCH(D989,'Sản phẩm'!$A$5:$A$304,0)),""))</f>
        <v/>
      </c>
      <c r="F989" s="12" t="n"/>
      <c r="G989" s="11" t="n"/>
      <c r="H989" s="11" t="n"/>
      <c r="I989" s="16">
        <f>IF(D989="","",IF(G989&lt;&gt;"",G989,IFERROR(INDEX('Sản phẩm'!$E$5:$E$304,MATCH(D989,'Sản phẩm'!$A$5:$A$304,0)),"")))</f>
        <v/>
      </c>
      <c r="J989" s="16">
        <f>IF(OR(D989="",F989=""),"",F989*I989-N(H989))</f>
        <v/>
      </c>
      <c r="K989" s="16">
        <f>IF(OR(D989="",F989=""),"",F989*IFERROR(INDEX('Sản phẩm'!$D$5:$D$304,MATCH(D989,'Sản phẩm'!$A$5:$A$304,0)),""))</f>
        <v/>
      </c>
      <c r="L989" s="16">
        <f>IF(J989="","",J989-K989)</f>
        <v/>
      </c>
      <c r="M989" s="14">
        <f>IF(A989="","",MONTH(A989))</f>
        <v/>
      </c>
      <c r="N989" s="14">
        <f>IF(A989="","",YEAR(A989))</f>
        <v/>
      </c>
    </row>
    <row r="990">
      <c r="A990" s="15" t="n"/>
      <c r="B990" s="10" t="n"/>
      <c r="C990" s="10" t="n"/>
      <c r="D990" s="10" t="n"/>
      <c r="E990" s="14">
        <f>IF(D990="","",IFERROR(INDEX('Sản phẩm'!$B$5:$B$304,MATCH(D990,'Sản phẩm'!$A$5:$A$304,0)),""))</f>
        <v/>
      </c>
      <c r="F990" s="12" t="n"/>
      <c r="G990" s="11" t="n"/>
      <c r="H990" s="11" t="n"/>
      <c r="I990" s="16">
        <f>IF(D990="","",IF(G990&lt;&gt;"",G990,IFERROR(INDEX('Sản phẩm'!$E$5:$E$304,MATCH(D990,'Sản phẩm'!$A$5:$A$304,0)),"")))</f>
        <v/>
      </c>
      <c r="J990" s="16">
        <f>IF(OR(D990="",F990=""),"",F990*I990-N(H990))</f>
        <v/>
      </c>
      <c r="K990" s="16">
        <f>IF(OR(D990="",F990=""),"",F990*IFERROR(INDEX('Sản phẩm'!$D$5:$D$304,MATCH(D990,'Sản phẩm'!$A$5:$A$304,0)),""))</f>
        <v/>
      </c>
      <c r="L990" s="16">
        <f>IF(J990="","",J990-K990)</f>
        <v/>
      </c>
      <c r="M990" s="14">
        <f>IF(A990="","",MONTH(A990))</f>
        <v/>
      </c>
      <c r="N990" s="14">
        <f>IF(A990="","",YEAR(A990))</f>
        <v/>
      </c>
    </row>
    <row r="991">
      <c r="A991" s="15" t="n"/>
      <c r="B991" s="10" t="n"/>
      <c r="C991" s="10" t="n"/>
      <c r="D991" s="10" t="n"/>
      <c r="E991" s="14">
        <f>IF(D991="","",IFERROR(INDEX('Sản phẩm'!$B$5:$B$304,MATCH(D991,'Sản phẩm'!$A$5:$A$304,0)),""))</f>
        <v/>
      </c>
      <c r="F991" s="12" t="n"/>
      <c r="G991" s="11" t="n"/>
      <c r="H991" s="11" t="n"/>
      <c r="I991" s="16">
        <f>IF(D991="","",IF(G991&lt;&gt;"",G991,IFERROR(INDEX('Sản phẩm'!$E$5:$E$304,MATCH(D991,'Sản phẩm'!$A$5:$A$304,0)),"")))</f>
        <v/>
      </c>
      <c r="J991" s="16">
        <f>IF(OR(D991="",F991=""),"",F991*I991-N(H991))</f>
        <v/>
      </c>
      <c r="K991" s="16">
        <f>IF(OR(D991="",F991=""),"",F991*IFERROR(INDEX('Sản phẩm'!$D$5:$D$304,MATCH(D991,'Sản phẩm'!$A$5:$A$304,0)),""))</f>
        <v/>
      </c>
      <c r="L991" s="16">
        <f>IF(J991="","",J991-K991)</f>
        <v/>
      </c>
      <c r="M991" s="14">
        <f>IF(A991="","",MONTH(A991))</f>
        <v/>
      </c>
      <c r="N991" s="14">
        <f>IF(A991="","",YEAR(A991))</f>
        <v/>
      </c>
    </row>
    <row r="992">
      <c r="A992" s="15" t="n"/>
      <c r="B992" s="10" t="n"/>
      <c r="C992" s="10" t="n"/>
      <c r="D992" s="10" t="n"/>
      <c r="E992" s="14">
        <f>IF(D992="","",IFERROR(INDEX('Sản phẩm'!$B$5:$B$304,MATCH(D992,'Sản phẩm'!$A$5:$A$304,0)),""))</f>
        <v/>
      </c>
      <c r="F992" s="12" t="n"/>
      <c r="G992" s="11" t="n"/>
      <c r="H992" s="11" t="n"/>
      <c r="I992" s="16">
        <f>IF(D992="","",IF(G992&lt;&gt;"",G992,IFERROR(INDEX('Sản phẩm'!$E$5:$E$304,MATCH(D992,'Sản phẩm'!$A$5:$A$304,0)),"")))</f>
        <v/>
      </c>
      <c r="J992" s="16">
        <f>IF(OR(D992="",F992=""),"",F992*I992-N(H992))</f>
        <v/>
      </c>
      <c r="K992" s="16">
        <f>IF(OR(D992="",F992=""),"",F992*IFERROR(INDEX('Sản phẩm'!$D$5:$D$304,MATCH(D992,'Sản phẩm'!$A$5:$A$304,0)),""))</f>
        <v/>
      </c>
      <c r="L992" s="16">
        <f>IF(J992="","",J992-K992)</f>
        <v/>
      </c>
      <c r="M992" s="14">
        <f>IF(A992="","",MONTH(A992))</f>
        <v/>
      </c>
      <c r="N992" s="14">
        <f>IF(A992="","",YEAR(A992))</f>
        <v/>
      </c>
    </row>
    <row r="993">
      <c r="A993" s="15" t="n"/>
      <c r="B993" s="10" t="n"/>
      <c r="C993" s="10" t="n"/>
      <c r="D993" s="10" t="n"/>
      <c r="E993" s="14">
        <f>IF(D993="","",IFERROR(INDEX('Sản phẩm'!$B$5:$B$304,MATCH(D993,'Sản phẩm'!$A$5:$A$304,0)),""))</f>
        <v/>
      </c>
      <c r="F993" s="12" t="n"/>
      <c r="G993" s="11" t="n"/>
      <c r="H993" s="11" t="n"/>
      <c r="I993" s="16">
        <f>IF(D993="","",IF(G993&lt;&gt;"",G993,IFERROR(INDEX('Sản phẩm'!$E$5:$E$304,MATCH(D993,'Sản phẩm'!$A$5:$A$304,0)),"")))</f>
        <v/>
      </c>
      <c r="J993" s="16">
        <f>IF(OR(D993="",F993=""),"",F993*I993-N(H993))</f>
        <v/>
      </c>
      <c r="K993" s="16">
        <f>IF(OR(D993="",F993=""),"",F993*IFERROR(INDEX('Sản phẩm'!$D$5:$D$304,MATCH(D993,'Sản phẩm'!$A$5:$A$304,0)),""))</f>
        <v/>
      </c>
      <c r="L993" s="16">
        <f>IF(J993="","",J993-K993)</f>
        <v/>
      </c>
      <c r="M993" s="14">
        <f>IF(A993="","",MONTH(A993))</f>
        <v/>
      </c>
      <c r="N993" s="14">
        <f>IF(A993="","",YEAR(A993))</f>
        <v/>
      </c>
    </row>
    <row r="994">
      <c r="A994" s="15" t="n"/>
      <c r="B994" s="10" t="n"/>
      <c r="C994" s="10" t="n"/>
      <c r="D994" s="10" t="n"/>
      <c r="E994" s="14">
        <f>IF(D994="","",IFERROR(INDEX('Sản phẩm'!$B$5:$B$304,MATCH(D994,'Sản phẩm'!$A$5:$A$304,0)),""))</f>
        <v/>
      </c>
      <c r="F994" s="12" t="n"/>
      <c r="G994" s="11" t="n"/>
      <c r="H994" s="11" t="n"/>
      <c r="I994" s="16">
        <f>IF(D994="","",IF(G994&lt;&gt;"",G994,IFERROR(INDEX('Sản phẩm'!$E$5:$E$304,MATCH(D994,'Sản phẩm'!$A$5:$A$304,0)),"")))</f>
        <v/>
      </c>
      <c r="J994" s="16">
        <f>IF(OR(D994="",F994=""),"",F994*I994-N(H994))</f>
        <v/>
      </c>
      <c r="K994" s="16">
        <f>IF(OR(D994="",F994=""),"",F994*IFERROR(INDEX('Sản phẩm'!$D$5:$D$304,MATCH(D994,'Sản phẩm'!$A$5:$A$304,0)),""))</f>
        <v/>
      </c>
      <c r="L994" s="16">
        <f>IF(J994="","",J994-K994)</f>
        <v/>
      </c>
      <c r="M994" s="14">
        <f>IF(A994="","",MONTH(A994))</f>
        <v/>
      </c>
      <c r="N994" s="14">
        <f>IF(A994="","",YEAR(A994))</f>
        <v/>
      </c>
    </row>
    <row r="995">
      <c r="A995" s="15" t="n"/>
      <c r="B995" s="10" t="n"/>
      <c r="C995" s="10" t="n"/>
      <c r="D995" s="10" t="n"/>
      <c r="E995" s="14">
        <f>IF(D995="","",IFERROR(INDEX('Sản phẩm'!$B$5:$B$304,MATCH(D995,'Sản phẩm'!$A$5:$A$304,0)),""))</f>
        <v/>
      </c>
      <c r="F995" s="12" t="n"/>
      <c r="G995" s="11" t="n"/>
      <c r="H995" s="11" t="n"/>
      <c r="I995" s="16">
        <f>IF(D995="","",IF(G995&lt;&gt;"",G995,IFERROR(INDEX('Sản phẩm'!$E$5:$E$304,MATCH(D995,'Sản phẩm'!$A$5:$A$304,0)),"")))</f>
        <v/>
      </c>
      <c r="J995" s="16">
        <f>IF(OR(D995="",F995=""),"",F995*I995-N(H995))</f>
        <v/>
      </c>
      <c r="K995" s="16">
        <f>IF(OR(D995="",F995=""),"",F995*IFERROR(INDEX('Sản phẩm'!$D$5:$D$304,MATCH(D995,'Sản phẩm'!$A$5:$A$304,0)),""))</f>
        <v/>
      </c>
      <c r="L995" s="16">
        <f>IF(J995="","",J995-K995)</f>
        <v/>
      </c>
      <c r="M995" s="14">
        <f>IF(A995="","",MONTH(A995))</f>
        <v/>
      </c>
      <c r="N995" s="14">
        <f>IF(A995="","",YEAR(A995))</f>
        <v/>
      </c>
    </row>
    <row r="996">
      <c r="A996" s="15" t="n"/>
      <c r="B996" s="10" t="n"/>
      <c r="C996" s="10" t="n"/>
      <c r="D996" s="10" t="n"/>
      <c r="E996" s="14">
        <f>IF(D996="","",IFERROR(INDEX('Sản phẩm'!$B$5:$B$304,MATCH(D996,'Sản phẩm'!$A$5:$A$304,0)),""))</f>
        <v/>
      </c>
      <c r="F996" s="12" t="n"/>
      <c r="G996" s="11" t="n"/>
      <c r="H996" s="11" t="n"/>
      <c r="I996" s="16">
        <f>IF(D996="","",IF(G996&lt;&gt;"",G996,IFERROR(INDEX('Sản phẩm'!$E$5:$E$304,MATCH(D996,'Sản phẩm'!$A$5:$A$304,0)),"")))</f>
        <v/>
      </c>
      <c r="J996" s="16">
        <f>IF(OR(D996="",F996=""),"",F996*I996-N(H996))</f>
        <v/>
      </c>
      <c r="K996" s="16">
        <f>IF(OR(D996="",F996=""),"",F996*IFERROR(INDEX('Sản phẩm'!$D$5:$D$304,MATCH(D996,'Sản phẩm'!$A$5:$A$304,0)),""))</f>
        <v/>
      </c>
      <c r="L996" s="16">
        <f>IF(J996="","",J996-K996)</f>
        <v/>
      </c>
      <c r="M996" s="14">
        <f>IF(A996="","",MONTH(A996))</f>
        <v/>
      </c>
      <c r="N996" s="14">
        <f>IF(A996="","",YEAR(A996))</f>
        <v/>
      </c>
    </row>
    <row r="997">
      <c r="A997" s="15" t="n"/>
      <c r="B997" s="10" t="n"/>
      <c r="C997" s="10" t="n"/>
      <c r="D997" s="10" t="n"/>
      <c r="E997" s="14">
        <f>IF(D997="","",IFERROR(INDEX('Sản phẩm'!$B$5:$B$304,MATCH(D997,'Sản phẩm'!$A$5:$A$304,0)),""))</f>
        <v/>
      </c>
      <c r="F997" s="12" t="n"/>
      <c r="G997" s="11" t="n"/>
      <c r="H997" s="11" t="n"/>
      <c r="I997" s="16">
        <f>IF(D997="","",IF(G997&lt;&gt;"",G997,IFERROR(INDEX('Sản phẩm'!$E$5:$E$304,MATCH(D997,'Sản phẩm'!$A$5:$A$304,0)),"")))</f>
        <v/>
      </c>
      <c r="J997" s="16">
        <f>IF(OR(D997="",F997=""),"",F997*I997-N(H997))</f>
        <v/>
      </c>
      <c r="K997" s="16">
        <f>IF(OR(D997="",F997=""),"",F997*IFERROR(INDEX('Sản phẩm'!$D$5:$D$304,MATCH(D997,'Sản phẩm'!$A$5:$A$304,0)),""))</f>
        <v/>
      </c>
      <c r="L997" s="16">
        <f>IF(J997="","",J997-K997)</f>
        <v/>
      </c>
      <c r="M997" s="14">
        <f>IF(A997="","",MONTH(A997))</f>
        <v/>
      </c>
      <c r="N997" s="14">
        <f>IF(A997="","",YEAR(A997))</f>
        <v/>
      </c>
    </row>
    <row r="998">
      <c r="A998" s="15" t="n"/>
      <c r="B998" s="10" t="n"/>
      <c r="C998" s="10" t="n"/>
      <c r="D998" s="10" t="n"/>
      <c r="E998" s="14">
        <f>IF(D998="","",IFERROR(INDEX('Sản phẩm'!$B$5:$B$304,MATCH(D998,'Sản phẩm'!$A$5:$A$304,0)),""))</f>
        <v/>
      </c>
      <c r="F998" s="12" t="n"/>
      <c r="G998" s="11" t="n"/>
      <c r="H998" s="11" t="n"/>
      <c r="I998" s="16">
        <f>IF(D998="","",IF(G998&lt;&gt;"",G998,IFERROR(INDEX('Sản phẩm'!$E$5:$E$304,MATCH(D998,'Sản phẩm'!$A$5:$A$304,0)),"")))</f>
        <v/>
      </c>
      <c r="J998" s="16">
        <f>IF(OR(D998="",F998=""),"",F998*I998-N(H998))</f>
        <v/>
      </c>
      <c r="K998" s="16">
        <f>IF(OR(D998="",F998=""),"",F998*IFERROR(INDEX('Sản phẩm'!$D$5:$D$304,MATCH(D998,'Sản phẩm'!$A$5:$A$304,0)),""))</f>
        <v/>
      </c>
      <c r="L998" s="16">
        <f>IF(J998="","",J998-K998)</f>
        <v/>
      </c>
      <c r="M998" s="14">
        <f>IF(A998="","",MONTH(A998))</f>
        <v/>
      </c>
      <c r="N998" s="14">
        <f>IF(A998="","",YEAR(A998))</f>
        <v/>
      </c>
    </row>
    <row r="999">
      <c r="A999" s="15" t="n"/>
      <c r="B999" s="10" t="n"/>
      <c r="C999" s="10" t="n"/>
      <c r="D999" s="10" t="n"/>
      <c r="E999" s="14">
        <f>IF(D999="","",IFERROR(INDEX('Sản phẩm'!$B$5:$B$304,MATCH(D999,'Sản phẩm'!$A$5:$A$304,0)),""))</f>
        <v/>
      </c>
      <c r="F999" s="12" t="n"/>
      <c r="G999" s="11" t="n"/>
      <c r="H999" s="11" t="n"/>
      <c r="I999" s="16">
        <f>IF(D999="","",IF(G999&lt;&gt;"",G999,IFERROR(INDEX('Sản phẩm'!$E$5:$E$304,MATCH(D999,'Sản phẩm'!$A$5:$A$304,0)),"")))</f>
        <v/>
      </c>
      <c r="J999" s="16">
        <f>IF(OR(D999="",F999=""),"",F999*I999-N(H999))</f>
        <v/>
      </c>
      <c r="K999" s="16">
        <f>IF(OR(D999="",F999=""),"",F999*IFERROR(INDEX('Sản phẩm'!$D$5:$D$304,MATCH(D999,'Sản phẩm'!$A$5:$A$304,0)),""))</f>
        <v/>
      </c>
      <c r="L999" s="16">
        <f>IF(J999="","",J999-K999)</f>
        <v/>
      </c>
      <c r="M999" s="14">
        <f>IF(A999="","",MONTH(A999))</f>
        <v/>
      </c>
      <c r="N999" s="14">
        <f>IF(A999="","",YEAR(A999))</f>
        <v/>
      </c>
    </row>
    <row r="1000">
      <c r="A1000" s="15" t="n"/>
      <c r="B1000" s="10" t="n"/>
      <c r="C1000" s="10" t="n"/>
      <c r="D1000" s="10" t="n"/>
      <c r="E1000" s="14">
        <f>IF(D1000="","",IFERROR(INDEX('Sản phẩm'!$B$5:$B$304,MATCH(D1000,'Sản phẩm'!$A$5:$A$304,0)),""))</f>
        <v/>
      </c>
      <c r="F1000" s="12" t="n"/>
      <c r="G1000" s="11" t="n"/>
      <c r="H1000" s="11" t="n"/>
      <c r="I1000" s="16">
        <f>IF(D1000="","",IF(G1000&lt;&gt;"",G1000,IFERROR(INDEX('Sản phẩm'!$E$5:$E$304,MATCH(D1000,'Sản phẩm'!$A$5:$A$304,0)),"")))</f>
        <v/>
      </c>
      <c r="J1000" s="16">
        <f>IF(OR(D1000="",F1000=""),"",F1000*I1000-N(H1000))</f>
        <v/>
      </c>
      <c r="K1000" s="16">
        <f>IF(OR(D1000="",F1000=""),"",F1000*IFERROR(INDEX('Sản phẩm'!$D$5:$D$304,MATCH(D1000,'Sản phẩm'!$A$5:$A$304,0)),""))</f>
        <v/>
      </c>
      <c r="L1000" s="16">
        <f>IF(J1000="","",J1000-K1000)</f>
        <v/>
      </c>
      <c r="M1000" s="14">
        <f>IF(A1000="","",MONTH(A1000))</f>
        <v/>
      </c>
      <c r="N1000" s="14">
        <f>IF(A1000="","",YEAR(A1000))</f>
        <v/>
      </c>
    </row>
    <row r="1001">
      <c r="A1001" s="15" t="n"/>
      <c r="B1001" s="10" t="n"/>
      <c r="C1001" s="10" t="n"/>
      <c r="D1001" s="10" t="n"/>
      <c r="E1001" s="14">
        <f>IF(D1001="","",IFERROR(INDEX('Sản phẩm'!$B$5:$B$304,MATCH(D1001,'Sản phẩm'!$A$5:$A$304,0)),""))</f>
        <v/>
      </c>
      <c r="F1001" s="12" t="n"/>
      <c r="G1001" s="11" t="n"/>
      <c r="H1001" s="11" t="n"/>
      <c r="I1001" s="16">
        <f>IF(D1001="","",IF(G1001&lt;&gt;"",G1001,IFERROR(INDEX('Sản phẩm'!$E$5:$E$304,MATCH(D1001,'Sản phẩm'!$A$5:$A$304,0)),"")))</f>
        <v/>
      </c>
      <c r="J1001" s="16">
        <f>IF(OR(D1001="",F1001=""),"",F1001*I1001-N(H1001))</f>
        <v/>
      </c>
      <c r="K1001" s="16">
        <f>IF(OR(D1001="",F1001=""),"",F1001*IFERROR(INDEX('Sản phẩm'!$D$5:$D$304,MATCH(D1001,'Sản phẩm'!$A$5:$A$304,0)),""))</f>
        <v/>
      </c>
      <c r="L1001" s="16">
        <f>IF(J1001="","",J1001-K1001)</f>
        <v/>
      </c>
      <c r="M1001" s="14">
        <f>IF(A1001="","",MONTH(A1001))</f>
        <v/>
      </c>
      <c r="N1001" s="14">
        <f>IF(A1001="","",YEAR(A1001))</f>
        <v/>
      </c>
    </row>
    <row r="1002">
      <c r="A1002" s="15" t="n"/>
      <c r="B1002" s="10" t="n"/>
      <c r="C1002" s="10" t="n"/>
      <c r="D1002" s="10" t="n"/>
      <c r="E1002" s="14">
        <f>IF(D1002="","",IFERROR(INDEX('Sản phẩm'!$B$5:$B$304,MATCH(D1002,'Sản phẩm'!$A$5:$A$304,0)),""))</f>
        <v/>
      </c>
      <c r="F1002" s="12" t="n"/>
      <c r="G1002" s="11" t="n"/>
      <c r="H1002" s="11" t="n"/>
      <c r="I1002" s="16">
        <f>IF(D1002="","",IF(G1002&lt;&gt;"",G1002,IFERROR(INDEX('Sản phẩm'!$E$5:$E$304,MATCH(D1002,'Sản phẩm'!$A$5:$A$304,0)),"")))</f>
        <v/>
      </c>
      <c r="J1002" s="16">
        <f>IF(OR(D1002="",F1002=""),"",F1002*I1002-N(H1002))</f>
        <v/>
      </c>
      <c r="K1002" s="16">
        <f>IF(OR(D1002="",F1002=""),"",F1002*IFERROR(INDEX('Sản phẩm'!$D$5:$D$304,MATCH(D1002,'Sản phẩm'!$A$5:$A$304,0)),""))</f>
        <v/>
      </c>
      <c r="L1002" s="16">
        <f>IF(J1002="","",J1002-K1002)</f>
        <v/>
      </c>
      <c r="M1002" s="14">
        <f>IF(A1002="","",MONTH(A1002))</f>
        <v/>
      </c>
      <c r="N1002" s="14">
        <f>IF(A1002="","",YEAR(A1002))</f>
        <v/>
      </c>
    </row>
    <row r="1003">
      <c r="A1003" s="15" t="n"/>
      <c r="B1003" s="10" t="n"/>
      <c r="C1003" s="10" t="n"/>
      <c r="D1003" s="10" t="n"/>
      <c r="E1003" s="14">
        <f>IF(D1003="","",IFERROR(INDEX('Sản phẩm'!$B$5:$B$304,MATCH(D1003,'Sản phẩm'!$A$5:$A$304,0)),""))</f>
        <v/>
      </c>
      <c r="F1003" s="12" t="n"/>
      <c r="G1003" s="11" t="n"/>
      <c r="H1003" s="11" t="n"/>
      <c r="I1003" s="16">
        <f>IF(D1003="","",IF(G1003&lt;&gt;"",G1003,IFERROR(INDEX('Sản phẩm'!$E$5:$E$304,MATCH(D1003,'Sản phẩm'!$A$5:$A$304,0)),"")))</f>
        <v/>
      </c>
      <c r="J1003" s="16">
        <f>IF(OR(D1003="",F1003=""),"",F1003*I1003-N(H1003))</f>
        <v/>
      </c>
      <c r="K1003" s="16">
        <f>IF(OR(D1003="",F1003=""),"",F1003*IFERROR(INDEX('Sản phẩm'!$D$5:$D$304,MATCH(D1003,'Sản phẩm'!$A$5:$A$304,0)),""))</f>
        <v/>
      </c>
      <c r="L1003" s="16">
        <f>IF(J1003="","",J1003-K1003)</f>
        <v/>
      </c>
      <c r="M1003" s="14">
        <f>IF(A1003="","",MONTH(A1003))</f>
        <v/>
      </c>
      <c r="N1003" s="14">
        <f>IF(A1003="","",YEAR(A1003))</f>
        <v/>
      </c>
    </row>
    <row r="1004">
      <c r="A1004" s="15" t="n"/>
      <c r="B1004" s="10" t="n"/>
      <c r="C1004" s="10" t="n"/>
      <c r="D1004" s="10" t="n"/>
      <c r="E1004" s="14">
        <f>IF(D1004="","",IFERROR(INDEX('Sản phẩm'!$B$5:$B$304,MATCH(D1004,'Sản phẩm'!$A$5:$A$304,0)),""))</f>
        <v/>
      </c>
      <c r="F1004" s="12" t="n"/>
      <c r="G1004" s="11" t="n"/>
      <c r="H1004" s="11" t="n"/>
      <c r="I1004" s="16">
        <f>IF(D1004="","",IF(G1004&lt;&gt;"",G1004,IFERROR(INDEX('Sản phẩm'!$E$5:$E$304,MATCH(D1004,'Sản phẩm'!$A$5:$A$304,0)),"")))</f>
        <v/>
      </c>
      <c r="J1004" s="16">
        <f>IF(OR(D1004="",F1004=""),"",F1004*I1004-N(H1004))</f>
        <v/>
      </c>
      <c r="K1004" s="16">
        <f>IF(OR(D1004="",F1004=""),"",F1004*IFERROR(INDEX('Sản phẩm'!$D$5:$D$304,MATCH(D1004,'Sản phẩm'!$A$5:$A$304,0)),""))</f>
        <v/>
      </c>
      <c r="L1004" s="16">
        <f>IF(J1004="","",J1004-K1004)</f>
        <v/>
      </c>
      <c r="M1004" s="14">
        <f>IF(A1004="","",MONTH(A1004))</f>
        <v/>
      </c>
      <c r="N1004" s="14">
        <f>IF(A1004="","",YEAR(A1004))</f>
        <v/>
      </c>
    </row>
    <row r="1005">
      <c r="A1005" s="15" t="n"/>
      <c r="B1005" s="10" t="n"/>
      <c r="C1005" s="10" t="n"/>
      <c r="D1005" s="10" t="n"/>
      <c r="E1005" s="14">
        <f>IF(D1005="","",IFERROR(INDEX('Sản phẩm'!$B$5:$B$304,MATCH(D1005,'Sản phẩm'!$A$5:$A$304,0)),""))</f>
        <v/>
      </c>
      <c r="F1005" s="12" t="n"/>
      <c r="G1005" s="11" t="n"/>
      <c r="H1005" s="11" t="n"/>
      <c r="I1005" s="16">
        <f>IF(D1005="","",IF(G1005&lt;&gt;"",G1005,IFERROR(INDEX('Sản phẩm'!$E$5:$E$304,MATCH(D1005,'Sản phẩm'!$A$5:$A$304,0)),"")))</f>
        <v/>
      </c>
      <c r="J1005" s="16">
        <f>IF(OR(D1005="",F1005=""),"",F1005*I1005-N(H1005))</f>
        <v/>
      </c>
      <c r="K1005" s="16">
        <f>IF(OR(D1005="",F1005=""),"",F1005*IFERROR(INDEX('Sản phẩm'!$D$5:$D$304,MATCH(D1005,'Sản phẩm'!$A$5:$A$304,0)),""))</f>
        <v/>
      </c>
      <c r="L1005" s="16">
        <f>IF(J1005="","",J1005-K1005)</f>
        <v/>
      </c>
      <c r="M1005" s="14">
        <f>IF(A1005="","",MONTH(A1005))</f>
        <v/>
      </c>
      <c r="N1005" s="14">
        <f>IF(A1005="","",YEAR(A1005))</f>
        <v/>
      </c>
    </row>
    <row r="1006">
      <c r="A1006" s="15" t="n"/>
      <c r="B1006" s="10" t="n"/>
      <c r="C1006" s="10" t="n"/>
      <c r="D1006" s="10" t="n"/>
      <c r="E1006" s="14">
        <f>IF(D1006="","",IFERROR(INDEX('Sản phẩm'!$B$5:$B$304,MATCH(D1006,'Sản phẩm'!$A$5:$A$304,0)),""))</f>
        <v/>
      </c>
      <c r="F1006" s="12" t="n"/>
      <c r="G1006" s="11" t="n"/>
      <c r="H1006" s="11" t="n"/>
      <c r="I1006" s="16">
        <f>IF(D1006="","",IF(G1006&lt;&gt;"",G1006,IFERROR(INDEX('Sản phẩm'!$E$5:$E$304,MATCH(D1006,'Sản phẩm'!$A$5:$A$304,0)),"")))</f>
        <v/>
      </c>
      <c r="J1006" s="16">
        <f>IF(OR(D1006="",F1006=""),"",F1006*I1006-N(H1006))</f>
        <v/>
      </c>
      <c r="K1006" s="16">
        <f>IF(OR(D1006="",F1006=""),"",F1006*IFERROR(INDEX('Sản phẩm'!$D$5:$D$304,MATCH(D1006,'Sản phẩm'!$A$5:$A$304,0)),""))</f>
        <v/>
      </c>
      <c r="L1006" s="16">
        <f>IF(J1006="","",J1006-K1006)</f>
        <v/>
      </c>
      <c r="M1006" s="14">
        <f>IF(A1006="","",MONTH(A1006))</f>
        <v/>
      </c>
      <c r="N1006" s="14">
        <f>IF(A1006="","",YEAR(A1006))</f>
        <v/>
      </c>
    </row>
    <row r="1007">
      <c r="A1007" s="15" t="n"/>
      <c r="B1007" s="10" t="n"/>
      <c r="C1007" s="10" t="n"/>
      <c r="D1007" s="10" t="n"/>
      <c r="E1007" s="14">
        <f>IF(D1007="","",IFERROR(INDEX('Sản phẩm'!$B$5:$B$304,MATCH(D1007,'Sản phẩm'!$A$5:$A$304,0)),""))</f>
        <v/>
      </c>
      <c r="F1007" s="12" t="n"/>
      <c r="G1007" s="11" t="n"/>
      <c r="H1007" s="11" t="n"/>
      <c r="I1007" s="16">
        <f>IF(D1007="","",IF(G1007&lt;&gt;"",G1007,IFERROR(INDEX('Sản phẩm'!$E$5:$E$304,MATCH(D1007,'Sản phẩm'!$A$5:$A$304,0)),"")))</f>
        <v/>
      </c>
      <c r="J1007" s="16">
        <f>IF(OR(D1007="",F1007=""),"",F1007*I1007-N(H1007))</f>
        <v/>
      </c>
      <c r="K1007" s="16">
        <f>IF(OR(D1007="",F1007=""),"",F1007*IFERROR(INDEX('Sản phẩm'!$D$5:$D$304,MATCH(D1007,'Sản phẩm'!$A$5:$A$304,0)),""))</f>
        <v/>
      </c>
      <c r="L1007" s="16">
        <f>IF(J1007="","",J1007-K1007)</f>
        <v/>
      </c>
      <c r="M1007" s="14">
        <f>IF(A1007="","",MONTH(A1007))</f>
        <v/>
      </c>
      <c r="N1007" s="14">
        <f>IF(A1007="","",YEAR(A1007))</f>
        <v/>
      </c>
    </row>
    <row r="1008">
      <c r="A1008" s="15" t="n"/>
      <c r="B1008" s="10" t="n"/>
      <c r="C1008" s="10" t="n"/>
      <c r="D1008" s="10" t="n"/>
      <c r="E1008" s="14">
        <f>IF(D1008="","",IFERROR(INDEX('Sản phẩm'!$B$5:$B$304,MATCH(D1008,'Sản phẩm'!$A$5:$A$304,0)),""))</f>
        <v/>
      </c>
      <c r="F1008" s="12" t="n"/>
      <c r="G1008" s="11" t="n"/>
      <c r="H1008" s="11" t="n"/>
      <c r="I1008" s="16">
        <f>IF(D1008="","",IF(G1008&lt;&gt;"",G1008,IFERROR(INDEX('Sản phẩm'!$E$5:$E$304,MATCH(D1008,'Sản phẩm'!$A$5:$A$304,0)),"")))</f>
        <v/>
      </c>
      <c r="J1008" s="16">
        <f>IF(OR(D1008="",F1008=""),"",F1008*I1008-N(H1008))</f>
        <v/>
      </c>
      <c r="K1008" s="16">
        <f>IF(OR(D1008="",F1008=""),"",F1008*IFERROR(INDEX('Sản phẩm'!$D$5:$D$304,MATCH(D1008,'Sản phẩm'!$A$5:$A$304,0)),""))</f>
        <v/>
      </c>
      <c r="L1008" s="16">
        <f>IF(J1008="","",J1008-K1008)</f>
        <v/>
      </c>
      <c r="M1008" s="14">
        <f>IF(A1008="","",MONTH(A1008))</f>
        <v/>
      </c>
      <c r="N1008" s="14">
        <f>IF(A1008="","",YEAR(A1008))</f>
        <v/>
      </c>
    </row>
    <row r="1009">
      <c r="A1009" s="15" t="n"/>
      <c r="B1009" s="10" t="n"/>
      <c r="C1009" s="10" t="n"/>
      <c r="D1009" s="10" t="n"/>
      <c r="E1009" s="14">
        <f>IF(D1009="","",IFERROR(INDEX('Sản phẩm'!$B$5:$B$304,MATCH(D1009,'Sản phẩm'!$A$5:$A$304,0)),""))</f>
        <v/>
      </c>
      <c r="F1009" s="12" t="n"/>
      <c r="G1009" s="11" t="n"/>
      <c r="H1009" s="11" t="n"/>
      <c r="I1009" s="16">
        <f>IF(D1009="","",IF(G1009&lt;&gt;"",G1009,IFERROR(INDEX('Sản phẩm'!$E$5:$E$304,MATCH(D1009,'Sản phẩm'!$A$5:$A$304,0)),"")))</f>
        <v/>
      </c>
      <c r="J1009" s="16">
        <f>IF(OR(D1009="",F1009=""),"",F1009*I1009-N(H1009))</f>
        <v/>
      </c>
      <c r="K1009" s="16">
        <f>IF(OR(D1009="",F1009=""),"",F1009*IFERROR(INDEX('Sản phẩm'!$D$5:$D$304,MATCH(D1009,'Sản phẩm'!$A$5:$A$304,0)),""))</f>
        <v/>
      </c>
      <c r="L1009" s="16">
        <f>IF(J1009="","",J1009-K1009)</f>
        <v/>
      </c>
      <c r="M1009" s="14">
        <f>IF(A1009="","",MONTH(A1009))</f>
        <v/>
      </c>
      <c r="N1009" s="14">
        <f>IF(A1009="","",YEAR(A1009))</f>
        <v/>
      </c>
    </row>
    <row r="1010">
      <c r="A1010" s="15" t="n"/>
      <c r="B1010" s="10" t="n"/>
      <c r="C1010" s="10" t="n"/>
      <c r="D1010" s="10" t="n"/>
      <c r="E1010" s="14">
        <f>IF(D1010="","",IFERROR(INDEX('Sản phẩm'!$B$5:$B$304,MATCH(D1010,'Sản phẩm'!$A$5:$A$304,0)),""))</f>
        <v/>
      </c>
      <c r="F1010" s="12" t="n"/>
      <c r="G1010" s="11" t="n"/>
      <c r="H1010" s="11" t="n"/>
      <c r="I1010" s="16">
        <f>IF(D1010="","",IF(G1010&lt;&gt;"",G1010,IFERROR(INDEX('Sản phẩm'!$E$5:$E$304,MATCH(D1010,'Sản phẩm'!$A$5:$A$304,0)),"")))</f>
        <v/>
      </c>
      <c r="J1010" s="16">
        <f>IF(OR(D1010="",F1010=""),"",F1010*I1010-N(H1010))</f>
        <v/>
      </c>
      <c r="K1010" s="16">
        <f>IF(OR(D1010="",F1010=""),"",F1010*IFERROR(INDEX('Sản phẩm'!$D$5:$D$304,MATCH(D1010,'Sản phẩm'!$A$5:$A$304,0)),""))</f>
        <v/>
      </c>
      <c r="L1010" s="16">
        <f>IF(J1010="","",J1010-K1010)</f>
        <v/>
      </c>
      <c r="M1010" s="14">
        <f>IF(A1010="","",MONTH(A1010))</f>
        <v/>
      </c>
      <c r="N1010" s="14">
        <f>IF(A1010="","",YEAR(A1010))</f>
        <v/>
      </c>
    </row>
    <row r="1011">
      <c r="A1011" s="15" t="n"/>
      <c r="B1011" s="10" t="n"/>
      <c r="C1011" s="10" t="n"/>
      <c r="D1011" s="10" t="n"/>
      <c r="E1011" s="14">
        <f>IF(D1011="","",IFERROR(INDEX('Sản phẩm'!$B$5:$B$304,MATCH(D1011,'Sản phẩm'!$A$5:$A$304,0)),""))</f>
        <v/>
      </c>
      <c r="F1011" s="12" t="n"/>
      <c r="G1011" s="11" t="n"/>
      <c r="H1011" s="11" t="n"/>
      <c r="I1011" s="16">
        <f>IF(D1011="","",IF(G1011&lt;&gt;"",G1011,IFERROR(INDEX('Sản phẩm'!$E$5:$E$304,MATCH(D1011,'Sản phẩm'!$A$5:$A$304,0)),"")))</f>
        <v/>
      </c>
      <c r="J1011" s="16">
        <f>IF(OR(D1011="",F1011=""),"",F1011*I1011-N(H1011))</f>
        <v/>
      </c>
      <c r="K1011" s="16">
        <f>IF(OR(D1011="",F1011=""),"",F1011*IFERROR(INDEX('Sản phẩm'!$D$5:$D$304,MATCH(D1011,'Sản phẩm'!$A$5:$A$304,0)),""))</f>
        <v/>
      </c>
      <c r="L1011" s="16">
        <f>IF(J1011="","",J1011-K1011)</f>
        <v/>
      </c>
      <c r="M1011" s="14">
        <f>IF(A1011="","",MONTH(A1011))</f>
        <v/>
      </c>
      <c r="N1011" s="14">
        <f>IF(A1011="","",YEAR(A1011))</f>
        <v/>
      </c>
    </row>
    <row r="1012">
      <c r="A1012" s="15" t="n"/>
      <c r="B1012" s="10" t="n"/>
      <c r="C1012" s="10" t="n"/>
      <c r="D1012" s="10" t="n"/>
      <c r="E1012" s="14">
        <f>IF(D1012="","",IFERROR(INDEX('Sản phẩm'!$B$5:$B$304,MATCH(D1012,'Sản phẩm'!$A$5:$A$304,0)),""))</f>
        <v/>
      </c>
      <c r="F1012" s="12" t="n"/>
      <c r="G1012" s="11" t="n"/>
      <c r="H1012" s="11" t="n"/>
      <c r="I1012" s="16">
        <f>IF(D1012="","",IF(G1012&lt;&gt;"",G1012,IFERROR(INDEX('Sản phẩm'!$E$5:$E$304,MATCH(D1012,'Sản phẩm'!$A$5:$A$304,0)),"")))</f>
        <v/>
      </c>
      <c r="J1012" s="16">
        <f>IF(OR(D1012="",F1012=""),"",F1012*I1012-N(H1012))</f>
        <v/>
      </c>
      <c r="K1012" s="16">
        <f>IF(OR(D1012="",F1012=""),"",F1012*IFERROR(INDEX('Sản phẩm'!$D$5:$D$304,MATCH(D1012,'Sản phẩm'!$A$5:$A$304,0)),""))</f>
        <v/>
      </c>
      <c r="L1012" s="16">
        <f>IF(J1012="","",J1012-K1012)</f>
        <v/>
      </c>
      <c r="M1012" s="14">
        <f>IF(A1012="","",MONTH(A1012))</f>
        <v/>
      </c>
      <c r="N1012" s="14">
        <f>IF(A1012="","",YEAR(A1012))</f>
        <v/>
      </c>
    </row>
    <row r="1013">
      <c r="A1013" s="15" t="n"/>
      <c r="B1013" s="10" t="n"/>
      <c r="C1013" s="10" t="n"/>
      <c r="D1013" s="10" t="n"/>
      <c r="E1013" s="14">
        <f>IF(D1013="","",IFERROR(INDEX('Sản phẩm'!$B$5:$B$304,MATCH(D1013,'Sản phẩm'!$A$5:$A$304,0)),""))</f>
        <v/>
      </c>
      <c r="F1013" s="12" t="n"/>
      <c r="G1013" s="11" t="n"/>
      <c r="H1013" s="11" t="n"/>
      <c r="I1013" s="16">
        <f>IF(D1013="","",IF(G1013&lt;&gt;"",G1013,IFERROR(INDEX('Sản phẩm'!$E$5:$E$304,MATCH(D1013,'Sản phẩm'!$A$5:$A$304,0)),"")))</f>
        <v/>
      </c>
      <c r="J1013" s="16">
        <f>IF(OR(D1013="",F1013=""),"",F1013*I1013-N(H1013))</f>
        <v/>
      </c>
      <c r="K1013" s="16">
        <f>IF(OR(D1013="",F1013=""),"",F1013*IFERROR(INDEX('Sản phẩm'!$D$5:$D$304,MATCH(D1013,'Sản phẩm'!$A$5:$A$304,0)),""))</f>
        <v/>
      </c>
      <c r="L1013" s="16">
        <f>IF(J1013="","",J1013-K1013)</f>
        <v/>
      </c>
      <c r="M1013" s="14">
        <f>IF(A1013="","",MONTH(A1013))</f>
        <v/>
      </c>
      <c r="N1013" s="14">
        <f>IF(A1013="","",YEAR(A1013))</f>
        <v/>
      </c>
    </row>
    <row r="1014">
      <c r="A1014" s="15" t="n"/>
      <c r="B1014" s="10" t="n"/>
      <c r="C1014" s="10" t="n"/>
      <c r="D1014" s="10" t="n"/>
      <c r="E1014" s="14">
        <f>IF(D1014="","",IFERROR(INDEX('Sản phẩm'!$B$5:$B$304,MATCH(D1014,'Sản phẩm'!$A$5:$A$304,0)),""))</f>
        <v/>
      </c>
      <c r="F1014" s="12" t="n"/>
      <c r="G1014" s="11" t="n"/>
      <c r="H1014" s="11" t="n"/>
      <c r="I1014" s="16">
        <f>IF(D1014="","",IF(G1014&lt;&gt;"",G1014,IFERROR(INDEX('Sản phẩm'!$E$5:$E$304,MATCH(D1014,'Sản phẩm'!$A$5:$A$304,0)),"")))</f>
        <v/>
      </c>
      <c r="J1014" s="16">
        <f>IF(OR(D1014="",F1014=""),"",F1014*I1014-N(H1014))</f>
        <v/>
      </c>
      <c r="K1014" s="16">
        <f>IF(OR(D1014="",F1014=""),"",F1014*IFERROR(INDEX('Sản phẩm'!$D$5:$D$304,MATCH(D1014,'Sản phẩm'!$A$5:$A$304,0)),""))</f>
        <v/>
      </c>
      <c r="L1014" s="16">
        <f>IF(J1014="","",J1014-K1014)</f>
        <v/>
      </c>
      <c r="M1014" s="14">
        <f>IF(A1014="","",MONTH(A1014))</f>
        <v/>
      </c>
      <c r="N1014" s="14">
        <f>IF(A1014="","",YEAR(A1014))</f>
        <v/>
      </c>
    </row>
    <row r="1015">
      <c r="A1015" s="15" t="n"/>
      <c r="B1015" s="10" t="n"/>
      <c r="C1015" s="10" t="n"/>
      <c r="D1015" s="10" t="n"/>
      <c r="E1015" s="14">
        <f>IF(D1015="","",IFERROR(INDEX('Sản phẩm'!$B$5:$B$304,MATCH(D1015,'Sản phẩm'!$A$5:$A$304,0)),""))</f>
        <v/>
      </c>
      <c r="F1015" s="12" t="n"/>
      <c r="G1015" s="11" t="n"/>
      <c r="H1015" s="11" t="n"/>
      <c r="I1015" s="16">
        <f>IF(D1015="","",IF(G1015&lt;&gt;"",G1015,IFERROR(INDEX('Sản phẩm'!$E$5:$E$304,MATCH(D1015,'Sản phẩm'!$A$5:$A$304,0)),"")))</f>
        <v/>
      </c>
      <c r="J1015" s="16">
        <f>IF(OR(D1015="",F1015=""),"",F1015*I1015-N(H1015))</f>
        <v/>
      </c>
      <c r="K1015" s="16">
        <f>IF(OR(D1015="",F1015=""),"",F1015*IFERROR(INDEX('Sản phẩm'!$D$5:$D$304,MATCH(D1015,'Sản phẩm'!$A$5:$A$304,0)),""))</f>
        <v/>
      </c>
      <c r="L1015" s="16">
        <f>IF(J1015="","",J1015-K1015)</f>
        <v/>
      </c>
      <c r="M1015" s="14">
        <f>IF(A1015="","",MONTH(A1015))</f>
        <v/>
      </c>
      <c r="N1015" s="14">
        <f>IF(A1015="","",YEAR(A1015))</f>
        <v/>
      </c>
    </row>
    <row r="1016">
      <c r="A1016" s="15" t="n"/>
      <c r="B1016" s="10" t="n"/>
      <c r="C1016" s="10" t="n"/>
      <c r="D1016" s="10" t="n"/>
      <c r="E1016" s="14">
        <f>IF(D1016="","",IFERROR(INDEX('Sản phẩm'!$B$5:$B$304,MATCH(D1016,'Sản phẩm'!$A$5:$A$304,0)),""))</f>
        <v/>
      </c>
      <c r="F1016" s="12" t="n"/>
      <c r="G1016" s="11" t="n"/>
      <c r="H1016" s="11" t="n"/>
      <c r="I1016" s="16">
        <f>IF(D1016="","",IF(G1016&lt;&gt;"",G1016,IFERROR(INDEX('Sản phẩm'!$E$5:$E$304,MATCH(D1016,'Sản phẩm'!$A$5:$A$304,0)),"")))</f>
        <v/>
      </c>
      <c r="J1016" s="16">
        <f>IF(OR(D1016="",F1016=""),"",F1016*I1016-N(H1016))</f>
        <v/>
      </c>
      <c r="K1016" s="16">
        <f>IF(OR(D1016="",F1016=""),"",F1016*IFERROR(INDEX('Sản phẩm'!$D$5:$D$304,MATCH(D1016,'Sản phẩm'!$A$5:$A$304,0)),""))</f>
        <v/>
      </c>
      <c r="L1016" s="16">
        <f>IF(J1016="","",J1016-K1016)</f>
        <v/>
      </c>
      <c r="M1016" s="14">
        <f>IF(A1016="","",MONTH(A1016))</f>
        <v/>
      </c>
      <c r="N1016" s="14">
        <f>IF(A1016="","",YEAR(A1016))</f>
        <v/>
      </c>
    </row>
    <row r="1017">
      <c r="A1017" s="15" t="n"/>
      <c r="B1017" s="10" t="n"/>
      <c r="C1017" s="10" t="n"/>
      <c r="D1017" s="10" t="n"/>
      <c r="E1017" s="14">
        <f>IF(D1017="","",IFERROR(INDEX('Sản phẩm'!$B$5:$B$304,MATCH(D1017,'Sản phẩm'!$A$5:$A$304,0)),""))</f>
        <v/>
      </c>
      <c r="F1017" s="12" t="n"/>
      <c r="G1017" s="11" t="n"/>
      <c r="H1017" s="11" t="n"/>
      <c r="I1017" s="16">
        <f>IF(D1017="","",IF(G1017&lt;&gt;"",G1017,IFERROR(INDEX('Sản phẩm'!$E$5:$E$304,MATCH(D1017,'Sản phẩm'!$A$5:$A$304,0)),"")))</f>
        <v/>
      </c>
      <c r="J1017" s="16">
        <f>IF(OR(D1017="",F1017=""),"",F1017*I1017-N(H1017))</f>
        <v/>
      </c>
      <c r="K1017" s="16">
        <f>IF(OR(D1017="",F1017=""),"",F1017*IFERROR(INDEX('Sản phẩm'!$D$5:$D$304,MATCH(D1017,'Sản phẩm'!$A$5:$A$304,0)),""))</f>
        <v/>
      </c>
      <c r="L1017" s="16">
        <f>IF(J1017="","",J1017-K1017)</f>
        <v/>
      </c>
      <c r="M1017" s="14">
        <f>IF(A1017="","",MONTH(A1017))</f>
        <v/>
      </c>
      <c r="N1017" s="14">
        <f>IF(A1017="","",YEAR(A1017))</f>
        <v/>
      </c>
    </row>
    <row r="1018">
      <c r="A1018" s="15" t="n"/>
      <c r="B1018" s="10" t="n"/>
      <c r="C1018" s="10" t="n"/>
      <c r="D1018" s="10" t="n"/>
      <c r="E1018" s="14">
        <f>IF(D1018="","",IFERROR(INDEX('Sản phẩm'!$B$5:$B$304,MATCH(D1018,'Sản phẩm'!$A$5:$A$304,0)),""))</f>
        <v/>
      </c>
      <c r="F1018" s="12" t="n"/>
      <c r="G1018" s="11" t="n"/>
      <c r="H1018" s="11" t="n"/>
      <c r="I1018" s="16">
        <f>IF(D1018="","",IF(G1018&lt;&gt;"",G1018,IFERROR(INDEX('Sản phẩm'!$E$5:$E$304,MATCH(D1018,'Sản phẩm'!$A$5:$A$304,0)),"")))</f>
        <v/>
      </c>
      <c r="J1018" s="16">
        <f>IF(OR(D1018="",F1018=""),"",F1018*I1018-N(H1018))</f>
        <v/>
      </c>
      <c r="K1018" s="16">
        <f>IF(OR(D1018="",F1018=""),"",F1018*IFERROR(INDEX('Sản phẩm'!$D$5:$D$304,MATCH(D1018,'Sản phẩm'!$A$5:$A$304,0)),""))</f>
        <v/>
      </c>
      <c r="L1018" s="16">
        <f>IF(J1018="","",J1018-K1018)</f>
        <v/>
      </c>
      <c r="M1018" s="14">
        <f>IF(A1018="","",MONTH(A1018))</f>
        <v/>
      </c>
      <c r="N1018" s="14">
        <f>IF(A1018="","",YEAR(A1018))</f>
        <v/>
      </c>
    </row>
    <row r="1019">
      <c r="A1019" s="15" t="n"/>
      <c r="B1019" s="10" t="n"/>
      <c r="C1019" s="10" t="n"/>
      <c r="D1019" s="10" t="n"/>
      <c r="E1019" s="14">
        <f>IF(D1019="","",IFERROR(INDEX('Sản phẩm'!$B$5:$B$304,MATCH(D1019,'Sản phẩm'!$A$5:$A$304,0)),""))</f>
        <v/>
      </c>
      <c r="F1019" s="12" t="n"/>
      <c r="G1019" s="11" t="n"/>
      <c r="H1019" s="11" t="n"/>
      <c r="I1019" s="16">
        <f>IF(D1019="","",IF(G1019&lt;&gt;"",G1019,IFERROR(INDEX('Sản phẩm'!$E$5:$E$304,MATCH(D1019,'Sản phẩm'!$A$5:$A$304,0)),"")))</f>
        <v/>
      </c>
      <c r="J1019" s="16">
        <f>IF(OR(D1019="",F1019=""),"",F1019*I1019-N(H1019))</f>
        <v/>
      </c>
      <c r="K1019" s="16">
        <f>IF(OR(D1019="",F1019=""),"",F1019*IFERROR(INDEX('Sản phẩm'!$D$5:$D$304,MATCH(D1019,'Sản phẩm'!$A$5:$A$304,0)),""))</f>
        <v/>
      </c>
      <c r="L1019" s="16">
        <f>IF(J1019="","",J1019-K1019)</f>
        <v/>
      </c>
      <c r="M1019" s="14">
        <f>IF(A1019="","",MONTH(A1019))</f>
        <v/>
      </c>
      <c r="N1019" s="14">
        <f>IF(A1019="","",YEAR(A1019))</f>
        <v/>
      </c>
    </row>
    <row r="1020">
      <c r="A1020" s="15" t="n"/>
      <c r="B1020" s="10" t="n"/>
      <c r="C1020" s="10" t="n"/>
      <c r="D1020" s="10" t="n"/>
      <c r="E1020" s="14">
        <f>IF(D1020="","",IFERROR(INDEX('Sản phẩm'!$B$5:$B$304,MATCH(D1020,'Sản phẩm'!$A$5:$A$304,0)),""))</f>
        <v/>
      </c>
      <c r="F1020" s="12" t="n"/>
      <c r="G1020" s="11" t="n"/>
      <c r="H1020" s="11" t="n"/>
      <c r="I1020" s="16">
        <f>IF(D1020="","",IF(G1020&lt;&gt;"",G1020,IFERROR(INDEX('Sản phẩm'!$E$5:$E$304,MATCH(D1020,'Sản phẩm'!$A$5:$A$304,0)),"")))</f>
        <v/>
      </c>
      <c r="J1020" s="16">
        <f>IF(OR(D1020="",F1020=""),"",F1020*I1020-N(H1020))</f>
        <v/>
      </c>
      <c r="K1020" s="16">
        <f>IF(OR(D1020="",F1020=""),"",F1020*IFERROR(INDEX('Sản phẩm'!$D$5:$D$304,MATCH(D1020,'Sản phẩm'!$A$5:$A$304,0)),""))</f>
        <v/>
      </c>
      <c r="L1020" s="16">
        <f>IF(J1020="","",J1020-K1020)</f>
        <v/>
      </c>
      <c r="M1020" s="14">
        <f>IF(A1020="","",MONTH(A1020))</f>
        <v/>
      </c>
      <c r="N1020" s="14">
        <f>IF(A1020="","",YEAR(A1020))</f>
        <v/>
      </c>
    </row>
    <row r="1021">
      <c r="A1021" s="15" t="n"/>
      <c r="B1021" s="10" t="n"/>
      <c r="C1021" s="10" t="n"/>
      <c r="D1021" s="10" t="n"/>
      <c r="E1021" s="14">
        <f>IF(D1021="","",IFERROR(INDEX('Sản phẩm'!$B$5:$B$304,MATCH(D1021,'Sản phẩm'!$A$5:$A$304,0)),""))</f>
        <v/>
      </c>
      <c r="F1021" s="12" t="n"/>
      <c r="G1021" s="11" t="n"/>
      <c r="H1021" s="11" t="n"/>
      <c r="I1021" s="16">
        <f>IF(D1021="","",IF(G1021&lt;&gt;"",G1021,IFERROR(INDEX('Sản phẩm'!$E$5:$E$304,MATCH(D1021,'Sản phẩm'!$A$5:$A$304,0)),"")))</f>
        <v/>
      </c>
      <c r="J1021" s="16">
        <f>IF(OR(D1021="",F1021=""),"",F1021*I1021-N(H1021))</f>
        <v/>
      </c>
      <c r="K1021" s="16">
        <f>IF(OR(D1021="",F1021=""),"",F1021*IFERROR(INDEX('Sản phẩm'!$D$5:$D$304,MATCH(D1021,'Sản phẩm'!$A$5:$A$304,0)),""))</f>
        <v/>
      </c>
      <c r="L1021" s="16">
        <f>IF(J1021="","",J1021-K1021)</f>
        <v/>
      </c>
      <c r="M1021" s="14">
        <f>IF(A1021="","",MONTH(A1021))</f>
        <v/>
      </c>
      <c r="N1021" s="14">
        <f>IF(A1021="","",YEAR(A1021))</f>
        <v/>
      </c>
    </row>
    <row r="1022">
      <c r="A1022" s="15" t="n"/>
      <c r="B1022" s="10" t="n"/>
      <c r="C1022" s="10" t="n"/>
      <c r="D1022" s="10" t="n"/>
      <c r="E1022" s="14">
        <f>IF(D1022="","",IFERROR(INDEX('Sản phẩm'!$B$5:$B$304,MATCH(D1022,'Sản phẩm'!$A$5:$A$304,0)),""))</f>
        <v/>
      </c>
      <c r="F1022" s="12" t="n"/>
      <c r="G1022" s="11" t="n"/>
      <c r="H1022" s="11" t="n"/>
      <c r="I1022" s="16">
        <f>IF(D1022="","",IF(G1022&lt;&gt;"",G1022,IFERROR(INDEX('Sản phẩm'!$E$5:$E$304,MATCH(D1022,'Sản phẩm'!$A$5:$A$304,0)),"")))</f>
        <v/>
      </c>
      <c r="J1022" s="16">
        <f>IF(OR(D1022="",F1022=""),"",F1022*I1022-N(H1022))</f>
        <v/>
      </c>
      <c r="K1022" s="16">
        <f>IF(OR(D1022="",F1022=""),"",F1022*IFERROR(INDEX('Sản phẩm'!$D$5:$D$304,MATCH(D1022,'Sản phẩm'!$A$5:$A$304,0)),""))</f>
        <v/>
      </c>
      <c r="L1022" s="16">
        <f>IF(J1022="","",J1022-K1022)</f>
        <v/>
      </c>
      <c r="M1022" s="14">
        <f>IF(A1022="","",MONTH(A1022))</f>
        <v/>
      </c>
      <c r="N1022" s="14">
        <f>IF(A1022="","",YEAR(A1022))</f>
        <v/>
      </c>
    </row>
    <row r="1023">
      <c r="A1023" s="15" t="n"/>
      <c r="B1023" s="10" t="n"/>
      <c r="C1023" s="10" t="n"/>
      <c r="D1023" s="10" t="n"/>
      <c r="E1023" s="14">
        <f>IF(D1023="","",IFERROR(INDEX('Sản phẩm'!$B$5:$B$304,MATCH(D1023,'Sản phẩm'!$A$5:$A$304,0)),""))</f>
        <v/>
      </c>
      <c r="F1023" s="12" t="n"/>
      <c r="G1023" s="11" t="n"/>
      <c r="H1023" s="11" t="n"/>
      <c r="I1023" s="16">
        <f>IF(D1023="","",IF(G1023&lt;&gt;"",G1023,IFERROR(INDEX('Sản phẩm'!$E$5:$E$304,MATCH(D1023,'Sản phẩm'!$A$5:$A$304,0)),"")))</f>
        <v/>
      </c>
      <c r="J1023" s="16">
        <f>IF(OR(D1023="",F1023=""),"",F1023*I1023-N(H1023))</f>
        <v/>
      </c>
      <c r="K1023" s="16">
        <f>IF(OR(D1023="",F1023=""),"",F1023*IFERROR(INDEX('Sản phẩm'!$D$5:$D$304,MATCH(D1023,'Sản phẩm'!$A$5:$A$304,0)),""))</f>
        <v/>
      </c>
      <c r="L1023" s="16">
        <f>IF(J1023="","",J1023-K1023)</f>
        <v/>
      </c>
      <c r="M1023" s="14">
        <f>IF(A1023="","",MONTH(A1023))</f>
        <v/>
      </c>
      <c r="N1023" s="14">
        <f>IF(A1023="","",YEAR(A1023))</f>
        <v/>
      </c>
    </row>
    <row r="1024">
      <c r="A1024" s="15" t="n"/>
      <c r="B1024" s="10" t="n"/>
      <c r="C1024" s="10" t="n"/>
      <c r="D1024" s="10" t="n"/>
      <c r="E1024" s="14">
        <f>IF(D1024="","",IFERROR(INDEX('Sản phẩm'!$B$5:$B$304,MATCH(D1024,'Sản phẩm'!$A$5:$A$304,0)),""))</f>
        <v/>
      </c>
      <c r="F1024" s="12" t="n"/>
      <c r="G1024" s="11" t="n"/>
      <c r="H1024" s="11" t="n"/>
      <c r="I1024" s="16">
        <f>IF(D1024="","",IF(G1024&lt;&gt;"",G1024,IFERROR(INDEX('Sản phẩm'!$E$5:$E$304,MATCH(D1024,'Sản phẩm'!$A$5:$A$304,0)),"")))</f>
        <v/>
      </c>
      <c r="J1024" s="16">
        <f>IF(OR(D1024="",F1024=""),"",F1024*I1024-N(H1024))</f>
        <v/>
      </c>
      <c r="K1024" s="16">
        <f>IF(OR(D1024="",F1024=""),"",F1024*IFERROR(INDEX('Sản phẩm'!$D$5:$D$304,MATCH(D1024,'Sản phẩm'!$A$5:$A$304,0)),""))</f>
        <v/>
      </c>
      <c r="L1024" s="16">
        <f>IF(J1024="","",J1024-K1024)</f>
        <v/>
      </c>
      <c r="M1024" s="14">
        <f>IF(A1024="","",MONTH(A1024))</f>
        <v/>
      </c>
      <c r="N1024" s="14">
        <f>IF(A1024="","",YEAR(A1024))</f>
        <v/>
      </c>
    </row>
    <row r="1025">
      <c r="A1025" s="15" t="n"/>
      <c r="B1025" s="10" t="n"/>
      <c r="C1025" s="10" t="n"/>
      <c r="D1025" s="10" t="n"/>
      <c r="E1025" s="14">
        <f>IF(D1025="","",IFERROR(INDEX('Sản phẩm'!$B$5:$B$304,MATCH(D1025,'Sản phẩm'!$A$5:$A$304,0)),""))</f>
        <v/>
      </c>
      <c r="F1025" s="12" t="n"/>
      <c r="G1025" s="11" t="n"/>
      <c r="H1025" s="11" t="n"/>
      <c r="I1025" s="16">
        <f>IF(D1025="","",IF(G1025&lt;&gt;"",G1025,IFERROR(INDEX('Sản phẩm'!$E$5:$E$304,MATCH(D1025,'Sản phẩm'!$A$5:$A$304,0)),"")))</f>
        <v/>
      </c>
      <c r="J1025" s="16">
        <f>IF(OR(D1025="",F1025=""),"",F1025*I1025-N(H1025))</f>
        <v/>
      </c>
      <c r="K1025" s="16">
        <f>IF(OR(D1025="",F1025=""),"",F1025*IFERROR(INDEX('Sản phẩm'!$D$5:$D$304,MATCH(D1025,'Sản phẩm'!$A$5:$A$304,0)),""))</f>
        <v/>
      </c>
      <c r="L1025" s="16">
        <f>IF(J1025="","",J1025-K1025)</f>
        <v/>
      </c>
      <c r="M1025" s="14">
        <f>IF(A1025="","",MONTH(A1025))</f>
        <v/>
      </c>
      <c r="N1025" s="14">
        <f>IF(A1025="","",YEAR(A1025))</f>
        <v/>
      </c>
    </row>
    <row r="1026">
      <c r="A1026" s="15" t="n"/>
      <c r="B1026" s="10" t="n"/>
      <c r="C1026" s="10" t="n"/>
      <c r="D1026" s="10" t="n"/>
      <c r="E1026" s="14">
        <f>IF(D1026="","",IFERROR(INDEX('Sản phẩm'!$B$5:$B$304,MATCH(D1026,'Sản phẩm'!$A$5:$A$304,0)),""))</f>
        <v/>
      </c>
      <c r="F1026" s="12" t="n"/>
      <c r="G1026" s="11" t="n"/>
      <c r="H1026" s="11" t="n"/>
      <c r="I1026" s="16">
        <f>IF(D1026="","",IF(G1026&lt;&gt;"",G1026,IFERROR(INDEX('Sản phẩm'!$E$5:$E$304,MATCH(D1026,'Sản phẩm'!$A$5:$A$304,0)),"")))</f>
        <v/>
      </c>
      <c r="J1026" s="16">
        <f>IF(OR(D1026="",F1026=""),"",F1026*I1026-N(H1026))</f>
        <v/>
      </c>
      <c r="K1026" s="16">
        <f>IF(OR(D1026="",F1026=""),"",F1026*IFERROR(INDEX('Sản phẩm'!$D$5:$D$304,MATCH(D1026,'Sản phẩm'!$A$5:$A$304,0)),""))</f>
        <v/>
      </c>
      <c r="L1026" s="16">
        <f>IF(J1026="","",J1026-K1026)</f>
        <v/>
      </c>
      <c r="M1026" s="14">
        <f>IF(A1026="","",MONTH(A1026))</f>
        <v/>
      </c>
      <c r="N1026" s="14">
        <f>IF(A1026="","",YEAR(A1026))</f>
        <v/>
      </c>
    </row>
    <row r="1027">
      <c r="A1027" s="15" t="n"/>
      <c r="B1027" s="10" t="n"/>
      <c r="C1027" s="10" t="n"/>
      <c r="D1027" s="10" t="n"/>
      <c r="E1027" s="14">
        <f>IF(D1027="","",IFERROR(INDEX('Sản phẩm'!$B$5:$B$304,MATCH(D1027,'Sản phẩm'!$A$5:$A$304,0)),""))</f>
        <v/>
      </c>
      <c r="F1027" s="12" t="n"/>
      <c r="G1027" s="11" t="n"/>
      <c r="H1027" s="11" t="n"/>
      <c r="I1027" s="16">
        <f>IF(D1027="","",IF(G1027&lt;&gt;"",G1027,IFERROR(INDEX('Sản phẩm'!$E$5:$E$304,MATCH(D1027,'Sản phẩm'!$A$5:$A$304,0)),"")))</f>
        <v/>
      </c>
      <c r="J1027" s="16">
        <f>IF(OR(D1027="",F1027=""),"",F1027*I1027-N(H1027))</f>
        <v/>
      </c>
      <c r="K1027" s="16">
        <f>IF(OR(D1027="",F1027=""),"",F1027*IFERROR(INDEX('Sản phẩm'!$D$5:$D$304,MATCH(D1027,'Sản phẩm'!$A$5:$A$304,0)),""))</f>
        <v/>
      </c>
      <c r="L1027" s="16">
        <f>IF(J1027="","",J1027-K1027)</f>
        <v/>
      </c>
      <c r="M1027" s="14">
        <f>IF(A1027="","",MONTH(A1027))</f>
        <v/>
      </c>
      <c r="N1027" s="14">
        <f>IF(A1027="","",YEAR(A1027))</f>
        <v/>
      </c>
    </row>
    <row r="1028">
      <c r="A1028" s="15" t="n"/>
      <c r="B1028" s="10" t="n"/>
      <c r="C1028" s="10" t="n"/>
      <c r="D1028" s="10" t="n"/>
      <c r="E1028" s="14">
        <f>IF(D1028="","",IFERROR(INDEX('Sản phẩm'!$B$5:$B$304,MATCH(D1028,'Sản phẩm'!$A$5:$A$304,0)),""))</f>
        <v/>
      </c>
      <c r="F1028" s="12" t="n"/>
      <c r="G1028" s="11" t="n"/>
      <c r="H1028" s="11" t="n"/>
      <c r="I1028" s="16">
        <f>IF(D1028="","",IF(G1028&lt;&gt;"",G1028,IFERROR(INDEX('Sản phẩm'!$E$5:$E$304,MATCH(D1028,'Sản phẩm'!$A$5:$A$304,0)),"")))</f>
        <v/>
      </c>
      <c r="J1028" s="16">
        <f>IF(OR(D1028="",F1028=""),"",F1028*I1028-N(H1028))</f>
        <v/>
      </c>
      <c r="K1028" s="16">
        <f>IF(OR(D1028="",F1028=""),"",F1028*IFERROR(INDEX('Sản phẩm'!$D$5:$D$304,MATCH(D1028,'Sản phẩm'!$A$5:$A$304,0)),""))</f>
        <v/>
      </c>
      <c r="L1028" s="16">
        <f>IF(J1028="","",J1028-K1028)</f>
        <v/>
      </c>
      <c r="M1028" s="14">
        <f>IF(A1028="","",MONTH(A1028))</f>
        <v/>
      </c>
      <c r="N1028" s="14">
        <f>IF(A1028="","",YEAR(A1028))</f>
        <v/>
      </c>
    </row>
    <row r="1029">
      <c r="A1029" s="15" t="n"/>
      <c r="B1029" s="10" t="n"/>
      <c r="C1029" s="10" t="n"/>
      <c r="D1029" s="10" t="n"/>
      <c r="E1029" s="14">
        <f>IF(D1029="","",IFERROR(INDEX('Sản phẩm'!$B$5:$B$304,MATCH(D1029,'Sản phẩm'!$A$5:$A$304,0)),""))</f>
        <v/>
      </c>
      <c r="F1029" s="12" t="n"/>
      <c r="G1029" s="11" t="n"/>
      <c r="H1029" s="11" t="n"/>
      <c r="I1029" s="16">
        <f>IF(D1029="","",IF(G1029&lt;&gt;"",G1029,IFERROR(INDEX('Sản phẩm'!$E$5:$E$304,MATCH(D1029,'Sản phẩm'!$A$5:$A$304,0)),"")))</f>
        <v/>
      </c>
      <c r="J1029" s="16">
        <f>IF(OR(D1029="",F1029=""),"",F1029*I1029-N(H1029))</f>
        <v/>
      </c>
      <c r="K1029" s="16">
        <f>IF(OR(D1029="",F1029=""),"",F1029*IFERROR(INDEX('Sản phẩm'!$D$5:$D$304,MATCH(D1029,'Sản phẩm'!$A$5:$A$304,0)),""))</f>
        <v/>
      </c>
      <c r="L1029" s="16">
        <f>IF(J1029="","",J1029-K1029)</f>
        <v/>
      </c>
      <c r="M1029" s="14">
        <f>IF(A1029="","",MONTH(A1029))</f>
        <v/>
      </c>
      <c r="N1029" s="14">
        <f>IF(A1029="","",YEAR(A1029))</f>
        <v/>
      </c>
    </row>
    <row r="1030">
      <c r="A1030" s="15" t="n"/>
      <c r="B1030" s="10" t="n"/>
      <c r="C1030" s="10" t="n"/>
      <c r="D1030" s="10" t="n"/>
      <c r="E1030" s="14">
        <f>IF(D1030="","",IFERROR(INDEX('Sản phẩm'!$B$5:$B$304,MATCH(D1030,'Sản phẩm'!$A$5:$A$304,0)),""))</f>
        <v/>
      </c>
      <c r="F1030" s="12" t="n"/>
      <c r="G1030" s="11" t="n"/>
      <c r="H1030" s="11" t="n"/>
      <c r="I1030" s="16">
        <f>IF(D1030="","",IF(G1030&lt;&gt;"",G1030,IFERROR(INDEX('Sản phẩm'!$E$5:$E$304,MATCH(D1030,'Sản phẩm'!$A$5:$A$304,0)),"")))</f>
        <v/>
      </c>
      <c r="J1030" s="16">
        <f>IF(OR(D1030="",F1030=""),"",F1030*I1030-N(H1030))</f>
        <v/>
      </c>
      <c r="K1030" s="16">
        <f>IF(OR(D1030="",F1030=""),"",F1030*IFERROR(INDEX('Sản phẩm'!$D$5:$D$304,MATCH(D1030,'Sản phẩm'!$A$5:$A$304,0)),""))</f>
        <v/>
      </c>
      <c r="L1030" s="16">
        <f>IF(J1030="","",J1030-K1030)</f>
        <v/>
      </c>
      <c r="M1030" s="14">
        <f>IF(A1030="","",MONTH(A1030))</f>
        <v/>
      </c>
      <c r="N1030" s="14">
        <f>IF(A1030="","",YEAR(A1030))</f>
        <v/>
      </c>
    </row>
    <row r="1031">
      <c r="A1031" s="15" t="n"/>
      <c r="B1031" s="10" t="n"/>
      <c r="C1031" s="10" t="n"/>
      <c r="D1031" s="10" t="n"/>
      <c r="E1031" s="14">
        <f>IF(D1031="","",IFERROR(INDEX('Sản phẩm'!$B$5:$B$304,MATCH(D1031,'Sản phẩm'!$A$5:$A$304,0)),""))</f>
        <v/>
      </c>
      <c r="F1031" s="12" t="n"/>
      <c r="G1031" s="11" t="n"/>
      <c r="H1031" s="11" t="n"/>
      <c r="I1031" s="16">
        <f>IF(D1031="","",IF(G1031&lt;&gt;"",G1031,IFERROR(INDEX('Sản phẩm'!$E$5:$E$304,MATCH(D1031,'Sản phẩm'!$A$5:$A$304,0)),"")))</f>
        <v/>
      </c>
      <c r="J1031" s="16">
        <f>IF(OR(D1031="",F1031=""),"",F1031*I1031-N(H1031))</f>
        <v/>
      </c>
      <c r="K1031" s="16">
        <f>IF(OR(D1031="",F1031=""),"",F1031*IFERROR(INDEX('Sản phẩm'!$D$5:$D$304,MATCH(D1031,'Sản phẩm'!$A$5:$A$304,0)),""))</f>
        <v/>
      </c>
      <c r="L1031" s="16">
        <f>IF(J1031="","",J1031-K1031)</f>
        <v/>
      </c>
      <c r="M1031" s="14">
        <f>IF(A1031="","",MONTH(A1031))</f>
        <v/>
      </c>
      <c r="N1031" s="14">
        <f>IF(A1031="","",YEAR(A1031))</f>
        <v/>
      </c>
    </row>
    <row r="1032">
      <c r="A1032" s="15" t="n"/>
      <c r="B1032" s="10" t="n"/>
      <c r="C1032" s="10" t="n"/>
      <c r="D1032" s="10" t="n"/>
      <c r="E1032" s="14">
        <f>IF(D1032="","",IFERROR(INDEX('Sản phẩm'!$B$5:$B$304,MATCH(D1032,'Sản phẩm'!$A$5:$A$304,0)),""))</f>
        <v/>
      </c>
      <c r="F1032" s="12" t="n"/>
      <c r="G1032" s="11" t="n"/>
      <c r="H1032" s="11" t="n"/>
      <c r="I1032" s="16">
        <f>IF(D1032="","",IF(G1032&lt;&gt;"",G1032,IFERROR(INDEX('Sản phẩm'!$E$5:$E$304,MATCH(D1032,'Sản phẩm'!$A$5:$A$304,0)),"")))</f>
        <v/>
      </c>
      <c r="J1032" s="16">
        <f>IF(OR(D1032="",F1032=""),"",F1032*I1032-N(H1032))</f>
        <v/>
      </c>
      <c r="K1032" s="16">
        <f>IF(OR(D1032="",F1032=""),"",F1032*IFERROR(INDEX('Sản phẩm'!$D$5:$D$304,MATCH(D1032,'Sản phẩm'!$A$5:$A$304,0)),""))</f>
        <v/>
      </c>
      <c r="L1032" s="16">
        <f>IF(J1032="","",J1032-K1032)</f>
        <v/>
      </c>
      <c r="M1032" s="14">
        <f>IF(A1032="","",MONTH(A1032))</f>
        <v/>
      </c>
      <c r="N1032" s="14">
        <f>IF(A1032="","",YEAR(A1032))</f>
        <v/>
      </c>
    </row>
    <row r="1033">
      <c r="A1033" s="15" t="n"/>
      <c r="B1033" s="10" t="n"/>
      <c r="C1033" s="10" t="n"/>
      <c r="D1033" s="10" t="n"/>
      <c r="E1033" s="14">
        <f>IF(D1033="","",IFERROR(INDEX('Sản phẩm'!$B$5:$B$304,MATCH(D1033,'Sản phẩm'!$A$5:$A$304,0)),""))</f>
        <v/>
      </c>
      <c r="F1033" s="12" t="n"/>
      <c r="G1033" s="11" t="n"/>
      <c r="H1033" s="11" t="n"/>
      <c r="I1033" s="16">
        <f>IF(D1033="","",IF(G1033&lt;&gt;"",G1033,IFERROR(INDEX('Sản phẩm'!$E$5:$E$304,MATCH(D1033,'Sản phẩm'!$A$5:$A$304,0)),"")))</f>
        <v/>
      </c>
      <c r="J1033" s="16">
        <f>IF(OR(D1033="",F1033=""),"",F1033*I1033-N(H1033))</f>
        <v/>
      </c>
      <c r="K1033" s="16">
        <f>IF(OR(D1033="",F1033=""),"",F1033*IFERROR(INDEX('Sản phẩm'!$D$5:$D$304,MATCH(D1033,'Sản phẩm'!$A$5:$A$304,0)),""))</f>
        <v/>
      </c>
      <c r="L1033" s="16">
        <f>IF(J1033="","",J1033-K1033)</f>
        <v/>
      </c>
      <c r="M1033" s="14">
        <f>IF(A1033="","",MONTH(A1033))</f>
        <v/>
      </c>
      <c r="N1033" s="14">
        <f>IF(A1033="","",YEAR(A1033))</f>
        <v/>
      </c>
    </row>
    <row r="1034">
      <c r="A1034" s="15" t="n"/>
      <c r="B1034" s="10" t="n"/>
      <c r="C1034" s="10" t="n"/>
      <c r="D1034" s="10" t="n"/>
      <c r="E1034" s="14">
        <f>IF(D1034="","",IFERROR(INDEX('Sản phẩm'!$B$5:$B$304,MATCH(D1034,'Sản phẩm'!$A$5:$A$304,0)),""))</f>
        <v/>
      </c>
      <c r="F1034" s="12" t="n"/>
      <c r="G1034" s="11" t="n"/>
      <c r="H1034" s="11" t="n"/>
      <c r="I1034" s="16">
        <f>IF(D1034="","",IF(G1034&lt;&gt;"",G1034,IFERROR(INDEX('Sản phẩm'!$E$5:$E$304,MATCH(D1034,'Sản phẩm'!$A$5:$A$304,0)),"")))</f>
        <v/>
      </c>
      <c r="J1034" s="16">
        <f>IF(OR(D1034="",F1034=""),"",F1034*I1034-N(H1034))</f>
        <v/>
      </c>
      <c r="K1034" s="16">
        <f>IF(OR(D1034="",F1034=""),"",F1034*IFERROR(INDEX('Sản phẩm'!$D$5:$D$304,MATCH(D1034,'Sản phẩm'!$A$5:$A$304,0)),""))</f>
        <v/>
      </c>
      <c r="L1034" s="16">
        <f>IF(J1034="","",J1034-K1034)</f>
        <v/>
      </c>
      <c r="M1034" s="14">
        <f>IF(A1034="","",MONTH(A1034))</f>
        <v/>
      </c>
      <c r="N1034" s="14">
        <f>IF(A1034="","",YEAR(A1034))</f>
        <v/>
      </c>
    </row>
    <row r="1035">
      <c r="A1035" s="15" t="n"/>
      <c r="B1035" s="10" t="n"/>
      <c r="C1035" s="10" t="n"/>
      <c r="D1035" s="10" t="n"/>
      <c r="E1035" s="14">
        <f>IF(D1035="","",IFERROR(INDEX('Sản phẩm'!$B$5:$B$304,MATCH(D1035,'Sản phẩm'!$A$5:$A$304,0)),""))</f>
        <v/>
      </c>
      <c r="F1035" s="12" t="n"/>
      <c r="G1035" s="11" t="n"/>
      <c r="H1035" s="11" t="n"/>
      <c r="I1035" s="16">
        <f>IF(D1035="","",IF(G1035&lt;&gt;"",G1035,IFERROR(INDEX('Sản phẩm'!$E$5:$E$304,MATCH(D1035,'Sản phẩm'!$A$5:$A$304,0)),"")))</f>
        <v/>
      </c>
      <c r="J1035" s="16">
        <f>IF(OR(D1035="",F1035=""),"",F1035*I1035-N(H1035))</f>
        <v/>
      </c>
      <c r="K1035" s="16">
        <f>IF(OR(D1035="",F1035=""),"",F1035*IFERROR(INDEX('Sản phẩm'!$D$5:$D$304,MATCH(D1035,'Sản phẩm'!$A$5:$A$304,0)),""))</f>
        <v/>
      </c>
      <c r="L1035" s="16">
        <f>IF(J1035="","",J1035-K1035)</f>
        <v/>
      </c>
      <c r="M1035" s="14">
        <f>IF(A1035="","",MONTH(A1035))</f>
        <v/>
      </c>
      <c r="N1035" s="14">
        <f>IF(A1035="","",YEAR(A1035))</f>
        <v/>
      </c>
    </row>
    <row r="1036">
      <c r="A1036" s="15" t="n"/>
      <c r="B1036" s="10" t="n"/>
      <c r="C1036" s="10" t="n"/>
      <c r="D1036" s="10" t="n"/>
      <c r="E1036" s="14">
        <f>IF(D1036="","",IFERROR(INDEX('Sản phẩm'!$B$5:$B$304,MATCH(D1036,'Sản phẩm'!$A$5:$A$304,0)),""))</f>
        <v/>
      </c>
      <c r="F1036" s="12" t="n"/>
      <c r="G1036" s="11" t="n"/>
      <c r="H1036" s="11" t="n"/>
      <c r="I1036" s="16">
        <f>IF(D1036="","",IF(G1036&lt;&gt;"",G1036,IFERROR(INDEX('Sản phẩm'!$E$5:$E$304,MATCH(D1036,'Sản phẩm'!$A$5:$A$304,0)),"")))</f>
        <v/>
      </c>
      <c r="J1036" s="16">
        <f>IF(OR(D1036="",F1036=""),"",F1036*I1036-N(H1036))</f>
        <v/>
      </c>
      <c r="K1036" s="16">
        <f>IF(OR(D1036="",F1036=""),"",F1036*IFERROR(INDEX('Sản phẩm'!$D$5:$D$304,MATCH(D1036,'Sản phẩm'!$A$5:$A$304,0)),""))</f>
        <v/>
      </c>
      <c r="L1036" s="16">
        <f>IF(J1036="","",J1036-K1036)</f>
        <v/>
      </c>
      <c r="M1036" s="14">
        <f>IF(A1036="","",MONTH(A1036))</f>
        <v/>
      </c>
      <c r="N1036" s="14">
        <f>IF(A1036="","",YEAR(A1036))</f>
        <v/>
      </c>
    </row>
    <row r="1037">
      <c r="A1037" s="15" t="n"/>
      <c r="B1037" s="10" t="n"/>
      <c r="C1037" s="10" t="n"/>
      <c r="D1037" s="10" t="n"/>
      <c r="E1037" s="14">
        <f>IF(D1037="","",IFERROR(INDEX('Sản phẩm'!$B$5:$B$304,MATCH(D1037,'Sản phẩm'!$A$5:$A$304,0)),""))</f>
        <v/>
      </c>
      <c r="F1037" s="12" t="n"/>
      <c r="G1037" s="11" t="n"/>
      <c r="H1037" s="11" t="n"/>
      <c r="I1037" s="16">
        <f>IF(D1037="","",IF(G1037&lt;&gt;"",G1037,IFERROR(INDEX('Sản phẩm'!$E$5:$E$304,MATCH(D1037,'Sản phẩm'!$A$5:$A$304,0)),"")))</f>
        <v/>
      </c>
      <c r="J1037" s="16">
        <f>IF(OR(D1037="",F1037=""),"",F1037*I1037-N(H1037))</f>
        <v/>
      </c>
      <c r="K1037" s="16">
        <f>IF(OR(D1037="",F1037=""),"",F1037*IFERROR(INDEX('Sản phẩm'!$D$5:$D$304,MATCH(D1037,'Sản phẩm'!$A$5:$A$304,0)),""))</f>
        <v/>
      </c>
      <c r="L1037" s="16">
        <f>IF(J1037="","",J1037-K1037)</f>
        <v/>
      </c>
      <c r="M1037" s="14">
        <f>IF(A1037="","",MONTH(A1037))</f>
        <v/>
      </c>
      <c r="N1037" s="14">
        <f>IF(A1037="","",YEAR(A1037))</f>
        <v/>
      </c>
    </row>
    <row r="1038">
      <c r="A1038" s="15" t="n"/>
      <c r="B1038" s="10" t="n"/>
      <c r="C1038" s="10" t="n"/>
      <c r="D1038" s="10" t="n"/>
      <c r="E1038" s="14">
        <f>IF(D1038="","",IFERROR(INDEX('Sản phẩm'!$B$5:$B$304,MATCH(D1038,'Sản phẩm'!$A$5:$A$304,0)),""))</f>
        <v/>
      </c>
      <c r="F1038" s="12" t="n"/>
      <c r="G1038" s="11" t="n"/>
      <c r="H1038" s="11" t="n"/>
      <c r="I1038" s="16">
        <f>IF(D1038="","",IF(G1038&lt;&gt;"",G1038,IFERROR(INDEX('Sản phẩm'!$E$5:$E$304,MATCH(D1038,'Sản phẩm'!$A$5:$A$304,0)),"")))</f>
        <v/>
      </c>
      <c r="J1038" s="16">
        <f>IF(OR(D1038="",F1038=""),"",F1038*I1038-N(H1038))</f>
        <v/>
      </c>
      <c r="K1038" s="16">
        <f>IF(OR(D1038="",F1038=""),"",F1038*IFERROR(INDEX('Sản phẩm'!$D$5:$D$304,MATCH(D1038,'Sản phẩm'!$A$5:$A$304,0)),""))</f>
        <v/>
      </c>
      <c r="L1038" s="16">
        <f>IF(J1038="","",J1038-K1038)</f>
        <v/>
      </c>
      <c r="M1038" s="14">
        <f>IF(A1038="","",MONTH(A1038))</f>
        <v/>
      </c>
      <c r="N1038" s="14">
        <f>IF(A1038="","",YEAR(A1038))</f>
        <v/>
      </c>
    </row>
    <row r="1039">
      <c r="A1039" s="15" t="n"/>
      <c r="B1039" s="10" t="n"/>
      <c r="C1039" s="10" t="n"/>
      <c r="D1039" s="10" t="n"/>
      <c r="E1039" s="14">
        <f>IF(D1039="","",IFERROR(INDEX('Sản phẩm'!$B$5:$B$304,MATCH(D1039,'Sản phẩm'!$A$5:$A$304,0)),""))</f>
        <v/>
      </c>
      <c r="F1039" s="12" t="n"/>
      <c r="G1039" s="11" t="n"/>
      <c r="H1039" s="11" t="n"/>
      <c r="I1039" s="16">
        <f>IF(D1039="","",IF(G1039&lt;&gt;"",G1039,IFERROR(INDEX('Sản phẩm'!$E$5:$E$304,MATCH(D1039,'Sản phẩm'!$A$5:$A$304,0)),"")))</f>
        <v/>
      </c>
      <c r="J1039" s="16">
        <f>IF(OR(D1039="",F1039=""),"",F1039*I1039-N(H1039))</f>
        <v/>
      </c>
      <c r="K1039" s="16">
        <f>IF(OR(D1039="",F1039=""),"",F1039*IFERROR(INDEX('Sản phẩm'!$D$5:$D$304,MATCH(D1039,'Sản phẩm'!$A$5:$A$304,0)),""))</f>
        <v/>
      </c>
      <c r="L1039" s="16">
        <f>IF(J1039="","",J1039-K1039)</f>
        <v/>
      </c>
      <c r="M1039" s="14">
        <f>IF(A1039="","",MONTH(A1039))</f>
        <v/>
      </c>
      <c r="N1039" s="14">
        <f>IF(A1039="","",YEAR(A1039))</f>
        <v/>
      </c>
    </row>
    <row r="1040">
      <c r="A1040" s="15" t="n"/>
      <c r="B1040" s="10" t="n"/>
      <c r="C1040" s="10" t="n"/>
      <c r="D1040" s="10" t="n"/>
      <c r="E1040" s="14">
        <f>IF(D1040="","",IFERROR(INDEX('Sản phẩm'!$B$5:$B$304,MATCH(D1040,'Sản phẩm'!$A$5:$A$304,0)),""))</f>
        <v/>
      </c>
      <c r="F1040" s="12" t="n"/>
      <c r="G1040" s="11" t="n"/>
      <c r="H1040" s="11" t="n"/>
      <c r="I1040" s="16">
        <f>IF(D1040="","",IF(G1040&lt;&gt;"",G1040,IFERROR(INDEX('Sản phẩm'!$E$5:$E$304,MATCH(D1040,'Sản phẩm'!$A$5:$A$304,0)),"")))</f>
        <v/>
      </c>
      <c r="J1040" s="16">
        <f>IF(OR(D1040="",F1040=""),"",F1040*I1040-N(H1040))</f>
        <v/>
      </c>
      <c r="K1040" s="16">
        <f>IF(OR(D1040="",F1040=""),"",F1040*IFERROR(INDEX('Sản phẩm'!$D$5:$D$304,MATCH(D1040,'Sản phẩm'!$A$5:$A$304,0)),""))</f>
        <v/>
      </c>
      <c r="L1040" s="16">
        <f>IF(J1040="","",J1040-K1040)</f>
        <v/>
      </c>
      <c r="M1040" s="14">
        <f>IF(A1040="","",MONTH(A1040))</f>
        <v/>
      </c>
      <c r="N1040" s="14">
        <f>IF(A1040="","",YEAR(A1040))</f>
        <v/>
      </c>
    </row>
    <row r="1041">
      <c r="A1041" s="15" t="n"/>
      <c r="B1041" s="10" t="n"/>
      <c r="C1041" s="10" t="n"/>
      <c r="D1041" s="10" t="n"/>
      <c r="E1041" s="14">
        <f>IF(D1041="","",IFERROR(INDEX('Sản phẩm'!$B$5:$B$304,MATCH(D1041,'Sản phẩm'!$A$5:$A$304,0)),""))</f>
        <v/>
      </c>
      <c r="F1041" s="12" t="n"/>
      <c r="G1041" s="11" t="n"/>
      <c r="H1041" s="11" t="n"/>
      <c r="I1041" s="16">
        <f>IF(D1041="","",IF(G1041&lt;&gt;"",G1041,IFERROR(INDEX('Sản phẩm'!$E$5:$E$304,MATCH(D1041,'Sản phẩm'!$A$5:$A$304,0)),"")))</f>
        <v/>
      </c>
      <c r="J1041" s="16">
        <f>IF(OR(D1041="",F1041=""),"",F1041*I1041-N(H1041))</f>
        <v/>
      </c>
      <c r="K1041" s="16">
        <f>IF(OR(D1041="",F1041=""),"",F1041*IFERROR(INDEX('Sản phẩm'!$D$5:$D$304,MATCH(D1041,'Sản phẩm'!$A$5:$A$304,0)),""))</f>
        <v/>
      </c>
      <c r="L1041" s="16">
        <f>IF(J1041="","",J1041-K1041)</f>
        <v/>
      </c>
      <c r="M1041" s="14">
        <f>IF(A1041="","",MONTH(A1041))</f>
        <v/>
      </c>
      <c r="N1041" s="14">
        <f>IF(A1041="","",YEAR(A1041))</f>
        <v/>
      </c>
    </row>
    <row r="1042">
      <c r="A1042" s="15" t="n"/>
      <c r="B1042" s="10" t="n"/>
      <c r="C1042" s="10" t="n"/>
      <c r="D1042" s="10" t="n"/>
      <c r="E1042" s="14">
        <f>IF(D1042="","",IFERROR(INDEX('Sản phẩm'!$B$5:$B$304,MATCH(D1042,'Sản phẩm'!$A$5:$A$304,0)),""))</f>
        <v/>
      </c>
      <c r="F1042" s="12" t="n"/>
      <c r="G1042" s="11" t="n"/>
      <c r="H1042" s="11" t="n"/>
      <c r="I1042" s="16">
        <f>IF(D1042="","",IF(G1042&lt;&gt;"",G1042,IFERROR(INDEX('Sản phẩm'!$E$5:$E$304,MATCH(D1042,'Sản phẩm'!$A$5:$A$304,0)),"")))</f>
        <v/>
      </c>
      <c r="J1042" s="16">
        <f>IF(OR(D1042="",F1042=""),"",F1042*I1042-N(H1042))</f>
        <v/>
      </c>
      <c r="K1042" s="16">
        <f>IF(OR(D1042="",F1042=""),"",F1042*IFERROR(INDEX('Sản phẩm'!$D$5:$D$304,MATCH(D1042,'Sản phẩm'!$A$5:$A$304,0)),""))</f>
        <v/>
      </c>
      <c r="L1042" s="16">
        <f>IF(J1042="","",J1042-K1042)</f>
        <v/>
      </c>
      <c r="M1042" s="14">
        <f>IF(A1042="","",MONTH(A1042))</f>
        <v/>
      </c>
      <c r="N1042" s="14">
        <f>IF(A1042="","",YEAR(A1042))</f>
        <v/>
      </c>
    </row>
    <row r="1043">
      <c r="A1043" s="15" t="n"/>
      <c r="B1043" s="10" t="n"/>
      <c r="C1043" s="10" t="n"/>
      <c r="D1043" s="10" t="n"/>
      <c r="E1043" s="14">
        <f>IF(D1043="","",IFERROR(INDEX('Sản phẩm'!$B$5:$B$304,MATCH(D1043,'Sản phẩm'!$A$5:$A$304,0)),""))</f>
        <v/>
      </c>
      <c r="F1043" s="12" t="n"/>
      <c r="G1043" s="11" t="n"/>
      <c r="H1043" s="11" t="n"/>
      <c r="I1043" s="16">
        <f>IF(D1043="","",IF(G1043&lt;&gt;"",G1043,IFERROR(INDEX('Sản phẩm'!$E$5:$E$304,MATCH(D1043,'Sản phẩm'!$A$5:$A$304,0)),"")))</f>
        <v/>
      </c>
      <c r="J1043" s="16">
        <f>IF(OR(D1043="",F1043=""),"",F1043*I1043-N(H1043))</f>
        <v/>
      </c>
      <c r="K1043" s="16">
        <f>IF(OR(D1043="",F1043=""),"",F1043*IFERROR(INDEX('Sản phẩm'!$D$5:$D$304,MATCH(D1043,'Sản phẩm'!$A$5:$A$304,0)),""))</f>
        <v/>
      </c>
      <c r="L1043" s="16">
        <f>IF(J1043="","",J1043-K1043)</f>
        <v/>
      </c>
      <c r="M1043" s="14">
        <f>IF(A1043="","",MONTH(A1043))</f>
        <v/>
      </c>
      <c r="N1043" s="14">
        <f>IF(A1043="","",YEAR(A1043))</f>
        <v/>
      </c>
    </row>
    <row r="1044">
      <c r="A1044" s="15" t="n"/>
      <c r="B1044" s="10" t="n"/>
      <c r="C1044" s="10" t="n"/>
      <c r="D1044" s="10" t="n"/>
      <c r="E1044" s="14">
        <f>IF(D1044="","",IFERROR(INDEX('Sản phẩm'!$B$5:$B$304,MATCH(D1044,'Sản phẩm'!$A$5:$A$304,0)),""))</f>
        <v/>
      </c>
      <c r="F1044" s="12" t="n"/>
      <c r="G1044" s="11" t="n"/>
      <c r="H1044" s="11" t="n"/>
      <c r="I1044" s="16">
        <f>IF(D1044="","",IF(G1044&lt;&gt;"",G1044,IFERROR(INDEX('Sản phẩm'!$E$5:$E$304,MATCH(D1044,'Sản phẩm'!$A$5:$A$304,0)),"")))</f>
        <v/>
      </c>
      <c r="J1044" s="16">
        <f>IF(OR(D1044="",F1044=""),"",F1044*I1044-N(H1044))</f>
        <v/>
      </c>
      <c r="K1044" s="16">
        <f>IF(OR(D1044="",F1044=""),"",F1044*IFERROR(INDEX('Sản phẩm'!$D$5:$D$304,MATCH(D1044,'Sản phẩm'!$A$5:$A$304,0)),""))</f>
        <v/>
      </c>
      <c r="L1044" s="16">
        <f>IF(J1044="","",J1044-K1044)</f>
        <v/>
      </c>
      <c r="M1044" s="14">
        <f>IF(A1044="","",MONTH(A1044))</f>
        <v/>
      </c>
      <c r="N1044" s="14">
        <f>IF(A1044="","",YEAR(A1044))</f>
        <v/>
      </c>
    </row>
    <row r="1045">
      <c r="A1045" s="15" t="n"/>
      <c r="B1045" s="10" t="n"/>
      <c r="C1045" s="10" t="n"/>
      <c r="D1045" s="10" t="n"/>
      <c r="E1045" s="14">
        <f>IF(D1045="","",IFERROR(INDEX('Sản phẩm'!$B$5:$B$304,MATCH(D1045,'Sản phẩm'!$A$5:$A$304,0)),""))</f>
        <v/>
      </c>
      <c r="F1045" s="12" t="n"/>
      <c r="G1045" s="11" t="n"/>
      <c r="H1045" s="11" t="n"/>
      <c r="I1045" s="16">
        <f>IF(D1045="","",IF(G1045&lt;&gt;"",G1045,IFERROR(INDEX('Sản phẩm'!$E$5:$E$304,MATCH(D1045,'Sản phẩm'!$A$5:$A$304,0)),"")))</f>
        <v/>
      </c>
      <c r="J1045" s="16">
        <f>IF(OR(D1045="",F1045=""),"",F1045*I1045-N(H1045))</f>
        <v/>
      </c>
      <c r="K1045" s="16">
        <f>IF(OR(D1045="",F1045=""),"",F1045*IFERROR(INDEX('Sản phẩm'!$D$5:$D$304,MATCH(D1045,'Sản phẩm'!$A$5:$A$304,0)),""))</f>
        <v/>
      </c>
      <c r="L1045" s="16">
        <f>IF(J1045="","",J1045-K1045)</f>
        <v/>
      </c>
      <c r="M1045" s="14">
        <f>IF(A1045="","",MONTH(A1045))</f>
        <v/>
      </c>
      <c r="N1045" s="14">
        <f>IF(A1045="","",YEAR(A1045))</f>
        <v/>
      </c>
    </row>
    <row r="1046">
      <c r="A1046" s="15" t="n"/>
      <c r="B1046" s="10" t="n"/>
      <c r="C1046" s="10" t="n"/>
      <c r="D1046" s="10" t="n"/>
      <c r="E1046" s="14">
        <f>IF(D1046="","",IFERROR(INDEX('Sản phẩm'!$B$5:$B$304,MATCH(D1046,'Sản phẩm'!$A$5:$A$304,0)),""))</f>
        <v/>
      </c>
      <c r="F1046" s="12" t="n"/>
      <c r="G1046" s="11" t="n"/>
      <c r="H1046" s="11" t="n"/>
      <c r="I1046" s="16">
        <f>IF(D1046="","",IF(G1046&lt;&gt;"",G1046,IFERROR(INDEX('Sản phẩm'!$E$5:$E$304,MATCH(D1046,'Sản phẩm'!$A$5:$A$304,0)),"")))</f>
        <v/>
      </c>
      <c r="J1046" s="16">
        <f>IF(OR(D1046="",F1046=""),"",F1046*I1046-N(H1046))</f>
        <v/>
      </c>
      <c r="K1046" s="16">
        <f>IF(OR(D1046="",F1046=""),"",F1046*IFERROR(INDEX('Sản phẩm'!$D$5:$D$304,MATCH(D1046,'Sản phẩm'!$A$5:$A$304,0)),""))</f>
        <v/>
      </c>
      <c r="L1046" s="16">
        <f>IF(J1046="","",J1046-K1046)</f>
        <v/>
      </c>
      <c r="M1046" s="14">
        <f>IF(A1046="","",MONTH(A1046))</f>
        <v/>
      </c>
      <c r="N1046" s="14">
        <f>IF(A1046="","",YEAR(A1046))</f>
        <v/>
      </c>
    </row>
    <row r="1047">
      <c r="A1047" s="15" t="n"/>
      <c r="B1047" s="10" t="n"/>
      <c r="C1047" s="10" t="n"/>
      <c r="D1047" s="10" t="n"/>
      <c r="E1047" s="14">
        <f>IF(D1047="","",IFERROR(INDEX('Sản phẩm'!$B$5:$B$304,MATCH(D1047,'Sản phẩm'!$A$5:$A$304,0)),""))</f>
        <v/>
      </c>
      <c r="F1047" s="12" t="n"/>
      <c r="G1047" s="11" t="n"/>
      <c r="H1047" s="11" t="n"/>
      <c r="I1047" s="16">
        <f>IF(D1047="","",IF(G1047&lt;&gt;"",G1047,IFERROR(INDEX('Sản phẩm'!$E$5:$E$304,MATCH(D1047,'Sản phẩm'!$A$5:$A$304,0)),"")))</f>
        <v/>
      </c>
      <c r="J1047" s="16">
        <f>IF(OR(D1047="",F1047=""),"",F1047*I1047-N(H1047))</f>
        <v/>
      </c>
      <c r="K1047" s="16">
        <f>IF(OR(D1047="",F1047=""),"",F1047*IFERROR(INDEX('Sản phẩm'!$D$5:$D$304,MATCH(D1047,'Sản phẩm'!$A$5:$A$304,0)),""))</f>
        <v/>
      </c>
      <c r="L1047" s="16">
        <f>IF(J1047="","",J1047-K1047)</f>
        <v/>
      </c>
      <c r="M1047" s="14">
        <f>IF(A1047="","",MONTH(A1047))</f>
        <v/>
      </c>
      <c r="N1047" s="14">
        <f>IF(A1047="","",YEAR(A1047))</f>
        <v/>
      </c>
    </row>
    <row r="1048">
      <c r="A1048" s="15" t="n"/>
      <c r="B1048" s="10" t="n"/>
      <c r="C1048" s="10" t="n"/>
      <c r="D1048" s="10" t="n"/>
      <c r="E1048" s="14">
        <f>IF(D1048="","",IFERROR(INDEX('Sản phẩm'!$B$5:$B$304,MATCH(D1048,'Sản phẩm'!$A$5:$A$304,0)),""))</f>
        <v/>
      </c>
      <c r="F1048" s="12" t="n"/>
      <c r="G1048" s="11" t="n"/>
      <c r="H1048" s="11" t="n"/>
      <c r="I1048" s="16">
        <f>IF(D1048="","",IF(G1048&lt;&gt;"",G1048,IFERROR(INDEX('Sản phẩm'!$E$5:$E$304,MATCH(D1048,'Sản phẩm'!$A$5:$A$304,0)),"")))</f>
        <v/>
      </c>
      <c r="J1048" s="16">
        <f>IF(OR(D1048="",F1048=""),"",F1048*I1048-N(H1048))</f>
        <v/>
      </c>
      <c r="K1048" s="16">
        <f>IF(OR(D1048="",F1048=""),"",F1048*IFERROR(INDEX('Sản phẩm'!$D$5:$D$304,MATCH(D1048,'Sản phẩm'!$A$5:$A$304,0)),""))</f>
        <v/>
      </c>
      <c r="L1048" s="16">
        <f>IF(J1048="","",J1048-K1048)</f>
        <v/>
      </c>
      <c r="M1048" s="14">
        <f>IF(A1048="","",MONTH(A1048))</f>
        <v/>
      </c>
      <c r="N1048" s="14">
        <f>IF(A1048="","",YEAR(A1048))</f>
        <v/>
      </c>
    </row>
    <row r="1049">
      <c r="A1049" s="15" t="n"/>
      <c r="B1049" s="10" t="n"/>
      <c r="C1049" s="10" t="n"/>
      <c r="D1049" s="10" t="n"/>
      <c r="E1049" s="14">
        <f>IF(D1049="","",IFERROR(INDEX('Sản phẩm'!$B$5:$B$304,MATCH(D1049,'Sản phẩm'!$A$5:$A$304,0)),""))</f>
        <v/>
      </c>
      <c r="F1049" s="12" t="n"/>
      <c r="G1049" s="11" t="n"/>
      <c r="H1049" s="11" t="n"/>
      <c r="I1049" s="16">
        <f>IF(D1049="","",IF(G1049&lt;&gt;"",G1049,IFERROR(INDEX('Sản phẩm'!$E$5:$E$304,MATCH(D1049,'Sản phẩm'!$A$5:$A$304,0)),"")))</f>
        <v/>
      </c>
      <c r="J1049" s="16">
        <f>IF(OR(D1049="",F1049=""),"",F1049*I1049-N(H1049))</f>
        <v/>
      </c>
      <c r="K1049" s="16">
        <f>IF(OR(D1049="",F1049=""),"",F1049*IFERROR(INDEX('Sản phẩm'!$D$5:$D$304,MATCH(D1049,'Sản phẩm'!$A$5:$A$304,0)),""))</f>
        <v/>
      </c>
      <c r="L1049" s="16">
        <f>IF(J1049="","",J1049-K1049)</f>
        <v/>
      </c>
      <c r="M1049" s="14">
        <f>IF(A1049="","",MONTH(A1049))</f>
        <v/>
      </c>
      <c r="N1049" s="14">
        <f>IF(A1049="","",YEAR(A1049))</f>
        <v/>
      </c>
    </row>
    <row r="1050">
      <c r="A1050" s="15" t="n"/>
      <c r="B1050" s="10" t="n"/>
      <c r="C1050" s="10" t="n"/>
      <c r="D1050" s="10" t="n"/>
      <c r="E1050" s="14">
        <f>IF(D1050="","",IFERROR(INDEX('Sản phẩm'!$B$5:$B$304,MATCH(D1050,'Sản phẩm'!$A$5:$A$304,0)),""))</f>
        <v/>
      </c>
      <c r="F1050" s="12" t="n"/>
      <c r="G1050" s="11" t="n"/>
      <c r="H1050" s="11" t="n"/>
      <c r="I1050" s="16">
        <f>IF(D1050="","",IF(G1050&lt;&gt;"",G1050,IFERROR(INDEX('Sản phẩm'!$E$5:$E$304,MATCH(D1050,'Sản phẩm'!$A$5:$A$304,0)),"")))</f>
        <v/>
      </c>
      <c r="J1050" s="16">
        <f>IF(OR(D1050="",F1050=""),"",F1050*I1050-N(H1050))</f>
        <v/>
      </c>
      <c r="K1050" s="16">
        <f>IF(OR(D1050="",F1050=""),"",F1050*IFERROR(INDEX('Sản phẩm'!$D$5:$D$304,MATCH(D1050,'Sản phẩm'!$A$5:$A$304,0)),""))</f>
        <v/>
      </c>
      <c r="L1050" s="16">
        <f>IF(J1050="","",J1050-K1050)</f>
        <v/>
      </c>
      <c r="M1050" s="14">
        <f>IF(A1050="","",MONTH(A1050))</f>
        <v/>
      </c>
      <c r="N1050" s="14">
        <f>IF(A1050="","",YEAR(A1050))</f>
        <v/>
      </c>
    </row>
    <row r="1051">
      <c r="A1051" s="15" t="n"/>
      <c r="B1051" s="10" t="n"/>
      <c r="C1051" s="10" t="n"/>
      <c r="D1051" s="10" t="n"/>
      <c r="E1051" s="14">
        <f>IF(D1051="","",IFERROR(INDEX('Sản phẩm'!$B$5:$B$304,MATCH(D1051,'Sản phẩm'!$A$5:$A$304,0)),""))</f>
        <v/>
      </c>
      <c r="F1051" s="12" t="n"/>
      <c r="G1051" s="11" t="n"/>
      <c r="H1051" s="11" t="n"/>
      <c r="I1051" s="16">
        <f>IF(D1051="","",IF(G1051&lt;&gt;"",G1051,IFERROR(INDEX('Sản phẩm'!$E$5:$E$304,MATCH(D1051,'Sản phẩm'!$A$5:$A$304,0)),"")))</f>
        <v/>
      </c>
      <c r="J1051" s="16">
        <f>IF(OR(D1051="",F1051=""),"",F1051*I1051-N(H1051))</f>
        <v/>
      </c>
      <c r="K1051" s="16">
        <f>IF(OR(D1051="",F1051=""),"",F1051*IFERROR(INDEX('Sản phẩm'!$D$5:$D$304,MATCH(D1051,'Sản phẩm'!$A$5:$A$304,0)),""))</f>
        <v/>
      </c>
      <c r="L1051" s="16">
        <f>IF(J1051="","",J1051-K1051)</f>
        <v/>
      </c>
      <c r="M1051" s="14">
        <f>IF(A1051="","",MONTH(A1051))</f>
        <v/>
      </c>
      <c r="N1051" s="14">
        <f>IF(A1051="","",YEAR(A1051))</f>
        <v/>
      </c>
    </row>
    <row r="1052">
      <c r="A1052" s="15" t="n"/>
      <c r="B1052" s="10" t="n"/>
      <c r="C1052" s="10" t="n"/>
      <c r="D1052" s="10" t="n"/>
      <c r="E1052" s="14">
        <f>IF(D1052="","",IFERROR(INDEX('Sản phẩm'!$B$5:$B$304,MATCH(D1052,'Sản phẩm'!$A$5:$A$304,0)),""))</f>
        <v/>
      </c>
      <c r="F1052" s="12" t="n"/>
      <c r="G1052" s="11" t="n"/>
      <c r="H1052" s="11" t="n"/>
      <c r="I1052" s="16">
        <f>IF(D1052="","",IF(G1052&lt;&gt;"",G1052,IFERROR(INDEX('Sản phẩm'!$E$5:$E$304,MATCH(D1052,'Sản phẩm'!$A$5:$A$304,0)),"")))</f>
        <v/>
      </c>
      <c r="J1052" s="16">
        <f>IF(OR(D1052="",F1052=""),"",F1052*I1052-N(H1052))</f>
        <v/>
      </c>
      <c r="K1052" s="16">
        <f>IF(OR(D1052="",F1052=""),"",F1052*IFERROR(INDEX('Sản phẩm'!$D$5:$D$304,MATCH(D1052,'Sản phẩm'!$A$5:$A$304,0)),""))</f>
        <v/>
      </c>
      <c r="L1052" s="16">
        <f>IF(J1052="","",J1052-K1052)</f>
        <v/>
      </c>
      <c r="M1052" s="14">
        <f>IF(A1052="","",MONTH(A1052))</f>
        <v/>
      </c>
      <c r="N1052" s="14">
        <f>IF(A1052="","",YEAR(A1052))</f>
        <v/>
      </c>
    </row>
    <row r="1053">
      <c r="A1053" s="15" t="n"/>
      <c r="B1053" s="10" t="n"/>
      <c r="C1053" s="10" t="n"/>
      <c r="D1053" s="10" t="n"/>
      <c r="E1053" s="14">
        <f>IF(D1053="","",IFERROR(INDEX('Sản phẩm'!$B$5:$B$304,MATCH(D1053,'Sản phẩm'!$A$5:$A$304,0)),""))</f>
        <v/>
      </c>
      <c r="F1053" s="12" t="n"/>
      <c r="G1053" s="11" t="n"/>
      <c r="H1053" s="11" t="n"/>
      <c r="I1053" s="16">
        <f>IF(D1053="","",IF(G1053&lt;&gt;"",G1053,IFERROR(INDEX('Sản phẩm'!$E$5:$E$304,MATCH(D1053,'Sản phẩm'!$A$5:$A$304,0)),"")))</f>
        <v/>
      </c>
      <c r="J1053" s="16">
        <f>IF(OR(D1053="",F1053=""),"",F1053*I1053-N(H1053))</f>
        <v/>
      </c>
      <c r="K1053" s="16">
        <f>IF(OR(D1053="",F1053=""),"",F1053*IFERROR(INDEX('Sản phẩm'!$D$5:$D$304,MATCH(D1053,'Sản phẩm'!$A$5:$A$304,0)),""))</f>
        <v/>
      </c>
      <c r="L1053" s="16">
        <f>IF(J1053="","",J1053-K1053)</f>
        <v/>
      </c>
      <c r="M1053" s="14">
        <f>IF(A1053="","",MONTH(A1053))</f>
        <v/>
      </c>
      <c r="N1053" s="14">
        <f>IF(A1053="","",YEAR(A1053))</f>
        <v/>
      </c>
    </row>
    <row r="1054">
      <c r="A1054" s="15" t="n"/>
      <c r="B1054" s="10" t="n"/>
      <c r="C1054" s="10" t="n"/>
      <c r="D1054" s="10" t="n"/>
      <c r="E1054" s="14">
        <f>IF(D1054="","",IFERROR(INDEX('Sản phẩm'!$B$5:$B$304,MATCH(D1054,'Sản phẩm'!$A$5:$A$304,0)),""))</f>
        <v/>
      </c>
      <c r="F1054" s="12" t="n"/>
      <c r="G1054" s="11" t="n"/>
      <c r="H1054" s="11" t="n"/>
      <c r="I1054" s="16">
        <f>IF(D1054="","",IF(G1054&lt;&gt;"",G1054,IFERROR(INDEX('Sản phẩm'!$E$5:$E$304,MATCH(D1054,'Sản phẩm'!$A$5:$A$304,0)),"")))</f>
        <v/>
      </c>
      <c r="J1054" s="16">
        <f>IF(OR(D1054="",F1054=""),"",F1054*I1054-N(H1054))</f>
        <v/>
      </c>
      <c r="K1054" s="16">
        <f>IF(OR(D1054="",F1054=""),"",F1054*IFERROR(INDEX('Sản phẩm'!$D$5:$D$304,MATCH(D1054,'Sản phẩm'!$A$5:$A$304,0)),""))</f>
        <v/>
      </c>
      <c r="L1054" s="16">
        <f>IF(J1054="","",J1054-K1054)</f>
        <v/>
      </c>
      <c r="M1054" s="14">
        <f>IF(A1054="","",MONTH(A1054))</f>
        <v/>
      </c>
      <c r="N1054" s="14">
        <f>IF(A1054="","",YEAR(A1054))</f>
        <v/>
      </c>
    </row>
    <row r="1055">
      <c r="A1055" s="15" t="n"/>
      <c r="B1055" s="10" t="n"/>
      <c r="C1055" s="10" t="n"/>
      <c r="D1055" s="10" t="n"/>
      <c r="E1055" s="14">
        <f>IF(D1055="","",IFERROR(INDEX('Sản phẩm'!$B$5:$B$304,MATCH(D1055,'Sản phẩm'!$A$5:$A$304,0)),""))</f>
        <v/>
      </c>
      <c r="F1055" s="12" t="n"/>
      <c r="G1055" s="11" t="n"/>
      <c r="H1055" s="11" t="n"/>
      <c r="I1055" s="16">
        <f>IF(D1055="","",IF(G1055&lt;&gt;"",G1055,IFERROR(INDEX('Sản phẩm'!$E$5:$E$304,MATCH(D1055,'Sản phẩm'!$A$5:$A$304,0)),"")))</f>
        <v/>
      </c>
      <c r="J1055" s="16">
        <f>IF(OR(D1055="",F1055=""),"",F1055*I1055-N(H1055))</f>
        <v/>
      </c>
      <c r="K1055" s="16">
        <f>IF(OR(D1055="",F1055=""),"",F1055*IFERROR(INDEX('Sản phẩm'!$D$5:$D$304,MATCH(D1055,'Sản phẩm'!$A$5:$A$304,0)),""))</f>
        <v/>
      </c>
      <c r="L1055" s="16">
        <f>IF(J1055="","",J1055-K1055)</f>
        <v/>
      </c>
      <c r="M1055" s="14">
        <f>IF(A1055="","",MONTH(A1055))</f>
        <v/>
      </c>
      <c r="N1055" s="14">
        <f>IF(A1055="","",YEAR(A1055))</f>
        <v/>
      </c>
    </row>
    <row r="1056">
      <c r="A1056" s="15" t="n"/>
      <c r="B1056" s="10" t="n"/>
      <c r="C1056" s="10" t="n"/>
      <c r="D1056" s="10" t="n"/>
      <c r="E1056" s="14">
        <f>IF(D1056="","",IFERROR(INDEX('Sản phẩm'!$B$5:$B$304,MATCH(D1056,'Sản phẩm'!$A$5:$A$304,0)),""))</f>
        <v/>
      </c>
      <c r="F1056" s="12" t="n"/>
      <c r="G1056" s="11" t="n"/>
      <c r="H1056" s="11" t="n"/>
      <c r="I1056" s="16">
        <f>IF(D1056="","",IF(G1056&lt;&gt;"",G1056,IFERROR(INDEX('Sản phẩm'!$E$5:$E$304,MATCH(D1056,'Sản phẩm'!$A$5:$A$304,0)),"")))</f>
        <v/>
      </c>
      <c r="J1056" s="16">
        <f>IF(OR(D1056="",F1056=""),"",F1056*I1056-N(H1056))</f>
        <v/>
      </c>
      <c r="K1056" s="16">
        <f>IF(OR(D1056="",F1056=""),"",F1056*IFERROR(INDEX('Sản phẩm'!$D$5:$D$304,MATCH(D1056,'Sản phẩm'!$A$5:$A$304,0)),""))</f>
        <v/>
      </c>
      <c r="L1056" s="16">
        <f>IF(J1056="","",J1056-K1056)</f>
        <v/>
      </c>
      <c r="M1056" s="14">
        <f>IF(A1056="","",MONTH(A1056))</f>
        <v/>
      </c>
      <c r="N1056" s="14">
        <f>IF(A1056="","",YEAR(A1056))</f>
        <v/>
      </c>
    </row>
    <row r="1057">
      <c r="A1057" s="15" t="n"/>
      <c r="B1057" s="10" t="n"/>
      <c r="C1057" s="10" t="n"/>
      <c r="D1057" s="10" t="n"/>
      <c r="E1057" s="14">
        <f>IF(D1057="","",IFERROR(INDEX('Sản phẩm'!$B$5:$B$304,MATCH(D1057,'Sản phẩm'!$A$5:$A$304,0)),""))</f>
        <v/>
      </c>
      <c r="F1057" s="12" t="n"/>
      <c r="G1057" s="11" t="n"/>
      <c r="H1057" s="11" t="n"/>
      <c r="I1057" s="16">
        <f>IF(D1057="","",IF(G1057&lt;&gt;"",G1057,IFERROR(INDEX('Sản phẩm'!$E$5:$E$304,MATCH(D1057,'Sản phẩm'!$A$5:$A$304,0)),"")))</f>
        <v/>
      </c>
      <c r="J1057" s="16">
        <f>IF(OR(D1057="",F1057=""),"",F1057*I1057-N(H1057))</f>
        <v/>
      </c>
      <c r="K1057" s="16">
        <f>IF(OR(D1057="",F1057=""),"",F1057*IFERROR(INDEX('Sản phẩm'!$D$5:$D$304,MATCH(D1057,'Sản phẩm'!$A$5:$A$304,0)),""))</f>
        <v/>
      </c>
      <c r="L1057" s="16">
        <f>IF(J1057="","",J1057-K1057)</f>
        <v/>
      </c>
      <c r="M1057" s="14">
        <f>IF(A1057="","",MONTH(A1057))</f>
        <v/>
      </c>
      <c r="N1057" s="14">
        <f>IF(A1057="","",YEAR(A1057))</f>
        <v/>
      </c>
    </row>
    <row r="1058">
      <c r="A1058" s="15" t="n"/>
      <c r="B1058" s="10" t="n"/>
      <c r="C1058" s="10" t="n"/>
      <c r="D1058" s="10" t="n"/>
      <c r="E1058" s="14">
        <f>IF(D1058="","",IFERROR(INDEX('Sản phẩm'!$B$5:$B$304,MATCH(D1058,'Sản phẩm'!$A$5:$A$304,0)),""))</f>
        <v/>
      </c>
      <c r="F1058" s="12" t="n"/>
      <c r="G1058" s="11" t="n"/>
      <c r="H1058" s="11" t="n"/>
      <c r="I1058" s="16">
        <f>IF(D1058="","",IF(G1058&lt;&gt;"",G1058,IFERROR(INDEX('Sản phẩm'!$E$5:$E$304,MATCH(D1058,'Sản phẩm'!$A$5:$A$304,0)),"")))</f>
        <v/>
      </c>
      <c r="J1058" s="16">
        <f>IF(OR(D1058="",F1058=""),"",F1058*I1058-N(H1058))</f>
        <v/>
      </c>
      <c r="K1058" s="16">
        <f>IF(OR(D1058="",F1058=""),"",F1058*IFERROR(INDEX('Sản phẩm'!$D$5:$D$304,MATCH(D1058,'Sản phẩm'!$A$5:$A$304,0)),""))</f>
        <v/>
      </c>
      <c r="L1058" s="16">
        <f>IF(J1058="","",J1058-K1058)</f>
        <v/>
      </c>
      <c r="M1058" s="14">
        <f>IF(A1058="","",MONTH(A1058))</f>
        <v/>
      </c>
      <c r="N1058" s="14">
        <f>IF(A1058="","",YEAR(A1058))</f>
        <v/>
      </c>
    </row>
    <row r="1059">
      <c r="A1059" s="15" t="n"/>
      <c r="B1059" s="10" t="n"/>
      <c r="C1059" s="10" t="n"/>
      <c r="D1059" s="10" t="n"/>
      <c r="E1059" s="14">
        <f>IF(D1059="","",IFERROR(INDEX('Sản phẩm'!$B$5:$B$304,MATCH(D1059,'Sản phẩm'!$A$5:$A$304,0)),""))</f>
        <v/>
      </c>
      <c r="F1059" s="12" t="n"/>
      <c r="G1059" s="11" t="n"/>
      <c r="H1059" s="11" t="n"/>
      <c r="I1059" s="16">
        <f>IF(D1059="","",IF(G1059&lt;&gt;"",G1059,IFERROR(INDEX('Sản phẩm'!$E$5:$E$304,MATCH(D1059,'Sản phẩm'!$A$5:$A$304,0)),"")))</f>
        <v/>
      </c>
      <c r="J1059" s="16">
        <f>IF(OR(D1059="",F1059=""),"",F1059*I1059-N(H1059))</f>
        <v/>
      </c>
      <c r="K1059" s="16">
        <f>IF(OR(D1059="",F1059=""),"",F1059*IFERROR(INDEX('Sản phẩm'!$D$5:$D$304,MATCH(D1059,'Sản phẩm'!$A$5:$A$304,0)),""))</f>
        <v/>
      </c>
      <c r="L1059" s="16">
        <f>IF(J1059="","",J1059-K1059)</f>
        <v/>
      </c>
      <c r="M1059" s="14">
        <f>IF(A1059="","",MONTH(A1059))</f>
        <v/>
      </c>
      <c r="N1059" s="14">
        <f>IF(A1059="","",YEAR(A1059))</f>
        <v/>
      </c>
    </row>
    <row r="1060">
      <c r="A1060" s="15" t="n"/>
      <c r="B1060" s="10" t="n"/>
      <c r="C1060" s="10" t="n"/>
      <c r="D1060" s="10" t="n"/>
      <c r="E1060" s="14">
        <f>IF(D1060="","",IFERROR(INDEX('Sản phẩm'!$B$5:$B$304,MATCH(D1060,'Sản phẩm'!$A$5:$A$304,0)),""))</f>
        <v/>
      </c>
      <c r="F1060" s="12" t="n"/>
      <c r="G1060" s="11" t="n"/>
      <c r="H1060" s="11" t="n"/>
      <c r="I1060" s="16">
        <f>IF(D1060="","",IF(G1060&lt;&gt;"",G1060,IFERROR(INDEX('Sản phẩm'!$E$5:$E$304,MATCH(D1060,'Sản phẩm'!$A$5:$A$304,0)),"")))</f>
        <v/>
      </c>
      <c r="J1060" s="16">
        <f>IF(OR(D1060="",F1060=""),"",F1060*I1060-N(H1060))</f>
        <v/>
      </c>
      <c r="K1060" s="16">
        <f>IF(OR(D1060="",F1060=""),"",F1060*IFERROR(INDEX('Sản phẩm'!$D$5:$D$304,MATCH(D1060,'Sản phẩm'!$A$5:$A$304,0)),""))</f>
        <v/>
      </c>
      <c r="L1060" s="16">
        <f>IF(J1060="","",J1060-K1060)</f>
        <v/>
      </c>
      <c r="M1060" s="14">
        <f>IF(A1060="","",MONTH(A1060))</f>
        <v/>
      </c>
      <c r="N1060" s="14">
        <f>IF(A1060="","",YEAR(A1060))</f>
        <v/>
      </c>
    </row>
    <row r="1061">
      <c r="A1061" s="15" t="n"/>
      <c r="B1061" s="10" t="n"/>
      <c r="C1061" s="10" t="n"/>
      <c r="D1061" s="10" t="n"/>
      <c r="E1061" s="14">
        <f>IF(D1061="","",IFERROR(INDEX('Sản phẩm'!$B$5:$B$304,MATCH(D1061,'Sản phẩm'!$A$5:$A$304,0)),""))</f>
        <v/>
      </c>
      <c r="F1061" s="12" t="n"/>
      <c r="G1061" s="11" t="n"/>
      <c r="H1061" s="11" t="n"/>
      <c r="I1061" s="16">
        <f>IF(D1061="","",IF(G1061&lt;&gt;"",G1061,IFERROR(INDEX('Sản phẩm'!$E$5:$E$304,MATCH(D1061,'Sản phẩm'!$A$5:$A$304,0)),"")))</f>
        <v/>
      </c>
      <c r="J1061" s="16">
        <f>IF(OR(D1061="",F1061=""),"",F1061*I1061-N(H1061))</f>
        <v/>
      </c>
      <c r="K1061" s="16">
        <f>IF(OR(D1061="",F1061=""),"",F1061*IFERROR(INDEX('Sản phẩm'!$D$5:$D$304,MATCH(D1061,'Sản phẩm'!$A$5:$A$304,0)),""))</f>
        <v/>
      </c>
      <c r="L1061" s="16">
        <f>IF(J1061="","",J1061-K1061)</f>
        <v/>
      </c>
      <c r="M1061" s="14">
        <f>IF(A1061="","",MONTH(A1061))</f>
        <v/>
      </c>
      <c r="N1061" s="14">
        <f>IF(A1061="","",YEAR(A1061))</f>
        <v/>
      </c>
    </row>
    <row r="1062">
      <c r="A1062" s="15" t="n"/>
      <c r="B1062" s="10" t="n"/>
      <c r="C1062" s="10" t="n"/>
      <c r="D1062" s="10" t="n"/>
      <c r="E1062" s="14">
        <f>IF(D1062="","",IFERROR(INDEX('Sản phẩm'!$B$5:$B$304,MATCH(D1062,'Sản phẩm'!$A$5:$A$304,0)),""))</f>
        <v/>
      </c>
      <c r="F1062" s="12" t="n"/>
      <c r="G1062" s="11" t="n"/>
      <c r="H1062" s="11" t="n"/>
      <c r="I1062" s="16">
        <f>IF(D1062="","",IF(G1062&lt;&gt;"",G1062,IFERROR(INDEX('Sản phẩm'!$E$5:$E$304,MATCH(D1062,'Sản phẩm'!$A$5:$A$304,0)),"")))</f>
        <v/>
      </c>
      <c r="J1062" s="16">
        <f>IF(OR(D1062="",F1062=""),"",F1062*I1062-N(H1062))</f>
        <v/>
      </c>
      <c r="K1062" s="16">
        <f>IF(OR(D1062="",F1062=""),"",F1062*IFERROR(INDEX('Sản phẩm'!$D$5:$D$304,MATCH(D1062,'Sản phẩm'!$A$5:$A$304,0)),""))</f>
        <v/>
      </c>
      <c r="L1062" s="16">
        <f>IF(J1062="","",J1062-K1062)</f>
        <v/>
      </c>
      <c r="M1062" s="14">
        <f>IF(A1062="","",MONTH(A1062))</f>
        <v/>
      </c>
      <c r="N1062" s="14">
        <f>IF(A1062="","",YEAR(A1062))</f>
        <v/>
      </c>
    </row>
    <row r="1063">
      <c r="A1063" s="15" t="n"/>
      <c r="B1063" s="10" t="n"/>
      <c r="C1063" s="10" t="n"/>
      <c r="D1063" s="10" t="n"/>
      <c r="E1063" s="14">
        <f>IF(D1063="","",IFERROR(INDEX('Sản phẩm'!$B$5:$B$304,MATCH(D1063,'Sản phẩm'!$A$5:$A$304,0)),""))</f>
        <v/>
      </c>
      <c r="F1063" s="12" t="n"/>
      <c r="G1063" s="11" t="n"/>
      <c r="H1063" s="11" t="n"/>
      <c r="I1063" s="16">
        <f>IF(D1063="","",IF(G1063&lt;&gt;"",G1063,IFERROR(INDEX('Sản phẩm'!$E$5:$E$304,MATCH(D1063,'Sản phẩm'!$A$5:$A$304,0)),"")))</f>
        <v/>
      </c>
      <c r="J1063" s="16">
        <f>IF(OR(D1063="",F1063=""),"",F1063*I1063-N(H1063))</f>
        <v/>
      </c>
      <c r="K1063" s="16">
        <f>IF(OR(D1063="",F1063=""),"",F1063*IFERROR(INDEX('Sản phẩm'!$D$5:$D$304,MATCH(D1063,'Sản phẩm'!$A$5:$A$304,0)),""))</f>
        <v/>
      </c>
      <c r="L1063" s="16">
        <f>IF(J1063="","",J1063-K1063)</f>
        <v/>
      </c>
      <c r="M1063" s="14">
        <f>IF(A1063="","",MONTH(A1063))</f>
        <v/>
      </c>
      <c r="N1063" s="14">
        <f>IF(A1063="","",YEAR(A1063))</f>
        <v/>
      </c>
    </row>
    <row r="1064">
      <c r="A1064" s="15" t="n"/>
      <c r="B1064" s="10" t="n"/>
      <c r="C1064" s="10" t="n"/>
      <c r="D1064" s="10" t="n"/>
      <c r="E1064" s="14">
        <f>IF(D1064="","",IFERROR(INDEX('Sản phẩm'!$B$5:$B$304,MATCH(D1064,'Sản phẩm'!$A$5:$A$304,0)),""))</f>
        <v/>
      </c>
      <c r="F1064" s="12" t="n"/>
      <c r="G1064" s="11" t="n"/>
      <c r="H1064" s="11" t="n"/>
      <c r="I1064" s="16">
        <f>IF(D1064="","",IF(G1064&lt;&gt;"",G1064,IFERROR(INDEX('Sản phẩm'!$E$5:$E$304,MATCH(D1064,'Sản phẩm'!$A$5:$A$304,0)),"")))</f>
        <v/>
      </c>
      <c r="J1064" s="16">
        <f>IF(OR(D1064="",F1064=""),"",F1064*I1064-N(H1064))</f>
        <v/>
      </c>
      <c r="K1064" s="16">
        <f>IF(OR(D1064="",F1064=""),"",F1064*IFERROR(INDEX('Sản phẩm'!$D$5:$D$304,MATCH(D1064,'Sản phẩm'!$A$5:$A$304,0)),""))</f>
        <v/>
      </c>
      <c r="L1064" s="16">
        <f>IF(J1064="","",J1064-K1064)</f>
        <v/>
      </c>
      <c r="M1064" s="14">
        <f>IF(A1064="","",MONTH(A1064))</f>
        <v/>
      </c>
      <c r="N1064" s="14">
        <f>IF(A1064="","",YEAR(A1064))</f>
        <v/>
      </c>
    </row>
    <row r="1065">
      <c r="A1065" s="15" t="n"/>
      <c r="B1065" s="10" t="n"/>
      <c r="C1065" s="10" t="n"/>
      <c r="D1065" s="10" t="n"/>
      <c r="E1065" s="14">
        <f>IF(D1065="","",IFERROR(INDEX('Sản phẩm'!$B$5:$B$304,MATCH(D1065,'Sản phẩm'!$A$5:$A$304,0)),""))</f>
        <v/>
      </c>
      <c r="F1065" s="12" t="n"/>
      <c r="G1065" s="11" t="n"/>
      <c r="H1065" s="11" t="n"/>
      <c r="I1065" s="16">
        <f>IF(D1065="","",IF(G1065&lt;&gt;"",G1065,IFERROR(INDEX('Sản phẩm'!$E$5:$E$304,MATCH(D1065,'Sản phẩm'!$A$5:$A$304,0)),"")))</f>
        <v/>
      </c>
      <c r="J1065" s="16">
        <f>IF(OR(D1065="",F1065=""),"",F1065*I1065-N(H1065))</f>
        <v/>
      </c>
      <c r="K1065" s="16">
        <f>IF(OR(D1065="",F1065=""),"",F1065*IFERROR(INDEX('Sản phẩm'!$D$5:$D$304,MATCH(D1065,'Sản phẩm'!$A$5:$A$304,0)),""))</f>
        <v/>
      </c>
      <c r="L1065" s="16">
        <f>IF(J1065="","",J1065-K1065)</f>
        <v/>
      </c>
      <c r="M1065" s="14">
        <f>IF(A1065="","",MONTH(A1065))</f>
        <v/>
      </c>
      <c r="N1065" s="14">
        <f>IF(A1065="","",YEAR(A1065))</f>
        <v/>
      </c>
    </row>
    <row r="1066">
      <c r="A1066" s="15" t="n"/>
      <c r="B1066" s="10" t="n"/>
      <c r="C1066" s="10" t="n"/>
      <c r="D1066" s="10" t="n"/>
      <c r="E1066" s="14">
        <f>IF(D1066="","",IFERROR(INDEX('Sản phẩm'!$B$5:$B$304,MATCH(D1066,'Sản phẩm'!$A$5:$A$304,0)),""))</f>
        <v/>
      </c>
      <c r="F1066" s="12" t="n"/>
      <c r="G1066" s="11" t="n"/>
      <c r="H1066" s="11" t="n"/>
      <c r="I1066" s="16">
        <f>IF(D1066="","",IF(G1066&lt;&gt;"",G1066,IFERROR(INDEX('Sản phẩm'!$E$5:$E$304,MATCH(D1066,'Sản phẩm'!$A$5:$A$304,0)),"")))</f>
        <v/>
      </c>
      <c r="J1066" s="16">
        <f>IF(OR(D1066="",F1066=""),"",F1066*I1066-N(H1066))</f>
        <v/>
      </c>
      <c r="K1066" s="16">
        <f>IF(OR(D1066="",F1066=""),"",F1066*IFERROR(INDEX('Sản phẩm'!$D$5:$D$304,MATCH(D1066,'Sản phẩm'!$A$5:$A$304,0)),""))</f>
        <v/>
      </c>
      <c r="L1066" s="16">
        <f>IF(J1066="","",J1066-K1066)</f>
        <v/>
      </c>
      <c r="M1066" s="14">
        <f>IF(A1066="","",MONTH(A1066))</f>
        <v/>
      </c>
      <c r="N1066" s="14">
        <f>IF(A1066="","",YEAR(A1066))</f>
        <v/>
      </c>
    </row>
    <row r="1067">
      <c r="A1067" s="15" t="n"/>
      <c r="B1067" s="10" t="n"/>
      <c r="C1067" s="10" t="n"/>
      <c r="D1067" s="10" t="n"/>
      <c r="E1067" s="14">
        <f>IF(D1067="","",IFERROR(INDEX('Sản phẩm'!$B$5:$B$304,MATCH(D1067,'Sản phẩm'!$A$5:$A$304,0)),""))</f>
        <v/>
      </c>
      <c r="F1067" s="12" t="n"/>
      <c r="G1067" s="11" t="n"/>
      <c r="H1067" s="11" t="n"/>
      <c r="I1067" s="16">
        <f>IF(D1067="","",IF(G1067&lt;&gt;"",G1067,IFERROR(INDEX('Sản phẩm'!$E$5:$E$304,MATCH(D1067,'Sản phẩm'!$A$5:$A$304,0)),"")))</f>
        <v/>
      </c>
      <c r="J1067" s="16">
        <f>IF(OR(D1067="",F1067=""),"",F1067*I1067-N(H1067))</f>
        <v/>
      </c>
      <c r="K1067" s="16">
        <f>IF(OR(D1067="",F1067=""),"",F1067*IFERROR(INDEX('Sản phẩm'!$D$5:$D$304,MATCH(D1067,'Sản phẩm'!$A$5:$A$304,0)),""))</f>
        <v/>
      </c>
      <c r="L1067" s="16">
        <f>IF(J1067="","",J1067-K1067)</f>
        <v/>
      </c>
      <c r="M1067" s="14">
        <f>IF(A1067="","",MONTH(A1067))</f>
        <v/>
      </c>
      <c r="N1067" s="14">
        <f>IF(A1067="","",YEAR(A1067))</f>
        <v/>
      </c>
    </row>
    <row r="1068">
      <c r="A1068" s="15" t="n"/>
      <c r="B1068" s="10" t="n"/>
      <c r="C1068" s="10" t="n"/>
      <c r="D1068" s="10" t="n"/>
      <c r="E1068" s="14">
        <f>IF(D1068="","",IFERROR(INDEX('Sản phẩm'!$B$5:$B$304,MATCH(D1068,'Sản phẩm'!$A$5:$A$304,0)),""))</f>
        <v/>
      </c>
      <c r="F1068" s="12" t="n"/>
      <c r="G1068" s="11" t="n"/>
      <c r="H1068" s="11" t="n"/>
      <c r="I1068" s="16">
        <f>IF(D1068="","",IF(G1068&lt;&gt;"",G1068,IFERROR(INDEX('Sản phẩm'!$E$5:$E$304,MATCH(D1068,'Sản phẩm'!$A$5:$A$304,0)),"")))</f>
        <v/>
      </c>
      <c r="J1068" s="16">
        <f>IF(OR(D1068="",F1068=""),"",F1068*I1068-N(H1068))</f>
        <v/>
      </c>
      <c r="K1068" s="16">
        <f>IF(OR(D1068="",F1068=""),"",F1068*IFERROR(INDEX('Sản phẩm'!$D$5:$D$304,MATCH(D1068,'Sản phẩm'!$A$5:$A$304,0)),""))</f>
        <v/>
      </c>
      <c r="L1068" s="16">
        <f>IF(J1068="","",J1068-K1068)</f>
        <v/>
      </c>
      <c r="M1068" s="14">
        <f>IF(A1068="","",MONTH(A1068))</f>
        <v/>
      </c>
      <c r="N1068" s="14">
        <f>IF(A1068="","",YEAR(A1068))</f>
        <v/>
      </c>
    </row>
    <row r="1069">
      <c r="A1069" s="15" t="n"/>
      <c r="B1069" s="10" t="n"/>
      <c r="C1069" s="10" t="n"/>
      <c r="D1069" s="10" t="n"/>
      <c r="E1069" s="14">
        <f>IF(D1069="","",IFERROR(INDEX('Sản phẩm'!$B$5:$B$304,MATCH(D1069,'Sản phẩm'!$A$5:$A$304,0)),""))</f>
        <v/>
      </c>
      <c r="F1069" s="12" t="n"/>
      <c r="G1069" s="11" t="n"/>
      <c r="H1069" s="11" t="n"/>
      <c r="I1069" s="16">
        <f>IF(D1069="","",IF(G1069&lt;&gt;"",G1069,IFERROR(INDEX('Sản phẩm'!$E$5:$E$304,MATCH(D1069,'Sản phẩm'!$A$5:$A$304,0)),"")))</f>
        <v/>
      </c>
      <c r="J1069" s="16">
        <f>IF(OR(D1069="",F1069=""),"",F1069*I1069-N(H1069))</f>
        <v/>
      </c>
      <c r="K1069" s="16">
        <f>IF(OR(D1069="",F1069=""),"",F1069*IFERROR(INDEX('Sản phẩm'!$D$5:$D$304,MATCH(D1069,'Sản phẩm'!$A$5:$A$304,0)),""))</f>
        <v/>
      </c>
      <c r="L1069" s="16">
        <f>IF(J1069="","",J1069-K1069)</f>
        <v/>
      </c>
      <c r="M1069" s="14">
        <f>IF(A1069="","",MONTH(A1069))</f>
        <v/>
      </c>
      <c r="N1069" s="14">
        <f>IF(A1069="","",YEAR(A1069))</f>
        <v/>
      </c>
    </row>
    <row r="1070">
      <c r="A1070" s="15" t="n"/>
      <c r="B1070" s="10" t="n"/>
      <c r="C1070" s="10" t="n"/>
      <c r="D1070" s="10" t="n"/>
      <c r="E1070" s="14">
        <f>IF(D1070="","",IFERROR(INDEX('Sản phẩm'!$B$5:$B$304,MATCH(D1070,'Sản phẩm'!$A$5:$A$304,0)),""))</f>
        <v/>
      </c>
      <c r="F1070" s="12" t="n"/>
      <c r="G1070" s="11" t="n"/>
      <c r="H1070" s="11" t="n"/>
      <c r="I1070" s="16">
        <f>IF(D1070="","",IF(G1070&lt;&gt;"",G1070,IFERROR(INDEX('Sản phẩm'!$E$5:$E$304,MATCH(D1070,'Sản phẩm'!$A$5:$A$304,0)),"")))</f>
        <v/>
      </c>
      <c r="J1070" s="16">
        <f>IF(OR(D1070="",F1070=""),"",F1070*I1070-N(H1070))</f>
        <v/>
      </c>
      <c r="K1070" s="16">
        <f>IF(OR(D1070="",F1070=""),"",F1070*IFERROR(INDEX('Sản phẩm'!$D$5:$D$304,MATCH(D1070,'Sản phẩm'!$A$5:$A$304,0)),""))</f>
        <v/>
      </c>
      <c r="L1070" s="16">
        <f>IF(J1070="","",J1070-K1070)</f>
        <v/>
      </c>
      <c r="M1070" s="14">
        <f>IF(A1070="","",MONTH(A1070))</f>
        <v/>
      </c>
      <c r="N1070" s="14">
        <f>IF(A1070="","",YEAR(A1070))</f>
        <v/>
      </c>
    </row>
    <row r="1071">
      <c r="A1071" s="15" t="n"/>
      <c r="B1071" s="10" t="n"/>
      <c r="C1071" s="10" t="n"/>
      <c r="D1071" s="10" t="n"/>
      <c r="E1071" s="14">
        <f>IF(D1071="","",IFERROR(INDEX('Sản phẩm'!$B$5:$B$304,MATCH(D1071,'Sản phẩm'!$A$5:$A$304,0)),""))</f>
        <v/>
      </c>
      <c r="F1071" s="12" t="n"/>
      <c r="G1071" s="11" t="n"/>
      <c r="H1071" s="11" t="n"/>
      <c r="I1071" s="16">
        <f>IF(D1071="","",IF(G1071&lt;&gt;"",G1071,IFERROR(INDEX('Sản phẩm'!$E$5:$E$304,MATCH(D1071,'Sản phẩm'!$A$5:$A$304,0)),"")))</f>
        <v/>
      </c>
      <c r="J1071" s="16">
        <f>IF(OR(D1071="",F1071=""),"",F1071*I1071-N(H1071))</f>
        <v/>
      </c>
      <c r="K1071" s="16">
        <f>IF(OR(D1071="",F1071=""),"",F1071*IFERROR(INDEX('Sản phẩm'!$D$5:$D$304,MATCH(D1071,'Sản phẩm'!$A$5:$A$304,0)),""))</f>
        <v/>
      </c>
      <c r="L1071" s="16">
        <f>IF(J1071="","",J1071-K1071)</f>
        <v/>
      </c>
      <c r="M1071" s="14">
        <f>IF(A1071="","",MONTH(A1071))</f>
        <v/>
      </c>
      <c r="N1071" s="14">
        <f>IF(A1071="","",YEAR(A1071))</f>
        <v/>
      </c>
    </row>
    <row r="1072">
      <c r="A1072" s="15" t="n"/>
      <c r="B1072" s="10" t="n"/>
      <c r="C1072" s="10" t="n"/>
      <c r="D1072" s="10" t="n"/>
      <c r="E1072" s="14">
        <f>IF(D1072="","",IFERROR(INDEX('Sản phẩm'!$B$5:$B$304,MATCH(D1072,'Sản phẩm'!$A$5:$A$304,0)),""))</f>
        <v/>
      </c>
      <c r="F1072" s="12" t="n"/>
      <c r="G1072" s="11" t="n"/>
      <c r="H1072" s="11" t="n"/>
      <c r="I1072" s="16">
        <f>IF(D1072="","",IF(G1072&lt;&gt;"",G1072,IFERROR(INDEX('Sản phẩm'!$E$5:$E$304,MATCH(D1072,'Sản phẩm'!$A$5:$A$304,0)),"")))</f>
        <v/>
      </c>
      <c r="J1072" s="16">
        <f>IF(OR(D1072="",F1072=""),"",F1072*I1072-N(H1072))</f>
        <v/>
      </c>
      <c r="K1072" s="16">
        <f>IF(OR(D1072="",F1072=""),"",F1072*IFERROR(INDEX('Sản phẩm'!$D$5:$D$304,MATCH(D1072,'Sản phẩm'!$A$5:$A$304,0)),""))</f>
        <v/>
      </c>
      <c r="L1072" s="16">
        <f>IF(J1072="","",J1072-K1072)</f>
        <v/>
      </c>
      <c r="M1072" s="14">
        <f>IF(A1072="","",MONTH(A1072))</f>
        <v/>
      </c>
      <c r="N1072" s="14">
        <f>IF(A1072="","",YEAR(A1072))</f>
        <v/>
      </c>
    </row>
    <row r="1073">
      <c r="A1073" s="15" t="n"/>
      <c r="B1073" s="10" t="n"/>
      <c r="C1073" s="10" t="n"/>
      <c r="D1073" s="10" t="n"/>
      <c r="E1073" s="14">
        <f>IF(D1073="","",IFERROR(INDEX('Sản phẩm'!$B$5:$B$304,MATCH(D1073,'Sản phẩm'!$A$5:$A$304,0)),""))</f>
        <v/>
      </c>
      <c r="F1073" s="12" t="n"/>
      <c r="G1073" s="11" t="n"/>
      <c r="H1073" s="11" t="n"/>
      <c r="I1073" s="16">
        <f>IF(D1073="","",IF(G1073&lt;&gt;"",G1073,IFERROR(INDEX('Sản phẩm'!$E$5:$E$304,MATCH(D1073,'Sản phẩm'!$A$5:$A$304,0)),"")))</f>
        <v/>
      </c>
      <c r="J1073" s="16">
        <f>IF(OR(D1073="",F1073=""),"",F1073*I1073-N(H1073))</f>
        <v/>
      </c>
      <c r="K1073" s="16">
        <f>IF(OR(D1073="",F1073=""),"",F1073*IFERROR(INDEX('Sản phẩm'!$D$5:$D$304,MATCH(D1073,'Sản phẩm'!$A$5:$A$304,0)),""))</f>
        <v/>
      </c>
      <c r="L1073" s="16">
        <f>IF(J1073="","",J1073-K1073)</f>
        <v/>
      </c>
      <c r="M1073" s="14">
        <f>IF(A1073="","",MONTH(A1073))</f>
        <v/>
      </c>
      <c r="N1073" s="14">
        <f>IF(A1073="","",YEAR(A1073))</f>
        <v/>
      </c>
    </row>
    <row r="1074">
      <c r="A1074" s="15" t="n"/>
      <c r="B1074" s="10" t="n"/>
      <c r="C1074" s="10" t="n"/>
      <c r="D1074" s="10" t="n"/>
      <c r="E1074" s="14">
        <f>IF(D1074="","",IFERROR(INDEX('Sản phẩm'!$B$5:$B$304,MATCH(D1074,'Sản phẩm'!$A$5:$A$304,0)),""))</f>
        <v/>
      </c>
      <c r="F1074" s="12" t="n"/>
      <c r="G1074" s="11" t="n"/>
      <c r="H1074" s="11" t="n"/>
      <c r="I1074" s="16">
        <f>IF(D1074="","",IF(G1074&lt;&gt;"",G1074,IFERROR(INDEX('Sản phẩm'!$E$5:$E$304,MATCH(D1074,'Sản phẩm'!$A$5:$A$304,0)),"")))</f>
        <v/>
      </c>
      <c r="J1074" s="16">
        <f>IF(OR(D1074="",F1074=""),"",F1074*I1074-N(H1074))</f>
        <v/>
      </c>
      <c r="K1074" s="16">
        <f>IF(OR(D1074="",F1074=""),"",F1074*IFERROR(INDEX('Sản phẩm'!$D$5:$D$304,MATCH(D1074,'Sản phẩm'!$A$5:$A$304,0)),""))</f>
        <v/>
      </c>
      <c r="L1074" s="16">
        <f>IF(J1074="","",J1074-K1074)</f>
        <v/>
      </c>
      <c r="M1074" s="14">
        <f>IF(A1074="","",MONTH(A1074))</f>
        <v/>
      </c>
      <c r="N1074" s="14">
        <f>IF(A1074="","",YEAR(A1074))</f>
        <v/>
      </c>
    </row>
    <row r="1075">
      <c r="A1075" s="15" t="n"/>
      <c r="B1075" s="10" t="n"/>
      <c r="C1075" s="10" t="n"/>
      <c r="D1075" s="10" t="n"/>
      <c r="E1075" s="14">
        <f>IF(D1075="","",IFERROR(INDEX('Sản phẩm'!$B$5:$B$304,MATCH(D1075,'Sản phẩm'!$A$5:$A$304,0)),""))</f>
        <v/>
      </c>
      <c r="F1075" s="12" t="n"/>
      <c r="G1075" s="11" t="n"/>
      <c r="H1075" s="11" t="n"/>
      <c r="I1075" s="16">
        <f>IF(D1075="","",IF(G1075&lt;&gt;"",G1075,IFERROR(INDEX('Sản phẩm'!$E$5:$E$304,MATCH(D1075,'Sản phẩm'!$A$5:$A$304,0)),"")))</f>
        <v/>
      </c>
      <c r="J1075" s="16">
        <f>IF(OR(D1075="",F1075=""),"",F1075*I1075-N(H1075))</f>
        <v/>
      </c>
      <c r="K1075" s="16">
        <f>IF(OR(D1075="",F1075=""),"",F1075*IFERROR(INDEX('Sản phẩm'!$D$5:$D$304,MATCH(D1075,'Sản phẩm'!$A$5:$A$304,0)),""))</f>
        <v/>
      </c>
      <c r="L1075" s="16">
        <f>IF(J1075="","",J1075-K1075)</f>
        <v/>
      </c>
      <c r="M1075" s="14">
        <f>IF(A1075="","",MONTH(A1075))</f>
        <v/>
      </c>
      <c r="N1075" s="14">
        <f>IF(A1075="","",YEAR(A1075))</f>
        <v/>
      </c>
    </row>
    <row r="1076">
      <c r="A1076" s="15" t="n"/>
      <c r="B1076" s="10" t="n"/>
      <c r="C1076" s="10" t="n"/>
      <c r="D1076" s="10" t="n"/>
      <c r="E1076" s="14">
        <f>IF(D1076="","",IFERROR(INDEX('Sản phẩm'!$B$5:$B$304,MATCH(D1076,'Sản phẩm'!$A$5:$A$304,0)),""))</f>
        <v/>
      </c>
      <c r="F1076" s="12" t="n"/>
      <c r="G1076" s="11" t="n"/>
      <c r="H1076" s="11" t="n"/>
      <c r="I1076" s="16">
        <f>IF(D1076="","",IF(G1076&lt;&gt;"",G1076,IFERROR(INDEX('Sản phẩm'!$E$5:$E$304,MATCH(D1076,'Sản phẩm'!$A$5:$A$304,0)),"")))</f>
        <v/>
      </c>
      <c r="J1076" s="16">
        <f>IF(OR(D1076="",F1076=""),"",F1076*I1076-N(H1076))</f>
        <v/>
      </c>
      <c r="K1076" s="16">
        <f>IF(OR(D1076="",F1076=""),"",F1076*IFERROR(INDEX('Sản phẩm'!$D$5:$D$304,MATCH(D1076,'Sản phẩm'!$A$5:$A$304,0)),""))</f>
        <v/>
      </c>
      <c r="L1076" s="16">
        <f>IF(J1076="","",J1076-K1076)</f>
        <v/>
      </c>
      <c r="M1076" s="14">
        <f>IF(A1076="","",MONTH(A1076))</f>
        <v/>
      </c>
      <c r="N1076" s="14">
        <f>IF(A1076="","",YEAR(A1076))</f>
        <v/>
      </c>
    </row>
    <row r="1077">
      <c r="A1077" s="15" t="n"/>
      <c r="B1077" s="10" t="n"/>
      <c r="C1077" s="10" t="n"/>
      <c r="D1077" s="10" t="n"/>
      <c r="E1077" s="14">
        <f>IF(D1077="","",IFERROR(INDEX('Sản phẩm'!$B$5:$B$304,MATCH(D1077,'Sản phẩm'!$A$5:$A$304,0)),""))</f>
        <v/>
      </c>
      <c r="F1077" s="12" t="n"/>
      <c r="G1077" s="11" t="n"/>
      <c r="H1077" s="11" t="n"/>
      <c r="I1077" s="16">
        <f>IF(D1077="","",IF(G1077&lt;&gt;"",G1077,IFERROR(INDEX('Sản phẩm'!$E$5:$E$304,MATCH(D1077,'Sản phẩm'!$A$5:$A$304,0)),"")))</f>
        <v/>
      </c>
      <c r="J1077" s="16">
        <f>IF(OR(D1077="",F1077=""),"",F1077*I1077-N(H1077))</f>
        <v/>
      </c>
      <c r="K1077" s="16">
        <f>IF(OR(D1077="",F1077=""),"",F1077*IFERROR(INDEX('Sản phẩm'!$D$5:$D$304,MATCH(D1077,'Sản phẩm'!$A$5:$A$304,0)),""))</f>
        <v/>
      </c>
      <c r="L1077" s="16">
        <f>IF(J1077="","",J1077-K1077)</f>
        <v/>
      </c>
      <c r="M1077" s="14">
        <f>IF(A1077="","",MONTH(A1077))</f>
        <v/>
      </c>
      <c r="N1077" s="14">
        <f>IF(A1077="","",YEAR(A1077))</f>
        <v/>
      </c>
    </row>
    <row r="1078">
      <c r="A1078" s="15" t="n"/>
      <c r="B1078" s="10" t="n"/>
      <c r="C1078" s="10" t="n"/>
      <c r="D1078" s="10" t="n"/>
      <c r="E1078" s="14">
        <f>IF(D1078="","",IFERROR(INDEX('Sản phẩm'!$B$5:$B$304,MATCH(D1078,'Sản phẩm'!$A$5:$A$304,0)),""))</f>
        <v/>
      </c>
      <c r="F1078" s="12" t="n"/>
      <c r="G1078" s="11" t="n"/>
      <c r="H1078" s="11" t="n"/>
      <c r="I1078" s="16">
        <f>IF(D1078="","",IF(G1078&lt;&gt;"",G1078,IFERROR(INDEX('Sản phẩm'!$E$5:$E$304,MATCH(D1078,'Sản phẩm'!$A$5:$A$304,0)),"")))</f>
        <v/>
      </c>
      <c r="J1078" s="16">
        <f>IF(OR(D1078="",F1078=""),"",F1078*I1078-N(H1078))</f>
        <v/>
      </c>
      <c r="K1078" s="16">
        <f>IF(OR(D1078="",F1078=""),"",F1078*IFERROR(INDEX('Sản phẩm'!$D$5:$D$304,MATCH(D1078,'Sản phẩm'!$A$5:$A$304,0)),""))</f>
        <v/>
      </c>
      <c r="L1078" s="16">
        <f>IF(J1078="","",J1078-K1078)</f>
        <v/>
      </c>
      <c r="M1078" s="14">
        <f>IF(A1078="","",MONTH(A1078))</f>
        <v/>
      </c>
      <c r="N1078" s="14">
        <f>IF(A1078="","",YEAR(A1078))</f>
        <v/>
      </c>
    </row>
    <row r="1079">
      <c r="A1079" s="15" t="n"/>
      <c r="B1079" s="10" t="n"/>
      <c r="C1079" s="10" t="n"/>
      <c r="D1079" s="10" t="n"/>
      <c r="E1079" s="14">
        <f>IF(D1079="","",IFERROR(INDEX('Sản phẩm'!$B$5:$B$304,MATCH(D1079,'Sản phẩm'!$A$5:$A$304,0)),""))</f>
        <v/>
      </c>
      <c r="F1079" s="12" t="n"/>
      <c r="G1079" s="11" t="n"/>
      <c r="H1079" s="11" t="n"/>
      <c r="I1079" s="16">
        <f>IF(D1079="","",IF(G1079&lt;&gt;"",G1079,IFERROR(INDEX('Sản phẩm'!$E$5:$E$304,MATCH(D1079,'Sản phẩm'!$A$5:$A$304,0)),"")))</f>
        <v/>
      </c>
      <c r="J1079" s="16">
        <f>IF(OR(D1079="",F1079=""),"",F1079*I1079-N(H1079))</f>
        <v/>
      </c>
      <c r="K1079" s="16">
        <f>IF(OR(D1079="",F1079=""),"",F1079*IFERROR(INDEX('Sản phẩm'!$D$5:$D$304,MATCH(D1079,'Sản phẩm'!$A$5:$A$304,0)),""))</f>
        <v/>
      </c>
      <c r="L1079" s="16">
        <f>IF(J1079="","",J1079-K1079)</f>
        <v/>
      </c>
      <c r="M1079" s="14">
        <f>IF(A1079="","",MONTH(A1079))</f>
        <v/>
      </c>
      <c r="N1079" s="14">
        <f>IF(A1079="","",YEAR(A1079))</f>
        <v/>
      </c>
    </row>
    <row r="1080">
      <c r="A1080" s="15" t="n"/>
      <c r="B1080" s="10" t="n"/>
      <c r="C1080" s="10" t="n"/>
      <c r="D1080" s="10" t="n"/>
      <c r="E1080" s="14">
        <f>IF(D1080="","",IFERROR(INDEX('Sản phẩm'!$B$5:$B$304,MATCH(D1080,'Sản phẩm'!$A$5:$A$304,0)),""))</f>
        <v/>
      </c>
      <c r="F1080" s="12" t="n"/>
      <c r="G1080" s="11" t="n"/>
      <c r="H1080" s="11" t="n"/>
      <c r="I1080" s="16">
        <f>IF(D1080="","",IF(G1080&lt;&gt;"",G1080,IFERROR(INDEX('Sản phẩm'!$E$5:$E$304,MATCH(D1080,'Sản phẩm'!$A$5:$A$304,0)),"")))</f>
        <v/>
      </c>
      <c r="J1080" s="16">
        <f>IF(OR(D1080="",F1080=""),"",F1080*I1080-N(H1080))</f>
        <v/>
      </c>
      <c r="K1080" s="16">
        <f>IF(OR(D1080="",F1080=""),"",F1080*IFERROR(INDEX('Sản phẩm'!$D$5:$D$304,MATCH(D1080,'Sản phẩm'!$A$5:$A$304,0)),""))</f>
        <v/>
      </c>
      <c r="L1080" s="16">
        <f>IF(J1080="","",J1080-K1080)</f>
        <v/>
      </c>
      <c r="M1080" s="14">
        <f>IF(A1080="","",MONTH(A1080))</f>
        <v/>
      </c>
      <c r="N1080" s="14">
        <f>IF(A1080="","",YEAR(A1080))</f>
        <v/>
      </c>
    </row>
    <row r="1081">
      <c r="A1081" s="15" t="n"/>
      <c r="B1081" s="10" t="n"/>
      <c r="C1081" s="10" t="n"/>
      <c r="D1081" s="10" t="n"/>
      <c r="E1081" s="14">
        <f>IF(D1081="","",IFERROR(INDEX('Sản phẩm'!$B$5:$B$304,MATCH(D1081,'Sản phẩm'!$A$5:$A$304,0)),""))</f>
        <v/>
      </c>
      <c r="F1081" s="12" t="n"/>
      <c r="G1081" s="11" t="n"/>
      <c r="H1081" s="11" t="n"/>
      <c r="I1081" s="16">
        <f>IF(D1081="","",IF(G1081&lt;&gt;"",G1081,IFERROR(INDEX('Sản phẩm'!$E$5:$E$304,MATCH(D1081,'Sản phẩm'!$A$5:$A$304,0)),"")))</f>
        <v/>
      </c>
      <c r="J1081" s="16">
        <f>IF(OR(D1081="",F1081=""),"",F1081*I1081-N(H1081))</f>
        <v/>
      </c>
      <c r="K1081" s="16">
        <f>IF(OR(D1081="",F1081=""),"",F1081*IFERROR(INDEX('Sản phẩm'!$D$5:$D$304,MATCH(D1081,'Sản phẩm'!$A$5:$A$304,0)),""))</f>
        <v/>
      </c>
      <c r="L1081" s="16">
        <f>IF(J1081="","",J1081-K1081)</f>
        <v/>
      </c>
      <c r="M1081" s="14">
        <f>IF(A1081="","",MONTH(A1081))</f>
        <v/>
      </c>
      <c r="N1081" s="14">
        <f>IF(A1081="","",YEAR(A1081))</f>
        <v/>
      </c>
    </row>
    <row r="1082">
      <c r="A1082" s="15" t="n"/>
      <c r="B1082" s="10" t="n"/>
      <c r="C1082" s="10" t="n"/>
      <c r="D1082" s="10" t="n"/>
      <c r="E1082" s="14">
        <f>IF(D1082="","",IFERROR(INDEX('Sản phẩm'!$B$5:$B$304,MATCH(D1082,'Sản phẩm'!$A$5:$A$304,0)),""))</f>
        <v/>
      </c>
      <c r="F1082" s="12" t="n"/>
      <c r="G1082" s="11" t="n"/>
      <c r="H1082" s="11" t="n"/>
      <c r="I1082" s="16">
        <f>IF(D1082="","",IF(G1082&lt;&gt;"",G1082,IFERROR(INDEX('Sản phẩm'!$E$5:$E$304,MATCH(D1082,'Sản phẩm'!$A$5:$A$304,0)),"")))</f>
        <v/>
      </c>
      <c r="J1082" s="16">
        <f>IF(OR(D1082="",F1082=""),"",F1082*I1082-N(H1082))</f>
        <v/>
      </c>
      <c r="K1082" s="16">
        <f>IF(OR(D1082="",F1082=""),"",F1082*IFERROR(INDEX('Sản phẩm'!$D$5:$D$304,MATCH(D1082,'Sản phẩm'!$A$5:$A$304,0)),""))</f>
        <v/>
      </c>
      <c r="L1082" s="16">
        <f>IF(J1082="","",J1082-K1082)</f>
        <v/>
      </c>
      <c r="M1082" s="14">
        <f>IF(A1082="","",MONTH(A1082))</f>
        <v/>
      </c>
      <c r="N1082" s="14">
        <f>IF(A1082="","",YEAR(A1082))</f>
        <v/>
      </c>
    </row>
    <row r="1083">
      <c r="A1083" s="15" t="n"/>
      <c r="B1083" s="10" t="n"/>
      <c r="C1083" s="10" t="n"/>
      <c r="D1083" s="10" t="n"/>
      <c r="E1083" s="14">
        <f>IF(D1083="","",IFERROR(INDEX('Sản phẩm'!$B$5:$B$304,MATCH(D1083,'Sản phẩm'!$A$5:$A$304,0)),""))</f>
        <v/>
      </c>
      <c r="F1083" s="12" t="n"/>
      <c r="G1083" s="11" t="n"/>
      <c r="H1083" s="11" t="n"/>
      <c r="I1083" s="16">
        <f>IF(D1083="","",IF(G1083&lt;&gt;"",G1083,IFERROR(INDEX('Sản phẩm'!$E$5:$E$304,MATCH(D1083,'Sản phẩm'!$A$5:$A$304,0)),"")))</f>
        <v/>
      </c>
      <c r="J1083" s="16">
        <f>IF(OR(D1083="",F1083=""),"",F1083*I1083-N(H1083))</f>
        <v/>
      </c>
      <c r="K1083" s="16">
        <f>IF(OR(D1083="",F1083=""),"",F1083*IFERROR(INDEX('Sản phẩm'!$D$5:$D$304,MATCH(D1083,'Sản phẩm'!$A$5:$A$304,0)),""))</f>
        <v/>
      </c>
      <c r="L1083" s="16">
        <f>IF(J1083="","",J1083-K1083)</f>
        <v/>
      </c>
      <c r="M1083" s="14">
        <f>IF(A1083="","",MONTH(A1083))</f>
        <v/>
      </c>
      <c r="N1083" s="14">
        <f>IF(A1083="","",YEAR(A1083))</f>
        <v/>
      </c>
    </row>
    <row r="1084">
      <c r="A1084" s="15" t="n"/>
      <c r="B1084" s="10" t="n"/>
      <c r="C1084" s="10" t="n"/>
      <c r="D1084" s="10" t="n"/>
      <c r="E1084" s="14">
        <f>IF(D1084="","",IFERROR(INDEX('Sản phẩm'!$B$5:$B$304,MATCH(D1084,'Sản phẩm'!$A$5:$A$304,0)),""))</f>
        <v/>
      </c>
      <c r="F1084" s="12" t="n"/>
      <c r="G1084" s="11" t="n"/>
      <c r="H1084" s="11" t="n"/>
      <c r="I1084" s="16">
        <f>IF(D1084="","",IF(G1084&lt;&gt;"",G1084,IFERROR(INDEX('Sản phẩm'!$E$5:$E$304,MATCH(D1084,'Sản phẩm'!$A$5:$A$304,0)),"")))</f>
        <v/>
      </c>
      <c r="J1084" s="16">
        <f>IF(OR(D1084="",F1084=""),"",F1084*I1084-N(H1084))</f>
        <v/>
      </c>
      <c r="K1084" s="16">
        <f>IF(OR(D1084="",F1084=""),"",F1084*IFERROR(INDEX('Sản phẩm'!$D$5:$D$304,MATCH(D1084,'Sản phẩm'!$A$5:$A$304,0)),""))</f>
        <v/>
      </c>
      <c r="L1084" s="16">
        <f>IF(J1084="","",J1084-K1084)</f>
        <v/>
      </c>
      <c r="M1084" s="14">
        <f>IF(A1084="","",MONTH(A1084))</f>
        <v/>
      </c>
      <c r="N1084" s="14">
        <f>IF(A1084="","",YEAR(A1084))</f>
        <v/>
      </c>
    </row>
    <row r="1085">
      <c r="A1085" s="15" t="n"/>
      <c r="B1085" s="10" t="n"/>
      <c r="C1085" s="10" t="n"/>
      <c r="D1085" s="10" t="n"/>
      <c r="E1085" s="14">
        <f>IF(D1085="","",IFERROR(INDEX('Sản phẩm'!$B$5:$B$304,MATCH(D1085,'Sản phẩm'!$A$5:$A$304,0)),""))</f>
        <v/>
      </c>
      <c r="F1085" s="12" t="n"/>
      <c r="G1085" s="11" t="n"/>
      <c r="H1085" s="11" t="n"/>
      <c r="I1085" s="16">
        <f>IF(D1085="","",IF(G1085&lt;&gt;"",G1085,IFERROR(INDEX('Sản phẩm'!$E$5:$E$304,MATCH(D1085,'Sản phẩm'!$A$5:$A$304,0)),"")))</f>
        <v/>
      </c>
      <c r="J1085" s="16">
        <f>IF(OR(D1085="",F1085=""),"",F1085*I1085-N(H1085))</f>
        <v/>
      </c>
      <c r="K1085" s="16">
        <f>IF(OR(D1085="",F1085=""),"",F1085*IFERROR(INDEX('Sản phẩm'!$D$5:$D$304,MATCH(D1085,'Sản phẩm'!$A$5:$A$304,0)),""))</f>
        <v/>
      </c>
      <c r="L1085" s="16">
        <f>IF(J1085="","",J1085-K1085)</f>
        <v/>
      </c>
      <c r="M1085" s="14">
        <f>IF(A1085="","",MONTH(A1085))</f>
        <v/>
      </c>
      <c r="N1085" s="14">
        <f>IF(A1085="","",YEAR(A1085))</f>
        <v/>
      </c>
    </row>
    <row r="1086">
      <c r="A1086" s="15" t="n"/>
      <c r="B1086" s="10" t="n"/>
      <c r="C1086" s="10" t="n"/>
      <c r="D1086" s="10" t="n"/>
      <c r="E1086" s="14">
        <f>IF(D1086="","",IFERROR(INDEX('Sản phẩm'!$B$5:$B$304,MATCH(D1086,'Sản phẩm'!$A$5:$A$304,0)),""))</f>
        <v/>
      </c>
      <c r="F1086" s="12" t="n"/>
      <c r="G1086" s="11" t="n"/>
      <c r="H1086" s="11" t="n"/>
      <c r="I1086" s="16">
        <f>IF(D1086="","",IF(G1086&lt;&gt;"",G1086,IFERROR(INDEX('Sản phẩm'!$E$5:$E$304,MATCH(D1086,'Sản phẩm'!$A$5:$A$304,0)),"")))</f>
        <v/>
      </c>
      <c r="J1086" s="16">
        <f>IF(OR(D1086="",F1086=""),"",F1086*I1086-N(H1086))</f>
        <v/>
      </c>
      <c r="K1086" s="16">
        <f>IF(OR(D1086="",F1086=""),"",F1086*IFERROR(INDEX('Sản phẩm'!$D$5:$D$304,MATCH(D1086,'Sản phẩm'!$A$5:$A$304,0)),""))</f>
        <v/>
      </c>
      <c r="L1086" s="16">
        <f>IF(J1086="","",J1086-K1086)</f>
        <v/>
      </c>
      <c r="M1086" s="14">
        <f>IF(A1086="","",MONTH(A1086))</f>
        <v/>
      </c>
      <c r="N1086" s="14">
        <f>IF(A1086="","",YEAR(A1086))</f>
        <v/>
      </c>
    </row>
    <row r="1087">
      <c r="A1087" s="15" t="n"/>
      <c r="B1087" s="10" t="n"/>
      <c r="C1087" s="10" t="n"/>
      <c r="D1087" s="10" t="n"/>
      <c r="E1087" s="14">
        <f>IF(D1087="","",IFERROR(INDEX('Sản phẩm'!$B$5:$B$304,MATCH(D1087,'Sản phẩm'!$A$5:$A$304,0)),""))</f>
        <v/>
      </c>
      <c r="F1087" s="12" t="n"/>
      <c r="G1087" s="11" t="n"/>
      <c r="H1087" s="11" t="n"/>
      <c r="I1087" s="16">
        <f>IF(D1087="","",IF(G1087&lt;&gt;"",G1087,IFERROR(INDEX('Sản phẩm'!$E$5:$E$304,MATCH(D1087,'Sản phẩm'!$A$5:$A$304,0)),"")))</f>
        <v/>
      </c>
      <c r="J1087" s="16">
        <f>IF(OR(D1087="",F1087=""),"",F1087*I1087-N(H1087))</f>
        <v/>
      </c>
      <c r="K1087" s="16">
        <f>IF(OR(D1087="",F1087=""),"",F1087*IFERROR(INDEX('Sản phẩm'!$D$5:$D$304,MATCH(D1087,'Sản phẩm'!$A$5:$A$304,0)),""))</f>
        <v/>
      </c>
      <c r="L1087" s="16">
        <f>IF(J1087="","",J1087-K1087)</f>
        <v/>
      </c>
      <c r="M1087" s="14">
        <f>IF(A1087="","",MONTH(A1087))</f>
        <v/>
      </c>
      <c r="N1087" s="14">
        <f>IF(A1087="","",YEAR(A1087))</f>
        <v/>
      </c>
    </row>
    <row r="1088">
      <c r="A1088" s="15" t="n"/>
      <c r="B1088" s="10" t="n"/>
      <c r="C1088" s="10" t="n"/>
      <c r="D1088" s="10" t="n"/>
      <c r="E1088" s="14">
        <f>IF(D1088="","",IFERROR(INDEX('Sản phẩm'!$B$5:$B$304,MATCH(D1088,'Sản phẩm'!$A$5:$A$304,0)),""))</f>
        <v/>
      </c>
      <c r="F1088" s="12" t="n"/>
      <c r="G1088" s="11" t="n"/>
      <c r="H1088" s="11" t="n"/>
      <c r="I1088" s="16">
        <f>IF(D1088="","",IF(G1088&lt;&gt;"",G1088,IFERROR(INDEX('Sản phẩm'!$E$5:$E$304,MATCH(D1088,'Sản phẩm'!$A$5:$A$304,0)),"")))</f>
        <v/>
      </c>
      <c r="J1088" s="16">
        <f>IF(OR(D1088="",F1088=""),"",F1088*I1088-N(H1088))</f>
        <v/>
      </c>
      <c r="K1088" s="16">
        <f>IF(OR(D1088="",F1088=""),"",F1088*IFERROR(INDEX('Sản phẩm'!$D$5:$D$304,MATCH(D1088,'Sản phẩm'!$A$5:$A$304,0)),""))</f>
        <v/>
      </c>
      <c r="L1088" s="16">
        <f>IF(J1088="","",J1088-K1088)</f>
        <v/>
      </c>
      <c r="M1088" s="14">
        <f>IF(A1088="","",MONTH(A1088))</f>
        <v/>
      </c>
      <c r="N1088" s="14">
        <f>IF(A1088="","",YEAR(A1088))</f>
        <v/>
      </c>
    </row>
    <row r="1089">
      <c r="A1089" s="15" t="n"/>
      <c r="B1089" s="10" t="n"/>
      <c r="C1089" s="10" t="n"/>
      <c r="D1089" s="10" t="n"/>
      <c r="E1089" s="14">
        <f>IF(D1089="","",IFERROR(INDEX('Sản phẩm'!$B$5:$B$304,MATCH(D1089,'Sản phẩm'!$A$5:$A$304,0)),""))</f>
        <v/>
      </c>
      <c r="F1089" s="12" t="n"/>
      <c r="G1089" s="11" t="n"/>
      <c r="H1089" s="11" t="n"/>
      <c r="I1089" s="16">
        <f>IF(D1089="","",IF(G1089&lt;&gt;"",G1089,IFERROR(INDEX('Sản phẩm'!$E$5:$E$304,MATCH(D1089,'Sản phẩm'!$A$5:$A$304,0)),"")))</f>
        <v/>
      </c>
      <c r="J1089" s="16">
        <f>IF(OR(D1089="",F1089=""),"",F1089*I1089-N(H1089))</f>
        <v/>
      </c>
      <c r="K1089" s="16">
        <f>IF(OR(D1089="",F1089=""),"",F1089*IFERROR(INDEX('Sản phẩm'!$D$5:$D$304,MATCH(D1089,'Sản phẩm'!$A$5:$A$304,0)),""))</f>
        <v/>
      </c>
      <c r="L1089" s="16">
        <f>IF(J1089="","",J1089-K1089)</f>
        <v/>
      </c>
      <c r="M1089" s="14">
        <f>IF(A1089="","",MONTH(A1089))</f>
        <v/>
      </c>
      <c r="N1089" s="14">
        <f>IF(A1089="","",YEAR(A1089))</f>
        <v/>
      </c>
    </row>
    <row r="1090">
      <c r="A1090" s="15" t="n"/>
      <c r="B1090" s="10" t="n"/>
      <c r="C1090" s="10" t="n"/>
      <c r="D1090" s="10" t="n"/>
      <c r="E1090" s="14">
        <f>IF(D1090="","",IFERROR(INDEX('Sản phẩm'!$B$5:$B$304,MATCH(D1090,'Sản phẩm'!$A$5:$A$304,0)),""))</f>
        <v/>
      </c>
      <c r="F1090" s="12" t="n"/>
      <c r="G1090" s="11" t="n"/>
      <c r="H1090" s="11" t="n"/>
      <c r="I1090" s="16">
        <f>IF(D1090="","",IF(G1090&lt;&gt;"",G1090,IFERROR(INDEX('Sản phẩm'!$E$5:$E$304,MATCH(D1090,'Sản phẩm'!$A$5:$A$304,0)),"")))</f>
        <v/>
      </c>
      <c r="J1090" s="16">
        <f>IF(OR(D1090="",F1090=""),"",F1090*I1090-N(H1090))</f>
        <v/>
      </c>
      <c r="K1090" s="16">
        <f>IF(OR(D1090="",F1090=""),"",F1090*IFERROR(INDEX('Sản phẩm'!$D$5:$D$304,MATCH(D1090,'Sản phẩm'!$A$5:$A$304,0)),""))</f>
        <v/>
      </c>
      <c r="L1090" s="16">
        <f>IF(J1090="","",J1090-K1090)</f>
        <v/>
      </c>
      <c r="M1090" s="14">
        <f>IF(A1090="","",MONTH(A1090))</f>
        <v/>
      </c>
      <c r="N1090" s="14">
        <f>IF(A1090="","",YEAR(A1090))</f>
        <v/>
      </c>
    </row>
    <row r="1091">
      <c r="A1091" s="15" t="n"/>
      <c r="B1091" s="10" t="n"/>
      <c r="C1091" s="10" t="n"/>
      <c r="D1091" s="10" t="n"/>
      <c r="E1091" s="14">
        <f>IF(D1091="","",IFERROR(INDEX('Sản phẩm'!$B$5:$B$304,MATCH(D1091,'Sản phẩm'!$A$5:$A$304,0)),""))</f>
        <v/>
      </c>
      <c r="F1091" s="12" t="n"/>
      <c r="G1091" s="11" t="n"/>
      <c r="H1091" s="11" t="n"/>
      <c r="I1091" s="16">
        <f>IF(D1091="","",IF(G1091&lt;&gt;"",G1091,IFERROR(INDEX('Sản phẩm'!$E$5:$E$304,MATCH(D1091,'Sản phẩm'!$A$5:$A$304,0)),"")))</f>
        <v/>
      </c>
      <c r="J1091" s="16">
        <f>IF(OR(D1091="",F1091=""),"",F1091*I1091-N(H1091))</f>
        <v/>
      </c>
      <c r="K1091" s="16">
        <f>IF(OR(D1091="",F1091=""),"",F1091*IFERROR(INDEX('Sản phẩm'!$D$5:$D$304,MATCH(D1091,'Sản phẩm'!$A$5:$A$304,0)),""))</f>
        <v/>
      </c>
      <c r="L1091" s="16">
        <f>IF(J1091="","",J1091-K1091)</f>
        <v/>
      </c>
      <c r="M1091" s="14">
        <f>IF(A1091="","",MONTH(A1091))</f>
        <v/>
      </c>
      <c r="N1091" s="14">
        <f>IF(A1091="","",YEAR(A1091))</f>
        <v/>
      </c>
    </row>
    <row r="1092">
      <c r="A1092" s="15" t="n"/>
      <c r="B1092" s="10" t="n"/>
      <c r="C1092" s="10" t="n"/>
      <c r="D1092" s="10" t="n"/>
      <c r="E1092" s="14">
        <f>IF(D1092="","",IFERROR(INDEX('Sản phẩm'!$B$5:$B$304,MATCH(D1092,'Sản phẩm'!$A$5:$A$304,0)),""))</f>
        <v/>
      </c>
      <c r="F1092" s="12" t="n"/>
      <c r="G1092" s="11" t="n"/>
      <c r="H1092" s="11" t="n"/>
      <c r="I1092" s="16">
        <f>IF(D1092="","",IF(G1092&lt;&gt;"",G1092,IFERROR(INDEX('Sản phẩm'!$E$5:$E$304,MATCH(D1092,'Sản phẩm'!$A$5:$A$304,0)),"")))</f>
        <v/>
      </c>
      <c r="J1092" s="16">
        <f>IF(OR(D1092="",F1092=""),"",F1092*I1092-N(H1092))</f>
        <v/>
      </c>
      <c r="K1092" s="16">
        <f>IF(OR(D1092="",F1092=""),"",F1092*IFERROR(INDEX('Sản phẩm'!$D$5:$D$304,MATCH(D1092,'Sản phẩm'!$A$5:$A$304,0)),""))</f>
        <v/>
      </c>
      <c r="L1092" s="16">
        <f>IF(J1092="","",J1092-K1092)</f>
        <v/>
      </c>
      <c r="M1092" s="14">
        <f>IF(A1092="","",MONTH(A1092))</f>
        <v/>
      </c>
      <c r="N1092" s="14">
        <f>IF(A1092="","",YEAR(A1092))</f>
        <v/>
      </c>
    </row>
    <row r="1093">
      <c r="A1093" s="15" t="n"/>
      <c r="B1093" s="10" t="n"/>
      <c r="C1093" s="10" t="n"/>
      <c r="D1093" s="10" t="n"/>
      <c r="E1093" s="14">
        <f>IF(D1093="","",IFERROR(INDEX('Sản phẩm'!$B$5:$B$304,MATCH(D1093,'Sản phẩm'!$A$5:$A$304,0)),""))</f>
        <v/>
      </c>
      <c r="F1093" s="12" t="n"/>
      <c r="G1093" s="11" t="n"/>
      <c r="H1093" s="11" t="n"/>
      <c r="I1093" s="16">
        <f>IF(D1093="","",IF(G1093&lt;&gt;"",G1093,IFERROR(INDEX('Sản phẩm'!$E$5:$E$304,MATCH(D1093,'Sản phẩm'!$A$5:$A$304,0)),"")))</f>
        <v/>
      </c>
      <c r="J1093" s="16">
        <f>IF(OR(D1093="",F1093=""),"",F1093*I1093-N(H1093))</f>
        <v/>
      </c>
      <c r="K1093" s="16">
        <f>IF(OR(D1093="",F1093=""),"",F1093*IFERROR(INDEX('Sản phẩm'!$D$5:$D$304,MATCH(D1093,'Sản phẩm'!$A$5:$A$304,0)),""))</f>
        <v/>
      </c>
      <c r="L1093" s="16">
        <f>IF(J1093="","",J1093-K1093)</f>
        <v/>
      </c>
      <c r="M1093" s="14">
        <f>IF(A1093="","",MONTH(A1093))</f>
        <v/>
      </c>
      <c r="N1093" s="14">
        <f>IF(A1093="","",YEAR(A1093))</f>
        <v/>
      </c>
    </row>
    <row r="1094">
      <c r="A1094" s="15" t="n"/>
      <c r="B1094" s="10" t="n"/>
      <c r="C1094" s="10" t="n"/>
      <c r="D1094" s="10" t="n"/>
      <c r="E1094" s="14">
        <f>IF(D1094="","",IFERROR(INDEX('Sản phẩm'!$B$5:$B$304,MATCH(D1094,'Sản phẩm'!$A$5:$A$304,0)),""))</f>
        <v/>
      </c>
      <c r="F1094" s="12" t="n"/>
      <c r="G1094" s="11" t="n"/>
      <c r="H1094" s="11" t="n"/>
      <c r="I1094" s="16">
        <f>IF(D1094="","",IF(G1094&lt;&gt;"",G1094,IFERROR(INDEX('Sản phẩm'!$E$5:$E$304,MATCH(D1094,'Sản phẩm'!$A$5:$A$304,0)),"")))</f>
        <v/>
      </c>
      <c r="J1094" s="16">
        <f>IF(OR(D1094="",F1094=""),"",F1094*I1094-N(H1094))</f>
        <v/>
      </c>
      <c r="K1094" s="16">
        <f>IF(OR(D1094="",F1094=""),"",F1094*IFERROR(INDEX('Sản phẩm'!$D$5:$D$304,MATCH(D1094,'Sản phẩm'!$A$5:$A$304,0)),""))</f>
        <v/>
      </c>
      <c r="L1094" s="16">
        <f>IF(J1094="","",J1094-K1094)</f>
        <v/>
      </c>
      <c r="M1094" s="14">
        <f>IF(A1094="","",MONTH(A1094))</f>
        <v/>
      </c>
      <c r="N1094" s="14">
        <f>IF(A1094="","",YEAR(A1094))</f>
        <v/>
      </c>
    </row>
    <row r="1095">
      <c r="A1095" s="15" t="n"/>
      <c r="B1095" s="10" t="n"/>
      <c r="C1095" s="10" t="n"/>
      <c r="D1095" s="10" t="n"/>
      <c r="E1095" s="14">
        <f>IF(D1095="","",IFERROR(INDEX('Sản phẩm'!$B$5:$B$304,MATCH(D1095,'Sản phẩm'!$A$5:$A$304,0)),""))</f>
        <v/>
      </c>
      <c r="F1095" s="12" t="n"/>
      <c r="G1095" s="11" t="n"/>
      <c r="H1095" s="11" t="n"/>
      <c r="I1095" s="16">
        <f>IF(D1095="","",IF(G1095&lt;&gt;"",G1095,IFERROR(INDEX('Sản phẩm'!$E$5:$E$304,MATCH(D1095,'Sản phẩm'!$A$5:$A$304,0)),"")))</f>
        <v/>
      </c>
      <c r="J1095" s="16">
        <f>IF(OR(D1095="",F1095=""),"",F1095*I1095-N(H1095))</f>
        <v/>
      </c>
      <c r="K1095" s="16">
        <f>IF(OR(D1095="",F1095=""),"",F1095*IFERROR(INDEX('Sản phẩm'!$D$5:$D$304,MATCH(D1095,'Sản phẩm'!$A$5:$A$304,0)),""))</f>
        <v/>
      </c>
      <c r="L1095" s="16">
        <f>IF(J1095="","",J1095-K1095)</f>
        <v/>
      </c>
      <c r="M1095" s="14">
        <f>IF(A1095="","",MONTH(A1095))</f>
        <v/>
      </c>
      <c r="N1095" s="14">
        <f>IF(A1095="","",YEAR(A1095))</f>
        <v/>
      </c>
    </row>
    <row r="1096">
      <c r="A1096" s="15" t="n"/>
      <c r="B1096" s="10" t="n"/>
      <c r="C1096" s="10" t="n"/>
      <c r="D1096" s="10" t="n"/>
      <c r="E1096" s="14">
        <f>IF(D1096="","",IFERROR(INDEX('Sản phẩm'!$B$5:$B$304,MATCH(D1096,'Sản phẩm'!$A$5:$A$304,0)),""))</f>
        <v/>
      </c>
      <c r="F1096" s="12" t="n"/>
      <c r="G1096" s="11" t="n"/>
      <c r="H1096" s="11" t="n"/>
      <c r="I1096" s="16">
        <f>IF(D1096="","",IF(G1096&lt;&gt;"",G1096,IFERROR(INDEX('Sản phẩm'!$E$5:$E$304,MATCH(D1096,'Sản phẩm'!$A$5:$A$304,0)),"")))</f>
        <v/>
      </c>
      <c r="J1096" s="16">
        <f>IF(OR(D1096="",F1096=""),"",F1096*I1096-N(H1096))</f>
        <v/>
      </c>
      <c r="K1096" s="16">
        <f>IF(OR(D1096="",F1096=""),"",F1096*IFERROR(INDEX('Sản phẩm'!$D$5:$D$304,MATCH(D1096,'Sản phẩm'!$A$5:$A$304,0)),""))</f>
        <v/>
      </c>
      <c r="L1096" s="16">
        <f>IF(J1096="","",J1096-K1096)</f>
        <v/>
      </c>
      <c r="M1096" s="14">
        <f>IF(A1096="","",MONTH(A1096))</f>
        <v/>
      </c>
      <c r="N1096" s="14">
        <f>IF(A1096="","",YEAR(A1096))</f>
        <v/>
      </c>
    </row>
    <row r="1097">
      <c r="A1097" s="15" t="n"/>
      <c r="B1097" s="10" t="n"/>
      <c r="C1097" s="10" t="n"/>
      <c r="D1097" s="10" t="n"/>
      <c r="E1097" s="14">
        <f>IF(D1097="","",IFERROR(INDEX('Sản phẩm'!$B$5:$B$304,MATCH(D1097,'Sản phẩm'!$A$5:$A$304,0)),""))</f>
        <v/>
      </c>
      <c r="F1097" s="12" t="n"/>
      <c r="G1097" s="11" t="n"/>
      <c r="H1097" s="11" t="n"/>
      <c r="I1097" s="16">
        <f>IF(D1097="","",IF(G1097&lt;&gt;"",G1097,IFERROR(INDEX('Sản phẩm'!$E$5:$E$304,MATCH(D1097,'Sản phẩm'!$A$5:$A$304,0)),"")))</f>
        <v/>
      </c>
      <c r="J1097" s="16">
        <f>IF(OR(D1097="",F1097=""),"",F1097*I1097-N(H1097))</f>
        <v/>
      </c>
      <c r="K1097" s="16">
        <f>IF(OR(D1097="",F1097=""),"",F1097*IFERROR(INDEX('Sản phẩm'!$D$5:$D$304,MATCH(D1097,'Sản phẩm'!$A$5:$A$304,0)),""))</f>
        <v/>
      </c>
      <c r="L1097" s="16">
        <f>IF(J1097="","",J1097-K1097)</f>
        <v/>
      </c>
      <c r="M1097" s="14">
        <f>IF(A1097="","",MONTH(A1097))</f>
        <v/>
      </c>
      <c r="N1097" s="14">
        <f>IF(A1097="","",YEAR(A1097))</f>
        <v/>
      </c>
    </row>
    <row r="1098">
      <c r="A1098" s="15" t="n"/>
      <c r="B1098" s="10" t="n"/>
      <c r="C1098" s="10" t="n"/>
      <c r="D1098" s="10" t="n"/>
      <c r="E1098" s="14">
        <f>IF(D1098="","",IFERROR(INDEX('Sản phẩm'!$B$5:$B$304,MATCH(D1098,'Sản phẩm'!$A$5:$A$304,0)),""))</f>
        <v/>
      </c>
      <c r="F1098" s="12" t="n"/>
      <c r="G1098" s="11" t="n"/>
      <c r="H1098" s="11" t="n"/>
      <c r="I1098" s="16">
        <f>IF(D1098="","",IF(G1098&lt;&gt;"",G1098,IFERROR(INDEX('Sản phẩm'!$E$5:$E$304,MATCH(D1098,'Sản phẩm'!$A$5:$A$304,0)),"")))</f>
        <v/>
      </c>
      <c r="J1098" s="16">
        <f>IF(OR(D1098="",F1098=""),"",F1098*I1098-N(H1098))</f>
        <v/>
      </c>
      <c r="K1098" s="16">
        <f>IF(OR(D1098="",F1098=""),"",F1098*IFERROR(INDEX('Sản phẩm'!$D$5:$D$304,MATCH(D1098,'Sản phẩm'!$A$5:$A$304,0)),""))</f>
        <v/>
      </c>
      <c r="L1098" s="16">
        <f>IF(J1098="","",J1098-K1098)</f>
        <v/>
      </c>
      <c r="M1098" s="14">
        <f>IF(A1098="","",MONTH(A1098))</f>
        <v/>
      </c>
      <c r="N1098" s="14">
        <f>IF(A1098="","",YEAR(A1098))</f>
        <v/>
      </c>
    </row>
    <row r="1099">
      <c r="A1099" s="15" t="n"/>
      <c r="B1099" s="10" t="n"/>
      <c r="C1099" s="10" t="n"/>
      <c r="D1099" s="10" t="n"/>
      <c r="E1099" s="14">
        <f>IF(D1099="","",IFERROR(INDEX('Sản phẩm'!$B$5:$B$304,MATCH(D1099,'Sản phẩm'!$A$5:$A$304,0)),""))</f>
        <v/>
      </c>
      <c r="F1099" s="12" t="n"/>
      <c r="G1099" s="11" t="n"/>
      <c r="H1099" s="11" t="n"/>
      <c r="I1099" s="16">
        <f>IF(D1099="","",IF(G1099&lt;&gt;"",G1099,IFERROR(INDEX('Sản phẩm'!$E$5:$E$304,MATCH(D1099,'Sản phẩm'!$A$5:$A$304,0)),"")))</f>
        <v/>
      </c>
      <c r="J1099" s="16">
        <f>IF(OR(D1099="",F1099=""),"",F1099*I1099-N(H1099))</f>
        <v/>
      </c>
      <c r="K1099" s="16">
        <f>IF(OR(D1099="",F1099=""),"",F1099*IFERROR(INDEX('Sản phẩm'!$D$5:$D$304,MATCH(D1099,'Sản phẩm'!$A$5:$A$304,0)),""))</f>
        <v/>
      </c>
      <c r="L1099" s="16">
        <f>IF(J1099="","",J1099-K1099)</f>
        <v/>
      </c>
      <c r="M1099" s="14">
        <f>IF(A1099="","",MONTH(A1099))</f>
        <v/>
      </c>
      <c r="N1099" s="14">
        <f>IF(A1099="","",YEAR(A1099))</f>
        <v/>
      </c>
    </row>
    <row r="1100">
      <c r="A1100" s="15" t="n"/>
      <c r="B1100" s="10" t="n"/>
      <c r="C1100" s="10" t="n"/>
      <c r="D1100" s="10" t="n"/>
      <c r="E1100" s="14">
        <f>IF(D1100="","",IFERROR(INDEX('Sản phẩm'!$B$5:$B$304,MATCH(D1100,'Sản phẩm'!$A$5:$A$304,0)),""))</f>
        <v/>
      </c>
      <c r="F1100" s="12" t="n"/>
      <c r="G1100" s="11" t="n"/>
      <c r="H1100" s="11" t="n"/>
      <c r="I1100" s="16">
        <f>IF(D1100="","",IF(G1100&lt;&gt;"",G1100,IFERROR(INDEX('Sản phẩm'!$E$5:$E$304,MATCH(D1100,'Sản phẩm'!$A$5:$A$304,0)),"")))</f>
        <v/>
      </c>
      <c r="J1100" s="16">
        <f>IF(OR(D1100="",F1100=""),"",F1100*I1100-N(H1100))</f>
        <v/>
      </c>
      <c r="K1100" s="16">
        <f>IF(OR(D1100="",F1100=""),"",F1100*IFERROR(INDEX('Sản phẩm'!$D$5:$D$304,MATCH(D1100,'Sản phẩm'!$A$5:$A$304,0)),""))</f>
        <v/>
      </c>
      <c r="L1100" s="16">
        <f>IF(J1100="","",J1100-K1100)</f>
        <v/>
      </c>
      <c r="M1100" s="14">
        <f>IF(A1100="","",MONTH(A1100))</f>
        <v/>
      </c>
      <c r="N1100" s="14">
        <f>IF(A1100="","",YEAR(A1100))</f>
        <v/>
      </c>
    </row>
    <row r="1101">
      <c r="A1101" s="15" t="n"/>
      <c r="B1101" s="10" t="n"/>
      <c r="C1101" s="10" t="n"/>
      <c r="D1101" s="10" t="n"/>
      <c r="E1101" s="14">
        <f>IF(D1101="","",IFERROR(INDEX('Sản phẩm'!$B$5:$B$304,MATCH(D1101,'Sản phẩm'!$A$5:$A$304,0)),""))</f>
        <v/>
      </c>
      <c r="F1101" s="12" t="n"/>
      <c r="G1101" s="11" t="n"/>
      <c r="H1101" s="11" t="n"/>
      <c r="I1101" s="16">
        <f>IF(D1101="","",IF(G1101&lt;&gt;"",G1101,IFERROR(INDEX('Sản phẩm'!$E$5:$E$304,MATCH(D1101,'Sản phẩm'!$A$5:$A$304,0)),"")))</f>
        <v/>
      </c>
      <c r="J1101" s="16">
        <f>IF(OR(D1101="",F1101=""),"",F1101*I1101-N(H1101))</f>
        <v/>
      </c>
      <c r="K1101" s="16">
        <f>IF(OR(D1101="",F1101=""),"",F1101*IFERROR(INDEX('Sản phẩm'!$D$5:$D$304,MATCH(D1101,'Sản phẩm'!$A$5:$A$304,0)),""))</f>
        <v/>
      </c>
      <c r="L1101" s="16">
        <f>IF(J1101="","",J1101-K1101)</f>
        <v/>
      </c>
      <c r="M1101" s="14">
        <f>IF(A1101="","",MONTH(A1101))</f>
        <v/>
      </c>
      <c r="N1101" s="14">
        <f>IF(A1101="","",YEAR(A1101))</f>
        <v/>
      </c>
    </row>
    <row r="1102">
      <c r="A1102" s="15" t="n"/>
      <c r="B1102" s="10" t="n"/>
      <c r="C1102" s="10" t="n"/>
      <c r="D1102" s="10" t="n"/>
      <c r="E1102" s="14">
        <f>IF(D1102="","",IFERROR(INDEX('Sản phẩm'!$B$5:$B$304,MATCH(D1102,'Sản phẩm'!$A$5:$A$304,0)),""))</f>
        <v/>
      </c>
      <c r="F1102" s="12" t="n"/>
      <c r="G1102" s="11" t="n"/>
      <c r="H1102" s="11" t="n"/>
      <c r="I1102" s="16">
        <f>IF(D1102="","",IF(G1102&lt;&gt;"",G1102,IFERROR(INDEX('Sản phẩm'!$E$5:$E$304,MATCH(D1102,'Sản phẩm'!$A$5:$A$304,0)),"")))</f>
        <v/>
      </c>
      <c r="J1102" s="16">
        <f>IF(OR(D1102="",F1102=""),"",F1102*I1102-N(H1102))</f>
        <v/>
      </c>
      <c r="K1102" s="16">
        <f>IF(OR(D1102="",F1102=""),"",F1102*IFERROR(INDEX('Sản phẩm'!$D$5:$D$304,MATCH(D1102,'Sản phẩm'!$A$5:$A$304,0)),""))</f>
        <v/>
      </c>
      <c r="L1102" s="16">
        <f>IF(J1102="","",J1102-K1102)</f>
        <v/>
      </c>
      <c r="M1102" s="14">
        <f>IF(A1102="","",MONTH(A1102))</f>
        <v/>
      </c>
      <c r="N1102" s="14">
        <f>IF(A1102="","",YEAR(A1102))</f>
        <v/>
      </c>
    </row>
    <row r="1103">
      <c r="A1103" s="15" t="n"/>
      <c r="B1103" s="10" t="n"/>
      <c r="C1103" s="10" t="n"/>
      <c r="D1103" s="10" t="n"/>
      <c r="E1103" s="14">
        <f>IF(D1103="","",IFERROR(INDEX('Sản phẩm'!$B$5:$B$304,MATCH(D1103,'Sản phẩm'!$A$5:$A$304,0)),""))</f>
        <v/>
      </c>
      <c r="F1103" s="12" t="n"/>
      <c r="G1103" s="11" t="n"/>
      <c r="H1103" s="11" t="n"/>
      <c r="I1103" s="16">
        <f>IF(D1103="","",IF(G1103&lt;&gt;"",G1103,IFERROR(INDEX('Sản phẩm'!$E$5:$E$304,MATCH(D1103,'Sản phẩm'!$A$5:$A$304,0)),"")))</f>
        <v/>
      </c>
      <c r="J1103" s="16">
        <f>IF(OR(D1103="",F1103=""),"",F1103*I1103-N(H1103))</f>
        <v/>
      </c>
      <c r="K1103" s="16">
        <f>IF(OR(D1103="",F1103=""),"",F1103*IFERROR(INDEX('Sản phẩm'!$D$5:$D$304,MATCH(D1103,'Sản phẩm'!$A$5:$A$304,0)),""))</f>
        <v/>
      </c>
      <c r="L1103" s="16">
        <f>IF(J1103="","",J1103-K1103)</f>
        <v/>
      </c>
      <c r="M1103" s="14">
        <f>IF(A1103="","",MONTH(A1103))</f>
        <v/>
      </c>
      <c r="N1103" s="14">
        <f>IF(A1103="","",YEAR(A1103))</f>
        <v/>
      </c>
    </row>
    <row r="1104">
      <c r="A1104" s="15" t="n"/>
      <c r="B1104" s="10" t="n"/>
      <c r="C1104" s="10" t="n"/>
      <c r="D1104" s="10" t="n"/>
      <c r="E1104" s="14">
        <f>IF(D1104="","",IFERROR(INDEX('Sản phẩm'!$B$5:$B$304,MATCH(D1104,'Sản phẩm'!$A$5:$A$304,0)),""))</f>
        <v/>
      </c>
      <c r="F1104" s="12" t="n"/>
      <c r="G1104" s="11" t="n"/>
      <c r="H1104" s="11" t="n"/>
      <c r="I1104" s="16">
        <f>IF(D1104="","",IF(G1104&lt;&gt;"",G1104,IFERROR(INDEX('Sản phẩm'!$E$5:$E$304,MATCH(D1104,'Sản phẩm'!$A$5:$A$304,0)),"")))</f>
        <v/>
      </c>
      <c r="J1104" s="16">
        <f>IF(OR(D1104="",F1104=""),"",F1104*I1104-N(H1104))</f>
        <v/>
      </c>
      <c r="K1104" s="16">
        <f>IF(OR(D1104="",F1104=""),"",F1104*IFERROR(INDEX('Sản phẩm'!$D$5:$D$304,MATCH(D1104,'Sản phẩm'!$A$5:$A$304,0)),""))</f>
        <v/>
      </c>
      <c r="L1104" s="16">
        <f>IF(J1104="","",J1104-K1104)</f>
        <v/>
      </c>
      <c r="M1104" s="14">
        <f>IF(A1104="","",MONTH(A1104))</f>
        <v/>
      </c>
      <c r="N1104" s="14">
        <f>IF(A1104="","",YEAR(A1104))</f>
        <v/>
      </c>
    </row>
    <row r="1105">
      <c r="A1105" s="15" t="n"/>
      <c r="B1105" s="10" t="n"/>
      <c r="C1105" s="10" t="n"/>
      <c r="D1105" s="10" t="n"/>
      <c r="E1105" s="14">
        <f>IF(D1105="","",IFERROR(INDEX('Sản phẩm'!$B$5:$B$304,MATCH(D1105,'Sản phẩm'!$A$5:$A$304,0)),""))</f>
        <v/>
      </c>
      <c r="F1105" s="12" t="n"/>
      <c r="G1105" s="11" t="n"/>
      <c r="H1105" s="11" t="n"/>
      <c r="I1105" s="16">
        <f>IF(D1105="","",IF(G1105&lt;&gt;"",G1105,IFERROR(INDEX('Sản phẩm'!$E$5:$E$304,MATCH(D1105,'Sản phẩm'!$A$5:$A$304,0)),"")))</f>
        <v/>
      </c>
      <c r="J1105" s="16">
        <f>IF(OR(D1105="",F1105=""),"",F1105*I1105-N(H1105))</f>
        <v/>
      </c>
      <c r="K1105" s="16">
        <f>IF(OR(D1105="",F1105=""),"",F1105*IFERROR(INDEX('Sản phẩm'!$D$5:$D$304,MATCH(D1105,'Sản phẩm'!$A$5:$A$304,0)),""))</f>
        <v/>
      </c>
      <c r="L1105" s="16">
        <f>IF(J1105="","",J1105-K1105)</f>
        <v/>
      </c>
      <c r="M1105" s="14">
        <f>IF(A1105="","",MONTH(A1105))</f>
        <v/>
      </c>
      <c r="N1105" s="14">
        <f>IF(A1105="","",YEAR(A1105))</f>
        <v/>
      </c>
    </row>
    <row r="1106">
      <c r="A1106" s="15" t="n"/>
      <c r="B1106" s="10" t="n"/>
      <c r="C1106" s="10" t="n"/>
      <c r="D1106" s="10" t="n"/>
      <c r="E1106" s="14">
        <f>IF(D1106="","",IFERROR(INDEX('Sản phẩm'!$B$5:$B$304,MATCH(D1106,'Sản phẩm'!$A$5:$A$304,0)),""))</f>
        <v/>
      </c>
      <c r="F1106" s="12" t="n"/>
      <c r="G1106" s="11" t="n"/>
      <c r="H1106" s="11" t="n"/>
      <c r="I1106" s="16">
        <f>IF(D1106="","",IF(G1106&lt;&gt;"",G1106,IFERROR(INDEX('Sản phẩm'!$E$5:$E$304,MATCH(D1106,'Sản phẩm'!$A$5:$A$304,0)),"")))</f>
        <v/>
      </c>
      <c r="J1106" s="16">
        <f>IF(OR(D1106="",F1106=""),"",F1106*I1106-N(H1106))</f>
        <v/>
      </c>
      <c r="K1106" s="16">
        <f>IF(OR(D1106="",F1106=""),"",F1106*IFERROR(INDEX('Sản phẩm'!$D$5:$D$304,MATCH(D1106,'Sản phẩm'!$A$5:$A$304,0)),""))</f>
        <v/>
      </c>
      <c r="L1106" s="16">
        <f>IF(J1106="","",J1106-K1106)</f>
        <v/>
      </c>
      <c r="M1106" s="14">
        <f>IF(A1106="","",MONTH(A1106))</f>
        <v/>
      </c>
      <c r="N1106" s="14">
        <f>IF(A1106="","",YEAR(A1106))</f>
        <v/>
      </c>
    </row>
    <row r="1107">
      <c r="A1107" s="15" t="n"/>
      <c r="B1107" s="10" t="n"/>
      <c r="C1107" s="10" t="n"/>
      <c r="D1107" s="10" t="n"/>
      <c r="E1107" s="14">
        <f>IF(D1107="","",IFERROR(INDEX('Sản phẩm'!$B$5:$B$304,MATCH(D1107,'Sản phẩm'!$A$5:$A$304,0)),""))</f>
        <v/>
      </c>
      <c r="F1107" s="12" t="n"/>
      <c r="G1107" s="11" t="n"/>
      <c r="H1107" s="11" t="n"/>
      <c r="I1107" s="16">
        <f>IF(D1107="","",IF(G1107&lt;&gt;"",G1107,IFERROR(INDEX('Sản phẩm'!$E$5:$E$304,MATCH(D1107,'Sản phẩm'!$A$5:$A$304,0)),"")))</f>
        <v/>
      </c>
      <c r="J1107" s="16">
        <f>IF(OR(D1107="",F1107=""),"",F1107*I1107-N(H1107))</f>
        <v/>
      </c>
      <c r="K1107" s="16">
        <f>IF(OR(D1107="",F1107=""),"",F1107*IFERROR(INDEX('Sản phẩm'!$D$5:$D$304,MATCH(D1107,'Sản phẩm'!$A$5:$A$304,0)),""))</f>
        <v/>
      </c>
      <c r="L1107" s="16">
        <f>IF(J1107="","",J1107-K1107)</f>
        <v/>
      </c>
      <c r="M1107" s="14">
        <f>IF(A1107="","",MONTH(A1107))</f>
        <v/>
      </c>
      <c r="N1107" s="14">
        <f>IF(A1107="","",YEAR(A1107))</f>
        <v/>
      </c>
    </row>
    <row r="1108">
      <c r="A1108" s="15" t="n"/>
      <c r="B1108" s="10" t="n"/>
      <c r="C1108" s="10" t="n"/>
      <c r="D1108" s="10" t="n"/>
      <c r="E1108" s="14">
        <f>IF(D1108="","",IFERROR(INDEX('Sản phẩm'!$B$5:$B$304,MATCH(D1108,'Sản phẩm'!$A$5:$A$304,0)),""))</f>
        <v/>
      </c>
      <c r="F1108" s="12" t="n"/>
      <c r="G1108" s="11" t="n"/>
      <c r="H1108" s="11" t="n"/>
      <c r="I1108" s="16">
        <f>IF(D1108="","",IF(G1108&lt;&gt;"",G1108,IFERROR(INDEX('Sản phẩm'!$E$5:$E$304,MATCH(D1108,'Sản phẩm'!$A$5:$A$304,0)),"")))</f>
        <v/>
      </c>
      <c r="J1108" s="16">
        <f>IF(OR(D1108="",F1108=""),"",F1108*I1108-N(H1108))</f>
        <v/>
      </c>
      <c r="K1108" s="16">
        <f>IF(OR(D1108="",F1108=""),"",F1108*IFERROR(INDEX('Sản phẩm'!$D$5:$D$304,MATCH(D1108,'Sản phẩm'!$A$5:$A$304,0)),""))</f>
        <v/>
      </c>
      <c r="L1108" s="16">
        <f>IF(J1108="","",J1108-K1108)</f>
        <v/>
      </c>
      <c r="M1108" s="14">
        <f>IF(A1108="","",MONTH(A1108))</f>
        <v/>
      </c>
      <c r="N1108" s="14">
        <f>IF(A1108="","",YEAR(A1108))</f>
        <v/>
      </c>
    </row>
    <row r="1109">
      <c r="A1109" s="15" t="n"/>
      <c r="B1109" s="10" t="n"/>
      <c r="C1109" s="10" t="n"/>
      <c r="D1109" s="10" t="n"/>
      <c r="E1109" s="14">
        <f>IF(D1109="","",IFERROR(INDEX('Sản phẩm'!$B$5:$B$304,MATCH(D1109,'Sản phẩm'!$A$5:$A$304,0)),""))</f>
        <v/>
      </c>
      <c r="F1109" s="12" t="n"/>
      <c r="G1109" s="11" t="n"/>
      <c r="H1109" s="11" t="n"/>
      <c r="I1109" s="16">
        <f>IF(D1109="","",IF(G1109&lt;&gt;"",G1109,IFERROR(INDEX('Sản phẩm'!$E$5:$E$304,MATCH(D1109,'Sản phẩm'!$A$5:$A$304,0)),"")))</f>
        <v/>
      </c>
      <c r="J1109" s="16">
        <f>IF(OR(D1109="",F1109=""),"",F1109*I1109-N(H1109))</f>
        <v/>
      </c>
      <c r="K1109" s="16">
        <f>IF(OR(D1109="",F1109=""),"",F1109*IFERROR(INDEX('Sản phẩm'!$D$5:$D$304,MATCH(D1109,'Sản phẩm'!$A$5:$A$304,0)),""))</f>
        <v/>
      </c>
      <c r="L1109" s="16">
        <f>IF(J1109="","",J1109-K1109)</f>
        <v/>
      </c>
      <c r="M1109" s="14">
        <f>IF(A1109="","",MONTH(A1109))</f>
        <v/>
      </c>
      <c r="N1109" s="14">
        <f>IF(A1109="","",YEAR(A1109))</f>
        <v/>
      </c>
    </row>
    <row r="1110">
      <c r="A1110" s="15" t="n"/>
      <c r="B1110" s="10" t="n"/>
      <c r="C1110" s="10" t="n"/>
      <c r="D1110" s="10" t="n"/>
      <c r="E1110" s="14">
        <f>IF(D1110="","",IFERROR(INDEX('Sản phẩm'!$B$5:$B$304,MATCH(D1110,'Sản phẩm'!$A$5:$A$304,0)),""))</f>
        <v/>
      </c>
      <c r="F1110" s="12" t="n"/>
      <c r="G1110" s="11" t="n"/>
      <c r="H1110" s="11" t="n"/>
      <c r="I1110" s="16">
        <f>IF(D1110="","",IF(G1110&lt;&gt;"",G1110,IFERROR(INDEX('Sản phẩm'!$E$5:$E$304,MATCH(D1110,'Sản phẩm'!$A$5:$A$304,0)),"")))</f>
        <v/>
      </c>
      <c r="J1110" s="16">
        <f>IF(OR(D1110="",F1110=""),"",F1110*I1110-N(H1110))</f>
        <v/>
      </c>
      <c r="K1110" s="16">
        <f>IF(OR(D1110="",F1110=""),"",F1110*IFERROR(INDEX('Sản phẩm'!$D$5:$D$304,MATCH(D1110,'Sản phẩm'!$A$5:$A$304,0)),""))</f>
        <v/>
      </c>
      <c r="L1110" s="16">
        <f>IF(J1110="","",J1110-K1110)</f>
        <v/>
      </c>
      <c r="M1110" s="14">
        <f>IF(A1110="","",MONTH(A1110))</f>
        <v/>
      </c>
      <c r="N1110" s="14">
        <f>IF(A1110="","",YEAR(A1110))</f>
        <v/>
      </c>
    </row>
    <row r="1111">
      <c r="A1111" s="15" t="n"/>
      <c r="B1111" s="10" t="n"/>
      <c r="C1111" s="10" t="n"/>
      <c r="D1111" s="10" t="n"/>
      <c r="E1111" s="14">
        <f>IF(D1111="","",IFERROR(INDEX('Sản phẩm'!$B$5:$B$304,MATCH(D1111,'Sản phẩm'!$A$5:$A$304,0)),""))</f>
        <v/>
      </c>
      <c r="F1111" s="12" t="n"/>
      <c r="G1111" s="11" t="n"/>
      <c r="H1111" s="11" t="n"/>
      <c r="I1111" s="16">
        <f>IF(D1111="","",IF(G1111&lt;&gt;"",G1111,IFERROR(INDEX('Sản phẩm'!$E$5:$E$304,MATCH(D1111,'Sản phẩm'!$A$5:$A$304,0)),"")))</f>
        <v/>
      </c>
      <c r="J1111" s="16">
        <f>IF(OR(D1111="",F1111=""),"",F1111*I1111-N(H1111))</f>
        <v/>
      </c>
      <c r="K1111" s="16">
        <f>IF(OR(D1111="",F1111=""),"",F1111*IFERROR(INDEX('Sản phẩm'!$D$5:$D$304,MATCH(D1111,'Sản phẩm'!$A$5:$A$304,0)),""))</f>
        <v/>
      </c>
      <c r="L1111" s="16">
        <f>IF(J1111="","",J1111-K1111)</f>
        <v/>
      </c>
      <c r="M1111" s="14">
        <f>IF(A1111="","",MONTH(A1111))</f>
        <v/>
      </c>
      <c r="N1111" s="14">
        <f>IF(A1111="","",YEAR(A1111))</f>
        <v/>
      </c>
    </row>
    <row r="1112">
      <c r="A1112" s="15" t="n"/>
      <c r="B1112" s="10" t="n"/>
      <c r="C1112" s="10" t="n"/>
      <c r="D1112" s="10" t="n"/>
      <c r="E1112" s="14">
        <f>IF(D1112="","",IFERROR(INDEX('Sản phẩm'!$B$5:$B$304,MATCH(D1112,'Sản phẩm'!$A$5:$A$304,0)),""))</f>
        <v/>
      </c>
      <c r="F1112" s="12" t="n"/>
      <c r="G1112" s="11" t="n"/>
      <c r="H1112" s="11" t="n"/>
      <c r="I1112" s="16">
        <f>IF(D1112="","",IF(G1112&lt;&gt;"",G1112,IFERROR(INDEX('Sản phẩm'!$E$5:$E$304,MATCH(D1112,'Sản phẩm'!$A$5:$A$304,0)),"")))</f>
        <v/>
      </c>
      <c r="J1112" s="16">
        <f>IF(OR(D1112="",F1112=""),"",F1112*I1112-N(H1112))</f>
        <v/>
      </c>
      <c r="K1112" s="16">
        <f>IF(OR(D1112="",F1112=""),"",F1112*IFERROR(INDEX('Sản phẩm'!$D$5:$D$304,MATCH(D1112,'Sản phẩm'!$A$5:$A$304,0)),""))</f>
        <v/>
      </c>
      <c r="L1112" s="16">
        <f>IF(J1112="","",J1112-K1112)</f>
        <v/>
      </c>
      <c r="M1112" s="14">
        <f>IF(A1112="","",MONTH(A1112))</f>
        <v/>
      </c>
      <c r="N1112" s="14">
        <f>IF(A1112="","",YEAR(A1112))</f>
        <v/>
      </c>
    </row>
    <row r="1113">
      <c r="A1113" s="15" t="n"/>
      <c r="B1113" s="10" t="n"/>
      <c r="C1113" s="10" t="n"/>
      <c r="D1113" s="10" t="n"/>
      <c r="E1113" s="14">
        <f>IF(D1113="","",IFERROR(INDEX('Sản phẩm'!$B$5:$B$304,MATCH(D1113,'Sản phẩm'!$A$5:$A$304,0)),""))</f>
        <v/>
      </c>
      <c r="F1113" s="12" t="n"/>
      <c r="G1113" s="11" t="n"/>
      <c r="H1113" s="11" t="n"/>
      <c r="I1113" s="16">
        <f>IF(D1113="","",IF(G1113&lt;&gt;"",G1113,IFERROR(INDEX('Sản phẩm'!$E$5:$E$304,MATCH(D1113,'Sản phẩm'!$A$5:$A$304,0)),"")))</f>
        <v/>
      </c>
      <c r="J1113" s="16">
        <f>IF(OR(D1113="",F1113=""),"",F1113*I1113-N(H1113))</f>
        <v/>
      </c>
      <c r="K1113" s="16">
        <f>IF(OR(D1113="",F1113=""),"",F1113*IFERROR(INDEX('Sản phẩm'!$D$5:$D$304,MATCH(D1113,'Sản phẩm'!$A$5:$A$304,0)),""))</f>
        <v/>
      </c>
      <c r="L1113" s="16">
        <f>IF(J1113="","",J1113-K1113)</f>
        <v/>
      </c>
      <c r="M1113" s="14">
        <f>IF(A1113="","",MONTH(A1113))</f>
        <v/>
      </c>
      <c r="N1113" s="14">
        <f>IF(A1113="","",YEAR(A1113))</f>
        <v/>
      </c>
    </row>
    <row r="1114">
      <c r="A1114" s="15" t="n"/>
      <c r="B1114" s="10" t="n"/>
      <c r="C1114" s="10" t="n"/>
      <c r="D1114" s="10" t="n"/>
      <c r="E1114" s="14">
        <f>IF(D1114="","",IFERROR(INDEX('Sản phẩm'!$B$5:$B$304,MATCH(D1114,'Sản phẩm'!$A$5:$A$304,0)),""))</f>
        <v/>
      </c>
      <c r="F1114" s="12" t="n"/>
      <c r="G1114" s="11" t="n"/>
      <c r="H1114" s="11" t="n"/>
      <c r="I1114" s="16">
        <f>IF(D1114="","",IF(G1114&lt;&gt;"",G1114,IFERROR(INDEX('Sản phẩm'!$E$5:$E$304,MATCH(D1114,'Sản phẩm'!$A$5:$A$304,0)),"")))</f>
        <v/>
      </c>
      <c r="J1114" s="16">
        <f>IF(OR(D1114="",F1114=""),"",F1114*I1114-N(H1114))</f>
        <v/>
      </c>
      <c r="K1114" s="16">
        <f>IF(OR(D1114="",F1114=""),"",F1114*IFERROR(INDEX('Sản phẩm'!$D$5:$D$304,MATCH(D1114,'Sản phẩm'!$A$5:$A$304,0)),""))</f>
        <v/>
      </c>
      <c r="L1114" s="16">
        <f>IF(J1114="","",J1114-K1114)</f>
        <v/>
      </c>
      <c r="M1114" s="14">
        <f>IF(A1114="","",MONTH(A1114))</f>
        <v/>
      </c>
      <c r="N1114" s="14">
        <f>IF(A1114="","",YEAR(A1114))</f>
        <v/>
      </c>
    </row>
    <row r="1115">
      <c r="A1115" s="15" t="n"/>
      <c r="B1115" s="10" t="n"/>
      <c r="C1115" s="10" t="n"/>
      <c r="D1115" s="10" t="n"/>
      <c r="E1115" s="14">
        <f>IF(D1115="","",IFERROR(INDEX('Sản phẩm'!$B$5:$B$304,MATCH(D1115,'Sản phẩm'!$A$5:$A$304,0)),""))</f>
        <v/>
      </c>
      <c r="F1115" s="12" t="n"/>
      <c r="G1115" s="11" t="n"/>
      <c r="H1115" s="11" t="n"/>
      <c r="I1115" s="16">
        <f>IF(D1115="","",IF(G1115&lt;&gt;"",G1115,IFERROR(INDEX('Sản phẩm'!$E$5:$E$304,MATCH(D1115,'Sản phẩm'!$A$5:$A$304,0)),"")))</f>
        <v/>
      </c>
      <c r="J1115" s="16">
        <f>IF(OR(D1115="",F1115=""),"",F1115*I1115-N(H1115))</f>
        <v/>
      </c>
      <c r="K1115" s="16">
        <f>IF(OR(D1115="",F1115=""),"",F1115*IFERROR(INDEX('Sản phẩm'!$D$5:$D$304,MATCH(D1115,'Sản phẩm'!$A$5:$A$304,0)),""))</f>
        <v/>
      </c>
      <c r="L1115" s="16">
        <f>IF(J1115="","",J1115-K1115)</f>
        <v/>
      </c>
      <c r="M1115" s="14">
        <f>IF(A1115="","",MONTH(A1115))</f>
        <v/>
      </c>
      <c r="N1115" s="14">
        <f>IF(A1115="","",YEAR(A1115))</f>
        <v/>
      </c>
    </row>
    <row r="1116">
      <c r="A1116" s="15" t="n"/>
      <c r="B1116" s="10" t="n"/>
      <c r="C1116" s="10" t="n"/>
      <c r="D1116" s="10" t="n"/>
      <c r="E1116" s="14">
        <f>IF(D1116="","",IFERROR(INDEX('Sản phẩm'!$B$5:$B$304,MATCH(D1116,'Sản phẩm'!$A$5:$A$304,0)),""))</f>
        <v/>
      </c>
      <c r="F1116" s="12" t="n"/>
      <c r="G1116" s="11" t="n"/>
      <c r="H1116" s="11" t="n"/>
      <c r="I1116" s="16">
        <f>IF(D1116="","",IF(G1116&lt;&gt;"",G1116,IFERROR(INDEX('Sản phẩm'!$E$5:$E$304,MATCH(D1116,'Sản phẩm'!$A$5:$A$304,0)),"")))</f>
        <v/>
      </c>
      <c r="J1116" s="16">
        <f>IF(OR(D1116="",F1116=""),"",F1116*I1116-N(H1116))</f>
        <v/>
      </c>
      <c r="K1116" s="16">
        <f>IF(OR(D1116="",F1116=""),"",F1116*IFERROR(INDEX('Sản phẩm'!$D$5:$D$304,MATCH(D1116,'Sản phẩm'!$A$5:$A$304,0)),""))</f>
        <v/>
      </c>
      <c r="L1116" s="16">
        <f>IF(J1116="","",J1116-K1116)</f>
        <v/>
      </c>
      <c r="M1116" s="14">
        <f>IF(A1116="","",MONTH(A1116))</f>
        <v/>
      </c>
      <c r="N1116" s="14">
        <f>IF(A1116="","",YEAR(A1116))</f>
        <v/>
      </c>
    </row>
    <row r="1117">
      <c r="A1117" s="15" t="n"/>
      <c r="B1117" s="10" t="n"/>
      <c r="C1117" s="10" t="n"/>
      <c r="D1117" s="10" t="n"/>
      <c r="E1117" s="14">
        <f>IF(D1117="","",IFERROR(INDEX('Sản phẩm'!$B$5:$B$304,MATCH(D1117,'Sản phẩm'!$A$5:$A$304,0)),""))</f>
        <v/>
      </c>
      <c r="F1117" s="12" t="n"/>
      <c r="G1117" s="11" t="n"/>
      <c r="H1117" s="11" t="n"/>
      <c r="I1117" s="16">
        <f>IF(D1117="","",IF(G1117&lt;&gt;"",G1117,IFERROR(INDEX('Sản phẩm'!$E$5:$E$304,MATCH(D1117,'Sản phẩm'!$A$5:$A$304,0)),"")))</f>
        <v/>
      </c>
      <c r="J1117" s="16">
        <f>IF(OR(D1117="",F1117=""),"",F1117*I1117-N(H1117))</f>
        <v/>
      </c>
      <c r="K1117" s="16">
        <f>IF(OR(D1117="",F1117=""),"",F1117*IFERROR(INDEX('Sản phẩm'!$D$5:$D$304,MATCH(D1117,'Sản phẩm'!$A$5:$A$304,0)),""))</f>
        <v/>
      </c>
      <c r="L1117" s="16">
        <f>IF(J1117="","",J1117-K1117)</f>
        <v/>
      </c>
      <c r="M1117" s="14">
        <f>IF(A1117="","",MONTH(A1117))</f>
        <v/>
      </c>
      <c r="N1117" s="14">
        <f>IF(A1117="","",YEAR(A1117))</f>
        <v/>
      </c>
    </row>
    <row r="1118">
      <c r="A1118" s="15" t="n"/>
      <c r="B1118" s="10" t="n"/>
      <c r="C1118" s="10" t="n"/>
      <c r="D1118" s="10" t="n"/>
      <c r="E1118" s="14">
        <f>IF(D1118="","",IFERROR(INDEX('Sản phẩm'!$B$5:$B$304,MATCH(D1118,'Sản phẩm'!$A$5:$A$304,0)),""))</f>
        <v/>
      </c>
      <c r="F1118" s="12" t="n"/>
      <c r="G1118" s="11" t="n"/>
      <c r="H1118" s="11" t="n"/>
      <c r="I1118" s="16">
        <f>IF(D1118="","",IF(G1118&lt;&gt;"",G1118,IFERROR(INDEX('Sản phẩm'!$E$5:$E$304,MATCH(D1118,'Sản phẩm'!$A$5:$A$304,0)),"")))</f>
        <v/>
      </c>
      <c r="J1118" s="16">
        <f>IF(OR(D1118="",F1118=""),"",F1118*I1118-N(H1118))</f>
        <v/>
      </c>
      <c r="K1118" s="16">
        <f>IF(OR(D1118="",F1118=""),"",F1118*IFERROR(INDEX('Sản phẩm'!$D$5:$D$304,MATCH(D1118,'Sản phẩm'!$A$5:$A$304,0)),""))</f>
        <v/>
      </c>
      <c r="L1118" s="16">
        <f>IF(J1118="","",J1118-K1118)</f>
        <v/>
      </c>
      <c r="M1118" s="14">
        <f>IF(A1118="","",MONTH(A1118))</f>
        <v/>
      </c>
      <c r="N1118" s="14">
        <f>IF(A1118="","",YEAR(A1118))</f>
        <v/>
      </c>
    </row>
    <row r="1119">
      <c r="A1119" s="15" t="n"/>
      <c r="B1119" s="10" t="n"/>
      <c r="C1119" s="10" t="n"/>
      <c r="D1119" s="10" t="n"/>
      <c r="E1119" s="14">
        <f>IF(D1119="","",IFERROR(INDEX('Sản phẩm'!$B$5:$B$304,MATCH(D1119,'Sản phẩm'!$A$5:$A$304,0)),""))</f>
        <v/>
      </c>
      <c r="F1119" s="12" t="n"/>
      <c r="G1119" s="11" t="n"/>
      <c r="H1119" s="11" t="n"/>
      <c r="I1119" s="16">
        <f>IF(D1119="","",IF(G1119&lt;&gt;"",G1119,IFERROR(INDEX('Sản phẩm'!$E$5:$E$304,MATCH(D1119,'Sản phẩm'!$A$5:$A$304,0)),"")))</f>
        <v/>
      </c>
      <c r="J1119" s="16">
        <f>IF(OR(D1119="",F1119=""),"",F1119*I1119-N(H1119))</f>
        <v/>
      </c>
      <c r="K1119" s="16">
        <f>IF(OR(D1119="",F1119=""),"",F1119*IFERROR(INDEX('Sản phẩm'!$D$5:$D$304,MATCH(D1119,'Sản phẩm'!$A$5:$A$304,0)),""))</f>
        <v/>
      </c>
      <c r="L1119" s="16">
        <f>IF(J1119="","",J1119-K1119)</f>
        <v/>
      </c>
      <c r="M1119" s="14">
        <f>IF(A1119="","",MONTH(A1119))</f>
        <v/>
      </c>
      <c r="N1119" s="14">
        <f>IF(A1119="","",YEAR(A1119))</f>
        <v/>
      </c>
    </row>
    <row r="1120">
      <c r="A1120" s="15" t="n"/>
      <c r="B1120" s="10" t="n"/>
      <c r="C1120" s="10" t="n"/>
      <c r="D1120" s="10" t="n"/>
      <c r="E1120" s="14">
        <f>IF(D1120="","",IFERROR(INDEX('Sản phẩm'!$B$5:$B$304,MATCH(D1120,'Sản phẩm'!$A$5:$A$304,0)),""))</f>
        <v/>
      </c>
      <c r="F1120" s="12" t="n"/>
      <c r="G1120" s="11" t="n"/>
      <c r="H1120" s="11" t="n"/>
      <c r="I1120" s="16">
        <f>IF(D1120="","",IF(G1120&lt;&gt;"",G1120,IFERROR(INDEX('Sản phẩm'!$E$5:$E$304,MATCH(D1120,'Sản phẩm'!$A$5:$A$304,0)),"")))</f>
        <v/>
      </c>
      <c r="J1120" s="16">
        <f>IF(OR(D1120="",F1120=""),"",F1120*I1120-N(H1120))</f>
        <v/>
      </c>
      <c r="K1120" s="16">
        <f>IF(OR(D1120="",F1120=""),"",F1120*IFERROR(INDEX('Sản phẩm'!$D$5:$D$304,MATCH(D1120,'Sản phẩm'!$A$5:$A$304,0)),""))</f>
        <v/>
      </c>
      <c r="L1120" s="16">
        <f>IF(J1120="","",J1120-K1120)</f>
        <v/>
      </c>
      <c r="M1120" s="14">
        <f>IF(A1120="","",MONTH(A1120))</f>
        <v/>
      </c>
      <c r="N1120" s="14">
        <f>IF(A1120="","",YEAR(A1120))</f>
        <v/>
      </c>
    </row>
    <row r="1121">
      <c r="A1121" s="15" t="n"/>
      <c r="B1121" s="10" t="n"/>
      <c r="C1121" s="10" t="n"/>
      <c r="D1121" s="10" t="n"/>
      <c r="E1121" s="14">
        <f>IF(D1121="","",IFERROR(INDEX('Sản phẩm'!$B$5:$B$304,MATCH(D1121,'Sản phẩm'!$A$5:$A$304,0)),""))</f>
        <v/>
      </c>
      <c r="F1121" s="12" t="n"/>
      <c r="G1121" s="11" t="n"/>
      <c r="H1121" s="11" t="n"/>
      <c r="I1121" s="16">
        <f>IF(D1121="","",IF(G1121&lt;&gt;"",G1121,IFERROR(INDEX('Sản phẩm'!$E$5:$E$304,MATCH(D1121,'Sản phẩm'!$A$5:$A$304,0)),"")))</f>
        <v/>
      </c>
      <c r="J1121" s="16">
        <f>IF(OR(D1121="",F1121=""),"",F1121*I1121-N(H1121))</f>
        <v/>
      </c>
      <c r="K1121" s="16">
        <f>IF(OR(D1121="",F1121=""),"",F1121*IFERROR(INDEX('Sản phẩm'!$D$5:$D$304,MATCH(D1121,'Sản phẩm'!$A$5:$A$304,0)),""))</f>
        <v/>
      </c>
      <c r="L1121" s="16">
        <f>IF(J1121="","",J1121-K1121)</f>
        <v/>
      </c>
      <c r="M1121" s="14">
        <f>IF(A1121="","",MONTH(A1121))</f>
        <v/>
      </c>
      <c r="N1121" s="14">
        <f>IF(A1121="","",YEAR(A1121))</f>
        <v/>
      </c>
    </row>
    <row r="1122">
      <c r="A1122" s="15" t="n"/>
      <c r="B1122" s="10" t="n"/>
      <c r="C1122" s="10" t="n"/>
      <c r="D1122" s="10" t="n"/>
      <c r="E1122" s="14">
        <f>IF(D1122="","",IFERROR(INDEX('Sản phẩm'!$B$5:$B$304,MATCH(D1122,'Sản phẩm'!$A$5:$A$304,0)),""))</f>
        <v/>
      </c>
      <c r="F1122" s="12" t="n"/>
      <c r="G1122" s="11" t="n"/>
      <c r="H1122" s="11" t="n"/>
      <c r="I1122" s="16">
        <f>IF(D1122="","",IF(G1122&lt;&gt;"",G1122,IFERROR(INDEX('Sản phẩm'!$E$5:$E$304,MATCH(D1122,'Sản phẩm'!$A$5:$A$304,0)),"")))</f>
        <v/>
      </c>
      <c r="J1122" s="16">
        <f>IF(OR(D1122="",F1122=""),"",F1122*I1122-N(H1122))</f>
        <v/>
      </c>
      <c r="K1122" s="16">
        <f>IF(OR(D1122="",F1122=""),"",F1122*IFERROR(INDEX('Sản phẩm'!$D$5:$D$304,MATCH(D1122,'Sản phẩm'!$A$5:$A$304,0)),""))</f>
        <v/>
      </c>
      <c r="L1122" s="16">
        <f>IF(J1122="","",J1122-K1122)</f>
        <v/>
      </c>
      <c r="M1122" s="14">
        <f>IF(A1122="","",MONTH(A1122))</f>
        <v/>
      </c>
      <c r="N1122" s="14">
        <f>IF(A1122="","",YEAR(A1122))</f>
        <v/>
      </c>
    </row>
    <row r="1123">
      <c r="A1123" s="15" t="n"/>
      <c r="B1123" s="10" t="n"/>
      <c r="C1123" s="10" t="n"/>
      <c r="D1123" s="10" t="n"/>
      <c r="E1123" s="14">
        <f>IF(D1123="","",IFERROR(INDEX('Sản phẩm'!$B$5:$B$304,MATCH(D1123,'Sản phẩm'!$A$5:$A$304,0)),""))</f>
        <v/>
      </c>
      <c r="F1123" s="12" t="n"/>
      <c r="G1123" s="11" t="n"/>
      <c r="H1123" s="11" t="n"/>
      <c r="I1123" s="16">
        <f>IF(D1123="","",IF(G1123&lt;&gt;"",G1123,IFERROR(INDEX('Sản phẩm'!$E$5:$E$304,MATCH(D1123,'Sản phẩm'!$A$5:$A$304,0)),"")))</f>
        <v/>
      </c>
      <c r="J1123" s="16">
        <f>IF(OR(D1123="",F1123=""),"",F1123*I1123-N(H1123))</f>
        <v/>
      </c>
      <c r="K1123" s="16">
        <f>IF(OR(D1123="",F1123=""),"",F1123*IFERROR(INDEX('Sản phẩm'!$D$5:$D$304,MATCH(D1123,'Sản phẩm'!$A$5:$A$304,0)),""))</f>
        <v/>
      </c>
      <c r="L1123" s="16">
        <f>IF(J1123="","",J1123-K1123)</f>
        <v/>
      </c>
      <c r="M1123" s="14">
        <f>IF(A1123="","",MONTH(A1123))</f>
        <v/>
      </c>
      <c r="N1123" s="14">
        <f>IF(A1123="","",YEAR(A1123))</f>
        <v/>
      </c>
    </row>
    <row r="1124">
      <c r="A1124" s="15" t="n"/>
      <c r="B1124" s="10" t="n"/>
      <c r="C1124" s="10" t="n"/>
      <c r="D1124" s="10" t="n"/>
      <c r="E1124" s="14">
        <f>IF(D1124="","",IFERROR(INDEX('Sản phẩm'!$B$5:$B$304,MATCH(D1124,'Sản phẩm'!$A$5:$A$304,0)),""))</f>
        <v/>
      </c>
      <c r="F1124" s="12" t="n"/>
      <c r="G1124" s="11" t="n"/>
      <c r="H1124" s="11" t="n"/>
      <c r="I1124" s="16">
        <f>IF(D1124="","",IF(G1124&lt;&gt;"",G1124,IFERROR(INDEX('Sản phẩm'!$E$5:$E$304,MATCH(D1124,'Sản phẩm'!$A$5:$A$304,0)),"")))</f>
        <v/>
      </c>
      <c r="J1124" s="16">
        <f>IF(OR(D1124="",F1124=""),"",F1124*I1124-N(H1124))</f>
        <v/>
      </c>
      <c r="K1124" s="16">
        <f>IF(OR(D1124="",F1124=""),"",F1124*IFERROR(INDEX('Sản phẩm'!$D$5:$D$304,MATCH(D1124,'Sản phẩm'!$A$5:$A$304,0)),""))</f>
        <v/>
      </c>
      <c r="L1124" s="16">
        <f>IF(J1124="","",J1124-K1124)</f>
        <v/>
      </c>
      <c r="M1124" s="14">
        <f>IF(A1124="","",MONTH(A1124))</f>
        <v/>
      </c>
      <c r="N1124" s="14">
        <f>IF(A1124="","",YEAR(A1124))</f>
        <v/>
      </c>
    </row>
    <row r="1125">
      <c r="A1125" s="15" t="n"/>
      <c r="B1125" s="10" t="n"/>
      <c r="C1125" s="10" t="n"/>
      <c r="D1125" s="10" t="n"/>
      <c r="E1125" s="14">
        <f>IF(D1125="","",IFERROR(INDEX('Sản phẩm'!$B$5:$B$304,MATCH(D1125,'Sản phẩm'!$A$5:$A$304,0)),""))</f>
        <v/>
      </c>
      <c r="F1125" s="12" t="n"/>
      <c r="G1125" s="11" t="n"/>
      <c r="H1125" s="11" t="n"/>
      <c r="I1125" s="16">
        <f>IF(D1125="","",IF(G1125&lt;&gt;"",G1125,IFERROR(INDEX('Sản phẩm'!$E$5:$E$304,MATCH(D1125,'Sản phẩm'!$A$5:$A$304,0)),"")))</f>
        <v/>
      </c>
      <c r="J1125" s="16">
        <f>IF(OR(D1125="",F1125=""),"",F1125*I1125-N(H1125))</f>
        <v/>
      </c>
      <c r="K1125" s="16">
        <f>IF(OR(D1125="",F1125=""),"",F1125*IFERROR(INDEX('Sản phẩm'!$D$5:$D$304,MATCH(D1125,'Sản phẩm'!$A$5:$A$304,0)),""))</f>
        <v/>
      </c>
      <c r="L1125" s="16">
        <f>IF(J1125="","",J1125-K1125)</f>
        <v/>
      </c>
      <c r="M1125" s="14">
        <f>IF(A1125="","",MONTH(A1125))</f>
        <v/>
      </c>
      <c r="N1125" s="14">
        <f>IF(A1125="","",YEAR(A1125))</f>
        <v/>
      </c>
    </row>
    <row r="1126">
      <c r="A1126" s="15" t="n"/>
      <c r="B1126" s="10" t="n"/>
      <c r="C1126" s="10" t="n"/>
      <c r="D1126" s="10" t="n"/>
      <c r="E1126" s="14">
        <f>IF(D1126="","",IFERROR(INDEX('Sản phẩm'!$B$5:$B$304,MATCH(D1126,'Sản phẩm'!$A$5:$A$304,0)),""))</f>
        <v/>
      </c>
      <c r="F1126" s="12" t="n"/>
      <c r="G1126" s="11" t="n"/>
      <c r="H1126" s="11" t="n"/>
      <c r="I1126" s="16">
        <f>IF(D1126="","",IF(G1126&lt;&gt;"",G1126,IFERROR(INDEX('Sản phẩm'!$E$5:$E$304,MATCH(D1126,'Sản phẩm'!$A$5:$A$304,0)),"")))</f>
        <v/>
      </c>
      <c r="J1126" s="16">
        <f>IF(OR(D1126="",F1126=""),"",F1126*I1126-N(H1126))</f>
        <v/>
      </c>
      <c r="K1126" s="16">
        <f>IF(OR(D1126="",F1126=""),"",F1126*IFERROR(INDEX('Sản phẩm'!$D$5:$D$304,MATCH(D1126,'Sản phẩm'!$A$5:$A$304,0)),""))</f>
        <v/>
      </c>
      <c r="L1126" s="16">
        <f>IF(J1126="","",J1126-K1126)</f>
        <v/>
      </c>
      <c r="M1126" s="14">
        <f>IF(A1126="","",MONTH(A1126))</f>
        <v/>
      </c>
      <c r="N1126" s="14">
        <f>IF(A1126="","",YEAR(A1126))</f>
        <v/>
      </c>
    </row>
    <row r="1127">
      <c r="A1127" s="15" t="n"/>
      <c r="B1127" s="10" t="n"/>
      <c r="C1127" s="10" t="n"/>
      <c r="D1127" s="10" t="n"/>
      <c r="E1127" s="14">
        <f>IF(D1127="","",IFERROR(INDEX('Sản phẩm'!$B$5:$B$304,MATCH(D1127,'Sản phẩm'!$A$5:$A$304,0)),""))</f>
        <v/>
      </c>
      <c r="F1127" s="12" t="n"/>
      <c r="G1127" s="11" t="n"/>
      <c r="H1127" s="11" t="n"/>
      <c r="I1127" s="16">
        <f>IF(D1127="","",IF(G1127&lt;&gt;"",G1127,IFERROR(INDEX('Sản phẩm'!$E$5:$E$304,MATCH(D1127,'Sản phẩm'!$A$5:$A$304,0)),"")))</f>
        <v/>
      </c>
      <c r="J1127" s="16">
        <f>IF(OR(D1127="",F1127=""),"",F1127*I1127-N(H1127))</f>
        <v/>
      </c>
      <c r="K1127" s="16">
        <f>IF(OR(D1127="",F1127=""),"",F1127*IFERROR(INDEX('Sản phẩm'!$D$5:$D$304,MATCH(D1127,'Sản phẩm'!$A$5:$A$304,0)),""))</f>
        <v/>
      </c>
      <c r="L1127" s="16">
        <f>IF(J1127="","",J1127-K1127)</f>
        <v/>
      </c>
      <c r="M1127" s="14">
        <f>IF(A1127="","",MONTH(A1127))</f>
        <v/>
      </c>
      <c r="N1127" s="14">
        <f>IF(A1127="","",YEAR(A1127))</f>
        <v/>
      </c>
    </row>
    <row r="1128">
      <c r="A1128" s="15" t="n"/>
      <c r="B1128" s="10" t="n"/>
      <c r="C1128" s="10" t="n"/>
      <c r="D1128" s="10" t="n"/>
      <c r="E1128" s="14">
        <f>IF(D1128="","",IFERROR(INDEX('Sản phẩm'!$B$5:$B$304,MATCH(D1128,'Sản phẩm'!$A$5:$A$304,0)),""))</f>
        <v/>
      </c>
      <c r="F1128" s="12" t="n"/>
      <c r="G1128" s="11" t="n"/>
      <c r="H1128" s="11" t="n"/>
      <c r="I1128" s="16">
        <f>IF(D1128="","",IF(G1128&lt;&gt;"",G1128,IFERROR(INDEX('Sản phẩm'!$E$5:$E$304,MATCH(D1128,'Sản phẩm'!$A$5:$A$304,0)),"")))</f>
        <v/>
      </c>
      <c r="J1128" s="16">
        <f>IF(OR(D1128="",F1128=""),"",F1128*I1128-N(H1128))</f>
        <v/>
      </c>
      <c r="K1128" s="16">
        <f>IF(OR(D1128="",F1128=""),"",F1128*IFERROR(INDEX('Sản phẩm'!$D$5:$D$304,MATCH(D1128,'Sản phẩm'!$A$5:$A$304,0)),""))</f>
        <v/>
      </c>
      <c r="L1128" s="16">
        <f>IF(J1128="","",J1128-K1128)</f>
        <v/>
      </c>
      <c r="M1128" s="14">
        <f>IF(A1128="","",MONTH(A1128))</f>
        <v/>
      </c>
      <c r="N1128" s="14">
        <f>IF(A1128="","",YEAR(A1128))</f>
        <v/>
      </c>
    </row>
    <row r="1129">
      <c r="A1129" s="15" t="n"/>
      <c r="B1129" s="10" t="n"/>
      <c r="C1129" s="10" t="n"/>
      <c r="D1129" s="10" t="n"/>
      <c r="E1129" s="14">
        <f>IF(D1129="","",IFERROR(INDEX('Sản phẩm'!$B$5:$B$304,MATCH(D1129,'Sản phẩm'!$A$5:$A$304,0)),""))</f>
        <v/>
      </c>
      <c r="F1129" s="12" t="n"/>
      <c r="G1129" s="11" t="n"/>
      <c r="H1129" s="11" t="n"/>
      <c r="I1129" s="16">
        <f>IF(D1129="","",IF(G1129&lt;&gt;"",G1129,IFERROR(INDEX('Sản phẩm'!$E$5:$E$304,MATCH(D1129,'Sản phẩm'!$A$5:$A$304,0)),"")))</f>
        <v/>
      </c>
      <c r="J1129" s="16">
        <f>IF(OR(D1129="",F1129=""),"",F1129*I1129-N(H1129))</f>
        <v/>
      </c>
      <c r="K1129" s="16">
        <f>IF(OR(D1129="",F1129=""),"",F1129*IFERROR(INDEX('Sản phẩm'!$D$5:$D$304,MATCH(D1129,'Sản phẩm'!$A$5:$A$304,0)),""))</f>
        <v/>
      </c>
      <c r="L1129" s="16">
        <f>IF(J1129="","",J1129-K1129)</f>
        <v/>
      </c>
      <c r="M1129" s="14">
        <f>IF(A1129="","",MONTH(A1129))</f>
        <v/>
      </c>
      <c r="N1129" s="14">
        <f>IF(A1129="","",YEAR(A1129))</f>
        <v/>
      </c>
    </row>
    <row r="1130">
      <c r="A1130" s="15" t="n"/>
      <c r="B1130" s="10" t="n"/>
      <c r="C1130" s="10" t="n"/>
      <c r="D1130" s="10" t="n"/>
      <c r="E1130" s="14">
        <f>IF(D1130="","",IFERROR(INDEX('Sản phẩm'!$B$5:$B$304,MATCH(D1130,'Sản phẩm'!$A$5:$A$304,0)),""))</f>
        <v/>
      </c>
      <c r="F1130" s="12" t="n"/>
      <c r="G1130" s="11" t="n"/>
      <c r="H1130" s="11" t="n"/>
      <c r="I1130" s="16">
        <f>IF(D1130="","",IF(G1130&lt;&gt;"",G1130,IFERROR(INDEX('Sản phẩm'!$E$5:$E$304,MATCH(D1130,'Sản phẩm'!$A$5:$A$304,0)),"")))</f>
        <v/>
      </c>
      <c r="J1130" s="16">
        <f>IF(OR(D1130="",F1130=""),"",F1130*I1130-N(H1130))</f>
        <v/>
      </c>
      <c r="K1130" s="16">
        <f>IF(OR(D1130="",F1130=""),"",F1130*IFERROR(INDEX('Sản phẩm'!$D$5:$D$304,MATCH(D1130,'Sản phẩm'!$A$5:$A$304,0)),""))</f>
        <v/>
      </c>
      <c r="L1130" s="16">
        <f>IF(J1130="","",J1130-K1130)</f>
        <v/>
      </c>
      <c r="M1130" s="14">
        <f>IF(A1130="","",MONTH(A1130))</f>
        <v/>
      </c>
      <c r="N1130" s="14">
        <f>IF(A1130="","",YEAR(A1130))</f>
        <v/>
      </c>
    </row>
    <row r="1131">
      <c r="A1131" s="15" t="n"/>
      <c r="B1131" s="10" t="n"/>
      <c r="C1131" s="10" t="n"/>
      <c r="D1131" s="10" t="n"/>
      <c r="E1131" s="14">
        <f>IF(D1131="","",IFERROR(INDEX('Sản phẩm'!$B$5:$B$304,MATCH(D1131,'Sản phẩm'!$A$5:$A$304,0)),""))</f>
        <v/>
      </c>
      <c r="F1131" s="12" t="n"/>
      <c r="G1131" s="11" t="n"/>
      <c r="H1131" s="11" t="n"/>
      <c r="I1131" s="16">
        <f>IF(D1131="","",IF(G1131&lt;&gt;"",G1131,IFERROR(INDEX('Sản phẩm'!$E$5:$E$304,MATCH(D1131,'Sản phẩm'!$A$5:$A$304,0)),"")))</f>
        <v/>
      </c>
      <c r="J1131" s="16">
        <f>IF(OR(D1131="",F1131=""),"",F1131*I1131-N(H1131))</f>
        <v/>
      </c>
      <c r="K1131" s="16">
        <f>IF(OR(D1131="",F1131=""),"",F1131*IFERROR(INDEX('Sản phẩm'!$D$5:$D$304,MATCH(D1131,'Sản phẩm'!$A$5:$A$304,0)),""))</f>
        <v/>
      </c>
      <c r="L1131" s="16">
        <f>IF(J1131="","",J1131-K1131)</f>
        <v/>
      </c>
      <c r="M1131" s="14">
        <f>IF(A1131="","",MONTH(A1131))</f>
        <v/>
      </c>
      <c r="N1131" s="14">
        <f>IF(A1131="","",YEAR(A1131))</f>
        <v/>
      </c>
    </row>
    <row r="1132">
      <c r="A1132" s="15" t="n"/>
      <c r="B1132" s="10" t="n"/>
      <c r="C1132" s="10" t="n"/>
      <c r="D1132" s="10" t="n"/>
      <c r="E1132" s="14">
        <f>IF(D1132="","",IFERROR(INDEX('Sản phẩm'!$B$5:$B$304,MATCH(D1132,'Sản phẩm'!$A$5:$A$304,0)),""))</f>
        <v/>
      </c>
      <c r="F1132" s="12" t="n"/>
      <c r="G1132" s="11" t="n"/>
      <c r="H1132" s="11" t="n"/>
      <c r="I1132" s="16">
        <f>IF(D1132="","",IF(G1132&lt;&gt;"",G1132,IFERROR(INDEX('Sản phẩm'!$E$5:$E$304,MATCH(D1132,'Sản phẩm'!$A$5:$A$304,0)),"")))</f>
        <v/>
      </c>
      <c r="J1132" s="16">
        <f>IF(OR(D1132="",F1132=""),"",F1132*I1132-N(H1132))</f>
        <v/>
      </c>
      <c r="K1132" s="16">
        <f>IF(OR(D1132="",F1132=""),"",F1132*IFERROR(INDEX('Sản phẩm'!$D$5:$D$304,MATCH(D1132,'Sản phẩm'!$A$5:$A$304,0)),""))</f>
        <v/>
      </c>
      <c r="L1132" s="16">
        <f>IF(J1132="","",J1132-K1132)</f>
        <v/>
      </c>
      <c r="M1132" s="14">
        <f>IF(A1132="","",MONTH(A1132))</f>
        <v/>
      </c>
      <c r="N1132" s="14">
        <f>IF(A1132="","",YEAR(A1132))</f>
        <v/>
      </c>
    </row>
    <row r="1133">
      <c r="A1133" s="15" t="n"/>
      <c r="B1133" s="10" t="n"/>
      <c r="C1133" s="10" t="n"/>
      <c r="D1133" s="10" t="n"/>
      <c r="E1133" s="14">
        <f>IF(D1133="","",IFERROR(INDEX('Sản phẩm'!$B$5:$B$304,MATCH(D1133,'Sản phẩm'!$A$5:$A$304,0)),""))</f>
        <v/>
      </c>
      <c r="F1133" s="12" t="n"/>
      <c r="G1133" s="11" t="n"/>
      <c r="H1133" s="11" t="n"/>
      <c r="I1133" s="16">
        <f>IF(D1133="","",IF(G1133&lt;&gt;"",G1133,IFERROR(INDEX('Sản phẩm'!$E$5:$E$304,MATCH(D1133,'Sản phẩm'!$A$5:$A$304,0)),"")))</f>
        <v/>
      </c>
      <c r="J1133" s="16">
        <f>IF(OR(D1133="",F1133=""),"",F1133*I1133-N(H1133))</f>
        <v/>
      </c>
      <c r="K1133" s="16">
        <f>IF(OR(D1133="",F1133=""),"",F1133*IFERROR(INDEX('Sản phẩm'!$D$5:$D$304,MATCH(D1133,'Sản phẩm'!$A$5:$A$304,0)),""))</f>
        <v/>
      </c>
      <c r="L1133" s="16">
        <f>IF(J1133="","",J1133-K1133)</f>
        <v/>
      </c>
      <c r="M1133" s="14">
        <f>IF(A1133="","",MONTH(A1133))</f>
        <v/>
      </c>
      <c r="N1133" s="14">
        <f>IF(A1133="","",YEAR(A1133))</f>
        <v/>
      </c>
    </row>
    <row r="1134">
      <c r="A1134" s="15" t="n"/>
      <c r="B1134" s="10" t="n"/>
      <c r="C1134" s="10" t="n"/>
      <c r="D1134" s="10" t="n"/>
      <c r="E1134" s="14">
        <f>IF(D1134="","",IFERROR(INDEX('Sản phẩm'!$B$5:$B$304,MATCH(D1134,'Sản phẩm'!$A$5:$A$304,0)),""))</f>
        <v/>
      </c>
      <c r="F1134" s="12" t="n"/>
      <c r="G1134" s="11" t="n"/>
      <c r="H1134" s="11" t="n"/>
      <c r="I1134" s="16">
        <f>IF(D1134="","",IF(G1134&lt;&gt;"",G1134,IFERROR(INDEX('Sản phẩm'!$E$5:$E$304,MATCH(D1134,'Sản phẩm'!$A$5:$A$304,0)),"")))</f>
        <v/>
      </c>
      <c r="J1134" s="16">
        <f>IF(OR(D1134="",F1134=""),"",F1134*I1134-N(H1134))</f>
        <v/>
      </c>
      <c r="K1134" s="16">
        <f>IF(OR(D1134="",F1134=""),"",F1134*IFERROR(INDEX('Sản phẩm'!$D$5:$D$304,MATCH(D1134,'Sản phẩm'!$A$5:$A$304,0)),""))</f>
        <v/>
      </c>
      <c r="L1134" s="16">
        <f>IF(J1134="","",J1134-K1134)</f>
        <v/>
      </c>
      <c r="M1134" s="14">
        <f>IF(A1134="","",MONTH(A1134))</f>
        <v/>
      </c>
      <c r="N1134" s="14">
        <f>IF(A1134="","",YEAR(A1134))</f>
        <v/>
      </c>
    </row>
    <row r="1135">
      <c r="A1135" s="15" t="n"/>
      <c r="B1135" s="10" t="n"/>
      <c r="C1135" s="10" t="n"/>
      <c r="D1135" s="10" t="n"/>
      <c r="E1135" s="14">
        <f>IF(D1135="","",IFERROR(INDEX('Sản phẩm'!$B$5:$B$304,MATCH(D1135,'Sản phẩm'!$A$5:$A$304,0)),""))</f>
        <v/>
      </c>
      <c r="F1135" s="12" t="n"/>
      <c r="G1135" s="11" t="n"/>
      <c r="H1135" s="11" t="n"/>
      <c r="I1135" s="16">
        <f>IF(D1135="","",IF(G1135&lt;&gt;"",G1135,IFERROR(INDEX('Sản phẩm'!$E$5:$E$304,MATCH(D1135,'Sản phẩm'!$A$5:$A$304,0)),"")))</f>
        <v/>
      </c>
      <c r="J1135" s="16">
        <f>IF(OR(D1135="",F1135=""),"",F1135*I1135-N(H1135))</f>
        <v/>
      </c>
      <c r="K1135" s="16">
        <f>IF(OR(D1135="",F1135=""),"",F1135*IFERROR(INDEX('Sản phẩm'!$D$5:$D$304,MATCH(D1135,'Sản phẩm'!$A$5:$A$304,0)),""))</f>
        <v/>
      </c>
      <c r="L1135" s="16">
        <f>IF(J1135="","",J1135-K1135)</f>
        <v/>
      </c>
      <c r="M1135" s="14">
        <f>IF(A1135="","",MONTH(A1135))</f>
        <v/>
      </c>
      <c r="N1135" s="14">
        <f>IF(A1135="","",YEAR(A1135))</f>
        <v/>
      </c>
    </row>
    <row r="1136">
      <c r="A1136" s="15" t="n"/>
      <c r="B1136" s="10" t="n"/>
      <c r="C1136" s="10" t="n"/>
      <c r="D1136" s="10" t="n"/>
      <c r="E1136" s="14">
        <f>IF(D1136="","",IFERROR(INDEX('Sản phẩm'!$B$5:$B$304,MATCH(D1136,'Sản phẩm'!$A$5:$A$304,0)),""))</f>
        <v/>
      </c>
      <c r="F1136" s="12" t="n"/>
      <c r="G1136" s="11" t="n"/>
      <c r="H1136" s="11" t="n"/>
      <c r="I1136" s="16">
        <f>IF(D1136="","",IF(G1136&lt;&gt;"",G1136,IFERROR(INDEX('Sản phẩm'!$E$5:$E$304,MATCH(D1136,'Sản phẩm'!$A$5:$A$304,0)),"")))</f>
        <v/>
      </c>
      <c r="J1136" s="16">
        <f>IF(OR(D1136="",F1136=""),"",F1136*I1136-N(H1136))</f>
        <v/>
      </c>
      <c r="K1136" s="16">
        <f>IF(OR(D1136="",F1136=""),"",F1136*IFERROR(INDEX('Sản phẩm'!$D$5:$D$304,MATCH(D1136,'Sản phẩm'!$A$5:$A$304,0)),""))</f>
        <v/>
      </c>
      <c r="L1136" s="16">
        <f>IF(J1136="","",J1136-K1136)</f>
        <v/>
      </c>
      <c r="M1136" s="14">
        <f>IF(A1136="","",MONTH(A1136))</f>
        <v/>
      </c>
      <c r="N1136" s="14">
        <f>IF(A1136="","",YEAR(A1136))</f>
        <v/>
      </c>
    </row>
    <row r="1137">
      <c r="A1137" s="15" t="n"/>
      <c r="B1137" s="10" t="n"/>
      <c r="C1137" s="10" t="n"/>
      <c r="D1137" s="10" t="n"/>
      <c r="E1137" s="14">
        <f>IF(D1137="","",IFERROR(INDEX('Sản phẩm'!$B$5:$B$304,MATCH(D1137,'Sản phẩm'!$A$5:$A$304,0)),""))</f>
        <v/>
      </c>
      <c r="F1137" s="12" t="n"/>
      <c r="G1137" s="11" t="n"/>
      <c r="H1137" s="11" t="n"/>
      <c r="I1137" s="16">
        <f>IF(D1137="","",IF(G1137&lt;&gt;"",G1137,IFERROR(INDEX('Sản phẩm'!$E$5:$E$304,MATCH(D1137,'Sản phẩm'!$A$5:$A$304,0)),"")))</f>
        <v/>
      </c>
      <c r="J1137" s="16">
        <f>IF(OR(D1137="",F1137=""),"",F1137*I1137-N(H1137))</f>
        <v/>
      </c>
      <c r="K1137" s="16">
        <f>IF(OR(D1137="",F1137=""),"",F1137*IFERROR(INDEX('Sản phẩm'!$D$5:$D$304,MATCH(D1137,'Sản phẩm'!$A$5:$A$304,0)),""))</f>
        <v/>
      </c>
      <c r="L1137" s="16">
        <f>IF(J1137="","",J1137-K1137)</f>
        <v/>
      </c>
      <c r="M1137" s="14">
        <f>IF(A1137="","",MONTH(A1137))</f>
        <v/>
      </c>
      <c r="N1137" s="14">
        <f>IF(A1137="","",YEAR(A1137))</f>
        <v/>
      </c>
    </row>
    <row r="1138">
      <c r="A1138" s="15" t="n"/>
      <c r="B1138" s="10" t="n"/>
      <c r="C1138" s="10" t="n"/>
      <c r="D1138" s="10" t="n"/>
      <c r="E1138" s="14">
        <f>IF(D1138="","",IFERROR(INDEX('Sản phẩm'!$B$5:$B$304,MATCH(D1138,'Sản phẩm'!$A$5:$A$304,0)),""))</f>
        <v/>
      </c>
      <c r="F1138" s="12" t="n"/>
      <c r="G1138" s="11" t="n"/>
      <c r="H1138" s="11" t="n"/>
      <c r="I1138" s="16">
        <f>IF(D1138="","",IF(G1138&lt;&gt;"",G1138,IFERROR(INDEX('Sản phẩm'!$E$5:$E$304,MATCH(D1138,'Sản phẩm'!$A$5:$A$304,0)),"")))</f>
        <v/>
      </c>
      <c r="J1138" s="16">
        <f>IF(OR(D1138="",F1138=""),"",F1138*I1138-N(H1138))</f>
        <v/>
      </c>
      <c r="K1138" s="16">
        <f>IF(OR(D1138="",F1138=""),"",F1138*IFERROR(INDEX('Sản phẩm'!$D$5:$D$304,MATCH(D1138,'Sản phẩm'!$A$5:$A$304,0)),""))</f>
        <v/>
      </c>
      <c r="L1138" s="16">
        <f>IF(J1138="","",J1138-K1138)</f>
        <v/>
      </c>
      <c r="M1138" s="14">
        <f>IF(A1138="","",MONTH(A1138))</f>
        <v/>
      </c>
      <c r="N1138" s="14">
        <f>IF(A1138="","",YEAR(A1138))</f>
        <v/>
      </c>
    </row>
    <row r="1139">
      <c r="A1139" s="15" t="n"/>
      <c r="B1139" s="10" t="n"/>
      <c r="C1139" s="10" t="n"/>
      <c r="D1139" s="10" t="n"/>
      <c r="E1139" s="14">
        <f>IF(D1139="","",IFERROR(INDEX('Sản phẩm'!$B$5:$B$304,MATCH(D1139,'Sản phẩm'!$A$5:$A$304,0)),""))</f>
        <v/>
      </c>
      <c r="F1139" s="12" t="n"/>
      <c r="G1139" s="11" t="n"/>
      <c r="H1139" s="11" t="n"/>
      <c r="I1139" s="16">
        <f>IF(D1139="","",IF(G1139&lt;&gt;"",G1139,IFERROR(INDEX('Sản phẩm'!$E$5:$E$304,MATCH(D1139,'Sản phẩm'!$A$5:$A$304,0)),"")))</f>
        <v/>
      </c>
      <c r="J1139" s="16">
        <f>IF(OR(D1139="",F1139=""),"",F1139*I1139-N(H1139))</f>
        <v/>
      </c>
      <c r="K1139" s="16">
        <f>IF(OR(D1139="",F1139=""),"",F1139*IFERROR(INDEX('Sản phẩm'!$D$5:$D$304,MATCH(D1139,'Sản phẩm'!$A$5:$A$304,0)),""))</f>
        <v/>
      </c>
      <c r="L1139" s="16">
        <f>IF(J1139="","",J1139-K1139)</f>
        <v/>
      </c>
      <c r="M1139" s="14">
        <f>IF(A1139="","",MONTH(A1139))</f>
        <v/>
      </c>
      <c r="N1139" s="14">
        <f>IF(A1139="","",YEAR(A1139))</f>
        <v/>
      </c>
    </row>
    <row r="1140">
      <c r="A1140" s="15" t="n"/>
      <c r="B1140" s="10" t="n"/>
      <c r="C1140" s="10" t="n"/>
      <c r="D1140" s="10" t="n"/>
      <c r="E1140" s="14">
        <f>IF(D1140="","",IFERROR(INDEX('Sản phẩm'!$B$5:$B$304,MATCH(D1140,'Sản phẩm'!$A$5:$A$304,0)),""))</f>
        <v/>
      </c>
      <c r="F1140" s="12" t="n"/>
      <c r="G1140" s="11" t="n"/>
      <c r="H1140" s="11" t="n"/>
      <c r="I1140" s="16">
        <f>IF(D1140="","",IF(G1140&lt;&gt;"",G1140,IFERROR(INDEX('Sản phẩm'!$E$5:$E$304,MATCH(D1140,'Sản phẩm'!$A$5:$A$304,0)),"")))</f>
        <v/>
      </c>
      <c r="J1140" s="16">
        <f>IF(OR(D1140="",F1140=""),"",F1140*I1140-N(H1140))</f>
        <v/>
      </c>
      <c r="K1140" s="16">
        <f>IF(OR(D1140="",F1140=""),"",F1140*IFERROR(INDEX('Sản phẩm'!$D$5:$D$304,MATCH(D1140,'Sản phẩm'!$A$5:$A$304,0)),""))</f>
        <v/>
      </c>
      <c r="L1140" s="16">
        <f>IF(J1140="","",J1140-K1140)</f>
        <v/>
      </c>
      <c r="M1140" s="14">
        <f>IF(A1140="","",MONTH(A1140))</f>
        <v/>
      </c>
      <c r="N1140" s="14">
        <f>IF(A1140="","",YEAR(A1140))</f>
        <v/>
      </c>
    </row>
    <row r="1141">
      <c r="A1141" s="15" t="n"/>
      <c r="B1141" s="10" t="n"/>
      <c r="C1141" s="10" t="n"/>
      <c r="D1141" s="10" t="n"/>
      <c r="E1141" s="14">
        <f>IF(D1141="","",IFERROR(INDEX('Sản phẩm'!$B$5:$B$304,MATCH(D1141,'Sản phẩm'!$A$5:$A$304,0)),""))</f>
        <v/>
      </c>
      <c r="F1141" s="12" t="n"/>
      <c r="G1141" s="11" t="n"/>
      <c r="H1141" s="11" t="n"/>
      <c r="I1141" s="16">
        <f>IF(D1141="","",IF(G1141&lt;&gt;"",G1141,IFERROR(INDEX('Sản phẩm'!$E$5:$E$304,MATCH(D1141,'Sản phẩm'!$A$5:$A$304,0)),"")))</f>
        <v/>
      </c>
      <c r="J1141" s="16">
        <f>IF(OR(D1141="",F1141=""),"",F1141*I1141-N(H1141))</f>
        <v/>
      </c>
      <c r="K1141" s="16">
        <f>IF(OR(D1141="",F1141=""),"",F1141*IFERROR(INDEX('Sản phẩm'!$D$5:$D$304,MATCH(D1141,'Sản phẩm'!$A$5:$A$304,0)),""))</f>
        <v/>
      </c>
      <c r="L1141" s="16">
        <f>IF(J1141="","",J1141-K1141)</f>
        <v/>
      </c>
      <c r="M1141" s="14">
        <f>IF(A1141="","",MONTH(A1141))</f>
        <v/>
      </c>
      <c r="N1141" s="14">
        <f>IF(A1141="","",YEAR(A1141))</f>
        <v/>
      </c>
    </row>
    <row r="1142">
      <c r="A1142" s="15" t="n"/>
      <c r="B1142" s="10" t="n"/>
      <c r="C1142" s="10" t="n"/>
      <c r="D1142" s="10" t="n"/>
      <c r="E1142" s="14">
        <f>IF(D1142="","",IFERROR(INDEX('Sản phẩm'!$B$5:$B$304,MATCH(D1142,'Sản phẩm'!$A$5:$A$304,0)),""))</f>
        <v/>
      </c>
      <c r="F1142" s="12" t="n"/>
      <c r="G1142" s="11" t="n"/>
      <c r="H1142" s="11" t="n"/>
      <c r="I1142" s="16">
        <f>IF(D1142="","",IF(G1142&lt;&gt;"",G1142,IFERROR(INDEX('Sản phẩm'!$E$5:$E$304,MATCH(D1142,'Sản phẩm'!$A$5:$A$304,0)),"")))</f>
        <v/>
      </c>
      <c r="J1142" s="16">
        <f>IF(OR(D1142="",F1142=""),"",F1142*I1142-N(H1142))</f>
        <v/>
      </c>
      <c r="K1142" s="16">
        <f>IF(OR(D1142="",F1142=""),"",F1142*IFERROR(INDEX('Sản phẩm'!$D$5:$D$304,MATCH(D1142,'Sản phẩm'!$A$5:$A$304,0)),""))</f>
        <v/>
      </c>
      <c r="L1142" s="16">
        <f>IF(J1142="","",J1142-K1142)</f>
        <v/>
      </c>
      <c r="M1142" s="14">
        <f>IF(A1142="","",MONTH(A1142))</f>
        <v/>
      </c>
      <c r="N1142" s="14">
        <f>IF(A1142="","",YEAR(A1142))</f>
        <v/>
      </c>
    </row>
    <row r="1143">
      <c r="A1143" s="15" t="n"/>
      <c r="B1143" s="10" t="n"/>
      <c r="C1143" s="10" t="n"/>
      <c r="D1143" s="10" t="n"/>
      <c r="E1143" s="14">
        <f>IF(D1143="","",IFERROR(INDEX('Sản phẩm'!$B$5:$B$304,MATCH(D1143,'Sản phẩm'!$A$5:$A$304,0)),""))</f>
        <v/>
      </c>
      <c r="F1143" s="12" t="n"/>
      <c r="G1143" s="11" t="n"/>
      <c r="H1143" s="11" t="n"/>
      <c r="I1143" s="16">
        <f>IF(D1143="","",IF(G1143&lt;&gt;"",G1143,IFERROR(INDEX('Sản phẩm'!$E$5:$E$304,MATCH(D1143,'Sản phẩm'!$A$5:$A$304,0)),"")))</f>
        <v/>
      </c>
      <c r="J1143" s="16">
        <f>IF(OR(D1143="",F1143=""),"",F1143*I1143-N(H1143))</f>
        <v/>
      </c>
      <c r="K1143" s="16">
        <f>IF(OR(D1143="",F1143=""),"",F1143*IFERROR(INDEX('Sản phẩm'!$D$5:$D$304,MATCH(D1143,'Sản phẩm'!$A$5:$A$304,0)),""))</f>
        <v/>
      </c>
      <c r="L1143" s="16">
        <f>IF(J1143="","",J1143-K1143)</f>
        <v/>
      </c>
      <c r="M1143" s="14">
        <f>IF(A1143="","",MONTH(A1143))</f>
        <v/>
      </c>
      <c r="N1143" s="14">
        <f>IF(A1143="","",YEAR(A1143))</f>
        <v/>
      </c>
    </row>
    <row r="1144">
      <c r="A1144" s="15" t="n"/>
      <c r="B1144" s="10" t="n"/>
      <c r="C1144" s="10" t="n"/>
      <c r="D1144" s="10" t="n"/>
      <c r="E1144" s="14">
        <f>IF(D1144="","",IFERROR(INDEX('Sản phẩm'!$B$5:$B$304,MATCH(D1144,'Sản phẩm'!$A$5:$A$304,0)),""))</f>
        <v/>
      </c>
      <c r="F1144" s="12" t="n"/>
      <c r="G1144" s="11" t="n"/>
      <c r="H1144" s="11" t="n"/>
      <c r="I1144" s="16">
        <f>IF(D1144="","",IF(G1144&lt;&gt;"",G1144,IFERROR(INDEX('Sản phẩm'!$E$5:$E$304,MATCH(D1144,'Sản phẩm'!$A$5:$A$304,0)),"")))</f>
        <v/>
      </c>
      <c r="J1144" s="16">
        <f>IF(OR(D1144="",F1144=""),"",F1144*I1144-N(H1144))</f>
        <v/>
      </c>
      <c r="K1144" s="16">
        <f>IF(OR(D1144="",F1144=""),"",F1144*IFERROR(INDEX('Sản phẩm'!$D$5:$D$304,MATCH(D1144,'Sản phẩm'!$A$5:$A$304,0)),""))</f>
        <v/>
      </c>
      <c r="L1144" s="16">
        <f>IF(J1144="","",J1144-K1144)</f>
        <v/>
      </c>
      <c r="M1144" s="14">
        <f>IF(A1144="","",MONTH(A1144))</f>
        <v/>
      </c>
      <c r="N1144" s="14">
        <f>IF(A1144="","",YEAR(A1144))</f>
        <v/>
      </c>
    </row>
    <row r="1145">
      <c r="A1145" s="15" t="n"/>
      <c r="B1145" s="10" t="n"/>
      <c r="C1145" s="10" t="n"/>
      <c r="D1145" s="10" t="n"/>
      <c r="E1145" s="14">
        <f>IF(D1145="","",IFERROR(INDEX('Sản phẩm'!$B$5:$B$304,MATCH(D1145,'Sản phẩm'!$A$5:$A$304,0)),""))</f>
        <v/>
      </c>
      <c r="F1145" s="12" t="n"/>
      <c r="G1145" s="11" t="n"/>
      <c r="H1145" s="11" t="n"/>
      <c r="I1145" s="16">
        <f>IF(D1145="","",IF(G1145&lt;&gt;"",G1145,IFERROR(INDEX('Sản phẩm'!$E$5:$E$304,MATCH(D1145,'Sản phẩm'!$A$5:$A$304,0)),"")))</f>
        <v/>
      </c>
      <c r="J1145" s="16">
        <f>IF(OR(D1145="",F1145=""),"",F1145*I1145-N(H1145))</f>
        <v/>
      </c>
      <c r="K1145" s="16">
        <f>IF(OR(D1145="",F1145=""),"",F1145*IFERROR(INDEX('Sản phẩm'!$D$5:$D$304,MATCH(D1145,'Sản phẩm'!$A$5:$A$304,0)),""))</f>
        <v/>
      </c>
      <c r="L1145" s="16">
        <f>IF(J1145="","",J1145-K1145)</f>
        <v/>
      </c>
      <c r="M1145" s="14">
        <f>IF(A1145="","",MONTH(A1145))</f>
        <v/>
      </c>
      <c r="N1145" s="14">
        <f>IF(A1145="","",YEAR(A1145))</f>
        <v/>
      </c>
    </row>
    <row r="1146">
      <c r="A1146" s="15" t="n"/>
      <c r="B1146" s="10" t="n"/>
      <c r="C1146" s="10" t="n"/>
      <c r="D1146" s="10" t="n"/>
      <c r="E1146" s="14">
        <f>IF(D1146="","",IFERROR(INDEX('Sản phẩm'!$B$5:$B$304,MATCH(D1146,'Sản phẩm'!$A$5:$A$304,0)),""))</f>
        <v/>
      </c>
      <c r="F1146" s="12" t="n"/>
      <c r="G1146" s="11" t="n"/>
      <c r="H1146" s="11" t="n"/>
      <c r="I1146" s="16">
        <f>IF(D1146="","",IF(G1146&lt;&gt;"",G1146,IFERROR(INDEX('Sản phẩm'!$E$5:$E$304,MATCH(D1146,'Sản phẩm'!$A$5:$A$304,0)),"")))</f>
        <v/>
      </c>
      <c r="J1146" s="16">
        <f>IF(OR(D1146="",F1146=""),"",F1146*I1146-N(H1146))</f>
        <v/>
      </c>
      <c r="K1146" s="16">
        <f>IF(OR(D1146="",F1146=""),"",F1146*IFERROR(INDEX('Sản phẩm'!$D$5:$D$304,MATCH(D1146,'Sản phẩm'!$A$5:$A$304,0)),""))</f>
        <v/>
      </c>
      <c r="L1146" s="16">
        <f>IF(J1146="","",J1146-K1146)</f>
        <v/>
      </c>
      <c r="M1146" s="14">
        <f>IF(A1146="","",MONTH(A1146))</f>
        <v/>
      </c>
      <c r="N1146" s="14">
        <f>IF(A1146="","",YEAR(A1146))</f>
        <v/>
      </c>
    </row>
    <row r="1147">
      <c r="A1147" s="15" t="n"/>
      <c r="B1147" s="10" t="n"/>
      <c r="C1147" s="10" t="n"/>
      <c r="D1147" s="10" t="n"/>
      <c r="E1147" s="14">
        <f>IF(D1147="","",IFERROR(INDEX('Sản phẩm'!$B$5:$B$304,MATCH(D1147,'Sản phẩm'!$A$5:$A$304,0)),""))</f>
        <v/>
      </c>
      <c r="F1147" s="12" t="n"/>
      <c r="G1147" s="11" t="n"/>
      <c r="H1147" s="11" t="n"/>
      <c r="I1147" s="16">
        <f>IF(D1147="","",IF(G1147&lt;&gt;"",G1147,IFERROR(INDEX('Sản phẩm'!$E$5:$E$304,MATCH(D1147,'Sản phẩm'!$A$5:$A$304,0)),"")))</f>
        <v/>
      </c>
      <c r="J1147" s="16">
        <f>IF(OR(D1147="",F1147=""),"",F1147*I1147-N(H1147))</f>
        <v/>
      </c>
      <c r="K1147" s="16">
        <f>IF(OR(D1147="",F1147=""),"",F1147*IFERROR(INDEX('Sản phẩm'!$D$5:$D$304,MATCH(D1147,'Sản phẩm'!$A$5:$A$304,0)),""))</f>
        <v/>
      </c>
      <c r="L1147" s="16">
        <f>IF(J1147="","",J1147-K1147)</f>
        <v/>
      </c>
      <c r="M1147" s="14">
        <f>IF(A1147="","",MONTH(A1147))</f>
        <v/>
      </c>
      <c r="N1147" s="14">
        <f>IF(A1147="","",YEAR(A1147))</f>
        <v/>
      </c>
    </row>
    <row r="1148">
      <c r="A1148" s="15" t="n"/>
      <c r="B1148" s="10" t="n"/>
      <c r="C1148" s="10" t="n"/>
      <c r="D1148" s="10" t="n"/>
      <c r="E1148" s="14">
        <f>IF(D1148="","",IFERROR(INDEX('Sản phẩm'!$B$5:$B$304,MATCH(D1148,'Sản phẩm'!$A$5:$A$304,0)),""))</f>
        <v/>
      </c>
      <c r="F1148" s="12" t="n"/>
      <c r="G1148" s="11" t="n"/>
      <c r="H1148" s="11" t="n"/>
      <c r="I1148" s="16">
        <f>IF(D1148="","",IF(G1148&lt;&gt;"",G1148,IFERROR(INDEX('Sản phẩm'!$E$5:$E$304,MATCH(D1148,'Sản phẩm'!$A$5:$A$304,0)),"")))</f>
        <v/>
      </c>
      <c r="J1148" s="16">
        <f>IF(OR(D1148="",F1148=""),"",F1148*I1148-N(H1148))</f>
        <v/>
      </c>
      <c r="K1148" s="16">
        <f>IF(OR(D1148="",F1148=""),"",F1148*IFERROR(INDEX('Sản phẩm'!$D$5:$D$304,MATCH(D1148,'Sản phẩm'!$A$5:$A$304,0)),""))</f>
        <v/>
      </c>
      <c r="L1148" s="16">
        <f>IF(J1148="","",J1148-K1148)</f>
        <v/>
      </c>
      <c r="M1148" s="14">
        <f>IF(A1148="","",MONTH(A1148))</f>
        <v/>
      </c>
      <c r="N1148" s="14">
        <f>IF(A1148="","",YEAR(A1148))</f>
        <v/>
      </c>
    </row>
    <row r="1149">
      <c r="A1149" s="15" t="n"/>
      <c r="B1149" s="10" t="n"/>
      <c r="C1149" s="10" t="n"/>
      <c r="D1149" s="10" t="n"/>
      <c r="E1149" s="14">
        <f>IF(D1149="","",IFERROR(INDEX('Sản phẩm'!$B$5:$B$304,MATCH(D1149,'Sản phẩm'!$A$5:$A$304,0)),""))</f>
        <v/>
      </c>
      <c r="F1149" s="12" t="n"/>
      <c r="G1149" s="11" t="n"/>
      <c r="H1149" s="11" t="n"/>
      <c r="I1149" s="16">
        <f>IF(D1149="","",IF(G1149&lt;&gt;"",G1149,IFERROR(INDEX('Sản phẩm'!$E$5:$E$304,MATCH(D1149,'Sản phẩm'!$A$5:$A$304,0)),"")))</f>
        <v/>
      </c>
      <c r="J1149" s="16">
        <f>IF(OR(D1149="",F1149=""),"",F1149*I1149-N(H1149))</f>
        <v/>
      </c>
      <c r="K1149" s="16">
        <f>IF(OR(D1149="",F1149=""),"",F1149*IFERROR(INDEX('Sản phẩm'!$D$5:$D$304,MATCH(D1149,'Sản phẩm'!$A$5:$A$304,0)),""))</f>
        <v/>
      </c>
      <c r="L1149" s="16">
        <f>IF(J1149="","",J1149-K1149)</f>
        <v/>
      </c>
      <c r="M1149" s="14">
        <f>IF(A1149="","",MONTH(A1149))</f>
        <v/>
      </c>
      <c r="N1149" s="14">
        <f>IF(A1149="","",YEAR(A1149))</f>
        <v/>
      </c>
    </row>
    <row r="1150">
      <c r="A1150" s="15" t="n"/>
      <c r="B1150" s="10" t="n"/>
      <c r="C1150" s="10" t="n"/>
      <c r="D1150" s="10" t="n"/>
      <c r="E1150" s="14">
        <f>IF(D1150="","",IFERROR(INDEX('Sản phẩm'!$B$5:$B$304,MATCH(D1150,'Sản phẩm'!$A$5:$A$304,0)),""))</f>
        <v/>
      </c>
      <c r="F1150" s="12" t="n"/>
      <c r="G1150" s="11" t="n"/>
      <c r="H1150" s="11" t="n"/>
      <c r="I1150" s="16">
        <f>IF(D1150="","",IF(G1150&lt;&gt;"",G1150,IFERROR(INDEX('Sản phẩm'!$E$5:$E$304,MATCH(D1150,'Sản phẩm'!$A$5:$A$304,0)),"")))</f>
        <v/>
      </c>
      <c r="J1150" s="16">
        <f>IF(OR(D1150="",F1150=""),"",F1150*I1150-N(H1150))</f>
        <v/>
      </c>
      <c r="K1150" s="16">
        <f>IF(OR(D1150="",F1150=""),"",F1150*IFERROR(INDEX('Sản phẩm'!$D$5:$D$304,MATCH(D1150,'Sản phẩm'!$A$5:$A$304,0)),""))</f>
        <v/>
      </c>
      <c r="L1150" s="16">
        <f>IF(J1150="","",J1150-K1150)</f>
        <v/>
      </c>
      <c r="M1150" s="14">
        <f>IF(A1150="","",MONTH(A1150))</f>
        <v/>
      </c>
      <c r="N1150" s="14">
        <f>IF(A1150="","",YEAR(A1150))</f>
        <v/>
      </c>
    </row>
    <row r="1151">
      <c r="A1151" s="15" t="n"/>
      <c r="B1151" s="10" t="n"/>
      <c r="C1151" s="10" t="n"/>
      <c r="D1151" s="10" t="n"/>
      <c r="E1151" s="14">
        <f>IF(D1151="","",IFERROR(INDEX('Sản phẩm'!$B$5:$B$304,MATCH(D1151,'Sản phẩm'!$A$5:$A$304,0)),""))</f>
        <v/>
      </c>
      <c r="F1151" s="12" t="n"/>
      <c r="G1151" s="11" t="n"/>
      <c r="H1151" s="11" t="n"/>
      <c r="I1151" s="16">
        <f>IF(D1151="","",IF(G1151&lt;&gt;"",G1151,IFERROR(INDEX('Sản phẩm'!$E$5:$E$304,MATCH(D1151,'Sản phẩm'!$A$5:$A$304,0)),"")))</f>
        <v/>
      </c>
      <c r="J1151" s="16">
        <f>IF(OR(D1151="",F1151=""),"",F1151*I1151-N(H1151))</f>
        <v/>
      </c>
      <c r="K1151" s="16">
        <f>IF(OR(D1151="",F1151=""),"",F1151*IFERROR(INDEX('Sản phẩm'!$D$5:$D$304,MATCH(D1151,'Sản phẩm'!$A$5:$A$304,0)),""))</f>
        <v/>
      </c>
      <c r="L1151" s="16">
        <f>IF(J1151="","",J1151-K1151)</f>
        <v/>
      </c>
      <c r="M1151" s="14">
        <f>IF(A1151="","",MONTH(A1151))</f>
        <v/>
      </c>
      <c r="N1151" s="14">
        <f>IF(A1151="","",YEAR(A1151))</f>
        <v/>
      </c>
    </row>
    <row r="1152">
      <c r="A1152" s="15" t="n"/>
      <c r="B1152" s="10" t="n"/>
      <c r="C1152" s="10" t="n"/>
      <c r="D1152" s="10" t="n"/>
      <c r="E1152" s="14">
        <f>IF(D1152="","",IFERROR(INDEX('Sản phẩm'!$B$5:$B$304,MATCH(D1152,'Sản phẩm'!$A$5:$A$304,0)),""))</f>
        <v/>
      </c>
      <c r="F1152" s="12" t="n"/>
      <c r="G1152" s="11" t="n"/>
      <c r="H1152" s="11" t="n"/>
      <c r="I1152" s="16">
        <f>IF(D1152="","",IF(G1152&lt;&gt;"",G1152,IFERROR(INDEX('Sản phẩm'!$E$5:$E$304,MATCH(D1152,'Sản phẩm'!$A$5:$A$304,0)),"")))</f>
        <v/>
      </c>
      <c r="J1152" s="16">
        <f>IF(OR(D1152="",F1152=""),"",F1152*I1152-N(H1152))</f>
        <v/>
      </c>
      <c r="K1152" s="16">
        <f>IF(OR(D1152="",F1152=""),"",F1152*IFERROR(INDEX('Sản phẩm'!$D$5:$D$304,MATCH(D1152,'Sản phẩm'!$A$5:$A$304,0)),""))</f>
        <v/>
      </c>
      <c r="L1152" s="16">
        <f>IF(J1152="","",J1152-K1152)</f>
        <v/>
      </c>
      <c r="M1152" s="14">
        <f>IF(A1152="","",MONTH(A1152))</f>
        <v/>
      </c>
      <c r="N1152" s="14">
        <f>IF(A1152="","",YEAR(A1152))</f>
        <v/>
      </c>
    </row>
    <row r="1153">
      <c r="A1153" s="15" t="n"/>
      <c r="B1153" s="10" t="n"/>
      <c r="C1153" s="10" t="n"/>
      <c r="D1153" s="10" t="n"/>
      <c r="E1153" s="14">
        <f>IF(D1153="","",IFERROR(INDEX('Sản phẩm'!$B$5:$B$304,MATCH(D1153,'Sản phẩm'!$A$5:$A$304,0)),""))</f>
        <v/>
      </c>
      <c r="F1153" s="12" t="n"/>
      <c r="G1153" s="11" t="n"/>
      <c r="H1153" s="11" t="n"/>
      <c r="I1153" s="16">
        <f>IF(D1153="","",IF(G1153&lt;&gt;"",G1153,IFERROR(INDEX('Sản phẩm'!$E$5:$E$304,MATCH(D1153,'Sản phẩm'!$A$5:$A$304,0)),"")))</f>
        <v/>
      </c>
      <c r="J1153" s="16">
        <f>IF(OR(D1153="",F1153=""),"",F1153*I1153-N(H1153))</f>
        <v/>
      </c>
      <c r="K1153" s="16">
        <f>IF(OR(D1153="",F1153=""),"",F1153*IFERROR(INDEX('Sản phẩm'!$D$5:$D$304,MATCH(D1153,'Sản phẩm'!$A$5:$A$304,0)),""))</f>
        <v/>
      </c>
      <c r="L1153" s="16">
        <f>IF(J1153="","",J1153-K1153)</f>
        <v/>
      </c>
      <c r="M1153" s="14">
        <f>IF(A1153="","",MONTH(A1153))</f>
        <v/>
      </c>
      <c r="N1153" s="14">
        <f>IF(A1153="","",YEAR(A1153))</f>
        <v/>
      </c>
    </row>
    <row r="1154">
      <c r="A1154" s="15" t="n"/>
      <c r="B1154" s="10" t="n"/>
      <c r="C1154" s="10" t="n"/>
      <c r="D1154" s="10" t="n"/>
      <c r="E1154" s="14">
        <f>IF(D1154="","",IFERROR(INDEX('Sản phẩm'!$B$5:$B$304,MATCH(D1154,'Sản phẩm'!$A$5:$A$304,0)),""))</f>
        <v/>
      </c>
      <c r="F1154" s="12" t="n"/>
      <c r="G1154" s="11" t="n"/>
      <c r="H1154" s="11" t="n"/>
      <c r="I1154" s="16">
        <f>IF(D1154="","",IF(G1154&lt;&gt;"",G1154,IFERROR(INDEX('Sản phẩm'!$E$5:$E$304,MATCH(D1154,'Sản phẩm'!$A$5:$A$304,0)),"")))</f>
        <v/>
      </c>
      <c r="J1154" s="16">
        <f>IF(OR(D1154="",F1154=""),"",F1154*I1154-N(H1154))</f>
        <v/>
      </c>
      <c r="K1154" s="16">
        <f>IF(OR(D1154="",F1154=""),"",F1154*IFERROR(INDEX('Sản phẩm'!$D$5:$D$304,MATCH(D1154,'Sản phẩm'!$A$5:$A$304,0)),""))</f>
        <v/>
      </c>
      <c r="L1154" s="16">
        <f>IF(J1154="","",J1154-K1154)</f>
        <v/>
      </c>
      <c r="M1154" s="14">
        <f>IF(A1154="","",MONTH(A1154))</f>
        <v/>
      </c>
      <c r="N1154" s="14">
        <f>IF(A1154="","",YEAR(A1154))</f>
        <v/>
      </c>
    </row>
    <row r="1155">
      <c r="A1155" s="15" t="n"/>
      <c r="B1155" s="10" t="n"/>
      <c r="C1155" s="10" t="n"/>
      <c r="D1155" s="10" t="n"/>
      <c r="E1155" s="14">
        <f>IF(D1155="","",IFERROR(INDEX('Sản phẩm'!$B$5:$B$304,MATCH(D1155,'Sản phẩm'!$A$5:$A$304,0)),""))</f>
        <v/>
      </c>
      <c r="F1155" s="12" t="n"/>
      <c r="G1155" s="11" t="n"/>
      <c r="H1155" s="11" t="n"/>
      <c r="I1155" s="16">
        <f>IF(D1155="","",IF(G1155&lt;&gt;"",G1155,IFERROR(INDEX('Sản phẩm'!$E$5:$E$304,MATCH(D1155,'Sản phẩm'!$A$5:$A$304,0)),"")))</f>
        <v/>
      </c>
      <c r="J1155" s="16">
        <f>IF(OR(D1155="",F1155=""),"",F1155*I1155-N(H1155))</f>
        <v/>
      </c>
      <c r="K1155" s="16">
        <f>IF(OR(D1155="",F1155=""),"",F1155*IFERROR(INDEX('Sản phẩm'!$D$5:$D$304,MATCH(D1155,'Sản phẩm'!$A$5:$A$304,0)),""))</f>
        <v/>
      </c>
      <c r="L1155" s="16">
        <f>IF(J1155="","",J1155-K1155)</f>
        <v/>
      </c>
      <c r="M1155" s="14">
        <f>IF(A1155="","",MONTH(A1155))</f>
        <v/>
      </c>
      <c r="N1155" s="14">
        <f>IF(A1155="","",YEAR(A1155))</f>
        <v/>
      </c>
    </row>
    <row r="1156">
      <c r="A1156" s="15" t="n"/>
      <c r="B1156" s="10" t="n"/>
      <c r="C1156" s="10" t="n"/>
      <c r="D1156" s="10" t="n"/>
      <c r="E1156" s="14">
        <f>IF(D1156="","",IFERROR(INDEX('Sản phẩm'!$B$5:$B$304,MATCH(D1156,'Sản phẩm'!$A$5:$A$304,0)),""))</f>
        <v/>
      </c>
      <c r="F1156" s="12" t="n"/>
      <c r="G1156" s="11" t="n"/>
      <c r="H1156" s="11" t="n"/>
      <c r="I1156" s="16">
        <f>IF(D1156="","",IF(G1156&lt;&gt;"",G1156,IFERROR(INDEX('Sản phẩm'!$E$5:$E$304,MATCH(D1156,'Sản phẩm'!$A$5:$A$304,0)),"")))</f>
        <v/>
      </c>
      <c r="J1156" s="16">
        <f>IF(OR(D1156="",F1156=""),"",F1156*I1156-N(H1156))</f>
        <v/>
      </c>
      <c r="K1156" s="16">
        <f>IF(OR(D1156="",F1156=""),"",F1156*IFERROR(INDEX('Sản phẩm'!$D$5:$D$304,MATCH(D1156,'Sản phẩm'!$A$5:$A$304,0)),""))</f>
        <v/>
      </c>
      <c r="L1156" s="16">
        <f>IF(J1156="","",J1156-K1156)</f>
        <v/>
      </c>
      <c r="M1156" s="14">
        <f>IF(A1156="","",MONTH(A1156))</f>
        <v/>
      </c>
      <c r="N1156" s="14">
        <f>IF(A1156="","",YEAR(A1156))</f>
        <v/>
      </c>
    </row>
    <row r="1157">
      <c r="A1157" s="15" t="n"/>
      <c r="B1157" s="10" t="n"/>
      <c r="C1157" s="10" t="n"/>
      <c r="D1157" s="10" t="n"/>
      <c r="E1157" s="14">
        <f>IF(D1157="","",IFERROR(INDEX('Sản phẩm'!$B$5:$B$304,MATCH(D1157,'Sản phẩm'!$A$5:$A$304,0)),""))</f>
        <v/>
      </c>
      <c r="F1157" s="12" t="n"/>
      <c r="G1157" s="11" t="n"/>
      <c r="H1157" s="11" t="n"/>
      <c r="I1157" s="16">
        <f>IF(D1157="","",IF(G1157&lt;&gt;"",G1157,IFERROR(INDEX('Sản phẩm'!$E$5:$E$304,MATCH(D1157,'Sản phẩm'!$A$5:$A$304,0)),"")))</f>
        <v/>
      </c>
      <c r="J1157" s="16">
        <f>IF(OR(D1157="",F1157=""),"",F1157*I1157-N(H1157))</f>
        <v/>
      </c>
      <c r="K1157" s="16">
        <f>IF(OR(D1157="",F1157=""),"",F1157*IFERROR(INDEX('Sản phẩm'!$D$5:$D$304,MATCH(D1157,'Sản phẩm'!$A$5:$A$304,0)),""))</f>
        <v/>
      </c>
      <c r="L1157" s="16">
        <f>IF(J1157="","",J1157-K1157)</f>
        <v/>
      </c>
      <c r="M1157" s="14">
        <f>IF(A1157="","",MONTH(A1157))</f>
        <v/>
      </c>
      <c r="N1157" s="14">
        <f>IF(A1157="","",YEAR(A1157))</f>
        <v/>
      </c>
    </row>
    <row r="1158">
      <c r="A1158" s="15" t="n"/>
      <c r="B1158" s="10" t="n"/>
      <c r="C1158" s="10" t="n"/>
      <c r="D1158" s="10" t="n"/>
      <c r="E1158" s="14">
        <f>IF(D1158="","",IFERROR(INDEX('Sản phẩm'!$B$5:$B$304,MATCH(D1158,'Sản phẩm'!$A$5:$A$304,0)),""))</f>
        <v/>
      </c>
      <c r="F1158" s="12" t="n"/>
      <c r="G1158" s="11" t="n"/>
      <c r="H1158" s="11" t="n"/>
      <c r="I1158" s="16">
        <f>IF(D1158="","",IF(G1158&lt;&gt;"",G1158,IFERROR(INDEX('Sản phẩm'!$E$5:$E$304,MATCH(D1158,'Sản phẩm'!$A$5:$A$304,0)),"")))</f>
        <v/>
      </c>
      <c r="J1158" s="16">
        <f>IF(OR(D1158="",F1158=""),"",F1158*I1158-N(H1158))</f>
        <v/>
      </c>
      <c r="K1158" s="16">
        <f>IF(OR(D1158="",F1158=""),"",F1158*IFERROR(INDEX('Sản phẩm'!$D$5:$D$304,MATCH(D1158,'Sản phẩm'!$A$5:$A$304,0)),""))</f>
        <v/>
      </c>
      <c r="L1158" s="16">
        <f>IF(J1158="","",J1158-K1158)</f>
        <v/>
      </c>
      <c r="M1158" s="14">
        <f>IF(A1158="","",MONTH(A1158))</f>
        <v/>
      </c>
      <c r="N1158" s="14">
        <f>IF(A1158="","",YEAR(A1158))</f>
        <v/>
      </c>
    </row>
    <row r="1159">
      <c r="A1159" s="15" t="n"/>
      <c r="B1159" s="10" t="n"/>
      <c r="C1159" s="10" t="n"/>
      <c r="D1159" s="10" t="n"/>
      <c r="E1159" s="14">
        <f>IF(D1159="","",IFERROR(INDEX('Sản phẩm'!$B$5:$B$304,MATCH(D1159,'Sản phẩm'!$A$5:$A$304,0)),""))</f>
        <v/>
      </c>
      <c r="F1159" s="12" t="n"/>
      <c r="G1159" s="11" t="n"/>
      <c r="H1159" s="11" t="n"/>
      <c r="I1159" s="16">
        <f>IF(D1159="","",IF(G1159&lt;&gt;"",G1159,IFERROR(INDEX('Sản phẩm'!$E$5:$E$304,MATCH(D1159,'Sản phẩm'!$A$5:$A$304,0)),"")))</f>
        <v/>
      </c>
      <c r="J1159" s="16">
        <f>IF(OR(D1159="",F1159=""),"",F1159*I1159-N(H1159))</f>
        <v/>
      </c>
      <c r="K1159" s="16">
        <f>IF(OR(D1159="",F1159=""),"",F1159*IFERROR(INDEX('Sản phẩm'!$D$5:$D$304,MATCH(D1159,'Sản phẩm'!$A$5:$A$304,0)),""))</f>
        <v/>
      </c>
      <c r="L1159" s="16">
        <f>IF(J1159="","",J1159-K1159)</f>
        <v/>
      </c>
      <c r="M1159" s="14">
        <f>IF(A1159="","",MONTH(A1159))</f>
        <v/>
      </c>
      <c r="N1159" s="14">
        <f>IF(A1159="","",YEAR(A1159))</f>
        <v/>
      </c>
    </row>
    <row r="1160">
      <c r="A1160" s="15" t="n"/>
      <c r="B1160" s="10" t="n"/>
      <c r="C1160" s="10" t="n"/>
      <c r="D1160" s="10" t="n"/>
      <c r="E1160" s="14">
        <f>IF(D1160="","",IFERROR(INDEX('Sản phẩm'!$B$5:$B$304,MATCH(D1160,'Sản phẩm'!$A$5:$A$304,0)),""))</f>
        <v/>
      </c>
      <c r="F1160" s="12" t="n"/>
      <c r="G1160" s="11" t="n"/>
      <c r="H1160" s="11" t="n"/>
      <c r="I1160" s="16">
        <f>IF(D1160="","",IF(G1160&lt;&gt;"",G1160,IFERROR(INDEX('Sản phẩm'!$E$5:$E$304,MATCH(D1160,'Sản phẩm'!$A$5:$A$304,0)),"")))</f>
        <v/>
      </c>
      <c r="J1160" s="16">
        <f>IF(OR(D1160="",F1160=""),"",F1160*I1160-N(H1160))</f>
        <v/>
      </c>
      <c r="K1160" s="16">
        <f>IF(OR(D1160="",F1160=""),"",F1160*IFERROR(INDEX('Sản phẩm'!$D$5:$D$304,MATCH(D1160,'Sản phẩm'!$A$5:$A$304,0)),""))</f>
        <v/>
      </c>
      <c r="L1160" s="16">
        <f>IF(J1160="","",J1160-K1160)</f>
        <v/>
      </c>
      <c r="M1160" s="14">
        <f>IF(A1160="","",MONTH(A1160))</f>
        <v/>
      </c>
      <c r="N1160" s="14">
        <f>IF(A1160="","",YEAR(A1160))</f>
        <v/>
      </c>
    </row>
    <row r="1161">
      <c r="A1161" s="15" t="n"/>
      <c r="B1161" s="10" t="n"/>
      <c r="C1161" s="10" t="n"/>
      <c r="D1161" s="10" t="n"/>
      <c r="E1161" s="14">
        <f>IF(D1161="","",IFERROR(INDEX('Sản phẩm'!$B$5:$B$304,MATCH(D1161,'Sản phẩm'!$A$5:$A$304,0)),""))</f>
        <v/>
      </c>
      <c r="F1161" s="12" t="n"/>
      <c r="G1161" s="11" t="n"/>
      <c r="H1161" s="11" t="n"/>
      <c r="I1161" s="16">
        <f>IF(D1161="","",IF(G1161&lt;&gt;"",G1161,IFERROR(INDEX('Sản phẩm'!$E$5:$E$304,MATCH(D1161,'Sản phẩm'!$A$5:$A$304,0)),"")))</f>
        <v/>
      </c>
      <c r="J1161" s="16">
        <f>IF(OR(D1161="",F1161=""),"",F1161*I1161-N(H1161))</f>
        <v/>
      </c>
      <c r="K1161" s="16">
        <f>IF(OR(D1161="",F1161=""),"",F1161*IFERROR(INDEX('Sản phẩm'!$D$5:$D$304,MATCH(D1161,'Sản phẩm'!$A$5:$A$304,0)),""))</f>
        <v/>
      </c>
      <c r="L1161" s="16">
        <f>IF(J1161="","",J1161-K1161)</f>
        <v/>
      </c>
      <c r="M1161" s="14">
        <f>IF(A1161="","",MONTH(A1161))</f>
        <v/>
      </c>
      <c r="N1161" s="14">
        <f>IF(A1161="","",YEAR(A1161))</f>
        <v/>
      </c>
    </row>
    <row r="1162">
      <c r="A1162" s="15" t="n"/>
      <c r="B1162" s="10" t="n"/>
      <c r="C1162" s="10" t="n"/>
      <c r="D1162" s="10" t="n"/>
      <c r="E1162" s="14">
        <f>IF(D1162="","",IFERROR(INDEX('Sản phẩm'!$B$5:$B$304,MATCH(D1162,'Sản phẩm'!$A$5:$A$304,0)),""))</f>
        <v/>
      </c>
      <c r="F1162" s="12" t="n"/>
      <c r="G1162" s="11" t="n"/>
      <c r="H1162" s="11" t="n"/>
      <c r="I1162" s="16">
        <f>IF(D1162="","",IF(G1162&lt;&gt;"",G1162,IFERROR(INDEX('Sản phẩm'!$E$5:$E$304,MATCH(D1162,'Sản phẩm'!$A$5:$A$304,0)),"")))</f>
        <v/>
      </c>
      <c r="J1162" s="16">
        <f>IF(OR(D1162="",F1162=""),"",F1162*I1162-N(H1162))</f>
        <v/>
      </c>
      <c r="K1162" s="16">
        <f>IF(OR(D1162="",F1162=""),"",F1162*IFERROR(INDEX('Sản phẩm'!$D$5:$D$304,MATCH(D1162,'Sản phẩm'!$A$5:$A$304,0)),""))</f>
        <v/>
      </c>
      <c r="L1162" s="16">
        <f>IF(J1162="","",J1162-K1162)</f>
        <v/>
      </c>
      <c r="M1162" s="14">
        <f>IF(A1162="","",MONTH(A1162))</f>
        <v/>
      </c>
      <c r="N1162" s="14">
        <f>IF(A1162="","",YEAR(A1162))</f>
        <v/>
      </c>
    </row>
    <row r="1163">
      <c r="A1163" s="15" t="n"/>
      <c r="B1163" s="10" t="n"/>
      <c r="C1163" s="10" t="n"/>
      <c r="D1163" s="10" t="n"/>
      <c r="E1163" s="14">
        <f>IF(D1163="","",IFERROR(INDEX('Sản phẩm'!$B$5:$B$304,MATCH(D1163,'Sản phẩm'!$A$5:$A$304,0)),""))</f>
        <v/>
      </c>
      <c r="F1163" s="12" t="n"/>
      <c r="G1163" s="11" t="n"/>
      <c r="H1163" s="11" t="n"/>
      <c r="I1163" s="16">
        <f>IF(D1163="","",IF(G1163&lt;&gt;"",G1163,IFERROR(INDEX('Sản phẩm'!$E$5:$E$304,MATCH(D1163,'Sản phẩm'!$A$5:$A$304,0)),"")))</f>
        <v/>
      </c>
      <c r="J1163" s="16">
        <f>IF(OR(D1163="",F1163=""),"",F1163*I1163-N(H1163))</f>
        <v/>
      </c>
      <c r="K1163" s="16">
        <f>IF(OR(D1163="",F1163=""),"",F1163*IFERROR(INDEX('Sản phẩm'!$D$5:$D$304,MATCH(D1163,'Sản phẩm'!$A$5:$A$304,0)),""))</f>
        <v/>
      </c>
      <c r="L1163" s="16">
        <f>IF(J1163="","",J1163-K1163)</f>
        <v/>
      </c>
      <c r="M1163" s="14">
        <f>IF(A1163="","",MONTH(A1163))</f>
        <v/>
      </c>
      <c r="N1163" s="14">
        <f>IF(A1163="","",YEAR(A1163))</f>
        <v/>
      </c>
    </row>
    <row r="1164">
      <c r="A1164" s="15" t="n"/>
      <c r="B1164" s="10" t="n"/>
      <c r="C1164" s="10" t="n"/>
      <c r="D1164" s="10" t="n"/>
      <c r="E1164" s="14">
        <f>IF(D1164="","",IFERROR(INDEX('Sản phẩm'!$B$5:$B$304,MATCH(D1164,'Sản phẩm'!$A$5:$A$304,0)),""))</f>
        <v/>
      </c>
      <c r="F1164" s="12" t="n"/>
      <c r="G1164" s="11" t="n"/>
      <c r="H1164" s="11" t="n"/>
      <c r="I1164" s="16">
        <f>IF(D1164="","",IF(G1164&lt;&gt;"",G1164,IFERROR(INDEX('Sản phẩm'!$E$5:$E$304,MATCH(D1164,'Sản phẩm'!$A$5:$A$304,0)),"")))</f>
        <v/>
      </c>
      <c r="J1164" s="16">
        <f>IF(OR(D1164="",F1164=""),"",F1164*I1164-N(H1164))</f>
        <v/>
      </c>
      <c r="K1164" s="16">
        <f>IF(OR(D1164="",F1164=""),"",F1164*IFERROR(INDEX('Sản phẩm'!$D$5:$D$304,MATCH(D1164,'Sản phẩm'!$A$5:$A$304,0)),""))</f>
        <v/>
      </c>
      <c r="L1164" s="16">
        <f>IF(J1164="","",J1164-K1164)</f>
        <v/>
      </c>
      <c r="M1164" s="14">
        <f>IF(A1164="","",MONTH(A1164))</f>
        <v/>
      </c>
      <c r="N1164" s="14">
        <f>IF(A1164="","",YEAR(A1164))</f>
        <v/>
      </c>
    </row>
    <row r="1165">
      <c r="A1165" s="15" t="n"/>
      <c r="B1165" s="10" t="n"/>
      <c r="C1165" s="10" t="n"/>
      <c r="D1165" s="10" t="n"/>
      <c r="E1165" s="14">
        <f>IF(D1165="","",IFERROR(INDEX('Sản phẩm'!$B$5:$B$304,MATCH(D1165,'Sản phẩm'!$A$5:$A$304,0)),""))</f>
        <v/>
      </c>
      <c r="F1165" s="12" t="n"/>
      <c r="G1165" s="11" t="n"/>
      <c r="H1165" s="11" t="n"/>
      <c r="I1165" s="16">
        <f>IF(D1165="","",IF(G1165&lt;&gt;"",G1165,IFERROR(INDEX('Sản phẩm'!$E$5:$E$304,MATCH(D1165,'Sản phẩm'!$A$5:$A$304,0)),"")))</f>
        <v/>
      </c>
      <c r="J1165" s="16">
        <f>IF(OR(D1165="",F1165=""),"",F1165*I1165-N(H1165))</f>
        <v/>
      </c>
      <c r="K1165" s="16">
        <f>IF(OR(D1165="",F1165=""),"",F1165*IFERROR(INDEX('Sản phẩm'!$D$5:$D$304,MATCH(D1165,'Sản phẩm'!$A$5:$A$304,0)),""))</f>
        <v/>
      </c>
      <c r="L1165" s="16">
        <f>IF(J1165="","",J1165-K1165)</f>
        <v/>
      </c>
      <c r="M1165" s="14">
        <f>IF(A1165="","",MONTH(A1165))</f>
        <v/>
      </c>
      <c r="N1165" s="14">
        <f>IF(A1165="","",YEAR(A1165))</f>
        <v/>
      </c>
    </row>
    <row r="1166">
      <c r="A1166" s="15" t="n"/>
      <c r="B1166" s="10" t="n"/>
      <c r="C1166" s="10" t="n"/>
      <c r="D1166" s="10" t="n"/>
      <c r="E1166" s="14">
        <f>IF(D1166="","",IFERROR(INDEX('Sản phẩm'!$B$5:$B$304,MATCH(D1166,'Sản phẩm'!$A$5:$A$304,0)),""))</f>
        <v/>
      </c>
      <c r="F1166" s="12" t="n"/>
      <c r="G1166" s="11" t="n"/>
      <c r="H1166" s="11" t="n"/>
      <c r="I1166" s="16">
        <f>IF(D1166="","",IF(G1166&lt;&gt;"",G1166,IFERROR(INDEX('Sản phẩm'!$E$5:$E$304,MATCH(D1166,'Sản phẩm'!$A$5:$A$304,0)),"")))</f>
        <v/>
      </c>
      <c r="J1166" s="16">
        <f>IF(OR(D1166="",F1166=""),"",F1166*I1166-N(H1166))</f>
        <v/>
      </c>
      <c r="K1166" s="16">
        <f>IF(OR(D1166="",F1166=""),"",F1166*IFERROR(INDEX('Sản phẩm'!$D$5:$D$304,MATCH(D1166,'Sản phẩm'!$A$5:$A$304,0)),""))</f>
        <v/>
      </c>
      <c r="L1166" s="16">
        <f>IF(J1166="","",J1166-K1166)</f>
        <v/>
      </c>
      <c r="M1166" s="14">
        <f>IF(A1166="","",MONTH(A1166))</f>
        <v/>
      </c>
      <c r="N1166" s="14">
        <f>IF(A1166="","",YEAR(A1166))</f>
        <v/>
      </c>
    </row>
    <row r="1167">
      <c r="A1167" s="15" t="n"/>
      <c r="B1167" s="10" t="n"/>
      <c r="C1167" s="10" t="n"/>
      <c r="D1167" s="10" t="n"/>
      <c r="E1167" s="14">
        <f>IF(D1167="","",IFERROR(INDEX('Sản phẩm'!$B$5:$B$304,MATCH(D1167,'Sản phẩm'!$A$5:$A$304,0)),""))</f>
        <v/>
      </c>
      <c r="F1167" s="12" t="n"/>
      <c r="G1167" s="11" t="n"/>
      <c r="H1167" s="11" t="n"/>
      <c r="I1167" s="16">
        <f>IF(D1167="","",IF(G1167&lt;&gt;"",G1167,IFERROR(INDEX('Sản phẩm'!$E$5:$E$304,MATCH(D1167,'Sản phẩm'!$A$5:$A$304,0)),"")))</f>
        <v/>
      </c>
      <c r="J1167" s="16">
        <f>IF(OR(D1167="",F1167=""),"",F1167*I1167-N(H1167))</f>
        <v/>
      </c>
      <c r="K1167" s="16">
        <f>IF(OR(D1167="",F1167=""),"",F1167*IFERROR(INDEX('Sản phẩm'!$D$5:$D$304,MATCH(D1167,'Sản phẩm'!$A$5:$A$304,0)),""))</f>
        <v/>
      </c>
      <c r="L1167" s="16">
        <f>IF(J1167="","",J1167-K1167)</f>
        <v/>
      </c>
      <c r="M1167" s="14">
        <f>IF(A1167="","",MONTH(A1167))</f>
        <v/>
      </c>
      <c r="N1167" s="14">
        <f>IF(A1167="","",YEAR(A1167))</f>
        <v/>
      </c>
    </row>
    <row r="1168">
      <c r="A1168" s="15" t="n"/>
      <c r="B1168" s="10" t="n"/>
      <c r="C1168" s="10" t="n"/>
      <c r="D1168" s="10" t="n"/>
      <c r="E1168" s="14">
        <f>IF(D1168="","",IFERROR(INDEX('Sản phẩm'!$B$5:$B$304,MATCH(D1168,'Sản phẩm'!$A$5:$A$304,0)),""))</f>
        <v/>
      </c>
      <c r="F1168" s="12" t="n"/>
      <c r="G1168" s="11" t="n"/>
      <c r="H1168" s="11" t="n"/>
      <c r="I1168" s="16">
        <f>IF(D1168="","",IF(G1168&lt;&gt;"",G1168,IFERROR(INDEX('Sản phẩm'!$E$5:$E$304,MATCH(D1168,'Sản phẩm'!$A$5:$A$304,0)),"")))</f>
        <v/>
      </c>
      <c r="J1168" s="16">
        <f>IF(OR(D1168="",F1168=""),"",F1168*I1168-N(H1168))</f>
        <v/>
      </c>
      <c r="K1168" s="16">
        <f>IF(OR(D1168="",F1168=""),"",F1168*IFERROR(INDEX('Sản phẩm'!$D$5:$D$304,MATCH(D1168,'Sản phẩm'!$A$5:$A$304,0)),""))</f>
        <v/>
      </c>
      <c r="L1168" s="16">
        <f>IF(J1168="","",J1168-K1168)</f>
        <v/>
      </c>
      <c r="M1168" s="14">
        <f>IF(A1168="","",MONTH(A1168))</f>
        <v/>
      </c>
      <c r="N1168" s="14">
        <f>IF(A1168="","",YEAR(A1168))</f>
        <v/>
      </c>
    </row>
    <row r="1169">
      <c r="A1169" s="15" t="n"/>
      <c r="B1169" s="10" t="n"/>
      <c r="C1169" s="10" t="n"/>
      <c r="D1169" s="10" t="n"/>
      <c r="E1169" s="14">
        <f>IF(D1169="","",IFERROR(INDEX('Sản phẩm'!$B$5:$B$304,MATCH(D1169,'Sản phẩm'!$A$5:$A$304,0)),""))</f>
        <v/>
      </c>
      <c r="F1169" s="12" t="n"/>
      <c r="G1169" s="11" t="n"/>
      <c r="H1169" s="11" t="n"/>
      <c r="I1169" s="16">
        <f>IF(D1169="","",IF(G1169&lt;&gt;"",G1169,IFERROR(INDEX('Sản phẩm'!$E$5:$E$304,MATCH(D1169,'Sản phẩm'!$A$5:$A$304,0)),"")))</f>
        <v/>
      </c>
      <c r="J1169" s="16">
        <f>IF(OR(D1169="",F1169=""),"",F1169*I1169-N(H1169))</f>
        <v/>
      </c>
      <c r="K1169" s="16">
        <f>IF(OR(D1169="",F1169=""),"",F1169*IFERROR(INDEX('Sản phẩm'!$D$5:$D$304,MATCH(D1169,'Sản phẩm'!$A$5:$A$304,0)),""))</f>
        <v/>
      </c>
      <c r="L1169" s="16">
        <f>IF(J1169="","",J1169-K1169)</f>
        <v/>
      </c>
      <c r="M1169" s="14">
        <f>IF(A1169="","",MONTH(A1169))</f>
        <v/>
      </c>
      <c r="N1169" s="14">
        <f>IF(A1169="","",YEAR(A1169))</f>
        <v/>
      </c>
    </row>
    <row r="1170">
      <c r="A1170" s="15" t="n"/>
      <c r="B1170" s="10" t="n"/>
      <c r="C1170" s="10" t="n"/>
      <c r="D1170" s="10" t="n"/>
      <c r="E1170" s="14">
        <f>IF(D1170="","",IFERROR(INDEX('Sản phẩm'!$B$5:$B$304,MATCH(D1170,'Sản phẩm'!$A$5:$A$304,0)),""))</f>
        <v/>
      </c>
      <c r="F1170" s="12" t="n"/>
      <c r="G1170" s="11" t="n"/>
      <c r="H1170" s="11" t="n"/>
      <c r="I1170" s="16">
        <f>IF(D1170="","",IF(G1170&lt;&gt;"",G1170,IFERROR(INDEX('Sản phẩm'!$E$5:$E$304,MATCH(D1170,'Sản phẩm'!$A$5:$A$304,0)),"")))</f>
        <v/>
      </c>
      <c r="J1170" s="16">
        <f>IF(OR(D1170="",F1170=""),"",F1170*I1170-N(H1170))</f>
        <v/>
      </c>
      <c r="K1170" s="16">
        <f>IF(OR(D1170="",F1170=""),"",F1170*IFERROR(INDEX('Sản phẩm'!$D$5:$D$304,MATCH(D1170,'Sản phẩm'!$A$5:$A$304,0)),""))</f>
        <v/>
      </c>
      <c r="L1170" s="16">
        <f>IF(J1170="","",J1170-K1170)</f>
        <v/>
      </c>
      <c r="M1170" s="14">
        <f>IF(A1170="","",MONTH(A1170))</f>
        <v/>
      </c>
      <c r="N1170" s="14">
        <f>IF(A1170="","",YEAR(A1170))</f>
        <v/>
      </c>
    </row>
    <row r="1171">
      <c r="A1171" s="15" t="n"/>
      <c r="B1171" s="10" t="n"/>
      <c r="C1171" s="10" t="n"/>
      <c r="D1171" s="10" t="n"/>
      <c r="E1171" s="14">
        <f>IF(D1171="","",IFERROR(INDEX('Sản phẩm'!$B$5:$B$304,MATCH(D1171,'Sản phẩm'!$A$5:$A$304,0)),""))</f>
        <v/>
      </c>
      <c r="F1171" s="12" t="n"/>
      <c r="G1171" s="11" t="n"/>
      <c r="H1171" s="11" t="n"/>
      <c r="I1171" s="16">
        <f>IF(D1171="","",IF(G1171&lt;&gt;"",G1171,IFERROR(INDEX('Sản phẩm'!$E$5:$E$304,MATCH(D1171,'Sản phẩm'!$A$5:$A$304,0)),"")))</f>
        <v/>
      </c>
      <c r="J1171" s="16">
        <f>IF(OR(D1171="",F1171=""),"",F1171*I1171-N(H1171))</f>
        <v/>
      </c>
      <c r="K1171" s="16">
        <f>IF(OR(D1171="",F1171=""),"",F1171*IFERROR(INDEX('Sản phẩm'!$D$5:$D$304,MATCH(D1171,'Sản phẩm'!$A$5:$A$304,0)),""))</f>
        <v/>
      </c>
      <c r="L1171" s="16">
        <f>IF(J1171="","",J1171-K1171)</f>
        <v/>
      </c>
      <c r="M1171" s="14">
        <f>IF(A1171="","",MONTH(A1171))</f>
        <v/>
      </c>
      <c r="N1171" s="14">
        <f>IF(A1171="","",YEAR(A1171))</f>
        <v/>
      </c>
    </row>
    <row r="1172">
      <c r="A1172" s="15" t="n"/>
      <c r="B1172" s="10" t="n"/>
      <c r="C1172" s="10" t="n"/>
      <c r="D1172" s="10" t="n"/>
      <c r="E1172" s="14">
        <f>IF(D1172="","",IFERROR(INDEX('Sản phẩm'!$B$5:$B$304,MATCH(D1172,'Sản phẩm'!$A$5:$A$304,0)),""))</f>
        <v/>
      </c>
      <c r="F1172" s="12" t="n"/>
      <c r="G1172" s="11" t="n"/>
      <c r="H1172" s="11" t="n"/>
      <c r="I1172" s="16">
        <f>IF(D1172="","",IF(G1172&lt;&gt;"",G1172,IFERROR(INDEX('Sản phẩm'!$E$5:$E$304,MATCH(D1172,'Sản phẩm'!$A$5:$A$304,0)),"")))</f>
        <v/>
      </c>
      <c r="J1172" s="16">
        <f>IF(OR(D1172="",F1172=""),"",F1172*I1172-N(H1172))</f>
        <v/>
      </c>
      <c r="K1172" s="16">
        <f>IF(OR(D1172="",F1172=""),"",F1172*IFERROR(INDEX('Sản phẩm'!$D$5:$D$304,MATCH(D1172,'Sản phẩm'!$A$5:$A$304,0)),""))</f>
        <v/>
      </c>
      <c r="L1172" s="16">
        <f>IF(J1172="","",J1172-K1172)</f>
        <v/>
      </c>
      <c r="M1172" s="14">
        <f>IF(A1172="","",MONTH(A1172))</f>
        <v/>
      </c>
      <c r="N1172" s="14">
        <f>IF(A1172="","",YEAR(A1172))</f>
        <v/>
      </c>
    </row>
    <row r="1173">
      <c r="A1173" s="15" t="n"/>
      <c r="B1173" s="10" t="n"/>
      <c r="C1173" s="10" t="n"/>
      <c r="D1173" s="10" t="n"/>
      <c r="E1173" s="14">
        <f>IF(D1173="","",IFERROR(INDEX('Sản phẩm'!$B$5:$B$304,MATCH(D1173,'Sản phẩm'!$A$5:$A$304,0)),""))</f>
        <v/>
      </c>
      <c r="F1173" s="12" t="n"/>
      <c r="G1173" s="11" t="n"/>
      <c r="H1173" s="11" t="n"/>
      <c r="I1173" s="16">
        <f>IF(D1173="","",IF(G1173&lt;&gt;"",G1173,IFERROR(INDEX('Sản phẩm'!$E$5:$E$304,MATCH(D1173,'Sản phẩm'!$A$5:$A$304,0)),"")))</f>
        <v/>
      </c>
      <c r="J1173" s="16">
        <f>IF(OR(D1173="",F1173=""),"",F1173*I1173-N(H1173))</f>
        <v/>
      </c>
      <c r="K1173" s="16">
        <f>IF(OR(D1173="",F1173=""),"",F1173*IFERROR(INDEX('Sản phẩm'!$D$5:$D$304,MATCH(D1173,'Sản phẩm'!$A$5:$A$304,0)),""))</f>
        <v/>
      </c>
      <c r="L1173" s="16">
        <f>IF(J1173="","",J1173-K1173)</f>
        <v/>
      </c>
      <c r="M1173" s="14">
        <f>IF(A1173="","",MONTH(A1173))</f>
        <v/>
      </c>
      <c r="N1173" s="14">
        <f>IF(A1173="","",YEAR(A1173))</f>
        <v/>
      </c>
    </row>
    <row r="1174">
      <c r="A1174" s="15" t="n"/>
      <c r="B1174" s="10" t="n"/>
      <c r="C1174" s="10" t="n"/>
      <c r="D1174" s="10" t="n"/>
      <c r="E1174" s="14">
        <f>IF(D1174="","",IFERROR(INDEX('Sản phẩm'!$B$5:$B$304,MATCH(D1174,'Sản phẩm'!$A$5:$A$304,0)),""))</f>
        <v/>
      </c>
      <c r="F1174" s="12" t="n"/>
      <c r="G1174" s="11" t="n"/>
      <c r="H1174" s="11" t="n"/>
      <c r="I1174" s="16">
        <f>IF(D1174="","",IF(G1174&lt;&gt;"",G1174,IFERROR(INDEX('Sản phẩm'!$E$5:$E$304,MATCH(D1174,'Sản phẩm'!$A$5:$A$304,0)),"")))</f>
        <v/>
      </c>
      <c r="J1174" s="16">
        <f>IF(OR(D1174="",F1174=""),"",F1174*I1174-N(H1174))</f>
        <v/>
      </c>
      <c r="K1174" s="16">
        <f>IF(OR(D1174="",F1174=""),"",F1174*IFERROR(INDEX('Sản phẩm'!$D$5:$D$304,MATCH(D1174,'Sản phẩm'!$A$5:$A$304,0)),""))</f>
        <v/>
      </c>
      <c r="L1174" s="16">
        <f>IF(J1174="","",J1174-K1174)</f>
        <v/>
      </c>
      <c r="M1174" s="14">
        <f>IF(A1174="","",MONTH(A1174))</f>
        <v/>
      </c>
      <c r="N1174" s="14">
        <f>IF(A1174="","",YEAR(A1174))</f>
        <v/>
      </c>
    </row>
    <row r="1175">
      <c r="A1175" s="15" t="n"/>
      <c r="B1175" s="10" t="n"/>
      <c r="C1175" s="10" t="n"/>
      <c r="D1175" s="10" t="n"/>
      <c r="E1175" s="14">
        <f>IF(D1175="","",IFERROR(INDEX('Sản phẩm'!$B$5:$B$304,MATCH(D1175,'Sản phẩm'!$A$5:$A$304,0)),""))</f>
        <v/>
      </c>
      <c r="F1175" s="12" t="n"/>
      <c r="G1175" s="11" t="n"/>
      <c r="H1175" s="11" t="n"/>
      <c r="I1175" s="16">
        <f>IF(D1175="","",IF(G1175&lt;&gt;"",G1175,IFERROR(INDEX('Sản phẩm'!$E$5:$E$304,MATCH(D1175,'Sản phẩm'!$A$5:$A$304,0)),"")))</f>
        <v/>
      </c>
      <c r="J1175" s="16">
        <f>IF(OR(D1175="",F1175=""),"",F1175*I1175-N(H1175))</f>
        <v/>
      </c>
      <c r="K1175" s="16">
        <f>IF(OR(D1175="",F1175=""),"",F1175*IFERROR(INDEX('Sản phẩm'!$D$5:$D$304,MATCH(D1175,'Sản phẩm'!$A$5:$A$304,0)),""))</f>
        <v/>
      </c>
      <c r="L1175" s="16">
        <f>IF(J1175="","",J1175-K1175)</f>
        <v/>
      </c>
      <c r="M1175" s="14">
        <f>IF(A1175="","",MONTH(A1175))</f>
        <v/>
      </c>
      <c r="N1175" s="14">
        <f>IF(A1175="","",YEAR(A1175))</f>
        <v/>
      </c>
    </row>
    <row r="1176">
      <c r="A1176" s="15" t="n"/>
      <c r="B1176" s="10" t="n"/>
      <c r="C1176" s="10" t="n"/>
      <c r="D1176" s="10" t="n"/>
      <c r="E1176" s="14">
        <f>IF(D1176="","",IFERROR(INDEX('Sản phẩm'!$B$5:$B$304,MATCH(D1176,'Sản phẩm'!$A$5:$A$304,0)),""))</f>
        <v/>
      </c>
      <c r="F1176" s="12" t="n"/>
      <c r="G1176" s="11" t="n"/>
      <c r="H1176" s="11" t="n"/>
      <c r="I1176" s="16">
        <f>IF(D1176="","",IF(G1176&lt;&gt;"",G1176,IFERROR(INDEX('Sản phẩm'!$E$5:$E$304,MATCH(D1176,'Sản phẩm'!$A$5:$A$304,0)),"")))</f>
        <v/>
      </c>
      <c r="J1176" s="16">
        <f>IF(OR(D1176="",F1176=""),"",F1176*I1176-N(H1176))</f>
        <v/>
      </c>
      <c r="K1176" s="16">
        <f>IF(OR(D1176="",F1176=""),"",F1176*IFERROR(INDEX('Sản phẩm'!$D$5:$D$304,MATCH(D1176,'Sản phẩm'!$A$5:$A$304,0)),""))</f>
        <v/>
      </c>
      <c r="L1176" s="16">
        <f>IF(J1176="","",J1176-K1176)</f>
        <v/>
      </c>
      <c r="M1176" s="14">
        <f>IF(A1176="","",MONTH(A1176))</f>
        <v/>
      </c>
      <c r="N1176" s="14">
        <f>IF(A1176="","",YEAR(A1176))</f>
        <v/>
      </c>
    </row>
    <row r="1177">
      <c r="A1177" s="15" t="n"/>
      <c r="B1177" s="10" t="n"/>
      <c r="C1177" s="10" t="n"/>
      <c r="D1177" s="10" t="n"/>
      <c r="E1177" s="14">
        <f>IF(D1177="","",IFERROR(INDEX('Sản phẩm'!$B$5:$B$304,MATCH(D1177,'Sản phẩm'!$A$5:$A$304,0)),""))</f>
        <v/>
      </c>
      <c r="F1177" s="12" t="n"/>
      <c r="G1177" s="11" t="n"/>
      <c r="H1177" s="11" t="n"/>
      <c r="I1177" s="16">
        <f>IF(D1177="","",IF(G1177&lt;&gt;"",G1177,IFERROR(INDEX('Sản phẩm'!$E$5:$E$304,MATCH(D1177,'Sản phẩm'!$A$5:$A$304,0)),"")))</f>
        <v/>
      </c>
      <c r="J1177" s="16">
        <f>IF(OR(D1177="",F1177=""),"",F1177*I1177-N(H1177))</f>
        <v/>
      </c>
      <c r="K1177" s="16">
        <f>IF(OR(D1177="",F1177=""),"",F1177*IFERROR(INDEX('Sản phẩm'!$D$5:$D$304,MATCH(D1177,'Sản phẩm'!$A$5:$A$304,0)),""))</f>
        <v/>
      </c>
      <c r="L1177" s="16">
        <f>IF(J1177="","",J1177-K1177)</f>
        <v/>
      </c>
      <c r="M1177" s="14">
        <f>IF(A1177="","",MONTH(A1177))</f>
        <v/>
      </c>
      <c r="N1177" s="14">
        <f>IF(A1177="","",YEAR(A1177))</f>
        <v/>
      </c>
    </row>
    <row r="1178">
      <c r="A1178" s="15" t="n"/>
      <c r="B1178" s="10" t="n"/>
      <c r="C1178" s="10" t="n"/>
      <c r="D1178" s="10" t="n"/>
      <c r="E1178" s="14">
        <f>IF(D1178="","",IFERROR(INDEX('Sản phẩm'!$B$5:$B$304,MATCH(D1178,'Sản phẩm'!$A$5:$A$304,0)),""))</f>
        <v/>
      </c>
      <c r="F1178" s="12" t="n"/>
      <c r="G1178" s="11" t="n"/>
      <c r="H1178" s="11" t="n"/>
      <c r="I1178" s="16">
        <f>IF(D1178="","",IF(G1178&lt;&gt;"",G1178,IFERROR(INDEX('Sản phẩm'!$E$5:$E$304,MATCH(D1178,'Sản phẩm'!$A$5:$A$304,0)),"")))</f>
        <v/>
      </c>
      <c r="J1178" s="16">
        <f>IF(OR(D1178="",F1178=""),"",F1178*I1178-N(H1178))</f>
        <v/>
      </c>
      <c r="K1178" s="16">
        <f>IF(OR(D1178="",F1178=""),"",F1178*IFERROR(INDEX('Sản phẩm'!$D$5:$D$304,MATCH(D1178,'Sản phẩm'!$A$5:$A$304,0)),""))</f>
        <v/>
      </c>
      <c r="L1178" s="16">
        <f>IF(J1178="","",J1178-K1178)</f>
        <v/>
      </c>
      <c r="M1178" s="14">
        <f>IF(A1178="","",MONTH(A1178))</f>
        <v/>
      </c>
      <c r="N1178" s="14">
        <f>IF(A1178="","",YEAR(A1178))</f>
        <v/>
      </c>
    </row>
    <row r="1179">
      <c r="A1179" s="15" t="n"/>
      <c r="B1179" s="10" t="n"/>
      <c r="C1179" s="10" t="n"/>
      <c r="D1179" s="10" t="n"/>
      <c r="E1179" s="14">
        <f>IF(D1179="","",IFERROR(INDEX('Sản phẩm'!$B$5:$B$304,MATCH(D1179,'Sản phẩm'!$A$5:$A$304,0)),""))</f>
        <v/>
      </c>
      <c r="F1179" s="12" t="n"/>
      <c r="G1179" s="11" t="n"/>
      <c r="H1179" s="11" t="n"/>
      <c r="I1179" s="16">
        <f>IF(D1179="","",IF(G1179&lt;&gt;"",G1179,IFERROR(INDEX('Sản phẩm'!$E$5:$E$304,MATCH(D1179,'Sản phẩm'!$A$5:$A$304,0)),"")))</f>
        <v/>
      </c>
      <c r="J1179" s="16">
        <f>IF(OR(D1179="",F1179=""),"",F1179*I1179-N(H1179))</f>
        <v/>
      </c>
      <c r="K1179" s="16">
        <f>IF(OR(D1179="",F1179=""),"",F1179*IFERROR(INDEX('Sản phẩm'!$D$5:$D$304,MATCH(D1179,'Sản phẩm'!$A$5:$A$304,0)),""))</f>
        <v/>
      </c>
      <c r="L1179" s="16">
        <f>IF(J1179="","",J1179-K1179)</f>
        <v/>
      </c>
      <c r="M1179" s="14">
        <f>IF(A1179="","",MONTH(A1179))</f>
        <v/>
      </c>
      <c r="N1179" s="14">
        <f>IF(A1179="","",YEAR(A1179))</f>
        <v/>
      </c>
    </row>
    <row r="1180">
      <c r="A1180" s="15" t="n"/>
      <c r="B1180" s="10" t="n"/>
      <c r="C1180" s="10" t="n"/>
      <c r="D1180" s="10" t="n"/>
      <c r="E1180" s="14">
        <f>IF(D1180="","",IFERROR(INDEX('Sản phẩm'!$B$5:$B$304,MATCH(D1180,'Sản phẩm'!$A$5:$A$304,0)),""))</f>
        <v/>
      </c>
      <c r="F1180" s="12" t="n"/>
      <c r="G1180" s="11" t="n"/>
      <c r="H1180" s="11" t="n"/>
      <c r="I1180" s="16">
        <f>IF(D1180="","",IF(G1180&lt;&gt;"",G1180,IFERROR(INDEX('Sản phẩm'!$E$5:$E$304,MATCH(D1180,'Sản phẩm'!$A$5:$A$304,0)),"")))</f>
        <v/>
      </c>
      <c r="J1180" s="16">
        <f>IF(OR(D1180="",F1180=""),"",F1180*I1180-N(H1180))</f>
        <v/>
      </c>
      <c r="K1180" s="16">
        <f>IF(OR(D1180="",F1180=""),"",F1180*IFERROR(INDEX('Sản phẩm'!$D$5:$D$304,MATCH(D1180,'Sản phẩm'!$A$5:$A$304,0)),""))</f>
        <v/>
      </c>
      <c r="L1180" s="16">
        <f>IF(J1180="","",J1180-K1180)</f>
        <v/>
      </c>
      <c r="M1180" s="14">
        <f>IF(A1180="","",MONTH(A1180))</f>
        <v/>
      </c>
      <c r="N1180" s="14">
        <f>IF(A1180="","",YEAR(A1180))</f>
        <v/>
      </c>
    </row>
    <row r="1181">
      <c r="A1181" s="15" t="n"/>
      <c r="B1181" s="10" t="n"/>
      <c r="C1181" s="10" t="n"/>
      <c r="D1181" s="10" t="n"/>
      <c r="E1181" s="14">
        <f>IF(D1181="","",IFERROR(INDEX('Sản phẩm'!$B$5:$B$304,MATCH(D1181,'Sản phẩm'!$A$5:$A$304,0)),""))</f>
        <v/>
      </c>
      <c r="F1181" s="12" t="n"/>
      <c r="G1181" s="11" t="n"/>
      <c r="H1181" s="11" t="n"/>
      <c r="I1181" s="16">
        <f>IF(D1181="","",IF(G1181&lt;&gt;"",G1181,IFERROR(INDEX('Sản phẩm'!$E$5:$E$304,MATCH(D1181,'Sản phẩm'!$A$5:$A$304,0)),"")))</f>
        <v/>
      </c>
      <c r="J1181" s="16">
        <f>IF(OR(D1181="",F1181=""),"",F1181*I1181-N(H1181))</f>
        <v/>
      </c>
      <c r="K1181" s="16">
        <f>IF(OR(D1181="",F1181=""),"",F1181*IFERROR(INDEX('Sản phẩm'!$D$5:$D$304,MATCH(D1181,'Sản phẩm'!$A$5:$A$304,0)),""))</f>
        <v/>
      </c>
      <c r="L1181" s="16">
        <f>IF(J1181="","",J1181-K1181)</f>
        <v/>
      </c>
      <c r="M1181" s="14">
        <f>IF(A1181="","",MONTH(A1181))</f>
        <v/>
      </c>
      <c r="N1181" s="14">
        <f>IF(A1181="","",YEAR(A1181))</f>
        <v/>
      </c>
    </row>
    <row r="1182">
      <c r="A1182" s="15" t="n"/>
      <c r="B1182" s="10" t="n"/>
      <c r="C1182" s="10" t="n"/>
      <c r="D1182" s="10" t="n"/>
      <c r="E1182" s="14">
        <f>IF(D1182="","",IFERROR(INDEX('Sản phẩm'!$B$5:$B$304,MATCH(D1182,'Sản phẩm'!$A$5:$A$304,0)),""))</f>
        <v/>
      </c>
      <c r="F1182" s="12" t="n"/>
      <c r="G1182" s="11" t="n"/>
      <c r="H1182" s="11" t="n"/>
      <c r="I1182" s="16">
        <f>IF(D1182="","",IF(G1182&lt;&gt;"",G1182,IFERROR(INDEX('Sản phẩm'!$E$5:$E$304,MATCH(D1182,'Sản phẩm'!$A$5:$A$304,0)),"")))</f>
        <v/>
      </c>
      <c r="J1182" s="16">
        <f>IF(OR(D1182="",F1182=""),"",F1182*I1182-N(H1182))</f>
        <v/>
      </c>
      <c r="K1182" s="16">
        <f>IF(OR(D1182="",F1182=""),"",F1182*IFERROR(INDEX('Sản phẩm'!$D$5:$D$304,MATCH(D1182,'Sản phẩm'!$A$5:$A$304,0)),""))</f>
        <v/>
      </c>
      <c r="L1182" s="16">
        <f>IF(J1182="","",J1182-K1182)</f>
        <v/>
      </c>
      <c r="M1182" s="14">
        <f>IF(A1182="","",MONTH(A1182))</f>
        <v/>
      </c>
      <c r="N1182" s="14">
        <f>IF(A1182="","",YEAR(A1182))</f>
        <v/>
      </c>
    </row>
    <row r="1183">
      <c r="A1183" s="15" t="n"/>
      <c r="B1183" s="10" t="n"/>
      <c r="C1183" s="10" t="n"/>
      <c r="D1183" s="10" t="n"/>
      <c r="E1183" s="14">
        <f>IF(D1183="","",IFERROR(INDEX('Sản phẩm'!$B$5:$B$304,MATCH(D1183,'Sản phẩm'!$A$5:$A$304,0)),""))</f>
        <v/>
      </c>
      <c r="F1183" s="12" t="n"/>
      <c r="G1183" s="11" t="n"/>
      <c r="H1183" s="11" t="n"/>
      <c r="I1183" s="16">
        <f>IF(D1183="","",IF(G1183&lt;&gt;"",G1183,IFERROR(INDEX('Sản phẩm'!$E$5:$E$304,MATCH(D1183,'Sản phẩm'!$A$5:$A$304,0)),"")))</f>
        <v/>
      </c>
      <c r="J1183" s="16">
        <f>IF(OR(D1183="",F1183=""),"",F1183*I1183-N(H1183))</f>
        <v/>
      </c>
      <c r="K1183" s="16">
        <f>IF(OR(D1183="",F1183=""),"",F1183*IFERROR(INDEX('Sản phẩm'!$D$5:$D$304,MATCH(D1183,'Sản phẩm'!$A$5:$A$304,0)),""))</f>
        <v/>
      </c>
      <c r="L1183" s="16">
        <f>IF(J1183="","",J1183-K1183)</f>
        <v/>
      </c>
      <c r="M1183" s="14">
        <f>IF(A1183="","",MONTH(A1183))</f>
        <v/>
      </c>
      <c r="N1183" s="14">
        <f>IF(A1183="","",YEAR(A1183))</f>
        <v/>
      </c>
    </row>
    <row r="1184">
      <c r="A1184" s="15" t="n"/>
      <c r="B1184" s="10" t="n"/>
      <c r="C1184" s="10" t="n"/>
      <c r="D1184" s="10" t="n"/>
      <c r="E1184" s="14">
        <f>IF(D1184="","",IFERROR(INDEX('Sản phẩm'!$B$5:$B$304,MATCH(D1184,'Sản phẩm'!$A$5:$A$304,0)),""))</f>
        <v/>
      </c>
      <c r="F1184" s="12" t="n"/>
      <c r="G1184" s="11" t="n"/>
      <c r="H1184" s="11" t="n"/>
      <c r="I1184" s="16">
        <f>IF(D1184="","",IF(G1184&lt;&gt;"",G1184,IFERROR(INDEX('Sản phẩm'!$E$5:$E$304,MATCH(D1184,'Sản phẩm'!$A$5:$A$304,0)),"")))</f>
        <v/>
      </c>
      <c r="J1184" s="16">
        <f>IF(OR(D1184="",F1184=""),"",F1184*I1184-N(H1184))</f>
        <v/>
      </c>
      <c r="K1184" s="16">
        <f>IF(OR(D1184="",F1184=""),"",F1184*IFERROR(INDEX('Sản phẩm'!$D$5:$D$304,MATCH(D1184,'Sản phẩm'!$A$5:$A$304,0)),""))</f>
        <v/>
      </c>
      <c r="L1184" s="16">
        <f>IF(J1184="","",J1184-K1184)</f>
        <v/>
      </c>
      <c r="M1184" s="14">
        <f>IF(A1184="","",MONTH(A1184))</f>
        <v/>
      </c>
      <c r="N1184" s="14">
        <f>IF(A1184="","",YEAR(A1184))</f>
        <v/>
      </c>
    </row>
    <row r="1185">
      <c r="A1185" s="15" t="n"/>
      <c r="B1185" s="10" t="n"/>
      <c r="C1185" s="10" t="n"/>
      <c r="D1185" s="10" t="n"/>
      <c r="E1185" s="14">
        <f>IF(D1185="","",IFERROR(INDEX('Sản phẩm'!$B$5:$B$304,MATCH(D1185,'Sản phẩm'!$A$5:$A$304,0)),""))</f>
        <v/>
      </c>
      <c r="F1185" s="12" t="n"/>
      <c r="G1185" s="11" t="n"/>
      <c r="H1185" s="11" t="n"/>
      <c r="I1185" s="16">
        <f>IF(D1185="","",IF(G1185&lt;&gt;"",G1185,IFERROR(INDEX('Sản phẩm'!$E$5:$E$304,MATCH(D1185,'Sản phẩm'!$A$5:$A$304,0)),"")))</f>
        <v/>
      </c>
      <c r="J1185" s="16">
        <f>IF(OR(D1185="",F1185=""),"",F1185*I1185-N(H1185))</f>
        <v/>
      </c>
      <c r="K1185" s="16">
        <f>IF(OR(D1185="",F1185=""),"",F1185*IFERROR(INDEX('Sản phẩm'!$D$5:$D$304,MATCH(D1185,'Sản phẩm'!$A$5:$A$304,0)),""))</f>
        <v/>
      </c>
      <c r="L1185" s="16">
        <f>IF(J1185="","",J1185-K1185)</f>
        <v/>
      </c>
      <c r="M1185" s="14">
        <f>IF(A1185="","",MONTH(A1185))</f>
        <v/>
      </c>
      <c r="N1185" s="14">
        <f>IF(A1185="","",YEAR(A1185))</f>
        <v/>
      </c>
    </row>
    <row r="1186">
      <c r="A1186" s="15" t="n"/>
      <c r="B1186" s="10" t="n"/>
      <c r="C1186" s="10" t="n"/>
      <c r="D1186" s="10" t="n"/>
      <c r="E1186" s="14">
        <f>IF(D1186="","",IFERROR(INDEX('Sản phẩm'!$B$5:$B$304,MATCH(D1186,'Sản phẩm'!$A$5:$A$304,0)),""))</f>
        <v/>
      </c>
      <c r="F1186" s="12" t="n"/>
      <c r="G1186" s="11" t="n"/>
      <c r="H1186" s="11" t="n"/>
      <c r="I1186" s="16">
        <f>IF(D1186="","",IF(G1186&lt;&gt;"",G1186,IFERROR(INDEX('Sản phẩm'!$E$5:$E$304,MATCH(D1186,'Sản phẩm'!$A$5:$A$304,0)),"")))</f>
        <v/>
      </c>
      <c r="J1186" s="16">
        <f>IF(OR(D1186="",F1186=""),"",F1186*I1186-N(H1186))</f>
        <v/>
      </c>
      <c r="K1186" s="16">
        <f>IF(OR(D1186="",F1186=""),"",F1186*IFERROR(INDEX('Sản phẩm'!$D$5:$D$304,MATCH(D1186,'Sản phẩm'!$A$5:$A$304,0)),""))</f>
        <v/>
      </c>
      <c r="L1186" s="16">
        <f>IF(J1186="","",J1186-K1186)</f>
        <v/>
      </c>
      <c r="M1186" s="14">
        <f>IF(A1186="","",MONTH(A1186))</f>
        <v/>
      </c>
      <c r="N1186" s="14">
        <f>IF(A1186="","",YEAR(A1186))</f>
        <v/>
      </c>
    </row>
    <row r="1187">
      <c r="A1187" s="15" t="n"/>
      <c r="B1187" s="10" t="n"/>
      <c r="C1187" s="10" t="n"/>
      <c r="D1187" s="10" t="n"/>
      <c r="E1187" s="14">
        <f>IF(D1187="","",IFERROR(INDEX('Sản phẩm'!$B$5:$B$304,MATCH(D1187,'Sản phẩm'!$A$5:$A$304,0)),""))</f>
        <v/>
      </c>
      <c r="F1187" s="12" t="n"/>
      <c r="G1187" s="11" t="n"/>
      <c r="H1187" s="11" t="n"/>
      <c r="I1187" s="16">
        <f>IF(D1187="","",IF(G1187&lt;&gt;"",G1187,IFERROR(INDEX('Sản phẩm'!$E$5:$E$304,MATCH(D1187,'Sản phẩm'!$A$5:$A$304,0)),"")))</f>
        <v/>
      </c>
      <c r="J1187" s="16">
        <f>IF(OR(D1187="",F1187=""),"",F1187*I1187-N(H1187))</f>
        <v/>
      </c>
      <c r="K1187" s="16">
        <f>IF(OR(D1187="",F1187=""),"",F1187*IFERROR(INDEX('Sản phẩm'!$D$5:$D$304,MATCH(D1187,'Sản phẩm'!$A$5:$A$304,0)),""))</f>
        <v/>
      </c>
      <c r="L1187" s="16">
        <f>IF(J1187="","",J1187-K1187)</f>
        <v/>
      </c>
      <c r="M1187" s="14">
        <f>IF(A1187="","",MONTH(A1187))</f>
        <v/>
      </c>
      <c r="N1187" s="14">
        <f>IF(A1187="","",YEAR(A1187))</f>
        <v/>
      </c>
    </row>
    <row r="1188">
      <c r="A1188" s="15" t="n"/>
      <c r="B1188" s="10" t="n"/>
      <c r="C1188" s="10" t="n"/>
      <c r="D1188" s="10" t="n"/>
      <c r="E1188" s="14">
        <f>IF(D1188="","",IFERROR(INDEX('Sản phẩm'!$B$5:$B$304,MATCH(D1188,'Sản phẩm'!$A$5:$A$304,0)),""))</f>
        <v/>
      </c>
      <c r="F1188" s="12" t="n"/>
      <c r="G1188" s="11" t="n"/>
      <c r="H1188" s="11" t="n"/>
      <c r="I1188" s="16">
        <f>IF(D1188="","",IF(G1188&lt;&gt;"",G1188,IFERROR(INDEX('Sản phẩm'!$E$5:$E$304,MATCH(D1188,'Sản phẩm'!$A$5:$A$304,0)),"")))</f>
        <v/>
      </c>
      <c r="J1188" s="16">
        <f>IF(OR(D1188="",F1188=""),"",F1188*I1188-N(H1188))</f>
        <v/>
      </c>
      <c r="K1188" s="16">
        <f>IF(OR(D1188="",F1188=""),"",F1188*IFERROR(INDEX('Sản phẩm'!$D$5:$D$304,MATCH(D1188,'Sản phẩm'!$A$5:$A$304,0)),""))</f>
        <v/>
      </c>
      <c r="L1188" s="16">
        <f>IF(J1188="","",J1188-K1188)</f>
        <v/>
      </c>
      <c r="M1188" s="14">
        <f>IF(A1188="","",MONTH(A1188))</f>
        <v/>
      </c>
      <c r="N1188" s="14">
        <f>IF(A1188="","",YEAR(A1188))</f>
        <v/>
      </c>
    </row>
    <row r="1189">
      <c r="A1189" s="15" t="n"/>
      <c r="B1189" s="10" t="n"/>
      <c r="C1189" s="10" t="n"/>
      <c r="D1189" s="10" t="n"/>
      <c r="E1189" s="14">
        <f>IF(D1189="","",IFERROR(INDEX('Sản phẩm'!$B$5:$B$304,MATCH(D1189,'Sản phẩm'!$A$5:$A$304,0)),""))</f>
        <v/>
      </c>
      <c r="F1189" s="12" t="n"/>
      <c r="G1189" s="11" t="n"/>
      <c r="H1189" s="11" t="n"/>
      <c r="I1189" s="16">
        <f>IF(D1189="","",IF(G1189&lt;&gt;"",G1189,IFERROR(INDEX('Sản phẩm'!$E$5:$E$304,MATCH(D1189,'Sản phẩm'!$A$5:$A$304,0)),"")))</f>
        <v/>
      </c>
      <c r="J1189" s="16">
        <f>IF(OR(D1189="",F1189=""),"",F1189*I1189-N(H1189))</f>
        <v/>
      </c>
      <c r="K1189" s="16">
        <f>IF(OR(D1189="",F1189=""),"",F1189*IFERROR(INDEX('Sản phẩm'!$D$5:$D$304,MATCH(D1189,'Sản phẩm'!$A$5:$A$304,0)),""))</f>
        <v/>
      </c>
      <c r="L1189" s="16">
        <f>IF(J1189="","",J1189-K1189)</f>
        <v/>
      </c>
      <c r="M1189" s="14">
        <f>IF(A1189="","",MONTH(A1189))</f>
        <v/>
      </c>
      <c r="N1189" s="14">
        <f>IF(A1189="","",YEAR(A1189))</f>
        <v/>
      </c>
    </row>
    <row r="1190">
      <c r="A1190" s="15" t="n"/>
      <c r="B1190" s="10" t="n"/>
      <c r="C1190" s="10" t="n"/>
      <c r="D1190" s="10" t="n"/>
      <c r="E1190" s="14">
        <f>IF(D1190="","",IFERROR(INDEX('Sản phẩm'!$B$5:$B$304,MATCH(D1190,'Sản phẩm'!$A$5:$A$304,0)),""))</f>
        <v/>
      </c>
      <c r="F1190" s="12" t="n"/>
      <c r="G1190" s="11" t="n"/>
      <c r="H1190" s="11" t="n"/>
      <c r="I1190" s="16">
        <f>IF(D1190="","",IF(G1190&lt;&gt;"",G1190,IFERROR(INDEX('Sản phẩm'!$E$5:$E$304,MATCH(D1190,'Sản phẩm'!$A$5:$A$304,0)),"")))</f>
        <v/>
      </c>
      <c r="J1190" s="16">
        <f>IF(OR(D1190="",F1190=""),"",F1190*I1190-N(H1190))</f>
        <v/>
      </c>
      <c r="K1190" s="16">
        <f>IF(OR(D1190="",F1190=""),"",F1190*IFERROR(INDEX('Sản phẩm'!$D$5:$D$304,MATCH(D1190,'Sản phẩm'!$A$5:$A$304,0)),""))</f>
        <v/>
      </c>
      <c r="L1190" s="16">
        <f>IF(J1190="","",J1190-K1190)</f>
        <v/>
      </c>
      <c r="M1190" s="14">
        <f>IF(A1190="","",MONTH(A1190))</f>
        <v/>
      </c>
      <c r="N1190" s="14">
        <f>IF(A1190="","",YEAR(A1190))</f>
        <v/>
      </c>
    </row>
    <row r="1191">
      <c r="A1191" s="15" t="n"/>
      <c r="B1191" s="10" t="n"/>
      <c r="C1191" s="10" t="n"/>
      <c r="D1191" s="10" t="n"/>
      <c r="E1191" s="14">
        <f>IF(D1191="","",IFERROR(INDEX('Sản phẩm'!$B$5:$B$304,MATCH(D1191,'Sản phẩm'!$A$5:$A$304,0)),""))</f>
        <v/>
      </c>
      <c r="F1191" s="12" t="n"/>
      <c r="G1191" s="11" t="n"/>
      <c r="H1191" s="11" t="n"/>
      <c r="I1191" s="16">
        <f>IF(D1191="","",IF(G1191&lt;&gt;"",G1191,IFERROR(INDEX('Sản phẩm'!$E$5:$E$304,MATCH(D1191,'Sản phẩm'!$A$5:$A$304,0)),"")))</f>
        <v/>
      </c>
      <c r="J1191" s="16">
        <f>IF(OR(D1191="",F1191=""),"",F1191*I1191-N(H1191))</f>
        <v/>
      </c>
      <c r="K1191" s="16">
        <f>IF(OR(D1191="",F1191=""),"",F1191*IFERROR(INDEX('Sản phẩm'!$D$5:$D$304,MATCH(D1191,'Sản phẩm'!$A$5:$A$304,0)),""))</f>
        <v/>
      </c>
      <c r="L1191" s="16">
        <f>IF(J1191="","",J1191-K1191)</f>
        <v/>
      </c>
      <c r="M1191" s="14">
        <f>IF(A1191="","",MONTH(A1191))</f>
        <v/>
      </c>
      <c r="N1191" s="14">
        <f>IF(A1191="","",YEAR(A1191))</f>
        <v/>
      </c>
    </row>
    <row r="1192">
      <c r="A1192" s="15" t="n"/>
      <c r="B1192" s="10" t="n"/>
      <c r="C1192" s="10" t="n"/>
      <c r="D1192" s="10" t="n"/>
      <c r="E1192" s="14">
        <f>IF(D1192="","",IFERROR(INDEX('Sản phẩm'!$B$5:$B$304,MATCH(D1192,'Sản phẩm'!$A$5:$A$304,0)),""))</f>
        <v/>
      </c>
      <c r="F1192" s="12" t="n"/>
      <c r="G1192" s="11" t="n"/>
      <c r="H1192" s="11" t="n"/>
      <c r="I1192" s="16">
        <f>IF(D1192="","",IF(G1192&lt;&gt;"",G1192,IFERROR(INDEX('Sản phẩm'!$E$5:$E$304,MATCH(D1192,'Sản phẩm'!$A$5:$A$304,0)),"")))</f>
        <v/>
      </c>
      <c r="J1192" s="16">
        <f>IF(OR(D1192="",F1192=""),"",F1192*I1192-N(H1192))</f>
        <v/>
      </c>
      <c r="K1192" s="16">
        <f>IF(OR(D1192="",F1192=""),"",F1192*IFERROR(INDEX('Sản phẩm'!$D$5:$D$304,MATCH(D1192,'Sản phẩm'!$A$5:$A$304,0)),""))</f>
        <v/>
      </c>
      <c r="L1192" s="16">
        <f>IF(J1192="","",J1192-K1192)</f>
        <v/>
      </c>
      <c r="M1192" s="14">
        <f>IF(A1192="","",MONTH(A1192))</f>
        <v/>
      </c>
      <c r="N1192" s="14">
        <f>IF(A1192="","",YEAR(A1192))</f>
        <v/>
      </c>
    </row>
    <row r="1193">
      <c r="A1193" s="15" t="n"/>
      <c r="B1193" s="10" t="n"/>
      <c r="C1193" s="10" t="n"/>
      <c r="D1193" s="10" t="n"/>
      <c r="E1193" s="14">
        <f>IF(D1193="","",IFERROR(INDEX('Sản phẩm'!$B$5:$B$304,MATCH(D1193,'Sản phẩm'!$A$5:$A$304,0)),""))</f>
        <v/>
      </c>
      <c r="F1193" s="12" t="n"/>
      <c r="G1193" s="11" t="n"/>
      <c r="H1193" s="11" t="n"/>
      <c r="I1193" s="16">
        <f>IF(D1193="","",IF(G1193&lt;&gt;"",G1193,IFERROR(INDEX('Sản phẩm'!$E$5:$E$304,MATCH(D1193,'Sản phẩm'!$A$5:$A$304,0)),"")))</f>
        <v/>
      </c>
      <c r="J1193" s="16">
        <f>IF(OR(D1193="",F1193=""),"",F1193*I1193-N(H1193))</f>
        <v/>
      </c>
      <c r="K1193" s="16">
        <f>IF(OR(D1193="",F1193=""),"",F1193*IFERROR(INDEX('Sản phẩm'!$D$5:$D$304,MATCH(D1193,'Sản phẩm'!$A$5:$A$304,0)),""))</f>
        <v/>
      </c>
      <c r="L1193" s="16">
        <f>IF(J1193="","",J1193-K1193)</f>
        <v/>
      </c>
      <c r="M1193" s="14">
        <f>IF(A1193="","",MONTH(A1193))</f>
        <v/>
      </c>
      <c r="N1193" s="14">
        <f>IF(A1193="","",YEAR(A1193))</f>
        <v/>
      </c>
    </row>
    <row r="1194">
      <c r="A1194" s="15" t="n"/>
      <c r="B1194" s="10" t="n"/>
      <c r="C1194" s="10" t="n"/>
      <c r="D1194" s="10" t="n"/>
      <c r="E1194" s="14">
        <f>IF(D1194="","",IFERROR(INDEX('Sản phẩm'!$B$5:$B$304,MATCH(D1194,'Sản phẩm'!$A$5:$A$304,0)),""))</f>
        <v/>
      </c>
      <c r="F1194" s="12" t="n"/>
      <c r="G1194" s="11" t="n"/>
      <c r="H1194" s="11" t="n"/>
      <c r="I1194" s="16">
        <f>IF(D1194="","",IF(G1194&lt;&gt;"",G1194,IFERROR(INDEX('Sản phẩm'!$E$5:$E$304,MATCH(D1194,'Sản phẩm'!$A$5:$A$304,0)),"")))</f>
        <v/>
      </c>
      <c r="J1194" s="16">
        <f>IF(OR(D1194="",F1194=""),"",F1194*I1194-N(H1194))</f>
        <v/>
      </c>
      <c r="K1194" s="16">
        <f>IF(OR(D1194="",F1194=""),"",F1194*IFERROR(INDEX('Sản phẩm'!$D$5:$D$304,MATCH(D1194,'Sản phẩm'!$A$5:$A$304,0)),""))</f>
        <v/>
      </c>
      <c r="L1194" s="16">
        <f>IF(J1194="","",J1194-K1194)</f>
        <v/>
      </c>
      <c r="M1194" s="14">
        <f>IF(A1194="","",MONTH(A1194))</f>
        <v/>
      </c>
      <c r="N1194" s="14">
        <f>IF(A1194="","",YEAR(A1194))</f>
        <v/>
      </c>
    </row>
    <row r="1195">
      <c r="A1195" s="15" t="n"/>
      <c r="B1195" s="10" t="n"/>
      <c r="C1195" s="10" t="n"/>
      <c r="D1195" s="10" t="n"/>
      <c r="E1195" s="14">
        <f>IF(D1195="","",IFERROR(INDEX('Sản phẩm'!$B$5:$B$304,MATCH(D1195,'Sản phẩm'!$A$5:$A$304,0)),""))</f>
        <v/>
      </c>
      <c r="F1195" s="12" t="n"/>
      <c r="G1195" s="11" t="n"/>
      <c r="H1195" s="11" t="n"/>
      <c r="I1195" s="16">
        <f>IF(D1195="","",IF(G1195&lt;&gt;"",G1195,IFERROR(INDEX('Sản phẩm'!$E$5:$E$304,MATCH(D1195,'Sản phẩm'!$A$5:$A$304,0)),"")))</f>
        <v/>
      </c>
      <c r="J1195" s="16">
        <f>IF(OR(D1195="",F1195=""),"",F1195*I1195-N(H1195))</f>
        <v/>
      </c>
      <c r="K1195" s="16">
        <f>IF(OR(D1195="",F1195=""),"",F1195*IFERROR(INDEX('Sản phẩm'!$D$5:$D$304,MATCH(D1195,'Sản phẩm'!$A$5:$A$304,0)),""))</f>
        <v/>
      </c>
      <c r="L1195" s="16">
        <f>IF(J1195="","",J1195-K1195)</f>
        <v/>
      </c>
      <c r="M1195" s="14">
        <f>IF(A1195="","",MONTH(A1195))</f>
        <v/>
      </c>
      <c r="N1195" s="14">
        <f>IF(A1195="","",YEAR(A1195))</f>
        <v/>
      </c>
    </row>
    <row r="1196">
      <c r="A1196" s="15" t="n"/>
      <c r="B1196" s="10" t="n"/>
      <c r="C1196" s="10" t="n"/>
      <c r="D1196" s="10" t="n"/>
      <c r="E1196" s="14">
        <f>IF(D1196="","",IFERROR(INDEX('Sản phẩm'!$B$5:$B$304,MATCH(D1196,'Sản phẩm'!$A$5:$A$304,0)),""))</f>
        <v/>
      </c>
      <c r="F1196" s="12" t="n"/>
      <c r="G1196" s="11" t="n"/>
      <c r="H1196" s="11" t="n"/>
      <c r="I1196" s="16">
        <f>IF(D1196="","",IF(G1196&lt;&gt;"",G1196,IFERROR(INDEX('Sản phẩm'!$E$5:$E$304,MATCH(D1196,'Sản phẩm'!$A$5:$A$304,0)),"")))</f>
        <v/>
      </c>
      <c r="J1196" s="16">
        <f>IF(OR(D1196="",F1196=""),"",F1196*I1196-N(H1196))</f>
        <v/>
      </c>
      <c r="K1196" s="16">
        <f>IF(OR(D1196="",F1196=""),"",F1196*IFERROR(INDEX('Sản phẩm'!$D$5:$D$304,MATCH(D1196,'Sản phẩm'!$A$5:$A$304,0)),""))</f>
        <v/>
      </c>
      <c r="L1196" s="16">
        <f>IF(J1196="","",J1196-K1196)</f>
        <v/>
      </c>
      <c r="M1196" s="14">
        <f>IF(A1196="","",MONTH(A1196))</f>
        <v/>
      </c>
      <c r="N1196" s="14">
        <f>IF(A1196="","",YEAR(A1196))</f>
        <v/>
      </c>
    </row>
    <row r="1197">
      <c r="A1197" s="15" t="n"/>
      <c r="B1197" s="10" t="n"/>
      <c r="C1197" s="10" t="n"/>
      <c r="D1197" s="10" t="n"/>
      <c r="E1197" s="14">
        <f>IF(D1197="","",IFERROR(INDEX('Sản phẩm'!$B$5:$B$304,MATCH(D1197,'Sản phẩm'!$A$5:$A$304,0)),""))</f>
        <v/>
      </c>
      <c r="F1197" s="12" t="n"/>
      <c r="G1197" s="11" t="n"/>
      <c r="H1197" s="11" t="n"/>
      <c r="I1197" s="16">
        <f>IF(D1197="","",IF(G1197&lt;&gt;"",G1197,IFERROR(INDEX('Sản phẩm'!$E$5:$E$304,MATCH(D1197,'Sản phẩm'!$A$5:$A$304,0)),"")))</f>
        <v/>
      </c>
      <c r="J1197" s="16">
        <f>IF(OR(D1197="",F1197=""),"",F1197*I1197-N(H1197))</f>
        <v/>
      </c>
      <c r="K1197" s="16">
        <f>IF(OR(D1197="",F1197=""),"",F1197*IFERROR(INDEX('Sản phẩm'!$D$5:$D$304,MATCH(D1197,'Sản phẩm'!$A$5:$A$304,0)),""))</f>
        <v/>
      </c>
      <c r="L1197" s="16">
        <f>IF(J1197="","",J1197-K1197)</f>
        <v/>
      </c>
      <c r="M1197" s="14">
        <f>IF(A1197="","",MONTH(A1197))</f>
        <v/>
      </c>
      <c r="N1197" s="14">
        <f>IF(A1197="","",YEAR(A1197))</f>
        <v/>
      </c>
    </row>
    <row r="1198">
      <c r="A1198" s="15" t="n"/>
      <c r="B1198" s="10" t="n"/>
      <c r="C1198" s="10" t="n"/>
      <c r="D1198" s="10" t="n"/>
      <c r="E1198" s="14">
        <f>IF(D1198="","",IFERROR(INDEX('Sản phẩm'!$B$5:$B$304,MATCH(D1198,'Sản phẩm'!$A$5:$A$304,0)),""))</f>
        <v/>
      </c>
      <c r="F1198" s="12" t="n"/>
      <c r="G1198" s="11" t="n"/>
      <c r="H1198" s="11" t="n"/>
      <c r="I1198" s="16">
        <f>IF(D1198="","",IF(G1198&lt;&gt;"",G1198,IFERROR(INDEX('Sản phẩm'!$E$5:$E$304,MATCH(D1198,'Sản phẩm'!$A$5:$A$304,0)),"")))</f>
        <v/>
      </c>
      <c r="J1198" s="16">
        <f>IF(OR(D1198="",F1198=""),"",F1198*I1198-N(H1198))</f>
        <v/>
      </c>
      <c r="K1198" s="16">
        <f>IF(OR(D1198="",F1198=""),"",F1198*IFERROR(INDEX('Sản phẩm'!$D$5:$D$304,MATCH(D1198,'Sản phẩm'!$A$5:$A$304,0)),""))</f>
        <v/>
      </c>
      <c r="L1198" s="16">
        <f>IF(J1198="","",J1198-K1198)</f>
        <v/>
      </c>
      <c r="M1198" s="14">
        <f>IF(A1198="","",MONTH(A1198))</f>
        <v/>
      </c>
      <c r="N1198" s="14">
        <f>IF(A1198="","",YEAR(A1198))</f>
        <v/>
      </c>
    </row>
    <row r="1199">
      <c r="A1199" s="15" t="n"/>
      <c r="B1199" s="10" t="n"/>
      <c r="C1199" s="10" t="n"/>
      <c r="D1199" s="10" t="n"/>
      <c r="E1199" s="14">
        <f>IF(D1199="","",IFERROR(INDEX('Sản phẩm'!$B$5:$B$304,MATCH(D1199,'Sản phẩm'!$A$5:$A$304,0)),""))</f>
        <v/>
      </c>
      <c r="F1199" s="12" t="n"/>
      <c r="G1199" s="11" t="n"/>
      <c r="H1199" s="11" t="n"/>
      <c r="I1199" s="16">
        <f>IF(D1199="","",IF(G1199&lt;&gt;"",G1199,IFERROR(INDEX('Sản phẩm'!$E$5:$E$304,MATCH(D1199,'Sản phẩm'!$A$5:$A$304,0)),"")))</f>
        <v/>
      </c>
      <c r="J1199" s="16">
        <f>IF(OR(D1199="",F1199=""),"",F1199*I1199-N(H1199))</f>
        <v/>
      </c>
      <c r="K1199" s="16">
        <f>IF(OR(D1199="",F1199=""),"",F1199*IFERROR(INDEX('Sản phẩm'!$D$5:$D$304,MATCH(D1199,'Sản phẩm'!$A$5:$A$304,0)),""))</f>
        <v/>
      </c>
      <c r="L1199" s="16">
        <f>IF(J1199="","",J1199-K1199)</f>
        <v/>
      </c>
      <c r="M1199" s="14">
        <f>IF(A1199="","",MONTH(A1199))</f>
        <v/>
      </c>
      <c r="N1199" s="14">
        <f>IF(A1199="","",YEAR(A1199))</f>
        <v/>
      </c>
    </row>
    <row r="1200">
      <c r="A1200" s="15" t="n"/>
      <c r="B1200" s="10" t="n"/>
      <c r="C1200" s="10" t="n"/>
      <c r="D1200" s="10" t="n"/>
      <c r="E1200" s="14">
        <f>IF(D1200="","",IFERROR(INDEX('Sản phẩm'!$B$5:$B$304,MATCH(D1200,'Sản phẩm'!$A$5:$A$304,0)),""))</f>
        <v/>
      </c>
      <c r="F1200" s="12" t="n"/>
      <c r="G1200" s="11" t="n"/>
      <c r="H1200" s="11" t="n"/>
      <c r="I1200" s="16">
        <f>IF(D1200="","",IF(G1200&lt;&gt;"",G1200,IFERROR(INDEX('Sản phẩm'!$E$5:$E$304,MATCH(D1200,'Sản phẩm'!$A$5:$A$304,0)),"")))</f>
        <v/>
      </c>
      <c r="J1200" s="16">
        <f>IF(OR(D1200="",F1200=""),"",F1200*I1200-N(H1200))</f>
        <v/>
      </c>
      <c r="K1200" s="16">
        <f>IF(OR(D1200="",F1200=""),"",F1200*IFERROR(INDEX('Sản phẩm'!$D$5:$D$304,MATCH(D1200,'Sản phẩm'!$A$5:$A$304,0)),""))</f>
        <v/>
      </c>
      <c r="L1200" s="16">
        <f>IF(J1200="","",J1200-K1200)</f>
        <v/>
      </c>
      <c r="M1200" s="14">
        <f>IF(A1200="","",MONTH(A1200))</f>
        <v/>
      </c>
      <c r="N1200" s="14">
        <f>IF(A1200="","",YEAR(A1200))</f>
        <v/>
      </c>
    </row>
    <row r="1201">
      <c r="A1201" s="15" t="n"/>
      <c r="B1201" s="10" t="n"/>
      <c r="C1201" s="10" t="n"/>
      <c r="D1201" s="10" t="n"/>
      <c r="E1201" s="14">
        <f>IF(D1201="","",IFERROR(INDEX('Sản phẩm'!$B$5:$B$304,MATCH(D1201,'Sản phẩm'!$A$5:$A$304,0)),""))</f>
        <v/>
      </c>
      <c r="F1201" s="12" t="n"/>
      <c r="G1201" s="11" t="n"/>
      <c r="H1201" s="11" t="n"/>
      <c r="I1201" s="16">
        <f>IF(D1201="","",IF(G1201&lt;&gt;"",G1201,IFERROR(INDEX('Sản phẩm'!$E$5:$E$304,MATCH(D1201,'Sản phẩm'!$A$5:$A$304,0)),"")))</f>
        <v/>
      </c>
      <c r="J1201" s="16">
        <f>IF(OR(D1201="",F1201=""),"",F1201*I1201-N(H1201))</f>
        <v/>
      </c>
      <c r="K1201" s="16">
        <f>IF(OR(D1201="",F1201=""),"",F1201*IFERROR(INDEX('Sản phẩm'!$D$5:$D$304,MATCH(D1201,'Sản phẩm'!$A$5:$A$304,0)),""))</f>
        <v/>
      </c>
      <c r="L1201" s="16">
        <f>IF(J1201="","",J1201-K1201)</f>
        <v/>
      </c>
      <c r="M1201" s="14">
        <f>IF(A1201="","",MONTH(A1201))</f>
        <v/>
      </c>
      <c r="N1201" s="14">
        <f>IF(A1201="","",YEAR(A1201))</f>
        <v/>
      </c>
    </row>
    <row r="1202">
      <c r="A1202" s="15" t="n"/>
      <c r="B1202" s="10" t="n"/>
      <c r="C1202" s="10" t="n"/>
      <c r="D1202" s="10" t="n"/>
      <c r="E1202" s="14">
        <f>IF(D1202="","",IFERROR(INDEX('Sản phẩm'!$B$5:$B$304,MATCH(D1202,'Sản phẩm'!$A$5:$A$304,0)),""))</f>
        <v/>
      </c>
      <c r="F1202" s="12" t="n"/>
      <c r="G1202" s="11" t="n"/>
      <c r="H1202" s="11" t="n"/>
      <c r="I1202" s="16">
        <f>IF(D1202="","",IF(G1202&lt;&gt;"",G1202,IFERROR(INDEX('Sản phẩm'!$E$5:$E$304,MATCH(D1202,'Sản phẩm'!$A$5:$A$304,0)),"")))</f>
        <v/>
      </c>
      <c r="J1202" s="16">
        <f>IF(OR(D1202="",F1202=""),"",F1202*I1202-N(H1202))</f>
        <v/>
      </c>
      <c r="K1202" s="16">
        <f>IF(OR(D1202="",F1202=""),"",F1202*IFERROR(INDEX('Sản phẩm'!$D$5:$D$304,MATCH(D1202,'Sản phẩm'!$A$5:$A$304,0)),""))</f>
        <v/>
      </c>
      <c r="L1202" s="16">
        <f>IF(J1202="","",J1202-K1202)</f>
        <v/>
      </c>
      <c r="M1202" s="14">
        <f>IF(A1202="","",MONTH(A1202))</f>
        <v/>
      </c>
      <c r="N1202" s="14">
        <f>IF(A1202="","",YEAR(A1202))</f>
        <v/>
      </c>
    </row>
    <row r="1203">
      <c r="A1203" s="15" t="n"/>
      <c r="B1203" s="10" t="n"/>
      <c r="C1203" s="10" t="n"/>
      <c r="D1203" s="10" t="n"/>
      <c r="E1203" s="14">
        <f>IF(D1203="","",IFERROR(INDEX('Sản phẩm'!$B$5:$B$304,MATCH(D1203,'Sản phẩm'!$A$5:$A$304,0)),""))</f>
        <v/>
      </c>
      <c r="F1203" s="12" t="n"/>
      <c r="G1203" s="11" t="n"/>
      <c r="H1203" s="11" t="n"/>
      <c r="I1203" s="16">
        <f>IF(D1203="","",IF(G1203&lt;&gt;"",G1203,IFERROR(INDEX('Sản phẩm'!$E$5:$E$304,MATCH(D1203,'Sản phẩm'!$A$5:$A$304,0)),"")))</f>
        <v/>
      </c>
      <c r="J1203" s="16">
        <f>IF(OR(D1203="",F1203=""),"",F1203*I1203-N(H1203))</f>
        <v/>
      </c>
      <c r="K1203" s="16">
        <f>IF(OR(D1203="",F1203=""),"",F1203*IFERROR(INDEX('Sản phẩm'!$D$5:$D$304,MATCH(D1203,'Sản phẩm'!$A$5:$A$304,0)),""))</f>
        <v/>
      </c>
      <c r="L1203" s="16">
        <f>IF(J1203="","",J1203-K1203)</f>
        <v/>
      </c>
      <c r="M1203" s="14">
        <f>IF(A1203="","",MONTH(A1203))</f>
        <v/>
      </c>
      <c r="N1203" s="14">
        <f>IF(A1203="","",YEAR(A1203))</f>
        <v/>
      </c>
    </row>
    <row r="1204">
      <c r="A1204" s="15" t="n"/>
      <c r="B1204" s="10" t="n"/>
      <c r="C1204" s="10" t="n"/>
      <c r="D1204" s="10" t="n"/>
      <c r="E1204" s="14">
        <f>IF(D1204="","",IFERROR(INDEX('Sản phẩm'!$B$5:$B$304,MATCH(D1204,'Sản phẩm'!$A$5:$A$304,0)),""))</f>
        <v/>
      </c>
      <c r="F1204" s="12" t="n"/>
      <c r="G1204" s="11" t="n"/>
      <c r="H1204" s="11" t="n"/>
      <c r="I1204" s="16">
        <f>IF(D1204="","",IF(G1204&lt;&gt;"",G1204,IFERROR(INDEX('Sản phẩm'!$E$5:$E$304,MATCH(D1204,'Sản phẩm'!$A$5:$A$304,0)),"")))</f>
        <v/>
      </c>
      <c r="J1204" s="16">
        <f>IF(OR(D1204="",F1204=""),"",F1204*I1204-N(H1204))</f>
        <v/>
      </c>
      <c r="K1204" s="16">
        <f>IF(OR(D1204="",F1204=""),"",F1204*IFERROR(INDEX('Sản phẩm'!$D$5:$D$304,MATCH(D1204,'Sản phẩm'!$A$5:$A$304,0)),""))</f>
        <v/>
      </c>
      <c r="L1204" s="16">
        <f>IF(J1204="","",J1204-K1204)</f>
        <v/>
      </c>
      <c r="M1204" s="14">
        <f>IF(A1204="","",MONTH(A1204))</f>
        <v/>
      </c>
      <c r="N1204" s="14">
        <f>IF(A1204="","",YEAR(A1204))</f>
        <v/>
      </c>
    </row>
    <row r="1205">
      <c r="A1205" s="15" t="n"/>
      <c r="B1205" s="10" t="n"/>
      <c r="C1205" s="10" t="n"/>
      <c r="D1205" s="10" t="n"/>
      <c r="E1205" s="14">
        <f>IF(D1205="","",IFERROR(INDEX('Sản phẩm'!$B$5:$B$304,MATCH(D1205,'Sản phẩm'!$A$5:$A$304,0)),""))</f>
        <v/>
      </c>
      <c r="F1205" s="12" t="n"/>
      <c r="G1205" s="11" t="n"/>
      <c r="H1205" s="11" t="n"/>
      <c r="I1205" s="16">
        <f>IF(D1205="","",IF(G1205&lt;&gt;"",G1205,IFERROR(INDEX('Sản phẩm'!$E$5:$E$304,MATCH(D1205,'Sản phẩm'!$A$5:$A$304,0)),"")))</f>
        <v/>
      </c>
      <c r="J1205" s="16">
        <f>IF(OR(D1205="",F1205=""),"",F1205*I1205-N(H1205))</f>
        <v/>
      </c>
      <c r="K1205" s="16">
        <f>IF(OR(D1205="",F1205=""),"",F1205*IFERROR(INDEX('Sản phẩm'!$D$5:$D$304,MATCH(D1205,'Sản phẩm'!$A$5:$A$304,0)),""))</f>
        <v/>
      </c>
      <c r="L1205" s="16">
        <f>IF(J1205="","",J1205-K1205)</f>
        <v/>
      </c>
      <c r="M1205" s="14">
        <f>IF(A1205="","",MONTH(A1205))</f>
        <v/>
      </c>
      <c r="N1205" s="14">
        <f>IF(A1205="","",YEAR(A1205))</f>
        <v/>
      </c>
    </row>
    <row r="1206">
      <c r="A1206" s="15" t="n"/>
      <c r="B1206" s="10" t="n"/>
      <c r="C1206" s="10" t="n"/>
      <c r="D1206" s="10" t="n"/>
      <c r="E1206" s="14">
        <f>IF(D1206="","",IFERROR(INDEX('Sản phẩm'!$B$5:$B$304,MATCH(D1206,'Sản phẩm'!$A$5:$A$304,0)),""))</f>
        <v/>
      </c>
      <c r="F1206" s="12" t="n"/>
      <c r="G1206" s="11" t="n"/>
      <c r="H1206" s="11" t="n"/>
      <c r="I1206" s="16">
        <f>IF(D1206="","",IF(G1206&lt;&gt;"",G1206,IFERROR(INDEX('Sản phẩm'!$E$5:$E$304,MATCH(D1206,'Sản phẩm'!$A$5:$A$304,0)),"")))</f>
        <v/>
      </c>
      <c r="J1206" s="16">
        <f>IF(OR(D1206="",F1206=""),"",F1206*I1206-N(H1206))</f>
        <v/>
      </c>
      <c r="K1206" s="16">
        <f>IF(OR(D1206="",F1206=""),"",F1206*IFERROR(INDEX('Sản phẩm'!$D$5:$D$304,MATCH(D1206,'Sản phẩm'!$A$5:$A$304,0)),""))</f>
        <v/>
      </c>
      <c r="L1206" s="16">
        <f>IF(J1206="","",J1206-K1206)</f>
        <v/>
      </c>
      <c r="M1206" s="14">
        <f>IF(A1206="","",MONTH(A1206))</f>
        <v/>
      </c>
      <c r="N1206" s="14">
        <f>IF(A1206="","",YEAR(A1206))</f>
        <v/>
      </c>
    </row>
    <row r="1207">
      <c r="A1207" s="15" t="n"/>
      <c r="B1207" s="10" t="n"/>
      <c r="C1207" s="10" t="n"/>
      <c r="D1207" s="10" t="n"/>
      <c r="E1207" s="14">
        <f>IF(D1207="","",IFERROR(INDEX('Sản phẩm'!$B$5:$B$304,MATCH(D1207,'Sản phẩm'!$A$5:$A$304,0)),""))</f>
        <v/>
      </c>
      <c r="F1207" s="12" t="n"/>
      <c r="G1207" s="11" t="n"/>
      <c r="H1207" s="11" t="n"/>
      <c r="I1207" s="16">
        <f>IF(D1207="","",IF(G1207&lt;&gt;"",G1207,IFERROR(INDEX('Sản phẩm'!$E$5:$E$304,MATCH(D1207,'Sản phẩm'!$A$5:$A$304,0)),"")))</f>
        <v/>
      </c>
      <c r="J1207" s="16">
        <f>IF(OR(D1207="",F1207=""),"",F1207*I1207-N(H1207))</f>
        <v/>
      </c>
      <c r="K1207" s="16">
        <f>IF(OR(D1207="",F1207=""),"",F1207*IFERROR(INDEX('Sản phẩm'!$D$5:$D$304,MATCH(D1207,'Sản phẩm'!$A$5:$A$304,0)),""))</f>
        <v/>
      </c>
      <c r="L1207" s="16">
        <f>IF(J1207="","",J1207-K1207)</f>
        <v/>
      </c>
      <c r="M1207" s="14">
        <f>IF(A1207="","",MONTH(A1207))</f>
        <v/>
      </c>
      <c r="N1207" s="14">
        <f>IF(A1207="","",YEAR(A1207))</f>
        <v/>
      </c>
    </row>
    <row r="1208">
      <c r="A1208" s="15" t="n"/>
      <c r="B1208" s="10" t="n"/>
      <c r="C1208" s="10" t="n"/>
      <c r="D1208" s="10" t="n"/>
      <c r="E1208" s="14">
        <f>IF(D1208="","",IFERROR(INDEX('Sản phẩm'!$B$5:$B$304,MATCH(D1208,'Sản phẩm'!$A$5:$A$304,0)),""))</f>
        <v/>
      </c>
      <c r="F1208" s="12" t="n"/>
      <c r="G1208" s="11" t="n"/>
      <c r="H1208" s="11" t="n"/>
      <c r="I1208" s="16">
        <f>IF(D1208="","",IF(G1208&lt;&gt;"",G1208,IFERROR(INDEX('Sản phẩm'!$E$5:$E$304,MATCH(D1208,'Sản phẩm'!$A$5:$A$304,0)),"")))</f>
        <v/>
      </c>
      <c r="J1208" s="16">
        <f>IF(OR(D1208="",F1208=""),"",F1208*I1208-N(H1208))</f>
        <v/>
      </c>
      <c r="K1208" s="16">
        <f>IF(OR(D1208="",F1208=""),"",F1208*IFERROR(INDEX('Sản phẩm'!$D$5:$D$304,MATCH(D1208,'Sản phẩm'!$A$5:$A$304,0)),""))</f>
        <v/>
      </c>
      <c r="L1208" s="16">
        <f>IF(J1208="","",J1208-K1208)</f>
        <v/>
      </c>
      <c r="M1208" s="14">
        <f>IF(A1208="","",MONTH(A1208))</f>
        <v/>
      </c>
      <c r="N1208" s="14">
        <f>IF(A1208="","",YEAR(A1208))</f>
        <v/>
      </c>
    </row>
    <row r="1209">
      <c r="A1209" s="15" t="n"/>
      <c r="B1209" s="10" t="n"/>
      <c r="C1209" s="10" t="n"/>
      <c r="D1209" s="10" t="n"/>
      <c r="E1209" s="14">
        <f>IF(D1209="","",IFERROR(INDEX('Sản phẩm'!$B$5:$B$304,MATCH(D1209,'Sản phẩm'!$A$5:$A$304,0)),""))</f>
        <v/>
      </c>
      <c r="F1209" s="12" t="n"/>
      <c r="G1209" s="11" t="n"/>
      <c r="H1209" s="11" t="n"/>
      <c r="I1209" s="16">
        <f>IF(D1209="","",IF(G1209&lt;&gt;"",G1209,IFERROR(INDEX('Sản phẩm'!$E$5:$E$304,MATCH(D1209,'Sản phẩm'!$A$5:$A$304,0)),"")))</f>
        <v/>
      </c>
      <c r="J1209" s="16">
        <f>IF(OR(D1209="",F1209=""),"",F1209*I1209-N(H1209))</f>
        <v/>
      </c>
      <c r="K1209" s="16">
        <f>IF(OR(D1209="",F1209=""),"",F1209*IFERROR(INDEX('Sản phẩm'!$D$5:$D$304,MATCH(D1209,'Sản phẩm'!$A$5:$A$304,0)),""))</f>
        <v/>
      </c>
      <c r="L1209" s="16">
        <f>IF(J1209="","",J1209-K1209)</f>
        <v/>
      </c>
      <c r="M1209" s="14">
        <f>IF(A1209="","",MONTH(A1209))</f>
        <v/>
      </c>
      <c r="N1209" s="14">
        <f>IF(A1209="","",YEAR(A1209))</f>
        <v/>
      </c>
    </row>
    <row r="1210">
      <c r="A1210" s="15" t="n"/>
      <c r="B1210" s="10" t="n"/>
      <c r="C1210" s="10" t="n"/>
      <c r="D1210" s="10" t="n"/>
      <c r="E1210" s="14">
        <f>IF(D1210="","",IFERROR(INDEX('Sản phẩm'!$B$5:$B$304,MATCH(D1210,'Sản phẩm'!$A$5:$A$304,0)),""))</f>
        <v/>
      </c>
      <c r="F1210" s="12" t="n"/>
      <c r="G1210" s="11" t="n"/>
      <c r="H1210" s="11" t="n"/>
      <c r="I1210" s="16">
        <f>IF(D1210="","",IF(G1210&lt;&gt;"",G1210,IFERROR(INDEX('Sản phẩm'!$E$5:$E$304,MATCH(D1210,'Sản phẩm'!$A$5:$A$304,0)),"")))</f>
        <v/>
      </c>
      <c r="J1210" s="16">
        <f>IF(OR(D1210="",F1210=""),"",F1210*I1210-N(H1210))</f>
        <v/>
      </c>
      <c r="K1210" s="16">
        <f>IF(OR(D1210="",F1210=""),"",F1210*IFERROR(INDEX('Sản phẩm'!$D$5:$D$304,MATCH(D1210,'Sản phẩm'!$A$5:$A$304,0)),""))</f>
        <v/>
      </c>
      <c r="L1210" s="16">
        <f>IF(J1210="","",J1210-K1210)</f>
        <v/>
      </c>
      <c r="M1210" s="14">
        <f>IF(A1210="","",MONTH(A1210))</f>
        <v/>
      </c>
      <c r="N1210" s="14">
        <f>IF(A1210="","",YEAR(A1210))</f>
        <v/>
      </c>
    </row>
    <row r="1211">
      <c r="A1211" s="15" t="n"/>
      <c r="B1211" s="10" t="n"/>
      <c r="C1211" s="10" t="n"/>
      <c r="D1211" s="10" t="n"/>
      <c r="E1211" s="14">
        <f>IF(D1211="","",IFERROR(INDEX('Sản phẩm'!$B$5:$B$304,MATCH(D1211,'Sản phẩm'!$A$5:$A$304,0)),""))</f>
        <v/>
      </c>
      <c r="F1211" s="12" t="n"/>
      <c r="G1211" s="11" t="n"/>
      <c r="H1211" s="11" t="n"/>
      <c r="I1211" s="16">
        <f>IF(D1211="","",IF(G1211&lt;&gt;"",G1211,IFERROR(INDEX('Sản phẩm'!$E$5:$E$304,MATCH(D1211,'Sản phẩm'!$A$5:$A$304,0)),"")))</f>
        <v/>
      </c>
      <c r="J1211" s="16">
        <f>IF(OR(D1211="",F1211=""),"",F1211*I1211-N(H1211))</f>
        <v/>
      </c>
      <c r="K1211" s="16">
        <f>IF(OR(D1211="",F1211=""),"",F1211*IFERROR(INDEX('Sản phẩm'!$D$5:$D$304,MATCH(D1211,'Sản phẩm'!$A$5:$A$304,0)),""))</f>
        <v/>
      </c>
      <c r="L1211" s="16">
        <f>IF(J1211="","",J1211-K1211)</f>
        <v/>
      </c>
      <c r="M1211" s="14">
        <f>IF(A1211="","",MONTH(A1211))</f>
        <v/>
      </c>
      <c r="N1211" s="14">
        <f>IF(A1211="","",YEAR(A1211))</f>
        <v/>
      </c>
    </row>
    <row r="1212">
      <c r="A1212" s="15" t="n"/>
      <c r="B1212" s="10" t="n"/>
      <c r="C1212" s="10" t="n"/>
      <c r="D1212" s="10" t="n"/>
      <c r="E1212" s="14">
        <f>IF(D1212="","",IFERROR(INDEX('Sản phẩm'!$B$5:$B$304,MATCH(D1212,'Sản phẩm'!$A$5:$A$304,0)),""))</f>
        <v/>
      </c>
      <c r="F1212" s="12" t="n"/>
      <c r="G1212" s="11" t="n"/>
      <c r="H1212" s="11" t="n"/>
      <c r="I1212" s="16">
        <f>IF(D1212="","",IF(G1212&lt;&gt;"",G1212,IFERROR(INDEX('Sản phẩm'!$E$5:$E$304,MATCH(D1212,'Sản phẩm'!$A$5:$A$304,0)),"")))</f>
        <v/>
      </c>
      <c r="J1212" s="16">
        <f>IF(OR(D1212="",F1212=""),"",F1212*I1212-N(H1212))</f>
        <v/>
      </c>
      <c r="K1212" s="16">
        <f>IF(OR(D1212="",F1212=""),"",F1212*IFERROR(INDEX('Sản phẩm'!$D$5:$D$304,MATCH(D1212,'Sản phẩm'!$A$5:$A$304,0)),""))</f>
        <v/>
      </c>
      <c r="L1212" s="16">
        <f>IF(J1212="","",J1212-K1212)</f>
        <v/>
      </c>
      <c r="M1212" s="14">
        <f>IF(A1212="","",MONTH(A1212))</f>
        <v/>
      </c>
      <c r="N1212" s="14">
        <f>IF(A1212="","",YEAR(A1212))</f>
        <v/>
      </c>
    </row>
    <row r="1213">
      <c r="A1213" s="15" t="n"/>
      <c r="B1213" s="10" t="n"/>
      <c r="C1213" s="10" t="n"/>
      <c r="D1213" s="10" t="n"/>
      <c r="E1213" s="14">
        <f>IF(D1213="","",IFERROR(INDEX('Sản phẩm'!$B$5:$B$304,MATCH(D1213,'Sản phẩm'!$A$5:$A$304,0)),""))</f>
        <v/>
      </c>
      <c r="F1213" s="12" t="n"/>
      <c r="G1213" s="11" t="n"/>
      <c r="H1213" s="11" t="n"/>
      <c r="I1213" s="16">
        <f>IF(D1213="","",IF(G1213&lt;&gt;"",G1213,IFERROR(INDEX('Sản phẩm'!$E$5:$E$304,MATCH(D1213,'Sản phẩm'!$A$5:$A$304,0)),"")))</f>
        <v/>
      </c>
      <c r="J1213" s="16">
        <f>IF(OR(D1213="",F1213=""),"",F1213*I1213-N(H1213))</f>
        <v/>
      </c>
      <c r="K1213" s="16">
        <f>IF(OR(D1213="",F1213=""),"",F1213*IFERROR(INDEX('Sản phẩm'!$D$5:$D$304,MATCH(D1213,'Sản phẩm'!$A$5:$A$304,0)),""))</f>
        <v/>
      </c>
      <c r="L1213" s="16">
        <f>IF(J1213="","",J1213-K1213)</f>
        <v/>
      </c>
      <c r="M1213" s="14">
        <f>IF(A1213="","",MONTH(A1213))</f>
        <v/>
      </c>
      <c r="N1213" s="14">
        <f>IF(A1213="","",YEAR(A1213))</f>
        <v/>
      </c>
    </row>
    <row r="1214">
      <c r="A1214" s="15" t="n"/>
      <c r="B1214" s="10" t="n"/>
      <c r="C1214" s="10" t="n"/>
      <c r="D1214" s="10" t="n"/>
      <c r="E1214" s="14">
        <f>IF(D1214="","",IFERROR(INDEX('Sản phẩm'!$B$5:$B$304,MATCH(D1214,'Sản phẩm'!$A$5:$A$304,0)),""))</f>
        <v/>
      </c>
      <c r="F1214" s="12" t="n"/>
      <c r="G1214" s="11" t="n"/>
      <c r="H1214" s="11" t="n"/>
      <c r="I1214" s="16">
        <f>IF(D1214="","",IF(G1214&lt;&gt;"",G1214,IFERROR(INDEX('Sản phẩm'!$E$5:$E$304,MATCH(D1214,'Sản phẩm'!$A$5:$A$304,0)),"")))</f>
        <v/>
      </c>
      <c r="J1214" s="16">
        <f>IF(OR(D1214="",F1214=""),"",F1214*I1214-N(H1214))</f>
        <v/>
      </c>
      <c r="K1214" s="16">
        <f>IF(OR(D1214="",F1214=""),"",F1214*IFERROR(INDEX('Sản phẩm'!$D$5:$D$304,MATCH(D1214,'Sản phẩm'!$A$5:$A$304,0)),""))</f>
        <v/>
      </c>
      <c r="L1214" s="16">
        <f>IF(J1214="","",J1214-K1214)</f>
        <v/>
      </c>
      <c r="M1214" s="14">
        <f>IF(A1214="","",MONTH(A1214))</f>
        <v/>
      </c>
      <c r="N1214" s="14">
        <f>IF(A1214="","",YEAR(A1214))</f>
        <v/>
      </c>
    </row>
    <row r="1215">
      <c r="A1215" s="15" t="n"/>
      <c r="B1215" s="10" t="n"/>
      <c r="C1215" s="10" t="n"/>
      <c r="D1215" s="10" t="n"/>
      <c r="E1215" s="14">
        <f>IF(D1215="","",IFERROR(INDEX('Sản phẩm'!$B$5:$B$304,MATCH(D1215,'Sản phẩm'!$A$5:$A$304,0)),""))</f>
        <v/>
      </c>
      <c r="F1215" s="12" t="n"/>
      <c r="G1215" s="11" t="n"/>
      <c r="H1215" s="11" t="n"/>
      <c r="I1215" s="16">
        <f>IF(D1215="","",IF(G1215&lt;&gt;"",G1215,IFERROR(INDEX('Sản phẩm'!$E$5:$E$304,MATCH(D1215,'Sản phẩm'!$A$5:$A$304,0)),"")))</f>
        <v/>
      </c>
      <c r="J1215" s="16">
        <f>IF(OR(D1215="",F1215=""),"",F1215*I1215-N(H1215))</f>
        <v/>
      </c>
      <c r="K1215" s="16">
        <f>IF(OR(D1215="",F1215=""),"",F1215*IFERROR(INDEX('Sản phẩm'!$D$5:$D$304,MATCH(D1215,'Sản phẩm'!$A$5:$A$304,0)),""))</f>
        <v/>
      </c>
      <c r="L1215" s="16">
        <f>IF(J1215="","",J1215-K1215)</f>
        <v/>
      </c>
      <c r="M1215" s="14">
        <f>IF(A1215="","",MONTH(A1215))</f>
        <v/>
      </c>
      <c r="N1215" s="14">
        <f>IF(A1215="","",YEAR(A1215))</f>
        <v/>
      </c>
    </row>
    <row r="1216">
      <c r="A1216" s="15" t="n"/>
      <c r="B1216" s="10" t="n"/>
      <c r="C1216" s="10" t="n"/>
      <c r="D1216" s="10" t="n"/>
      <c r="E1216" s="14">
        <f>IF(D1216="","",IFERROR(INDEX('Sản phẩm'!$B$5:$B$304,MATCH(D1216,'Sản phẩm'!$A$5:$A$304,0)),""))</f>
        <v/>
      </c>
      <c r="F1216" s="12" t="n"/>
      <c r="G1216" s="11" t="n"/>
      <c r="H1216" s="11" t="n"/>
      <c r="I1216" s="16">
        <f>IF(D1216="","",IF(G1216&lt;&gt;"",G1216,IFERROR(INDEX('Sản phẩm'!$E$5:$E$304,MATCH(D1216,'Sản phẩm'!$A$5:$A$304,0)),"")))</f>
        <v/>
      </c>
      <c r="J1216" s="16">
        <f>IF(OR(D1216="",F1216=""),"",F1216*I1216-N(H1216))</f>
        <v/>
      </c>
      <c r="K1216" s="16">
        <f>IF(OR(D1216="",F1216=""),"",F1216*IFERROR(INDEX('Sản phẩm'!$D$5:$D$304,MATCH(D1216,'Sản phẩm'!$A$5:$A$304,0)),""))</f>
        <v/>
      </c>
      <c r="L1216" s="16">
        <f>IF(J1216="","",J1216-K1216)</f>
        <v/>
      </c>
      <c r="M1216" s="14">
        <f>IF(A1216="","",MONTH(A1216))</f>
        <v/>
      </c>
      <c r="N1216" s="14">
        <f>IF(A1216="","",YEAR(A1216))</f>
        <v/>
      </c>
    </row>
    <row r="1217">
      <c r="A1217" s="15" t="n"/>
      <c r="B1217" s="10" t="n"/>
      <c r="C1217" s="10" t="n"/>
      <c r="D1217" s="10" t="n"/>
      <c r="E1217" s="14">
        <f>IF(D1217="","",IFERROR(INDEX('Sản phẩm'!$B$5:$B$304,MATCH(D1217,'Sản phẩm'!$A$5:$A$304,0)),""))</f>
        <v/>
      </c>
      <c r="F1217" s="12" t="n"/>
      <c r="G1217" s="11" t="n"/>
      <c r="H1217" s="11" t="n"/>
      <c r="I1217" s="16">
        <f>IF(D1217="","",IF(G1217&lt;&gt;"",G1217,IFERROR(INDEX('Sản phẩm'!$E$5:$E$304,MATCH(D1217,'Sản phẩm'!$A$5:$A$304,0)),"")))</f>
        <v/>
      </c>
      <c r="J1217" s="16">
        <f>IF(OR(D1217="",F1217=""),"",F1217*I1217-N(H1217))</f>
        <v/>
      </c>
      <c r="K1217" s="16">
        <f>IF(OR(D1217="",F1217=""),"",F1217*IFERROR(INDEX('Sản phẩm'!$D$5:$D$304,MATCH(D1217,'Sản phẩm'!$A$5:$A$304,0)),""))</f>
        <v/>
      </c>
      <c r="L1217" s="16">
        <f>IF(J1217="","",J1217-K1217)</f>
        <v/>
      </c>
      <c r="M1217" s="14">
        <f>IF(A1217="","",MONTH(A1217))</f>
        <v/>
      </c>
      <c r="N1217" s="14">
        <f>IF(A1217="","",YEAR(A1217))</f>
        <v/>
      </c>
    </row>
    <row r="1218">
      <c r="A1218" s="15" t="n"/>
      <c r="B1218" s="10" t="n"/>
      <c r="C1218" s="10" t="n"/>
      <c r="D1218" s="10" t="n"/>
      <c r="E1218" s="14">
        <f>IF(D1218="","",IFERROR(INDEX('Sản phẩm'!$B$5:$B$304,MATCH(D1218,'Sản phẩm'!$A$5:$A$304,0)),""))</f>
        <v/>
      </c>
      <c r="F1218" s="12" t="n"/>
      <c r="G1218" s="11" t="n"/>
      <c r="H1218" s="11" t="n"/>
      <c r="I1218" s="16">
        <f>IF(D1218="","",IF(G1218&lt;&gt;"",G1218,IFERROR(INDEX('Sản phẩm'!$E$5:$E$304,MATCH(D1218,'Sản phẩm'!$A$5:$A$304,0)),"")))</f>
        <v/>
      </c>
      <c r="J1218" s="16">
        <f>IF(OR(D1218="",F1218=""),"",F1218*I1218-N(H1218))</f>
        <v/>
      </c>
      <c r="K1218" s="16">
        <f>IF(OR(D1218="",F1218=""),"",F1218*IFERROR(INDEX('Sản phẩm'!$D$5:$D$304,MATCH(D1218,'Sản phẩm'!$A$5:$A$304,0)),""))</f>
        <v/>
      </c>
      <c r="L1218" s="16">
        <f>IF(J1218="","",J1218-K1218)</f>
        <v/>
      </c>
      <c r="M1218" s="14">
        <f>IF(A1218="","",MONTH(A1218))</f>
        <v/>
      </c>
      <c r="N1218" s="14">
        <f>IF(A1218="","",YEAR(A1218))</f>
        <v/>
      </c>
    </row>
    <row r="1219">
      <c r="A1219" s="15" t="n"/>
      <c r="B1219" s="10" t="n"/>
      <c r="C1219" s="10" t="n"/>
      <c r="D1219" s="10" t="n"/>
      <c r="E1219" s="14">
        <f>IF(D1219="","",IFERROR(INDEX('Sản phẩm'!$B$5:$B$304,MATCH(D1219,'Sản phẩm'!$A$5:$A$304,0)),""))</f>
        <v/>
      </c>
      <c r="F1219" s="12" t="n"/>
      <c r="G1219" s="11" t="n"/>
      <c r="H1219" s="11" t="n"/>
      <c r="I1219" s="16">
        <f>IF(D1219="","",IF(G1219&lt;&gt;"",G1219,IFERROR(INDEX('Sản phẩm'!$E$5:$E$304,MATCH(D1219,'Sản phẩm'!$A$5:$A$304,0)),"")))</f>
        <v/>
      </c>
      <c r="J1219" s="16">
        <f>IF(OR(D1219="",F1219=""),"",F1219*I1219-N(H1219))</f>
        <v/>
      </c>
      <c r="K1219" s="16">
        <f>IF(OR(D1219="",F1219=""),"",F1219*IFERROR(INDEX('Sản phẩm'!$D$5:$D$304,MATCH(D1219,'Sản phẩm'!$A$5:$A$304,0)),""))</f>
        <v/>
      </c>
      <c r="L1219" s="16">
        <f>IF(J1219="","",J1219-K1219)</f>
        <v/>
      </c>
      <c r="M1219" s="14">
        <f>IF(A1219="","",MONTH(A1219))</f>
        <v/>
      </c>
      <c r="N1219" s="14">
        <f>IF(A1219="","",YEAR(A1219))</f>
        <v/>
      </c>
    </row>
    <row r="1220">
      <c r="A1220" s="15" t="n"/>
      <c r="B1220" s="10" t="n"/>
      <c r="C1220" s="10" t="n"/>
      <c r="D1220" s="10" t="n"/>
      <c r="E1220" s="14">
        <f>IF(D1220="","",IFERROR(INDEX('Sản phẩm'!$B$5:$B$304,MATCH(D1220,'Sản phẩm'!$A$5:$A$304,0)),""))</f>
        <v/>
      </c>
      <c r="F1220" s="12" t="n"/>
      <c r="G1220" s="11" t="n"/>
      <c r="H1220" s="11" t="n"/>
      <c r="I1220" s="16">
        <f>IF(D1220="","",IF(G1220&lt;&gt;"",G1220,IFERROR(INDEX('Sản phẩm'!$E$5:$E$304,MATCH(D1220,'Sản phẩm'!$A$5:$A$304,0)),"")))</f>
        <v/>
      </c>
      <c r="J1220" s="16">
        <f>IF(OR(D1220="",F1220=""),"",F1220*I1220-N(H1220))</f>
        <v/>
      </c>
      <c r="K1220" s="16">
        <f>IF(OR(D1220="",F1220=""),"",F1220*IFERROR(INDEX('Sản phẩm'!$D$5:$D$304,MATCH(D1220,'Sản phẩm'!$A$5:$A$304,0)),""))</f>
        <v/>
      </c>
      <c r="L1220" s="16">
        <f>IF(J1220="","",J1220-K1220)</f>
        <v/>
      </c>
      <c r="M1220" s="14">
        <f>IF(A1220="","",MONTH(A1220))</f>
        <v/>
      </c>
      <c r="N1220" s="14">
        <f>IF(A1220="","",YEAR(A1220))</f>
        <v/>
      </c>
    </row>
    <row r="1221">
      <c r="A1221" s="15" t="n"/>
      <c r="B1221" s="10" t="n"/>
      <c r="C1221" s="10" t="n"/>
      <c r="D1221" s="10" t="n"/>
      <c r="E1221" s="14">
        <f>IF(D1221="","",IFERROR(INDEX('Sản phẩm'!$B$5:$B$304,MATCH(D1221,'Sản phẩm'!$A$5:$A$304,0)),""))</f>
        <v/>
      </c>
      <c r="F1221" s="12" t="n"/>
      <c r="G1221" s="11" t="n"/>
      <c r="H1221" s="11" t="n"/>
      <c r="I1221" s="16">
        <f>IF(D1221="","",IF(G1221&lt;&gt;"",G1221,IFERROR(INDEX('Sản phẩm'!$E$5:$E$304,MATCH(D1221,'Sản phẩm'!$A$5:$A$304,0)),"")))</f>
        <v/>
      </c>
      <c r="J1221" s="16">
        <f>IF(OR(D1221="",F1221=""),"",F1221*I1221-N(H1221))</f>
        <v/>
      </c>
      <c r="K1221" s="16">
        <f>IF(OR(D1221="",F1221=""),"",F1221*IFERROR(INDEX('Sản phẩm'!$D$5:$D$304,MATCH(D1221,'Sản phẩm'!$A$5:$A$304,0)),""))</f>
        <v/>
      </c>
      <c r="L1221" s="16">
        <f>IF(J1221="","",J1221-K1221)</f>
        <v/>
      </c>
      <c r="M1221" s="14">
        <f>IF(A1221="","",MONTH(A1221))</f>
        <v/>
      </c>
      <c r="N1221" s="14">
        <f>IF(A1221="","",YEAR(A1221))</f>
        <v/>
      </c>
    </row>
    <row r="1222">
      <c r="A1222" s="15" t="n"/>
      <c r="B1222" s="10" t="n"/>
      <c r="C1222" s="10" t="n"/>
      <c r="D1222" s="10" t="n"/>
      <c r="E1222" s="14">
        <f>IF(D1222="","",IFERROR(INDEX('Sản phẩm'!$B$5:$B$304,MATCH(D1222,'Sản phẩm'!$A$5:$A$304,0)),""))</f>
        <v/>
      </c>
      <c r="F1222" s="12" t="n"/>
      <c r="G1222" s="11" t="n"/>
      <c r="H1222" s="11" t="n"/>
      <c r="I1222" s="16">
        <f>IF(D1222="","",IF(G1222&lt;&gt;"",G1222,IFERROR(INDEX('Sản phẩm'!$E$5:$E$304,MATCH(D1222,'Sản phẩm'!$A$5:$A$304,0)),"")))</f>
        <v/>
      </c>
      <c r="J1222" s="16">
        <f>IF(OR(D1222="",F1222=""),"",F1222*I1222-N(H1222))</f>
        <v/>
      </c>
      <c r="K1222" s="16">
        <f>IF(OR(D1222="",F1222=""),"",F1222*IFERROR(INDEX('Sản phẩm'!$D$5:$D$304,MATCH(D1222,'Sản phẩm'!$A$5:$A$304,0)),""))</f>
        <v/>
      </c>
      <c r="L1222" s="16">
        <f>IF(J1222="","",J1222-K1222)</f>
        <v/>
      </c>
      <c r="M1222" s="14">
        <f>IF(A1222="","",MONTH(A1222))</f>
        <v/>
      </c>
      <c r="N1222" s="14">
        <f>IF(A1222="","",YEAR(A1222))</f>
        <v/>
      </c>
    </row>
    <row r="1223">
      <c r="A1223" s="15" t="n"/>
      <c r="B1223" s="10" t="n"/>
      <c r="C1223" s="10" t="n"/>
      <c r="D1223" s="10" t="n"/>
      <c r="E1223" s="14">
        <f>IF(D1223="","",IFERROR(INDEX('Sản phẩm'!$B$5:$B$304,MATCH(D1223,'Sản phẩm'!$A$5:$A$304,0)),""))</f>
        <v/>
      </c>
      <c r="F1223" s="12" t="n"/>
      <c r="G1223" s="11" t="n"/>
      <c r="H1223" s="11" t="n"/>
      <c r="I1223" s="16">
        <f>IF(D1223="","",IF(G1223&lt;&gt;"",G1223,IFERROR(INDEX('Sản phẩm'!$E$5:$E$304,MATCH(D1223,'Sản phẩm'!$A$5:$A$304,0)),"")))</f>
        <v/>
      </c>
      <c r="J1223" s="16">
        <f>IF(OR(D1223="",F1223=""),"",F1223*I1223-N(H1223))</f>
        <v/>
      </c>
      <c r="K1223" s="16">
        <f>IF(OR(D1223="",F1223=""),"",F1223*IFERROR(INDEX('Sản phẩm'!$D$5:$D$304,MATCH(D1223,'Sản phẩm'!$A$5:$A$304,0)),""))</f>
        <v/>
      </c>
      <c r="L1223" s="16">
        <f>IF(J1223="","",J1223-K1223)</f>
        <v/>
      </c>
      <c r="M1223" s="14">
        <f>IF(A1223="","",MONTH(A1223))</f>
        <v/>
      </c>
      <c r="N1223" s="14">
        <f>IF(A1223="","",YEAR(A1223))</f>
        <v/>
      </c>
    </row>
    <row r="1224">
      <c r="A1224" s="15" t="n"/>
      <c r="B1224" s="10" t="n"/>
      <c r="C1224" s="10" t="n"/>
      <c r="D1224" s="10" t="n"/>
      <c r="E1224" s="14">
        <f>IF(D1224="","",IFERROR(INDEX('Sản phẩm'!$B$5:$B$304,MATCH(D1224,'Sản phẩm'!$A$5:$A$304,0)),""))</f>
        <v/>
      </c>
      <c r="F1224" s="12" t="n"/>
      <c r="G1224" s="11" t="n"/>
      <c r="H1224" s="11" t="n"/>
      <c r="I1224" s="16">
        <f>IF(D1224="","",IF(G1224&lt;&gt;"",G1224,IFERROR(INDEX('Sản phẩm'!$E$5:$E$304,MATCH(D1224,'Sản phẩm'!$A$5:$A$304,0)),"")))</f>
        <v/>
      </c>
      <c r="J1224" s="16">
        <f>IF(OR(D1224="",F1224=""),"",F1224*I1224-N(H1224))</f>
        <v/>
      </c>
      <c r="K1224" s="16">
        <f>IF(OR(D1224="",F1224=""),"",F1224*IFERROR(INDEX('Sản phẩm'!$D$5:$D$304,MATCH(D1224,'Sản phẩm'!$A$5:$A$304,0)),""))</f>
        <v/>
      </c>
      <c r="L1224" s="16">
        <f>IF(J1224="","",J1224-K1224)</f>
        <v/>
      </c>
      <c r="M1224" s="14">
        <f>IF(A1224="","",MONTH(A1224))</f>
        <v/>
      </c>
      <c r="N1224" s="14">
        <f>IF(A1224="","",YEAR(A1224))</f>
        <v/>
      </c>
    </row>
    <row r="1225">
      <c r="A1225" s="15" t="n"/>
      <c r="B1225" s="10" t="n"/>
      <c r="C1225" s="10" t="n"/>
      <c r="D1225" s="10" t="n"/>
      <c r="E1225" s="14">
        <f>IF(D1225="","",IFERROR(INDEX('Sản phẩm'!$B$5:$B$304,MATCH(D1225,'Sản phẩm'!$A$5:$A$304,0)),""))</f>
        <v/>
      </c>
      <c r="F1225" s="12" t="n"/>
      <c r="G1225" s="11" t="n"/>
      <c r="H1225" s="11" t="n"/>
      <c r="I1225" s="16">
        <f>IF(D1225="","",IF(G1225&lt;&gt;"",G1225,IFERROR(INDEX('Sản phẩm'!$E$5:$E$304,MATCH(D1225,'Sản phẩm'!$A$5:$A$304,0)),"")))</f>
        <v/>
      </c>
      <c r="J1225" s="16">
        <f>IF(OR(D1225="",F1225=""),"",F1225*I1225-N(H1225))</f>
        <v/>
      </c>
      <c r="K1225" s="16">
        <f>IF(OR(D1225="",F1225=""),"",F1225*IFERROR(INDEX('Sản phẩm'!$D$5:$D$304,MATCH(D1225,'Sản phẩm'!$A$5:$A$304,0)),""))</f>
        <v/>
      </c>
      <c r="L1225" s="16">
        <f>IF(J1225="","",J1225-K1225)</f>
        <v/>
      </c>
      <c r="M1225" s="14">
        <f>IF(A1225="","",MONTH(A1225))</f>
        <v/>
      </c>
      <c r="N1225" s="14">
        <f>IF(A1225="","",YEAR(A1225))</f>
        <v/>
      </c>
    </row>
    <row r="1226">
      <c r="A1226" s="15" t="n"/>
      <c r="B1226" s="10" t="n"/>
      <c r="C1226" s="10" t="n"/>
      <c r="D1226" s="10" t="n"/>
      <c r="E1226" s="14">
        <f>IF(D1226="","",IFERROR(INDEX('Sản phẩm'!$B$5:$B$304,MATCH(D1226,'Sản phẩm'!$A$5:$A$304,0)),""))</f>
        <v/>
      </c>
      <c r="F1226" s="12" t="n"/>
      <c r="G1226" s="11" t="n"/>
      <c r="H1226" s="11" t="n"/>
      <c r="I1226" s="16">
        <f>IF(D1226="","",IF(G1226&lt;&gt;"",G1226,IFERROR(INDEX('Sản phẩm'!$E$5:$E$304,MATCH(D1226,'Sản phẩm'!$A$5:$A$304,0)),"")))</f>
        <v/>
      </c>
      <c r="J1226" s="16">
        <f>IF(OR(D1226="",F1226=""),"",F1226*I1226-N(H1226))</f>
        <v/>
      </c>
      <c r="K1226" s="16">
        <f>IF(OR(D1226="",F1226=""),"",F1226*IFERROR(INDEX('Sản phẩm'!$D$5:$D$304,MATCH(D1226,'Sản phẩm'!$A$5:$A$304,0)),""))</f>
        <v/>
      </c>
      <c r="L1226" s="16">
        <f>IF(J1226="","",J1226-K1226)</f>
        <v/>
      </c>
      <c r="M1226" s="14">
        <f>IF(A1226="","",MONTH(A1226))</f>
        <v/>
      </c>
      <c r="N1226" s="14">
        <f>IF(A1226="","",YEAR(A1226))</f>
        <v/>
      </c>
    </row>
    <row r="1227">
      <c r="A1227" s="15" t="n"/>
      <c r="B1227" s="10" t="n"/>
      <c r="C1227" s="10" t="n"/>
      <c r="D1227" s="10" t="n"/>
      <c r="E1227" s="14">
        <f>IF(D1227="","",IFERROR(INDEX('Sản phẩm'!$B$5:$B$304,MATCH(D1227,'Sản phẩm'!$A$5:$A$304,0)),""))</f>
        <v/>
      </c>
      <c r="F1227" s="12" t="n"/>
      <c r="G1227" s="11" t="n"/>
      <c r="H1227" s="11" t="n"/>
      <c r="I1227" s="16">
        <f>IF(D1227="","",IF(G1227&lt;&gt;"",G1227,IFERROR(INDEX('Sản phẩm'!$E$5:$E$304,MATCH(D1227,'Sản phẩm'!$A$5:$A$304,0)),"")))</f>
        <v/>
      </c>
      <c r="J1227" s="16">
        <f>IF(OR(D1227="",F1227=""),"",F1227*I1227-N(H1227))</f>
        <v/>
      </c>
      <c r="K1227" s="16">
        <f>IF(OR(D1227="",F1227=""),"",F1227*IFERROR(INDEX('Sản phẩm'!$D$5:$D$304,MATCH(D1227,'Sản phẩm'!$A$5:$A$304,0)),""))</f>
        <v/>
      </c>
      <c r="L1227" s="16">
        <f>IF(J1227="","",J1227-K1227)</f>
        <v/>
      </c>
      <c r="M1227" s="14">
        <f>IF(A1227="","",MONTH(A1227))</f>
        <v/>
      </c>
      <c r="N1227" s="14">
        <f>IF(A1227="","",YEAR(A1227))</f>
        <v/>
      </c>
    </row>
    <row r="1228">
      <c r="A1228" s="15" t="n"/>
      <c r="B1228" s="10" t="n"/>
      <c r="C1228" s="10" t="n"/>
      <c r="D1228" s="10" t="n"/>
      <c r="E1228" s="14">
        <f>IF(D1228="","",IFERROR(INDEX('Sản phẩm'!$B$5:$B$304,MATCH(D1228,'Sản phẩm'!$A$5:$A$304,0)),""))</f>
        <v/>
      </c>
      <c r="F1228" s="12" t="n"/>
      <c r="G1228" s="11" t="n"/>
      <c r="H1228" s="11" t="n"/>
      <c r="I1228" s="16">
        <f>IF(D1228="","",IF(G1228&lt;&gt;"",G1228,IFERROR(INDEX('Sản phẩm'!$E$5:$E$304,MATCH(D1228,'Sản phẩm'!$A$5:$A$304,0)),"")))</f>
        <v/>
      </c>
      <c r="J1228" s="16">
        <f>IF(OR(D1228="",F1228=""),"",F1228*I1228-N(H1228))</f>
        <v/>
      </c>
      <c r="K1228" s="16">
        <f>IF(OR(D1228="",F1228=""),"",F1228*IFERROR(INDEX('Sản phẩm'!$D$5:$D$304,MATCH(D1228,'Sản phẩm'!$A$5:$A$304,0)),""))</f>
        <v/>
      </c>
      <c r="L1228" s="16">
        <f>IF(J1228="","",J1228-K1228)</f>
        <v/>
      </c>
      <c r="M1228" s="14">
        <f>IF(A1228="","",MONTH(A1228))</f>
        <v/>
      </c>
      <c r="N1228" s="14">
        <f>IF(A1228="","",YEAR(A1228))</f>
        <v/>
      </c>
    </row>
    <row r="1229">
      <c r="A1229" s="15" t="n"/>
      <c r="B1229" s="10" t="n"/>
      <c r="C1229" s="10" t="n"/>
      <c r="D1229" s="10" t="n"/>
      <c r="E1229" s="14">
        <f>IF(D1229="","",IFERROR(INDEX('Sản phẩm'!$B$5:$B$304,MATCH(D1229,'Sản phẩm'!$A$5:$A$304,0)),""))</f>
        <v/>
      </c>
      <c r="F1229" s="12" t="n"/>
      <c r="G1229" s="11" t="n"/>
      <c r="H1229" s="11" t="n"/>
      <c r="I1229" s="16">
        <f>IF(D1229="","",IF(G1229&lt;&gt;"",G1229,IFERROR(INDEX('Sản phẩm'!$E$5:$E$304,MATCH(D1229,'Sản phẩm'!$A$5:$A$304,0)),"")))</f>
        <v/>
      </c>
      <c r="J1229" s="16">
        <f>IF(OR(D1229="",F1229=""),"",F1229*I1229-N(H1229))</f>
        <v/>
      </c>
      <c r="K1229" s="16">
        <f>IF(OR(D1229="",F1229=""),"",F1229*IFERROR(INDEX('Sản phẩm'!$D$5:$D$304,MATCH(D1229,'Sản phẩm'!$A$5:$A$304,0)),""))</f>
        <v/>
      </c>
      <c r="L1229" s="16">
        <f>IF(J1229="","",J1229-K1229)</f>
        <v/>
      </c>
      <c r="M1229" s="14">
        <f>IF(A1229="","",MONTH(A1229))</f>
        <v/>
      </c>
      <c r="N1229" s="14">
        <f>IF(A1229="","",YEAR(A1229))</f>
        <v/>
      </c>
    </row>
    <row r="1230">
      <c r="A1230" s="15" t="n"/>
      <c r="B1230" s="10" t="n"/>
      <c r="C1230" s="10" t="n"/>
      <c r="D1230" s="10" t="n"/>
      <c r="E1230" s="14">
        <f>IF(D1230="","",IFERROR(INDEX('Sản phẩm'!$B$5:$B$304,MATCH(D1230,'Sản phẩm'!$A$5:$A$304,0)),""))</f>
        <v/>
      </c>
      <c r="F1230" s="12" t="n"/>
      <c r="G1230" s="11" t="n"/>
      <c r="H1230" s="11" t="n"/>
      <c r="I1230" s="16">
        <f>IF(D1230="","",IF(G1230&lt;&gt;"",G1230,IFERROR(INDEX('Sản phẩm'!$E$5:$E$304,MATCH(D1230,'Sản phẩm'!$A$5:$A$304,0)),"")))</f>
        <v/>
      </c>
      <c r="J1230" s="16">
        <f>IF(OR(D1230="",F1230=""),"",F1230*I1230-N(H1230))</f>
        <v/>
      </c>
      <c r="K1230" s="16">
        <f>IF(OR(D1230="",F1230=""),"",F1230*IFERROR(INDEX('Sản phẩm'!$D$5:$D$304,MATCH(D1230,'Sản phẩm'!$A$5:$A$304,0)),""))</f>
        <v/>
      </c>
      <c r="L1230" s="16">
        <f>IF(J1230="","",J1230-K1230)</f>
        <v/>
      </c>
      <c r="M1230" s="14">
        <f>IF(A1230="","",MONTH(A1230))</f>
        <v/>
      </c>
      <c r="N1230" s="14">
        <f>IF(A1230="","",YEAR(A1230))</f>
        <v/>
      </c>
    </row>
    <row r="1231">
      <c r="A1231" s="15" t="n"/>
      <c r="B1231" s="10" t="n"/>
      <c r="C1231" s="10" t="n"/>
      <c r="D1231" s="10" t="n"/>
      <c r="E1231" s="14">
        <f>IF(D1231="","",IFERROR(INDEX('Sản phẩm'!$B$5:$B$304,MATCH(D1231,'Sản phẩm'!$A$5:$A$304,0)),""))</f>
        <v/>
      </c>
      <c r="F1231" s="12" t="n"/>
      <c r="G1231" s="11" t="n"/>
      <c r="H1231" s="11" t="n"/>
      <c r="I1231" s="16">
        <f>IF(D1231="","",IF(G1231&lt;&gt;"",G1231,IFERROR(INDEX('Sản phẩm'!$E$5:$E$304,MATCH(D1231,'Sản phẩm'!$A$5:$A$304,0)),"")))</f>
        <v/>
      </c>
      <c r="J1231" s="16">
        <f>IF(OR(D1231="",F1231=""),"",F1231*I1231-N(H1231))</f>
        <v/>
      </c>
      <c r="K1231" s="16">
        <f>IF(OR(D1231="",F1231=""),"",F1231*IFERROR(INDEX('Sản phẩm'!$D$5:$D$304,MATCH(D1231,'Sản phẩm'!$A$5:$A$304,0)),""))</f>
        <v/>
      </c>
      <c r="L1231" s="16">
        <f>IF(J1231="","",J1231-K1231)</f>
        <v/>
      </c>
      <c r="M1231" s="14">
        <f>IF(A1231="","",MONTH(A1231))</f>
        <v/>
      </c>
      <c r="N1231" s="14">
        <f>IF(A1231="","",YEAR(A1231))</f>
        <v/>
      </c>
    </row>
    <row r="1232">
      <c r="A1232" s="15" t="n"/>
      <c r="B1232" s="10" t="n"/>
      <c r="C1232" s="10" t="n"/>
      <c r="D1232" s="10" t="n"/>
      <c r="E1232" s="14">
        <f>IF(D1232="","",IFERROR(INDEX('Sản phẩm'!$B$5:$B$304,MATCH(D1232,'Sản phẩm'!$A$5:$A$304,0)),""))</f>
        <v/>
      </c>
      <c r="F1232" s="12" t="n"/>
      <c r="G1232" s="11" t="n"/>
      <c r="H1232" s="11" t="n"/>
      <c r="I1232" s="16">
        <f>IF(D1232="","",IF(G1232&lt;&gt;"",G1232,IFERROR(INDEX('Sản phẩm'!$E$5:$E$304,MATCH(D1232,'Sản phẩm'!$A$5:$A$304,0)),"")))</f>
        <v/>
      </c>
      <c r="J1232" s="16">
        <f>IF(OR(D1232="",F1232=""),"",F1232*I1232-N(H1232))</f>
        <v/>
      </c>
      <c r="K1232" s="16">
        <f>IF(OR(D1232="",F1232=""),"",F1232*IFERROR(INDEX('Sản phẩm'!$D$5:$D$304,MATCH(D1232,'Sản phẩm'!$A$5:$A$304,0)),""))</f>
        <v/>
      </c>
      <c r="L1232" s="16">
        <f>IF(J1232="","",J1232-K1232)</f>
        <v/>
      </c>
      <c r="M1232" s="14">
        <f>IF(A1232="","",MONTH(A1232))</f>
        <v/>
      </c>
      <c r="N1232" s="14">
        <f>IF(A1232="","",YEAR(A1232))</f>
        <v/>
      </c>
    </row>
    <row r="1233">
      <c r="A1233" s="15" t="n"/>
      <c r="B1233" s="10" t="n"/>
      <c r="C1233" s="10" t="n"/>
      <c r="D1233" s="10" t="n"/>
      <c r="E1233" s="14">
        <f>IF(D1233="","",IFERROR(INDEX('Sản phẩm'!$B$5:$B$304,MATCH(D1233,'Sản phẩm'!$A$5:$A$304,0)),""))</f>
        <v/>
      </c>
      <c r="F1233" s="12" t="n"/>
      <c r="G1233" s="11" t="n"/>
      <c r="H1233" s="11" t="n"/>
      <c r="I1233" s="16">
        <f>IF(D1233="","",IF(G1233&lt;&gt;"",G1233,IFERROR(INDEX('Sản phẩm'!$E$5:$E$304,MATCH(D1233,'Sản phẩm'!$A$5:$A$304,0)),"")))</f>
        <v/>
      </c>
      <c r="J1233" s="16">
        <f>IF(OR(D1233="",F1233=""),"",F1233*I1233-N(H1233))</f>
        <v/>
      </c>
      <c r="K1233" s="16">
        <f>IF(OR(D1233="",F1233=""),"",F1233*IFERROR(INDEX('Sản phẩm'!$D$5:$D$304,MATCH(D1233,'Sản phẩm'!$A$5:$A$304,0)),""))</f>
        <v/>
      </c>
      <c r="L1233" s="16">
        <f>IF(J1233="","",J1233-K1233)</f>
        <v/>
      </c>
      <c r="M1233" s="14">
        <f>IF(A1233="","",MONTH(A1233))</f>
        <v/>
      </c>
      <c r="N1233" s="14">
        <f>IF(A1233="","",YEAR(A1233))</f>
        <v/>
      </c>
    </row>
    <row r="1234">
      <c r="A1234" s="15" t="n"/>
      <c r="B1234" s="10" t="n"/>
      <c r="C1234" s="10" t="n"/>
      <c r="D1234" s="10" t="n"/>
      <c r="E1234" s="14">
        <f>IF(D1234="","",IFERROR(INDEX('Sản phẩm'!$B$5:$B$304,MATCH(D1234,'Sản phẩm'!$A$5:$A$304,0)),""))</f>
        <v/>
      </c>
      <c r="F1234" s="12" t="n"/>
      <c r="G1234" s="11" t="n"/>
      <c r="H1234" s="11" t="n"/>
      <c r="I1234" s="16">
        <f>IF(D1234="","",IF(G1234&lt;&gt;"",G1234,IFERROR(INDEX('Sản phẩm'!$E$5:$E$304,MATCH(D1234,'Sản phẩm'!$A$5:$A$304,0)),"")))</f>
        <v/>
      </c>
      <c r="J1234" s="16">
        <f>IF(OR(D1234="",F1234=""),"",F1234*I1234-N(H1234))</f>
        <v/>
      </c>
      <c r="K1234" s="16">
        <f>IF(OR(D1234="",F1234=""),"",F1234*IFERROR(INDEX('Sản phẩm'!$D$5:$D$304,MATCH(D1234,'Sản phẩm'!$A$5:$A$304,0)),""))</f>
        <v/>
      </c>
      <c r="L1234" s="16">
        <f>IF(J1234="","",J1234-K1234)</f>
        <v/>
      </c>
      <c r="M1234" s="14">
        <f>IF(A1234="","",MONTH(A1234))</f>
        <v/>
      </c>
      <c r="N1234" s="14">
        <f>IF(A1234="","",YEAR(A1234))</f>
        <v/>
      </c>
    </row>
    <row r="1235">
      <c r="A1235" s="15" t="n"/>
      <c r="B1235" s="10" t="n"/>
      <c r="C1235" s="10" t="n"/>
      <c r="D1235" s="10" t="n"/>
      <c r="E1235" s="14">
        <f>IF(D1235="","",IFERROR(INDEX('Sản phẩm'!$B$5:$B$304,MATCH(D1235,'Sản phẩm'!$A$5:$A$304,0)),""))</f>
        <v/>
      </c>
      <c r="F1235" s="12" t="n"/>
      <c r="G1235" s="11" t="n"/>
      <c r="H1235" s="11" t="n"/>
      <c r="I1235" s="16">
        <f>IF(D1235="","",IF(G1235&lt;&gt;"",G1235,IFERROR(INDEX('Sản phẩm'!$E$5:$E$304,MATCH(D1235,'Sản phẩm'!$A$5:$A$304,0)),"")))</f>
        <v/>
      </c>
      <c r="J1235" s="16">
        <f>IF(OR(D1235="",F1235=""),"",F1235*I1235-N(H1235))</f>
        <v/>
      </c>
      <c r="K1235" s="16">
        <f>IF(OR(D1235="",F1235=""),"",F1235*IFERROR(INDEX('Sản phẩm'!$D$5:$D$304,MATCH(D1235,'Sản phẩm'!$A$5:$A$304,0)),""))</f>
        <v/>
      </c>
      <c r="L1235" s="16">
        <f>IF(J1235="","",J1235-K1235)</f>
        <v/>
      </c>
      <c r="M1235" s="14">
        <f>IF(A1235="","",MONTH(A1235))</f>
        <v/>
      </c>
      <c r="N1235" s="14">
        <f>IF(A1235="","",YEAR(A1235))</f>
        <v/>
      </c>
    </row>
    <row r="1236">
      <c r="A1236" s="15" t="n"/>
      <c r="B1236" s="10" t="n"/>
      <c r="C1236" s="10" t="n"/>
      <c r="D1236" s="10" t="n"/>
      <c r="E1236" s="14">
        <f>IF(D1236="","",IFERROR(INDEX('Sản phẩm'!$B$5:$B$304,MATCH(D1236,'Sản phẩm'!$A$5:$A$304,0)),""))</f>
        <v/>
      </c>
      <c r="F1236" s="12" t="n"/>
      <c r="G1236" s="11" t="n"/>
      <c r="H1236" s="11" t="n"/>
      <c r="I1236" s="16">
        <f>IF(D1236="","",IF(G1236&lt;&gt;"",G1236,IFERROR(INDEX('Sản phẩm'!$E$5:$E$304,MATCH(D1236,'Sản phẩm'!$A$5:$A$304,0)),"")))</f>
        <v/>
      </c>
      <c r="J1236" s="16">
        <f>IF(OR(D1236="",F1236=""),"",F1236*I1236-N(H1236))</f>
        <v/>
      </c>
      <c r="K1236" s="16">
        <f>IF(OR(D1236="",F1236=""),"",F1236*IFERROR(INDEX('Sản phẩm'!$D$5:$D$304,MATCH(D1236,'Sản phẩm'!$A$5:$A$304,0)),""))</f>
        <v/>
      </c>
      <c r="L1236" s="16">
        <f>IF(J1236="","",J1236-K1236)</f>
        <v/>
      </c>
      <c r="M1236" s="14">
        <f>IF(A1236="","",MONTH(A1236))</f>
        <v/>
      </c>
      <c r="N1236" s="14">
        <f>IF(A1236="","",YEAR(A1236))</f>
        <v/>
      </c>
    </row>
    <row r="1237">
      <c r="A1237" s="15" t="n"/>
      <c r="B1237" s="10" t="n"/>
      <c r="C1237" s="10" t="n"/>
      <c r="D1237" s="10" t="n"/>
      <c r="E1237" s="14">
        <f>IF(D1237="","",IFERROR(INDEX('Sản phẩm'!$B$5:$B$304,MATCH(D1237,'Sản phẩm'!$A$5:$A$304,0)),""))</f>
        <v/>
      </c>
      <c r="F1237" s="12" t="n"/>
      <c r="G1237" s="11" t="n"/>
      <c r="H1237" s="11" t="n"/>
      <c r="I1237" s="16">
        <f>IF(D1237="","",IF(G1237&lt;&gt;"",G1237,IFERROR(INDEX('Sản phẩm'!$E$5:$E$304,MATCH(D1237,'Sản phẩm'!$A$5:$A$304,0)),"")))</f>
        <v/>
      </c>
      <c r="J1237" s="16">
        <f>IF(OR(D1237="",F1237=""),"",F1237*I1237-N(H1237))</f>
        <v/>
      </c>
      <c r="K1237" s="16">
        <f>IF(OR(D1237="",F1237=""),"",F1237*IFERROR(INDEX('Sản phẩm'!$D$5:$D$304,MATCH(D1237,'Sản phẩm'!$A$5:$A$304,0)),""))</f>
        <v/>
      </c>
      <c r="L1237" s="16">
        <f>IF(J1237="","",J1237-K1237)</f>
        <v/>
      </c>
      <c r="M1237" s="14">
        <f>IF(A1237="","",MONTH(A1237))</f>
        <v/>
      </c>
      <c r="N1237" s="14">
        <f>IF(A1237="","",YEAR(A1237))</f>
        <v/>
      </c>
    </row>
    <row r="1238">
      <c r="A1238" s="15" t="n"/>
      <c r="B1238" s="10" t="n"/>
      <c r="C1238" s="10" t="n"/>
      <c r="D1238" s="10" t="n"/>
      <c r="E1238" s="14">
        <f>IF(D1238="","",IFERROR(INDEX('Sản phẩm'!$B$5:$B$304,MATCH(D1238,'Sản phẩm'!$A$5:$A$304,0)),""))</f>
        <v/>
      </c>
      <c r="F1238" s="12" t="n"/>
      <c r="G1238" s="11" t="n"/>
      <c r="H1238" s="11" t="n"/>
      <c r="I1238" s="16">
        <f>IF(D1238="","",IF(G1238&lt;&gt;"",G1238,IFERROR(INDEX('Sản phẩm'!$E$5:$E$304,MATCH(D1238,'Sản phẩm'!$A$5:$A$304,0)),"")))</f>
        <v/>
      </c>
      <c r="J1238" s="16">
        <f>IF(OR(D1238="",F1238=""),"",F1238*I1238-N(H1238))</f>
        <v/>
      </c>
      <c r="K1238" s="16">
        <f>IF(OR(D1238="",F1238=""),"",F1238*IFERROR(INDEX('Sản phẩm'!$D$5:$D$304,MATCH(D1238,'Sản phẩm'!$A$5:$A$304,0)),""))</f>
        <v/>
      </c>
      <c r="L1238" s="16">
        <f>IF(J1238="","",J1238-K1238)</f>
        <v/>
      </c>
      <c r="M1238" s="14">
        <f>IF(A1238="","",MONTH(A1238))</f>
        <v/>
      </c>
      <c r="N1238" s="14">
        <f>IF(A1238="","",YEAR(A1238))</f>
        <v/>
      </c>
    </row>
    <row r="1239">
      <c r="A1239" s="15" t="n"/>
      <c r="B1239" s="10" t="n"/>
      <c r="C1239" s="10" t="n"/>
      <c r="D1239" s="10" t="n"/>
      <c r="E1239" s="14">
        <f>IF(D1239="","",IFERROR(INDEX('Sản phẩm'!$B$5:$B$304,MATCH(D1239,'Sản phẩm'!$A$5:$A$304,0)),""))</f>
        <v/>
      </c>
      <c r="F1239" s="12" t="n"/>
      <c r="G1239" s="11" t="n"/>
      <c r="H1239" s="11" t="n"/>
      <c r="I1239" s="16">
        <f>IF(D1239="","",IF(G1239&lt;&gt;"",G1239,IFERROR(INDEX('Sản phẩm'!$E$5:$E$304,MATCH(D1239,'Sản phẩm'!$A$5:$A$304,0)),"")))</f>
        <v/>
      </c>
      <c r="J1239" s="16">
        <f>IF(OR(D1239="",F1239=""),"",F1239*I1239-N(H1239))</f>
        <v/>
      </c>
      <c r="K1239" s="16">
        <f>IF(OR(D1239="",F1239=""),"",F1239*IFERROR(INDEX('Sản phẩm'!$D$5:$D$304,MATCH(D1239,'Sản phẩm'!$A$5:$A$304,0)),""))</f>
        <v/>
      </c>
      <c r="L1239" s="16">
        <f>IF(J1239="","",J1239-K1239)</f>
        <v/>
      </c>
      <c r="M1239" s="14">
        <f>IF(A1239="","",MONTH(A1239))</f>
        <v/>
      </c>
      <c r="N1239" s="14">
        <f>IF(A1239="","",YEAR(A1239))</f>
        <v/>
      </c>
    </row>
    <row r="1240">
      <c r="A1240" s="15" t="n"/>
      <c r="B1240" s="10" t="n"/>
      <c r="C1240" s="10" t="n"/>
      <c r="D1240" s="10" t="n"/>
      <c r="E1240" s="14">
        <f>IF(D1240="","",IFERROR(INDEX('Sản phẩm'!$B$5:$B$304,MATCH(D1240,'Sản phẩm'!$A$5:$A$304,0)),""))</f>
        <v/>
      </c>
      <c r="F1240" s="12" t="n"/>
      <c r="G1240" s="11" t="n"/>
      <c r="H1240" s="11" t="n"/>
      <c r="I1240" s="16">
        <f>IF(D1240="","",IF(G1240&lt;&gt;"",G1240,IFERROR(INDEX('Sản phẩm'!$E$5:$E$304,MATCH(D1240,'Sản phẩm'!$A$5:$A$304,0)),"")))</f>
        <v/>
      </c>
      <c r="J1240" s="16">
        <f>IF(OR(D1240="",F1240=""),"",F1240*I1240-N(H1240))</f>
        <v/>
      </c>
      <c r="K1240" s="16">
        <f>IF(OR(D1240="",F1240=""),"",F1240*IFERROR(INDEX('Sản phẩm'!$D$5:$D$304,MATCH(D1240,'Sản phẩm'!$A$5:$A$304,0)),""))</f>
        <v/>
      </c>
      <c r="L1240" s="16">
        <f>IF(J1240="","",J1240-K1240)</f>
        <v/>
      </c>
      <c r="M1240" s="14">
        <f>IF(A1240="","",MONTH(A1240))</f>
        <v/>
      </c>
      <c r="N1240" s="14">
        <f>IF(A1240="","",YEAR(A1240))</f>
        <v/>
      </c>
    </row>
    <row r="1241">
      <c r="A1241" s="15" t="n"/>
      <c r="B1241" s="10" t="n"/>
      <c r="C1241" s="10" t="n"/>
      <c r="D1241" s="10" t="n"/>
      <c r="E1241" s="14">
        <f>IF(D1241="","",IFERROR(INDEX('Sản phẩm'!$B$5:$B$304,MATCH(D1241,'Sản phẩm'!$A$5:$A$304,0)),""))</f>
        <v/>
      </c>
      <c r="F1241" s="12" t="n"/>
      <c r="G1241" s="11" t="n"/>
      <c r="H1241" s="11" t="n"/>
      <c r="I1241" s="16">
        <f>IF(D1241="","",IF(G1241&lt;&gt;"",G1241,IFERROR(INDEX('Sản phẩm'!$E$5:$E$304,MATCH(D1241,'Sản phẩm'!$A$5:$A$304,0)),"")))</f>
        <v/>
      </c>
      <c r="J1241" s="16">
        <f>IF(OR(D1241="",F1241=""),"",F1241*I1241-N(H1241))</f>
        <v/>
      </c>
      <c r="K1241" s="16">
        <f>IF(OR(D1241="",F1241=""),"",F1241*IFERROR(INDEX('Sản phẩm'!$D$5:$D$304,MATCH(D1241,'Sản phẩm'!$A$5:$A$304,0)),""))</f>
        <v/>
      </c>
      <c r="L1241" s="16">
        <f>IF(J1241="","",J1241-K1241)</f>
        <v/>
      </c>
      <c r="M1241" s="14">
        <f>IF(A1241="","",MONTH(A1241))</f>
        <v/>
      </c>
      <c r="N1241" s="14">
        <f>IF(A1241="","",YEAR(A1241))</f>
        <v/>
      </c>
    </row>
    <row r="1242">
      <c r="A1242" s="15" t="n"/>
      <c r="B1242" s="10" t="n"/>
      <c r="C1242" s="10" t="n"/>
      <c r="D1242" s="10" t="n"/>
      <c r="E1242" s="14">
        <f>IF(D1242="","",IFERROR(INDEX('Sản phẩm'!$B$5:$B$304,MATCH(D1242,'Sản phẩm'!$A$5:$A$304,0)),""))</f>
        <v/>
      </c>
      <c r="F1242" s="12" t="n"/>
      <c r="G1242" s="11" t="n"/>
      <c r="H1242" s="11" t="n"/>
      <c r="I1242" s="16">
        <f>IF(D1242="","",IF(G1242&lt;&gt;"",G1242,IFERROR(INDEX('Sản phẩm'!$E$5:$E$304,MATCH(D1242,'Sản phẩm'!$A$5:$A$304,0)),"")))</f>
        <v/>
      </c>
      <c r="J1242" s="16">
        <f>IF(OR(D1242="",F1242=""),"",F1242*I1242-N(H1242))</f>
        <v/>
      </c>
      <c r="K1242" s="16">
        <f>IF(OR(D1242="",F1242=""),"",F1242*IFERROR(INDEX('Sản phẩm'!$D$5:$D$304,MATCH(D1242,'Sản phẩm'!$A$5:$A$304,0)),""))</f>
        <v/>
      </c>
      <c r="L1242" s="16">
        <f>IF(J1242="","",J1242-K1242)</f>
        <v/>
      </c>
      <c r="M1242" s="14">
        <f>IF(A1242="","",MONTH(A1242))</f>
        <v/>
      </c>
      <c r="N1242" s="14">
        <f>IF(A1242="","",YEAR(A1242))</f>
        <v/>
      </c>
    </row>
    <row r="1243">
      <c r="A1243" s="15" t="n"/>
      <c r="B1243" s="10" t="n"/>
      <c r="C1243" s="10" t="n"/>
      <c r="D1243" s="10" t="n"/>
      <c r="E1243" s="14">
        <f>IF(D1243="","",IFERROR(INDEX('Sản phẩm'!$B$5:$B$304,MATCH(D1243,'Sản phẩm'!$A$5:$A$304,0)),""))</f>
        <v/>
      </c>
      <c r="F1243" s="12" t="n"/>
      <c r="G1243" s="11" t="n"/>
      <c r="H1243" s="11" t="n"/>
      <c r="I1243" s="16">
        <f>IF(D1243="","",IF(G1243&lt;&gt;"",G1243,IFERROR(INDEX('Sản phẩm'!$E$5:$E$304,MATCH(D1243,'Sản phẩm'!$A$5:$A$304,0)),"")))</f>
        <v/>
      </c>
      <c r="J1243" s="16">
        <f>IF(OR(D1243="",F1243=""),"",F1243*I1243-N(H1243))</f>
        <v/>
      </c>
      <c r="K1243" s="16">
        <f>IF(OR(D1243="",F1243=""),"",F1243*IFERROR(INDEX('Sản phẩm'!$D$5:$D$304,MATCH(D1243,'Sản phẩm'!$A$5:$A$304,0)),""))</f>
        <v/>
      </c>
      <c r="L1243" s="16">
        <f>IF(J1243="","",J1243-K1243)</f>
        <v/>
      </c>
      <c r="M1243" s="14">
        <f>IF(A1243="","",MONTH(A1243))</f>
        <v/>
      </c>
      <c r="N1243" s="14">
        <f>IF(A1243="","",YEAR(A1243))</f>
        <v/>
      </c>
    </row>
    <row r="1244">
      <c r="A1244" s="15" t="n"/>
      <c r="B1244" s="10" t="n"/>
      <c r="C1244" s="10" t="n"/>
      <c r="D1244" s="10" t="n"/>
      <c r="E1244" s="14">
        <f>IF(D1244="","",IFERROR(INDEX('Sản phẩm'!$B$5:$B$304,MATCH(D1244,'Sản phẩm'!$A$5:$A$304,0)),""))</f>
        <v/>
      </c>
      <c r="F1244" s="12" t="n"/>
      <c r="G1244" s="11" t="n"/>
      <c r="H1244" s="11" t="n"/>
      <c r="I1244" s="16">
        <f>IF(D1244="","",IF(G1244&lt;&gt;"",G1244,IFERROR(INDEX('Sản phẩm'!$E$5:$E$304,MATCH(D1244,'Sản phẩm'!$A$5:$A$304,0)),"")))</f>
        <v/>
      </c>
      <c r="J1244" s="16">
        <f>IF(OR(D1244="",F1244=""),"",F1244*I1244-N(H1244))</f>
        <v/>
      </c>
      <c r="K1244" s="16">
        <f>IF(OR(D1244="",F1244=""),"",F1244*IFERROR(INDEX('Sản phẩm'!$D$5:$D$304,MATCH(D1244,'Sản phẩm'!$A$5:$A$304,0)),""))</f>
        <v/>
      </c>
      <c r="L1244" s="16">
        <f>IF(J1244="","",J1244-K1244)</f>
        <v/>
      </c>
      <c r="M1244" s="14">
        <f>IF(A1244="","",MONTH(A1244))</f>
        <v/>
      </c>
      <c r="N1244" s="14">
        <f>IF(A1244="","",YEAR(A1244))</f>
        <v/>
      </c>
    </row>
    <row r="1245">
      <c r="A1245" s="15" t="n"/>
      <c r="B1245" s="10" t="n"/>
      <c r="C1245" s="10" t="n"/>
      <c r="D1245" s="10" t="n"/>
      <c r="E1245" s="14">
        <f>IF(D1245="","",IFERROR(INDEX('Sản phẩm'!$B$5:$B$304,MATCH(D1245,'Sản phẩm'!$A$5:$A$304,0)),""))</f>
        <v/>
      </c>
      <c r="F1245" s="12" t="n"/>
      <c r="G1245" s="11" t="n"/>
      <c r="H1245" s="11" t="n"/>
      <c r="I1245" s="16">
        <f>IF(D1245="","",IF(G1245&lt;&gt;"",G1245,IFERROR(INDEX('Sản phẩm'!$E$5:$E$304,MATCH(D1245,'Sản phẩm'!$A$5:$A$304,0)),"")))</f>
        <v/>
      </c>
      <c r="J1245" s="16">
        <f>IF(OR(D1245="",F1245=""),"",F1245*I1245-N(H1245))</f>
        <v/>
      </c>
      <c r="K1245" s="16">
        <f>IF(OR(D1245="",F1245=""),"",F1245*IFERROR(INDEX('Sản phẩm'!$D$5:$D$304,MATCH(D1245,'Sản phẩm'!$A$5:$A$304,0)),""))</f>
        <v/>
      </c>
      <c r="L1245" s="16">
        <f>IF(J1245="","",J1245-K1245)</f>
        <v/>
      </c>
      <c r="M1245" s="14">
        <f>IF(A1245="","",MONTH(A1245))</f>
        <v/>
      </c>
      <c r="N1245" s="14">
        <f>IF(A1245="","",YEAR(A1245))</f>
        <v/>
      </c>
    </row>
    <row r="1246">
      <c r="A1246" s="15" t="n"/>
      <c r="B1246" s="10" t="n"/>
      <c r="C1246" s="10" t="n"/>
      <c r="D1246" s="10" t="n"/>
      <c r="E1246" s="14">
        <f>IF(D1246="","",IFERROR(INDEX('Sản phẩm'!$B$5:$B$304,MATCH(D1246,'Sản phẩm'!$A$5:$A$304,0)),""))</f>
        <v/>
      </c>
      <c r="F1246" s="12" t="n"/>
      <c r="G1246" s="11" t="n"/>
      <c r="H1246" s="11" t="n"/>
      <c r="I1246" s="16">
        <f>IF(D1246="","",IF(G1246&lt;&gt;"",G1246,IFERROR(INDEX('Sản phẩm'!$E$5:$E$304,MATCH(D1246,'Sản phẩm'!$A$5:$A$304,0)),"")))</f>
        <v/>
      </c>
      <c r="J1246" s="16">
        <f>IF(OR(D1246="",F1246=""),"",F1246*I1246-N(H1246))</f>
        <v/>
      </c>
      <c r="K1246" s="16">
        <f>IF(OR(D1246="",F1246=""),"",F1246*IFERROR(INDEX('Sản phẩm'!$D$5:$D$304,MATCH(D1246,'Sản phẩm'!$A$5:$A$304,0)),""))</f>
        <v/>
      </c>
      <c r="L1246" s="16">
        <f>IF(J1246="","",J1246-K1246)</f>
        <v/>
      </c>
      <c r="M1246" s="14">
        <f>IF(A1246="","",MONTH(A1246))</f>
        <v/>
      </c>
      <c r="N1246" s="14">
        <f>IF(A1246="","",YEAR(A1246))</f>
        <v/>
      </c>
    </row>
    <row r="1247">
      <c r="A1247" s="15" t="n"/>
      <c r="B1247" s="10" t="n"/>
      <c r="C1247" s="10" t="n"/>
      <c r="D1247" s="10" t="n"/>
      <c r="E1247" s="14">
        <f>IF(D1247="","",IFERROR(INDEX('Sản phẩm'!$B$5:$B$304,MATCH(D1247,'Sản phẩm'!$A$5:$A$304,0)),""))</f>
        <v/>
      </c>
      <c r="F1247" s="12" t="n"/>
      <c r="G1247" s="11" t="n"/>
      <c r="H1247" s="11" t="n"/>
      <c r="I1247" s="16">
        <f>IF(D1247="","",IF(G1247&lt;&gt;"",G1247,IFERROR(INDEX('Sản phẩm'!$E$5:$E$304,MATCH(D1247,'Sản phẩm'!$A$5:$A$304,0)),"")))</f>
        <v/>
      </c>
      <c r="J1247" s="16">
        <f>IF(OR(D1247="",F1247=""),"",F1247*I1247-N(H1247))</f>
        <v/>
      </c>
      <c r="K1247" s="16">
        <f>IF(OR(D1247="",F1247=""),"",F1247*IFERROR(INDEX('Sản phẩm'!$D$5:$D$304,MATCH(D1247,'Sản phẩm'!$A$5:$A$304,0)),""))</f>
        <v/>
      </c>
      <c r="L1247" s="16">
        <f>IF(J1247="","",J1247-K1247)</f>
        <v/>
      </c>
      <c r="M1247" s="14">
        <f>IF(A1247="","",MONTH(A1247))</f>
        <v/>
      </c>
      <c r="N1247" s="14">
        <f>IF(A1247="","",YEAR(A1247))</f>
        <v/>
      </c>
    </row>
    <row r="1248">
      <c r="A1248" s="15" t="n"/>
      <c r="B1248" s="10" t="n"/>
      <c r="C1248" s="10" t="n"/>
      <c r="D1248" s="10" t="n"/>
      <c r="E1248" s="14">
        <f>IF(D1248="","",IFERROR(INDEX('Sản phẩm'!$B$5:$B$304,MATCH(D1248,'Sản phẩm'!$A$5:$A$304,0)),""))</f>
        <v/>
      </c>
      <c r="F1248" s="12" t="n"/>
      <c r="G1248" s="11" t="n"/>
      <c r="H1248" s="11" t="n"/>
      <c r="I1248" s="16">
        <f>IF(D1248="","",IF(G1248&lt;&gt;"",G1248,IFERROR(INDEX('Sản phẩm'!$E$5:$E$304,MATCH(D1248,'Sản phẩm'!$A$5:$A$304,0)),"")))</f>
        <v/>
      </c>
      <c r="J1248" s="16">
        <f>IF(OR(D1248="",F1248=""),"",F1248*I1248-N(H1248))</f>
        <v/>
      </c>
      <c r="K1248" s="16">
        <f>IF(OR(D1248="",F1248=""),"",F1248*IFERROR(INDEX('Sản phẩm'!$D$5:$D$304,MATCH(D1248,'Sản phẩm'!$A$5:$A$304,0)),""))</f>
        <v/>
      </c>
      <c r="L1248" s="16">
        <f>IF(J1248="","",J1248-K1248)</f>
        <v/>
      </c>
      <c r="M1248" s="14">
        <f>IF(A1248="","",MONTH(A1248))</f>
        <v/>
      </c>
      <c r="N1248" s="14">
        <f>IF(A1248="","",YEAR(A1248))</f>
        <v/>
      </c>
    </row>
    <row r="1249">
      <c r="A1249" s="15" t="n"/>
      <c r="B1249" s="10" t="n"/>
      <c r="C1249" s="10" t="n"/>
      <c r="D1249" s="10" t="n"/>
      <c r="E1249" s="14">
        <f>IF(D1249="","",IFERROR(INDEX('Sản phẩm'!$B$5:$B$304,MATCH(D1249,'Sản phẩm'!$A$5:$A$304,0)),""))</f>
        <v/>
      </c>
      <c r="F1249" s="12" t="n"/>
      <c r="G1249" s="11" t="n"/>
      <c r="H1249" s="11" t="n"/>
      <c r="I1249" s="16">
        <f>IF(D1249="","",IF(G1249&lt;&gt;"",G1249,IFERROR(INDEX('Sản phẩm'!$E$5:$E$304,MATCH(D1249,'Sản phẩm'!$A$5:$A$304,0)),"")))</f>
        <v/>
      </c>
      <c r="J1249" s="16">
        <f>IF(OR(D1249="",F1249=""),"",F1249*I1249-N(H1249))</f>
        <v/>
      </c>
      <c r="K1249" s="16">
        <f>IF(OR(D1249="",F1249=""),"",F1249*IFERROR(INDEX('Sản phẩm'!$D$5:$D$304,MATCH(D1249,'Sản phẩm'!$A$5:$A$304,0)),""))</f>
        <v/>
      </c>
      <c r="L1249" s="16">
        <f>IF(J1249="","",J1249-K1249)</f>
        <v/>
      </c>
      <c r="M1249" s="14">
        <f>IF(A1249="","",MONTH(A1249))</f>
        <v/>
      </c>
      <c r="N1249" s="14">
        <f>IF(A1249="","",YEAR(A1249))</f>
        <v/>
      </c>
    </row>
    <row r="1250">
      <c r="A1250" s="15" t="n"/>
      <c r="B1250" s="10" t="n"/>
      <c r="C1250" s="10" t="n"/>
      <c r="D1250" s="10" t="n"/>
      <c r="E1250" s="14">
        <f>IF(D1250="","",IFERROR(INDEX('Sản phẩm'!$B$5:$B$304,MATCH(D1250,'Sản phẩm'!$A$5:$A$304,0)),""))</f>
        <v/>
      </c>
      <c r="F1250" s="12" t="n"/>
      <c r="G1250" s="11" t="n"/>
      <c r="H1250" s="11" t="n"/>
      <c r="I1250" s="16">
        <f>IF(D1250="","",IF(G1250&lt;&gt;"",G1250,IFERROR(INDEX('Sản phẩm'!$E$5:$E$304,MATCH(D1250,'Sản phẩm'!$A$5:$A$304,0)),"")))</f>
        <v/>
      </c>
      <c r="J1250" s="16">
        <f>IF(OR(D1250="",F1250=""),"",F1250*I1250-N(H1250))</f>
        <v/>
      </c>
      <c r="K1250" s="16">
        <f>IF(OR(D1250="",F1250=""),"",F1250*IFERROR(INDEX('Sản phẩm'!$D$5:$D$304,MATCH(D1250,'Sản phẩm'!$A$5:$A$304,0)),""))</f>
        <v/>
      </c>
      <c r="L1250" s="16">
        <f>IF(J1250="","",J1250-K1250)</f>
        <v/>
      </c>
      <c r="M1250" s="14">
        <f>IF(A1250="","",MONTH(A1250))</f>
        <v/>
      </c>
      <c r="N1250" s="14">
        <f>IF(A1250="","",YEAR(A1250))</f>
        <v/>
      </c>
    </row>
    <row r="1251">
      <c r="A1251" s="15" t="n"/>
      <c r="B1251" s="10" t="n"/>
      <c r="C1251" s="10" t="n"/>
      <c r="D1251" s="10" t="n"/>
      <c r="E1251" s="14">
        <f>IF(D1251="","",IFERROR(INDEX('Sản phẩm'!$B$5:$B$304,MATCH(D1251,'Sản phẩm'!$A$5:$A$304,0)),""))</f>
        <v/>
      </c>
      <c r="F1251" s="12" t="n"/>
      <c r="G1251" s="11" t="n"/>
      <c r="H1251" s="11" t="n"/>
      <c r="I1251" s="16">
        <f>IF(D1251="","",IF(G1251&lt;&gt;"",G1251,IFERROR(INDEX('Sản phẩm'!$E$5:$E$304,MATCH(D1251,'Sản phẩm'!$A$5:$A$304,0)),"")))</f>
        <v/>
      </c>
      <c r="J1251" s="16">
        <f>IF(OR(D1251="",F1251=""),"",F1251*I1251-N(H1251))</f>
        <v/>
      </c>
      <c r="K1251" s="16">
        <f>IF(OR(D1251="",F1251=""),"",F1251*IFERROR(INDEX('Sản phẩm'!$D$5:$D$304,MATCH(D1251,'Sản phẩm'!$A$5:$A$304,0)),""))</f>
        <v/>
      </c>
      <c r="L1251" s="16">
        <f>IF(J1251="","",J1251-K1251)</f>
        <v/>
      </c>
      <c r="M1251" s="14">
        <f>IF(A1251="","",MONTH(A1251))</f>
        <v/>
      </c>
      <c r="N1251" s="14">
        <f>IF(A1251="","",YEAR(A1251))</f>
        <v/>
      </c>
    </row>
    <row r="1252">
      <c r="A1252" s="15" t="n"/>
      <c r="B1252" s="10" t="n"/>
      <c r="C1252" s="10" t="n"/>
      <c r="D1252" s="10" t="n"/>
      <c r="E1252" s="14">
        <f>IF(D1252="","",IFERROR(INDEX('Sản phẩm'!$B$5:$B$304,MATCH(D1252,'Sản phẩm'!$A$5:$A$304,0)),""))</f>
        <v/>
      </c>
      <c r="F1252" s="12" t="n"/>
      <c r="G1252" s="11" t="n"/>
      <c r="H1252" s="11" t="n"/>
      <c r="I1252" s="16">
        <f>IF(D1252="","",IF(G1252&lt;&gt;"",G1252,IFERROR(INDEX('Sản phẩm'!$E$5:$E$304,MATCH(D1252,'Sản phẩm'!$A$5:$A$304,0)),"")))</f>
        <v/>
      </c>
      <c r="J1252" s="16">
        <f>IF(OR(D1252="",F1252=""),"",F1252*I1252-N(H1252))</f>
        <v/>
      </c>
      <c r="K1252" s="16">
        <f>IF(OR(D1252="",F1252=""),"",F1252*IFERROR(INDEX('Sản phẩm'!$D$5:$D$304,MATCH(D1252,'Sản phẩm'!$A$5:$A$304,0)),""))</f>
        <v/>
      </c>
      <c r="L1252" s="16">
        <f>IF(J1252="","",J1252-K1252)</f>
        <v/>
      </c>
      <c r="M1252" s="14">
        <f>IF(A1252="","",MONTH(A1252))</f>
        <v/>
      </c>
      <c r="N1252" s="14">
        <f>IF(A1252="","",YEAR(A1252))</f>
        <v/>
      </c>
    </row>
    <row r="1253">
      <c r="A1253" s="15" t="n"/>
      <c r="B1253" s="10" t="n"/>
      <c r="C1253" s="10" t="n"/>
      <c r="D1253" s="10" t="n"/>
      <c r="E1253" s="14">
        <f>IF(D1253="","",IFERROR(INDEX('Sản phẩm'!$B$5:$B$304,MATCH(D1253,'Sản phẩm'!$A$5:$A$304,0)),""))</f>
        <v/>
      </c>
      <c r="F1253" s="12" t="n"/>
      <c r="G1253" s="11" t="n"/>
      <c r="H1253" s="11" t="n"/>
      <c r="I1253" s="16">
        <f>IF(D1253="","",IF(G1253&lt;&gt;"",G1253,IFERROR(INDEX('Sản phẩm'!$E$5:$E$304,MATCH(D1253,'Sản phẩm'!$A$5:$A$304,0)),"")))</f>
        <v/>
      </c>
      <c r="J1253" s="16">
        <f>IF(OR(D1253="",F1253=""),"",F1253*I1253-N(H1253))</f>
        <v/>
      </c>
      <c r="K1253" s="16">
        <f>IF(OR(D1253="",F1253=""),"",F1253*IFERROR(INDEX('Sản phẩm'!$D$5:$D$304,MATCH(D1253,'Sản phẩm'!$A$5:$A$304,0)),""))</f>
        <v/>
      </c>
      <c r="L1253" s="16">
        <f>IF(J1253="","",J1253-K1253)</f>
        <v/>
      </c>
      <c r="M1253" s="14">
        <f>IF(A1253="","",MONTH(A1253))</f>
        <v/>
      </c>
      <c r="N1253" s="14">
        <f>IF(A1253="","",YEAR(A1253))</f>
        <v/>
      </c>
    </row>
    <row r="1254">
      <c r="A1254" s="15" t="n"/>
      <c r="B1254" s="10" t="n"/>
      <c r="C1254" s="10" t="n"/>
      <c r="D1254" s="10" t="n"/>
      <c r="E1254" s="14">
        <f>IF(D1254="","",IFERROR(INDEX('Sản phẩm'!$B$5:$B$304,MATCH(D1254,'Sản phẩm'!$A$5:$A$304,0)),""))</f>
        <v/>
      </c>
      <c r="F1254" s="12" t="n"/>
      <c r="G1254" s="11" t="n"/>
      <c r="H1254" s="11" t="n"/>
      <c r="I1254" s="16">
        <f>IF(D1254="","",IF(G1254&lt;&gt;"",G1254,IFERROR(INDEX('Sản phẩm'!$E$5:$E$304,MATCH(D1254,'Sản phẩm'!$A$5:$A$304,0)),"")))</f>
        <v/>
      </c>
      <c r="J1254" s="16">
        <f>IF(OR(D1254="",F1254=""),"",F1254*I1254-N(H1254))</f>
        <v/>
      </c>
      <c r="K1254" s="16">
        <f>IF(OR(D1254="",F1254=""),"",F1254*IFERROR(INDEX('Sản phẩm'!$D$5:$D$304,MATCH(D1254,'Sản phẩm'!$A$5:$A$304,0)),""))</f>
        <v/>
      </c>
      <c r="L1254" s="16">
        <f>IF(J1254="","",J1254-K1254)</f>
        <v/>
      </c>
      <c r="M1254" s="14">
        <f>IF(A1254="","",MONTH(A1254))</f>
        <v/>
      </c>
      <c r="N1254" s="14">
        <f>IF(A1254="","",YEAR(A1254))</f>
        <v/>
      </c>
    </row>
    <row r="1255">
      <c r="A1255" s="15" t="n"/>
      <c r="B1255" s="10" t="n"/>
      <c r="C1255" s="10" t="n"/>
      <c r="D1255" s="10" t="n"/>
      <c r="E1255" s="14">
        <f>IF(D1255="","",IFERROR(INDEX('Sản phẩm'!$B$5:$B$304,MATCH(D1255,'Sản phẩm'!$A$5:$A$304,0)),""))</f>
        <v/>
      </c>
      <c r="F1255" s="12" t="n"/>
      <c r="G1255" s="11" t="n"/>
      <c r="H1255" s="11" t="n"/>
      <c r="I1255" s="16">
        <f>IF(D1255="","",IF(G1255&lt;&gt;"",G1255,IFERROR(INDEX('Sản phẩm'!$E$5:$E$304,MATCH(D1255,'Sản phẩm'!$A$5:$A$304,0)),"")))</f>
        <v/>
      </c>
      <c r="J1255" s="16">
        <f>IF(OR(D1255="",F1255=""),"",F1255*I1255-N(H1255))</f>
        <v/>
      </c>
      <c r="K1255" s="16">
        <f>IF(OR(D1255="",F1255=""),"",F1255*IFERROR(INDEX('Sản phẩm'!$D$5:$D$304,MATCH(D1255,'Sản phẩm'!$A$5:$A$304,0)),""))</f>
        <v/>
      </c>
      <c r="L1255" s="16">
        <f>IF(J1255="","",J1255-K1255)</f>
        <v/>
      </c>
      <c r="M1255" s="14">
        <f>IF(A1255="","",MONTH(A1255))</f>
        <v/>
      </c>
      <c r="N1255" s="14">
        <f>IF(A1255="","",YEAR(A1255))</f>
        <v/>
      </c>
    </row>
    <row r="1256">
      <c r="A1256" s="15" t="n"/>
      <c r="B1256" s="10" t="n"/>
      <c r="C1256" s="10" t="n"/>
      <c r="D1256" s="10" t="n"/>
      <c r="E1256" s="14">
        <f>IF(D1256="","",IFERROR(INDEX('Sản phẩm'!$B$5:$B$304,MATCH(D1256,'Sản phẩm'!$A$5:$A$304,0)),""))</f>
        <v/>
      </c>
      <c r="F1256" s="12" t="n"/>
      <c r="G1256" s="11" t="n"/>
      <c r="H1256" s="11" t="n"/>
      <c r="I1256" s="16">
        <f>IF(D1256="","",IF(G1256&lt;&gt;"",G1256,IFERROR(INDEX('Sản phẩm'!$E$5:$E$304,MATCH(D1256,'Sản phẩm'!$A$5:$A$304,0)),"")))</f>
        <v/>
      </c>
      <c r="J1256" s="16">
        <f>IF(OR(D1256="",F1256=""),"",F1256*I1256-N(H1256))</f>
        <v/>
      </c>
      <c r="K1256" s="16">
        <f>IF(OR(D1256="",F1256=""),"",F1256*IFERROR(INDEX('Sản phẩm'!$D$5:$D$304,MATCH(D1256,'Sản phẩm'!$A$5:$A$304,0)),""))</f>
        <v/>
      </c>
      <c r="L1256" s="16">
        <f>IF(J1256="","",J1256-K1256)</f>
        <v/>
      </c>
      <c r="M1256" s="14">
        <f>IF(A1256="","",MONTH(A1256))</f>
        <v/>
      </c>
      <c r="N1256" s="14">
        <f>IF(A1256="","",YEAR(A1256))</f>
        <v/>
      </c>
    </row>
    <row r="1257">
      <c r="A1257" s="15" t="n"/>
      <c r="B1257" s="10" t="n"/>
      <c r="C1257" s="10" t="n"/>
      <c r="D1257" s="10" t="n"/>
      <c r="E1257" s="14">
        <f>IF(D1257="","",IFERROR(INDEX('Sản phẩm'!$B$5:$B$304,MATCH(D1257,'Sản phẩm'!$A$5:$A$304,0)),""))</f>
        <v/>
      </c>
      <c r="F1257" s="12" t="n"/>
      <c r="G1257" s="11" t="n"/>
      <c r="H1257" s="11" t="n"/>
      <c r="I1257" s="16">
        <f>IF(D1257="","",IF(G1257&lt;&gt;"",G1257,IFERROR(INDEX('Sản phẩm'!$E$5:$E$304,MATCH(D1257,'Sản phẩm'!$A$5:$A$304,0)),"")))</f>
        <v/>
      </c>
      <c r="J1257" s="16">
        <f>IF(OR(D1257="",F1257=""),"",F1257*I1257-N(H1257))</f>
        <v/>
      </c>
      <c r="K1257" s="16">
        <f>IF(OR(D1257="",F1257=""),"",F1257*IFERROR(INDEX('Sản phẩm'!$D$5:$D$304,MATCH(D1257,'Sản phẩm'!$A$5:$A$304,0)),""))</f>
        <v/>
      </c>
      <c r="L1257" s="16">
        <f>IF(J1257="","",J1257-K1257)</f>
        <v/>
      </c>
      <c r="M1257" s="14">
        <f>IF(A1257="","",MONTH(A1257))</f>
        <v/>
      </c>
      <c r="N1257" s="14">
        <f>IF(A1257="","",YEAR(A1257))</f>
        <v/>
      </c>
    </row>
    <row r="1258">
      <c r="A1258" s="15" t="n"/>
      <c r="B1258" s="10" t="n"/>
      <c r="C1258" s="10" t="n"/>
      <c r="D1258" s="10" t="n"/>
      <c r="E1258" s="14">
        <f>IF(D1258="","",IFERROR(INDEX('Sản phẩm'!$B$5:$B$304,MATCH(D1258,'Sản phẩm'!$A$5:$A$304,0)),""))</f>
        <v/>
      </c>
      <c r="F1258" s="12" t="n"/>
      <c r="G1258" s="11" t="n"/>
      <c r="H1258" s="11" t="n"/>
      <c r="I1258" s="16">
        <f>IF(D1258="","",IF(G1258&lt;&gt;"",G1258,IFERROR(INDEX('Sản phẩm'!$E$5:$E$304,MATCH(D1258,'Sản phẩm'!$A$5:$A$304,0)),"")))</f>
        <v/>
      </c>
      <c r="J1258" s="16">
        <f>IF(OR(D1258="",F1258=""),"",F1258*I1258-N(H1258))</f>
        <v/>
      </c>
      <c r="K1258" s="16">
        <f>IF(OR(D1258="",F1258=""),"",F1258*IFERROR(INDEX('Sản phẩm'!$D$5:$D$304,MATCH(D1258,'Sản phẩm'!$A$5:$A$304,0)),""))</f>
        <v/>
      </c>
      <c r="L1258" s="16">
        <f>IF(J1258="","",J1258-K1258)</f>
        <v/>
      </c>
      <c r="M1258" s="14">
        <f>IF(A1258="","",MONTH(A1258))</f>
        <v/>
      </c>
      <c r="N1258" s="14">
        <f>IF(A1258="","",YEAR(A1258))</f>
        <v/>
      </c>
    </row>
    <row r="1259">
      <c r="A1259" s="15" t="n"/>
      <c r="B1259" s="10" t="n"/>
      <c r="C1259" s="10" t="n"/>
      <c r="D1259" s="10" t="n"/>
      <c r="E1259" s="14">
        <f>IF(D1259="","",IFERROR(INDEX('Sản phẩm'!$B$5:$B$304,MATCH(D1259,'Sản phẩm'!$A$5:$A$304,0)),""))</f>
        <v/>
      </c>
      <c r="F1259" s="12" t="n"/>
      <c r="G1259" s="11" t="n"/>
      <c r="H1259" s="11" t="n"/>
      <c r="I1259" s="16">
        <f>IF(D1259="","",IF(G1259&lt;&gt;"",G1259,IFERROR(INDEX('Sản phẩm'!$E$5:$E$304,MATCH(D1259,'Sản phẩm'!$A$5:$A$304,0)),"")))</f>
        <v/>
      </c>
      <c r="J1259" s="16">
        <f>IF(OR(D1259="",F1259=""),"",F1259*I1259-N(H1259))</f>
        <v/>
      </c>
      <c r="K1259" s="16">
        <f>IF(OR(D1259="",F1259=""),"",F1259*IFERROR(INDEX('Sản phẩm'!$D$5:$D$304,MATCH(D1259,'Sản phẩm'!$A$5:$A$304,0)),""))</f>
        <v/>
      </c>
      <c r="L1259" s="16">
        <f>IF(J1259="","",J1259-K1259)</f>
        <v/>
      </c>
      <c r="M1259" s="14">
        <f>IF(A1259="","",MONTH(A1259))</f>
        <v/>
      </c>
      <c r="N1259" s="14">
        <f>IF(A1259="","",YEAR(A1259))</f>
        <v/>
      </c>
    </row>
    <row r="1260">
      <c r="A1260" s="15" t="n"/>
      <c r="B1260" s="10" t="n"/>
      <c r="C1260" s="10" t="n"/>
      <c r="D1260" s="10" t="n"/>
      <c r="E1260" s="14">
        <f>IF(D1260="","",IFERROR(INDEX('Sản phẩm'!$B$5:$B$304,MATCH(D1260,'Sản phẩm'!$A$5:$A$304,0)),""))</f>
        <v/>
      </c>
      <c r="F1260" s="12" t="n"/>
      <c r="G1260" s="11" t="n"/>
      <c r="H1260" s="11" t="n"/>
      <c r="I1260" s="16">
        <f>IF(D1260="","",IF(G1260&lt;&gt;"",G1260,IFERROR(INDEX('Sản phẩm'!$E$5:$E$304,MATCH(D1260,'Sản phẩm'!$A$5:$A$304,0)),"")))</f>
        <v/>
      </c>
      <c r="J1260" s="16">
        <f>IF(OR(D1260="",F1260=""),"",F1260*I1260-N(H1260))</f>
        <v/>
      </c>
      <c r="K1260" s="16">
        <f>IF(OR(D1260="",F1260=""),"",F1260*IFERROR(INDEX('Sản phẩm'!$D$5:$D$304,MATCH(D1260,'Sản phẩm'!$A$5:$A$304,0)),""))</f>
        <v/>
      </c>
      <c r="L1260" s="16">
        <f>IF(J1260="","",J1260-K1260)</f>
        <v/>
      </c>
      <c r="M1260" s="14">
        <f>IF(A1260="","",MONTH(A1260))</f>
        <v/>
      </c>
      <c r="N1260" s="14">
        <f>IF(A1260="","",YEAR(A1260))</f>
        <v/>
      </c>
    </row>
    <row r="1261">
      <c r="A1261" s="15" t="n"/>
      <c r="B1261" s="10" t="n"/>
      <c r="C1261" s="10" t="n"/>
      <c r="D1261" s="10" t="n"/>
      <c r="E1261" s="14">
        <f>IF(D1261="","",IFERROR(INDEX('Sản phẩm'!$B$5:$B$304,MATCH(D1261,'Sản phẩm'!$A$5:$A$304,0)),""))</f>
        <v/>
      </c>
      <c r="F1261" s="12" t="n"/>
      <c r="G1261" s="11" t="n"/>
      <c r="H1261" s="11" t="n"/>
      <c r="I1261" s="16">
        <f>IF(D1261="","",IF(G1261&lt;&gt;"",G1261,IFERROR(INDEX('Sản phẩm'!$E$5:$E$304,MATCH(D1261,'Sản phẩm'!$A$5:$A$304,0)),"")))</f>
        <v/>
      </c>
      <c r="J1261" s="16">
        <f>IF(OR(D1261="",F1261=""),"",F1261*I1261-N(H1261))</f>
        <v/>
      </c>
      <c r="K1261" s="16">
        <f>IF(OR(D1261="",F1261=""),"",F1261*IFERROR(INDEX('Sản phẩm'!$D$5:$D$304,MATCH(D1261,'Sản phẩm'!$A$5:$A$304,0)),""))</f>
        <v/>
      </c>
      <c r="L1261" s="16">
        <f>IF(J1261="","",J1261-K1261)</f>
        <v/>
      </c>
      <c r="M1261" s="14">
        <f>IF(A1261="","",MONTH(A1261))</f>
        <v/>
      </c>
      <c r="N1261" s="14">
        <f>IF(A1261="","",YEAR(A1261))</f>
        <v/>
      </c>
    </row>
    <row r="1262">
      <c r="A1262" s="15" t="n"/>
      <c r="B1262" s="10" t="n"/>
      <c r="C1262" s="10" t="n"/>
      <c r="D1262" s="10" t="n"/>
      <c r="E1262" s="14">
        <f>IF(D1262="","",IFERROR(INDEX('Sản phẩm'!$B$5:$B$304,MATCH(D1262,'Sản phẩm'!$A$5:$A$304,0)),""))</f>
        <v/>
      </c>
      <c r="F1262" s="12" t="n"/>
      <c r="G1262" s="11" t="n"/>
      <c r="H1262" s="11" t="n"/>
      <c r="I1262" s="16">
        <f>IF(D1262="","",IF(G1262&lt;&gt;"",G1262,IFERROR(INDEX('Sản phẩm'!$E$5:$E$304,MATCH(D1262,'Sản phẩm'!$A$5:$A$304,0)),"")))</f>
        <v/>
      </c>
      <c r="J1262" s="16">
        <f>IF(OR(D1262="",F1262=""),"",F1262*I1262-N(H1262))</f>
        <v/>
      </c>
      <c r="K1262" s="16">
        <f>IF(OR(D1262="",F1262=""),"",F1262*IFERROR(INDEX('Sản phẩm'!$D$5:$D$304,MATCH(D1262,'Sản phẩm'!$A$5:$A$304,0)),""))</f>
        <v/>
      </c>
      <c r="L1262" s="16">
        <f>IF(J1262="","",J1262-K1262)</f>
        <v/>
      </c>
      <c r="M1262" s="14">
        <f>IF(A1262="","",MONTH(A1262))</f>
        <v/>
      </c>
      <c r="N1262" s="14">
        <f>IF(A1262="","",YEAR(A1262))</f>
        <v/>
      </c>
    </row>
    <row r="1263">
      <c r="A1263" s="15" t="n"/>
      <c r="B1263" s="10" t="n"/>
      <c r="C1263" s="10" t="n"/>
      <c r="D1263" s="10" t="n"/>
      <c r="E1263" s="14">
        <f>IF(D1263="","",IFERROR(INDEX('Sản phẩm'!$B$5:$B$304,MATCH(D1263,'Sản phẩm'!$A$5:$A$304,0)),""))</f>
        <v/>
      </c>
      <c r="F1263" s="12" t="n"/>
      <c r="G1263" s="11" t="n"/>
      <c r="H1263" s="11" t="n"/>
      <c r="I1263" s="16">
        <f>IF(D1263="","",IF(G1263&lt;&gt;"",G1263,IFERROR(INDEX('Sản phẩm'!$E$5:$E$304,MATCH(D1263,'Sản phẩm'!$A$5:$A$304,0)),"")))</f>
        <v/>
      </c>
      <c r="J1263" s="16">
        <f>IF(OR(D1263="",F1263=""),"",F1263*I1263-N(H1263))</f>
        <v/>
      </c>
      <c r="K1263" s="16">
        <f>IF(OR(D1263="",F1263=""),"",F1263*IFERROR(INDEX('Sản phẩm'!$D$5:$D$304,MATCH(D1263,'Sản phẩm'!$A$5:$A$304,0)),""))</f>
        <v/>
      </c>
      <c r="L1263" s="16">
        <f>IF(J1263="","",J1263-K1263)</f>
        <v/>
      </c>
      <c r="M1263" s="14">
        <f>IF(A1263="","",MONTH(A1263))</f>
        <v/>
      </c>
      <c r="N1263" s="14">
        <f>IF(A1263="","",YEAR(A1263))</f>
        <v/>
      </c>
    </row>
    <row r="1264">
      <c r="A1264" s="15" t="n"/>
      <c r="B1264" s="10" t="n"/>
      <c r="C1264" s="10" t="n"/>
      <c r="D1264" s="10" t="n"/>
      <c r="E1264" s="14">
        <f>IF(D1264="","",IFERROR(INDEX('Sản phẩm'!$B$5:$B$304,MATCH(D1264,'Sản phẩm'!$A$5:$A$304,0)),""))</f>
        <v/>
      </c>
      <c r="F1264" s="12" t="n"/>
      <c r="G1264" s="11" t="n"/>
      <c r="H1264" s="11" t="n"/>
      <c r="I1264" s="16">
        <f>IF(D1264="","",IF(G1264&lt;&gt;"",G1264,IFERROR(INDEX('Sản phẩm'!$E$5:$E$304,MATCH(D1264,'Sản phẩm'!$A$5:$A$304,0)),"")))</f>
        <v/>
      </c>
      <c r="J1264" s="16">
        <f>IF(OR(D1264="",F1264=""),"",F1264*I1264-N(H1264))</f>
        <v/>
      </c>
      <c r="K1264" s="16">
        <f>IF(OR(D1264="",F1264=""),"",F1264*IFERROR(INDEX('Sản phẩm'!$D$5:$D$304,MATCH(D1264,'Sản phẩm'!$A$5:$A$304,0)),""))</f>
        <v/>
      </c>
      <c r="L1264" s="16">
        <f>IF(J1264="","",J1264-K1264)</f>
        <v/>
      </c>
      <c r="M1264" s="14">
        <f>IF(A1264="","",MONTH(A1264))</f>
        <v/>
      </c>
      <c r="N1264" s="14">
        <f>IF(A1264="","",YEAR(A1264))</f>
        <v/>
      </c>
    </row>
    <row r="1265">
      <c r="A1265" s="15" t="n"/>
      <c r="B1265" s="10" t="n"/>
      <c r="C1265" s="10" t="n"/>
      <c r="D1265" s="10" t="n"/>
      <c r="E1265" s="14">
        <f>IF(D1265="","",IFERROR(INDEX('Sản phẩm'!$B$5:$B$304,MATCH(D1265,'Sản phẩm'!$A$5:$A$304,0)),""))</f>
        <v/>
      </c>
      <c r="F1265" s="12" t="n"/>
      <c r="G1265" s="11" t="n"/>
      <c r="H1265" s="11" t="n"/>
      <c r="I1265" s="16">
        <f>IF(D1265="","",IF(G1265&lt;&gt;"",G1265,IFERROR(INDEX('Sản phẩm'!$E$5:$E$304,MATCH(D1265,'Sản phẩm'!$A$5:$A$304,0)),"")))</f>
        <v/>
      </c>
      <c r="J1265" s="16">
        <f>IF(OR(D1265="",F1265=""),"",F1265*I1265-N(H1265))</f>
        <v/>
      </c>
      <c r="K1265" s="16">
        <f>IF(OR(D1265="",F1265=""),"",F1265*IFERROR(INDEX('Sản phẩm'!$D$5:$D$304,MATCH(D1265,'Sản phẩm'!$A$5:$A$304,0)),""))</f>
        <v/>
      </c>
      <c r="L1265" s="16">
        <f>IF(J1265="","",J1265-K1265)</f>
        <v/>
      </c>
      <c r="M1265" s="14">
        <f>IF(A1265="","",MONTH(A1265))</f>
        <v/>
      </c>
      <c r="N1265" s="14">
        <f>IF(A1265="","",YEAR(A1265))</f>
        <v/>
      </c>
    </row>
    <row r="1266">
      <c r="A1266" s="15" t="n"/>
      <c r="B1266" s="10" t="n"/>
      <c r="C1266" s="10" t="n"/>
      <c r="D1266" s="10" t="n"/>
      <c r="E1266" s="14">
        <f>IF(D1266="","",IFERROR(INDEX('Sản phẩm'!$B$5:$B$304,MATCH(D1266,'Sản phẩm'!$A$5:$A$304,0)),""))</f>
        <v/>
      </c>
      <c r="F1266" s="12" t="n"/>
      <c r="G1266" s="11" t="n"/>
      <c r="H1266" s="11" t="n"/>
      <c r="I1266" s="16">
        <f>IF(D1266="","",IF(G1266&lt;&gt;"",G1266,IFERROR(INDEX('Sản phẩm'!$E$5:$E$304,MATCH(D1266,'Sản phẩm'!$A$5:$A$304,0)),"")))</f>
        <v/>
      </c>
      <c r="J1266" s="16">
        <f>IF(OR(D1266="",F1266=""),"",F1266*I1266-N(H1266))</f>
        <v/>
      </c>
      <c r="K1266" s="16">
        <f>IF(OR(D1266="",F1266=""),"",F1266*IFERROR(INDEX('Sản phẩm'!$D$5:$D$304,MATCH(D1266,'Sản phẩm'!$A$5:$A$304,0)),""))</f>
        <v/>
      </c>
      <c r="L1266" s="16">
        <f>IF(J1266="","",J1266-K1266)</f>
        <v/>
      </c>
      <c r="M1266" s="14">
        <f>IF(A1266="","",MONTH(A1266))</f>
        <v/>
      </c>
      <c r="N1266" s="14">
        <f>IF(A1266="","",YEAR(A1266))</f>
        <v/>
      </c>
    </row>
    <row r="1267">
      <c r="A1267" s="15" t="n"/>
      <c r="B1267" s="10" t="n"/>
      <c r="C1267" s="10" t="n"/>
      <c r="D1267" s="10" t="n"/>
      <c r="E1267" s="14">
        <f>IF(D1267="","",IFERROR(INDEX('Sản phẩm'!$B$5:$B$304,MATCH(D1267,'Sản phẩm'!$A$5:$A$304,0)),""))</f>
        <v/>
      </c>
      <c r="F1267" s="12" t="n"/>
      <c r="G1267" s="11" t="n"/>
      <c r="H1267" s="11" t="n"/>
      <c r="I1267" s="16">
        <f>IF(D1267="","",IF(G1267&lt;&gt;"",G1267,IFERROR(INDEX('Sản phẩm'!$E$5:$E$304,MATCH(D1267,'Sản phẩm'!$A$5:$A$304,0)),"")))</f>
        <v/>
      </c>
      <c r="J1267" s="16">
        <f>IF(OR(D1267="",F1267=""),"",F1267*I1267-N(H1267))</f>
        <v/>
      </c>
      <c r="K1267" s="16">
        <f>IF(OR(D1267="",F1267=""),"",F1267*IFERROR(INDEX('Sản phẩm'!$D$5:$D$304,MATCH(D1267,'Sản phẩm'!$A$5:$A$304,0)),""))</f>
        <v/>
      </c>
      <c r="L1267" s="16">
        <f>IF(J1267="","",J1267-K1267)</f>
        <v/>
      </c>
      <c r="M1267" s="14">
        <f>IF(A1267="","",MONTH(A1267))</f>
        <v/>
      </c>
      <c r="N1267" s="14">
        <f>IF(A1267="","",YEAR(A1267))</f>
        <v/>
      </c>
    </row>
    <row r="1268">
      <c r="A1268" s="15" t="n"/>
      <c r="B1268" s="10" t="n"/>
      <c r="C1268" s="10" t="n"/>
      <c r="D1268" s="10" t="n"/>
      <c r="E1268" s="14">
        <f>IF(D1268="","",IFERROR(INDEX('Sản phẩm'!$B$5:$B$304,MATCH(D1268,'Sản phẩm'!$A$5:$A$304,0)),""))</f>
        <v/>
      </c>
      <c r="F1268" s="12" t="n"/>
      <c r="G1268" s="11" t="n"/>
      <c r="H1268" s="11" t="n"/>
      <c r="I1268" s="16">
        <f>IF(D1268="","",IF(G1268&lt;&gt;"",G1268,IFERROR(INDEX('Sản phẩm'!$E$5:$E$304,MATCH(D1268,'Sản phẩm'!$A$5:$A$304,0)),"")))</f>
        <v/>
      </c>
      <c r="J1268" s="16">
        <f>IF(OR(D1268="",F1268=""),"",F1268*I1268-N(H1268))</f>
        <v/>
      </c>
      <c r="K1268" s="16">
        <f>IF(OR(D1268="",F1268=""),"",F1268*IFERROR(INDEX('Sản phẩm'!$D$5:$D$304,MATCH(D1268,'Sản phẩm'!$A$5:$A$304,0)),""))</f>
        <v/>
      </c>
      <c r="L1268" s="16">
        <f>IF(J1268="","",J1268-K1268)</f>
        <v/>
      </c>
      <c r="M1268" s="14">
        <f>IF(A1268="","",MONTH(A1268))</f>
        <v/>
      </c>
      <c r="N1268" s="14">
        <f>IF(A1268="","",YEAR(A1268))</f>
        <v/>
      </c>
    </row>
    <row r="1269">
      <c r="A1269" s="15" t="n"/>
      <c r="B1269" s="10" t="n"/>
      <c r="C1269" s="10" t="n"/>
      <c r="D1269" s="10" t="n"/>
      <c r="E1269" s="14">
        <f>IF(D1269="","",IFERROR(INDEX('Sản phẩm'!$B$5:$B$304,MATCH(D1269,'Sản phẩm'!$A$5:$A$304,0)),""))</f>
        <v/>
      </c>
      <c r="F1269" s="12" t="n"/>
      <c r="G1269" s="11" t="n"/>
      <c r="H1269" s="11" t="n"/>
      <c r="I1269" s="16">
        <f>IF(D1269="","",IF(G1269&lt;&gt;"",G1269,IFERROR(INDEX('Sản phẩm'!$E$5:$E$304,MATCH(D1269,'Sản phẩm'!$A$5:$A$304,0)),"")))</f>
        <v/>
      </c>
      <c r="J1269" s="16">
        <f>IF(OR(D1269="",F1269=""),"",F1269*I1269-N(H1269))</f>
        <v/>
      </c>
      <c r="K1269" s="16">
        <f>IF(OR(D1269="",F1269=""),"",F1269*IFERROR(INDEX('Sản phẩm'!$D$5:$D$304,MATCH(D1269,'Sản phẩm'!$A$5:$A$304,0)),""))</f>
        <v/>
      </c>
      <c r="L1269" s="16">
        <f>IF(J1269="","",J1269-K1269)</f>
        <v/>
      </c>
      <c r="M1269" s="14">
        <f>IF(A1269="","",MONTH(A1269))</f>
        <v/>
      </c>
      <c r="N1269" s="14">
        <f>IF(A1269="","",YEAR(A1269))</f>
        <v/>
      </c>
    </row>
    <row r="1270">
      <c r="A1270" s="15" t="n"/>
      <c r="B1270" s="10" t="n"/>
      <c r="C1270" s="10" t="n"/>
      <c r="D1270" s="10" t="n"/>
      <c r="E1270" s="14">
        <f>IF(D1270="","",IFERROR(INDEX('Sản phẩm'!$B$5:$B$304,MATCH(D1270,'Sản phẩm'!$A$5:$A$304,0)),""))</f>
        <v/>
      </c>
      <c r="F1270" s="12" t="n"/>
      <c r="G1270" s="11" t="n"/>
      <c r="H1270" s="11" t="n"/>
      <c r="I1270" s="16">
        <f>IF(D1270="","",IF(G1270&lt;&gt;"",G1270,IFERROR(INDEX('Sản phẩm'!$E$5:$E$304,MATCH(D1270,'Sản phẩm'!$A$5:$A$304,0)),"")))</f>
        <v/>
      </c>
      <c r="J1270" s="16">
        <f>IF(OR(D1270="",F1270=""),"",F1270*I1270-N(H1270))</f>
        <v/>
      </c>
      <c r="K1270" s="16">
        <f>IF(OR(D1270="",F1270=""),"",F1270*IFERROR(INDEX('Sản phẩm'!$D$5:$D$304,MATCH(D1270,'Sản phẩm'!$A$5:$A$304,0)),""))</f>
        <v/>
      </c>
      <c r="L1270" s="16">
        <f>IF(J1270="","",J1270-K1270)</f>
        <v/>
      </c>
      <c r="M1270" s="14">
        <f>IF(A1270="","",MONTH(A1270))</f>
        <v/>
      </c>
      <c r="N1270" s="14">
        <f>IF(A1270="","",YEAR(A1270))</f>
        <v/>
      </c>
    </row>
    <row r="1271">
      <c r="A1271" s="15" t="n"/>
      <c r="B1271" s="10" t="n"/>
      <c r="C1271" s="10" t="n"/>
      <c r="D1271" s="10" t="n"/>
      <c r="E1271" s="14">
        <f>IF(D1271="","",IFERROR(INDEX('Sản phẩm'!$B$5:$B$304,MATCH(D1271,'Sản phẩm'!$A$5:$A$304,0)),""))</f>
        <v/>
      </c>
      <c r="F1271" s="12" t="n"/>
      <c r="G1271" s="11" t="n"/>
      <c r="H1271" s="11" t="n"/>
      <c r="I1271" s="16">
        <f>IF(D1271="","",IF(G1271&lt;&gt;"",G1271,IFERROR(INDEX('Sản phẩm'!$E$5:$E$304,MATCH(D1271,'Sản phẩm'!$A$5:$A$304,0)),"")))</f>
        <v/>
      </c>
      <c r="J1271" s="16">
        <f>IF(OR(D1271="",F1271=""),"",F1271*I1271-N(H1271))</f>
        <v/>
      </c>
      <c r="K1271" s="16">
        <f>IF(OR(D1271="",F1271=""),"",F1271*IFERROR(INDEX('Sản phẩm'!$D$5:$D$304,MATCH(D1271,'Sản phẩm'!$A$5:$A$304,0)),""))</f>
        <v/>
      </c>
      <c r="L1271" s="16">
        <f>IF(J1271="","",J1271-K1271)</f>
        <v/>
      </c>
      <c r="M1271" s="14">
        <f>IF(A1271="","",MONTH(A1271))</f>
        <v/>
      </c>
      <c r="N1271" s="14">
        <f>IF(A1271="","",YEAR(A1271))</f>
        <v/>
      </c>
    </row>
    <row r="1272">
      <c r="A1272" s="15" t="n"/>
      <c r="B1272" s="10" t="n"/>
      <c r="C1272" s="10" t="n"/>
      <c r="D1272" s="10" t="n"/>
      <c r="E1272" s="14">
        <f>IF(D1272="","",IFERROR(INDEX('Sản phẩm'!$B$5:$B$304,MATCH(D1272,'Sản phẩm'!$A$5:$A$304,0)),""))</f>
        <v/>
      </c>
      <c r="F1272" s="12" t="n"/>
      <c r="G1272" s="11" t="n"/>
      <c r="H1272" s="11" t="n"/>
      <c r="I1272" s="16">
        <f>IF(D1272="","",IF(G1272&lt;&gt;"",G1272,IFERROR(INDEX('Sản phẩm'!$E$5:$E$304,MATCH(D1272,'Sản phẩm'!$A$5:$A$304,0)),"")))</f>
        <v/>
      </c>
      <c r="J1272" s="16">
        <f>IF(OR(D1272="",F1272=""),"",F1272*I1272-N(H1272))</f>
        <v/>
      </c>
      <c r="K1272" s="16">
        <f>IF(OR(D1272="",F1272=""),"",F1272*IFERROR(INDEX('Sản phẩm'!$D$5:$D$304,MATCH(D1272,'Sản phẩm'!$A$5:$A$304,0)),""))</f>
        <v/>
      </c>
      <c r="L1272" s="16">
        <f>IF(J1272="","",J1272-K1272)</f>
        <v/>
      </c>
      <c r="M1272" s="14">
        <f>IF(A1272="","",MONTH(A1272))</f>
        <v/>
      </c>
      <c r="N1272" s="14">
        <f>IF(A1272="","",YEAR(A1272))</f>
        <v/>
      </c>
    </row>
    <row r="1273">
      <c r="A1273" s="15" t="n"/>
      <c r="B1273" s="10" t="n"/>
      <c r="C1273" s="10" t="n"/>
      <c r="D1273" s="10" t="n"/>
      <c r="E1273" s="14">
        <f>IF(D1273="","",IFERROR(INDEX('Sản phẩm'!$B$5:$B$304,MATCH(D1273,'Sản phẩm'!$A$5:$A$304,0)),""))</f>
        <v/>
      </c>
      <c r="F1273" s="12" t="n"/>
      <c r="G1273" s="11" t="n"/>
      <c r="H1273" s="11" t="n"/>
      <c r="I1273" s="16">
        <f>IF(D1273="","",IF(G1273&lt;&gt;"",G1273,IFERROR(INDEX('Sản phẩm'!$E$5:$E$304,MATCH(D1273,'Sản phẩm'!$A$5:$A$304,0)),"")))</f>
        <v/>
      </c>
      <c r="J1273" s="16">
        <f>IF(OR(D1273="",F1273=""),"",F1273*I1273-N(H1273))</f>
        <v/>
      </c>
      <c r="K1273" s="16">
        <f>IF(OR(D1273="",F1273=""),"",F1273*IFERROR(INDEX('Sản phẩm'!$D$5:$D$304,MATCH(D1273,'Sản phẩm'!$A$5:$A$304,0)),""))</f>
        <v/>
      </c>
      <c r="L1273" s="16">
        <f>IF(J1273="","",J1273-K1273)</f>
        <v/>
      </c>
      <c r="M1273" s="14">
        <f>IF(A1273="","",MONTH(A1273))</f>
        <v/>
      </c>
      <c r="N1273" s="14">
        <f>IF(A1273="","",YEAR(A1273))</f>
        <v/>
      </c>
    </row>
    <row r="1274">
      <c r="A1274" s="15" t="n"/>
      <c r="B1274" s="10" t="n"/>
      <c r="C1274" s="10" t="n"/>
      <c r="D1274" s="10" t="n"/>
      <c r="E1274" s="14">
        <f>IF(D1274="","",IFERROR(INDEX('Sản phẩm'!$B$5:$B$304,MATCH(D1274,'Sản phẩm'!$A$5:$A$304,0)),""))</f>
        <v/>
      </c>
      <c r="F1274" s="12" t="n"/>
      <c r="G1274" s="11" t="n"/>
      <c r="H1274" s="11" t="n"/>
      <c r="I1274" s="16">
        <f>IF(D1274="","",IF(G1274&lt;&gt;"",G1274,IFERROR(INDEX('Sản phẩm'!$E$5:$E$304,MATCH(D1274,'Sản phẩm'!$A$5:$A$304,0)),"")))</f>
        <v/>
      </c>
      <c r="J1274" s="16">
        <f>IF(OR(D1274="",F1274=""),"",F1274*I1274-N(H1274))</f>
        <v/>
      </c>
      <c r="K1274" s="16">
        <f>IF(OR(D1274="",F1274=""),"",F1274*IFERROR(INDEX('Sản phẩm'!$D$5:$D$304,MATCH(D1274,'Sản phẩm'!$A$5:$A$304,0)),""))</f>
        <v/>
      </c>
      <c r="L1274" s="16">
        <f>IF(J1274="","",J1274-K1274)</f>
        <v/>
      </c>
      <c r="M1274" s="14">
        <f>IF(A1274="","",MONTH(A1274))</f>
        <v/>
      </c>
      <c r="N1274" s="14">
        <f>IF(A1274="","",YEAR(A1274))</f>
        <v/>
      </c>
    </row>
    <row r="1275">
      <c r="A1275" s="15" t="n"/>
      <c r="B1275" s="10" t="n"/>
      <c r="C1275" s="10" t="n"/>
      <c r="D1275" s="10" t="n"/>
      <c r="E1275" s="14">
        <f>IF(D1275="","",IFERROR(INDEX('Sản phẩm'!$B$5:$B$304,MATCH(D1275,'Sản phẩm'!$A$5:$A$304,0)),""))</f>
        <v/>
      </c>
      <c r="F1275" s="12" t="n"/>
      <c r="G1275" s="11" t="n"/>
      <c r="H1275" s="11" t="n"/>
      <c r="I1275" s="16">
        <f>IF(D1275="","",IF(G1275&lt;&gt;"",G1275,IFERROR(INDEX('Sản phẩm'!$E$5:$E$304,MATCH(D1275,'Sản phẩm'!$A$5:$A$304,0)),"")))</f>
        <v/>
      </c>
      <c r="J1275" s="16">
        <f>IF(OR(D1275="",F1275=""),"",F1275*I1275-N(H1275))</f>
        <v/>
      </c>
      <c r="K1275" s="16">
        <f>IF(OR(D1275="",F1275=""),"",F1275*IFERROR(INDEX('Sản phẩm'!$D$5:$D$304,MATCH(D1275,'Sản phẩm'!$A$5:$A$304,0)),""))</f>
        <v/>
      </c>
      <c r="L1275" s="16">
        <f>IF(J1275="","",J1275-K1275)</f>
        <v/>
      </c>
      <c r="M1275" s="14">
        <f>IF(A1275="","",MONTH(A1275))</f>
        <v/>
      </c>
      <c r="N1275" s="14">
        <f>IF(A1275="","",YEAR(A1275))</f>
        <v/>
      </c>
    </row>
    <row r="1276">
      <c r="A1276" s="15" t="n"/>
      <c r="B1276" s="10" t="n"/>
      <c r="C1276" s="10" t="n"/>
      <c r="D1276" s="10" t="n"/>
      <c r="E1276" s="14">
        <f>IF(D1276="","",IFERROR(INDEX('Sản phẩm'!$B$5:$B$304,MATCH(D1276,'Sản phẩm'!$A$5:$A$304,0)),""))</f>
        <v/>
      </c>
      <c r="F1276" s="12" t="n"/>
      <c r="G1276" s="11" t="n"/>
      <c r="H1276" s="11" t="n"/>
      <c r="I1276" s="16">
        <f>IF(D1276="","",IF(G1276&lt;&gt;"",G1276,IFERROR(INDEX('Sản phẩm'!$E$5:$E$304,MATCH(D1276,'Sản phẩm'!$A$5:$A$304,0)),"")))</f>
        <v/>
      </c>
      <c r="J1276" s="16">
        <f>IF(OR(D1276="",F1276=""),"",F1276*I1276-N(H1276))</f>
        <v/>
      </c>
      <c r="K1276" s="16">
        <f>IF(OR(D1276="",F1276=""),"",F1276*IFERROR(INDEX('Sản phẩm'!$D$5:$D$304,MATCH(D1276,'Sản phẩm'!$A$5:$A$304,0)),""))</f>
        <v/>
      </c>
      <c r="L1276" s="16">
        <f>IF(J1276="","",J1276-K1276)</f>
        <v/>
      </c>
      <c r="M1276" s="14">
        <f>IF(A1276="","",MONTH(A1276))</f>
        <v/>
      </c>
      <c r="N1276" s="14">
        <f>IF(A1276="","",YEAR(A1276))</f>
        <v/>
      </c>
    </row>
    <row r="1277">
      <c r="A1277" s="15" t="n"/>
      <c r="B1277" s="10" t="n"/>
      <c r="C1277" s="10" t="n"/>
      <c r="D1277" s="10" t="n"/>
      <c r="E1277" s="14">
        <f>IF(D1277="","",IFERROR(INDEX('Sản phẩm'!$B$5:$B$304,MATCH(D1277,'Sản phẩm'!$A$5:$A$304,0)),""))</f>
        <v/>
      </c>
      <c r="F1277" s="12" t="n"/>
      <c r="G1277" s="11" t="n"/>
      <c r="H1277" s="11" t="n"/>
      <c r="I1277" s="16">
        <f>IF(D1277="","",IF(G1277&lt;&gt;"",G1277,IFERROR(INDEX('Sản phẩm'!$E$5:$E$304,MATCH(D1277,'Sản phẩm'!$A$5:$A$304,0)),"")))</f>
        <v/>
      </c>
      <c r="J1277" s="16">
        <f>IF(OR(D1277="",F1277=""),"",F1277*I1277-N(H1277))</f>
        <v/>
      </c>
      <c r="K1277" s="16">
        <f>IF(OR(D1277="",F1277=""),"",F1277*IFERROR(INDEX('Sản phẩm'!$D$5:$D$304,MATCH(D1277,'Sản phẩm'!$A$5:$A$304,0)),""))</f>
        <v/>
      </c>
      <c r="L1277" s="16">
        <f>IF(J1277="","",J1277-K1277)</f>
        <v/>
      </c>
      <c r="M1277" s="14">
        <f>IF(A1277="","",MONTH(A1277))</f>
        <v/>
      </c>
      <c r="N1277" s="14">
        <f>IF(A1277="","",YEAR(A1277))</f>
        <v/>
      </c>
    </row>
    <row r="1278">
      <c r="A1278" s="15" t="n"/>
      <c r="B1278" s="10" t="n"/>
      <c r="C1278" s="10" t="n"/>
      <c r="D1278" s="10" t="n"/>
      <c r="E1278" s="14">
        <f>IF(D1278="","",IFERROR(INDEX('Sản phẩm'!$B$5:$B$304,MATCH(D1278,'Sản phẩm'!$A$5:$A$304,0)),""))</f>
        <v/>
      </c>
      <c r="F1278" s="12" t="n"/>
      <c r="G1278" s="11" t="n"/>
      <c r="H1278" s="11" t="n"/>
      <c r="I1278" s="16">
        <f>IF(D1278="","",IF(G1278&lt;&gt;"",G1278,IFERROR(INDEX('Sản phẩm'!$E$5:$E$304,MATCH(D1278,'Sản phẩm'!$A$5:$A$304,0)),"")))</f>
        <v/>
      </c>
      <c r="J1278" s="16">
        <f>IF(OR(D1278="",F1278=""),"",F1278*I1278-N(H1278))</f>
        <v/>
      </c>
      <c r="K1278" s="16">
        <f>IF(OR(D1278="",F1278=""),"",F1278*IFERROR(INDEX('Sản phẩm'!$D$5:$D$304,MATCH(D1278,'Sản phẩm'!$A$5:$A$304,0)),""))</f>
        <v/>
      </c>
      <c r="L1278" s="16">
        <f>IF(J1278="","",J1278-K1278)</f>
        <v/>
      </c>
      <c r="M1278" s="14">
        <f>IF(A1278="","",MONTH(A1278))</f>
        <v/>
      </c>
      <c r="N1278" s="14">
        <f>IF(A1278="","",YEAR(A1278))</f>
        <v/>
      </c>
    </row>
    <row r="1279">
      <c r="A1279" s="15" t="n"/>
      <c r="B1279" s="10" t="n"/>
      <c r="C1279" s="10" t="n"/>
      <c r="D1279" s="10" t="n"/>
      <c r="E1279" s="14">
        <f>IF(D1279="","",IFERROR(INDEX('Sản phẩm'!$B$5:$B$304,MATCH(D1279,'Sản phẩm'!$A$5:$A$304,0)),""))</f>
        <v/>
      </c>
      <c r="F1279" s="12" t="n"/>
      <c r="G1279" s="11" t="n"/>
      <c r="H1279" s="11" t="n"/>
      <c r="I1279" s="16">
        <f>IF(D1279="","",IF(G1279&lt;&gt;"",G1279,IFERROR(INDEX('Sản phẩm'!$E$5:$E$304,MATCH(D1279,'Sản phẩm'!$A$5:$A$304,0)),"")))</f>
        <v/>
      </c>
      <c r="J1279" s="16">
        <f>IF(OR(D1279="",F1279=""),"",F1279*I1279-N(H1279))</f>
        <v/>
      </c>
      <c r="K1279" s="16">
        <f>IF(OR(D1279="",F1279=""),"",F1279*IFERROR(INDEX('Sản phẩm'!$D$5:$D$304,MATCH(D1279,'Sản phẩm'!$A$5:$A$304,0)),""))</f>
        <v/>
      </c>
      <c r="L1279" s="16">
        <f>IF(J1279="","",J1279-K1279)</f>
        <v/>
      </c>
      <c r="M1279" s="14">
        <f>IF(A1279="","",MONTH(A1279))</f>
        <v/>
      </c>
      <c r="N1279" s="14">
        <f>IF(A1279="","",YEAR(A1279))</f>
        <v/>
      </c>
    </row>
    <row r="1280">
      <c r="A1280" s="15" t="n"/>
      <c r="B1280" s="10" t="n"/>
      <c r="C1280" s="10" t="n"/>
      <c r="D1280" s="10" t="n"/>
      <c r="E1280" s="14">
        <f>IF(D1280="","",IFERROR(INDEX('Sản phẩm'!$B$5:$B$304,MATCH(D1280,'Sản phẩm'!$A$5:$A$304,0)),""))</f>
        <v/>
      </c>
      <c r="F1280" s="12" t="n"/>
      <c r="G1280" s="11" t="n"/>
      <c r="H1280" s="11" t="n"/>
      <c r="I1280" s="16">
        <f>IF(D1280="","",IF(G1280&lt;&gt;"",G1280,IFERROR(INDEX('Sản phẩm'!$E$5:$E$304,MATCH(D1280,'Sản phẩm'!$A$5:$A$304,0)),"")))</f>
        <v/>
      </c>
      <c r="J1280" s="16">
        <f>IF(OR(D1280="",F1280=""),"",F1280*I1280-N(H1280))</f>
        <v/>
      </c>
      <c r="K1280" s="16">
        <f>IF(OR(D1280="",F1280=""),"",F1280*IFERROR(INDEX('Sản phẩm'!$D$5:$D$304,MATCH(D1280,'Sản phẩm'!$A$5:$A$304,0)),""))</f>
        <v/>
      </c>
      <c r="L1280" s="16">
        <f>IF(J1280="","",J1280-K1280)</f>
        <v/>
      </c>
      <c r="M1280" s="14">
        <f>IF(A1280="","",MONTH(A1280))</f>
        <v/>
      </c>
      <c r="N1280" s="14">
        <f>IF(A1280="","",YEAR(A1280))</f>
        <v/>
      </c>
    </row>
    <row r="1281">
      <c r="A1281" s="15" t="n"/>
      <c r="B1281" s="10" t="n"/>
      <c r="C1281" s="10" t="n"/>
      <c r="D1281" s="10" t="n"/>
      <c r="E1281" s="14">
        <f>IF(D1281="","",IFERROR(INDEX('Sản phẩm'!$B$5:$B$304,MATCH(D1281,'Sản phẩm'!$A$5:$A$304,0)),""))</f>
        <v/>
      </c>
      <c r="F1281" s="12" t="n"/>
      <c r="G1281" s="11" t="n"/>
      <c r="H1281" s="11" t="n"/>
      <c r="I1281" s="16">
        <f>IF(D1281="","",IF(G1281&lt;&gt;"",G1281,IFERROR(INDEX('Sản phẩm'!$E$5:$E$304,MATCH(D1281,'Sản phẩm'!$A$5:$A$304,0)),"")))</f>
        <v/>
      </c>
      <c r="J1281" s="16">
        <f>IF(OR(D1281="",F1281=""),"",F1281*I1281-N(H1281))</f>
        <v/>
      </c>
      <c r="K1281" s="16">
        <f>IF(OR(D1281="",F1281=""),"",F1281*IFERROR(INDEX('Sản phẩm'!$D$5:$D$304,MATCH(D1281,'Sản phẩm'!$A$5:$A$304,0)),""))</f>
        <v/>
      </c>
      <c r="L1281" s="16">
        <f>IF(J1281="","",J1281-K1281)</f>
        <v/>
      </c>
      <c r="M1281" s="14">
        <f>IF(A1281="","",MONTH(A1281))</f>
        <v/>
      </c>
      <c r="N1281" s="14">
        <f>IF(A1281="","",YEAR(A1281))</f>
        <v/>
      </c>
    </row>
    <row r="1282">
      <c r="A1282" s="15" t="n"/>
      <c r="B1282" s="10" t="n"/>
      <c r="C1282" s="10" t="n"/>
      <c r="D1282" s="10" t="n"/>
      <c r="E1282" s="14">
        <f>IF(D1282="","",IFERROR(INDEX('Sản phẩm'!$B$5:$B$304,MATCH(D1282,'Sản phẩm'!$A$5:$A$304,0)),""))</f>
        <v/>
      </c>
      <c r="F1282" s="12" t="n"/>
      <c r="G1282" s="11" t="n"/>
      <c r="H1282" s="11" t="n"/>
      <c r="I1282" s="16">
        <f>IF(D1282="","",IF(G1282&lt;&gt;"",G1282,IFERROR(INDEX('Sản phẩm'!$E$5:$E$304,MATCH(D1282,'Sản phẩm'!$A$5:$A$304,0)),"")))</f>
        <v/>
      </c>
      <c r="J1282" s="16">
        <f>IF(OR(D1282="",F1282=""),"",F1282*I1282-N(H1282))</f>
        <v/>
      </c>
      <c r="K1282" s="16">
        <f>IF(OR(D1282="",F1282=""),"",F1282*IFERROR(INDEX('Sản phẩm'!$D$5:$D$304,MATCH(D1282,'Sản phẩm'!$A$5:$A$304,0)),""))</f>
        <v/>
      </c>
      <c r="L1282" s="16">
        <f>IF(J1282="","",J1282-K1282)</f>
        <v/>
      </c>
      <c r="M1282" s="14">
        <f>IF(A1282="","",MONTH(A1282))</f>
        <v/>
      </c>
      <c r="N1282" s="14">
        <f>IF(A1282="","",YEAR(A1282))</f>
        <v/>
      </c>
    </row>
    <row r="1283">
      <c r="A1283" s="15" t="n"/>
      <c r="B1283" s="10" t="n"/>
      <c r="C1283" s="10" t="n"/>
      <c r="D1283" s="10" t="n"/>
      <c r="E1283" s="14">
        <f>IF(D1283="","",IFERROR(INDEX('Sản phẩm'!$B$5:$B$304,MATCH(D1283,'Sản phẩm'!$A$5:$A$304,0)),""))</f>
        <v/>
      </c>
      <c r="F1283" s="12" t="n"/>
      <c r="G1283" s="11" t="n"/>
      <c r="H1283" s="11" t="n"/>
      <c r="I1283" s="16">
        <f>IF(D1283="","",IF(G1283&lt;&gt;"",G1283,IFERROR(INDEX('Sản phẩm'!$E$5:$E$304,MATCH(D1283,'Sản phẩm'!$A$5:$A$304,0)),"")))</f>
        <v/>
      </c>
      <c r="J1283" s="16">
        <f>IF(OR(D1283="",F1283=""),"",F1283*I1283-N(H1283))</f>
        <v/>
      </c>
      <c r="K1283" s="16">
        <f>IF(OR(D1283="",F1283=""),"",F1283*IFERROR(INDEX('Sản phẩm'!$D$5:$D$304,MATCH(D1283,'Sản phẩm'!$A$5:$A$304,0)),""))</f>
        <v/>
      </c>
      <c r="L1283" s="16">
        <f>IF(J1283="","",J1283-K1283)</f>
        <v/>
      </c>
      <c r="M1283" s="14">
        <f>IF(A1283="","",MONTH(A1283))</f>
        <v/>
      </c>
      <c r="N1283" s="14">
        <f>IF(A1283="","",YEAR(A1283))</f>
        <v/>
      </c>
    </row>
    <row r="1284">
      <c r="A1284" s="15" t="n"/>
      <c r="B1284" s="10" t="n"/>
      <c r="C1284" s="10" t="n"/>
      <c r="D1284" s="10" t="n"/>
      <c r="E1284" s="14">
        <f>IF(D1284="","",IFERROR(INDEX('Sản phẩm'!$B$5:$B$304,MATCH(D1284,'Sản phẩm'!$A$5:$A$304,0)),""))</f>
        <v/>
      </c>
      <c r="F1284" s="12" t="n"/>
      <c r="G1284" s="11" t="n"/>
      <c r="H1284" s="11" t="n"/>
      <c r="I1284" s="16">
        <f>IF(D1284="","",IF(G1284&lt;&gt;"",G1284,IFERROR(INDEX('Sản phẩm'!$E$5:$E$304,MATCH(D1284,'Sản phẩm'!$A$5:$A$304,0)),"")))</f>
        <v/>
      </c>
      <c r="J1284" s="16">
        <f>IF(OR(D1284="",F1284=""),"",F1284*I1284-N(H1284))</f>
        <v/>
      </c>
      <c r="K1284" s="16">
        <f>IF(OR(D1284="",F1284=""),"",F1284*IFERROR(INDEX('Sản phẩm'!$D$5:$D$304,MATCH(D1284,'Sản phẩm'!$A$5:$A$304,0)),""))</f>
        <v/>
      </c>
      <c r="L1284" s="16">
        <f>IF(J1284="","",J1284-K1284)</f>
        <v/>
      </c>
      <c r="M1284" s="14">
        <f>IF(A1284="","",MONTH(A1284))</f>
        <v/>
      </c>
      <c r="N1284" s="14">
        <f>IF(A1284="","",YEAR(A1284))</f>
        <v/>
      </c>
    </row>
    <row r="1285">
      <c r="A1285" s="15" t="n"/>
      <c r="B1285" s="10" t="n"/>
      <c r="C1285" s="10" t="n"/>
      <c r="D1285" s="10" t="n"/>
      <c r="E1285" s="14">
        <f>IF(D1285="","",IFERROR(INDEX('Sản phẩm'!$B$5:$B$304,MATCH(D1285,'Sản phẩm'!$A$5:$A$304,0)),""))</f>
        <v/>
      </c>
      <c r="F1285" s="12" t="n"/>
      <c r="G1285" s="11" t="n"/>
      <c r="H1285" s="11" t="n"/>
      <c r="I1285" s="16">
        <f>IF(D1285="","",IF(G1285&lt;&gt;"",G1285,IFERROR(INDEX('Sản phẩm'!$E$5:$E$304,MATCH(D1285,'Sản phẩm'!$A$5:$A$304,0)),"")))</f>
        <v/>
      </c>
      <c r="J1285" s="16">
        <f>IF(OR(D1285="",F1285=""),"",F1285*I1285-N(H1285))</f>
        <v/>
      </c>
      <c r="K1285" s="16">
        <f>IF(OR(D1285="",F1285=""),"",F1285*IFERROR(INDEX('Sản phẩm'!$D$5:$D$304,MATCH(D1285,'Sản phẩm'!$A$5:$A$304,0)),""))</f>
        <v/>
      </c>
      <c r="L1285" s="16">
        <f>IF(J1285="","",J1285-K1285)</f>
        <v/>
      </c>
      <c r="M1285" s="14">
        <f>IF(A1285="","",MONTH(A1285))</f>
        <v/>
      </c>
      <c r="N1285" s="14">
        <f>IF(A1285="","",YEAR(A1285))</f>
        <v/>
      </c>
    </row>
    <row r="1286">
      <c r="A1286" s="15" t="n"/>
      <c r="B1286" s="10" t="n"/>
      <c r="C1286" s="10" t="n"/>
      <c r="D1286" s="10" t="n"/>
      <c r="E1286" s="14">
        <f>IF(D1286="","",IFERROR(INDEX('Sản phẩm'!$B$5:$B$304,MATCH(D1286,'Sản phẩm'!$A$5:$A$304,0)),""))</f>
        <v/>
      </c>
      <c r="F1286" s="12" t="n"/>
      <c r="G1286" s="11" t="n"/>
      <c r="H1286" s="11" t="n"/>
      <c r="I1286" s="16">
        <f>IF(D1286="","",IF(G1286&lt;&gt;"",G1286,IFERROR(INDEX('Sản phẩm'!$E$5:$E$304,MATCH(D1286,'Sản phẩm'!$A$5:$A$304,0)),"")))</f>
        <v/>
      </c>
      <c r="J1286" s="16">
        <f>IF(OR(D1286="",F1286=""),"",F1286*I1286-N(H1286))</f>
        <v/>
      </c>
      <c r="K1286" s="16">
        <f>IF(OR(D1286="",F1286=""),"",F1286*IFERROR(INDEX('Sản phẩm'!$D$5:$D$304,MATCH(D1286,'Sản phẩm'!$A$5:$A$304,0)),""))</f>
        <v/>
      </c>
      <c r="L1286" s="16">
        <f>IF(J1286="","",J1286-K1286)</f>
        <v/>
      </c>
      <c r="M1286" s="14">
        <f>IF(A1286="","",MONTH(A1286))</f>
        <v/>
      </c>
      <c r="N1286" s="14">
        <f>IF(A1286="","",YEAR(A1286))</f>
        <v/>
      </c>
    </row>
    <row r="1287">
      <c r="A1287" s="15" t="n"/>
      <c r="B1287" s="10" t="n"/>
      <c r="C1287" s="10" t="n"/>
      <c r="D1287" s="10" t="n"/>
      <c r="E1287" s="14">
        <f>IF(D1287="","",IFERROR(INDEX('Sản phẩm'!$B$5:$B$304,MATCH(D1287,'Sản phẩm'!$A$5:$A$304,0)),""))</f>
        <v/>
      </c>
      <c r="F1287" s="12" t="n"/>
      <c r="G1287" s="11" t="n"/>
      <c r="H1287" s="11" t="n"/>
      <c r="I1287" s="16">
        <f>IF(D1287="","",IF(G1287&lt;&gt;"",G1287,IFERROR(INDEX('Sản phẩm'!$E$5:$E$304,MATCH(D1287,'Sản phẩm'!$A$5:$A$304,0)),"")))</f>
        <v/>
      </c>
      <c r="J1287" s="16">
        <f>IF(OR(D1287="",F1287=""),"",F1287*I1287-N(H1287))</f>
        <v/>
      </c>
      <c r="K1287" s="16">
        <f>IF(OR(D1287="",F1287=""),"",F1287*IFERROR(INDEX('Sản phẩm'!$D$5:$D$304,MATCH(D1287,'Sản phẩm'!$A$5:$A$304,0)),""))</f>
        <v/>
      </c>
      <c r="L1287" s="16">
        <f>IF(J1287="","",J1287-K1287)</f>
        <v/>
      </c>
      <c r="M1287" s="14">
        <f>IF(A1287="","",MONTH(A1287))</f>
        <v/>
      </c>
      <c r="N1287" s="14">
        <f>IF(A1287="","",YEAR(A1287))</f>
        <v/>
      </c>
    </row>
    <row r="1288">
      <c r="A1288" s="15" t="n"/>
      <c r="B1288" s="10" t="n"/>
      <c r="C1288" s="10" t="n"/>
      <c r="D1288" s="10" t="n"/>
      <c r="E1288" s="14">
        <f>IF(D1288="","",IFERROR(INDEX('Sản phẩm'!$B$5:$B$304,MATCH(D1288,'Sản phẩm'!$A$5:$A$304,0)),""))</f>
        <v/>
      </c>
      <c r="F1288" s="12" t="n"/>
      <c r="G1288" s="11" t="n"/>
      <c r="H1288" s="11" t="n"/>
      <c r="I1288" s="16">
        <f>IF(D1288="","",IF(G1288&lt;&gt;"",G1288,IFERROR(INDEX('Sản phẩm'!$E$5:$E$304,MATCH(D1288,'Sản phẩm'!$A$5:$A$304,0)),"")))</f>
        <v/>
      </c>
      <c r="J1288" s="16">
        <f>IF(OR(D1288="",F1288=""),"",F1288*I1288-N(H1288))</f>
        <v/>
      </c>
      <c r="K1288" s="16">
        <f>IF(OR(D1288="",F1288=""),"",F1288*IFERROR(INDEX('Sản phẩm'!$D$5:$D$304,MATCH(D1288,'Sản phẩm'!$A$5:$A$304,0)),""))</f>
        <v/>
      </c>
      <c r="L1288" s="16">
        <f>IF(J1288="","",J1288-K1288)</f>
        <v/>
      </c>
      <c r="M1288" s="14">
        <f>IF(A1288="","",MONTH(A1288))</f>
        <v/>
      </c>
      <c r="N1288" s="14">
        <f>IF(A1288="","",YEAR(A1288))</f>
        <v/>
      </c>
    </row>
    <row r="1289">
      <c r="A1289" s="15" t="n"/>
      <c r="B1289" s="10" t="n"/>
      <c r="C1289" s="10" t="n"/>
      <c r="D1289" s="10" t="n"/>
      <c r="E1289" s="14">
        <f>IF(D1289="","",IFERROR(INDEX('Sản phẩm'!$B$5:$B$304,MATCH(D1289,'Sản phẩm'!$A$5:$A$304,0)),""))</f>
        <v/>
      </c>
      <c r="F1289" s="12" t="n"/>
      <c r="G1289" s="11" t="n"/>
      <c r="H1289" s="11" t="n"/>
      <c r="I1289" s="16">
        <f>IF(D1289="","",IF(G1289&lt;&gt;"",G1289,IFERROR(INDEX('Sản phẩm'!$E$5:$E$304,MATCH(D1289,'Sản phẩm'!$A$5:$A$304,0)),"")))</f>
        <v/>
      </c>
      <c r="J1289" s="16">
        <f>IF(OR(D1289="",F1289=""),"",F1289*I1289-N(H1289))</f>
        <v/>
      </c>
      <c r="K1289" s="16">
        <f>IF(OR(D1289="",F1289=""),"",F1289*IFERROR(INDEX('Sản phẩm'!$D$5:$D$304,MATCH(D1289,'Sản phẩm'!$A$5:$A$304,0)),""))</f>
        <v/>
      </c>
      <c r="L1289" s="16">
        <f>IF(J1289="","",J1289-K1289)</f>
        <v/>
      </c>
      <c r="M1289" s="14">
        <f>IF(A1289="","",MONTH(A1289))</f>
        <v/>
      </c>
      <c r="N1289" s="14">
        <f>IF(A1289="","",YEAR(A1289))</f>
        <v/>
      </c>
    </row>
    <row r="1290">
      <c r="A1290" s="15" t="n"/>
      <c r="B1290" s="10" t="n"/>
      <c r="C1290" s="10" t="n"/>
      <c r="D1290" s="10" t="n"/>
      <c r="E1290" s="14">
        <f>IF(D1290="","",IFERROR(INDEX('Sản phẩm'!$B$5:$B$304,MATCH(D1290,'Sản phẩm'!$A$5:$A$304,0)),""))</f>
        <v/>
      </c>
      <c r="F1290" s="12" t="n"/>
      <c r="G1290" s="11" t="n"/>
      <c r="H1290" s="11" t="n"/>
      <c r="I1290" s="16">
        <f>IF(D1290="","",IF(G1290&lt;&gt;"",G1290,IFERROR(INDEX('Sản phẩm'!$E$5:$E$304,MATCH(D1290,'Sản phẩm'!$A$5:$A$304,0)),"")))</f>
        <v/>
      </c>
      <c r="J1290" s="16">
        <f>IF(OR(D1290="",F1290=""),"",F1290*I1290-N(H1290))</f>
        <v/>
      </c>
      <c r="K1290" s="16">
        <f>IF(OR(D1290="",F1290=""),"",F1290*IFERROR(INDEX('Sản phẩm'!$D$5:$D$304,MATCH(D1290,'Sản phẩm'!$A$5:$A$304,0)),""))</f>
        <v/>
      </c>
      <c r="L1290" s="16">
        <f>IF(J1290="","",J1290-K1290)</f>
        <v/>
      </c>
      <c r="M1290" s="14">
        <f>IF(A1290="","",MONTH(A1290))</f>
        <v/>
      </c>
      <c r="N1290" s="14">
        <f>IF(A1290="","",YEAR(A1290))</f>
        <v/>
      </c>
    </row>
    <row r="1291">
      <c r="A1291" s="15" t="n"/>
      <c r="B1291" s="10" t="n"/>
      <c r="C1291" s="10" t="n"/>
      <c r="D1291" s="10" t="n"/>
      <c r="E1291" s="14">
        <f>IF(D1291="","",IFERROR(INDEX('Sản phẩm'!$B$5:$B$304,MATCH(D1291,'Sản phẩm'!$A$5:$A$304,0)),""))</f>
        <v/>
      </c>
      <c r="F1291" s="12" t="n"/>
      <c r="G1291" s="11" t="n"/>
      <c r="H1291" s="11" t="n"/>
      <c r="I1291" s="16">
        <f>IF(D1291="","",IF(G1291&lt;&gt;"",G1291,IFERROR(INDEX('Sản phẩm'!$E$5:$E$304,MATCH(D1291,'Sản phẩm'!$A$5:$A$304,0)),"")))</f>
        <v/>
      </c>
      <c r="J1291" s="16">
        <f>IF(OR(D1291="",F1291=""),"",F1291*I1291-N(H1291))</f>
        <v/>
      </c>
      <c r="K1291" s="16">
        <f>IF(OR(D1291="",F1291=""),"",F1291*IFERROR(INDEX('Sản phẩm'!$D$5:$D$304,MATCH(D1291,'Sản phẩm'!$A$5:$A$304,0)),""))</f>
        <v/>
      </c>
      <c r="L1291" s="16">
        <f>IF(J1291="","",J1291-K1291)</f>
        <v/>
      </c>
      <c r="M1291" s="14">
        <f>IF(A1291="","",MONTH(A1291))</f>
        <v/>
      </c>
      <c r="N1291" s="14">
        <f>IF(A1291="","",YEAR(A1291))</f>
        <v/>
      </c>
    </row>
    <row r="1292">
      <c r="A1292" s="15" t="n"/>
      <c r="B1292" s="10" t="n"/>
      <c r="C1292" s="10" t="n"/>
      <c r="D1292" s="10" t="n"/>
      <c r="E1292" s="14">
        <f>IF(D1292="","",IFERROR(INDEX('Sản phẩm'!$B$5:$B$304,MATCH(D1292,'Sản phẩm'!$A$5:$A$304,0)),""))</f>
        <v/>
      </c>
      <c r="F1292" s="12" t="n"/>
      <c r="G1292" s="11" t="n"/>
      <c r="H1292" s="11" t="n"/>
      <c r="I1292" s="16">
        <f>IF(D1292="","",IF(G1292&lt;&gt;"",G1292,IFERROR(INDEX('Sản phẩm'!$E$5:$E$304,MATCH(D1292,'Sản phẩm'!$A$5:$A$304,0)),"")))</f>
        <v/>
      </c>
      <c r="J1292" s="16">
        <f>IF(OR(D1292="",F1292=""),"",F1292*I1292-N(H1292))</f>
        <v/>
      </c>
      <c r="K1292" s="16">
        <f>IF(OR(D1292="",F1292=""),"",F1292*IFERROR(INDEX('Sản phẩm'!$D$5:$D$304,MATCH(D1292,'Sản phẩm'!$A$5:$A$304,0)),""))</f>
        <v/>
      </c>
      <c r="L1292" s="16">
        <f>IF(J1292="","",J1292-K1292)</f>
        <v/>
      </c>
      <c r="M1292" s="14">
        <f>IF(A1292="","",MONTH(A1292))</f>
        <v/>
      </c>
      <c r="N1292" s="14">
        <f>IF(A1292="","",YEAR(A1292))</f>
        <v/>
      </c>
    </row>
    <row r="1293">
      <c r="A1293" s="15" t="n"/>
      <c r="B1293" s="10" t="n"/>
      <c r="C1293" s="10" t="n"/>
      <c r="D1293" s="10" t="n"/>
      <c r="E1293" s="14">
        <f>IF(D1293="","",IFERROR(INDEX('Sản phẩm'!$B$5:$B$304,MATCH(D1293,'Sản phẩm'!$A$5:$A$304,0)),""))</f>
        <v/>
      </c>
      <c r="F1293" s="12" t="n"/>
      <c r="G1293" s="11" t="n"/>
      <c r="H1293" s="11" t="n"/>
      <c r="I1293" s="16">
        <f>IF(D1293="","",IF(G1293&lt;&gt;"",G1293,IFERROR(INDEX('Sản phẩm'!$E$5:$E$304,MATCH(D1293,'Sản phẩm'!$A$5:$A$304,0)),"")))</f>
        <v/>
      </c>
      <c r="J1293" s="16">
        <f>IF(OR(D1293="",F1293=""),"",F1293*I1293-N(H1293))</f>
        <v/>
      </c>
      <c r="K1293" s="16">
        <f>IF(OR(D1293="",F1293=""),"",F1293*IFERROR(INDEX('Sản phẩm'!$D$5:$D$304,MATCH(D1293,'Sản phẩm'!$A$5:$A$304,0)),""))</f>
        <v/>
      </c>
      <c r="L1293" s="16">
        <f>IF(J1293="","",J1293-K1293)</f>
        <v/>
      </c>
      <c r="M1293" s="14">
        <f>IF(A1293="","",MONTH(A1293))</f>
        <v/>
      </c>
      <c r="N1293" s="14">
        <f>IF(A1293="","",YEAR(A1293))</f>
        <v/>
      </c>
    </row>
    <row r="1294">
      <c r="A1294" s="15" t="n"/>
      <c r="B1294" s="10" t="n"/>
      <c r="C1294" s="10" t="n"/>
      <c r="D1294" s="10" t="n"/>
      <c r="E1294" s="14">
        <f>IF(D1294="","",IFERROR(INDEX('Sản phẩm'!$B$5:$B$304,MATCH(D1294,'Sản phẩm'!$A$5:$A$304,0)),""))</f>
        <v/>
      </c>
      <c r="F1294" s="12" t="n"/>
      <c r="G1294" s="11" t="n"/>
      <c r="H1294" s="11" t="n"/>
      <c r="I1294" s="16">
        <f>IF(D1294="","",IF(G1294&lt;&gt;"",G1294,IFERROR(INDEX('Sản phẩm'!$E$5:$E$304,MATCH(D1294,'Sản phẩm'!$A$5:$A$304,0)),"")))</f>
        <v/>
      </c>
      <c r="J1294" s="16">
        <f>IF(OR(D1294="",F1294=""),"",F1294*I1294-N(H1294))</f>
        <v/>
      </c>
      <c r="K1294" s="16">
        <f>IF(OR(D1294="",F1294=""),"",F1294*IFERROR(INDEX('Sản phẩm'!$D$5:$D$304,MATCH(D1294,'Sản phẩm'!$A$5:$A$304,0)),""))</f>
        <v/>
      </c>
      <c r="L1294" s="16">
        <f>IF(J1294="","",J1294-K1294)</f>
        <v/>
      </c>
      <c r="M1294" s="14">
        <f>IF(A1294="","",MONTH(A1294))</f>
        <v/>
      </c>
      <c r="N1294" s="14">
        <f>IF(A1294="","",YEAR(A1294))</f>
        <v/>
      </c>
    </row>
    <row r="1295">
      <c r="A1295" s="15" t="n"/>
      <c r="B1295" s="10" t="n"/>
      <c r="C1295" s="10" t="n"/>
      <c r="D1295" s="10" t="n"/>
      <c r="E1295" s="14">
        <f>IF(D1295="","",IFERROR(INDEX('Sản phẩm'!$B$5:$B$304,MATCH(D1295,'Sản phẩm'!$A$5:$A$304,0)),""))</f>
        <v/>
      </c>
      <c r="F1295" s="12" t="n"/>
      <c r="G1295" s="11" t="n"/>
      <c r="H1295" s="11" t="n"/>
      <c r="I1295" s="16">
        <f>IF(D1295="","",IF(G1295&lt;&gt;"",G1295,IFERROR(INDEX('Sản phẩm'!$E$5:$E$304,MATCH(D1295,'Sản phẩm'!$A$5:$A$304,0)),"")))</f>
        <v/>
      </c>
      <c r="J1295" s="16">
        <f>IF(OR(D1295="",F1295=""),"",F1295*I1295-N(H1295))</f>
        <v/>
      </c>
      <c r="K1295" s="16">
        <f>IF(OR(D1295="",F1295=""),"",F1295*IFERROR(INDEX('Sản phẩm'!$D$5:$D$304,MATCH(D1295,'Sản phẩm'!$A$5:$A$304,0)),""))</f>
        <v/>
      </c>
      <c r="L1295" s="16">
        <f>IF(J1295="","",J1295-K1295)</f>
        <v/>
      </c>
      <c r="M1295" s="14">
        <f>IF(A1295="","",MONTH(A1295))</f>
        <v/>
      </c>
      <c r="N1295" s="14">
        <f>IF(A1295="","",YEAR(A1295))</f>
        <v/>
      </c>
    </row>
    <row r="1296">
      <c r="A1296" s="15" t="n"/>
      <c r="B1296" s="10" t="n"/>
      <c r="C1296" s="10" t="n"/>
      <c r="D1296" s="10" t="n"/>
      <c r="E1296" s="14">
        <f>IF(D1296="","",IFERROR(INDEX('Sản phẩm'!$B$5:$B$304,MATCH(D1296,'Sản phẩm'!$A$5:$A$304,0)),""))</f>
        <v/>
      </c>
      <c r="F1296" s="12" t="n"/>
      <c r="G1296" s="11" t="n"/>
      <c r="H1296" s="11" t="n"/>
      <c r="I1296" s="16">
        <f>IF(D1296="","",IF(G1296&lt;&gt;"",G1296,IFERROR(INDEX('Sản phẩm'!$E$5:$E$304,MATCH(D1296,'Sản phẩm'!$A$5:$A$304,0)),"")))</f>
        <v/>
      </c>
      <c r="J1296" s="16">
        <f>IF(OR(D1296="",F1296=""),"",F1296*I1296-N(H1296))</f>
        <v/>
      </c>
      <c r="K1296" s="16">
        <f>IF(OR(D1296="",F1296=""),"",F1296*IFERROR(INDEX('Sản phẩm'!$D$5:$D$304,MATCH(D1296,'Sản phẩm'!$A$5:$A$304,0)),""))</f>
        <v/>
      </c>
      <c r="L1296" s="16">
        <f>IF(J1296="","",J1296-K1296)</f>
        <v/>
      </c>
      <c r="M1296" s="14">
        <f>IF(A1296="","",MONTH(A1296))</f>
        <v/>
      </c>
      <c r="N1296" s="14">
        <f>IF(A1296="","",YEAR(A1296))</f>
        <v/>
      </c>
    </row>
    <row r="1297">
      <c r="A1297" s="15" t="n"/>
      <c r="B1297" s="10" t="n"/>
      <c r="C1297" s="10" t="n"/>
      <c r="D1297" s="10" t="n"/>
      <c r="E1297" s="14">
        <f>IF(D1297="","",IFERROR(INDEX('Sản phẩm'!$B$5:$B$304,MATCH(D1297,'Sản phẩm'!$A$5:$A$304,0)),""))</f>
        <v/>
      </c>
      <c r="F1297" s="12" t="n"/>
      <c r="G1297" s="11" t="n"/>
      <c r="H1297" s="11" t="n"/>
      <c r="I1297" s="16">
        <f>IF(D1297="","",IF(G1297&lt;&gt;"",G1297,IFERROR(INDEX('Sản phẩm'!$E$5:$E$304,MATCH(D1297,'Sản phẩm'!$A$5:$A$304,0)),"")))</f>
        <v/>
      </c>
      <c r="J1297" s="16">
        <f>IF(OR(D1297="",F1297=""),"",F1297*I1297-N(H1297))</f>
        <v/>
      </c>
      <c r="K1297" s="16">
        <f>IF(OR(D1297="",F1297=""),"",F1297*IFERROR(INDEX('Sản phẩm'!$D$5:$D$304,MATCH(D1297,'Sản phẩm'!$A$5:$A$304,0)),""))</f>
        <v/>
      </c>
      <c r="L1297" s="16">
        <f>IF(J1297="","",J1297-K1297)</f>
        <v/>
      </c>
      <c r="M1297" s="14">
        <f>IF(A1297="","",MONTH(A1297))</f>
        <v/>
      </c>
      <c r="N1297" s="14">
        <f>IF(A1297="","",YEAR(A1297))</f>
        <v/>
      </c>
    </row>
    <row r="1298">
      <c r="A1298" s="15" t="n"/>
      <c r="B1298" s="10" t="n"/>
      <c r="C1298" s="10" t="n"/>
      <c r="D1298" s="10" t="n"/>
      <c r="E1298" s="14">
        <f>IF(D1298="","",IFERROR(INDEX('Sản phẩm'!$B$5:$B$304,MATCH(D1298,'Sản phẩm'!$A$5:$A$304,0)),""))</f>
        <v/>
      </c>
      <c r="F1298" s="12" t="n"/>
      <c r="G1298" s="11" t="n"/>
      <c r="H1298" s="11" t="n"/>
      <c r="I1298" s="16">
        <f>IF(D1298="","",IF(G1298&lt;&gt;"",G1298,IFERROR(INDEX('Sản phẩm'!$E$5:$E$304,MATCH(D1298,'Sản phẩm'!$A$5:$A$304,0)),"")))</f>
        <v/>
      </c>
      <c r="J1298" s="16">
        <f>IF(OR(D1298="",F1298=""),"",F1298*I1298-N(H1298))</f>
        <v/>
      </c>
      <c r="K1298" s="16">
        <f>IF(OR(D1298="",F1298=""),"",F1298*IFERROR(INDEX('Sản phẩm'!$D$5:$D$304,MATCH(D1298,'Sản phẩm'!$A$5:$A$304,0)),""))</f>
        <v/>
      </c>
      <c r="L1298" s="16">
        <f>IF(J1298="","",J1298-K1298)</f>
        <v/>
      </c>
      <c r="M1298" s="14">
        <f>IF(A1298="","",MONTH(A1298))</f>
        <v/>
      </c>
      <c r="N1298" s="14">
        <f>IF(A1298="","",YEAR(A1298))</f>
        <v/>
      </c>
    </row>
    <row r="1299">
      <c r="A1299" s="15" t="n"/>
      <c r="B1299" s="10" t="n"/>
      <c r="C1299" s="10" t="n"/>
      <c r="D1299" s="10" t="n"/>
      <c r="E1299" s="14">
        <f>IF(D1299="","",IFERROR(INDEX('Sản phẩm'!$B$5:$B$304,MATCH(D1299,'Sản phẩm'!$A$5:$A$304,0)),""))</f>
        <v/>
      </c>
      <c r="F1299" s="12" t="n"/>
      <c r="G1299" s="11" t="n"/>
      <c r="H1299" s="11" t="n"/>
      <c r="I1299" s="16">
        <f>IF(D1299="","",IF(G1299&lt;&gt;"",G1299,IFERROR(INDEX('Sản phẩm'!$E$5:$E$304,MATCH(D1299,'Sản phẩm'!$A$5:$A$304,0)),"")))</f>
        <v/>
      </c>
      <c r="J1299" s="16">
        <f>IF(OR(D1299="",F1299=""),"",F1299*I1299-N(H1299))</f>
        <v/>
      </c>
      <c r="K1299" s="16">
        <f>IF(OR(D1299="",F1299=""),"",F1299*IFERROR(INDEX('Sản phẩm'!$D$5:$D$304,MATCH(D1299,'Sản phẩm'!$A$5:$A$304,0)),""))</f>
        <v/>
      </c>
      <c r="L1299" s="16">
        <f>IF(J1299="","",J1299-K1299)</f>
        <v/>
      </c>
      <c r="M1299" s="14">
        <f>IF(A1299="","",MONTH(A1299))</f>
        <v/>
      </c>
      <c r="N1299" s="14">
        <f>IF(A1299="","",YEAR(A1299))</f>
        <v/>
      </c>
    </row>
    <row r="1300">
      <c r="A1300" s="15" t="n"/>
      <c r="B1300" s="10" t="n"/>
      <c r="C1300" s="10" t="n"/>
      <c r="D1300" s="10" t="n"/>
      <c r="E1300" s="14">
        <f>IF(D1300="","",IFERROR(INDEX('Sản phẩm'!$B$5:$B$304,MATCH(D1300,'Sản phẩm'!$A$5:$A$304,0)),""))</f>
        <v/>
      </c>
      <c r="F1300" s="12" t="n"/>
      <c r="G1300" s="11" t="n"/>
      <c r="H1300" s="11" t="n"/>
      <c r="I1300" s="16">
        <f>IF(D1300="","",IF(G1300&lt;&gt;"",G1300,IFERROR(INDEX('Sản phẩm'!$E$5:$E$304,MATCH(D1300,'Sản phẩm'!$A$5:$A$304,0)),"")))</f>
        <v/>
      </c>
      <c r="J1300" s="16">
        <f>IF(OR(D1300="",F1300=""),"",F1300*I1300-N(H1300))</f>
        <v/>
      </c>
      <c r="K1300" s="16">
        <f>IF(OR(D1300="",F1300=""),"",F1300*IFERROR(INDEX('Sản phẩm'!$D$5:$D$304,MATCH(D1300,'Sản phẩm'!$A$5:$A$304,0)),""))</f>
        <v/>
      </c>
      <c r="L1300" s="16">
        <f>IF(J1300="","",J1300-K1300)</f>
        <v/>
      </c>
      <c r="M1300" s="14">
        <f>IF(A1300="","",MONTH(A1300))</f>
        <v/>
      </c>
      <c r="N1300" s="14">
        <f>IF(A1300="","",YEAR(A1300))</f>
        <v/>
      </c>
    </row>
    <row r="1301">
      <c r="A1301" s="15" t="n"/>
      <c r="B1301" s="10" t="n"/>
      <c r="C1301" s="10" t="n"/>
      <c r="D1301" s="10" t="n"/>
      <c r="E1301" s="14">
        <f>IF(D1301="","",IFERROR(INDEX('Sản phẩm'!$B$5:$B$304,MATCH(D1301,'Sản phẩm'!$A$5:$A$304,0)),""))</f>
        <v/>
      </c>
      <c r="F1301" s="12" t="n"/>
      <c r="G1301" s="11" t="n"/>
      <c r="H1301" s="11" t="n"/>
      <c r="I1301" s="16">
        <f>IF(D1301="","",IF(G1301&lt;&gt;"",G1301,IFERROR(INDEX('Sản phẩm'!$E$5:$E$304,MATCH(D1301,'Sản phẩm'!$A$5:$A$304,0)),"")))</f>
        <v/>
      </c>
      <c r="J1301" s="16">
        <f>IF(OR(D1301="",F1301=""),"",F1301*I1301-N(H1301))</f>
        <v/>
      </c>
      <c r="K1301" s="16">
        <f>IF(OR(D1301="",F1301=""),"",F1301*IFERROR(INDEX('Sản phẩm'!$D$5:$D$304,MATCH(D1301,'Sản phẩm'!$A$5:$A$304,0)),""))</f>
        <v/>
      </c>
      <c r="L1301" s="16">
        <f>IF(J1301="","",J1301-K1301)</f>
        <v/>
      </c>
      <c r="M1301" s="14">
        <f>IF(A1301="","",MONTH(A1301))</f>
        <v/>
      </c>
      <c r="N1301" s="14">
        <f>IF(A1301="","",YEAR(A1301))</f>
        <v/>
      </c>
    </row>
    <row r="1302">
      <c r="A1302" s="15" t="n"/>
      <c r="B1302" s="10" t="n"/>
      <c r="C1302" s="10" t="n"/>
      <c r="D1302" s="10" t="n"/>
      <c r="E1302" s="14">
        <f>IF(D1302="","",IFERROR(INDEX('Sản phẩm'!$B$5:$B$304,MATCH(D1302,'Sản phẩm'!$A$5:$A$304,0)),""))</f>
        <v/>
      </c>
      <c r="F1302" s="12" t="n"/>
      <c r="G1302" s="11" t="n"/>
      <c r="H1302" s="11" t="n"/>
      <c r="I1302" s="16">
        <f>IF(D1302="","",IF(G1302&lt;&gt;"",G1302,IFERROR(INDEX('Sản phẩm'!$E$5:$E$304,MATCH(D1302,'Sản phẩm'!$A$5:$A$304,0)),"")))</f>
        <v/>
      </c>
      <c r="J1302" s="16">
        <f>IF(OR(D1302="",F1302=""),"",F1302*I1302-N(H1302))</f>
        <v/>
      </c>
      <c r="K1302" s="16">
        <f>IF(OR(D1302="",F1302=""),"",F1302*IFERROR(INDEX('Sản phẩm'!$D$5:$D$304,MATCH(D1302,'Sản phẩm'!$A$5:$A$304,0)),""))</f>
        <v/>
      </c>
      <c r="L1302" s="16">
        <f>IF(J1302="","",J1302-K1302)</f>
        <v/>
      </c>
      <c r="M1302" s="14">
        <f>IF(A1302="","",MONTH(A1302))</f>
        <v/>
      </c>
      <c r="N1302" s="14">
        <f>IF(A1302="","",YEAR(A1302))</f>
        <v/>
      </c>
    </row>
    <row r="1303">
      <c r="A1303" s="15" t="n"/>
      <c r="B1303" s="10" t="n"/>
      <c r="C1303" s="10" t="n"/>
      <c r="D1303" s="10" t="n"/>
      <c r="E1303" s="14">
        <f>IF(D1303="","",IFERROR(INDEX('Sản phẩm'!$B$5:$B$304,MATCH(D1303,'Sản phẩm'!$A$5:$A$304,0)),""))</f>
        <v/>
      </c>
      <c r="F1303" s="12" t="n"/>
      <c r="G1303" s="11" t="n"/>
      <c r="H1303" s="11" t="n"/>
      <c r="I1303" s="16">
        <f>IF(D1303="","",IF(G1303&lt;&gt;"",G1303,IFERROR(INDEX('Sản phẩm'!$E$5:$E$304,MATCH(D1303,'Sản phẩm'!$A$5:$A$304,0)),"")))</f>
        <v/>
      </c>
      <c r="J1303" s="16">
        <f>IF(OR(D1303="",F1303=""),"",F1303*I1303-N(H1303))</f>
        <v/>
      </c>
      <c r="K1303" s="16">
        <f>IF(OR(D1303="",F1303=""),"",F1303*IFERROR(INDEX('Sản phẩm'!$D$5:$D$304,MATCH(D1303,'Sản phẩm'!$A$5:$A$304,0)),""))</f>
        <v/>
      </c>
      <c r="L1303" s="16">
        <f>IF(J1303="","",J1303-K1303)</f>
        <v/>
      </c>
      <c r="M1303" s="14">
        <f>IF(A1303="","",MONTH(A1303))</f>
        <v/>
      </c>
      <c r="N1303" s="14">
        <f>IF(A1303="","",YEAR(A1303))</f>
        <v/>
      </c>
    </row>
    <row r="1304">
      <c r="A1304" s="15" t="n"/>
      <c r="B1304" s="10" t="n"/>
      <c r="C1304" s="10" t="n"/>
      <c r="D1304" s="10" t="n"/>
      <c r="E1304" s="14">
        <f>IF(D1304="","",IFERROR(INDEX('Sản phẩm'!$B$5:$B$304,MATCH(D1304,'Sản phẩm'!$A$5:$A$304,0)),""))</f>
        <v/>
      </c>
      <c r="F1304" s="12" t="n"/>
      <c r="G1304" s="11" t="n"/>
      <c r="H1304" s="11" t="n"/>
      <c r="I1304" s="16">
        <f>IF(D1304="","",IF(G1304&lt;&gt;"",G1304,IFERROR(INDEX('Sản phẩm'!$E$5:$E$304,MATCH(D1304,'Sản phẩm'!$A$5:$A$304,0)),"")))</f>
        <v/>
      </c>
      <c r="J1304" s="16">
        <f>IF(OR(D1304="",F1304=""),"",F1304*I1304-N(H1304))</f>
        <v/>
      </c>
      <c r="K1304" s="16">
        <f>IF(OR(D1304="",F1304=""),"",F1304*IFERROR(INDEX('Sản phẩm'!$D$5:$D$304,MATCH(D1304,'Sản phẩm'!$A$5:$A$304,0)),""))</f>
        <v/>
      </c>
      <c r="L1304" s="16">
        <f>IF(J1304="","",J1304-K1304)</f>
        <v/>
      </c>
      <c r="M1304" s="14">
        <f>IF(A1304="","",MONTH(A1304))</f>
        <v/>
      </c>
      <c r="N1304" s="14">
        <f>IF(A1304="","",YEAR(A1304))</f>
        <v/>
      </c>
    </row>
    <row r="1305">
      <c r="A1305" s="15" t="n"/>
      <c r="B1305" s="10" t="n"/>
      <c r="C1305" s="10" t="n"/>
      <c r="D1305" s="10" t="n"/>
      <c r="E1305" s="14">
        <f>IF(D1305="","",IFERROR(INDEX('Sản phẩm'!$B$5:$B$304,MATCH(D1305,'Sản phẩm'!$A$5:$A$304,0)),""))</f>
        <v/>
      </c>
      <c r="F1305" s="12" t="n"/>
      <c r="G1305" s="11" t="n"/>
      <c r="H1305" s="11" t="n"/>
      <c r="I1305" s="16">
        <f>IF(D1305="","",IF(G1305&lt;&gt;"",G1305,IFERROR(INDEX('Sản phẩm'!$E$5:$E$304,MATCH(D1305,'Sản phẩm'!$A$5:$A$304,0)),"")))</f>
        <v/>
      </c>
      <c r="J1305" s="16">
        <f>IF(OR(D1305="",F1305=""),"",F1305*I1305-N(H1305))</f>
        <v/>
      </c>
      <c r="K1305" s="16">
        <f>IF(OR(D1305="",F1305=""),"",F1305*IFERROR(INDEX('Sản phẩm'!$D$5:$D$304,MATCH(D1305,'Sản phẩm'!$A$5:$A$304,0)),""))</f>
        <v/>
      </c>
      <c r="L1305" s="16">
        <f>IF(J1305="","",J1305-K1305)</f>
        <v/>
      </c>
      <c r="M1305" s="14">
        <f>IF(A1305="","",MONTH(A1305))</f>
        <v/>
      </c>
      <c r="N1305" s="14">
        <f>IF(A1305="","",YEAR(A1305))</f>
        <v/>
      </c>
    </row>
    <row r="1306">
      <c r="A1306" s="15" t="n"/>
      <c r="B1306" s="10" t="n"/>
      <c r="C1306" s="10" t="n"/>
      <c r="D1306" s="10" t="n"/>
      <c r="E1306" s="14">
        <f>IF(D1306="","",IFERROR(INDEX('Sản phẩm'!$B$5:$B$304,MATCH(D1306,'Sản phẩm'!$A$5:$A$304,0)),""))</f>
        <v/>
      </c>
      <c r="F1306" s="12" t="n"/>
      <c r="G1306" s="11" t="n"/>
      <c r="H1306" s="11" t="n"/>
      <c r="I1306" s="16">
        <f>IF(D1306="","",IF(G1306&lt;&gt;"",G1306,IFERROR(INDEX('Sản phẩm'!$E$5:$E$304,MATCH(D1306,'Sản phẩm'!$A$5:$A$304,0)),"")))</f>
        <v/>
      </c>
      <c r="J1306" s="16">
        <f>IF(OR(D1306="",F1306=""),"",F1306*I1306-N(H1306))</f>
        <v/>
      </c>
      <c r="K1306" s="16">
        <f>IF(OR(D1306="",F1306=""),"",F1306*IFERROR(INDEX('Sản phẩm'!$D$5:$D$304,MATCH(D1306,'Sản phẩm'!$A$5:$A$304,0)),""))</f>
        <v/>
      </c>
      <c r="L1306" s="16">
        <f>IF(J1306="","",J1306-K1306)</f>
        <v/>
      </c>
      <c r="M1306" s="14">
        <f>IF(A1306="","",MONTH(A1306))</f>
        <v/>
      </c>
      <c r="N1306" s="14">
        <f>IF(A1306="","",YEAR(A1306))</f>
        <v/>
      </c>
    </row>
    <row r="1307">
      <c r="A1307" s="15" t="n"/>
      <c r="B1307" s="10" t="n"/>
      <c r="C1307" s="10" t="n"/>
      <c r="D1307" s="10" t="n"/>
      <c r="E1307" s="14">
        <f>IF(D1307="","",IFERROR(INDEX('Sản phẩm'!$B$5:$B$304,MATCH(D1307,'Sản phẩm'!$A$5:$A$304,0)),""))</f>
        <v/>
      </c>
      <c r="F1307" s="12" t="n"/>
      <c r="G1307" s="11" t="n"/>
      <c r="H1307" s="11" t="n"/>
      <c r="I1307" s="16">
        <f>IF(D1307="","",IF(G1307&lt;&gt;"",G1307,IFERROR(INDEX('Sản phẩm'!$E$5:$E$304,MATCH(D1307,'Sản phẩm'!$A$5:$A$304,0)),"")))</f>
        <v/>
      </c>
      <c r="J1307" s="16">
        <f>IF(OR(D1307="",F1307=""),"",F1307*I1307-N(H1307))</f>
        <v/>
      </c>
      <c r="K1307" s="16">
        <f>IF(OR(D1307="",F1307=""),"",F1307*IFERROR(INDEX('Sản phẩm'!$D$5:$D$304,MATCH(D1307,'Sản phẩm'!$A$5:$A$304,0)),""))</f>
        <v/>
      </c>
      <c r="L1307" s="16">
        <f>IF(J1307="","",J1307-K1307)</f>
        <v/>
      </c>
      <c r="M1307" s="14">
        <f>IF(A1307="","",MONTH(A1307))</f>
        <v/>
      </c>
      <c r="N1307" s="14">
        <f>IF(A1307="","",YEAR(A1307))</f>
        <v/>
      </c>
    </row>
    <row r="1308">
      <c r="A1308" s="15" t="n"/>
      <c r="B1308" s="10" t="n"/>
      <c r="C1308" s="10" t="n"/>
      <c r="D1308" s="10" t="n"/>
      <c r="E1308" s="14">
        <f>IF(D1308="","",IFERROR(INDEX('Sản phẩm'!$B$5:$B$304,MATCH(D1308,'Sản phẩm'!$A$5:$A$304,0)),""))</f>
        <v/>
      </c>
      <c r="F1308" s="12" t="n"/>
      <c r="G1308" s="11" t="n"/>
      <c r="H1308" s="11" t="n"/>
      <c r="I1308" s="16">
        <f>IF(D1308="","",IF(G1308&lt;&gt;"",G1308,IFERROR(INDEX('Sản phẩm'!$E$5:$E$304,MATCH(D1308,'Sản phẩm'!$A$5:$A$304,0)),"")))</f>
        <v/>
      </c>
      <c r="J1308" s="16">
        <f>IF(OR(D1308="",F1308=""),"",F1308*I1308-N(H1308))</f>
        <v/>
      </c>
      <c r="K1308" s="16">
        <f>IF(OR(D1308="",F1308=""),"",F1308*IFERROR(INDEX('Sản phẩm'!$D$5:$D$304,MATCH(D1308,'Sản phẩm'!$A$5:$A$304,0)),""))</f>
        <v/>
      </c>
      <c r="L1308" s="16">
        <f>IF(J1308="","",J1308-K1308)</f>
        <v/>
      </c>
      <c r="M1308" s="14">
        <f>IF(A1308="","",MONTH(A1308))</f>
        <v/>
      </c>
      <c r="N1308" s="14">
        <f>IF(A1308="","",YEAR(A1308))</f>
        <v/>
      </c>
    </row>
    <row r="1309">
      <c r="A1309" s="15" t="n"/>
      <c r="B1309" s="10" t="n"/>
      <c r="C1309" s="10" t="n"/>
      <c r="D1309" s="10" t="n"/>
      <c r="E1309" s="14">
        <f>IF(D1309="","",IFERROR(INDEX('Sản phẩm'!$B$5:$B$304,MATCH(D1309,'Sản phẩm'!$A$5:$A$304,0)),""))</f>
        <v/>
      </c>
      <c r="F1309" s="12" t="n"/>
      <c r="G1309" s="11" t="n"/>
      <c r="H1309" s="11" t="n"/>
      <c r="I1309" s="16">
        <f>IF(D1309="","",IF(G1309&lt;&gt;"",G1309,IFERROR(INDEX('Sản phẩm'!$E$5:$E$304,MATCH(D1309,'Sản phẩm'!$A$5:$A$304,0)),"")))</f>
        <v/>
      </c>
      <c r="J1309" s="16">
        <f>IF(OR(D1309="",F1309=""),"",F1309*I1309-N(H1309))</f>
        <v/>
      </c>
      <c r="K1309" s="16">
        <f>IF(OR(D1309="",F1309=""),"",F1309*IFERROR(INDEX('Sản phẩm'!$D$5:$D$304,MATCH(D1309,'Sản phẩm'!$A$5:$A$304,0)),""))</f>
        <v/>
      </c>
      <c r="L1309" s="16">
        <f>IF(J1309="","",J1309-K1309)</f>
        <v/>
      </c>
      <c r="M1309" s="14">
        <f>IF(A1309="","",MONTH(A1309))</f>
        <v/>
      </c>
      <c r="N1309" s="14">
        <f>IF(A1309="","",YEAR(A1309))</f>
        <v/>
      </c>
    </row>
    <row r="1310">
      <c r="A1310" s="15" t="n"/>
      <c r="B1310" s="10" t="n"/>
      <c r="C1310" s="10" t="n"/>
      <c r="D1310" s="10" t="n"/>
      <c r="E1310" s="14">
        <f>IF(D1310="","",IFERROR(INDEX('Sản phẩm'!$B$5:$B$304,MATCH(D1310,'Sản phẩm'!$A$5:$A$304,0)),""))</f>
        <v/>
      </c>
      <c r="F1310" s="12" t="n"/>
      <c r="G1310" s="11" t="n"/>
      <c r="H1310" s="11" t="n"/>
      <c r="I1310" s="16">
        <f>IF(D1310="","",IF(G1310&lt;&gt;"",G1310,IFERROR(INDEX('Sản phẩm'!$E$5:$E$304,MATCH(D1310,'Sản phẩm'!$A$5:$A$304,0)),"")))</f>
        <v/>
      </c>
      <c r="J1310" s="16">
        <f>IF(OR(D1310="",F1310=""),"",F1310*I1310-N(H1310))</f>
        <v/>
      </c>
      <c r="K1310" s="16">
        <f>IF(OR(D1310="",F1310=""),"",F1310*IFERROR(INDEX('Sản phẩm'!$D$5:$D$304,MATCH(D1310,'Sản phẩm'!$A$5:$A$304,0)),""))</f>
        <v/>
      </c>
      <c r="L1310" s="16">
        <f>IF(J1310="","",J1310-K1310)</f>
        <v/>
      </c>
      <c r="M1310" s="14">
        <f>IF(A1310="","",MONTH(A1310))</f>
        <v/>
      </c>
      <c r="N1310" s="14">
        <f>IF(A1310="","",YEAR(A1310))</f>
        <v/>
      </c>
    </row>
    <row r="1311">
      <c r="A1311" s="15" t="n"/>
      <c r="B1311" s="10" t="n"/>
      <c r="C1311" s="10" t="n"/>
      <c r="D1311" s="10" t="n"/>
      <c r="E1311" s="14">
        <f>IF(D1311="","",IFERROR(INDEX('Sản phẩm'!$B$5:$B$304,MATCH(D1311,'Sản phẩm'!$A$5:$A$304,0)),""))</f>
        <v/>
      </c>
      <c r="F1311" s="12" t="n"/>
      <c r="G1311" s="11" t="n"/>
      <c r="H1311" s="11" t="n"/>
      <c r="I1311" s="16">
        <f>IF(D1311="","",IF(G1311&lt;&gt;"",G1311,IFERROR(INDEX('Sản phẩm'!$E$5:$E$304,MATCH(D1311,'Sản phẩm'!$A$5:$A$304,0)),"")))</f>
        <v/>
      </c>
      <c r="J1311" s="16">
        <f>IF(OR(D1311="",F1311=""),"",F1311*I1311-N(H1311))</f>
        <v/>
      </c>
      <c r="K1311" s="16">
        <f>IF(OR(D1311="",F1311=""),"",F1311*IFERROR(INDEX('Sản phẩm'!$D$5:$D$304,MATCH(D1311,'Sản phẩm'!$A$5:$A$304,0)),""))</f>
        <v/>
      </c>
      <c r="L1311" s="16">
        <f>IF(J1311="","",J1311-K1311)</f>
        <v/>
      </c>
      <c r="M1311" s="14">
        <f>IF(A1311="","",MONTH(A1311))</f>
        <v/>
      </c>
      <c r="N1311" s="14">
        <f>IF(A1311="","",YEAR(A1311))</f>
        <v/>
      </c>
    </row>
    <row r="1312">
      <c r="A1312" s="15" t="n"/>
      <c r="B1312" s="10" t="n"/>
      <c r="C1312" s="10" t="n"/>
      <c r="D1312" s="10" t="n"/>
      <c r="E1312" s="14">
        <f>IF(D1312="","",IFERROR(INDEX('Sản phẩm'!$B$5:$B$304,MATCH(D1312,'Sản phẩm'!$A$5:$A$304,0)),""))</f>
        <v/>
      </c>
      <c r="F1312" s="12" t="n"/>
      <c r="G1312" s="11" t="n"/>
      <c r="H1312" s="11" t="n"/>
      <c r="I1312" s="16">
        <f>IF(D1312="","",IF(G1312&lt;&gt;"",G1312,IFERROR(INDEX('Sản phẩm'!$E$5:$E$304,MATCH(D1312,'Sản phẩm'!$A$5:$A$304,0)),"")))</f>
        <v/>
      </c>
      <c r="J1312" s="16">
        <f>IF(OR(D1312="",F1312=""),"",F1312*I1312-N(H1312))</f>
        <v/>
      </c>
      <c r="K1312" s="16">
        <f>IF(OR(D1312="",F1312=""),"",F1312*IFERROR(INDEX('Sản phẩm'!$D$5:$D$304,MATCH(D1312,'Sản phẩm'!$A$5:$A$304,0)),""))</f>
        <v/>
      </c>
      <c r="L1312" s="16">
        <f>IF(J1312="","",J1312-K1312)</f>
        <v/>
      </c>
      <c r="M1312" s="14">
        <f>IF(A1312="","",MONTH(A1312))</f>
        <v/>
      </c>
      <c r="N1312" s="14">
        <f>IF(A1312="","",YEAR(A1312))</f>
        <v/>
      </c>
    </row>
    <row r="1313">
      <c r="A1313" s="15" t="n"/>
      <c r="B1313" s="10" t="n"/>
      <c r="C1313" s="10" t="n"/>
      <c r="D1313" s="10" t="n"/>
      <c r="E1313" s="14">
        <f>IF(D1313="","",IFERROR(INDEX('Sản phẩm'!$B$5:$B$304,MATCH(D1313,'Sản phẩm'!$A$5:$A$304,0)),""))</f>
        <v/>
      </c>
      <c r="F1313" s="12" t="n"/>
      <c r="G1313" s="11" t="n"/>
      <c r="H1313" s="11" t="n"/>
      <c r="I1313" s="16">
        <f>IF(D1313="","",IF(G1313&lt;&gt;"",G1313,IFERROR(INDEX('Sản phẩm'!$E$5:$E$304,MATCH(D1313,'Sản phẩm'!$A$5:$A$304,0)),"")))</f>
        <v/>
      </c>
      <c r="J1313" s="16">
        <f>IF(OR(D1313="",F1313=""),"",F1313*I1313-N(H1313))</f>
        <v/>
      </c>
      <c r="K1313" s="16">
        <f>IF(OR(D1313="",F1313=""),"",F1313*IFERROR(INDEX('Sản phẩm'!$D$5:$D$304,MATCH(D1313,'Sản phẩm'!$A$5:$A$304,0)),""))</f>
        <v/>
      </c>
      <c r="L1313" s="16">
        <f>IF(J1313="","",J1313-K1313)</f>
        <v/>
      </c>
      <c r="M1313" s="14">
        <f>IF(A1313="","",MONTH(A1313))</f>
        <v/>
      </c>
      <c r="N1313" s="14">
        <f>IF(A1313="","",YEAR(A1313))</f>
        <v/>
      </c>
    </row>
    <row r="1314">
      <c r="A1314" s="15" t="n"/>
      <c r="B1314" s="10" t="n"/>
      <c r="C1314" s="10" t="n"/>
      <c r="D1314" s="10" t="n"/>
      <c r="E1314" s="14">
        <f>IF(D1314="","",IFERROR(INDEX('Sản phẩm'!$B$5:$B$304,MATCH(D1314,'Sản phẩm'!$A$5:$A$304,0)),""))</f>
        <v/>
      </c>
      <c r="F1314" s="12" t="n"/>
      <c r="G1314" s="11" t="n"/>
      <c r="H1314" s="11" t="n"/>
      <c r="I1314" s="16">
        <f>IF(D1314="","",IF(G1314&lt;&gt;"",G1314,IFERROR(INDEX('Sản phẩm'!$E$5:$E$304,MATCH(D1314,'Sản phẩm'!$A$5:$A$304,0)),"")))</f>
        <v/>
      </c>
      <c r="J1314" s="16">
        <f>IF(OR(D1314="",F1314=""),"",F1314*I1314-N(H1314))</f>
        <v/>
      </c>
      <c r="K1314" s="16">
        <f>IF(OR(D1314="",F1314=""),"",F1314*IFERROR(INDEX('Sản phẩm'!$D$5:$D$304,MATCH(D1314,'Sản phẩm'!$A$5:$A$304,0)),""))</f>
        <v/>
      </c>
      <c r="L1314" s="16">
        <f>IF(J1314="","",J1314-K1314)</f>
        <v/>
      </c>
      <c r="M1314" s="14">
        <f>IF(A1314="","",MONTH(A1314))</f>
        <v/>
      </c>
      <c r="N1314" s="14">
        <f>IF(A1314="","",YEAR(A1314))</f>
        <v/>
      </c>
    </row>
    <row r="1315">
      <c r="A1315" s="15" t="n"/>
      <c r="B1315" s="10" t="n"/>
      <c r="C1315" s="10" t="n"/>
      <c r="D1315" s="10" t="n"/>
      <c r="E1315" s="14">
        <f>IF(D1315="","",IFERROR(INDEX('Sản phẩm'!$B$5:$B$304,MATCH(D1315,'Sản phẩm'!$A$5:$A$304,0)),""))</f>
        <v/>
      </c>
      <c r="F1315" s="12" t="n"/>
      <c r="G1315" s="11" t="n"/>
      <c r="H1315" s="11" t="n"/>
      <c r="I1315" s="16">
        <f>IF(D1315="","",IF(G1315&lt;&gt;"",G1315,IFERROR(INDEX('Sản phẩm'!$E$5:$E$304,MATCH(D1315,'Sản phẩm'!$A$5:$A$304,0)),"")))</f>
        <v/>
      </c>
      <c r="J1315" s="16">
        <f>IF(OR(D1315="",F1315=""),"",F1315*I1315-N(H1315))</f>
        <v/>
      </c>
      <c r="K1315" s="16">
        <f>IF(OR(D1315="",F1315=""),"",F1315*IFERROR(INDEX('Sản phẩm'!$D$5:$D$304,MATCH(D1315,'Sản phẩm'!$A$5:$A$304,0)),""))</f>
        <v/>
      </c>
      <c r="L1315" s="16">
        <f>IF(J1315="","",J1315-K1315)</f>
        <v/>
      </c>
      <c r="M1315" s="14">
        <f>IF(A1315="","",MONTH(A1315))</f>
        <v/>
      </c>
      <c r="N1315" s="14">
        <f>IF(A1315="","",YEAR(A1315))</f>
        <v/>
      </c>
    </row>
    <row r="1316">
      <c r="A1316" s="15" t="n"/>
      <c r="B1316" s="10" t="n"/>
      <c r="C1316" s="10" t="n"/>
      <c r="D1316" s="10" t="n"/>
      <c r="E1316" s="14">
        <f>IF(D1316="","",IFERROR(INDEX('Sản phẩm'!$B$5:$B$304,MATCH(D1316,'Sản phẩm'!$A$5:$A$304,0)),""))</f>
        <v/>
      </c>
      <c r="F1316" s="12" t="n"/>
      <c r="G1316" s="11" t="n"/>
      <c r="H1316" s="11" t="n"/>
      <c r="I1316" s="16">
        <f>IF(D1316="","",IF(G1316&lt;&gt;"",G1316,IFERROR(INDEX('Sản phẩm'!$E$5:$E$304,MATCH(D1316,'Sản phẩm'!$A$5:$A$304,0)),"")))</f>
        <v/>
      </c>
      <c r="J1316" s="16">
        <f>IF(OR(D1316="",F1316=""),"",F1316*I1316-N(H1316))</f>
        <v/>
      </c>
      <c r="K1316" s="16">
        <f>IF(OR(D1316="",F1316=""),"",F1316*IFERROR(INDEX('Sản phẩm'!$D$5:$D$304,MATCH(D1316,'Sản phẩm'!$A$5:$A$304,0)),""))</f>
        <v/>
      </c>
      <c r="L1316" s="16">
        <f>IF(J1316="","",J1316-K1316)</f>
        <v/>
      </c>
      <c r="M1316" s="14">
        <f>IF(A1316="","",MONTH(A1316))</f>
        <v/>
      </c>
      <c r="N1316" s="14">
        <f>IF(A1316="","",YEAR(A1316))</f>
        <v/>
      </c>
    </row>
    <row r="1317">
      <c r="A1317" s="15" t="n"/>
      <c r="B1317" s="10" t="n"/>
      <c r="C1317" s="10" t="n"/>
      <c r="D1317" s="10" t="n"/>
      <c r="E1317" s="14">
        <f>IF(D1317="","",IFERROR(INDEX('Sản phẩm'!$B$5:$B$304,MATCH(D1317,'Sản phẩm'!$A$5:$A$304,0)),""))</f>
        <v/>
      </c>
      <c r="F1317" s="12" t="n"/>
      <c r="G1317" s="11" t="n"/>
      <c r="H1317" s="11" t="n"/>
      <c r="I1317" s="16">
        <f>IF(D1317="","",IF(G1317&lt;&gt;"",G1317,IFERROR(INDEX('Sản phẩm'!$E$5:$E$304,MATCH(D1317,'Sản phẩm'!$A$5:$A$304,0)),"")))</f>
        <v/>
      </c>
      <c r="J1317" s="16">
        <f>IF(OR(D1317="",F1317=""),"",F1317*I1317-N(H1317))</f>
        <v/>
      </c>
      <c r="K1317" s="16">
        <f>IF(OR(D1317="",F1317=""),"",F1317*IFERROR(INDEX('Sản phẩm'!$D$5:$D$304,MATCH(D1317,'Sản phẩm'!$A$5:$A$304,0)),""))</f>
        <v/>
      </c>
      <c r="L1317" s="16">
        <f>IF(J1317="","",J1317-K1317)</f>
        <v/>
      </c>
      <c r="M1317" s="14">
        <f>IF(A1317="","",MONTH(A1317))</f>
        <v/>
      </c>
      <c r="N1317" s="14">
        <f>IF(A1317="","",YEAR(A1317))</f>
        <v/>
      </c>
    </row>
    <row r="1318">
      <c r="A1318" s="15" t="n"/>
      <c r="B1318" s="10" t="n"/>
      <c r="C1318" s="10" t="n"/>
      <c r="D1318" s="10" t="n"/>
      <c r="E1318" s="14">
        <f>IF(D1318="","",IFERROR(INDEX('Sản phẩm'!$B$5:$B$304,MATCH(D1318,'Sản phẩm'!$A$5:$A$304,0)),""))</f>
        <v/>
      </c>
      <c r="F1318" s="12" t="n"/>
      <c r="G1318" s="11" t="n"/>
      <c r="H1318" s="11" t="n"/>
      <c r="I1318" s="16">
        <f>IF(D1318="","",IF(G1318&lt;&gt;"",G1318,IFERROR(INDEX('Sản phẩm'!$E$5:$E$304,MATCH(D1318,'Sản phẩm'!$A$5:$A$304,0)),"")))</f>
        <v/>
      </c>
      <c r="J1318" s="16">
        <f>IF(OR(D1318="",F1318=""),"",F1318*I1318-N(H1318))</f>
        <v/>
      </c>
      <c r="K1318" s="16">
        <f>IF(OR(D1318="",F1318=""),"",F1318*IFERROR(INDEX('Sản phẩm'!$D$5:$D$304,MATCH(D1318,'Sản phẩm'!$A$5:$A$304,0)),""))</f>
        <v/>
      </c>
      <c r="L1318" s="16">
        <f>IF(J1318="","",J1318-K1318)</f>
        <v/>
      </c>
      <c r="M1318" s="14">
        <f>IF(A1318="","",MONTH(A1318))</f>
        <v/>
      </c>
      <c r="N1318" s="14">
        <f>IF(A1318="","",YEAR(A1318))</f>
        <v/>
      </c>
    </row>
    <row r="1319">
      <c r="A1319" s="15" t="n"/>
      <c r="B1319" s="10" t="n"/>
      <c r="C1319" s="10" t="n"/>
      <c r="D1319" s="10" t="n"/>
      <c r="E1319" s="14">
        <f>IF(D1319="","",IFERROR(INDEX('Sản phẩm'!$B$5:$B$304,MATCH(D1319,'Sản phẩm'!$A$5:$A$304,0)),""))</f>
        <v/>
      </c>
      <c r="F1319" s="12" t="n"/>
      <c r="G1319" s="11" t="n"/>
      <c r="H1319" s="11" t="n"/>
      <c r="I1319" s="16">
        <f>IF(D1319="","",IF(G1319&lt;&gt;"",G1319,IFERROR(INDEX('Sản phẩm'!$E$5:$E$304,MATCH(D1319,'Sản phẩm'!$A$5:$A$304,0)),"")))</f>
        <v/>
      </c>
      <c r="J1319" s="16">
        <f>IF(OR(D1319="",F1319=""),"",F1319*I1319-N(H1319))</f>
        <v/>
      </c>
      <c r="K1319" s="16">
        <f>IF(OR(D1319="",F1319=""),"",F1319*IFERROR(INDEX('Sản phẩm'!$D$5:$D$304,MATCH(D1319,'Sản phẩm'!$A$5:$A$304,0)),""))</f>
        <v/>
      </c>
      <c r="L1319" s="16">
        <f>IF(J1319="","",J1319-K1319)</f>
        <v/>
      </c>
      <c r="M1319" s="14">
        <f>IF(A1319="","",MONTH(A1319))</f>
        <v/>
      </c>
      <c r="N1319" s="14">
        <f>IF(A1319="","",YEAR(A1319))</f>
        <v/>
      </c>
    </row>
    <row r="1320">
      <c r="A1320" s="15" t="n"/>
      <c r="B1320" s="10" t="n"/>
      <c r="C1320" s="10" t="n"/>
      <c r="D1320" s="10" t="n"/>
      <c r="E1320" s="14">
        <f>IF(D1320="","",IFERROR(INDEX('Sản phẩm'!$B$5:$B$304,MATCH(D1320,'Sản phẩm'!$A$5:$A$304,0)),""))</f>
        <v/>
      </c>
      <c r="F1320" s="12" t="n"/>
      <c r="G1320" s="11" t="n"/>
      <c r="H1320" s="11" t="n"/>
      <c r="I1320" s="16">
        <f>IF(D1320="","",IF(G1320&lt;&gt;"",G1320,IFERROR(INDEX('Sản phẩm'!$E$5:$E$304,MATCH(D1320,'Sản phẩm'!$A$5:$A$304,0)),"")))</f>
        <v/>
      </c>
      <c r="J1320" s="16">
        <f>IF(OR(D1320="",F1320=""),"",F1320*I1320-N(H1320))</f>
        <v/>
      </c>
      <c r="K1320" s="16">
        <f>IF(OR(D1320="",F1320=""),"",F1320*IFERROR(INDEX('Sản phẩm'!$D$5:$D$304,MATCH(D1320,'Sản phẩm'!$A$5:$A$304,0)),""))</f>
        <v/>
      </c>
      <c r="L1320" s="16">
        <f>IF(J1320="","",J1320-K1320)</f>
        <v/>
      </c>
      <c r="M1320" s="14">
        <f>IF(A1320="","",MONTH(A1320))</f>
        <v/>
      </c>
      <c r="N1320" s="14">
        <f>IF(A1320="","",YEAR(A1320))</f>
        <v/>
      </c>
    </row>
    <row r="1321">
      <c r="A1321" s="15" t="n"/>
      <c r="B1321" s="10" t="n"/>
      <c r="C1321" s="10" t="n"/>
      <c r="D1321" s="10" t="n"/>
      <c r="E1321" s="14">
        <f>IF(D1321="","",IFERROR(INDEX('Sản phẩm'!$B$5:$B$304,MATCH(D1321,'Sản phẩm'!$A$5:$A$304,0)),""))</f>
        <v/>
      </c>
      <c r="F1321" s="12" t="n"/>
      <c r="G1321" s="11" t="n"/>
      <c r="H1321" s="11" t="n"/>
      <c r="I1321" s="16">
        <f>IF(D1321="","",IF(G1321&lt;&gt;"",G1321,IFERROR(INDEX('Sản phẩm'!$E$5:$E$304,MATCH(D1321,'Sản phẩm'!$A$5:$A$304,0)),"")))</f>
        <v/>
      </c>
      <c r="J1321" s="16">
        <f>IF(OR(D1321="",F1321=""),"",F1321*I1321-N(H1321))</f>
        <v/>
      </c>
      <c r="K1321" s="16">
        <f>IF(OR(D1321="",F1321=""),"",F1321*IFERROR(INDEX('Sản phẩm'!$D$5:$D$304,MATCH(D1321,'Sản phẩm'!$A$5:$A$304,0)),""))</f>
        <v/>
      </c>
      <c r="L1321" s="16">
        <f>IF(J1321="","",J1321-K1321)</f>
        <v/>
      </c>
      <c r="M1321" s="14">
        <f>IF(A1321="","",MONTH(A1321))</f>
        <v/>
      </c>
      <c r="N1321" s="14">
        <f>IF(A1321="","",YEAR(A1321))</f>
        <v/>
      </c>
    </row>
    <row r="1322">
      <c r="A1322" s="15" t="n"/>
      <c r="B1322" s="10" t="n"/>
      <c r="C1322" s="10" t="n"/>
      <c r="D1322" s="10" t="n"/>
      <c r="E1322" s="14">
        <f>IF(D1322="","",IFERROR(INDEX('Sản phẩm'!$B$5:$B$304,MATCH(D1322,'Sản phẩm'!$A$5:$A$304,0)),""))</f>
        <v/>
      </c>
      <c r="F1322" s="12" t="n"/>
      <c r="G1322" s="11" t="n"/>
      <c r="H1322" s="11" t="n"/>
      <c r="I1322" s="16">
        <f>IF(D1322="","",IF(G1322&lt;&gt;"",G1322,IFERROR(INDEX('Sản phẩm'!$E$5:$E$304,MATCH(D1322,'Sản phẩm'!$A$5:$A$304,0)),"")))</f>
        <v/>
      </c>
      <c r="J1322" s="16">
        <f>IF(OR(D1322="",F1322=""),"",F1322*I1322-N(H1322))</f>
        <v/>
      </c>
      <c r="K1322" s="16">
        <f>IF(OR(D1322="",F1322=""),"",F1322*IFERROR(INDEX('Sản phẩm'!$D$5:$D$304,MATCH(D1322,'Sản phẩm'!$A$5:$A$304,0)),""))</f>
        <v/>
      </c>
      <c r="L1322" s="16">
        <f>IF(J1322="","",J1322-K1322)</f>
        <v/>
      </c>
      <c r="M1322" s="14">
        <f>IF(A1322="","",MONTH(A1322))</f>
        <v/>
      </c>
      <c r="N1322" s="14">
        <f>IF(A1322="","",YEAR(A1322))</f>
        <v/>
      </c>
    </row>
    <row r="1323">
      <c r="A1323" s="15" t="n"/>
      <c r="B1323" s="10" t="n"/>
      <c r="C1323" s="10" t="n"/>
      <c r="D1323" s="10" t="n"/>
      <c r="E1323" s="14">
        <f>IF(D1323="","",IFERROR(INDEX('Sản phẩm'!$B$5:$B$304,MATCH(D1323,'Sản phẩm'!$A$5:$A$304,0)),""))</f>
        <v/>
      </c>
      <c r="F1323" s="12" t="n"/>
      <c r="G1323" s="11" t="n"/>
      <c r="H1323" s="11" t="n"/>
      <c r="I1323" s="16">
        <f>IF(D1323="","",IF(G1323&lt;&gt;"",G1323,IFERROR(INDEX('Sản phẩm'!$E$5:$E$304,MATCH(D1323,'Sản phẩm'!$A$5:$A$304,0)),"")))</f>
        <v/>
      </c>
      <c r="J1323" s="16">
        <f>IF(OR(D1323="",F1323=""),"",F1323*I1323-N(H1323))</f>
        <v/>
      </c>
      <c r="K1323" s="16">
        <f>IF(OR(D1323="",F1323=""),"",F1323*IFERROR(INDEX('Sản phẩm'!$D$5:$D$304,MATCH(D1323,'Sản phẩm'!$A$5:$A$304,0)),""))</f>
        <v/>
      </c>
      <c r="L1323" s="16">
        <f>IF(J1323="","",J1323-K1323)</f>
        <v/>
      </c>
      <c r="M1323" s="14">
        <f>IF(A1323="","",MONTH(A1323))</f>
        <v/>
      </c>
      <c r="N1323" s="14">
        <f>IF(A1323="","",YEAR(A1323))</f>
        <v/>
      </c>
    </row>
    <row r="1324">
      <c r="A1324" s="15" t="n"/>
      <c r="B1324" s="10" t="n"/>
      <c r="C1324" s="10" t="n"/>
      <c r="D1324" s="10" t="n"/>
      <c r="E1324" s="14">
        <f>IF(D1324="","",IFERROR(INDEX('Sản phẩm'!$B$5:$B$304,MATCH(D1324,'Sản phẩm'!$A$5:$A$304,0)),""))</f>
        <v/>
      </c>
      <c r="F1324" s="12" t="n"/>
      <c r="G1324" s="11" t="n"/>
      <c r="H1324" s="11" t="n"/>
      <c r="I1324" s="16">
        <f>IF(D1324="","",IF(G1324&lt;&gt;"",G1324,IFERROR(INDEX('Sản phẩm'!$E$5:$E$304,MATCH(D1324,'Sản phẩm'!$A$5:$A$304,0)),"")))</f>
        <v/>
      </c>
      <c r="J1324" s="16">
        <f>IF(OR(D1324="",F1324=""),"",F1324*I1324-N(H1324))</f>
        <v/>
      </c>
      <c r="K1324" s="16">
        <f>IF(OR(D1324="",F1324=""),"",F1324*IFERROR(INDEX('Sản phẩm'!$D$5:$D$304,MATCH(D1324,'Sản phẩm'!$A$5:$A$304,0)),""))</f>
        <v/>
      </c>
      <c r="L1324" s="16">
        <f>IF(J1324="","",J1324-K1324)</f>
        <v/>
      </c>
      <c r="M1324" s="14">
        <f>IF(A1324="","",MONTH(A1324))</f>
        <v/>
      </c>
      <c r="N1324" s="14">
        <f>IF(A1324="","",YEAR(A1324))</f>
        <v/>
      </c>
    </row>
    <row r="1325">
      <c r="A1325" s="15" t="n"/>
      <c r="B1325" s="10" t="n"/>
      <c r="C1325" s="10" t="n"/>
      <c r="D1325" s="10" t="n"/>
      <c r="E1325" s="14">
        <f>IF(D1325="","",IFERROR(INDEX('Sản phẩm'!$B$5:$B$304,MATCH(D1325,'Sản phẩm'!$A$5:$A$304,0)),""))</f>
        <v/>
      </c>
      <c r="F1325" s="12" t="n"/>
      <c r="G1325" s="11" t="n"/>
      <c r="H1325" s="11" t="n"/>
      <c r="I1325" s="16">
        <f>IF(D1325="","",IF(G1325&lt;&gt;"",G1325,IFERROR(INDEX('Sản phẩm'!$E$5:$E$304,MATCH(D1325,'Sản phẩm'!$A$5:$A$304,0)),"")))</f>
        <v/>
      </c>
      <c r="J1325" s="16">
        <f>IF(OR(D1325="",F1325=""),"",F1325*I1325-N(H1325))</f>
        <v/>
      </c>
      <c r="K1325" s="16">
        <f>IF(OR(D1325="",F1325=""),"",F1325*IFERROR(INDEX('Sản phẩm'!$D$5:$D$304,MATCH(D1325,'Sản phẩm'!$A$5:$A$304,0)),""))</f>
        <v/>
      </c>
      <c r="L1325" s="16">
        <f>IF(J1325="","",J1325-K1325)</f>
        <v/>
      </c>
      <c r="M1325" s="14">
        <f>IF(A1325="","",MONTH(A1325))</f>
        <v/>
      </c>
      <c r="N1325" s="14">
        <f>IF(A1325="","",YEAR(A1325))</f>
        <v/>
      </c>
    </row>
    <row r="1326">
      <c r="A1326" s="15" t="n"/>
      <c r="B1326" s="10" t="n"/>
      <c r="C1326" s="10" t="n"/>
      <c r="D1326" s="10" t="n"/>
      <c r="E1326" s="14">
        <f>IF(D1326="","",IFERROR(INDEX('Sản phẩm'!$B$5:$B$304,MATCH(D1326,'Sản phẩm'!$A$5:$A$304,0)),""))</f>
        <v/>
      </c>
      <c r="F1326" s="12" t="n"/>
      <c r="G1326" s="11" t="n"/>
      <c r="H1326" s="11" t="n"/>
      <c r="I1326" s="16">
        <f>IF(D1326="","",IF(G1326&lt;&gt;"",G1326,IFERROR(INDEX('Sản phẩm'!$E$5:$E$304,MATCH(D1326,'Sản phẩm'!$A$5:$A$304,0)),"")))</f>
        <v/>
      </c>
      <c r="J1326" s="16">
        <f>IF(OR(D1326="",F1326=""),"",F1326*I1326-N(H1326))</f>
        <v/>
      </c>
      <c r="K1326" s="16">
        <f>IF(OR(D1326="",F1326=""),"",F1326*IFERROR(INDEX('Sản phẩm'!$D$5:$D$304,MATCH(D1326,'Sản phẩm'!$A$5:$A$304,0)),""))</f>
        <v/>
      </c>
      <c r="L1326" s="16">
        <f>IF(J1326="","",J1326-K1326)</f>
        <v/>
      </c>
      <c r="M1326" s="14">
        <f>IF(A1326="","",MONTH(A1326))</f>
        <v/>
      </c>
      <c r="N1326" s="14">
        <f>IF(A1326="","",YEAR(A1326))</f>
        <v/>
      </c>
    </row>
    <row r="1327">
      <c r="A1327" s="15" t="n"/>
      <c r="B1327" s="10" t="n"/>
      <c r="C1327" s="10" t="n"/>
      <c r="D1327" s="10" t="n"/>
      <c r="E1327" s="14">
        <f>IF(D1327="","",IFERROR(INDEX('Sản phẩm'!$B$5:$B$304,MATCH(D1327,'Sản phẩm'!$A$5:$A$304,0)),""))</f>
        <v/>
      </c>
      <c r="F1327" s="12" t="n"/>
      <c r="G1327" s="11" t="n"/>
      <c r="H1327" s="11" t="n"/>
      <c r="I1327" s="16">
        <f>IF(D1327="","",IF(G1327&lt;&gt;"",G1327,IFERROR(INDEX('Sản phẩm'!$E$5:$E$304,MATCH(D1327,'Sản phẩm'!$A$5:$A$304,0)),"")))</f>
        <v/>
      </c>
      <c r="J1327" s="16">
        <f>IF(OR(D1327="",F1327=""),"",F1327*I1327-N(H1327))</f>
        <v/>
      </c>
      <c r="K1327" s="16">
        <f>IF(OR(D1327="",F1327=""),"",F1327*IFERROR(INDEX('Sản phẩm'!$D$5:$D$304,MATCH(D1327,'Sản phẩm'!$A$5:$A$304,0)),""))</f>
        <v/>
      </c>
      <c r="L1327" s="16">
        <f>IF(J1327="","",J1327-K1327)</f>
        <v/>
      </c>
      <c r="M1327" s="14">
        <f>IF(A1327="","",MONTH(A1327))</f>
        <v/>
      </c>
      <c r="N1327" s="14">
        <f>IF(A1327="","",YEAR(A1327))</f>
        <v/>
      </c>
    </row>
    <row r="1328">
      <c r="A1328" s="15" t="n"/>
      <c r="B1328" s="10" t="n"/>
      <c r="C1328" s="10" t="n"/>
      <c r="D1328" s="10" t="n"/>
      <c r="E1328" s="14">
        <f>IF(D1328="","",IFERROR(INDEX('Sản phẩm'!$B$5:$B$304,MATCH(D1328,'Sản phẩm'!$A$5:$A$304,0)),""))</f>
        <v/>
      </c>
      <c r="F1328" s="12" t="n"/>
      <c r="G1328" s="11" t="n"/>
      <c r="H1328" s="11" t="n"/>
      <c r="I1328" s="16">
        <f>IF(D1328="","",IF(G1328&lt;&gt;"",G1328,IFERROR(INDEX('Sản phẩm'!$E$5:$E$304,MATCH(D1328,'Sản phẩm'!$A$5:$A$304,0)),"")))</f>
        <v/>
      </c>
      <c r="J1328" s="16">
        <f>IF(OR(D1328="",F1328=""),"",F1328*I1328-N(H1328))</f>
        <v/>
      </c>
      <c r="K1328" s="16">
        <f>IF(OR(D1328="",F1328=""),"",F1328*IFERROR(INDEX('Sản phẩm'!$D$5:$D$304,MATCH(D1328,'Sản phẩm'!$A$5:$A$304,0)),""))</f>
        <v/>
      </c>
      <c r="L1328" s="16">
        <f>IF(J1328="","",J1328-K1328)</f>
        <v/>
      </c>
      <c r="M1328" s="14">
        <f>IF(A1328="","",MONTH(A1328))</f>
        <v/>
      </c>
      <c r="N1328" s="14">
        <f>IF(A1328="","",YEAR(A1328))</f>
        <v/>
      </c>
    </row>
    <row r="1329">
      <c r="A1329" s="15" t="n"/>
      <c r="B1329" s="10" t="n"/>
      <c r="C1329" s="10" t="n"/>
      <c r="D1329" s="10" t="n"/>
      <c r="E1329" s="14">
        <f>IF(D1329="","",IFERROR(INDEX('Sản phẩm'!$B$5:$B$304,MATCH(D1329,'Sản phẩm'!$A$5:$A$304,0)),""))</f>
        <v/>
      </c>
      <c r="F1329" s="12" t="n"/>
      <c r="G1329" s="11" t="n"/>
      <c r="H1329" s="11" t="n"/>
      <c r="I1329" s="16">
        <f>IF(D1329="","",IF(G1329&lt;&gt;"",G1329,IFERROR(INDEX('Sản phẩm'!$E$5:$E$304,MATCH(D1329,'Sản phẩm'!$A$5:$A$304,0)),"")))</f>
        <v/>
      </c>
      <c r="J1329" s="16">
        <f>IF(OR(D1329="",F1329=""),"",F1329*I1329-N(H1329))</f>
        <v/>
      </c>
      <c r="K1329" s="16">
        <f>IF(OR(D1329="",F1329=""),"",F1329*IFERROR(INDEX('Sản phẩm'!$D$5:$D$304,MATCH(D1329,'Sản phẩm'!$A$5:$A$304,0)),""))</f>
        <v/>
      </c>
      <c r="L1329" s="16">
        <f>IF(J1329="","",J1329-K1329)</f>
        <v/>
      </c>
      <c r="M1329" s="14">
        <f>IF(A1329="","",MONTH(A1329))</f>
        <v/>
      </c>
      <c r="N1329" s="14">
        <f>IF(A1329="","",YEAR(A1329))</f>
        <v/>
      </c>
    </row>
    <row r="1330">
      <c r="A1330" s="15" t="n"/>
      <c r="B1330" s="10" t="n"/>
      <c r="C1330" s="10" t="n"/>
      <c r="D1330" s="10" t="n"/>
      <c r="E1330" s="14">
        <f>IF(D1330="","",IFERROR(INDEX('Sản phẩm'!$B$5:$B$304,MATCH(D1330,'Sản phẩm'!$A$5:$A$304,0)),""))</f>
        <v/>
      </c>
      <c r="F1330" s="12" t="n"/>
      <c r="G1330" s="11" t="n"/>
      <c r="H1330" s="11" t="n"/>
      <c r="I1330" s="16">
        <f>IF(D1330="","",IF(G1330&lt;&gt;"",G1330,IFERROR(INDEX('Sản phẩm'!$E$5:$E$304,MATCH(D1330,'Sản phẩm'!$A$5:$A$304,0)),"")))</f>
        <v/>
      </c>
      <c r="J1330" s="16">
        <f>IF(OR(D1330="",F1330=""),"",F1330*I1330-N(H1330))</f>
        <v/>
      </c>
      <c r="K1330" s="16">
        <f>IF(OR(D1330="",F1330=""),"",F1330*IFERROR(INDEX('Sản phẩm'!$D$5:$D$304,MATCH(D1330,'Sản phẩm'!$A$5:$A$304,0)),""))</f>
        <v/>
      </c>
      <c r="L1330" s="16">
        <f>IF(J1330="","",J1330-K1330)</f>
        <v/>
      </c>
      <c r="M1330" s="14">
        <f>IF(A1330="","",MONTH(A1330))</f>
        <v/>
      </c>
      <c r="N1330" s="14">
        <f>IF(A1330="","",YEAR(A1330))</f>
        <v/>
      </c>
    </row>
    <row r="1331">
      <c r="A1331" s="15" t="n"/>
      <c r="B1331" s="10" t="n"/>
      <c r="C1331" s="10" t="n"/>
      <c r="D1331" s="10" t="n"/>
      <c r="E1331" s="14">
        <f>IF(D1331="","",IFERROR(INDEX('Sản phẩm'!$B$5:$B$304,MATCH(D1331,'Sản phẩm'!$A$5:$A$304,0)),""))</f>
        <v/>
      </c>
      <c r="F1331" s="12" t="n"/>
      <c r="G1331" s="11" t="n"/>
      <c r="H1331" s="11" t="n"/>
      <c r="I1331" s="16">
        <f>IF(D1331="","",IF(G1331&lt;&gt;"",G1331,IFERROR(INDEX('Sản phẩm'!$E$5:$E$304,MATCH(D1331,'Sản phẩm'!$A$5:$A$304,0)),"")))</f>
        <v/>
      </c>
      <c r="J1331" s="16">
        <f>IF(OR(D1331="",F1331=""),"",F1331*I1331-N(H1331))</f>
        <v/>
      </c>
      <c r="K1331" s="16">
        <f>IF(OR(D1331="",F1331=""),"",F1331*IFERROR(INDEX('Sản phẩm'!$D$5:$D$304,MATCH(D1331,'Sản phẩm'!$A$5:$A$304,0)),""))</f>
        <v/>
      </c>
      <c r="L1331" s="16">
        <f>IF(J1331="","",J1331-K1331)</f>
        <v/>
      </c>
      <c r="M1331" s="14">
        <f>IF(A1331="","",MONTH(A1331))</f>
        <v/>
      </c>
      <c r="N1331" s="14">
        <f>IF(A1331="","",YEAR(A1331))</f>
        <v/>
      </c>
    </row>
    <row r="1332">
      <c r="A1332" s="15" t="n"/>
      <c r="B1332" s="10" t="n"/>
      <c r="C1332" s="10" t="n"/>
      <c r="D1332" s="10" t="n"/>
      <c r="E1332" s="14">
        <f>IF(D1332="","",IFERROR(INDEX('Sản phẩm'!$B$5:$B$304,MATCH(D1332,'Sản phẩm'!$A$5:$A$304,0)),""))</f>
        <v/>
      </c>
      <c r="F1332" s="12" t="n"/>
      <c r="G1332" s="11" t="n"/>
      <c r="H1332" s="11" t="n"/>
      <c r="I1332" s="16">
        <f>IF(D1332="","",IF(G1332&lt;&gt;"",G1332,IFERROR(INDEX('Sản phẩm'!$E$5:$E$304,MATCH(D1332,'Sản phẩm'!$A$5:$A$304,0)),"")))</f>
        <v/>
      </c>
      <c r="J1332" s="16">
        <f>IF(OR(D1332="",F1332=""),"",F1332*I1332-N(H1332))</f>
        <v/>
      </c>
      <c r="K1332" s="16">
        <f>IF(OR(D1332="",F1332=""),"",F1332*IFERROR(INDEX('Sản phẩm'!$D$5:$D$304,MATCH(D1332,'Sản phẩm'!$A$5:$A$304,0)),""))</f>
        <v/>
      </c>
      <c r="L1332" s="16">
        <f>IF(J1332="","",J1332-K1332)</f>
        <v/>
      </c>
      <c r="M1332" s="14">
        <f>IF(A1332="","",MONTH(A1332))</f>
        <v/>
      </c>
      <c r="N1332" s="14">
        <f>IF(A1332="","",YEAR(A1332))</f>
        <v/>
      </c>
    </row>
    <row r="1333">
      <c r="A1333" s="15" t="n"/>
      <c r="B1333" s="10" t="n"/>
      <c r="C1333" s="10" t="n"/>
      <c r="D1333" s="10" t="n"/>
      <c r="E1333" s="14">
        <f>IF(D1333="","",IFERROR(INDEX('Sản phẩm'!$B$5:$B$304,MATCH(D1333,'Sản phẩm'!$A$5:$A$304,0)),""))</f>
        <v/>
      </c>
      <c r="F1333" s="12" t="n"/>
      <c r="G1333" s="11" t="n"/>
      <c r="H1333" s="11" t="n"/>
      <c r="I1333" s="16">
        <f>IF(D1333="","",IF(G1333&lt;&gt;"",G1333,IFERROR(INDEX('Sản phẩm'!$E$5:$E$304,MATCH(D1333,'Sản phẩm'!$A$5:$A$304,0)),"")))</f>
        <v/>
      </c>
      <c r="J1333" s="16">
        <f>IF(OR(D1333="",F1333=""),"",F1333*I1333-N(H1333))</f>
        <v/>
      </c>
      <c r="K1333" s="16">
        <f>IF(OR(D1333="",F1333=""),"",F1333*IFERROR(INDEX('Sản phẩm'!$D$5:$D$304,MATCH(D1333,'Sản phẩm'!$A$5:$A$304,0)),""))</f>
        <v/>
      </c>
      <c r="L1333" s="16">
        <f>IF(J1333="","",J1333-K1333)</f>
        <v/>
      </c>
      <c r="M1333" s="14">
        <f>IF(A1333="","",MONTH(A1333))</f>
        <v/>
      </c>
      <c r="N1333" s="14">
        <f>IF(A1333="","",YEAR(A1333))</f>
        <v/>
      </c>
    </row>
    <row r="1334">
      <c r="A1334" s="15" t="n"/>
      <c r="B1334" s="10" t="n"/>
      <c r="C1334" s="10" t="n"/>
      <c r="D1334" s="10" t="n"/>
      <c r="E1334" s="14">
        <f>IF(D1334="","",IFERROR(INDEX('Sản phẩm'!$B$5:$B$304,MATCH(D1334,'Sản phẩm'!$A$5:$A$304,0)),""))</f>
        <v/>
      </c>
      <c r="F1334" s="12" t="n"/>
      <c r="G1334" s="11" t="n"/>
      <c r="H1334" s="11" t="n"/>
      <c r="I1334" s="16">
        <f>IF(D1334="","",IF(G1334&lt;&gt;"",G1334,IFERROR(INDEX('Sản phẩm'!$E$5:$E$304,MATCH(D1334,'Sản phẩm'!$A$5:$A$304,0)),"")))</f>
        <v/>
      </c>
      <c r="J1334" s="16">
        <f>IF(OR(D1334="",F1334=""),"",F1334*I1334-N(H1334))</f>
        <v/>
      </c>
      <c r="K1334" s="16">
        <f>IF(OR(D1334="",F1334=""),"",F1334*IFERROR(INDEX('Sản phẩm'!$D$5:$D$304,MATCH(D1334,'Sản phẩm'!$A$5:$A$304,0)),""))</f>
        <v/>
      </c>
      <c r="L1334" s="16">
        <f>IF(J1334="","",J1334-K1334)</f>
        <v/>
      </c>
      <c r="M1334" s="14">
        <f>IF(A1334="","",MONTH(A1334))</f>
        <v/>
      </c>
      <c r="N1334" s="14">
        <f>IF(A1334="","",YEAR(A1334))</f>
        <v/>
      </c>
    </row>
    <row r="1335">
      <c r="A1335" s="15" t="n"/>
      <c r="B1335" s="10" t="n"/>
      <c r="C1335" s="10" t="n"/>
      <c r="D1335" s="10" t="n"/>
      <c r="E1335" s="14">
        <f>IF(D1335="","",IFERROR(INDEX('Sản phẩm'!$B$5:$B$304,MATCH(D1335,'Sản phẩm'!$A$5:$A$304,0)),""))</f>
        <v/>
      </c>
      <c r="F1335" s="12" t="n"/>
      <c r="G1335" s="11" t="n"/>
      <c r="H1335" s="11" t="n"/>
      <c r="I1335" s="16">
        <f>IF(D1335="","",IF(G1335&lt;&gt;"",G1335,IFERROR(INDEX('Sản phẩm'!$E$5:$E$304,MATCH(D1335,'Sản phẩm'!$A$5:$A$304,0)),"")))</f>
        <v/>
      </c>
      <c r="J1335" s="16">
        <f>IF(OR(D1335="",F1335=""),"",F1335*I1335-N(H1335))</f>
        <v/>
      </c>
      <c r="K1335" s="16">
        <f>IF(OR(D1335="",F1335=""),"",F1335*IFERROR(INDEX('Sản phẩm'!$D$5:$D$304,MATCH(D1335,'Sản phẩm'!$A$5:$A$304,0)),""))</f>
        <v/>
      </c>
      <c r="L1335" s="16">
        <f>IF(J1335="","",J1335-K1335)</f>
        <v/>
      </c>
      <c r="M1335" s="14">
        <f>IF(A1335="","",MONTH(A1335))</f>
        <v/>
      </c>
      <c r="N1335" s="14">
        <f>IF(A1335="","",YEAR(A1335))</f>
        <v/>
      </c>
    </row>
    <row r="1336">
      <c r="A1336" s="15" t="n"/>
      <c r="B1336" s="10" t="n"/>
      <c r="C1336" s="10" t="n"/>
      <c r="D1336" s="10" t="n"/>
      <c r="E1336" s="14">
        <f>IF(D1336="","",IFERROR(INDEX('Sản phẩm'!$B$5:$B$304,MATCH(D1336,'Sản phẩm'!$A$5:$A$304,0)),""))</f>
        <v/>
      </c>
      <c r="F1336" s="12" t="n"/>
      <c r="G1336" s="11" t="n"/>
      <c r="H1336" s="11" t="n"/>
      <c r="I1336" s="16">
        <f>IF(D1336="","",IF(G1336&lt;&gt;"",G1336,IFERROR(INDEX('Sản phẩm'!$E$5:$E$304,MATCH(D1336,'Sản phẩm'!$A$5:$A$304,0)),"")))</f>
        <v/>
      </c>
      <c r="J1336" s="16">
        <f>IF(OR(D1336="",F1336=""),"",F1336*I1336-N(H1336))</f>
        <v/>
      </c>
      <c r="K1336" s="16">
        <f>IF(OR(D1336="",F1336=""),"",F1336*IFERROR(INDEX('Sản phẩm'!$D$5:$D$304,MATCH(D1336,'Sản phẩm'!$A$5:$A$304,0)),""))</f>
        <v/>
      </c>
      <c r="L1336" s="16">
        <f>IF(J1336="","",J1336-K1336)</f>
        <v/>
      </c>
      <c r="M1336" s="14">
        <f>IF(A1336="","",MONTH(A1336))</f>
        <v/>
      </c>
      <c r="N1336" s="14">
        <f>IF(A1336="","",YEAR(A1336))</f>
        <v/>
      </c>
    </row>
    <row r="1337">
      <c r="A1337" s="15" t="n"/>
      <c r="B1337" s="10" t="n"/>
      <c r="C1337" s="10" t="n"/>
      <c r="D1337" s="10" t="n"/>
      <c r="E1337" s="14">
        <f>IF(D1337="","",IFERROR(INDEX('Sản phẩm'!$B$5:$B$304,MATCH(D1337,'Sản phẩm'!$A$5:$A$304,0)),""))</f>
        <v/>
      </c>
      <c r="F1337" s="12" t="n"/>
      <c r="G1337" s="11" t="n"/>
      <c r="H1337" s="11" t="n"/>
      <c r="I1337" s="16">
        <f>IF(D1337="","",IF(G1337&lt;&gt;"",G1337,IFERROR(INDEX('Sản phẩm'!$E$5:$E$304,MATCH(D1337,'Sản phẩm'!$A$5:$A$304,0)),"")))</f>
        <v/>
      </c>
      <c r="J1337" s="16">
        <f>IF(OR(D1337="",F1337=""),"",F1337*I1337-N(H1337))</f>
        <v/>
      </c>
      <c r="K1337" s="16">
        <f>IF(OR(D1337="",F1337=""),"",F1337*IFERROR(INDEX('Sản phẩm'!$D$5:$D$304,MATCH(D1337,'Sản phẩm'!$A$5:$A$304,0)),""))</f>
        <v/>
      </c>
      <c r="L1337" s="16">
        <f>IF(J1337="","",J1337-K1337)</f>
        <v/>
      </c>
      <c r="M1337" s="14">
        <f>IF(A1337="","",MONTH(A1337))</f>
        <v/>
      </c>
      <c r="N1337" s="14">
        <f>IF(A1337="","",YEAR(A1337))</f>
        <v/>
      </c>
    </row>
    <row r="1338">
      <c r="A1338" s="15" t="n"/>
      <c r="B1338" s="10" t="n"/>
      <c r="C1338" s="10" t="n"/>
      <c r="D1338" s="10" t="n"/>
      <c r="E1338" s="14">
        <f>IF(D1338="","",IFERROR(INDEX('Sản phẩm'!$B$5:$B$304,MATCH(D1338,'Sản phẩm'!$A$5:$A$304,0)),""))</f>
        <v/>
      </c>
      <c r="F1338" s="12" t="n"/>
      <c r="G1338" s="11" t="n"/>
      <c r="H1338" s="11" t="n"/>
      <c r="I1338" s="16">
        <f>IF(D1338="","",IF(G1338&lt;&gt;"",G1338,IFERROR(INDEX('Sản phẩm'!$E$5:$E$304,MATCH(D1338,'Sản phẩm'!$A$5:$A$304,0)),"")))</f>
        <v/>
      </c>
      <c r="J1338" s="16">
        <f>IF(OR(D1338="",F1338=""),"",F1338*I1338-N(H1338))</f>
        <v/>
      </c>
      <c r="K1338" s="16">
        <f>IF(OR(D1338="",F1338=""),"",F1338*IFERROR(INDEX('Sản phẩm'!$D$5:$D$304,MATCH(D1338,'Sản phẩm'!$A$5:$A$304,0)),""))</f>
        <v/>
      </c>
      <c r="L1338" s="16">
        <f>IF(J1338="","",J1338-K1338)</f>
        <v/>
      </c>
      <c r="M1338" s="14">
        <f>IF(A1338="","",MONTH(A1338))</f>
        <v/>
      </c>
      <c r="N1338" s="14">
        <f>IF(A1338="","",YEAR(A1338))</f>
        <v/>
      </c>
    </row>
    <row r="1339">
      <c r="A1339" s="15" t="n"/>
      <c r="B1339" s="10" t="n"/>
      <c r="C1339" s="10" t="n"/>
      <c r="D1339" s="10" t="n"/>
      <c r="E1339" s="14">
        <f>IF(D1339="","",IFERROR(INDEX('Sản phẩm'!$B$5:$B$304,MATCH(D1339,'Sản phẩm'!$A$5:$A$304,0)),""))</f>
        <v/>
      </c>
      <c r="F1339" s="12" t="n"/>
      <c r="G1339" s="11" t="n"/>
      <c r="H1339" s="11" t="n"/>
      <c r="I1339" s="16">
        <f>IF(D1339="","",IF(G1339&lt;&gt;"",G1339,IFERROR(INDEX('Sản phẩm'!$E$5:$E$304,MATCH(D1339,'Sản phẩm'!$A$5:$A$304,0)),"")))</f>
        <v/>
      </c>
      <c r="J1339" s="16">
        <f>IF(OR(D1339="",F1339=""),"",F1339*I1339-N(H1339))</f>
        <v/>
      </c>
      <c r="K1339" s="16">
        <f>IF(OR(D1339="",F1339=""),"",F1339*IFERROR(INDEX('Sản phẩm'!$D$5:$D$304,MATCH(D1339,'Sản phẩm'!$A$5:$A$304,0)),""))</f>
        <v/>
      </c>
      <c r="L1339" s="16">
        <f>IF(J1339="","",J1339-K1339)</f>
        <v/>
      </c>
      <c r="M1339" s="14">
        <f>IF(A1339="","",MONTH(A1339))</f>
        <v/>
      </c>
      <c r="N1339" s="14">
        <f>IF(A1339="","",YEAR(A1339))</f>
        <v/>
      </c>
    </row>
    <row r="1340">
      <c r="A1340" s="15" t="n"/>
      <c r="B1340" s="10" t="n"/>
      <c r="C1340" s="10" t="n"/>
      <c r="D1340" s="10" t="n"/>
      <c r="E1340" s="14">
        <f>IF(D1340="","",IFERROR(INDEX('Sản phẩm'!$B$5:$B$304,MATCH(D1340,'Sản phẩm'!$A$5:$A$304,0)),""))</f>
        <v/>
      </c>
      <c r="F1340" s="12" t="n"/>
      <c r="G1340" s="11" t="n"/>
      <c r="H1340" s="11" t="n"/>
      <c r="I1340" s="16">
        <f>IF(D1340="","",IF(G1340&lt;&gt;"",G1340,IFERROR(INDEX('Sản phẩm'!$E$5:$E$304,MATCH(D1340,'Sản phẩm'!$A$5:$A$304,0)),"")))</f>
        <v/>
      </c>
      <c r="J1340" s="16">
        <f>IF(OR(D1340="",F1340=""),"",F1340*I1340-N(H1340))</f>
        <v/>
      </c>
      <c r="K1340" s="16">
        <f>IF(OR(D1340="",F1340=""),"",F1340*IFERROR(INDEX('Sản phẩm'!$D$5:$D$304,MATCH(D1340,'Sản phẩm'!$A$5:$A$304,0)),""))</f>
        <v/>
      </c>
      <c r="L1340" s="16">
        <f>IF(J1340="","",J1340-K1340)</f>
        <v/>
      </c>
      <c r="M1340" s="14">
        <f>IF(A1340="","",MONTH(A1340))</f>
        <v/>
      </c>
      <c r="N1340" s="14">
        <f>IF(A1340="","",YEAR(A1340))</f>
        <v/>
      </c>
    </row>
    <row r="1341">
      <c r="A1341" s="15" t="n"/>
      <c r="B1341" s="10" t="n"/>
      <c r="C1341" s="10" t="n"/>
      <c r="D1341" s="10" t="n"/>
      <c r="E1341" s="14">
        <f>IF(D1341="","",IFERROR(INDEX('Sản phẩm'!$B$5:$B$304,MATCH(D1341,'Sản phẩm'!$A$5:$A$304,0)),""))</f>
        <v/>
      </c>
      <c r="F1341" s="12" t="n"/>
      <c r="G1341" s="11" t="n"/>
      <c r="H1341" s="11" t="n"/>
      <c r="I1341" s="16">
        <f>IF(D1341="","",IF(G1341&lt;&gt;"",G1341,IFERROR(INDEX('Sản phẩm'!$E$5:$E$304,MATCH(D1341,'Sản phẩm'!$A$5:$A$304,0)),"")))</f>
        <v/>
      </c>
      <c r="J1341" s="16">
        <f>IF(OR(D1341="",F1341=""),"",F1341*I1341-N(H1341))</f>
        <v/>
      </c>
      <c r="K1341" s="16">
        <f>IF(OR(D1341="",F1341=""),"",F1341*IFERROR(INDEX('Sản phẩm'!$D$5:$D$304,MATCH(D1341,'Sản phẩm'!$A$5:$A$304,0)),""))</f>
        <v/>
      </c>
      <c r="L1341" s="16">
        <f>IF(J1341="","",J1341-K1341)</f>
        <v/>
      </c>
      <c r="M1341" s="14">
        <f>IF(A1341="","",MONTH(A1341))</f>
        <v/>
      </c>
      <c r="N1341" s="14">
        <f>IF(A1341="","",YEAR(A1341))</f>
        <v/>
      </c>
    </row>
    <row r="1342">
      <c r="A1342" s="15" t="n"/>
      <c r="B1342" s="10" t="n"/>
      <c r="C1342" s="10" t="n"/>
      <c r="D1342" s="10" t="n"/>
      <c r="E1342" s="14">
        <f>IF(D1342="","",IFERROR(INDEX('Sản phẩm'!$B$5:$B$304,MATCH(D1342,'Sản phẩm'!$A$5:$A$304,0)),""))</f>
        <v/>
      </c>
      <c r="F1342" s="12" t="n"/>
      <c r="G1342" s="11" t="n"/>
      <c r="H1342" s="11" t="n"/>
      <c r="I1342" s="16">
        <f>IF(D1342="","",IF(G1342&lt;&gt;"",G1342,IFERROR(INDEX('Sản phẩm'!$E$5:$E$304,MATCH(D1342,'Sản phẩm'!$A$5:$A$304,0)),"")))</f>
        <v/>
      </c>
      <c r="J1342" s="16">
        <f>IF(OR(D1342="",F1342=""),"",F1342*I1342-N(H1342))</f>
        <v/>
      </c>
      <c r="K1342" s="16">
        <f>IF(OR(D1342="",F1342=""),"",F1342*IFERROR(INDEX('Sản phẩm'!$D$5:$D$304,MATCH(D1342,'Sản phẩm'!$A$5:$A$304,0)),""))</f>
        <v/>
      </c>
      <c r="L1342" s="16">
        <f>IF(J1342="","",J1342-K1342)</f>
        <v/>
      </c>
      <c r="M1342" s="14">
        <f>IF(A1342="","",MONTH(A1342))</f>
        <v/>
      </c>
      <c r="N1342" s="14">
        <f>IF(A1342="","",YEAR(A1342))</f>
        <v/>
      </c>
    </row>
    <row r="1343">
      <c r="A1343" s="15" t="n"/>
      <c r="B1343" s="10" t="n"/>
      <c r="C1343" s="10" t="n"/>
      <c r="D1343" s="10" t="n"/>
      <c r="E1343" s="14">
        <f>IF(D1343="","",IFERROR(INDEX('Sản phẩm'!$B$5:$B$304,MATCH(D1343,'Sản phẩm'!$A$5:$A$304,0)),""))</f>
        <v/>
      </c>
      <c r="F1343" s="12" t="n"/>
      <c r="G1343" s="11" t="n"/>
      <c r="H1343" s="11" t="n"/>
      <c r="I1343" s="16">
        <f>IF(D1343="","",IF(G1343&lt;&gt;"",G1343,IFERROR(INDEX('Sản phẩm'!$E$5:$E$304,MATCH(D1343,'Sản phẩm'!$A$5:$A$304,0)),"")))</f>
        <v/>
      </c>
      <c r="J1343" s="16">
        <f>IF(OR(D1343="",F1343=""),"",F1343*I1343-N(H1343))</f>
        <v/>
      </c>
      <c r="K1343" s="16">
        <f>IF(OR(D1343="",F1343=""),"",F1343*IFERROR(INDEX('Sản phẩm'!$D$5:$D$304,MATCH(D1343,'Sản phẩm'!$A$5:$A$304,0)),""))</f>
        <v/>
      </c>
      <c r="L1343" s="16">
        <f>IF(J1343="","",J1343-K1343)</f>
        <v/>
      </c>
      <c r="M1343" s="14">
        <f>IF(A1343="","",MONTH(A1343))</f>
        <v/>
      </c>
      <c r="N1343" s="14">
        <f>IF(A1343="","",YEAR(A1343))</f>
        <v/>
      </c>
    </row>
    <row r="1344">
      <c r="A1344" s="15" t="n"/>
      <c r="B1344" s="10" t="n"/>
      <c r="C1344" s="10" t="n"/>
      <c r="D1344" s="10" t="n"/>
      <c r="E1344" s="14">
        <f>IF(D1344="","",IFERROR(INDEX('Sản phẩm'!$B$5:$B$304,MATCH(D1344,'Sản phẩm'!$A$5:$A$304,0)),""))</f>
        <v/>
      </c>
      <c r="F1344" s="12" t="n"/>
      <c r="G1344" s="11" t="n"/>
      <c r="H1344" s="11" t="n"/>
      <c r="I1344" s="16">
        <f>IF(D1344="","",IF(G1344&lt;&gt;"",G1344,IFERROR(INDEX('Sản phẩm'!$E$5:$E$304,MATCH(D1344,'Sản phẩm'!$A$5:$A$304,0)),"")))</f>
        <v/>
      </c>
      <c r="J1344" s="16">
        <f>IF(OR(D1344="",F1344=""),"",F1344*I1344-N(H1344))</f>
        <v/>
      </c>
      <c r="K1344" s="16">
        <f>IF(OR(D1344="",F1344=""),"",F1344*IFERROR(INDEX('Sản phẩm'!$D$5:$D$304,MATCH(D1344,'Sản phẩm'!$A$5:$A$304,0)),""))</f>
        <v/>
      </c>
      <c r="L1344" s="16">
        <f>IF(J1344="","",J1344-K1344)</f>
        <v/>
      </c>
      <c r="M1344" s="14">
        <f>IF(A1344="","",MONTH(A1344))</f>
        <v/>
      </c>
      <c r="N1344" s="14">
        <f>IF(A1344="","",YEAR(A1344))</f>
        <v/>
      </c>
    </row>
    <row r="1345">
      <c r="A1345" s="15" t="n"/>
      <c r="B1345" s="10" t="n"/>
      <c r="C1345" s="10" t="n"/>
      <c r="D1345" s="10" t="n"/>
      <c r="E1345" s="14">
        <f>IF(D1345="","",IFERROR(INDEX('Sản phẩm'!$B$5:$B$304,MATCH(D1345,'Sản phẩm'!$A$5:$A$304,0)),""))</f>
        <v/>
      </c>
      <c r="F1345" s="12" t="n"/>
      <c r="G1345" s="11" t="n"/>
      <c r="H1345" s="11" t="n"/>
      <c r="I1345" s="16">
        <f>IF(D1345="","",IF(G1345&lt;&gt;"",G1345,IFERROR(INDEX('Sản phẩm'!$E$5:$E$304,MATCH(D1345,'Sản phẩm'!$A$5:$A$304,0)),"")))</f>
        <v/>
      </c>
      <c r="J1345" s="16">
        <f>IF(OR(D1345="",F1345=""),"",F1345*I1345-N(H1345))</f>
        <v/>
      </c>
      <c r="K1345" s="16">
        <f>IF(OR(D1345="",F1345=""),"",F1345*IFERROR(INDEX('Sản phẩm'!$D$5:$D$304,MATCH(D1345,'Sản phẩm'!$A$5:$A$304,0)),""))</f>
        <v/>
      </c>
      <c r="L1345" s="16">
        <f>IF(J1345="","",J1345-K1345)</f>
        <v/>
      </c>
      <c r="M1345" s="14">
        <f>IF(A1345="","",MONTH(A1345))</f>
        <v/>
      </c>
      <c r="N1345" s="14">
        <f>IF(A1345="","",YEAR(A1345))</f>
        <v/>
      </c>
    </row>
    <row r="1346">
      <c r="A1346" s="15" t="n"/>
      <c r="B1346" s="10" t="n"/>
      <c r="C1346" s="10" t="n"/>
      <c r="D1346" s="10" t="n"/>
      <c r="E1346" s="14">
        <f>IF(D1346="","",IFERROR(INDEX('Sản phẩm'!$B$5:$B$304,MATCH(D1346,'Sản phẩm'!$A$5:$A$304,0)),""))</f>
        <v/>
      </c>
      <c r="F1346" s="12" t="n"/>
      <c r="G1346" s="11" t="n"/>
      <c r="H1346" s="11" t="n"/>
      <c r="I1346" s="16">
        <f>IF(D1346="","",IF(G1346&lt;&gt;"",G1346,IFERROR(INDEX('Sản phẩm'!$E$5:$E$304,MATCH(D1346,'Sản phẩm'!$A$5:$A$304,0)),"")))</f>
        <v/>
      </c>
      <c r="J1346" s="16">
        <f>IF(OR(D1346="",F1346=""),"",F1346*I1346-N(H1346))</f>
        <v/>
      </c>
      <c r="K1346" s="16">
        <f>IF(OR(D1346="",F1346=""),"",F1346*IFERROR(INDEX('Sản phẩm'!$D$5:$D$304,MATCH(D1346,'Sản phẩm'!$A$5:$A$304,0)),""))</f>
        <v/>
      </c>
      <c r="L1346" s="16">
        <f>IF(J1346="","",J1346-K1346)</f>
        <v/>
      </c>
      <c r="M1346" s="14">
        <f>IF(A1346="","",MONTH(A1346))</f>
        <v/>
      </c>
      <c r="N1346" s="14">
        <f>IF(A1346="","",YEAR(A1346))</f>
        <v/>
      </c>
    </row>
    <row r="1347">
      <c r="A1347" s="15" t="n"/>
      <c r="B1347" s="10" t="n"/>
      <c r="C1347" s="10" t="n"/>
      <c r="D1347" s="10" t="n"/>
      <c r="E1347" s="14">
        <f>IF(D1347="","",IFERROR(INDEX('Sản phẩm'!$B$5:$B$304,MATCH(D1347,'Sản phẩm'!$A$5:$A$304,0)),""))</f>
        <v/>
      </c>
      <c r="F1347" s="12" t="n"/>
      <c r="G1347" s="11" t="n"/>
      <c r="H1347" s="11" t="n"/>
      <c r="I1347" s="16">
        <f>IF(D1347="","",IF(G1347&lt;&gt;"",G1347,IFERROR(INDEX('Sản phẩm'!$E$5:$E$304,MATCH(D1347,'Sản phẩm'!$A$5:$A$304,0)),"")))</f>
        <v/>
      </c>
      <c r="J1347" s="16">
        <f>IF(OR(D1347="",F1347=""),"",F1347*I1347-N(H1347))</f>
        <v/>
      </c>
      <c r="K1347" s="16">
        <f>IF(OR(D1347="",F1347=""),"",F1347*IFERROR(INDEX('Sản phẩm'!$D$5:$D$304,MATCH(D1347,'Sản phẩm'!$A$5:$A$304,0)),""))</f>
        <v/>
      </c>
      <c r="L1347" s="16">
        <f>IF(J1347="","",J1347-K1347)</f>
        <v/>
      </c>
      <c r="M1347" s="14">
        <f>IF(A1347="","",MONTH(A1347))</f>
        <v/>
      </c>
      <c r="N1347" s="14">
        <f>IF(A1347="","",YEAR(A1347))</f>
        <v/>
      </c>
    </row>
    <row r="1348">
      <c r="A1348" s="15" t="n"/>
      <c r="B1348" s="10" t="n"/>
      <c r="C1348" s="10" t="n"/>
      <c r="D1348" s="10" t="n"/>
      <c r="E1348" s="14">
        <f>IF(D1348="","",IFERROR(INDEX('Sản phẩm'!$B$5:$B$304,MATCH(D1348,'Sản phẩm'!$A$5:$A$304,0)),""))</f>
        <v/>
      </c>
      <c r="F1348" s="12" t="n"/>
      <c r="G1348" s="11" t="n"/>
      <c r="H1348" s="11" t="n"/>
      <c r="I1348" s="16">
        <f>IF(D1348="","",IF(G1348&lt;&gt;"",G1348,IFERROR(INDEX('Sản phẩm'!$E$5:$E$304,MATCH(D1348,'Sản phẩm'!$A$5:$A$304,0)),"")))</f>
        <v/>
      </c>
      <c r="J1348" s="16">
        <f>IF(OR(D1348="",F1348=""),"",F1348*I1348-N(H1348))</f>
        <v/>
      </c>
      <c r="K1348" s="16">
        <f>IF(OR(D1348="",F1348=""),"",F1348*IFERROR(INDEX('Sản phẩm'!$D$5:$D$304,MATCH(D1348,'Sản phẩm'!$A$5:$A$304,0)),""))</f>
        <v/>
      </c>
      <c r="L1348" s="16">
        <f>IF(J1348="","",J1348-K1348)</f>
        <v/>
      </c>
      <c r="M1348" s="14">
        <f>IF(A1348="","",MONTH(A1348))</f>
        <v/>
      </c>
      <c r="N1348" s="14">
        <f>IF(A1348="","",YEAR(A1348))</f>
        <v/>
      </c>
    </row>
    <row r="1349">
      <c r="A1349" s="15" t="n"/>
      <c r="B1349" s="10" t="n"/>
      <c r="C1349" s="10" t="n"/>
      <c r="D1349" s="10" t="n"/>
      <c r="E1349" s="14">
        <f>IF(D1349="","",IFERROR(INDEX('Sản phẩm'!$B$5:$B$304,MATCH(D1349,'Sản phẩm'!$A$5:$A$304,0)),""))</f>
        <v/>
      </c>
      <c r="F1349" s="12" t="n"/>
      <c r="G1349" s="11" t="n"/>
      <c r="H1349" s="11" t="n"/>
      <c r="I1349" s="16">
        <f>IF(D1349="","",IF(G1349&lt;&gt;"",G1349,IFERROR(INDEX('Sản phẩm'!$E$5:$E$304,MATCH(D1349,'Sản phẩm'!$A$5:$A$304,0)),"")))</f>
        <v/>
      </c>
      <c r="J1349" s="16">
        <f>IF(OR(D1349="",F1349=""),"",F1349*I1349-N(H1349))</f>
        <v/>
      </c>
      <c r="K1349" s="16">
        <f>IF(OR(D1349="",F1349=""),"",F1349*IFERROR(INDEX('Sản phẩm'!$D$5:$D$304,MATCH(D1349,'Sản phẩm'!$A$5:$A$304,0)),""))</f>
        <v/>
      </c>
      <c r="L1349" s="16">
        <f>IF(J1349="","",J1349-K1349)</f>
        <v/>
      </c>
      <c r="M1349" s="14">
        <f>IF(A1349="","",MONTH(A1349))</f>
        <v/>
      </c>
      <c r="N1349" s="14">
        <f>IF(A1349="","",YEAR(A1349))</f>
        <v/>
      </c>
    </row>
    <row r="1350">
      <c r="A1350" s="15" t="n"/>
      <c r="B1350" s="10" t="n"/>
      <c r="C1350" s="10" t="n"/>
      <c r="D1350" s="10" t="n"/>
      <c r="E1350" s="14">
        <f>IF(D1350="","",IFERROR(INDEX('Sản phẩm'!$B$5:$B$304,MATCH(D1350,'Sản phẩm'!$A$5:$A$304,0)),""))</f>
        <v/>
      </c>
      <c r="F1350" s="12" t="n"/>
      <c r="G1350" s="11" t="n"/>
      <c r="H1350" s="11" t="n"/>
      <c r="I1350" s="16">
        <f>IF(D1350="","",IF(G1350&lt;&gt;"",G1350,IFERROR(INDEX('Sản phẩm'!$E$5:$E$304,MATCH(D1350,'Sản phẩm'!$A$5:$A$304,0)),"")))</f>
        <v/>
      </c>
      <c r="J1350" s="16">
        <f>IF(OR(D1350="",F1350=""),"",F1350*I1350-N(H1350))</f>
        <v/>
      </c>
      <c r="K1350" s="16">
        <f>IF(OR(D1350="",F1350=""),"",F1350*IFERROR(INDEX('Sản phẩm'!$D$5:$D$304,MATCH(D1350,'Sản phẩm'!$A$5:$A$304,0)),""))</f>
        <v/>
      </c>
      <c r="L1350" s="16">
        <f>IF(J1350="","",J1350-K1350)</f>
        <v/>
      </c>
      <c r="M1350" s="14">
        <f>IF(A1350="","",MONTH(A1350))</f>
        <v/>
      </c>
      <c r="N1350" s="14">
        <f>IF(A1350="","",YEAR(A1350))</f>
        <v/>
      </c>
    </row>
    <row r="1351">
      <c r="A1351" s="15" t="n"/>
      <c r="B1351" s="10" t="n"/>
      <c r="C1351" s="10" t="n"/>
      <c r="D1351" s="10" t="n"/>
      <c r="E1351" s="14">
        <f>IF(D1351="","",IFERROR(INDEX('Sản phẩm'!$B$5:$B$304,MATCH(D1351,'Sản phẩm'!$A$5:$A$304,0)),""))</f>
        <v/>
      </c>
      <c r="F1351" s="12" t="n"/>
      <c r="G1351" s="11" t="n"/>
      <c r="H1351" s="11" t="n"/>
      <c r="I1351" s="16">
        <f>IF(D1351="","",IF(G1351&lt;&gt;"",G1351,IFERROR(INDEX('Sản phẩm'!$E$5:$E$304,MATCH(D1351,'Sản phẩm'!$A$5:$A$304,0)),"")))</f>
        <v/>
      </c>
      <c r="J1351" s="16">
        <f>IF(OR(D1351="",F1351=""),"",F1351*I1351-N(H1351))</f>
        <v/>
      </c>
      <c r="K1351" s="16">
        <f>IF(OR(D1351="",F1351=""),"",F1351*IFERROR(INDEX('Sản phẩm'!$D$5:$D$304,MATCH(D1351,'Sản phẩm'!$A$5:$A$304,0)),""))</f>
        <v/>
      </c>
      <c r="L1351" s="16">
        <f>IF(J1351="","",J1351-K1351)</f>
        <v/>
      </c>
      <c r="M1351" s="14">
        <f>IF(A1351="","",MONTH(A1351))</f>
        <v/>
      </c>
      <c r="N1351" s="14">
        <f>IF(A1351="","",YEAR(A1351))</f>
        <v/>
      </c>
    </row>
    <row r="1352">
      <c r="A1352" s="15" t="n"/>
      <c r="B1352" s="10" t="n"/>
      <c r="C1352" s="10" t="n"/>
      <c r="D1352" s="10" t="n"/>
      <c r="E1352" s="14">
        <f>IF(D1352="","",IFERROR(INDEX('Sản phẩm'!$B$5:$B$304,MATCH(D1352,'Sản phẩm'!$A$5:$A$304,0)),""))</f>
        <v/>
      </c>
      <c r="F1352" s="12" t="n"/>
      <c r="G1352" s="11" t="n"/>
      <c r="H1352" s="11" t="n"/>
      <c r="I1352" s="16">
        <f>IF(D1352="","",IF(G1352&lt;&gt;"",G1352,IFERROR(INDEX('Sản phẩm'!$E$5:$E$304,MATCH(D1352,'Sản phẩm'!$A$5:$A$304,0)),"")))</f>
        <v/>
      </c>
      <c r="J1352" s="16">
        <f>IF(OR(D1352="",F1352=""),"",F1352*I1352-N(H1352))</f>
        <v/>
      </c>
      <c r="K1352" s="16">
        <f>IF(OR(D1352="",F1352=""),"",F1352*IFERROR(INDEX('Sản phẩm'!$D$5:$D$304,MATCH(D1352,'Sản phẩm'!$A$5:$A$304,0)),""))</f>
        <v/>
      </c>
      <c r="L1352" s="16">
        <f>IF(J1352="","",J1352-K1352)</f>
        <v/>
      </c>
      <c r="M1352" s="14">
        <f>IF(A1352="","",MONTH(A1352))</f>
        <v/>
      </c>
      <c r="N1352" s="14">
        <f>IF(A1352="","",YEAR(A1352))</f>
        <v/>
      </c>
    </row>
    <row r="1353">
      <c r="A1353" s="15" t="n"/>
      <c r="B1353" s="10" t="n"/>
      <c r="C1353" s="10" t="n"/>
      <c r="D1353" s="10" t="n"/>
      <c r="E1353" s="14">
        <f>IF(D1353="","",IFERROR(INDEX('Sản phẩm'!$B$5:$B$304,MATCH(D1353,'Sản phẩm'!$A$5:$A$304,0)),""))</f>
        <v/>
      </c>
      <c r="F1353" s="12" t="n"/>
      <c r="G1353" s="11" t="n"/>
      <c r="H1353" s="11" t="n"/>
      <c r="I1353" s="16">
        <f>IF(D1353="","",IF(G1353&lt;&gt;"",G1353,IFERROR(INDEX('Sản phẩm'!$E$5:$E$304,MATCH(D1353,'Sản phẩm'!$A$5:$A$304,0)),"")))</f>
        <v/>
      </c>
      <c r="J1353" s="16">
        <f>IF(OR(D1353="",F1353=""),"",F1353*I1353-N(H1353))</f>
        <v/>
      </c>
      <c r="K1353" s="16">
        <f>IF(OR(D1353="",F1353=""),"",F1353*IFERROR(INDEX('Sản phẩm'!$D$5:$D$304,MATCH(D1353,'Sản phẩm'!$A$5:$A$304,0)),""))</f>
        <v/>
      </c>
      <c r="L1353" s="16">
        <f>IF(J1353="","",J1353-K1353)</f>
        <v/>
      </c>
      <c r="M1353" s="14">
        <f>IF(A1353="","",MONTH(A1353))</f>
        <v/>
      </c>
      <c r="N1353" s="14">
        <f>IF(A1353="","",YEAR(A1353))</f>
        <v/>
      </c>
    </row>
    <row r="1354">
      <c r="A1354" s="15" t="n"/>
      <c r="B1354" s="10" t="n"/>
      <c r="C1354" s="10" t="n"/>
      <c r="D1354" s="10" t="n"/>
      <c r="E1354" s="14">
        <f>IF(D1354="","",IFERROR(INDEX('Sản phẩm'!$B$5:$B$304,MATCH(D1354,'Sản phẩm'!$A$5:$A$304,0)),""))</f>
        <v/>
      </c>
      <c r="F1354" s="12" t="n"/>
      <c r="G1354" s="11" t="n"/>
      <c r="H1354" s="11" t="n"/>
      <c r="I1354" s="16">
        <f>IF(D1354="","",IF(G1354&lt;&gt;"",G1354,IFERROR(INDEX('Sản phẩm'!$E$5:$E$304,MATCH(D1354,'Sản phẩm'!$A$5:$A$304,0)),"")))</f>
        <v/>
      </c>
      <c r="J1354" s="16">
        <f>IF(OR(D1354="",F1354=""),"",F1354*I1354-N(H1354))</f>
        <v/>
      </c>
      <c r="K1354" s="16">
        <f>IF(OR(D1354="",F1354=""),"",F1354*IFERROR(INDEX('Sản phẩm'!$D$5:$D$304,MATCH(D1354,'Sản phẩm'!$A$5:$A$304,0)),""))</f>
        <v/>
      </c>
      <c r="L1354" s="16">
        <f>IF(J1354="","",J1354-K1354)</f>
        <v/>
      </c>
      <c r="M1354" s="14">
        <f>IF(A1354="","",MONTH(A1354))</f>
        <v/>
      </c>
      <c r="N1354" s="14">
        <f>IF(A1354="","",YEAR(A1354))</f>
        <v/>
      </c>
    </row>
    <row r="1355">
      <c r="A1355" s="15" t="n"/>
      <c r="B1355" s="10" t="n"/>
      <c r="C1355" s="10" t="n"/>
      <c r="D1355" s="10" t="n"/>
      <c r="E1355" s="14">
        <f>IF(D1355="","",IFERROR(INDEX('Sản phẩm'!$B$5:$B$304,MATCH(D1355,'Sản phẩm'!$A$5:$A$304,0)),""))</f>
        <v/>
      </c>
      <c r="F1355" s="12" t="n"/>
      <c r="G1355" s="11" t="n"/>
      <c r="H1355" s="11" t="n"/>
      <c r="I1355" s="16">
        <f>IF(D1355="","",IF(G1355&lt;&gt;"",G1355,IFERROR(INDEX('Sản phẩm'!$E$5:$E$304,MATCH(D1355,'Sản phẩm'!$A$5:$A$304,0)),"")))</f>
        <v/>
      </c>
      <c r="J1355" s="16">
        <f>IF(OR(D1355="",F1355=""),"",F1355*I1355-N(H1355))</f>
        <v/>
      </c>
      <c r="K1355" s="16">
        <f>IF(OR(D1355="",F1355=""),"",F1355*IFERROR(INDEX('Sản phẩm'!$D$5:$D$304,MATCH(D1355,'Sản phẩm'!$A$5:$A$304,0)),""))</f>
        <v/>
      </c>
      <c r="L1355" s="16">
        <f>IF(J1355="","",J1355-K1355)</f>
        <v/>
      </c>
      <c r="M1355" s="14">
        <f>IF(A1355="","",MONTH(A1355))</f>
        <v/>
      </c>
      <c r="N1355" s="14">
        <f>IF(A1355="","",YEAR(A1355))</f>
        <v/>
      </c>
    </row>
    <row r="1356">
      <c r="A1356" s="15" t="n"/>
      <c r="B1356" s="10" t="n"/>
      <c r="C1356" s="10" t="n"/>
      <c r="D1356" s="10" t="n"/>
      <c r="E1356" s="14">
        <f>IF(D1356="","",IFERROR(INDEX('Sản phẩm'!$B$5:$B$304,MATCH(D1356,'Sản phẩm'!$A$5:$A$304,0)),""))</f>
        <v/>
      </c>
      <c r="F1356" s="12" t="n"/>
      <c r="G1356" s="11" t="n"/>
      <c r="H1356" s="11" t="n"/>
      <c r="I1356" s="16">
        <f>IF(D1356="","",IF(G1356&lt;&gt;"",G1356,IFERROR(INDEX('Sản phẩm'!$E$5:$E$304,MATCH(D1356,'Sản phẩm'!$A$5:$A$304,0)),"")))</f>
        <v/>
      </c>
      <c r="J1356" s="16">
        <f>IF(OR(D1356="",F1356=""),"",F1356*I1356-N(H1356))</f>
        <v/>
      </c>
      <c r="K1356" s="16">
        <f>IF(OR(D1356="",F1356=""),"",F1356*IFERROR(INDEX('Sản phẩm'!$D$5:$D$304,MATCH(D1356,'Sản phẩm'!$A$5:$A$304,0)),""))</f>
        <v/>
      </c>
      <c r="L1356" s="16">
        <f>IF(J1356="","",J1356-K1356)</f>
        <v/>
      </c>
      <c r="M1356" s="14">
        <f>IF(A1356="","",MONTH(A1356))</f>
        <v/>
      </c>
      <c r="N1356" s="14">
        <f>IF(A1356="","",YEAR(A1356))</f>
        <v/>
      </c>
    </row>
    <row r="1357">
      <c r="A1357" s="15" t="n"/>
      <c r="B1357" s="10" t="n"/>
      <c r="C1357" s="10" t="n"/>
      <c r="D1357" s="10" t="n"/>
      <c r="E1357" s="14">
        <f>IF(D1357="","",IFERROR(INDEX('Sản phẩm'!$B$5:$B$304,MATCH(D1357,'Sản phẩm'!$A$5:$A$304,0)),""))</f>
        <v/>
      </c>
      <c r="F1357" s="12" t="n"/>
      <c r="G1357" s="11" t="n"/>
      <c r="H1357" s="11" t="n"/>
      <c r="I1357" s="16">
        <f>IF(D1357="","",IF(G1357&lt;&gt;"",G1357,IFERROR(INDEX('Sản phẩm'!$E$5:$E$304,MATCH(D1357,'Sản phẩm'!$A$5:$A$304,0)),"")))</f>
        <v/>
      </c>
      <c r="J1357" s="16">
        <f>IF(OR(D1357="",F1357=""),"",F1357*I1357-N(H1357))</f>
        <v/>
      </c>
      <c r="K1357" s="16">
        <f>IF(OR(D1357="",F1357=""),"",F1357*IFERROR(INDEX('Sản phẩm'!$D$5:$D$304,MATCH(D1357,'Sản phẩm'!$A$5:$A$304,0)),""))</f>
        <v/>
      </c>
      <c r="L1357" s="16">
        <f>IF(J1357="","",J1357-K1357)</f>
        <v/>
      </c>
      <c r="M1357" s="14">
        <f>IF(A1357="","",MONTH(A1357))</f>
        <v/>
      </c>
      <c r="N1357" s="14">
        <f>IF(A1357="","",YEAR(A1357))</f>
        <v/>
      </c>
    </row>
    <row r="1358">
      <c r="A1358" s="15" t="n"/>
      <c r="B1358" s="10" t="n"/>
      <c r="C1358" s="10" t="n"/>
      <c r="D1358" s="10" t="n"/>
      <c r="E1358" s="14">
        <f>IF(D1358="","",IFERROR(INDEX('Sản phẩm'!$B$5:$B$304,MATCH(D1358,'Sản phẩm'!$A$5:$A$304,0)),""))</f>
        <v/>
      </c>
      <c r="F1358" s="12" t="n"/>
      <c r="G1358" s="11" t="n"/>
      <c r="H1358" s="11" t="n"/>
      <c r="I1358" s="16">
        <f>IF(D1358="","",IF(G1358&lt;&gt;"",G1358,IFERROR(INDEX('Sản phẩm'!$E$5:$E$304,MATCH(D1358,'Sản phẩm'!$A$5:$A$304,0)),"")))</f>
        <v/>
      </c>
      <c r="J1358" s="16">
        <f>IF(OR(D1358="",F1358=""),"",F1358*I1358-N(H1358))</f>
        <v/>
      </c>
      <c r="K1358" s="16">
        <f>IF(OR(D1358="",F1358=""),"",F1358*IFERROR(INDEX('Sản phẩm'!$D$5:$D$304,MATCH(D1358,'Sản phẩm'!$A$5:$A$304,0)),""))</f>
        <v/>
      </c>
      <c r="L1358" s="16">
        <f>IF(J1358="","",J1358-K1358)</f>
        <v/>
      </c>
      <c r="M1358" s="14">
        <f>IF(A1358="","",MONTH(A1358))</f>
        <v/>
      </c>
      <c r="N1358" s="14">
        <f>IF(A1358="","",YEAR(A1358))</f>
        <v/>
      </c>
    </row>
    <row r="1359">
      <c r="A1359" s="15" t="n"/>
      <c r="B1359" s="10" t="n"/>
      <c r="C1359" s="10" t="n"/>
      <c r="D1359" s="10" t="n"/>
      <c r="E1359" s="14">
        <f>IF(D1359="","",IFERROR(INDEX('Sản phẩm'!$B$5:$B$304,MATCH(D1359,'Sản phẩm'!$A$5:$A$304,0)),""))</f>
        <v/>
      </c>
      <c r="F1359" s="12" t="n"/>
      <c r="G1359" s="11" t="n"/>
      <c r="H1359" s="11" t="n"/>
      <c r="I1359" s="16">
        <f>IF(D1359="","",IF(G1359&lt;&gt;"",G1359,IFERROR(INDEX('Sản phẩm'!$E$5:$E$304,MATCH(D1359,'Sản phẩm'!$A$5:$A$304,0)),"")))</f>
        <v/>
      </c>
      <c r="J1359" s="16">
        <f>IF(OR(D1359="",F1359=""),"",F1359*I1359-N(H1359))</f>
        <v/>
      </c>
      <c r="K1359" s="16">
        <f>IF(OR(D1359="",F1359=""),"",F1359*IFERROR(INDEX('Sản phẩm'!$D$5:$D$304,MATCH(D1359,'Sản phẩm'!$A$5:$A$304,0)),""))</f>
        <v/>
      </c>
      <c r="L1359" s="16">
        <f>IF(J1359="","",J1359-K1359)</f>
        <v/>
      </c>
      <c r="M1359" s="14">
        <f>IF(A1359="","",MONTH(A1359))</f>
        <v/>
      </c>
      <c r="N1359" s="14">
        <f>IF(A1359="","",YEAR(A1359))</f>
        <v/>
      </c>
    </row>
    <row r="1360">
      <c r="A1360" s="15" t="n"/>
      <c r="B1360" s="10" t="n"/>
      <c r="C1360" s="10" t="n"/>
      <c r="D1360" s="10" t="n"/>
      <c r="E1360" s="14">
        <f>IF(D1360="","",IFERROR(INDEX('Sản phẩm'!$B$5:$B$304,MATCH(D1360,'Sản phẩm'!$A$5:$A$304,0)),""))</f>
        <v/>
      </c>
      <c r="F1360" s="12" t="n"/>
      <c r="G1360" s="11" t="n"/>
      <c r="H1360" s="11" t="n"/>
      <c r="I1360" s="16">
        <f>IF(D1360="","",IF(G1360&lt;&gt;"",G1360,IFERROR(INDEX('Sản phẩm'!$E$5:$E$304,MATCH(D1360,'Sản phẩm'!$A$5:$A$304,0)),"")))</f>
        <v/>
      </c>
      <c r="J1360" s="16">
        <f>IF(OR(D1360="",F1360=""),"",F1360*I1360-N(H1360))</f>
        <v/>
      </c>
      <c r="K1360" s="16">
        <f>IF(OR(D1360="",F1360=""),"",F1360*IFERROR(INDEX('Sản phẩm'!$D$5:$D$304,MATCH(D1360,'Sản phẩm'!$A$5:$A$304,0)),""))</f>
        <v/>
      </c>
      <c r="L1360" s="16">
        <f>IF(J1360="","",J1360-K1360)</f>
        <v/>
      </c>
      <c r="M1360" s="14">
        <f>IF(A1360="","",MONTH(A1360))</f>
        <v/>
      </c>
      <c r="N1360" s="14">
        <f>IF(A1360="","",YEAR(A1360))</f>
        <v/>
      </c>
    </row>
    <row r="1361">
      <c r="A1361" s="15" t="n"/>
      <c r="B1361" s="10" t="n"/>
      <c r="C1361" s="10" t="n"/>
      <c r="D1361" s="10" t="n"/>
      <c r="E1361" s="14">
        <f>IF(D1361="","",IFERROR(INDEX('Sản phẩm'!$B$5:$B$304,MATCH(D1361,'Sản phẩm'!$A$5:$A$304,0)),""))</f>
        <v/>
      </c>
      <c r="F1361" s="12" t="n"/>
      <c r="G1361" s="11" t="n"/>
      <c r="H1361" s="11" t="n"/>
      <c r="I1361" s="16">
        <f>IF(D1361="","",IF(G1361&lt;&gt;"",G1361,IFERROR(INDEX('Sản phẩm'!$E$5:$E$304,MATCH(D1361,'Sản phẩm'!$A$5:$A$304,0)),"")))</f>
        <v/>
      </c>
      <c r="J1361" s="16">
        <f>IF(OR(D1361="",F1361=""),"",F1361*I1361-N(H1361))</f>
        <v/>
      </c>
      <c r="K1361" s="16">
        <f>IF(OR(D1361="",F1361=""),"",F1361*IFERROR(INDEX('Sản phẩm'!$D$5:$D$304,MATCH(D1361,'Sản phẩm'!$A$5:$A$304,0)),""))</f>
        <v/>
      </c>
      <c r="L1361" s="16">
        <f>IF(J1361="","",J1361-K1361)</f>
        <v/>
      </c>
      <c r="M1361" s="14">
        <f>IF(A1361="","",MONTH(A1361))</f>
        <v/>
      </c>
      <c r="N1361" s="14">
        <f>IF(A1361="","",YEAR(A1361))</f>
        <v/>
      </c>
    </row>
    <row r="1362">
      <c r="A1362" s="15" t="n"/>
      <c r="B1362" s="10" t="n"/>
      <c r="C1362" s="10" t="n"/>
      <c r="D1362" s="10" t="n"/>
      <c r="E1362" s="14">
        <f>IF(D1362="","",IFERROR(INDEX('Sản phẩm'!$B$5:$B$304,MATCH(D1362,'Sản phẩm'!$A$5:$A$304,0)),""))</f>
        <v/>
      </c>
      <c r="F1362" s="12" t="n"/>
      <c r="G1362" s="11" t="n"/>
      <c r="H1362" s="11" t="n"/>
      <c r="I1362" s="16">
        <f>IF(D1362="","",IF(G1362&lt;&gt;"",G1362,IFERROR(INDEX('Sản phẩm'!$E$5:$E$304,MATCH(D1362,'Sản phẩm'!$A$5:$A$304,0)),"")))</f>
        <v/>
      </c>
      <c r="J1362" s="16">
        <f>IF(OR(D1362="",F1362=""),"",F1362*I1362-N(H1362))</f>
        <v/>
      </c>
      <c r="K1362" s="16">
        <f>IF(OR(D1362="",F1362=""),"",F1362*IFERROR(INDEX('Sản phẩm'!$D$5:$D$304,MATCH(D1362,'Sản phẩm'!$A$5:$A$304,0)),""))</f>
        <v/>
      </c>
      <c r="L1362" s="16">
        <f>IF(J1362="","",J1362-K1362)</f>
        <v/>
      </c>
      <c r="M1362" s="14">
        <f>IF(A1362="","",MONTH(A1362))</f>
        <v/>
      </c>
      <c r="N1362" s="14">
        <f>IF(A1362="","",YEAR(A1362))</f>
        <v/>
      </c>
    </row>
    <row r="1363">
      <c r="A1363" s="15" t="n"/>
      <c r="B1363" s="10" t="n"/>
      <c r="C1363" s="10" t="n"/>
      <c r="D1363" s="10" t="n"/>
      <c r="E1363" s="14">
        <f>IF(D1363="","",IFERROR(INDEX('Sản phẩm'!$B$5:$B$304,MATCH(D1363,'Sản phẩm'!$A$5:$A$304,0)),""))</f>
        <v/>
      </c>
      <c r="F1363" s="12" t="n"/>
      <c r="G1363" s="11" t="n"/>
      <c r="H1363" s="11" t="n"/>
      <c r="I1363" s="16">
        <f>IF(D1363="","",IF(G1363&lt;&gt;"",G1363,IFERROR(INDEX('Sản phẩm'!$E$5:$E$304,MATCH(D1363,'Sản phẩm'!$A$5:$A$304,0)),"")))</f>
        <v/>
      </c>
      <c r="J1363" s="16">
        <f>IF(OR(D1363="",F1363=""),"",F1363*I1363-N(H1363))</f>
        <v/>
      </c>
      <c r="K1363" s="16">
        <f>IF(OR(D1363="",F1363=""),"",F1363*IFERROR(INDEX('Sản phẩm'!$D$5:$D$304,MATCH(D1363,'Sản phẩm'!$A$5:$A$304,0)),""))</f>
        <v/>
      </c>
      <c r="L1363" s="16">
        <f>IF(J1363="","",J1363-K1363)</f>
        <v/>
      </c>
      <c r="M1363" s="14">
        <f>IF(A1363="","",MONTH(A1363))</f>
        <v/>
      </c>
      <c r="N1363" s="14">
        <f>IF(A1363="","",YEAR(A1363))</f>
        <v/>
      </c>
    </row>
    <row r="1364">
      <c r="A1364" s="15" t="n"/>
      <c r="B1364" s="10" t="n"/>
      <c r="C1364" s="10" t="n"/>
      <c r="D1364" s="10" t="n"/>
      <c r="E1364" s="14">
        <f>IF(D1364="","",IFERROR(INDEX('Sản phẩm'!$B$5:$B$304,MATCH(D1364,'Sản phẩm'!$A$5:$A$304,0)),""))</f>
        <v/>
      </c>
      <c r="F1364" s="12" t="n"/>
      <c r="G1364" s="11" t="n"/>
      <c r="H1364" s="11" t="n"/>
      <c r="I1364" s="16">
        <f>IF(D1364="","",IF(G1364&lt;&gt;"",G1364,IFERROR(INDEX('Sản phẩm'!$E$5:$E$304,MATCH(D1364,'Sản phẩm'!$A$5:$A$304,0)),"")))</f>
        <v/>
      </c>
      <c r="J1364" s="16">
        <f>IF(OR(D1364="",F1364=""),"",F1364*I1364-N(H1364))</f>
        <v/>
      </c>
      <c r="K1364" s="16">
        <f>IF(OR(D1364="",F1364=""),"",F1364*IFERROR(INDEX('Sản phẩm'!$D$5:$D$304,MATCH(D1364,'Sản phẩm'!$A$5:$A$304,0)),""))</f>
        <v/>
      </c>
      <c r="L1364" s="16">
        <f>IF(J1364="","",J1364-K1364)</f>
        <v/>
      </c>
      <c r="M1364" s="14">
        <f>IF(A1364="","",MONTH(A1364))</f>
        <v/>
      </c>
      <c r="N1364" s="14">
        <f>IF(A1364="","",YEAR(A1364))</f>
        <v/>
      </c>
    </row>
    <row r="1365">
      <c r="A1365" s="15" t="n"/>
      <c r="B1365" s="10" t="n"/>
      <c r="C1365" s="10" t="n"/>
      <c r="D1365" s="10" t="n"/>
      <c r="E1365" s="14">
        <f>IF(D1365="","",IFERROR(INDEX('Sản phẩm'!$B$5:$B$304,MATCH(D1365,'Sản phẩm'!$A$5:$A$304,0)),""))</f>
        <v/>
      </c>
      <c r="F1365" s="12" t="n"/>
      <c r="G1365" s="11" t="n"/>
      <c r="H1365" s="11" t="n"/>
      <c r="I1365" s="16">
        <f>IF(D1365="","",IF(G1365&lt;&gt;"",G1365,IFERROR(INDEX('Sản phẩm'!$E$5:$E$304,MATCH(D1365,'Sản phẩm'!$A$5:$A$304,0)),"")))</f>
        <v/>
      </c>
      <c r="J1365" s="16">
        <f>IF(OR(D1365="",F1365=""),"",F1365*I1365-N(H1365))</f>
        <v/>
      </c>
      <c r="K1365" s="16">
        <f>IF(OR(D1365="",F1365=""),"",F1365*IFERROR(INDEX('Sản phẩm'!$D$5:$D$304,MATCH(D1365,'Sản phẩm'!$A$5:$A$304,0)),""))</f>
        <v/>
      </c>
      <c r="L1365" s="16">
        <f>IF(J1365="","",J1365-K1365)</f>
        <v/>
      </c>
      <c r="M1365" s="14">
        <f>IF(A1365="","",MONTH(A1365))</f>
        <v/>
      </c>
      <c r="N1365" s="14">
        <f>IF(A1365="","",YEAR(A1365))</f>
        <v/>
      </c>
    </row>
    <row r="1366">
      <c r="A1366" s="15" t="n"/>
      <c r="B1366" s="10" t="n"/>
      <c r="C1366" s="10" t="n"/>
      <c r="D1366" s="10" t="n"/>
      <c r="E1366" s="14">
        <f>IF(D1366="","",IFERROR(INDEX('Sản phẩm'!$B$5:$B$304,MATCH(D1366,'Sản phẩm'!$A$5:$A$304,0)),""))</f>
        <v/>
      </c>
      <c r="F1366" s="12" t="n"/>
      <c r="G1366" s="11" t="n"/>
      <c r="H1366" s="11" t="n"/>
      <c r="I1366" s="16">
        <f>IF(D1366="","",IF(G1366&lt;&gt;"",G1366,IFERROR(INDEX('Sản phẩm'!$E$5:$E$304,MATCH(D1366,'Sản phẩm'!$A$5:$A$304,0)),"")))</f>
        <v/>
      </c>
      <c r="J1366" s="16">
        <f>IF(OR(D1366="",F1366=""),"",F1366*I1366-N(H1366))</f>
        <v/>
      </c>
      <c r="K1366" s="16">
        <f>IF(OR(D1366="",F1366=""),"",F1366*IFERROR(INDEX('Sản phẩm'!$D$5:$D$304,MATCH(D1366,'Sản phẩm'!$A$5:$A$304,0)),""))</f>
        <v/>
      </c>
      <c r="L1366" s="16">
        <f>IF(J1366="","",J1366-K1366)</f>
        <v/>
      </c>
      <c r="M1366" s="14">
        <f>IF(A1366="","",MONTH(A1366))</f>
        <v/>
      </c>
      <c r="N1366" s="14">
        <f>IF(A1366="","",YEAR(A1366))</f>
        <v/>
      </c>
    </row>
    <row r="1367">
      <c r="A1367" s="15" t="n"/>
      <c r="B1367" s="10" t="n"/>
      <c r="C1367" s="10" t="n"/>
      <c r="D1367" s="10" t="n"/>
      <c r="E1367" s="14">
        <f>IF(D1367="","",IFERROR(INDEX('Sản phẩm'!$B$5:$B$304,MATCH(D1367,'Sản phẩm'!$A$5:$A$304,0)),""))</f>
        <v/>
      </c>
      <c r="F1367" s="12" t="n"/>
      <c r="G1367" s="11" t="n"/>
      <c r="H1367" s="11" t="n"/>
      <c r="I1367" s="16">
        <f>IF(D1367="","",IF(G1367&lt;&gt;"",G1367,IFERROR(INDEX('Sản phẩm'!$E$5:$E$304,MATCH(D1367,'Sản phẩm'!$A$5:$A$304,0)),"")))</f>
        <v/>
      </c>
      <c r="J1367" s="16">
        <f>IF(OR(D1367="",F1367=""),"",F1367*I1367-N(H1367))</f>
        <v/>
      </c>
      <c r="K1367" s="16">
        <f>IF(OR(D1367="",F1367=""),"",F1367*IFERROR(INDEX('Sản phẩm'!$D$5:$D$304,MATCH(D1367,'Sản phẩm'!$A$5:$A$304,0)),""))</f>
        <v/>
      </c>
      <c r="L1367" s="16">
        <f>IF(J1367="","",J1367-K1367)</f>
        <v/>
      </c>
      <c r="M1367" s="14">
        <f>IF(A1367="","",MONTH(A1367))</f>
        <v/>
      </c>
      <c r="N1367" s="14">
        <f>IF(A1367="","",YEAR(A1367))</f>
        <v/>
      </c>
    </row>
    <row r="1368">
      <c r="A1368" s="15" t="n"/>
      <c r="B1368" s="10" t="n"/>
      <c r="C1368" s="10" t="n"/>
      <c r="D1368" s="10" t="n"/>
      <c r="E1368" s="14">
        <f>IF(D1368="","",IFERROR(INDEX('Sản phẩm'!$B$5:$B$304,MATCH(D1368,'Sản phẩm'!$A$5:$A$304,0)),""))</f>
        <v/>
      </c>
      <c r="F1368" s="12" t="n"/>
      <c r="G1368" s="11" t="n"/>
      <c r="H1368" s="11" t="n"/>
      <c r="I1368" s="16">
        <f>IF(D1368="","",IF(G1368&lt;&gt;"",G1368,IFERROR(INDEX('Sản phẩm'!$E$5:$E$304,MATCH(D1368,'Sản phẩm'!$A$5:$A$304,0)),"")))</f>
        <v/>
      </c>
      <c r="J1368" s="16">
        <f>IF(OR(D1368="",F1368=""),"",F1368*I1368-N(H1368))</f>
        <v/>
      </c>
      <c r="K1368" s="16">
        <f>IF(OR(D1368="",F1368=""),"",F1368*IFERROR(INDEX('Sản phẩm'!$D$5:$D$304,MATCH(D1368,'Sản phẩm'!$A$5:$A$304,0)),""))</f>
        <v/>
      </c>
      <c r="L1368" s="16">
        <f>IF(J1368="","",J1368-K1368)</f>
        <v/>
      </c>
      <c r="M1368" s="14">
        <f>IF(A1368="","",MONTH(A1368))</f>
        <v/>
      </c>
      <c r="N1368" s="14">
        <f>IF(A1368="","",YEAR(A1368))</f>
        <v/>
      </c>
    </row>
    <row r="1369">
      <c r="A1369" s="15" t="n"/>
      <c r="B1369" s="10" t="n"/>
      <c r="C1369" s="10" t="n"/>
      <c r="D1369" s="10" t="n"/>
      <c r="E1369" s="14">
        <f>IF(D1369="","",IFERROR(INDEX('Sản phẩm'!$B$5:$B$304,MATCH(D1369,'Sản phẩm'!$A$5:$A$304,0)),""))</f>
        <v/>
      </c>
      <c r="F1369" s="12" t="n"/>
      <c r="G1369" s="11" t="n"/>
      <c r="H1369" s="11" t="n"/>
      <c r="I1369" s="16">
        <f>IF(D1369="","",IF(G1369&lt;&gt;"",G1369,IFERROR(INDEX('Sản phẩm'!$E$5:$E$304,MATCH(D1369,'Sản phẩm'!$A$5:$A$304,0)),"")))</f>
        <v/>
      </c>
      <c r="J1369" s="16">
        <f>IF(OR(D1369="",F1369=""),"",F1369*I1369-N(H1369))</f>
        <v/>
      </c>
      <c r="K1369" s="16">
        <f>IF(OR(D1369="",F1369=""),"",F1369*IFERROR(INDEX('Sản phẩm'!$D$5:$D$304,MATCH(D1369,'Sản phẩm'!$A$5:$A$304,0)),""))</f>
        <v/>
      </c>
      <c r="L1369" s="16">
        <f>IF(J1369="","",J1369-K1369)</f>
        <v/>
      </c>
      <c r="M1369" s="14">
        <f>IF(A1369="","",MONTH(A1369))</f>
        <v/>
      </c>
      <c r="N1369" s="14">
        <f>IF(A1369="","",YEAR(A1369))</f>
        <v/>
      </c>
    </row>
    <row r="1370">
      <c r="A1370" s="15" t="n"/>
      <c r="B1370" s="10" t="n"/>
      <c r="C1370" s="10" t="n"/>
      <c r="D1370" s="10" t="n"/>
      <c r="E1370" s="14">
        <f>IF(D1370="","",IFERROR(INDEX('Sản phẩm'!$B$5:$B$304,MATCH(D1370,'Sản phẩm'!$A$5:$A$304,0)),""))</f>
        <v/>
      </c>
      <c r="F1370" s="12" t="n"/>
      <c r="G1370" s="11" t="n"/>
      <c r="H1370" s="11" t="n"/>
      <c r="I1370" s="16">
        <f>IF(D1370="","",IF(G1370&lt;&gt;"",G1370,IFERROR(INDEX('Sản phẩm'!$E$5:$E$304,MATCH(D1370,'Sản phẩm'!$A$5:$A$304,0)),"")))</f>
        <v/>
      </c>
      <c r="J1370" s="16">
        <f>IF(OR(D1370="",F1370=""),"",F1370*I1370-N(H1370))</f>
        <v/>
      </c>
      <c r="K1370" s="16">
        <f>IF(OR(D1370="",F1370=""),"",F1370*IFERROR(INDEX('Sản phẩm'!$D$5:$D$304,MATCH(D1370,'Sản phẩm'!$A$5:$A$304,0)),""))</f>
        <v/>
      </c>
      <c r="L1370" s="16">
        <f>IF(J1370="","",J1370-K1370)</f>
        <v/>
      </c>
      <c r="M1370" s="14">
        <f>IF(A1370="","",MONTH(A1370))</f>
        <v/>
      </c>
      <c r="N1370" s="14">
        <f>IF(A1370="","",YEAR(A1370))</f>
        <v/>
      </c>
    </row>
    <row r="1371">
      <c r="A1371" s="15" t="n"/>
      <c r="B1371" s="10" t="n"/>
      <c r="C1371" s="10" t="n"/>
      <c r="D1371" s="10" t="n"/>
      <c r="E1371" s="14">
        <f>IF(D1371="","",IFERROR(INDEX('Sản phẩm'!$B$5:$B$304,MATCH(D1371,'Sản phẩm'!$A$5:$A$304,0)),""))</f>
        <v/>
      </c>
      <c r="F1371" s="12" t="n"/>
      <c r="G1371" s="11" t="n"/>
      <c r="H1371" s="11" t="n"/>
      <c r="I1371" s="16">
        <f>IF(D1371="","",IF(G1371&lt;&gt;"",G1371,IFERROR(INDEX('Sản phẩm'!$E$5:$E$304,MATCH(D1371,'Sản phẩm'!$A$5:$A$304,0)),"")))</f>
        <v/>
      </c>
      <c r="J1371" s="16">
        <f>IF(OR(D1371="",F1371=""),"",F1371*I1371-N(H1371))</f>
        <v/>
      </c>
      <c r="K1371" s="16">
        <f>IF(OR(D1371="",F1371=""),"",F1371*IFERROR(INDEX('Sản phẩm'!$D$5:$D$304,MATCH(D1371,'Sản phẩm'!$A$5:$A$304,0)),""))</f>
        <v/>
      </c>
      <c r="L1371" s="16">
        <f>IF(J1371="","",J1371-K1371)</f>
        <v/>
      </c>
      <c r="M1371" s="14">
        <f>IF(A1371="","",MONTH(A1371))</f>
        <v/>
      </c>
      <c r="N1371" s="14">
        <f>IF(A1371="","",YEAR(A1371))</f>
        <v/>
      </c>
    </row>
    <row r="1372">
      <c r="A1372" s="15" t="n"/>
      <c r="B1372" s="10" t="n"/>
      <c r="C1372" s="10" t="n"/>
      <c r="D1372" s="10" t="n"/>
      <c r="E1372" s="14">
        <f>IF(D1372="","",IFERROR(INDEX('Sản phẩm'!$B$5:$B$304,MATCH(D1372,'Sản phẩm'!$A$5:$A$304,0)),""))</f>
        <v/>
      </c>
      <c r="F1372" s="12" t="n"/>
      <c r="G1372" s="11" t="n"/>
      <c r="H1372" s="11" t="n"/>
      <c r="I1372" s="16">
        <f>IF(D1372="","",IF(G1372&lt;&gt;"",G1372,IFERROR(INDEX('Sản phẩm'!$E$5:$E$304,MATCH(D1372,'Sản phẩm'!$A$5:$A$304,0)),"")))</f>
        <v/>
      </c>
      <c r="J1372" s="16">
        <f>IF(OR(D1372="",F1372=""),"",F1372*I1372-N(H1372))</f>
        <v/>
      </c>
      <c r="K1372" s="16">
        <f>IF(OR(D1372="",F1372=""),"",F1372*IFERROR(INDEX('Sản phẩm'!$D$5:$D$304,MATCH(D1372,'Sản phẩm'!$A$5:$A$304,0)),""))</f>
        <v/>
      </c>
      <c r="L1372" s="16">
        <f>IF(J1372="","",J1372-K1372)</f>
        <v/>
      </c>
      <c r="M1372" s="14">
        <f>IF(A1372="","",MONTH(A1372))</f>
        <v/>
      </c>
      <c r="N1372" s="14">
        <f>IF(A1372="","",YEAR(A1372))</f>
        <v/>
      </c>
    </row>
    <row r="1373">
      <c r="A1373" s="15" t="n"/>
      <c r="B1373" s="10" t="n"/>
      <c r="C1373" s="10" t="n"/>
      <c r="D1373" s="10" t="n"/>
      <c r="E1373" s="14">
        <f>IF(D1373="","",IFERROR(INDEX('Sản phẩm'!$B$5:$B$304,MATCH(D1373,'Sản phẩm'!$A$5:$A$304,0)),""))</f>
        <v/>
      </c>
      <c r="F1373" s="12" t="n"/>
      <c r="G1373" s="11" t="n"/>
      <c r="H1373" s="11" t="n"/>
      <c r="I1373" s="16">
        <f>IF(D1373="","",IF(G1373&lt;&gt;"",G1373,IFERROR(INDEX('Sản phẩm'!$E$5:$E$304,MATCH(D1373,'Sản phẩm'!$A$5:$A$304,0)),"")))</f>
        <v/>
      </c>
      <c r="J1373" s="16">
        <f>IF(OR(D1373="",F1373=""),"",F1373*I1373-N(H1373))</f>
        <v/>
      </c>
      <c r="K1373" s="16">
        <f>IF(OR(D1373="",F1373=""),"",F1373*IFERROR(INDEX('Sản phẩm'!$D$5:$D$304,MATCH(D1373,'Sản phẩm'!$A$5:$A$304,0)),""))</f>
        <v/>
      </c>
      <c r="L1373" s="16">
        <f>IF(J1373="","",J1373-K1373)</f>
        <v/>
      </c>
      <c r="M1373" s="14">
        <f>IF(A1373="","",MONTH(A1373))</f>
        <v/>
      </c>
      <c r="N1373" s="14">
        <f>IF(A1373="","",YEAR(A1373))</f>
        <v/>
      </c>
    </row>
    <row r="1374">
      <c r="A1374" s="15" t="n"/>
      <c r="B1374" s="10" t="n"/>
      <c r="C1374" s="10" t="n"/>
      <c r="D1374" s="10" t="n"/>
      <c r="E1374" s="14">
        <f>IF(D1374="","",IFERROR(INDEX('Sản phẩm'!$B$5:$B$304,MATCH(D1374,'Sản phẩm'!$A$5:$A$304,0)),""))</f>
        <v/>
      </c>
      <c r="F1374" s="12" t="n"/>
      <c r="G1374" s="11" t="n"/>
      <c r="H1374" s="11" t="n"/>
      <c r="I1374" s="16">
        <f>IF(D1374="","",IF(G1374&lt;&gt;"",G1374,IFERROR(INDEX('Sản phẩm'!$E$5:$E$304,MATCH(D1374,'Sản phẩm'!$A$5:$A$304,0)),"")))</f>
        <v/>
      </c>
      <c r="J1374" s="16">
        <f>IF(OR(D1374="",F1374=""),"",F1374*I1374-N(H1374))</f>
        <v/>
      </c>
      <c r="K1374" s="16">
        <f>IF(OR(D1374="",F1374=""),"",F1374*IFERROR(INDEX('Sản phẩm'!$D$5:$D$304,MATCH(D1374,'Sản phẩm'!$A$5:$A$304,0)),""))</f>
        <v/>
      </c>
      <c r="L1374" s="16">
        <f>IF(J1374="","",J1374-K1374)</f>
        <v/>
      </c>
      <c r="M1374" s="14">
        <f>IF(A1374="","",MONTH(A1374))</f>
        <v/>
      </c>
      <c r="N1374" s="14">
        <f>IF(A1374="","",YEAR(A1374))</f>
        <v/>
      </c>
    </row>
    <row r="1375">
      <c r="A1375" s="15" t="n"/>
      <c r="B1375" s="10" t="n"/>
      <c r="C1375" s="10" t="n"/>
      <c r="D1375" s="10" t="n"/>
      <c r="E1375" s="14">
        <f>IF(D1375="","",IFERROR(INDEX('Sản phẩm'!$B$5:$B$304,MATCH(D1375,'Sản phẩm'!$A$5:$A$304,0)),""))</f>
        <v/>
      </c>
      <c r="F1375" s="12" t="n"/>
      <c r="G1375" s="11" t="n"/>
      <c r="H1375" s="11" t="n"/>
      <c r="I1375" s="16">
        <f>IF(D1375="","",IF(G1375&lt;&gt;"",G1375,IFERROR(INDEX('Sản phẩm'!$E$5:$E$304,MATCH(D1375,'Sản phẩm'!$A$5:$A$304,0)),"")))</f>
        <v/>
      </c>
      <c r="J1375" s="16">
        <f>IF(OR(D1375="",F1375=""),"",F1375*I1375-N(H1375))</f>
        <v/>
      </c>
      <c r="K1375" s="16">
        <f>IF(OR(D1375="",F1375=""),"",F1375*IFERROR(INDEX('Sản phẩm'!$D$5:$D$304,MATCH(D1375,'Sản phẩm'!$A$5:$A$304,0)),""))</f>
        <v/>
      </c>
      <c r="L1375" s="16">
        <f>IF(J1375="","",J1375-K1375)</f>
        <v/>
      </c>
      <c r="M1375" s="14">
        <f>IF(A1375="","",MONTH(A1375))</f>
        <v/>
      </c>
      <c r="N1375" s="14">
        <f>IF(A1375="","",YEAR(A1375))</f>
        <v/>
      </c>
    </row>
    <row r="1376">
      <c r="A1376" s="15" t="n"/>
      <c r="B1376" s="10" t="n"/>
      <c r="C1376" s="10" t="n"/>
      <c r="D1376" s="10" t="n"/>
      <c r="E1376" s="14">
        <f>IF(D1376="","",IFERROR(INDEX('Sản phẩm'!$B$5:$B$304,MATCH(D1376,'Sản phẩm'!$A$5:$A$304,0)),""))</f>
        <v/>
      </c>
      <c r="F1376" s="12" t="n"/>
      <c r="G1376" s="11" t="n"/>
      <c r="H1376" s="11" t="n"/>
      <c r="I1376" s="16">
        <f>IF(D1376="","",IF(G1376&lt;&gt;"",G1376,IFERROR(INDEX('Sản phẩm'!$E$5:$E$304,MATCH(D1376,'Sản phẩm'!$A$5:$A$304,0)),"")))</f>
        <v/>
      </c>
      <c r="J1376" s="16">
        <f>IF(OR(D1376="",F1376=""),"",F1376*I1376-N(H1376))</f>
        <v/>
      </c>
      <c r="K1376" s="16">
        <f>IF(OR(D1376="",F1376=""),"",F1376*IFERROR(INDEX('Sản phẩm'!$D$5:$D$304,MATCH(D1376,'Sản phẩm'!$A$5:$A$304,0)),""))</f>
        <v/>
      </c>
      <c r="L1376" s="16">
        <f>IF(J1376="","",J1376-K1376)</f>
        <v/>
      </c>
      <c r="M1376" s="14">
        <f>IF(A1376="","",MONTH(A1376))</f>
        <v/>
      </c>
      <c r="N1376" s="14">
        <f>IF(A1376="","",YEAR(A1376))</f>
        <v/>
      </c>
    </row>
    <row r="1377">
      <c r="A1377" s="15" t="n"/>
      <c r="B1377" s="10" t="n"/>
      <c r="C1377" s="10" t="n"/>
      <c r="D1377" s="10" t="n"/>
      <c r="E1377" s="14">
        <f>IF(D1377="","",IFERROR(INDEX('Sản phẩm'!$B$5:$B$304,MATCH(D1377,'Sản phẩm'!$A$5:$A$304,0)),""))</f>
        <v/>
      </c>
      <c r="F1377" s="12" t="n"/>
      <c r="G1377" s="11" t="n"/>
      <c r="H1377" s="11" t="n"/>
      <c r="I1377" s="16">
        <f>IF(D1377="","",IF(G1377&lt;&gt;"",G1377,IFERROR(INDEX('Sản phẩm'!$E$5:$E$304,MATCH(D1377,'Sản phẩm'!$A$5:$A$304,0)),"")))</f>
        <v/>
      </c>
      <c r="J1377" s="16">
        <f>IF(OR(D1377="",F1377=""),"",F1377*I1377-N(H1377))</f>
        <v/>
      </c>
      <c r="K1377" s="16">
        <f>IF(OR(D1377="",F1377=""),"",F1377*IFERROR(INDEX('Sản phẩm'!$D$5:$D$304,MATCH(D1377,'Sản phẩm'!$A$5:$A$304,0)),""))</f>
        <v/>
      </c>
      <c r="L1377" s="16">
        <f>IF(J1377="","",J1377-K1377)</f>
        <v/>
      </c>
      <c r="M1377" s="14">
        <f>IF(A1377="","",MONTH(A1377))</f>
        <v/>
      </c>
      <c r="N1377" s="14">
        <f>IF(A1377="","",YEAR(A1377))</f>
        <v/>
      </c>
    </row>
    <row r="1378">
      <c r="A1378" s="15" t="n"/>
      <c r="B1378" s="10" t="n"/>
      <c r="C1378" s="10" t="n"/>
      <c r="D1378" s="10" t="n"/>
      <c r="E1378" s="14">
        <f>IF(D1378="","",IFERROR(INDEX('Sản phẩm'!$B$5:$B$304,MATCH(D1378,'Sản phẩm'!$A$5:$A$304,0)),""))</f>
        <v/>
      </c>
      <c r="F1378" s="12" t="n"/>
      <c r="G1378" s="11" t="n"/>
      <c r="H1378" s="11" t="n"/>
      <c r="I1378" s="16">
        <f>IF(D1378="","",IF(G1378&lt;&gt;"",G1378,IFERROR(INDEX('Sản phẩm'!$E$5:$E$304,MATCH(D1378,'Sản phẩm'!$A$5:$A$304,0)),"")))</f>
        <v/>
      </c>
      <c r="J1378" s="16">
        <f>IF(OR(D1378="",F1378=""),"",F1378*I1378-N(H1378))</f>
        <v/>
      </c>
      <c r="K1378" s="16">
        <f>IF(OR(D1378="",F1378=""),"",F1378*IFERROR(INDEX('Sản phẩm'!$D$5:$D$304,MATCH(D1378,'Sản phẩm'!$A$5:$A$304,0)),""))</f>
        <v/>
      </c>
      <c r="L1378" s="16">
        <f>IF(J1378="","",J1378-K1378)</f>
        <v/>
      </c>
      <c r="M1378" s="14">
        <f>IF(A1378="","",MONTH(A1378))</f>
        <v/>
      </c>
      <c r="N1378" s="14">
        <f>IF(A1378="","",YEAR(A1378))</f>
        <v/>
      </c>
    </row>
    <row r="1379">
      <c r="A1379" s="15" t="n"/>
      <c r="B1379" s="10" t="n"/>
      <c r="C1379" s="10" t="n"/>
      <c r="D1379" s="10" t="n"/>
      <c r="E1379" s="14">
        <f>IF(D1379="","",IFERROR(INDEX('Sản phẩm'!$B$5:$B$304,MATCH(D1379,'Sản phẩm'!$A$5:$A$304,0)),""))</f>
        <v/>
      </c>
      <c r="F1379" s="12" t="n"/>
      <c r="G1379" s="11" t="n"/>
      <c r="H1379" s="11" t="n"/>
      <c r="I1379" s="16">
        <f>IF(D1379="","",IF(G1379&lt;&gt;"",G1379,IFERROR(INDEX('Sản phẩm'!$E$5:$E$304,MATCH(D1379,'Sản phẩm'!$A$5:$A$304,0)),"")))</f>
        <v/>
      </c>
      <c r="J1379" s="16">
        <f>IF(OR(D1379="",F1379=""),"",F1379*I1379-N(H1379))</f>
        <v/>
      </c>
      <c r="K1379" s="16">
        <f>IF(OR(D1379="",F1379=""),"",F1379*IFERROR(INDEX('Sản phẩm'!$D$5:$D$304,MATCH(D1379,'Sản phẩm'!$A$5:$A$304,0)),""))</f>
        <v/>
      </c>
      <c r="L1379" s="16">
        <f>IF(J1379="","",J1379-K1379)</f>
        <v/>
      </c>
      <c r="M1379" s="14">
        <f>IF(A1379="","",MONTH(A1379))</f>
        <v/>
      </c>
      <c r="N1379" s="14">
        <f>IF(A1379="","",YEAR(A1379))</f>
        <v/>
      </c>
    </row>
    <row r="1380">
      <c r="A1380" s="15" t="n"/>
      <c r="B1380" s="10" t="n"/>
      <c r="C1380" s="10" t="n"/>
      <c r="D1380" s="10" t="n"/>
      <c r="E1380" s="14">
        <f>IF(D1380="","",IFERROR(INDEX('Sản phẩm'!$B$5:$B$304,MATCH(D1380,'Sản phẩm'!$A$5:$A$304,0)),""))</f>
        <v/>
      </c>
      <c r="F1380" s="12" t="n"/>
      <c r="G1380" s="11" t="n"/>
      <c r="H1380" s="11" t="n"/>
      <c r="I1380" s="16">
        <f>IF(D1380="","",IF(G1380&lt;&gt;"",G1380,IFERROR(INDEX('Sản phẩm'!$E$5:$E$304,MATCH(D1380,'Sản phẩm'!$A$5:$A$304,0)),"")))</f>
        <v/>
      </c>
      <c r="J1380" s="16">
        <f>IF(OR(D1380="",F1380=""),"",F1380*I1380-N(H1380))</f>
        <v/>
      </c>
      <c r="K1380" s="16">
        <f>IF(OR(D1380="",F1380=""),"",F1380*IFERROR(INDEX('Sản phẩm'!$D$5:$D$304,MATCH(D1380,'Sản phẩm'!$A$5:$A$304,0)),""))</f>
        <v/>
      </c>
      <c r="L1380" s="16">
        <f>IF(J1380="","",J1380-K1380)</f>
        <v/>
      </c>
      <c r="M1380" s="14">
        <f>IF(A1380="","",MONTH(A1380))</f>
        <v/>
      </c>
      <c r="N1380" s="14">
        <f>IF(A1380="","",YEAR(A1380))</f>
        <v/>
      </c>
    </row>
    <row r="1381">
      <c r="A1381" s="15" t="n"/>
      <c r="B1381" s="10" t="n"/>
      <c r="C1381" s="10" t="n"/>
      <c r="D1381" s="10" t="n"/>
      <c r="E1381" s="14">
        <f>IF(D1381="","",IFERROR(INDEX('Sản phẩm'!$B$5:$B$304,MATCH(D1381,'Sản phẩm'!$A$5:$A$304,0)),""))</f>
        <v/>
      </c>
      <c r="F1381" s="12" t="n"/>
      <c r="G1381" s="11" t="n"/>
      <c r="H1381" s="11" t="n"/>
      <c r="I1381" s="16">
        <f>IF(D1381="","",IF(G1381&lt;&gt;"",G1381,IFERROR(INDEX('Sản phẩm'!$E$5:$E$304,MATCH(D1381,'Sản phẩm'!$A$5:$A$304,0)),"")))</f>
        <v/>
      </c>
      <c r="J1381" s="16">
        <f>IF(OR(D1381="",F1381=""),"",F1381*I1381-N(H1381))</f>
        <v/>
      </c>
      <c r="K1381" s="16">
        <f>IF(OR(D1381="",F1381=""),"",F1381*IFERROR(INDEX('Sản phẩm'!$D$5:$D$304,MATCH(D1381,'Sản phẩm'!$A$5:$A$304,0)),""))</f>
        <v/>
      </c>
      <c r="L1381" s="16">
        <f>IF(J1381="","",J1381-K1381)</f>
        <v/>
      </c>
      <c r="M1381" s="14">
        <f>IF(A1381="","",MONTH(A1381))</f>
        <v/>
      </c>
      <c r="N1381" s="14">
        <f>IF(A1381="","",YEAR(A1381))</f>
        <v/>
      </c>
    </row>
    <row r="1382">
      <c r="A1382" s="15" t="n"/>
      <c r="B1382" s="10" t="n"/>
      <c r="C1382" s="10" t="n"/>
      <c r="D1382" s="10" t="n"/>
      <c r="E1382" s="14">
        <f>IF(D1382="","",IFERROR(INDEX('Sản phẩm'!$B$5:$B$304,MATCH(D1382,'Sản phẩm'!$A$5:$A$304,0)),""))</f>
        <v/>
      </c>
      <c r="F1382" s="12" t="n"/>
      <c r="G1382" s="11" t="n"/>
      <c r="H1382" s="11" t="n"/>
      <c r="I1382" s="16">
        <f>IF(D1382="","",IF(G1382&lt;&gt;"",G1382,IFERROR(INDEX('Sản phẩm'!$E$5:$E$304,MATCH(D1382,'Sản phẩm'!$A$5:$A$304,0)),"")))</f>
        <v/>
      </c>
      <c r="J1382" s="16">
        <f>IF(OR(D1382="",F1382=""),"",F1382*I1382-N(H1382))</f>
        <v/>
      </c>
      <c r="K1382" s="16">
        <f>IF(OR(D1382="",F1382=""),"",F1382*IFERROR(INDEX('Sản phẩm'!$D$5:$D$304,MATCH(D1382,'Sản phẩm'!$A$5:$A$304,0)),""))</f>
        <v/>
      </c>
      <c r="L1382" s="16">
        <f>IF(J1382="","",J1382-K1382)</f>
        <v/>
      </c>
      <c r="M1382" s="14">
        <f>IF(A1382="","",MONTH(A1382))</f>
        <v/>
      </c>
      <c r="N1382" s="14">
        <f>IF(A1382="","",YEAR(A1382))</f>
        <v/>
      </c>
    </row>
    <row r="1383">
      <c r="A1383" s="15" t="n"/>
      <c r="B1383" s="10" t="n"/>
      <c r="C1383" s="10" t="n"/>
      <c r="D1383" s="10" t="n"/>
      <c r="E1383" s="14">
        <f>IF(D1383="","",IFERROR(INDEX('Sản phẩm'!$B$5:$B$304,MATCH(D1383,'Sản phẩm'!$A$5:$A$304,0)),""))</f>
        <v/>
      </c>
      <c r="F1383" s="12" t="n"/>
      <c r="G1383" s="11" t="n"/>
      <c r="H1383" s="11" t="n"/>
      <c r="I1383" s="16">
        <f>IF(D1383="","",IF(G1383&lt;&gt;"",G1383,IFERROR(INDEX('Sản phẩm'!$E$5:$E$304,MATCH(D1383,'Sản phẩm'!$A$5:$A$304,0)),"")))</f>
        <v/>
      </c>
      <c r="J1383" s="16">
        <f>IF(OR(D1383="",F1383=""),"",F1383*I1383-N(H1383))</f>
        <v/>
      </c>
      <c r="K1383" s="16">
        <f>IF(OR(D1383="",F1383=""),"",F1383*IFERROR(INDEX('Sản phẩm'!$D$5:$D$304,MATCH(D1383,'Sản phẩm'!$A$5:$A$304,0)),""))</f>
        <v/>
      </c>
      <c r="L1383" s="16">
        <f>IF(J1383="","",J1383-K1383)</f>
        <v/>
      </c>
      <c r="M1383" s="14">
        <f>IF(A1383="","",MONTH(A1383))</f>
        <v/>
      </c>
      <c r="N1383" s="14">
        <f>IF(A1383="","",YEAR(A1383))</f>
        <v/>
      </c>
    </row>
    <row r="1384">
      <c r="A1384" s="15" t="n"/>
      <c r="B1384" s="10" t="n"/>
      <c r="C1384" s="10" t="n"/>
      <c r="D1384" s="10" t="n"/>
      <c r="E1384" s="14">
        <f>IF(D1384="","",IFERROR(INDEX('Sản phẩm'!$B$5:$B$304,MATCH(D1384,'Sản phẩm'!$A$5:$A$304,0)),""))</f>
        <v/>
      </c>
      <c r="F1384" s="12" t="n"/>
      <c r="G1384" s="11" t="n"/>
      <c r="H1384" s="11" t="n"/>
      <c r="I1384" s="16">
        <f>IF(D1384="","",IF(G1384&lt;&gt;"",G1384,IFERROR(INDEX('Sản phẩm'!$E$5:$E$304,MATCH(D1384,'Sản phẩm'!$A$5:$A$304,0)),"")))</f>
        <v/>
      </c>
      <c r="J1384" s="16">
        <f>IF(OR(D1384="",F1384=""),"",F1384*I1384-N(H1384))</f>
        <v/>
      </c>
      <c r="K1384" s="16">
        <f>IF(OR(D1384="",F1384=""),"",F1384*IFERROR(INDEX('Sản phẩm'!$D$5:$D$304,MATCH(D1384,'Sản phẩm'!$A$5:$A$304,0)),""))</f>
        <v/>
      </c>
      <c r="L1384" s="16">
        <f>IF(J1384="","",J1384-K1384)</f>
        <v/>
      </c>
      <c r="M1384" s="14">
        <f>IF(A1384="","",MONTH(A1384))</f>
        <v/>
      </c>
      <c r="N1384" s="14">
        <f>IF(A1384="","",YEAR(A1384))</f>
        <v/>
      </c>
    </row>
    <row r="1385">
      <c r="A1385" s="15" t="n"/>
      <c r="B1385" s="10" t="n"/>
      <c r="C1385" s="10" t="n"/>
      <c r="D1385" s="10" t="n"/>
      <c r="E1385" s="14">
        <f>IF(D1385="","",IFERROR(INDEX('Sản phẩm'!$B$5:$B$304,MATCH(D1385,'Sản phẩm'!$A$5:$A$304,0)),""))</f>
        <v/>
      </c>
      <c r="F1385" s="12" t="n"/>
      <c r="G1385" s="11" t="n"/>
      <c r="H1385" s="11" t="n"/>
      <c r="I1385" s="16">
        <f>IF(D1385="","",IF(G1385&lt;&gt;"",G1385,IFERROR(INDEX('Sản phẩm'!$E$5:$E$304,MATCH(D1385,'Sản phẩm'!$A$5:$A$304,0)),"")))</f>
        <v/>
      </c>
      <c r="J1385" s="16">
        <f>IF(OR(D1385="",F1385=""),"",F1385*I1385-N(H1385))</f>
        <v/>
      </c>
      <c r="K1385" s="16">
        <f>IF(OR(D1385="",F1385=""),"",F1385*IFERROR(INDEX('Sản phẩm'!$D$5:$D$304,MATCH(D1385,'Sản phẩm'!$A$5:$A$304,0)),""))</f>
        <v/>
      </c>
      <c r="L1385" s="16">
        <f>IF(J1385="","",J1385-K1385)</f>
        <v/>
      </c>
      <c r="M1385" s="14">
        <f>IF(A1385="","",MONTH(A1385))</f>
        <v/>
      </c>
      <c r="N1385" s="14">
        <f>IF(A1385="","",YEAR(A1385))</f>
        <v/>
      </c>
    </row>
    <row r="1386">
      <c r="A1386" s="15" t="n"/>
      <c r="B1386" s="10" t="n"/>
      <c r="C1386" s="10" t="n"/>
      <c r="D1386" s="10" t="n"/>
      <c r="E1386" s="14">
        <f>IF(D1386="","",IFERROR(INDEX('Sản phẩm'!$B$5:$B$304,MATCH(D1386,'Sản phẩm'!$A$5:$A$304,0)),""))</f>
        <v/>
      </c>
      <c r="F1386" s="12" t="n"/>
      <c r="G1386" s="11" t="n"/>
      <c r="H1386" s="11" t="n"/>
      <c r="I1386" s="16">
        <f>IF(D1386="","",IF(G1386&lt;&gt;"",G1386,IFERROR(INDEX('Sản phẩm'!$E$5:$E$304,MATCH(D1386,'Sản phẩm'!$A$5:$A$304,0)),"")))</f>
        <v/>
      </c>
      <c r="J1386" s="16">
        <f>IF(OR(D1386="",F1386=""),"",F1386*I1386-N(H1386))</f>
        <v/>
      </c>
      <c r="K1386" s="16">
        <f>IF(OR(D1386="",F1386=""),"",F1386*IFERROR(INDEX('Sản phẩm'!$D$5:$D$304,MATCH(D1386,'Sản phẩm'!$A$5:$A$304,0)),""))</f>
        <v/>
      </c>
      <c r="L1386" s="16">
        <f>IF(J1386="","",J1386-K1386)</f>
        <v/>
      </c>
      <c r="M1386" s="14">
        <f>IF(A1386="","",MONTH(A1386))</f>
        <v/>
      </c>
      <c r="N1386" s="14">
        <f>IF(A1386="","",YEAR(A1386))</f>
        <v/>
      </c>
    </row>
    <row r="1387">
      <c r="A1387" s="15" t="n"/>
      <c r="B1387" s="10" t="n"/>
      <c r="C1387" s="10" t="n"/>
      <c r="D1387" s="10" t="n"/>
      <c r="E1387" s="14">
        <f>IF(D1387="","",IFERROR(INDEX('Sản phẩm'!$B$5:$B$304,MATCH(D1387,'Sản phẩm'!$A$5:$A$304,0)),""))</f>
        <v/>
      </c>
      <c r="F1387" s="12" t="n"/>
      <c r="G1387" s="11" t="n"/>
      <c r="H1387" s="11" t="n"/>
      <c r="I1387" s="16">
        <f>IF(D1387="","",IF(G1387&lt;&gt;"",G1387,IFERROR(INDEX('Sản phẩm'!$E$5:$E$304,MATCH(D1387,'Sản phẩm'!$A$5:$A$304,0)),"")))</f>
        <v/>
      </c>
      <c r="J1387" s="16">
        <f>IF(OR(D1387="",F1387=""),"",F1387*I1387-N(H1387))</f>
        <v/>
      </c>
      <c r="K1387" s="16">
        <f>IF(OR(D1387="",F1387=""),"",F1387*IFERROR(INDEX('Sản phẩm'!$D$5:$D$304,MATCH(D1387,'Sản phẩm'!$A$5:$A$304,0)),""))</f>
        <v/>
      </c>
      <c r="L1387" s="16">
        <f>IF(J1387="","",J1387-K1387)</f>
        <v/>
      </c>
      <c r="M1387" s="14">
        <f>IF(A1387="","",MONTH(A1387))</f>
        <v/>
      </c>
      <c r="N1387" s="14">
        <f>IF(A1387="","",YEAR(A1387))</f>
        <v/>
      </c>
    </row>
    <row r="1388">
      <c r="A1388" s="15" t="n"/>
      <c r="B1388" s="10" t="n"/>
      <c r="C1388" s="10" t="n"/>
      <c r="D1388" s="10" t="n"/>
      <c r="E1388" s="14">
        <f>IF(D1388="","",IFERROR(INDEX('Sản phẩm'!$B$5:$B$304,MATCH(D1388,'Sản phẩm'!$A$5:$A$304,0)),""))</f>
        <v/>
      </c>
      <c r="F1388" s="12" t="n"/>
      <c r="G1388" s="11" t="n"/>
      <c r="H1388" s="11" t="n"/>
      <c r="I1388" s="16">
        <f>IF(D1388="","",IF(G1388&lt;&gt;"",G1388,IFERROR(INDEX('Sản phẩm'!$E$5:$E$304,MATCH(D1388,'Sản phẩm'!$A$5:$A$304,0)),"")))</f>
        <v/>
      </c>
      <c r="J1388" s="16">
        <f>IF(OR(D1388="",F1388=""),"",F1388*I1388-N(H1388))</f>
        <v/>
      </c>
      <c r="K1388" s="16">
        <f>IF(OR(D1388="",F1388=""),"",F1388*IFERROR(INDEX('Sản phẩm'!$D$5:$D$304,MATCH(D1388,'Sản phẩm'!$A$5:$A$304,0)),""))</f>
        <v/>
      </c>
      <c r="L1388" s="16">
        <f>IF(J1388="","",J1388-K1388)</f>
        <v/>
      </c>
      <c r="M1388" s="14">
        <f>IF(A1388="","",MONTH(A1388))</f>
        <v/>
      </c>
      <c r="N1388" s="14">
        <f>IF(A1388="","",YEAR(A1388))</f>
        <v/>
      </c>
    </row>
    <row r="1389">
      <c r="A1389" s="15" t="n"/>
      <c r="B1389" s="10" t="n"/>
      <c r="C1389" s="10" t="n"/>
      <c r="D1389" s="10" t="n"/>
      <c r="E1389" s="14">
        <f>IF(D1389="","",IFERROR(INDEX('Sản phẩm'!$B$5:$B$304,MATCH(D1389,'Sản phẩm'!$A$5:$A$304,0)),""))</f>
        <v/>
      </c>
      <c r="F1389" s="12" t="n"/>
      <c r="G1389" s="11" t="n"/>
      <c r="H1389" s="11" t="n"/>
      <c r="I1389" s="16">
        <f>IF(D1389="","",IF(G1389&lt;&gt;"",G1389,IFERROR(INDEX('Sản phẩm'!$E$5:$E$304,MATCH(D1389,'Sản phẩm'!$A$5:$A$304,0)),"")))</f>
        <v/>
      </c>
      <c r="J1389" s="16">
        <f>IF(OR(D1389="",F1389=""),"",F1389*I1389-N(H1389))</f>
        <v/>
      </c>
      <c r="K1389" s="16">
        <f>IF(OR(D1389="",F1389=""),"",F1389*IFERROR(INDEX('Sản phẩm'!$D$5:$D$304,MATCH(D1389,'Sản phẩm'!$A$5:$A$304,0)),""))</f>
        <v/>
      </c>
      <c r="L1389" s="16">
        <f>IF(J1389="","",J1389-K1389)</f>
        <v/>
      </c>
      <c r="M1389" s="14">
        <f>IF(A1389="","",MONTH(A1389))</f>
        <v/>
      </c>
      <c r="N1389" s="14">
        <f>IF(A1389="","",YEAR(A1389))</f>
        <v/>
      </c>
    </row>
    <row r="1390">
      <c r="A1390" s="15" t="n"/>
      <c r="B1390" s="10" t="n"/>
      <c r="C1390" s="10" t="n"/>
      <c r="D1390" s="10" t="n"/>
      <c r="E1390" s="14">
        <f>IF(D1390="","",IFERROR(INDEX('Sản phẩm'!$B$5:$B$304,MATCH(D1390,'Sản phẩm'!$A$5:$A$304,0)),""))</f>
        <v/>
      </c>
      <c r="F1390" s="12" t="n"/>
      <c r="G1390" s="11" t="n"/>
      <c r="H1390" s="11" t="n"/>
      <c r="I1390" s="16">
        <f>IF(D1390="","",IF(G1390&lt;&gt;"",G1390,IFERROR(INDEX('Sản phẩm'!$E$5:$E$304,MATCH(D1390,'Sản phẩm'!$A$5:$A$304,0)),"")))</f>
        <v/>
      </c>
      <c r="J1390" s="16">
        <f>IF(OR(D1390="",F1390=""),"",F1390*I1390-N(H1390))</f>
        <v/>
      </c>
      <c r="K1390" s="16">
        <f>IF(OR(D1390="",F1390=""),"",F1390*IFERROR(INDEX('Sản phẩm'!$D$5:$D$304,MATCH(D1390,'Sản phẩm'!$A$5:$A$304,0)),""))</f>
        <v/>
      </c>
      <c r="L1390" s="16">
        <f>IF(J1390="","",J1390-K1390)</f>
        <v/>
      </c>
      <c r="M1390" s="14">
        <f>IF(A1390="","",MONTH(A1390))</f>
        <v/>
      </c>
      <c r="N1390" s="14">
        <f>IF(A1390="","",YEAR(A1390))</f>
        <v/>
      </c>
    </row>
    <row r="1391">
      <c r="A1391" s="15" t="n"/>
      <c r="B1391" s="10" t="n"/>
      <c r="C1391" s="10" t="n"/>
      <c r="D1391" s="10" t="n"/>
      <c r="E1391" s="14">
        <f>IF(D1391="","",IFERROR(INDEX('Sản phẩm'!$B$5:$B$304,MATCH(D1391,'Sản phẩm'!$A$5:$A$304,0)),""))</f>
        <v/>
      </c>
      <c r="F1391" s="12" t="n"/>
      <c r="G1391" s="11" t="n"/>
      <c r="H1391" s="11" t="n"/>
      <c r="I1391" s="16">
        <f>IF(D1391="","",IF(G1391&lt;&gt;"",G1391,IFERROR(INDEX('Sản phẩm'!$E$5:$E$304,MATCH(D1391,'Sản phẩm'!$A$5:$A$304,0)),"")))</f>
        <v/>
      </c>
      <c r="J1391" s="16">
        <f>IF(OR(D1391="",F1391=""),"",F1391*I1391-N(H1391))</f>
        <v/>
      </c>
      <c r="K1391" s="16">
        <f>IF(OR(D1391="",F1391=""),"",F1391*IFERROR(INDEX('Sản phẩm'!$D$5:$D$304,MATCH(D1391,'Sản phẩm'!$A$5:$A$304,0)),""))</f>
        <v/>
      </c>
      <c r="L1391" s="16">
        <f>IF(J1391="","",J1391-K1391)</f>
        <v/>
      </c>
      <c r="M1391" s="14">
        <f>IF(A1391="","",MONTH(A1391))</f>
        <v/>
      </c>
      <c r="N1391" s="14">
        <f>IF(A1391="","",YEAR(A1391))</f>
        <v/>
      </c>
    </row>
    <row r="1392">
      <c r="A1392" s="15" t="n"/>
      <c r="B1392" s="10" t="n"/>
      <c r="C1392" s="10" t="n"/>
      <c r="D1392" s="10" t="n"/>
      <c r="E1392" s="14">
        <f>IF(D1392="","",IFERROR(INDEX('Sản phẩm'!$B$5:$B$304,MATCH(D1392,'Sản phẩm'!$A$5:$A$304,0)),""))</f>
        <v/>
      </c>
      <c r="F1392" s="12" t="n"/>
      <c r="G1392" s="11" t="n"/>
      <c r="H1392" s="11" t="n"/>
      <c r="I1392" s="16">
        <f>IF(D1392="","",IF(G1392&lt;&gt;"",G1392,IFERROR(INDEX('Sản phẩm'!$E$5:$E$304,MATCH(D1392,'Sản phẩm'!$A$5:$A$304,0)),"")))</f>
        <v/>
      </c>
      <c r="J1392" s="16">
        <f>IF(OR(D1392="",F1392=""),"",F1392*I1392-N(H1392))</f>
        <v/>
      </c>
      <c r="K1392" s="16">
        <f>IF(OR(D1392="",F1392=""),"",F1392*IFERROR(INDEX('Sản phẩm'!$D$5:$D$304,MATCH(D1392,'Sản phẩm'!$A$5:$A$304,0)),""))</f>
        <v/>
      </c>
      <c r="L1392" s="16">
        <f>IF(J1392="","",J1392-K1392)</f>
        <v/>
      </c>
      <c r="M1392" s="14">
        <f>IF(A1392="","",MONTH(A1392))</f>
        <v/>
      </c>
      <c r="N1392" s="14">
        <f>IF(A1392="","",YEAR(A1392))</f>
        <v/>
      </c>
    </row>
    <row r="1393">
      <c r="A1393" s="15" t="n"/>
      <c r="B1393" s="10" t="n"/>
      <c r="C1393" s="10" t="n"/>
      <c r="D1393" s="10" t="n"/>
      <c r="E1393" s="14">
        <f>IF(D1393="","",IFERROR(INDEX('Sản phẩm'!$B$5:$B$304,MATCH(D1393,'Sản phẩm'!$A$5:$A$304,0)),""))</f>
        <v/>
      </c>
      <c r="F1393" s="12" t="n"/>
      <c r="G1393" s="11" t="n"/>
      <c r="H1393" s="11" t="n"/>
      <c r="I1393" s="16">
        <f>IF(D1393="","",IF(G1393&lt;&gt;"",G1393,IFERROR(INDEX('Sản phẩm'!$E$5:$E$304,MATCH(D1393,'Sản phẩm'!$A$5:$A$304,0)),"")))</f>
        <v/>
      </c>
      <c r="J1393" s="16">
        <f>IF(OR(D1393="",F1393=""),"",F1393*I1393-N(H1393))</f>
        <v/>
      </c>
      <c r="K1393" s="16">
        <f>IF(OR(D1393="",F1393=""),"",F1393*IFERROR(INDEX('Sản phẩm'!$D$5:$D$304,MATCH(D1393,'Sản phẩm'!$A$5:$A$304,0)),""))</f>
        <v/>
      </c>
      <c r="L1393" s="16">
        <f>IF(J1393="","",J1393-K1393)</f>
        <v/>
      </c>
      <c r="M1393" s="14">
        <f>IF(A1393="","",MONTH(A1393))</f>
        <v/>
      </c>
      <c r="N1393" s="14">
        <f>IF(A1393="","",YEAR(A1393))</f>
        <v/>
      </c>
    </row>
    <row r="1394">
      <c r="A1394" s="15" t="n"/>
      <c r="B1394" s="10" t="n"/>
      <c r="C1394" s="10" t="n"/>
      <c r="D1394" s="10" t="n"/>
      <c r="E1394" s="14">
        <f>IF(D1394="","",IFERROR(INDEX('Sản phẩm'!$B$5:$B$304,MATCH(D1394,'Sản phẩm'!$A$5:$A$304,0)),""))</f>
        <v/>
      </c>
      <c r="F1394" s="12" t="n"/>
      <c r="G1394" s="11" t="n"/>
      <c r="H1394" s="11" t="n"/>
      <c r="I1394" s="16">
        <f>IF(D1394="","",IF(G1394&lt;&gt;"",G1394,IFERROR(INDEX('Sản phẩm'!$E$5:$E$304,MATCH(D1394,'Sản phẩm'!$A$5:$A$304,0)),"")))</f>
        <v/>
      </c>
      <c r="J1394" s="16">
        <f>IF(OR(D1394="",F1394=""),"",F1394*I1394-N(H1394))</f>
        <v/>
      </c>
      <c r="K1394" s="16">
        <f>IF(OR(D1394="",F1394=""),"",F1394*IFERROR(INDEX('Sản phẩm'!$D$5:$D$304,MATCH(D1394,'Sản phẩm'!$A$5:$A$304,0)),""))</f>
        <v/>
      </c>
      <c r="L1394" s="16">
        <f>IF(J1394="","",J1394-K1394)</f>
        <v/>
      </c>
      <c r="M1394" s="14">
        <f>IF(A1394="","",MONTH(A1394))</f>
        <v/>
      </c>
      <c r="N1394" s="14">
        <f>IF(A1394="","",YEAR(A1394))</f>
        <v/>
      </c>
    </row>
    <row r="1395">
      <c r="A1395" s="15" t="n"/>
      <c r="B1395" s="10" t="n"/>
      <c r="C1395" s="10" t="n"/>
      <c r="D1395" s="10" t="n"/>
      <c r="E1395" s="14">
        <f>IF(D1395="","",IFERROR(INDEX('Sản phẩm'!$B$5:$B$304,MATCH(D1395,'Sản phẩm'!$A$5:$A$304,0)),""))</f>
        <v/>
      </c>
      <c r="F1395" s="12" t="n"/>
      <c r="G1395" s="11" t="n"/>
      <c r="H1395" s="11" t="n"/>
      <c r="I1395" s="16">
        <f>IF(D1395="","",IF(G1395&lt;&gt;"",G1395,IFERROR(INDEX('Sản phẩm'!$E$5:$E$304,MATCH(D1395,'Sản phẩm'!$A$5:$A$304,0)),"")))</f>
        <v/>
      </c>
      <c r="J1395" s="16">
        <f>IF(OR(D1395="",F1395=""),"",F1395*I1395-N(H1395))</f>
        <v/>
      </c>
      <c r="K1395" s="16">
        <f>IF(OR(D1395="",F1395=""),"",F1395*IFERROR(INDEX('Sản phẩm'!$D$5:$D$304,MATCH(D1395,'Sản phẩm'!$A$5:$A$304,0)),""))</f>
        <v/>
      </c>
      <c r="L1395" s="16">
        <f>IF(J1395="","",J1395-K1395)</f>
        <v/>
      </c>
      <c r="M1395" s="14">
        <f>IF(A1395="","",MONTH(A1395))</f>
        <v/>
      </c>
      <c r="N1395" s="14">
        <f>IF(A1395="","",YEAR(A1395))</f>
        <v/>
      </c>
    </row>
    <row r="1396">
      <c r="A1396" s="15" t="n"/>
      <c r="B1396" s="10" t="n"/>
      <c r="C1396" s="10" t="n"/>
      <c r="D1396" s="10" t="n"/>
      <c r="E1396" s="14">
        <f>IF(D1396="","",IFERROR(INDEX('Sản phẩm'!$B$5:$B$304,MATCH(D1396,'Sản phẩm'!$A$5:$A$304,0)),""))</f>
        <v/>
      </c>
      <c r="F1396" s="12" t="n"/>
      <c r="G1396" s="11" t="n"/>
      <c r="H1396" s="11" t="n"/>
      <c r="I1396" s="16">
        <f>IF(D1396="","",IF(G1396&lt;&gt;"",G1396,IFERROR(INDEX('Sản phẩm'!$E$5:$E$304,MATCH(D1396,'Sản phẩm'!$A$5:$A$304,0)),"")))</f>
        <v/>
      </c>
      <c r="J1396" s="16">
        <f>IF(OR(D1396="",F1396=""),"",F1396*I1396-N(H1396))</f>
        <v/>
      </c>
      <c r="K1396" s="16">
        <f>IF(OR(D1396="",F1396=""),"",F1396*IFERROR(INDEX('Sản phẩm'!$D$5:$D$304,MATCH(D1396,'Sản phẩm'!$A$5:$A$304,0)),""))</f>
        <v/>
      </c>
      <c r="L1396" s="16">
        <f>IF(J1396="","",J1396-K1396)</f>
        <v/>
      </c>
      <c r="M1396" s="14">
        <f>IF(A1396="","",MONTH(A1396))</f>
        <v/>
      </c>
      <c r="N1396" s="14">
        <f>IF(A1396="","",YEAR(A1396))</f>
        <v/>
      </c>
    </row>
    <row r="1397">
      <c r="A1397" s="15" t="n"/>
      <c r="B1397" s="10" t="n"/>
      <c r="C1397" s="10" t="n"/>
      <c r="D1397" s="10" t="n"/>
      <c r="E1397" s="14">
        <f>IF(D1397="","",IFERROR(INDEX('Sản phẩm'!$B$5:$B$304,MATCH(D1397,'Sản phẩm'!$A$5:$A$304,0)),""))</f>
        <v/>
      </c>
      <c r="F1397" s="12" t="n"/>
      <c r="G1397" s="11" t="n"/>
      <c r="H1397" s="11" t="n"/>
      <c r="I1397" s="16">
        <f>IF(D1397="","",IF(G1397&lt;&gt;"",G1397,IFERROR(INDEX('Sản phẩm'!$E$5:$E$304,MATCH(D1397,'Sản phẩm'!$A$5:$A$304,0)),"")))</f>
        <v/>
      </c>
      <c r="J1397" s="16">
        <f>IF(OR(D1397="",F1397=""),"",F1397*I1397-N(H1397))</f>
        <v/>
      </c>
      <c r="K1397" s="16">
        <f>IF(OR(D1397="",F1397=""),"",F1397*IFERROR(INDEX('Sản phẩm'!$D$5:$D$304,MATCH(D1397,'Sản phẩm'!$A$5:$A$304,0)),""))</f>
        <v/>
      </c>
      <c r="L1397" s="16">
        <f>IF(J1397="","",J1397-K1397)</f>
        <v/>
      </c>
      <c r="M1397" s="14">
        <f>IF(A1397="","",MONTH(A1397))</f>
        <v/>
      </c>
      <c r="N1397" s="14">
        <f>IF(A1397="","",YEAR(A1397))</f>
        <v/>
      </c>
    </row>
    <row r="1398">
      <c r="A1398" s="15" t="n"/>
      <c r="B1398" s="10" t="n"/>
      <c r="C1398" s="10" t="n"/>
      <c r="D1398" s="10" t="n"/>
      <c r="E1398" s="14">
        <f>IF(D1398="","",IFERROR(INDEX('Sản phẩm'!$B$5:$B$304,MATCH(D1398,'Sản phẩm'!$A$5:$A$304,0)),""))</f>
        <v/>
      </c>
      <c r="F1398" s="12" t="n"/>
      <c r="G1398" s="11" t="n"/>
      <c r="H1398" s="11" t="n"/>
      <c r="I1398" s="16">
        <f>IF(D1398="","",IF(G1398&lt;&gt;"",G1398,IFERROR(INDEX('Sản phẩm'!$E$5:$E$304,MATCH(D1398,'Sản phẩm'!$A$5:$A$304,0)),"")))</f>
        <v/>
      </c>
      <c r="J1398" s="16">
        <f>IF(OR(D1398="",F1398=""),"",F1398*I1398-N(H1398))</f>
        <v/>
      </c>
      <c r="K1398" s="16">
        <f>IF(OR(D1398="",F1398=""),"",F1398*IFERROR(INDEX('Sản phẩm'!$D$5:$D$304,MATCH(D1398,'Sản phẩm'!$A$5:$A$304,0)),""))</f>
        <v/>
      </c>
      <c r="L1398" s="16">
        <f>IF(J1398="","",J1398-K1398)</f>
        <v/>
      </c>
      <c r="M1398" s="14">
        <f>IF(A1398="","",MONTH(A1398))</f>
        <v/>
      </c>
      <c r="N1398" s="14">
        <f>IF(A1398="","",YEAR(A1398))</f>
        <v/>
      </c>
    </row>
    <row r="1399">
      <c r="A1399" s="15" t="n"/>
      <c r="B1399" s="10" t="n"/>
      <c r="C1399" s="10" t="n"/>
      <c r="D1399" s="10" t="n"/>
      <c r="E1399" s="14">
        <f>IF(D1399="","",IFERROR(INDEX('Sản phẩm'!$B$5:$B$304,MATCH(D1399,'Sản phẩm'!$A$5:$A$304,0)),""))</f>
        <v/>
      </c>
      <c r="F1399" s="12" t="n"/>
      <c r="G1399" s="11" t="n"/>
      <c r="H1399" s="11" t="n"/>
      <c r="I1399" s="16">
        <f>IF(D1399="","",IF(G1399&lt;&gt;"",G1399,IFERROR(INDEX('Sản phẩm'!$E$5:$E$304,MATCH(D1399,'Sản phẩm'!$A$5:$A$304,0)),"")))</f>
        <v/>
      </c>
      <c r="J1399" s="16">
        <f>IF(OR(D1399="",F1399=""),"",F1399*I1399-N(H1399))</f>
        <v/>
      </c>
      <c r="K1399" s="16">
        <f>IF(OR(D1399="",F1399=""),"",F1399*IFERROR(INDEX('Sản phẩm'!$D$5:$D$304,MATCH(D1399,'Sản phẩm'!$A$5:$A$304,0)),""))</f>
        <v/>
      </c>
      <c r="L1399" s="16">
        <f>IF(J1399="","",J1399-K1399)</f>
        <v/>
      </c>
      <c r="M1399" s="14">
        <f>IF(A1399="","",MONTH(A1399))</f>
        <v/>
      </c>
      <c r="N1399" s="14">
        <f>IF(A1399="","",YEAR(A1399))</f>
        <v/>
      </c>
    </row>
    <row r="1400">
      <c r="A1400" s="15" t="n"/>
      <c r="B1400" s="10" t="n"/>
      <c r="C1400" s="10" t="n"/>
      <c r="D1400" s="10" t="n"/>
      <c r="E1400" s="14">
        <f>IF(D1400="","",IFERROR(INDEX('Sản phẩm'!$B$5:$B$304,MATCH(D1400,'Sản phẩm'!$A$5:$A$304,0)),""))</f>
        <v/>
      </c>
      <c r="F1400" s="12" t="n"/>
      <c r="G1400" s="11" t="n"/>
      <c r="H1400" s="11" t="n"/>
      <c r="I1400" s="16">
        <f>IF(D1400="","",IF(G1400&lt;&gt;"",G1400,IFERROR(INDEX('Sản phẩm'!$E$5:$E$304,MATCH(D1400,'Sản phẩm'!$A$5:$A$304,0)),"")))</f>
        <v/>
      </c>
      <c r="J1400" s="16">
        <f>IF(OR(D1400="",F1400=""),"",F1400*I1400-N(H1400))</f>
        <v/>
      </c>
      <c r="K1400" s="16">
        <f>IF(OR(D1400="",F1400=""),"",F1400*IFERROR(INDEX('Sản phẩm'!$D$5:$D$304,MATCH(D1400,'Sản phẩm'!$A$5:$A$304,0)),""))</f>
        <v/>
      </c>
      <c r="L1400" s="16">
        <f>IF(J1400="","",J1400-K1400)</f>
        <v/>
      </c>
      <c r="M1400" s="14">
        <f>IF(A1400="","",MONTH(A1400))</f>
        <v/>
      </c>
      <c r="N1400" s="14">
        <f>IF(A1400="","",YEAR(A1400))</f>
        <v/>
      </c>
    </row>
    <row r="1401">
      <c r="A1401" s="15" t="n"/>
      <c r="B1401" s="10" t="n"/>
      <c r="C1401" s="10" t="n"/>
      <c r="D1401" s="10" t="n"/>
      <c r="E1401" s="14">
        <f>IF(D1401="","",IFERROR(INDEX('Sản phẩm'!$B$5:$B$304,MATCH(D1401,'Sản phẩm'!$A$5:$A$304,0)),""))</f>
        <v/>
      </c>
      <c r="F1401" s="12" t="n"/>
      <c r="G1401" s="11" t="n"/>
      <c r="H1401" s="11" t="n"/>
      <c r="I1401" s="16">
        <f>IF(D1401="","",IF(G1401&lt;&gt;"",G1401,IFERROR(INDEX('Sản phẩm'!$E$5:$E$304,MATCH(D1401,'Sản phẩm'!$A$5:$A$304,0)),"")))</f>
        <v/>
      </c>
      <c r="J1401" s="16">
        <f>IF(OR(D1401="",F1401=""),"",F1401*I1401-N(H1401))</f>
        <v/>
      </c>
      <c r="K1401" s="16">
        <f>IF(OR(D1401="",F1401=""),"",F1401*IFERROR(INDEX('Sản phẩm'!$D$5:$D$304,MATCH(D1401,'Sản phẩm'!$A$5:$A$304,0)),""))</f>
        <v/>
      </c>
      <c r="L1401" s="16">
        <f>IF(J1401="","",J1401-K1401)</f>
        <v/>
      </c>
      <c r="M1401" s="14">
        <f>IF(A1401="","",MONTH(A1401))</f>
        <v/>
      </c>
      <c r="N1401" s="14">
        <f>IF(A1401="","",YEAR(A1401))</f>
        <v/>
      </c>
    </row>
    <row r="1402">
      <c r="A1402" s="15" t="n"/>
      <c r="B1402" s="10" t="n"/>
      <c r="C1402" s="10" t="n"/>
      <c r="D1402" s="10" t="n"/>
      <c r="E1402" s="14">
        <f>IF(D1402="","",IFERROR(INDEX('Sản phẩm'!$B$5:$B$304,MATCH(D1402,'Sản phẩm'!$A$5:$A$304,0)),""))</f>
        <v/>
      </c>
      <c r="F1402" s="12" t="n"/>
      <c r="G1402" s="11" t="n"/>
      <c r="H1402" s="11" t="n"/>
      <c r="I1402" s="16">
        <f>IF(D1402="","",IF(G1402&lt;&gt;"",G1402,IFERROR(INDEX('Sản phẩm'!$E$5:$E$304,MATCH(D1402,'Sản phẩm'!$A$5:$A$304,0)),"")))</f>
        <v/>
      </c>
      <c r="J1402" s="16">
        <f>IF(OR(D1402="",F1402=""),"",F1402*I1402-N(H1402))</f>
        <v/>
      </c>
      <c r="K1402" s="16">
        <f>IF(OR(D1402="",F1402=""),"",F1402*IFERROR(INDEX('Sản phẩm'!$D$5:$D$304,MATCH(D1402,'Sản phẩm'!$A$5:$A$304,0)),""))</f>
        <v/>
      </c>
      <c r="L1402" s="16">
        <f>IF(J1402="","",J1402-K1402)</f>
        <v/>
      </c>
      <c r="M1402" s="14">
        <f>IF(A1402="","",MONTH(A1402))</f>
        <v/>
      </c>
      <c r="N1402" s="14">
        <f>IF(A1402="","",YEAR(A1402))</f>
        <v/>
      </c>
    </row>
    <row r="1403">
      <c r="A1403" s="15" t="n"/>
      <c r="B1403" s="10" t="n"/>
      <c r="C1403" s="10" t="n"/>
      <c r="D1403" s="10" t="n"/>
      <c r="E1403" s="14">
        <f>IF(D1403="","",IFERROR(INDEX('Sản phẩm'!$B$5:$B$304,MATCH(D1403,'Sản phẩm'!$A$5:$A$304,0)),""))</f>
        <v/>
      </c>
      <c r="F1403" s="12" t="n"/>
      <c r="G1403" s="11" t="n"/>
      <c r="H1403" s="11" t="n"/>
      <c r="I1403" s="16">
        <f>IF(D1403="","",IF(G1403&lt;&gt;"",G1403,IFERROR(INDEX('Sản phẩm'!$E$5:$E$304,MATCH(D1403,'Sản phẩm'!$A$5:$A$304,0)),"")))</f>
        <v/>
      </c>
      <c r="J1403" s="16">
        <f>IF(OR(D1403="",F1403=""),"",F1403*I1403-N(H1403))</f>
        <v/>
      </c>
      <c r="K1403" s="16">
        <f>IF(OR(D1403="",F1403=""),"",F1403*IFERROR(INDEX('Sản phẩm'!$D$5:$D$304,MATCH(D1403,'Sản phẩm'!$A$5:$A$304,0)),""))</f>
        <v/>
      </c>
      <c r="L1403" s="16">
        <f>IF(J1403="","",J1403-K1403)</f>
        <v/>
      </c>
      <c r="M1403" s="14">
        <f>IF(A1403="","",MONTH(A1403))</f>
        <v/>
      </c>
      <c r="N1403" s="14">
        <f>IF(A1403="","",YEAR(A1403))</f>
        <v/>
      </c>
    </row>
    <row r="1404">
      <c r="A1404" s="15" t="n"/>
      <c r="B1404" s="10" t="n"/>
      <c r="C1404" s="10" t="n"/>
      <c r="D1404" s="10" t="n"/>
      <c r="E1404" s="14">
        <f>IF(D1404="","",IFERROR(INDEX('Sản phẩm'!$B$5:$B$304,MATCH(D1404,'Sản phẩm'!$A$5:$A$304,0)),""))</f>
        <v/>
      </c>
      <c r="F1404" s="12" t="n"/>
      <c r="G1404" s="11" t="n"/>
      <c r="H1404" s="11" t="n"/>
      <c r="I1404" s="16">
        <f>IF(D1404="","",IF(G1404&lt;&gt;"",G1404,IFERROR(INDEX('Sản phẩm'!$E$5:$E$304,MATCH(D1404,'Sản phẩm'!$A$5:$A$304,0)),"")))</f>
        <v/>
      </c>
      <c r="J1404" s="16">
        <f>IF(OR(D1404="",F1404=""),"",F1404*I1404-N(H1404))</f>
        <v/>
      </c>
      <c r="K1404" s="16">
        <f>IF(OR(D1404="",F1404=""),"",F1404*IFERROR(INDEX('Sản phẩm'!$D$5:$D$304,MATCH(D1404,'Sản phẩm'!$A$5:$A$304,0)),""))</f>
        <v/>
      </c>
      <c r="L1404" s="16">
        <f>IF(J1404="","",J1404-K1404)</f>
        <v/>
      </c>
      <c r="M1404" s="14">
        <f>IF(A1404="","",MONTH(A1404))</f>
        <v/>
      </c>
      <c r="N1404" s="14">
        <f>IF(A1404="","",YEAR(A1404))</f>
        <v/>
      </c>
    </row>
    <row r="1405">
      <c r="A1405" s="15" t="n"/>
      <c r="B1405" s="10" t="n"/>
      <c r="C1405" s="10" t="n"/>
      <c r="D1405" s="10" t="n"/>
      <c r="E1405" s="14">
        <f>IF(D1405="","",IFERROR(INDEX('Sản phẩm'!$B$5:$B$304,MATCH(D1405,'Sản phẩm'!$A$5:$A$304,0)),""))</f>
        <v/>
      </c>
      <c r="F1405" s="12" t="n"/>
      <c r="G1405" s="11" t="n"/>
      <c r="H1405" s="11" t="n"/>
      <c r="I1405" s="16">
        <f>IF(D1405="","",IF(G1405&lt;&gt;"",G1405,IFERROR(INDEX('Sản phẩm'!$E$5:$E$304,MATCH(D1405,'Sản phẩm'!$A$5:$A$304,0)),"")))</f>
        <v/>
      </c>
      <c r="J1405" s="16">
        <f>IF(OR(D1405="",F1405=""),"",F1405*I1405-N(H1405))</f>
        <v/>
      </c>
      <c r="K1405" s="16">
        <f>IF(OR(D1405="",F1405=""),"",F1405*IFERROR(INDEX('Sản phẩm'!$D$5:$D$304,MATCH(D1405,'Sản phẩm'!$A$5:$A$304,0)),""))</f>
        <v/>
      </c>
      <c r="L1405" s="16">
        <f>IF(J1405="","",J1405-K1405)</f>
        <v/>
      </c>
      <c r="M1405" s="14">
        <f>IF(A1405="","",MONTH(A1405))</f>
        <v/>
      </c>
      <c r="N1405" s="14">
        <f>IF(A1405="","",YEAR(A1405))</f>
        <v/>
      </c>
    </row>
    <row r="1406">
      <c r="A1406" s="15" t="n"/>
      <c r="B1406" s="10" t="n"/>
      <c r="C1406" s="10" t="n"/>
      <c r="D1406" s="10" t="n"/>
      <c r="E1406" s="14">
        <f>IF(D1406="","",IFERROR(INDEX('Sản phẩm'!$B$5:$B$304,MATCH(D1406,'Sản phẩm'!$A$5:$A$304,0)),""))</f>
        <v/>
      </c>
      <c r="F1406" s="12" t="n"/>
      <c r="G1406" s="11" t="n"/>
      <c r="H1406" s="11" t="n"/>
      <c r="I1406" s="16">
        <f>IF(D1406="","",IF(G1406&lt;&gt;"",G1406,IFERROR(INDEX('Sản phẩm'!$E$5:$E$304,MATCH(D1406,'Sản phẩm'!$A$5:$A$304,0)),"")))</f>
        <v/>
      </c>
      <c r="J1406" s="16">
        <f>IF(OR(D1406="",F1406=""),"",F1406*I1406-N(H1406))</f>
        <v/>
      </c>
      <c r="K1406" s="16">
        <f>IF(OR(D1406="",F1406=""),"",F1406*IFERROR(INDEX('Sản phẩm'!$D$5:$D$304,MATCH(D1406,'Sản phẩm'!$A$5:$A$304,0)),""))</f>
        <v/>
      </c>
      <c r="L1406" s="16">
        <f>IF(J1406="","",J1406-K1406)</f>
        <v/>
      </c>
      <c r="M1406" s="14">
        <f>IF(A1406="","",MONTH(A1406))</f>
        <v/>
      </c>
      <c r="N1406" s="14">
        <f>IF(A1406="","",YEAR(A1406))</f>
        <v/>
      </c>
    </row>
    <row r="1407">
      <c r="A1407" s="15" t="n"/>
      <c r="B1407" s="10" t="n"/>
      <c r="C1407" s="10" t="n"/>
      <c r="D1407" s="10" t="n"/>
      <c r="E1407" s="14">
        <f>IF(D1407="","",IFERROR(INDEX('Sản phẩm'!$B$5:$B$304,MATCH(D1407,'Sản phẩm'!$A$5:$A$304,0)),""))</f>
        <v/>
      </c>
      <c r="F1407" s="12" t="n"/>
      <c r="G1407" s="11" t="n"/>
      <c r="H1407" s="11" t="n"/>
      <c r="I1407" s="16">
        <f>IF(D1407="","",IF(G1407&lt;&gt;"",G1407,IFERROR(INDEX('Sản phẩm'!$E$5:$E$304,MATCH(D1407,'Sản phẩm'!$A$5:$A$304,0)),"")))</f>
        <v/>
      </c>
      <c r="J1407" s="16">
        <f>IF(OR(D1407="",F1407=""),"",F1407*I1407-N(H1407))</f>
        <v/>
      </c>
      <c r="K1407" s="16">
        <f>IF(OR(D1407="",F1407=""),"",F1407*IFERROR(INDEX('Sản phẩm'!$D$5:$D$304,MATCH(D1407,'Sản phẩm'!$A$5:$A$304,0)),""))</f>
        <v/>
      </c>
      <c r="L1407" s="16">
        <f>IF(J1407="","",J1407-K1407)</f>
        <v/>
      </c>
      <c r="M1407" s="14">
        <f>IF(A1407="","",MONTH(A1407))</f>
        <v/>
      </c>
      <c r="N1407" s="14">
        <f>IF(A1407="","",YEAR(A1407))</f>
        <v/>
      </c>
    </row>
    <row r="1408">
      <c r="A1408" s="15" t="n"/>
      <c r="B1408" s="10" t="n"/>
      <c r="C1408" s="10" t="n"/>
      <c r="D1408" s="10" t="n"/>
      <c r="E1408" s="14">
        <f>IF(D1408="","",IFERROR(INDEX('Sản phẩm'!$B$5:$B$304,MATCH(D1408,'Sản phẩm'!$A$5:$A$304,0)),""))</f>
        <v/>
      </c>
      <c r="F1408" s="12" t="n"/>
      <c r="G1408" s="11" t="n"/>
      <c r="H1408" s="11" t="n"/>
      <c r="I1408" s="16">
        <f>IF(D1408="","",IF(G1408&lt;&gt;"",G1408,IFERROR(INDEX('Sản phẩm'!$E$5:$E$304,MATCH(D1408,'Sản phẩm'!$A$5:$A$304,0)),"")))</f>
        <v/>
      </c>
      <c r="J1408" s="16">
        <f>IF(OR(D1408="",F1408=""),"",F1408*I1408-N(H1408))</f>
        <v/>
      </c>
      <c r="K1408" s="16">
        <f>IF(OR(D1408="",F1408=""),"",F1408*IFERROR(INDEX('Sản phẩm'!$D$5:$D$304,MATCH(D1408,'Sản phẩm'!$A$5:$A$304,0)),""))</f>
        <v/>
      </c>
      <c r="L1408" s="16">
        <f>IF(J1408="","",J1408-K1408)</f>
        <v/>
      </c>
      <c r="M1408" s="14">
        <f>IF(A1408="","",MONTH(A1408))</f>
        <v/>
      </c>
      <c r="N1408" s="14">
        <f>IF(A1408="","",YEAR(A1408))</f>
        <v/>
      </c>
    </row>
    <row r="1409">
      <c r="A1409" s="15" t="n"/>
      <c r="B1409" s="10" t="n"/>
      <c r="C1409" s="10" t="n"/>
      <c r="D1409" s="10" t="n"/>
      <c r="E1409" s="14">
        <f>IF(D1409="","",IFERROR(INDEX('Sản phẩm'!$B$5:$B$304,MATCH(D1409,'Sản phẩm'!$A$5:$A$304,0)),""))</f>
        <v/>
      </c>
      <c r="F1409" s="12" t="n"/>
      <c r="G1409" s="11" t="n"/>
      <c r="H1409" s="11" t="n"/>
      <c r="I1409" s="16">
        <f>IF(D1409="","",IF(G1409&lt;&gt;"",G1409,IFERROR(INDEX('Sản phẩm'!$E$5:$E$304,MATCH(D1409,'Sản phẩm'!$A$5:$A$304,0)),"")))</f>
        <v/>
      </c>
      <c r="J1409" s="16">
        <f>IF(OR(D1409="",F1409=""),"",F1409*I1409-N(H1409))</f>
        <v/>
      </c>
      <c r="K1409" s="16">
        <f>IF(OR(D1409="",F1409=""),"",F1409*IFERROR(INDEX('Sản phẩm'!$D$5:$D$304,MATCH(D1409,'Sản phẩm'!$A$5:$A$304,0)),""))</f>
        <v/>
      </c>
      <c r="L1409" s="16">
        <f>IF(J1409="","",J1409-K1409)</f>
        <v/>
      </c>
      <c r="M1409" s="14">
        <f>IF(A1409="","",MONTH(A1409))</f>
        <v/>
      </c>
      <c r="N1409" s="14">
        <f>IF(A1409="","",YEAR(A1409))</f>
        <v/>
      </c>
    </row>
    <row r="1410">
      <c r="A1410" s="15" t="n"/>
      <c r="B1410" s="10" t="n"/>
      <c r="C1410" s="10" t="n"/>
      <c r="D1410" s="10" t="n"/>
      <c r="E1410" s="14">
        <f>IF(D1410="","",IFERROR(INDEX('Sản phẩm'!$B$5:$B$304,MATCH(D1410,'Sản phẩm'!$A$5:$A$304,0)),""))</f>
        <v/>
      </c>
      <c r="F1410" s="12" t="n"/>
      <c r="G1410" s="11" t="n"/>
      <c r="H1410" s="11" t="n"/>
      <c r="I1410" s="16">
        <f>IF(D1410="","",IF(G1410&lt;&gt;"",G1410,IFERROR(INDEX('Sản phẩm'!$E$5:$E$304,MATCH(D1410,'Sản phẩm'!$A$5:$A$304,0)),"")))</f>
        <v/>
      </c>
      <c r="J1410" s="16">
        <f>IF(OR(D1410="",F1410=""),"",F1410*I1410-N(H1410))</f>
        <v/>
      </c>
      <c r="K1410" s="16">
        <f>IF(OR(D1410="",F1410=""),"",F1410*IFERROR(INDEX('Sản phẩm'!$D$5:$D$304,MATCH(D1410,'Sản phẩm'!$A$5:$A$304,0)),""))</f>
        <v/>
      </c>
      <c r="L1410" s="16">
        <f>IF(J1410="","",J1410-K1410)</f>
        <v/>
      </c>
      <c r="M1410" s="14">
        <f>IF(A1410="","",MONTH(A1410))</f>
        <v/>
      </c>
      <c r="N1410" s="14">
        <f>IF(A1410="","",YEAR(A1410))</f>
        <v/>
      </c>
    </row>
    <row r="1411">
      <c r="A1411" s="15" t="n"/>
      <c r="B1411" s="10" t="n"/>
      <c r="C1411" s="10" t="n"/>
      <c r="D1411" s="10" t="n"/>
      <c r="E1411" s="14">
        <f>IF(D1411="","",IFERROR(INDEX('Sản phẩm'!$B$5:$B$304,MATCH(D1411,'Sản phẩm'!$A$5:$A$304,0)),""))</f>
        <v/>
      </c>
      <c r="F1411" s="12" t="n"/>
      <c r="G1411" s="11" t="n"/>
      <c r="H1411" s="11" t="n"/>
      <c r="I1411" s="16">
        <f>IF(D1411="","",IF(G1411&lt;&gt;"",G1411,IFERROR(INDEX('Sản phẩm'!$E$5:$E$304,MATCH(D1411,'Sản phẩm'!$A$5:$A$304,0)),"")))</f>
        <v/>
      </c>
      <c r="J1411" s="16">
        <f>IF(OR(D1411="",F1411=""),"",F1411*I1411-N(H1411))</f>
        <v/>
      </c>
      <c r="K1411" s="16">
        <f>IF(OR(D1411="",F1411=""),"",F1411*IFERROR(INDEX('Sản phẩm'!$D$5:$D$304,MATCH(D1411,'Sản phẩm'!$A$5:$A$304,0)),""))</f>
        <v/>
      </c>
      <c r="L1411" s="16">
        <f>IF(J1411="","",J1411-K1411)</f>
        <v/>
      </c>
      <c r="M1411" s="14">
        <f>IF(A1411="","",MONTH(A1411))</f>
        <v/>
      </c>
      <c r="N1411" s="14">
        <f>IF(A1411="","",YEAR(A1411))</f>
        <v/>
      </c>
    </row>
    <row r="1412">
      <c r="A1412" s="15" t="n"/>
      <c r="B1412" s="10" t="n"/>
      <c r="C1412" s="10" t="n"/>
      <c r="D1412" s="10" t="n"/>
      <c r="E1412" s="14">
        <f>IF(D1412="","",IFERROR(INDEX('Sản phẩm'!$B$5:$B$304,MATCH(D1412,'Sản phẩm'!$A$5:$A$304,0)),""))</f>
        <v/>
      </c>
      <c r="F1412" s="12" t="n"/>
      <c r="G1412" s="11" t="n"/>
      <c r="H1412" s="11" t="n"/>
      <c r="I1412" s="16">
        <f>IF(D1412="","",IF(G1412&lt;&gt;"",G1412,IFERROR(INDEX('Sản phẩm'!$E$5:$E$304,MATCH(D1412,'Sản phẩm'!$A$5:$A$304,0)),"")))</f>
        <v/>
      </c>
      <c r="J1412" s="16">
        <f>IF(OR(D1412="",F1412=""),"",F1412*I1412-N(H1412))</f>
        <v/>
      </c>
      <c r="K1412" s="16">
        <f>IF(OR(D1412="",F1412=""),"",F1412*IFERROR(INDEX('Sản phẩm'!$D$5:$D$304,MATCH(D1412,'Sản phẩm'!$A$5:$A$304,0)),""))</f>
        <v/>
      </c>
      <c r="L1412" s="16">
        <f>IF(J1412="","",J1412-K1412)</f>
        <v/>
      </c>
      <c r="M1412" s="14">
        <f>IF(A1412="","",MONTH(A1412))</f>
        <v/>
      </c>
      <c r="N1412" s="14">
        <f>IF(A1412="","",YEAR(A1412))</f>
        <v/>
      </c>
    </row>
    <row r="1413">
      <c r="A1413" s="15" t="n"/>
      <c r="B1413" s="10" t="n"/>
      <c r="C1413" s="10" t="n"/>
      <c r="D1413" s="10" t="n"/>
      <c r="E1413" s="14">
        <f>IF(D1413="","",IFERROR(INDEX('Sản phẩm'!$B$5:$B$304,MATCH(D1413,'Sản phẩm'!$A$5:$A$304,0)),""))</f>
        <v/>
      </c>
      <c r="F1413" s="12" t="n"/>
      <c r="G1413" s="11" t="n"/>
      <c r="H1413" s="11" t="n"/>
      <c r="I1413" s="16">
        <f>IF(D1413="","",IF(G1413&lt;&gt;"",G1413,IFERROR(INDEX('Sản phẩm'!$E$5:$E$304,MATCH(D1413,'Sản phẩm'!$A$5:$A$304,0)),"")))</f>
        <v/>
      </c>
      <c r="J1413" s="16">
        <f>IF(OR(D1413="",F1413=""),"",F1413*I1413-N(H1413))</f>
        <v/>
      </c>
      <c r="K1413" s="16">
        <f>IF(OR(D1413="",F1413=""),"",F1413*IFERROR(INDEX('Sản phẩm'!$D$5:$D$304,MATCH(D1413,'Sản phẩm'!$A$5:$A$304,0)),""))</f>
        <v/>
      </c>
      <c r="L1413" s="16">
        <f>IF(J1413="","",J1413-K1413)</f>
        <v/>
      </c>
      <c r="M1413" s="14">
        <f>IF(A1413="","",MONTH(A1413))</f>
        <v/>
      </c>
      <c r="N1413" s="14">
        <f>IF(A1413="","",YEAR(A1413))</f>
        <v/>
      </c>
    </row>
    <row r="1414">
      <c r="A1414" s="15" t="n"/>
      <c r="B1414" s="10" t="n"/>
      <c r="C1414" s="10" t="n"/>
      <c r="D1414" s="10" t="n"/>
      <c r="E1414" s="14">
        <f>IF(D1414="","",IFERROR(INDEX('Sản phẩm'!$B$5:$B$304,MATCH(D1414,'Sản phẩm'!$A$5:$A$304,0)),""))</f>
        <v/>
      </c>
      <c r="F1414" s="12" t="n"/>
      <c r="G1414" s="11" t="n"/>
      <c r="H1414" s="11" t="n"/>
      <c r="I1414" s="16">
        <f>IF(D1414="","",IF(G1414&lt;&gt;"",G1414,IFERROR(INDEX('Sản phẩm'!$E$5:$E$304,MATCH(D1414,'Sản phẩm'!$A$5:$A$304,0)),"")))</f>
        <v/>
      </c>
      <c r="J1414" s="16">
        <f>IF(OR(D1414="",F1414=""),"",F1414*I1414-N(H1414))</f>
        <v/>
      </c>
      <c r="K1414" s="16">
        <f>IF(OR(D1414="",F1414=""),"",F1414*IFERROR(INDEX('Sản phẩm'!$D$5:$D$304,MATCH(D1414,'Sản phẩm'!$A$5:$A$304,0)),""))</f>
        <v/>
      </c>
      <c r="L1414" s="16">
        <f>IF(J1414="","",J1414-K1414)</f>
        <v/>
      </c>
      <c r="M1414" s="14">
        <f>IF(A1414="","",MONTH(A1414))</f>
        <v/>
      </c>
      <c r="N1414" s="14">
        <f>IF(A1414="","",YEAR(A1414))</f>
        <v/>
      </c>
    </row>
    <row r="1415">
      <c r="A1415" s="15" t="n"/>
      <c r="B1415" s="10" t="n"/>
      <c r="C1415" s="10" t="n"/>
      <c r="D1415" s="10" t="n"/>
      <c r="E1415" s="14">
        <f>IF(D1415="","",IFERROR(INDEX('Sản phẩm'!$B$5:$B$304,MATCH(D1415,'Sản phẩm'!$A$5:$A$304,0)),""))</f>
        <v/>
      </c>
      <c r="F1415" s="12" t="n"/>
      <c r="G1415" s="11" t="n"/>
      <c r="H1415" s="11" t="n"/>
      <c r="I1415" s="16">
        <f>IF(D1415="","",IF(G1415&lt;&gt;"",G1415,IFERROR(INDEX('Sản phẩm'!$E$5:$E$304,MATCH(D1415,'Sản phẩm'!$A$5:$A$304,0)),"")))</f>
        <v/>
      </c>
      <c r="J1415" s="16">
        <f>IF(OR(D1415="",F1415=""),"",F1415*I1415-N(H1415))</f>
        <v/>
      </c>
      <c r="K1415" s="16">
        <f>IF(OR(D1415="",F1415=""),"",F1415*IFERROR(INDEX('Sản phẩm'!$D$5:$D$304,MATCH(D1415,'Sản phẩm'!$A$5:$A$304,0)),""))</f>
        <v/>
      </c>
      <c r="L1415" s="16">
        <f>IF(J1415="","",J1415-K1415)</f>
        <v/>
      </c>
      <c r="M1415" s="14">
        <f>IF(A1415="","",MONTH(A1415))</f>
        <v/>
      </c>
      <c r="N1415" s="14">
        <f>IF(A1415="","",YEAR(A1415))</f>
        <v/>
      </c>
    </row>
    <row r="1416">
      <c r="A1416" s="15" t="n"/>
      <c r="B1416" s="10" t="n"/>
      <c r="C1416" s="10" t="n"/>
      <c r="D1416" s="10" t="n"/>
      <c r="E1416" s="14">
        <f>IF(D1416="","",IFERROR(INDEX('Sản phẩm'!$B$5:$B$304,MATCH(D1416,'Sản phẩm'!$A$5:$A$304,0)),""))</f>
        <v/>
      </c>
      <c r="F1416" s="12" t="n"/>
      <c r="G1416" s="11" t="n"/>
      <c r="H1416" s="11" t="n"/>
      <c r="I1416" s="16">
        <f>IF(D1416="","",IF(G1416&lt;&gt;"",G1416,IFERROR(INDEX('Sản phẩm'!$E$5:$E$304,MATCH(D1416,'Sản phẩm'!$A$5:$A$304,0)),"")))</f>
        <v/>
      </c>
      <c r="J1416" s="16">
        <f>IF(OR(D1416="",F1416=""),"",F1416*I1416-N(H1416))</f>
        <v/>
      </c>
      <c r="K1416" s="16">
        <f>IF(OR(D1416="",F1416=""),"",F1416*IFERROR(INDEX('Sản phẩm'!$D$5:$D$304,MATCH(D1416,'Sản phẩm'!$A$5:$A$304,0)),""))</f>
        <v/>
      </c>
      <c r="L1416" s="16">
        <f>IF(J1416="","",J1416-K1416)</f>
        <v/>
      </c>
      <c r="M1416" s="14">
        <f>IF(A1416="","",MONTH(A1416))</f>
        <v/>
      </c>
      <c r="N1416" s="14">
        <f>IF(A1416="","",YEAR(A1416))</f>
        <v/>
      </c>
    </row>
    <row r="1417">
      <c r="A1417" s="15" t="n"/>
      <c r="B1417" s="10" t="n"/>
      <c r="C1417" s="10" t="n"/>
      <c r="D1417" s="10" t="n"/>
      <c r="E1417" s="14">
        <f>IF(D1417="","",IFERROR(INDEX('Sản phẩm'!$B$5:$B$304,MATCH(D1417,'Sản phẩm'!$A$5:$A$304,0)),""))</f>
        <v/>
      </c>
      <c r="F1417" s="12" t="n"/>
      <c r="G1417" s="11" t="n"/>
      <c r="H1417" s="11" t="n"/>
      <c r="I1417" s="16">
        <f>IF(D1417="","",IF(G1417&lt;&gt;"",G1417,IFERROR(INDEX('Sản phẩm'!$E$5:$E$304,MATCH(D1417,'Sản phẩm'!$A$5:$A$304,0)),"")))</f>
        <v/>
      </c>
      <c r="J1417" s="16">
        <f>IF(OR(D1417="",F1417=""),"",F1417*I1417-N(H1417))</f>
        <v/>
      </c>
      <c r="K1417" s="16">
        <f>IF(OR(D1417="",F1417=""),"",F1417*IFERROR(INDEX('Sản phẩm'!$D$5:$D$304,MATCH(D1417,'Sản phẩm'!$A$5:$A$304,0)),""))</f>
        <v/>
      </c>
      <c r="L1417" s="16">
        <f>IF(J1417="","",J1417-K1417)</f>
        <v/>
      </c>
      <c r="M1417" s="14">
        <f>IF(A1417="","",MONTH(A1417))</f>
        <v/>
      </c>
      <c r="N1417" s="14">
        <f>IF(A1417="","",YEAR(A1417))</f>
        <v/>
      </c>
    </row>
    <row r="1418">
      <c r="A1418" s="15" t="n"/>
      <c r="B1418" s="10" t="n"/>
      <c r="C1418" s="10" t="n"/>
      <c r="D1418" s="10" t="n"/>
      <c r="E1418" s="14">
        <f>IF(D1418="","",IFERROR(INDEX('Sản phẩm'!$B$5:$B$304,MATCH(D1418,'Sản phẩm'!$A$5:$A$304,0)),""))</f>
        <v/>
      </c>
      <c r="F1418" s="12" t="n"/>
      <c r="G1418" s="11" t="n"/>
      <c r="H1418" s="11" t="n"/>
      <c r="I1418" s="16">
        <f>IF(D1418="","",IF(G1418&lt;&gt;"",G1418,IFERROR(INDEX('Sản phẩm'!$E$5:$E$304,MATCH(D1418,'Sản phẩm'!$A$5:$A$304,0)),"")))</f>
        <v/>
      </c>
      <c r="J1418" s="16">
        <f>IF(OR(D1418="",F1418=""),"",F1418*I1418-N(H1418))</f>
        <v/>
      </c>
      <c r="K1418" s="16">
        <f>IF(OR(D1418="",F1418=""),"",F1418*IFERROR(INDEX('Sản phẩm'!$D$5:$D$304,MATCH(D1418,'Sản phẩm'!$A$5:$A$304,0)),""))</f>
        <v/>
      </c>
      <c r="L1418" s="16">
        <f>IF(J1418="","",J1418-K1418)</f>
        <v/>
      </c>
      <c r="M1418" s="14">
        <f>IF(A1418="","",MONTH(A1418))</f>
        <v/>
      </c>
      <c r="N1418" s="14">
        <f>IF(A1418="","",YEAR(A1418))</f>
        <v/>
      </c>
    </row>
    <row r="1419">
      <c r="A1419" s="15" t="n"/>
      <c r="B1419" s="10" t="n"/>
      <c r="C1419" s="10" t="n"/>
      <c r="D1419" s="10" t="n"/>
      <c r="E1419" s="14">
        <f>IF(D1419="","",IFERROR(INDEX('Sản phẩm'!$B$5:$B$304,MATCH(D1419,'Sản phẩm'!$A$5:$A$304,0)),""))</f>
        <v/>
      </c>
      <c r="F1419" s="12" t="n"/>
      <c r="G1419" s="11" t="n"/>
      <c r="H1419" s="11" t="n"/>
      <c r="I1419" s="16">
        <f>IF(D1419="","",IF(G1419&lt;&gt;"",G1419,IFERROR(INDEX('Sản phẩm'!$E$5:$E$304,MATCH(D1419,'Sản phẩm'!$A$5:$A$304,0)),"")))</f>
        <v/>
      </c>
      <c r="J1419" s="16">
        <f>IF(OR(D1419="",F1419=""),"",F1419*I1419-N(H1419))</f>
        <v/>
      </c>
      <c r="K1419" s="16">
        <f>IF(OR(D1419="",F1419=""),"",F1419*IFERROR(INDEX('Sản phẩm'!$D$5:$D$304,MATCH(D1419,'Sản phẩm'!$A$5:$A$304,0)),""))</f>
        <v/>
      </c>
      <c r="L1419" s="16">
        <f>IF(J1419="","",J1419-K1419)</f>
        <v/>
      </c>
      <c r="M1419" s="14">
        <f>IF(A1419="","",MONTH(A1419))</f>
        <v/>
      </c>
      <c r="N1419" s="14">
        <f>IF(A1419="","",YEAR(A1419))</f>
        <v/>
      </c>
    </row>
    <row r="1420">
      <c r="A1420" s="15" t="n"/>
      <c r="B1420" s="10" t="n"/>
      <c r="C1420" s="10" t="n"/>
      <c r="D1420" s="10" t="n"/>
      <c r="E1420" s="14">
        <f>IF(D1420="","",IFERROR(INDEX('Sản phẩm'!$B$5:$B$304,MATCH(D1420,'Sản phẩm'!$A$5:$A$304,0)),""))</f>
        <v/>
      </c>
      <c r="F1420" s="12" t="n"/>
      <c r="G1420" s="11" t="n"/>
      <c r="H1420" s="11" t="n"/>
      <c r="I1420" s="16">
        <f>IF(D1420="","",IF(G1420&lt;&gt;"",G1420,IFERROR(INDEX('Sản phẩm'!$E$5:$E$304,MATCH(D1420,'Sản phẩm'!$A$5:$A$304,0)),"")))</f>
        <v/>
      </c>
      <c r="J1420" s="16">
        <f>IF(OR(D1420="",F1420=""),"",F1420*I1420-N(H1420))</f>
        <v/>
      </c>
      <c r="K1420" s="16">
        <f>IF(OR(D1420="",F1420=""),"",F1420*IFERROR(INDEX('Sản phẩm'!$D$5:$D$304,MATCH(D1420,'Sản phẩm'!$A$5:$A$304,0)),""))</f>
        <v/>
      </c>
      <c r="L1420" s="16">
        <f>IF(J1420="","",J1420-K1420)</f>
        <v/>
      </c>
      <c r="M1420" s="14">
        <f>IF(A1420="","",MONTH(A1420))</f>
        <v/>
      </c>
      <c r="N1420" s="14">
        <f>IF(A1420="","",YEAR(A1420))</f>
        <v/>
      </c>
    </row>
    <row r="1421">
      <c r="A1421" s="15" t="n"/>
      <c r="B1421" s="10" t="n"/>
      <c r="C1421" s="10" t="n"/>
      <c r="D1421" s="10" t="n"/>
      <c r="E1421" s="14">
        <f>IF(D1421="","",IFERROR(INDEX('Sản phẩm'!$B$5:$B$304,MATCH(D1421,'Sản phẩm'!$A$5:$A$304,0)),""))</f>
        <v/>
      </c>
      <c r="F1421" s="12" t="n"/>
      <c r="G1421" s="11" t="n"/>
      <c r="H1421" s="11" t="n"/>
      <c r="I1421" s="16">
        <f>IF(D1421="","",IF(G1421&lt;&gt;"",G1421,IFERROR(INDEX('Sản phẩm'!$E$5:$E$304,MATCH(D1421,'Sản phẩm'!$A$5:$A$304,0)),"")))</f>
        <v/>
      </c>
      <c r="J1421" s="16">
        <f>IF(OR(D1421="",F1421=""),"",F1421*I1421-N(H1421))</f>
        <v/>
      </c>
      <c r="K1421" s="16">
        <f>IF(OR(D1421="",F1421=""),"",F1421*IFERROR(INDEX('Sản phẩm'!$D$5:$D$304,MATCH(D1421,'Sản phẩm'!$A$5:$A$304,0)),""))</f>
        <v/>
      </c>
      <c r="L1421" s="16">
        <f>IF(J1421="","",J1421-K1421)</f>
        <v/>
      </c>
      <c r="M1421" s="14">
        <f>IF(A1421="","",MONTH(A1421))</f>
        <v/>
      </c>
      <c r="N1421" s="14">
        <f>IF(A1421="","",YEAR(A1421))</f>
        <v/>
      </c>
    </row>
    <row r="1422">
      <c r="A1422" s="15" t="n"/>
      <c r="B1422" s="10" t="n"/>
      <c r="C1422" s="10" t="n"/>
      <c r="D1422" s="10" t="n"/>
      <c r="E1422" s="14">
        <f>IF(D1422="","",IFERROR(INDEX('Sản phẩm'!$B$5:$B$304,MATCH(D1422,'Sản phẩm'!$A$5:$A$304,0)),""))</f>
        <v/>
      </c>
      <c r="F1422" s="12" t="n"/>
      <c r="G1422" s="11" t="n"/>
      <c r="H1422" s="11" t="n"/>
      <c r="I1422" s="16">
        <f>IF(D1422="","",IF(G1422&lt;&gt;"",G1422,IFERROR(INDEX('Sản phẩm'!$E$5:$E$304,MATCH(D1422,'Sản phẩm'!$A$5:$A$304,0)),"")))</f>
        <v/>
      </c>
      <c r="J1422" s="16">
        <f>IF(OR(D1422="",F1422=""),"",F1422*I1422-N(H1422))</f>
        <v/>
      </c>
      <c r="K1422" s="16">
        <f>IF(OR(D1422="",F1422=""),"",F1422*IFERROR(INDEX('Sản phẩm'!$D$5:$D$304,MATCH(D1422,'Sản phẩm'!$A$5:$A$304,0)),""))</f>
        <v/>
      </c>
      <c r="L1422" s="16">
        <f>IF(J1422="","",J1422-K1422)</f>
        <v/>
      </c>
      <c r="M1422" s="14">
        <f>IF(A1422="","",MONTH(A1422))</f>
        <v/>
      </c>
      <c r="N1422" s="14">
        <f>IF(A1422="","",YEAR(A1422))</f>
        <v/>
      </c>
    </row>
    <row r="1423">
      <c r="A1423" s="15" t="n"/>
      <c r="B1423" s="10" t="n"/>
      <c r="C1423" s="10" t="n"/>
      <c r="D1423" s="10" t="n"/>
      <c r="E1423" s="14">
        <f>IF(D1423="","",IFERROR(INDEX('Sản phẩm'!$B$5:$B$304,MATCH(D1423,'Sản phẩm'!$A$5:$A$304,0)),""))</f>
        <v/>
      </c>
      <c r="F1423" s="12" t="n"/>
      <c r="G1423" s="11" t="n"/>
      <c r="H1423" s="11" t="n"/>
      <c r="I1423" s="16">
        <f>IF(D1423="","",IF(G1423&lt;&gt;"",G1423,IFERROR(INDEX('Sản phẩm'!$E$5:$E$304,MATCH(D1423,'Sản phẩm'!$A$5:$A$304,0)),"")))</f>
        <v/>
      </c>
      <c r="J1423" s="16">
        <f>IF(OR(D1423="",F1423=""),"",F1423*I1423-N(H1423))</f>
        <v/>
      </c>
      <c r="K1423" s="16">
        <f>IF(OR(D1423="",F1423=""),"",F1423*IFERROR(INDEX('Sản phẩm'!$D$5:$D$304,MATCH(D1423,'Sản phẩm'!$A$5:$A$304,0)),""))</f>
        <v/>
      </c>
      <c r="L1423" s="16">
        <f>IF(J1423="","",J1423-K1423)</f>
        <v/>
      </c>
      <c r="M1423" s="14">
        <f>IF(A1423="","",MONTH(A1423))</f>
        <v/>
      </c>
      <c r="N1423" s="14">
        <f>IF(A1423="","",YEAR(A1423))</f>
        <v/>
      </c>
    </row>
    <row r="1424">
      <c r="A1424" s="15" t="n"/>
      <c r="B1424" s="10" t="n"/>
      <c r="C1424" s="10" t="n"/>
      <c r="D1424" s="10" t="n"/>
      <c r="E1424" s="14">
        <f>IF(D1424="","",IFERROR(INDEX('Sản phẩm'!$B$5:$B$304,MATCH(D1424,'Sản phẩm'!$A$5:$A$304,0)),""))</f>
        <v/>
      </c>
      <c r="F1424" s="12" t="n"/>
      <c r="G1424" s="11" t="n"/>
      <c r="H1424" s="11" t="n"/>
      <c r="I1424" s="16">
        <f>IF(D1424="","",IF(G1424&lt;&gt;"",G1424,IFERROR(INDEX('Sản phẩm'!$E$5:$E$304,MATCH(D1424,'Sản phẩm'!$A$5:$A$304,0)),"")))</f>
        <v/>
      </c>
      <c r="J1424" s="16">
        <f>IF(OR(D1424="",F1424=""),"",F1424*I1424-N(H1424))</f>
        <v/>
      </c>
      <c r="K1424" s="16">
        <f>IF(OR(D1424="",F1424=""),"",F1424*IFERROR(INDEX('Sản phẩm'!$D$5:$D$304,MATCH(D1424,'Sản phẩm'!$A$5:$A$304,0)),""))</f>
        <v/>
      </c>
      <c r="L1424" s="16">
        <f>IF(J1424="","",J1424-K1424)</f>
        <v/>
      </c>
      <c r="M1424" s="14">
        <f>IF(A1424="","",MONTH(A1424))</f>
        <v/>
      </c>
      <c r="N1424" s="14">
        <f>IF(A1424="","",YEAR(A1424))</f>
        <v/>
      </c>
    </row>
    <row r="1425">
      <c r="A1425" s="15" t="n"/>
      <c r="B1425" s="10" t="n"/>
      <c r="C1425" s="10" t="n"/>
      <c r="D1425" s="10" t="n"/>
      <c r="E1425" s="14">
        <f>IF(D1425="","",IFERROR(INDEX('Sản phẩm'!$B$5:$B$304,MATCH(D1425,'Sản phẩm'!$A$5:$A$304,0)),""))</f>
        <v/>
      </c>
      <c r="F1425" s="12" t="n"/>
      <c r="G1425" s="11" t="n"/>
      <c r="H1425" s="11" t="n"/>
      <c r="I1425" s="16">
        <f>IF(D1425="","",IF(G1425&lt;&gt;"",G1425,IFERROR(INDEX('Sản phẩm'!$E$5:$E$304,MATCH(D1425,'Sản phẩm'!$A$5:$A$304,0)),"")))</f>
        <v/>
      </c>
      <c r="J1425" s="16">
        <f>IF(OR(D1425="",F1425=""),"",F1425*I1425-N(H1425))</f>
        <v/>
      </c>
      <c r="K1425" s="16">
        <f>IF(OR(D1425="",F1425=""),"",F1425*IFERROR(INDEX('Sản phẩm'!$D$5:$D$304,MATCH(D1425,'Sản phẩm'!$A$5:$A$304,0)),""))</f>
        <v/>
      </c>
      <c r="L1425" s="16">
        <f>IF(J1425="","",J1425-K1425)</f>
        <v/>
      </c>
      <c r="M1425" s="14">
        <f>IF(A1425="","",MONTH(A1425))</f>
        <v/>
      </c>
      <c r="N1425" s="14">
        <f>IF(A1425="","",YEAR(A1425))</f>
        <v/>
      </c>
    </row>
    <row r="1426">
      <c r="A1426" s="15" t="n"/>
      <c r="B1426" s="10" t="n"/>
      <c r="C1426" s="10" t="n"/>
      <c r="D1426" s="10" t="n"/>
      <c r="E1426" s="14">
        <f>IF(D1426="","",IFERROR(INDEX('Sản phẩm'!$B$5:$B$304,MATCH(D1426,'Sản phẩm'!$A$5:$A$304,0)),""))</f>
        <v/>
      </c>
      <c r="F1426" s="12" t="n"/>
      <c r="G1426" s="11" t="n"/>
      <c r="H1426" s="11" t="n"/>
      <c r="I1426" s="16">
        <f>IF(D1426="","",IF(G1426&lt;&gt;"",G1426,IFERROR(INDEX('Sản phẩm'!$E$5:$E$304,MATCH(D1426,'Sản phẩm'!$A$5:$A$304,0)),"")))</f>
        <v/>
      </c>
      <c r="J1426" s="16">
        <f>IF(OR(D1426="",F1426=""),"",F1426*I1426-N(H1426))</f>
        <v/>
      </c>
      <c r="K1426" s="16">
        <f>IF(OR(D1426="",F1426=""),"",F1426*IFERROR(INDEX('Sản phẩm'!$D$5:$D$304,MATCH(D1426,'Sản phẩm'!$A$5:$A$304,0)),""))</f>
        <v/>
      </c>
      <c r="L1426" s="16">
        <f>IF(J1426="","",J1426-K1426)</f>
        <v/>
      </c>
      <c r="M1426" s="14">
        <f>IF(A1426="","",MONTH(A1426))</f>
        <v/>
      </c>
      <c r="N1426" s="14">
        <f>IF(A1426="","",YEAR(A1426))</f>
        <v/>
      </c>
    </row>
    <row r="1427">
      <c r="A1427" s="15" t="n"/>
      <c r="B1427" s="10" t="n"/>
      <c r="C1427" s="10" t="n"/>
      <c r="D1427" s="10" t="n"/>
      <c r="E1427" s="14">
        <f>IF(D1427="","",IFERROR(INDEX('Sản phẩm'!$B$5:$B$304,MATCH(D1427,'Sản phẩm'!$A$5:$A$304,0)),""))</f>
        <v/>
      </c>
      <c r="F1427" s="12" t="n"/>
      <c r="G1427" s="11" t="n"/>
      <c r="H1427" s="11" t="n"/>
      <c r="I1427" s="16">
        <f>IF(D1427="","",IF(G1427&lt;&gt;"",G1427,IFERROR(INDEX('Sản phẩm'!$E$5:$E$304,MATCH(D1427,'Sản phẩm'!$A$5:$A$304,0)),"")))</f>
        <v/>
      </c>
      <c r="J1427" s="16">
        <f>IF(OR(D1427="",F1427=""),"",F1427*I1427-N(H1427))</f>
        <v/>
      </c>
      <c r="K1427" s="16">
        <f>IF(OR(D1427="",F1427=""),"",F1427*IFERROR(INDEX('Sản phẩm'!$D$5:$D$304,MATCH(D1427,'Sản phẩm'!$A$5:$A$304,0)),""))</f>
        <v/>
      </c>
      <c r="L1427" s="16">
        <f>IF(J1427="","",J1427-K1427)</f>
        <v/>
      </c>
      <c r="M1427" s="14">
        <f>IF(A1427="","",MONTH(A1427))</f>
        <v/>
      </c>
      <c r="N1427" s="14">
        <f>IF(A1427="","",YEAR(A1427))</f>
        <v/>
      </c>
    </row>
    <row r="1428">
      <c r="A1428" s="15" t="n"/>
      <c r="B1428" s="10" t="n"/>
      <c r="C1428" s="10" t="n"/>
      <c r="D1428" s="10" t="n"/>
      <c r="E1428" s="14">
        <f>IF(D1428="","",IFERROR(INDEX('Sản phẩm'!$B$5:$B$304,MATCH(D1428,'Sản phẩm'!$A$5:$A$304,0)),""))</f>
        <v/>
      </c>
      <c r="F1428" s="12" t="n"/>
      <c r="G1428" s="11" t="n"/>
      <c r="H1428" s="11" t="n"/>
      <c r="I1428" s="16">
        <f>IF(D1428="","",IF(G1428&lt;&gt;"",G1428,IFERROR(INDEX('Sản phẩm'!$E$5:$E$304,MATCH(D1428,'Sản phẩm'!$A$5:$A$304,0)),"")))</f>
        <v/>
      </c>
      <c r="J1428" s="16">
        <f>IF(OR(D1428="",F1428=""),"",F1428*I1428-N(H1428))</f>
        <v/>
      </c>
      <c r="K1428" s="16">
        <f>IF(OR(D1428="",F1428=""),"",F1428*IFERROR(INDEX('Sản phẩm'!$D$5:$D$304,MATCH(D1428,'Sản phẩm'!$A$5:$A$304,0)),""))</f>
        <v/>
      </c>
      <c r="L1428" s="16">
        <f>IF(J1428="","",J1428-K1428)</f>
        <v/>
      </c>
      <c r="M1428" s="14">
        <f>IF(A1428="","",MONTH(A1428))</f>
        <v/>
      </c>
      <c r="N1428" s="14">
        <f>IF(A1428="","",YEAR(A1428))</f>
        <v/>
      </c>
    </row>
    <row r="1429">
      <c r="A1429" s="15" t="n"/>
      <c r="B1429" s="10" t="n"/>
      <c r="C1429" s="10" t="n"/>
      <c r="D1429" s="10" t="n"/>
      <c r="E1429" s="14">
        <f>IF(D1429="","",IFERROR(INDEX('Sản phẩm'!$B$5:$B$304,MATCH(D1429,'Sản phẩm'!$A$5:$A$304,0)),""))</f>
        <v/>
      </c>
      <c r="F1429" s="12" t="n"/>
      <c r="G1429" s="11" t="n"/>
      <c r="H1429" s="11" t="n"/>
      <c r="I1429" s="16">
        <f>IF(D1429="","",IF(G1429&lt;&gt;"",G1429,IFERROR(INDEX('Sản phẩm'!$E$5:$E$304,MATCH(D1429,'Sản phẩm'!$A$5:$A$304,0)),"")))</f>
        <v/>
      </c>
      <c r="J1429" s="16">
        <f>IF(OR(D1429="",F1429=""),"",F1429*I1429-N(H1429))</f>
        <v/>
      </c>
      <c r="K1429" s="16">
        <f>IF(OR(D1429="",F1429=""),"",F1429*IFERROR(INDEX('Sản phẩm'!$D$5:$D$304,MATCH(D1429,'Sản phẩm'!$A$5:$A$304,0)),""))</f>
        <v/>
      </c>
      <c r="L1429" s="16">
        <f>IF(J1429="","",J1429-K1429)</f>
        <v/>
      </c>
      <c r="M1429" s="14">
        <f>IF(A1429="","",MONTH(A1429))</f>
        <v/>
      </c>
      <c r="N1429" s="14">
        <f>IF(A1429="","",YEAR(A1429))</f>
        <v/>
      </c>
    </row>
    <row r="1430">
      <c r="A1430" s="15" t="n"/>
      <c r="B1430" s="10" t="n"/>
      <c r="C1430" s="10" t="n"/>
      <c r="D1430" s="10" t="n"/>
      <c r="E1430" s="14">
        <f>IF(D1430="","",IFERROR(INDEX('Sản phẩm'!$B$5:$B$304,MATCH(D1430,'Sản phẩm'!$A$5:$A$304,0)),""))</f>
        <v/>
      </c>
      <c r="F1430" s="12" t="n"/>
      <c r="G1430" s="11" t="n"/>
      <c r="H1430" s="11" t="n"/>
      <c r="I1430" s="16">
        <f>IF(D1430="","",IF(G1430&lt;&gt;"",G1430,IFERROR(INDEX('Sản phẩm'!$E$5:$E$304,MATCH(D1430,'Sản phẩm'!$A$5:$A$304,0)),"")))</f>
        <v/>
      </c>
      <c r="J1430" s="16">
        <f>IF(OR(D1430="",F1430=""),"",F1430*I1430-N(H1430))</f>
        <v/>
      </c>
      <c r="K1430" s="16">
        <f>IF(OR(D1430="",F1430=""),"",F1430*IFERROR(INDEX('Sản phẩm'!$D$5:$D$304,MATCH(D1430,'Sản phẩm'!$A$5:$A$304,0)),""))</f>
        <v/>
      </c>
      <c r="L1430" s="16">
        <f>IF(J1430="","",J1430-K1430)</f>
        <v/>
      </c>
      <c r="M1430" s="14">
        <f>IF(A1430="","",MONTH(A1430))</f>
        <v/>
      </c>
      <c r="N1430" s="14">
        <f>IF(A1430="","",YEAR(A1430))</f>
        <v/>
      </c>
    </row>
    <row r="1431">
      <c r="A1431" s="15" t="n"/>
      <c r="B1431" s="10" t="n"/>
      <c r="C1431" s="10" t="n"/>
      <c r="D1431" s="10" t="n"/>
      <c r="E1431" s="14">
        <f>IF(D1431="","",IFERROR(INDEX('Sản phẩm'!$B$5:$B$304,MATCH(D1431,'Sản phẩm'!$A$5:$A$304,0)),""))</f>
        <v/>
      </c>
      <c r="F1431" s="12" t="n"/>
      <c r="G1431" s="11" t="n"/>
      <c r="H1431" s="11" t="n"/>
      <c r="I1431" s="16">
        <f>IF(D1431="","",IF(G1431&lt;&gt;"",G1431,IFERROR(INDEX('Sản phẩm'!$E$5:$E$304,MATCH(D1431,'Sản phẩm'!$A$5:$A$304,0)),"")))</f>
        <v/>
      </c>
      <c r="J1431" s="16">
        <f>IF(OR(D1431="",F1431=""),"",F1431*I1431-N(H1431))</f>
        <v/>
      </c>
      <c r="K1431" s="16">
        <f>IF(OR(D1431="",F1431=""),"",F1431*IFERROR(INDEX('Sản phẩm'!$D$5:$D$304,MATCH(D1431,'Sản phẩm'!$A$5:$A$304,0)),""))</f>
        <v/>
      </c>
      <c r="L1431" s="16">
        <f>IF(J1431="","",J1431-K1431)</f>
        <v/>
      </c>
      <c r="M1431" s="14">
        <f>IF(A1431="","",MONTH(A1431))</f>
        <v/>
      </c>
      <c r="N1431" s="14">
        <f>IF(A1431="","",YEAR(A1431))</f>
        <v/>
      </c>
    </row>
    <row r="1432">
      <c r="A1432" s="15" t="n"/>
      <c r="B1432" s="10" t="n"/>
      <c r="C1432" s="10" t="n"/>
      <c r="D1432" s="10" t="n"/>
      <c r="E1432" s="14">
        <f>IF(D1432="","",IFERROR(INDEX('Sản phẩm'!$B$5:$B$304,MATCH(D1432,'Sản phẩm'!$A$5:$A$304,0)),""))</f>
        <v/>
      </c>
      <c r="F1432" s="12" t="n"/>
      <c r="G1432" s="11" t="n"/>
      <c r="H1432" s="11" t="n"/>
      <c r="I1432" s="16">
        <f>IF(D1432="","",IF(G1432&lt;&gt;"",G1432,IFERROR(INDEX('Sản phẩm'!$E$5:$E$304,MATCH(D1432,'Sản phẩm'!$A$5:$A$304,0)),"")))</f>
        <v/>
      </c>
      <c r="J1432" s="16">
        <f>IF(OR(D1432="",F1432=""),"",F1432*I1432-N(H1432))</f>
        <v/>
      </c>
      <c r="K1432" s="16">
        <f>IF(OR(D1432="",F1432=""),"",F1432*IFERROR(INDEX('Sản phẩm'!$D$5:$D$304,MATCH(D1432,'Sản phẩm'!$A$5:$A$304,0)),""))</f>
        <v/>
      </c>
      <c r="L1432" s="16">
        <f>IF(J1432="","",J1432-K1432)</f>
        <v/>
      </c>
      <c r="M1432" s="14">
        <f>IF(A1432="","",MONTH(A1432))</f>
        <v/>
      </c>
      <c r="N1432" s="14">
        <f>IF(A1432="","",YEAR(A1432))</f>
        <v/>
      </c>
    </row>
    <row r="1433">
      <c r="A1433" s="15" t="n"/>
      <c r="B1433" s="10" t="n"/>
      <c r="C1433" s="10" t="n"/>
      <c r="D1433" s="10" t="n"/>
      <c r="E1433" s="14">
        <f>IF(D1433="","",IFERROR(INDEX('Sản phẩm'!$B$5:$B$304,MATCH(D1433,'Sản phẩm'!$A$5:$A$304,0)),""))</f>
        <v/>
      </c>
      <c r="F1433" s="12" t="n"/>
      <c r="G1433" s="11" t="n"/>
      <c r="H1433" s="11" t="n"/>
      <c r="I1433" s="16">
        <f>IF(D1433="","",IF(G1433&lt;&gt;"",G1433,IFERROR(INDEX('Sản phẩm'!$E$5:$E$304,MATCH(D1433,'Sản phẩm'!$A$5:$A$304,0)),"")))</f>
        <v/>
      </c>
      <c r="J1433" s="16">
        <f>IF(OR(D1433="",F1433=""),"",F1433*I1433-N(H1433))</f>
        <v/>
      </c>
      <c r="K1433" s="16">
        <f>IF(OR(D1433="",F1433=""),"",F1433*IFERROR(INDEX('Sản phẩm'!$D$5:$D$304,MATCH(D1433,'Sản phẩm'!$A$5:$A$304,0)),""))</f>
        <v/>
      </c>
      <c r="L1433" s="16">
        <f>IF(J1433="","",J1433-K1433)</f>
        <v/>
      </c>
      <c r="M1433" s="14">
        <f>IF(A1433="","",MONTH(A1433))</f>
        <v/>
      </c>
      <c r="N1433" s="14">
        <f>IF(A1433="","",YEAR(A1433))</f>
        <v/>
      </c>
    </row>
    <row r="1434">
      <c r="A1434" s="15" t="n"/>
      <c r="B1434" s="10" t="n"/>
      <c r="C1434" s="10" t="n"/>
      <c r="D1434" s="10" t="n"/>
      <c r="E1434" s="14">
        <f>IF(D1434="","",IFERROR(INDEX('Sản phẩm'!$B$5:$B$304,MATCH(D1434,'Sản phẩm'!$A$5:$A$304,0)),""))</f>
        <v/>
      </c>
      <c r="F1434" s="12" t="n"/>
      <c r="G1434" s="11" t="n"/>
      <c r="H1434" s="11" t="n"/>
      <c r="I1434" s="16">
        <f>IF(D1434="","",IF(G1434&lt;&gt;"",G1434,IFERROR(INDEX('Sản phẩm'!$E$5:$E$304,MATCH(D1434,'Sản phẩm'!$A$5:$A$304,0)),"")))</f>
        <v/>
      </c>
      <c r="J1434" s="16">
        <f>IF(OR(D1434="",F1434=""),"",F1434*I1434-N(H1434))</f>
        <v/>
      </c>
      <c r="K1434" s="16">
        <f>IF(OR(D1434="",F1434=""),"",F1434*IFERROR(INDEX('Sản phẩm'!$D$5:$D$304,MATCH(D1434,'Sản phẩm'!$A$5:$A$304,0)),""))</f>
        <v/>
      </c>
      <c r="L1434" s="16">
        <f>IF(J1434="","",J1434-K1434)</f>
        <v/>
      </c>
      <c r="M1434" s="14">
        <f>IF(A1434="","",MONTH(A1434))</f>
        <v/>
      </c>
      <c r="N1434" s="14">
        <f>IF(A1434="","",YEAR(A1434))</f>
        <v/>
      </c>
    </row>
    <row r="1435">
      <c r="A1435" s="15" t="n"/>
      <c r="B1435" s="10" t="n"/>
      <c r="C1435" s="10" t="n"/>
      <c r="D1435" s="10" t="n"/>
      <c r="E1435" s="14">
        <f>IF(D1435="","",IFERROR(INDEX('Sản phẩm'!$B$5:$B$304,MATCH(D1435,'Sản phẩm'!$A$5:$A$304,0)),""))</f>
        <v/>
      </c>
      <c r="F1435" s="12" t="n"/>
      <c r="G1435" s="11" t="n"/>
      <c r="H1435" s="11" t="n"/>
      <c r="I1435" s="16">
        <f>IF(D1435="","",IF(G1435&lt;&gt;"",G1435,IFERROR(INDEX('Sản phẩm'!$E$5:$E$304,MATCH(D1435,'Sản phẩm'!$A$5:$A$304,0)),"")))</f>
        <v/>
      </c>
      <c r="J1435" s="16">
        <f>IF(OR(D1435="",F1435=""),"",F1435*I1435-N(H1435))</f>
        <v/>
      </c>
      <c r="K1435" s="16">
        <f>IF(OR(D1435="",F1435=""),"",F1435*IFERROR(INDEX('Sản phẩm'!$D$5:$D$304,MATCH(D1435,'Sản phẩm'!$A$5:$A$304,0)),""))</f>
        <v/>
      </c>
      <c r="L1435" s="16">
        <f>IF(J1435="","",J1435-K1435)</f>
        <v/>
      </c>
      <c r="M1435" s="14">
        <f>IF(A1435="","",MONTH(A1435))</f>
        <v/>
      </c>
      <c r="N1435" s="14">
        <f>IF(A1435="","",YEAR(A1435))</f>
        <v/>
      </c>
    </row>
    <row r="1436">
      <c r="A1436" s="15" t="n"/>
      <c r="B1436" s="10" t="n"/>
      <c r="C1436" s="10" t="n"/>
      <c r="D1436" s="10" t="n"/>
      <c r="E1436" s="14">
        <f>IF(D1436="","",IFERROR(INDEX('Sản phẩm'!$B$5:$B$304,MATCH(D1436,'Sản phẩm'!$A$5:$A$304,0)),""))</f>
        <v/>
      </c>
      <c r="F1436" s="12" t="n"/>
      <c r="G1436" s="11" t="n"/>
      <c r="H1436" s="11" t="n"/>
      <c r="I1436" s="16">
        <f>IF(D1436="","",IF(G1436&lt;&gt;"",G1436,IFERROR(INDEX('Sản phẩm'!$E$5:$E$304,MATCH(D1436,'Sản phẩm'!$A$5:$A$304,0)),"")))</f>
        <v/>
      </c>
      <c r="J1436" s="16">
        <f>IF(OR(D1436="",F1436=""),"",F1436*I1436-N(H1436))</f>
        <v/>
      </c>
      <c r="K1436" s="16">
        <f>IF(OR(D1436="",F1436=""),"",F1436*IFERROR(INDEX('Sản phẩm'!$D$5:$D$304,MATCH(D1436,'Sản phẩm'!$A$5:$A$304,0)),""))</f>
        <v/>
      </c>
      <c r="L1436" s="16">
        <f>IF(J1436="","",J1436-K1436)</f>
        <v/>
      </c>
      <c r="M1436" s="14">
        <f>IF(A1436="","",MONTH(A1436))</f>
        <v/>
      </c>
      <c r="N1436" s="14">
        <f>IF(A1436="","",YEAR(A1436))</f>
        <v/>
      </c>
    </row>
    <row r="1437">
      <c r="A1437" s="15" t="n"/>
      <c r="B1437" s="10" t="n"/>
      <c r="C1437" s="10" t="n"/>
      <c r="D1437" s="10" t="n"/>
      <c r="E1437" s="14">
        <f>IF(D1437="","",IFERROR(INDEX('Sản phẩm'!$B$5:$B$304,MATCH(D1437,'Sản phẩm'!$A$5:$A$304,0)),""))</f>
        <v/>
      </c>
      <c r="F1437" s="12" t="n"/>
      <c r="G1437" s="11" t="n"/>
      <c r="H1437" s="11" t="n"/>
      <c r="I1437" s="16">
        <f>IF(D1437="","",IF(G1437&lt;&gt;"",G1437,IFERROR(INDEX('Sản phẩm'!$E$5:$E$304,MATCH(D1437,'Sản phẩm'!$A$5:$A$304,0)),"")))</f>
        <v/>
      </c>
      <c r="J1437" s="16">
        <f>IF(OR(D1437="",F1437=""),"",F1437*I1437-N(H1437))</f>
        <v/>
      </c>
      <c r="K1437" s="16">
        <f>IF(OR(D1437="",F1437=""),"",F1437*IFERROR(INDEX('Sản phẩm'!$D$5:$D$304,MATCH(D1437,'Sản phẩm'!$A$5:$A$304,0)),""))</f>
        <v/>
      </c>
      <c r="L1437" s="16">
        <f>IF(J1437="","",J1437-K1437)</f>
        <v/>
      </c>
      <c r="M1437" s="14">
        <f>IF(A1437="","",MONTH(A1437))</f>
        <v/>
      </c>
      <c r="N1437" s="14">
        <f>IF(A1437="","",YEAR(A1437))</f>
        <v/>
      </c>
    </row>
    <row r="1438">
      <c r="A1438" s="15" t="n"/>
      <c r="B1438" s="10" t="n"/>
      <c r="C1438" s="10" t="n"/>
      <c r="D1438" s="10" t="n"/>
      <c r="E1438" s="14">
        <f>IF(D1438="","",IFERROR(INDEX('Sản phẩm'!$B$5:$B$304,MATCH(D1438,'Sản phẩm'!$A$5:$A$304,0)),""))</f>
        <v/>
      </c>
      <c r="F1438" s="12" t="n"/>
      <c r="G1438" s="11" t="n"/>
      <c r="H1438" s="11" t="n"/>
      <c r="I1438" s="16">
        <f>IF(D1438="","",IF(G1438&lt;&gt;"",G1438,IFERROR(INDEX('Sản phẩm'!$E$5:$E$304,MATCH(D1438,'Sản phẩm'!$A$5:$A$304,0)),"")))</f>
        <v/>
      </c>
      <c r="J1438" s="16">
        <f>IF(OR(D1438="",F1438=""),"",F1438*I1438-N(H1438))</f>
        <v/>
      </c>
      <c r="K1438" s="16">
        <f>IF(OR(D1438="",F1438=""),"",F1438*IFERROR(INDEX('Sản phẩm'!$D$5:$D$304,MATCH(D1438,'Sản phẩm'!$A$5:$A$304,0)),""))</f>
        <v/>
      </c>
      <c r="L1438" s="16">
        <f>IF(J1438="","",J1438-K1438)</f>
        <v/>
      </c>
      <c r="M1438" s="14">
        <f>IF(A1438="","",MONTH(A1438))</f>
        <v/>
      </c>
      <c r="N1438" s="14">
        <f>IF(A1438="","",YEAR(A1438))</f>
        <v/>
      </c>
    </row>
    <row r="1439">
      <c r="A1439" s="15" t="n"/>
      <c r="B1439" s="10" t="n"/>
      <c r="C1439" s="10" t="n"/>
      <c r="D1439" s="10" t="n"/>
      <c r="E1439" s="14">
        <f>IF(D1439="","",IFERROR(INDEX('Sản phẩm'!$B$5:$B$304,MATCH(D1439,'Sản phẩm'!$A$5:$A$304,0)),""))</f>
        <v/>
      </c>
      <c r="F1439" s="12" t="n"/>
      <c r="G1439" s="11" t="n"/>
      <c r="H1439" s="11" t="n"/>
      <c r="I1439" s="16">
        <f>IF(D1439="","",IF(G1439&lt;&gt;"",G1439,IFERROR(INDEX('Sản phẩm'!$E$5:$E$304,MATCH(D1439,'Sản phẩm'!$A$5:$A$304,0)),"")))</f>
        <v/>
      </c>
      <c r="J1439" s="16">
        <f>IF(OR(D1439="",F1439=""),"",F1439*I1439-N(H1439))</f>
        <v/>
      </c>
      <c r="K1439" s="16">
        <f>IF(OR(D1439="",F1439=""),"",F1439*IFERROR(INDEX('Sản phẩm'!$D$5:$D$304,MATCH(D1439,'Sản phẩm'!$A$5:$A$304,0)),""))</f>
        <v/>
      </c>
      <c r="L1439" s="16">
        <f>IF(J1439="","",J1439-K1439)</f>
        <v/>
      </c>
      <c r="M1439" s="14">
        <f>IF(A1439="","",MONTH(A1439))</f>
        <v/>
      </c>
      <c r="N1439" s="14">
        <f>IF(A1439="","",YEAR(A1439))</f>
        <v/>
      </c>
    </row>
    <row r="1440">
      <c r="A1440" s="15" t="n"/>
      <c r="B1440" s="10" t="n"/>
      <c r="C1440" s="10" t="n"/>
      <c r="D1440" s="10" t="n"/>
      <c r="E1440" s="14">
        <f>IF(D1440="","",IFERROR(INDEX('Sản phẩm'!$B$5:$B$304,MATCH(D1440,'Sản phẩm'!$A$5:$A$304,0)),""))</f>
        <v/>
      </c>
      <c r="F1440" s="12" t="n"/>
      <c r="G1440" s="11" t="n"/>
      <c r="H1440" s="11" t="n"/>
      <c r="I1440" s="16">
        <f>IF(D1440="","",IF(G1440&lt;&gt;"",G1440,IFERROR(INDEX('Sản phẩm'!$E$5:$E$304,MATCH(D1440,'Sản phẩm'!$A$5:$A$304,0)),"")))</f>
        <v/>
      </c>
      <c r="J1440" s="16">
        <f>IF(OR(D1440="",F1440=""),"",F1440*I1440-N(H1440))</f>
        <v/>
      </c>
      <c r="K1440" s="16">
        <f>IF(OR(D1440="",F1440=""),"",F1440*IFERROR(INDEX('Sản phẩm'!$D$5:$D$304,MATCH(D1440,'Sản phẩm'!$A$5:$A$304,0)),""))</f>
        <v/>
      </c>
      <c r="L1440" s="16">
        <f>IF(J1440="","",J1440-K1440)</f>
        <v/>
      </c>
      <c r="M1440" s="14">
        <f>IF(A1440="","",MONTH(A1440))</f>
        <v/>
      </c>
      <c r="N1440" s="14">
        <f>IF(A1440="","",YEAR(A1440))</f>
        <v/>
      </c>
    </row>
    <row r="1441">
      <c r="A1441" s="15" t="n"/>
      <c r="B1441" s="10" t="n"/>
      <c r="C1441" s="10" t="n"/>
      <c r="D1441" s="10" t="n"/>
      <c r="E1441" s="14">
        <f>IF(D1441="","",IFERROR(INDEX('Sản phẩm'!$B$5:$B$304,MATCH(D1441,'Sản phẩm'!$A$5:$A$304,0)),""))</f>
        <v/>
      </c>
      <c r="F1441" s="12" t="n"/>
      <c r="G1441" s="11" t="n"/>
      <c r="H1441" s="11" t="n"/>
      <c r="I1441" s="16">
        <f>IF(D1441="","",IF(G1441&lt;&gt;"",G1441,IFERROR(INDEX('Sản phẩm'!$E$5:$E$304,MATCH(D1441,'Sản phẩm'!$A$5:$A$304,0)),"")))</f>
        <v/>
      </c>
      <c r="J1441" s="16">
        <f>IF(OR(D1441="",F1441=""),"",F1441*I1441-N(H1441))</f>
        <v/>
      </c>
      <c r="K1441" s="16">
        <f>IF(OR(D1441="",F1441=""),"",F1441*IFERROR(INDEX('Sản phẩm'!$D$5:$D$304,MATCH(D1441,'Sản phẩm'!$A$5:$A$304,0)),""))</f>
        <v/>
      </c>
      <c r="L1441" s="16">
        <f>IF(J1441="","",J1441-K1441)</f>
        <v/>
      </c>
      <c r="M1441" s="14">
        <f>IF(A1441="","",MONTH(A1441))</f>
        <v/>
      </c>
      <c r="N1441" s="14">
        <f>IF(A1441="","",YEAR(A1441))</f>
        <v/>
      </c>
    </row>
    <row r="1442">
      <c r="A1442" s="15" t="n"/>
      <c r="B1442" s="10" t="n"/>
      <c r="C1442" s="10" t="n"/>
      <c r="D1442" s="10" t="n"/>
      <c r="E1442" s="14">
        <f>IF(D1442="","",IFERROR(INDEX('Sản phẩm'!$B$5:$B$304,MATCH(D1442,'Sản phẩm'!$A$5:$A$304,0)),""))</f>
        <v/>
      </c>
      <c r="F1442" s="12" t="n"/>
      <c r="G1442" s="11" t="n"/>
      <c r="H1442" s="11" t="n"/>
      <c r="I1442" s="16">
        <f>IF(D1442="","",IF(G1442&lt;&gt;"",G1442,IFERROR(INDEX('Sản phẩm'!$E$5:$E$304,MATCH(D1442,'Sản phẩm'!$A$5:$A$304,0)),"")))</f>
        <v/>
      </c>
      <c r="J1442" s="16">
        <f>IF(OR(D1442="",F1442=""),"",F1442*I1442-N(H1442))</f>
        <v/>
      </c>
      <c r="K1442" s="16">
        <f>IF(OR(D1442="",F1442=""),"",F1442*IFERROR(INDEX('Sản phẩm'!$D$5:$D$304,MATCH(D1442,'Sản phẩm'!$A$5:$A$304,0)),""))</f>
        <v/>
      </c>
      <c r="L1442" s="16">
        <f>IF(J1442="","",J1442-K1442)</f>
        <v/>
      </c>
      <c r="M1442" s="14">
        <f>IF(A1442="","",MONTH(A1442))</f>
        <v/>
      </c>
      <c r="N1442" s="14">
        <f>IF(A1442="","",YEAR(A1442))</f>
        <v/>
      </c>
    </row>
    <row r="1443">
      <c r="A1443" s="15" t="n"/>
      <c r="B1443" s="10" t="n"/>
      <c r="C1443" s="10" t="n"/>
      <c r="D1443" s="10" t="n"/>
      <c r="E1443" s="14">
        <f>IF(D1443="","",IFERROR(INDEX('Sản phẩm'!$B$5:$B$304,MATCH(D1443,'Sản phẩm'!$A$5:$A$304,0)),""))</f>
        <v/>
      </c>
      <c r="F1443" s="12" t="n"/>
      <c r="G1443" s="11" t="n"/>
      <c r="H1443" s="11" t="n"/>
      <c r="I1443" s="16">
        <f>IF(D1443="","",IF(G1443&lt;&gt;"",G1443,IFERROR(INDEX('Sản phẩm'!$E$5:$E$304,MATCH(D1443,'Sản phẩm'!$A$5:$A$304,0)),"")))</f>
        <v/>
      </c>
      <c r="J1443" s="16">
        <f>IF(OR(D1443="",F1443=""),"",F1443*I1443-N(H1443))</f>
        <v/>
      </c>
      <c r="K1443" s="16">
        <f>IF(OR(D1443="",F1443=""),"",F1443*IFERROR(INDEX('Sản phẩm'!$D$5:$D$304,MATCH(D1443,'Sản phẩm'!$A$5:$A$304,0)),""))</f>
        <v/>
      </c>
      <c r="L1443" s="16">
        <f>IF(J1443="","",J1443-K1443)</f>
        <v/>
      </c>
      <c r="M1443" s="14">
        <f>IF(A1443="","",MONTH(A1443))</f>
        <v/>
      </c>
      <c r="N1443" s="14">
        <f>IF(A1443="","",YEAR(A1443))</f>
        <v/>
      </c>
    </row>
    <row r="1444">
      <c r="A1444" s="15" t="n"/>
      <c r="B1444" s="10" t="n"/>
      <c r="C1444" s="10" t="n"/>
      <c r="D1444" s="10" t="n"/>
      <c r="E1444" s="14">
        <f>IF(D1444="","",IFERROR(INDEX('Sản phẩm'!$B$5:$B$304,MATCH(D1444,'Sản phẩm'!$A$5:$A$304,0)),""))</f>
        <v/>
      </c>
      <c r="F1444" s="12" t="n"/>
      <c r="G1444" s="11" t="n"/>
      <c r="H1444" s="11" t="n"/>
      <c r="I1444" s="16">
        <f>IF(D1444="","",IF(G1444&lt;&gt;"",G1444,IFERROR(INDEX('Sản phẩm'!$E$5:$E$304,MATCH(D1444,'Sản phẩm'!$A$5:$A$304,0)),"")))</f>
        <v/>
      </c>
      <c r="J1444" s="16">
        <f>IF(OR(D1444="",F1444=""),"",F1444*I1444-N(H1444))</f>
        <v/>
      </c>
      <c r="K1444" s="16">
        <f>IF(OR(D1444="",F1444=""),"",F1444*IFERROR(INDEX('Sản phẩm'!$D$5:$D$304,MATCH(D1444,'Sản phẩm'!$A$5:$A$304,0)),""))</f>
        <v/>
      </c>
      <c r="L1444" s="16">
        <f>IF(J1444="","",J1444-K1444)</f>
        <v/>
      </c>
      <c r="M1444" s="14">
        <f>IF(A1444="","",MONTH(A1444))</f>
        <v/>
      </c>
      <c r="N1444" s="14">
        <f>IF(A1444="","",YEAR(A1444))</f>
        <v/>
      </c>
    </row>
    <row r="1445">
      <c r="A1445" s="15" t="n"/>
      <c r="B1445" s="10" t="n"/>
      <c r="C1445" s="10" t="n"/>
      <c r="D1445" s="10" t="n"/>
      <c r="E1445" s="14">
        <f>IF(D1445="","",IFERROR(INDEX('Sản phẩm'!$B$5:$B$304,MATCH(D1445,'Sản phẩm'!$A$5:$A$304,0)),""))</f>
        <v/>
      </c>
      <c r="F1445" s="12" t="n"/>
      <c r="G1445" s="11" t="n"/>
      <c r="H1445" s="11" t="n"/>
      <c r="I1445" s="16">
        <f>IF(D1445="","",IF(G1445&lt;&gt;"",G1445,IFERROR(INDEX('Sản phẩm'!$E$5:$E$304,MATCH(D1445,'Sản phẩm'!$A$5:$A$304,0)),"")))</f>
        <v/>
      </c>
      <c r="J1445" s="16">
        <f>IF(OR(D1445="",F1445=""),"",F1445*I1445-N(H1445))</f>
        <v/>
      </c>
      <c r="K1445" s="16">
        <f>IF(OR(D1445="",F1445=""),"",F1445*IFERROR(INDEX('Sản phẩm'!$D$5:$D$304,MATCH(D1445,'Sản phẩm'!$A$5:$A$304,0)),""))</f>
        <v/>
      </c>
      <c r="L1445" s="16">
        <f>IF(J1445="","",J1445-K1445)</f>
        <v/>
      </c>
      <c r="M1445" s="14">
        <f>IF(A1445="","",MONTH(A1445))</f>
        <v/>
      </c>
      <c r="N1445" s="14">
        <f>IF(A1445="","",YEAR(A1445))</f>
        <v/>
      </c>
    </row>
    <row r="1446">
      <c r="A1446" s="15" t="n"/>
      <c r="B1446" s="10" t="n"/>
      <c r="C1446" s="10" t="n"/>
      <c r="D1446" s="10" t="n"/>
      <c r="E1446" s="14">
        <f>IF(D1446="","",IFERROR(INDEX('Sản phẩm'!$B$5:$B$304,MATCH(D1446,'Sản phẩm'!$A$5:$A$304,0)),""))</f>
        <v/>
      </c>
      <c r="F1446" s="12" t="n"/>
      <c r="G1446" s="11" t="n"/>
      <c r="H1446" s="11" t="n"/>
      <c r="I1446" s="16">
        <f>IF(D1446="","",IF(G1446&lt;&gt;"",G1446,IFERROR(INDEX('Sản phẩm'!$E$5:$E$304,MATCH(D1446,'Sản phẩm'!$A$5:$A$304,0)),"")))</f>
        <v/>
      </c>
      <c r="J1446" s="16">
        <f>IF(OR(D1446="",F1446=""),"",F1446*I1446-N(H1446))</f>
        <v/>
      </c>
      <c r="K1446" s="16">
        <f>IF(OR(D1446="",F1446=""),"",F1446*IFERROR(INDEX('Sản phẩm'!$D$5:$D$304,MATCH(D1446,'Sản phẩm'!$A$5:$A$304,0)),""))</f>
        <v/>
      </c>
      <c r="L1446" s="16">
        <f>IF(J1446="","",J1446-K1446)</f>
        <v/>
      </c>
      <c r="M1446" s="14">
        <f>IF(A1446="","",MONTH(A1446))</f>
        <v/>
      </c>
      <c r="N1446" s="14">
        <f>IF(A1446="","",YEAR(A1446))</f>
        <v/>
      </c>
    </row>
    <row r="1447">
      <c r="A1447" s="15" t="n"/>
      <c r="B1447" s="10" t="n"/>
      <c r="C1447" s="10" t="n"/>
      <c r="D1447" s="10" t="n"/>
      <c r="E1447" s="14">
        <f>IF(D1447="","",IFERROR(INDEX('Sản phẩm'!$B$5:$B$304,MATCH(D1447,'Sản phẩm'!$A$5:$A$304,0)),""))</f>
        <v/>
      </c>
      <c r="F1447" s="12" t="n"/>
      <c r="G1447" s="11" t="n"/>
      <c r="H1447" s="11" t="n"/>
      <c r="I1447" s="16">
        <f>IF(D1447="","",IF(G1447&lt;&gt;"",G1447,IFERROR(INDEX('Sản phẩm'!$E$5:$E$304,MATCH(D1447,'Sản phẩm'!$A$5:$A$304,0)),"")))</f>
        <v/>
      </c>
      <c r="J1447" s="16">
        <f>IF(OR(D1447="",F1447=""),"",F1447*I1447-N(H1447))</f>
        <v/>
      </c>
      <c r="K1447" s="16">
        <f>IF(OR(D1447="",F1447=""),"",F1447*IFERROR(INDEX('Sản phẩm'!$D$5:$D$304,MATCH(D1447,'Sản phẩm'!$A$5:$A$304,0)),""))</f>
        <v/>
      </c>
      <c r="L1447" s="16">
        <f>IF(J1447="","",J1447-K1447)</f>
        <v/>
      </c>
      <c r="M1447" s="14">
        <f>IF(A1447="","",MONTH(A1447))</f>
        <v/>
      </c>
      <c r="N1447" s="14">
        <f>IF(A1447="","",YEAR(A1447))</f>
        <v/>
      </c>
    </row>
    <row r="1448">
      <c r="A1448" s="15" t="n"/>
      <c r="B1448" s="10" t="n"/>
      <c r="C1448" s="10" t="n"/>
      <c r="D1448" s="10" t="n"/>
      <c r="E1448" s="14">
        <f>IF(D1448="","",IFERROR(INDEX('Sản phẩm'!$B$5:$B$304,MATCH(D1448,'Sản phẩm'!$A$5:$A$304,0)),""))</f>
        <v/>
      </c>
      <c r="F1448" s="12" t="n"/>
      <c r="G1448" s="11" t="n"/>
      <c r="H1448" s="11" t="n"/>
      <c r="I1448" s="16">
        <f>IF(D1448="","",IF(G1448&lt;&gt;"",G1448,IFERROR(INDEX('Sản phẩm'!$E$5:$E$304,MATCH(D1448,'Sản phẩm'!$A$5:$A$304,0)),"")))</f>
        <v/>
      </c>
      <c r="J1448" s="16">
        <f>IF(OR(D1448="",F1448=""),"",F1448*I1448-N(H1448))</f>
        <v/>
      </c>
      <c r="K1448" s="16">
        <f>IF(OR(D1448="",F1448=""),"",F1448*IFERROR(INDEX('Sản phẩm'!$D$5:$D$304,MATCH(D1448,'Sản phẩm'!$A$5:$A$304,0)),""))</f>
        <v/>
      </c>
      <c r="L1448" s="16">
        <f>IF(J1448="","",J1448-K1448)</f>
        <v/>
      </c>
      <c r="M1448" s="14">
        <f>IF(A1448="","",MONTH(A1448))</f>
        <v/>
      </c>
      <c r="N1448" s="14">
        <f>IF(A1448="","",YEAR(A1448))</f>
        <v/>
      </c>
    </row>
    <row r="1449">
      <c r="A1449" s="15" t="n"/>
      <c r="B1449" s="10" t="n"/>
      <c r="C1449" s="10" t="n"/>
      <c r="D1449" s="10" t="n"/>
      <c r="E1449" s="14">
        <f>IF(D1449="","",IFERROR(INDEX('Sản phẩm'!$B$5:$B$304,MATCH(D1449,'Sản phẩm'!$A$5:$A$304,0)),""))</f>
        <v/>
      </c>
      <c r="F1449" s="12" t="n"/>
      <c r="G1449" s="11" t="n"/>
      <c r="H1449" s="11" t="n"/>
      <c r="I1449" s="16">
        <f>IF(D1449="","",IF(G1449&lt;&gt;"",G1449,IFERROR(INDEX('Sản phẩm'!$E$5:$E$304,MATCH(D1449,'Sản phẩm'!$A$5:$A$304,0)),"")))</f>
        <v/>
      </c>
      <c r="J1449" s="16">
        <f>IF(OR(D1449="",F1449=""),"",F1449*I1449-N(H1449))</f>
        <v/>
      </c>
      <c r="K1449" s="16">
        <f>IF(OR(D1449="",F1449=""),"",F1449*IFERROR(INDEX('Sản phẩm'!$D$5:$D$304,MATCH(D1449,'Sản phẩm'!$A$5:$A$304,0)),""))</f>
        <v/>
      </c>
      <c r="L1449" s="16">
        <f>IF(J1449="","",J1449-K1449)</f>
        <v/>
      </c>
      <c r="M1449" s="14">
        <f>IF(A1449="","",MONTH(A1449))</f>
        <v/>
      </c>
      <c r="N1449" s="14">
        <f>IF(A1449="","",YEAR(A1449))</f>
        <v/>
      </c>
    </row>
    <row r="1450">
      <c r="A1450" s="15" t="n"/>
      <c r="B1450" s="10" t="n"/>
      <c r="C1450" s="10" t="n"/>
      <c r="D1450" s="10" t="n"/>
      <c r="E1450" s="14">
        <f>IF(D1450="","",IFERROR(INDEX('Sản phẩm'!$B$5:$B$304,MATCH(D1450,'Sản phẩm'!$A$5:$A$304,0)),""))</f>
        <v/>
      </c>
      <c r="F1450" s="12" t="n"/>
      <c r="G1450" s="11" t="n"/>
      <c r="H1450" s="11" t="n"/>
      <c r="I1450" s="16">
        <f>IF(D1450="","",IF(G1450&lt;&gt;"",G1450,IFERROR(INDEX('Sản phẩm'!$E$5:$E$304,MATCH(D1450,'Sản phẩm'!$A$5:$A$304,0)),"")))</f>
        <v/>
      </c>
      <c r="J1450" s="16">
        <f>IF(OR(D1450="",F1450=""),"",F1450*I1450-N(H1450))</f>
        <v/>
      </c>
      <c r="K1450" s="16">
        <f>IF(OR(D1450="",F1450=""),"",F1450*IFERROR(INDEX('Sản phẩm'!$D$5:$D$304,MATCH(D1450,'Sản phẩm'!$A$5:$A$304,0)),""))</f>
        <v/>
      </c>
      <c r="L1450" s="16">
        <f>IF(J1450="","",J1450-K1450)</f>
        <v/>
      </c>
      <c r="M1450" s="14">
        <f>IF(A1450="","",MONTH(A1450))</f>
        <v/>
      </c>
      <c r="N1450" s="14">
        <f>IF(A1450="","",YEAR(A1450))</f>
        <v/>
      </c>
    </row>
    <row r="1451">
      <c r="A1451" s="15" t="n"/>
      <c r="B1451" s="10" t="n"/>
      <c r="C1451" s="10" t="n"/>
      <c r="D1451" s="10" t="n"/>
      <c r="E1451" s="14">
        <f>IF(D1451="","",IFERROR(INDEX('Sản phẩm'!$B$5:$B$304,MATCH(D1451,'Sản phẩm'!$A$5:$A$304,0)),""))</f>
        <v/>
      </c>
      <c r="F1451" s="12" t="n"/>
      <c r="G1451" s="11" t="n"/>
      <c r="H1451" s="11" t="n"/>
      <c r="I1451" s="16">
        <f>IF(D1451="","",IF(G1451&lt;&gt;"",G1451,IFERROR(INDEX('Sản phẩm'!$E$5:$E$304,MATCH(D1451,'Sản phẩm'!$A$5:$A$304,0)),"")))</f>
        <v/>
      </c>
      <c r="J1451" s="16">
        <f>IF(OR(D1451="",F1451=""),"",F1451*I1451-N(H1451))</f>
        <v/>
      </c>
      <c r="K1451" s="16">
        <f>IF(OR(D1451="",F1451=""),"",F1451*IFERROR(INDEX('Sản phẩm'!$D$5:$D$304,MATCH(D1451,'Sản phẩm'!$A$5:$A$304,0)),""))</f>
        <v/>
      </c>
      <c r="L1451" s="16">
        <f>IF(J1451="","",J1451-K1451)</f>
        <v/>
      </c>
      <c r="M1451" s="14">
        <f>IF(A1451="","",MONTH(A1451))</f>
        <v/>
      </c>
      <c r="N1451" s="14">
        <f>IF(A1451="","",YEAR(A1451))</f>
        <v/>
      </c>
    </row>
    <row r="1452">
      <c r="A1452" s="15" t="n"/>
      <c r="B1452" s="10" t="n"/>
      <c r="C1452" s="10" t="n"/>
      <c r="D1452" s="10" t="n"/>
      <c r="E1452" s="14">
        <f>IF(D1452="","",IFERROR(INDEX('Sản phẩm'!$B$5:$B$304,MATCH(D1452,'Sản phẩm'!$A$5:$A$304,0)),""))</f>
        <v/>
      </c>
      <c r="F1452" s="12" t="n"/>
      <c r="G1452" s="11" t="n"/>
      <c r="H1452" s="11" t="n"/>
      <c r="I1452" s="16">
        <f>IF(D1452="","",IF(G1452&lt;&gt;"",G1452,IFERROR(INDEX('Sản phẩm'!$E$5:$E$304,MATCH(D1452,'Sản phẩm'!$A$5:$A$304,0)),"")))</f>
        <v/>
      </c>
      <c r="J1452" s="16">
        <f>IF(OR(D1452="",F1452=""),"",F1452*I1452-N(H1452))</f>
        <v/>
      </c>
      <c r="K1452" s="16">
        <f>IF(OR(D1452="",F1452=""),"",F1452*IFERROR(INDEX('Sản phẩm'!$D$5:$D$304,MATCH(D1452,'Sản phẩm'!$A$5:$A$304,0)),""))</f>
        <v/>
      </c>
      <c r="L1452" s="16">
        <f>IF(J1452="","",J1452-K1452)</f>
        <v/>
      </c>
      <c r="M1452" s="14">
        <f>IF(A1452="","",MONTH(A1452))</f>
        <v/>
      </c>
      <c r="N1452" s="14">
        <f>IF(A1452="","",YEAR(A1452))</f>
        <v/>
      </c>
    </row>
    <row r="1453">
      <c r="A1453" s="15" t="n"/>
      <c r="B1453" s="10" t="n"/>
      <c r="C1453" s="10" t="n"/>
      <c r="D1453" s="10" t="n"/>
      <c r="E1453" s="14">
        <f>IF(D1453="","",IFERROR(INDEX('Sản phẩm'!$B$5:$B$304,MATCH(D1453,'Sản phẩm'!$A$5:$A$304,0)),""))</f>
        <v/>
      </c>
      <c r="F1453" s="12" t="n"/>
      <c r="G1453" s="11" t="n"/>
      <c r="H1453" s="11" t="n"/>
      <c r="I1453" s="16">
        <f>IF(D1453="","",IF(G1453&lt;&gt;"",G1453,IFERROR(INDEX('Sản phẩm'!$E$5:$E$304,MATCH(D1453,'Sản phẩm'!$A$5:$A$304,0)),"")))</f>
        <v/>
      </c>
      <c r="J1453" s="16">
        <f>IF(OR(D1453="",F1453=""),"",F1453*I1453-N(H1453))</f>
        <v/>
      </c>
      <c r="K1453" s="16">
        <f>IF(OR(D1453="",F1453=""),"",F1453*IFERROR(INDEX('Sản phẩm'!$D$5:$D$304,MATCH(D1453,'Sản phẩm'!$A$5:$A$304,0)),""))</f>
        <v/>
      </c>
      <c r="L1453" s="16">
        <f>IF(J1453="","",J1453-K1453)</f>
        <v/>
      </c>
      <c r="M1453" s="14">
        <f>IF(A1453="","",MONTH(A1453))</f>
        <v/>
      </c>
      <c r="N1453" s="14">
        <f>IF(A1453="","",YEAR(A1453))</f>
        <v/>
      </c>
    </row>
    <row r="1454">
      <c r="A1454" s="15" t="n"/>
      <c r="B1454" s="10" t="n"/>
      <c r="C1454" s="10" t="n"/>
      <c r="D1454" s="10" t="n"/>
      <c r="E1454" s="14">
        <f>IF(D1454="","",IFERROR(INDEX('Sản phẩm'!$B$5:$B$304,MATCH(D1454,'Sản phẩm'!$A$5:$A$304,0)),""))</f>
        <v/>
      </c>
      <c r="F1454" s="12" t="n"/>
      <c r="G1454" s="11" t="n"/>
      <c r="H1454" s="11" t="n"/>
      <c r="I1454" s="16">
        <f>IF(D1454="","",IF(G1454&lt;&gt;"",G1454,IFERROR(INDEX('Sản phẩm'!$E$5:$E$304,MATCH(D1454,'Sản phẩm'!$A$5:$A$304,0)),"")))</f>
        <v/>
      </c>
      <c r="J1454" s="16">
        <f>IF(OR(D1454="",F1454=""),"",F1454*I1454-N(H1454))</f>
        <v/>
      </c>
      <c r="K1454" s="16">
        <f>IF(OR(D1454="",F1454=""),"",F1454*IFERROR(INDEX('Sản phẩm'!$D$5:$D$304,MATCH(D1454,'Sản phẩm'!$A$5:$A$304,0)),""))</f>
        <v/>
      </c>
      <c r="L1454" s="16">
        <f>IF(J1454="","",J1454-K1454)</f>
        <v/>
      </c>
      <c r="M1454" s="14">
        <f>IF(A1454="","",MONTH(A1454))</f>
        <v/>
      </c>
      <c r="N1454" s="14">
        <f>IF(A1454="","",YEAR(A1454))</f>
        <v/>
      </c>
    </row>
    <row r="1455">
      <c r="A1455" s="15" t="n"/>
      <c r="B1455" s="10" t="n"/>
      <c r="C1455" s="10" t="n"/>
      <c r="D1455" s="10" t="n"/>
      <c r="E1455" s="14">
        <f>IF(D1455="","",IFERROR(INDEX('Sản phẩm'!$B$5:$B$304,MATCH(D1455,'Sản phẩm'!$A$5:$A$304,0)),""))</f>
        <v/>
      </c>
      <c r="F1455" s="12" t="n"/>
      <c r="G1455" s="11" t="n"/>
      <c r="H1455" s="11" t="n"/>
      <c r="I1455" s="16">
        <f>IF(D1455="","",IF(G1455&lt;&gt;"",G1455,IFERROR(INDEX('Sản phẩm'!$E$5:$E$304,MATCH(D1455,'Sản phẩm'!$A$5:$A$304,0)),"")))</f>
        <v/>
      </c>
      <c r="J1455" s="16">
        <f>IF(OR(D1455="",F1455=""),"",F1455*I1455-N(H1455))</f>
        <v/>
      </c>
      <c r="K1455" s="16">
        <f>IF(OR(D1455="",F1455=""),"",F1455*IFERROR(INDEX('Sản phẩm'!$D$5:$D$304,MATCH(D1455,'Sản phẩm'!$A$5:$A$304,0)),""))</f>
        <v/>
      </c>
      <c r="L1455" s="16">
        <f>IF(J1455="","",J1455-K1455)</f>
        <v/>
      </c>
      <c r="M1455" s="14">
        <f>IF(A1455="","",MONTH(A1455))</f>
        <v/>
      </c>
      <c r="N1455" s="14">
        <f>IF(A1455="","",YEAR(A1455))</f>
        <v/>
      </c>
    </row>
    <row r="1456">
      <c r="A1456" s="15" t="n"/>
      <c r="B1456" s="10" t="n"/>
      <c r="C1456" s="10" t="n"/>
      <c r="D1456" s="10" t="n"/>
      <c r="E1456" s="14">
        <f>IF(D1456="","",IFERROR(INDEX('Sản phẩm'!$B$5:$B$304,MATCH(D1456,'Sản phẩm'!$A$5:$A$304,0)),""))</f>
        <v/>
      </c>
      <c r="F1456" s="12" t="n"/>
      <c r="G1456" s="11" t="n"/>
      <c r="H1456" s="11" t="n"/>
      <c r="I1456" s="16">
        <f>IF(D1456="","",IF(G1456&lt;&gt;"",G1456,IFERROR(INDEX('Sản phẩm'!$E$5:$E$304,MATCH(D1456,'Sản phẩm'!$A$5:$A$304,0)),"")))</f>
        <v/>
      </c>
      <c r="J1456" s="16">
        <f>IF(OR(D1456="",F1456=""),"",F1456*I1456-N(H1456))</f>
        <v/>
      </c>
      <c r="K1456" s="16">
        <f>IF(OR(D1456="",F1456=""),"",F1456*IFERROR(INDEX('Sản phẩm'!$D$5:$D$304,MATCH(D1456,'Sản phẩm'!$A$5:$A$304,0)),""))</f>
        <v/>
      </c>
      <c r="L1456" s="16">
        <f>IF(J1456="","",J1456-K1456)</f>
        <v/>
      </c>
      <c r="M1456" s="14">
        <f>IF(A1456="","",MONTH(A1456))</f>
        <v/>
      </c>
      <c r="N1456" s="14">
        <f>IF(A1456="","",YEAR(A1456))</f>
        <v/>
      </c>
    </row>
    <row r="1457">
      <c r="A1457" s="15" t="n"/>
      <c r="B1457" s="10" t="n"/>
      <c r="C1457" s="10" t="n"/>
      <c r="D1457" s="10" t="n"/>
      <c r="E1457" s="14">
        <f>IF(D1457="","",IFERROR(INDEX('Sản phẩm'!$B$5:$B$304,MATCH(D1457,'Sản phẩm'!$A$5:$A$304,0)),""))</f>
        <v/>
      </c>
      <c r="F1457" s="12" t="n"/>
      <c r="G1457" s="11" t="n"/>
      <c r="H1457" s="11" t="n"/>
      <c r="I1457" s="16">
        <f>IF(D1457="","",IF(G1457&lt;&gt;"",G1457,IFERROR(INDEX('Sản phẩm'!$E$5:$E$304,MATCH(D1457,'Sản phẩm'!$A$5:$A$304,0)),"")))</f>
        <v/>
      </c>
      <c r="J1457" s="16">
        <f>IF(OR(D1457="",F1457=""),"",F1457*I1457-N(H1457))</f>
        <v/>
      </c>
      <c r="K1457" s="16">
        <f>IF(OR(D1457="",F1457=""),"",F1457*IFERROR(INDEX('Sản phẩm'!$D$5:$D$304,MATCH(D1457,'Sản phẩm'!$A$5:$A$304,0)),""))</f>
        <v/>
      </c>
      <c r="L1457" s="16">
        <f>IF(J1457="","",J1457-K1457)</f>
        <v/>
      </c>
      <c r="M1457" s="14">
        <f>IF(A1457="","",MONTH(A1457))</f>
        <v/>
      </c>
      <c r="N1457" s="14">
        <f>IF(A1457="","",YEAR(A1457))</f>
        <v/>
      </c>
    </row>
    <row r="1458">
      <c r="A1458" s="15" t="n"/>
      <c r="B1458" s="10" t="n"/>
      <c r="C1458" s="10" t="n"/>
      <c r="D1458" s="10" t="n"/>
      <c r="E1458" s="14">
        <f>IF(D1458="","",IFERROR(INDEX('Sản phẩm'!$B$5:$B$304,MATCH(D1458,'Sản phẩm'!$A$5:$A$304,0)),""))</f>
        <v/>
      </c>
      <c r="F1458" s="12" t="n"/>
      <c r="G1458" s="11" t="n"/>
      <c r="H1458" s="11" t="n"/>
      <c r="I1458" s="16">
        <f>IF(D1458="","",IF(G1458&lt;&gt;"",G1458,IFERROR(INDEX('Sản phẩm'!$E$5:$E$304,MATCH(D1458,'Sản phẩm'!$A$5:$A$304,0)),"")))</f>
        <v/>
      </c>
      <c r="J1458" s="16">
        <f>IF(OR(D1458="",F1458=""),"",F1458*I1458-N(H1458))</f>
        <v/>
      </c>
      <c r="K1458" s="16">
        <f>IF(OR(D1458="",F1458=""),"",F1458*IFERROR(INDEX('Sản phẩm'!$D$5:$D$304,MATCH(D1458,'Sản phẩm'!$A$5:$A$304,0)),""))</f>
        <v/>
      </c>
      <c r="L1458" s="16">
        <f>IF(J1458="","",J1458-K1458)</f>
        <v/>
      </c>
      <c r="M1458" s="14">
        <f>IF(A1458="","",MONTH(A1458))</f>
        <v/>
      </c>
      <c r="N1458" s="14">
        <f>IF(A1458="","",YEAR(A1458))</f>
        <v/>
      </c>
    </row>
    <row r="1459">
      <c r="A1459" s="15" t="n"/>
      <c r="B1459" s="10" t="n"/>
      <c r="C1459" s="10" t="n"/>
      <c r="D1459" s="10" t="n"/>
      <c r="E1459" s="14">
        <f>IF(D1459="","",IFERROR(INDEX('Sản phẩm'!$B$5:$B$304,MATCH(D1459,'Sản phẩm'!$A$5:$A$304,0)),""))</f>
        <v/>
      </c>
      <c r="F1459" s="12" t="n"/>
      <c r="G1459" s="11" t="n"/>
      <c r="H1459" s="11" t="n"/>
      <c r="I1459" s="16">
        <f>IF(D1459="","",IF(G1459&lt;&gt;"",G1459,IFERROR(INDEX('Sản phẩm'!$E$5:$E$304,MATCH(D1459,'Sản phẩm'!$A$5:$A$304,0)),"")))</f>
        <v/>
      </c>
      <c r="J1459" s="16">
        <f>IF(OR(D1459="",F1459=""),"",F1459*I1459-N(H1459))</f>
        <v/>
      </c>
      <c r="K1459" s="16">
        <f>IF(OR(D1459="",F1459=""),"",F1459*IFERROR(INDEX('Sản phẩm'!$D$5:$D$304,MATCH(D1459,'Sản phẩm'!$A$5:$A$304,0)),""))</f>
        <v/>
      </c>
      <c r="L1459" s="16">
        <f>IF(J1459="","",J1459-K1459)</f>
        <v/>
      </c>
      <c r="M1459" s="14">
        <f>IF(A1459="","",MONTH(A1459))</f>
        <v/>
      </c>
      <c r="N1459" s="14">
        <f>IF(A1459="","",YEAR(A1459))</f>
        <v/>
      </c>
    </row>
    <row r="1460">
      <c r="A1460" s="15" t="n"/>
      <c r="B1460" s="10" t="n"/>
      <c r="C1460" s="10" t="n"/>
      <c r="D1460" s="10" t="n"/>
      <c r="E1460" s="14">
        <f>IF(D1460="","",IFERROR(INDEX('Sản phẩm'!$B$5:$B$304,MATCH(D1460,'Sản phẩm'!$A$5:$A$304,0)),""))</f>
        <v/>
      </c>
      <c r="F1460" s="12" t="n"/>
      <c r="G1460" s="11" t="n"/>
      <c r="H1460" s="11" t="n"/>
      <c r="I1460" s="16">
        <f>IF(D1460="","",IF(G1460&lt;&gt;"",G1460,IFERROR(INDEX('Sản phẩm'!$E$5:$E$304,MATCH(D1460,'Sản phẩm'!$A$5:$A$304,0)),"")))</f>
        <v/>
      </c>
      <c r="J1460" s="16">
        <f>IF(OR(D1460="",F1460=""),"",F1460*I1460-N(H1460))</f>
        <v/>
      </c>
      <c r="K1460" s="16">
        <f>IF(OR(D1460="",F1460=""),"",F1460*IFERROR(INDEX('Sản phẩm'!$D$5:$D$304,MATCH(D1460,'Sản phẩm'!$A$5:$A$304,0)),""))</f>
        <v/>
      </c>
      <c r="L1460" s="16">
        <f>IF(J1460="","",J1460-K1460)</f>
        <v/>
      </c>
      <c r="M1460" s="14">
        <f>IF(A1460="","",MONTH(A1460))</f>
        <v/>
      </c>
      <c r="N1460" s="14">
        <f>IF(A1460="","",YEAR(A1460))</f>
        <v/>
      </c>
    </row>
    <row r="1461">
      <c r="A1461" s="15" t="n"/>
      <c r="B1461" s="10" t="n"/>
      <c r="C1461" s="10" t="n"/>
      <c r="D1461" s="10" t="n"/>
      <c r="E1461" s="14">
        <f>IF(D1461="","",IFERROR(INDEX('Sản phẩm'!$B$5:$B$304,MATCH(D1461,'Sản phẩm'!$A$5:$A$304,0)),""))</f>
        <v/>
      </c>
      <c r="F1461" s="12" t="n"/>
      <c r="G1461" s="11" t="n"/>
      <c r="H1461" s="11" t="n"/>
      <c r="I1461" s="16">
        <f>IF(D1461="","",IF(G1461&lt;&gt;"",G1461,IFERROR(INDEX('Sản phẩm'!$E$5:$E$304,MATCH(D1461,'Sản phẩm'!$A$5:$A$304,0)),"")))</f>
        <v/>
      </c>
      <c r="J1461" s="16">
        <f>IF(OR(D1461="",F1461=""),"",F1461*I1461-N(H1461))</f>
        <v/>
      </c>
      <c r="K1461" s="16">
        <f>IF(OR(D1461="",F1461=""),"",F1461*IFERROR(INDEX('Sản phẩm'!$D$5:$D$304,MATCH(D1461,'Sản phẩm'!$A$5:$A$304,0)),""))</f>
        <v/>
      </c>
      <c r="L1461" s="16">
        <f>IF(J1461="","",J1461-K1461)</f>
        <v/>
      </c>
      <c r="M1461" s="14">
        <f>IF(A1461="","",MONTH(A1461))</f>
        <v/>
      </c>
      <c r="N1461" s="14">
        <f>IF(A1461="","",YEAR(A1461))</f>
        <v/>
      </c>
    </row>
    <row r="1462">
      <c r="A1462" s="15" t="n"/>
      <c r="B1462" s="10" t="n"/>
      <c r="C1462" s="10" t="n"/>
      <c r="D1462" s="10" t="n"/>
      <c r="E1462" s="14">
        <f>IF(D1462="","",IFERROR(INDEX('Sản phẩm'!$B$5:$B$304,MATCH(D1462,'Sản phẩm'!$A$5:$A$304,0)),""))</f>
        <v/>
      </c>
      <c r="F1462" s="12" t="n"/>
      <c r="G1462" s="11" t="n"/>
      <c r="H1462" s="11" t="n"/>
      <c r="I1462" s="16">
        <f>IF(D1462="","",IF(G1462&lt;&gt;"",G1462,IFERROR(INDEX('Sản phẩm'!$E$5:$E$304,MATCH(D1462,'Sản phẩm'!$A$5:$A$304,0)),"")))</f>
        <v/>
      </c>
      <c r="J1462" s="16">
        <f>IF(OR(D1462="",F1462=""),"",F1462*I1462-N(H1462))</f>
        <v/>
      </c>
      <c r="K1462" s="16">
        <f>IF(OR(D1462="",F1462=""),"",F1462*IFERROR(INDEX('Sản phẩm'!$D$5:$D$304,MATCH(D1462,'Sản phẩm'!$A$5:$A$304,0)),""))</f>
        <v/>
      </c>
      <c r="L1462" s="16">
        <f>IF(J1462="","",J1462-K1462)</f>
        <v/>
      </c>
      <c r="M1462" s="14">
        <f>IF(A1462="","",MONTH(A1462))</f>
        <v/>
      </c>
      <c r="N1462" s="14">
        <f>IF(A1462="","",YEAR(A1462))</f>
        <v/>
      </c>
    </row>
    <row r="1463">
      <c r="A1463" s="15" t="n"/>
      <c r="B1463" s="10" t="n"/>
      <c r="C1463" s="10" t="n"/>
      <c r="D1463" s="10" t="n"/>
      <c r="E1463" s="14">
        <f>IF(D1463="","",IFERROR(INDEX('Sản phẩm'!$B$5:$B$304,MATCH(D1463,'Sản phẩm'!$A$5:$A$304,0)),""))</f>
        <v/>
      </c>
      <c r="F1463" s="12" t="n"/>
      <c r="G1463" s="11" t="n"/>
      <c r="H1463" s="11" t="n"/>
      <c r="I1463" s="16">
        <f>IF(D1463="","",IF(G1463&lt;&gt;"",G1463,IFERROR(INDEX('Sản phẩm'!$E$5:$E$304,MATCH(D1463,'Sản phẩm'!$A$5:$A$304,0)),"")))</f>
        <v/>
      </c>
      <c r="J1463" s="16">
        <f>IF(OR(D1463="",F1463=""),"",F1463*I1463-N(H1463))</f>
        <v/>
      </c>
      <c r="K1463" s="16">
        <f>IF(OR(D1463="",F1463=""),"",F1463*IFERROR(INDEX('Sản phẩm'!$D$5:$D$304,MATCH(D1463,'Sản phẩm'!$A$5:$A$304,0)),""))</f>
        <v/>
      </c>
      <c r="L1463" s="16">
        <f>IF(J1463="","",J1463-K1463)</f>
        <v/>
      </c>
      <c r="M1463" s="14">
        <f>IF(A1463="","",MONTH(A1463))</f>
        <v/>
      </c>
      <c r="N1463" s="14">
        <f>IF(A1463="","",YEAR(A1463))</f>
        <v/>
      </c>
    </row>
    <row r="1464">
      <c r="A1464" s="15" t="n"/>
      <c r="B1464" s="10" t="n"/>
      <c r="C1464" s="10" t="n"/>
      <c r="D1464" s="10" t="n"/>
      <c r="E1464" s="14">
        <f>IF(D1464="","",IFERROR(INDEX('Sản phẩm'!$B$5:$B$304,MATCH(D1464,'Sản phẩm'!$A$5:$A$304,0)),""))</f>
        <v/>
      </c>
      <c r="F1464" s="12" t="n"/>
      <c r="G1464" s="11" t="n"/>
      <c r="H1464" s="11" t="n"/>
      <c r="I1464" s="16">
        <f>IF(D1464="","",IF(G1464&lt;&gt;"",G1464,IFERROR(INDEX('Sản phẩm'!$E$5:$E$304,MATCH(D1464,'Sản phẩm'!$A$5:$A$304,0)),"")))</f>
        <v/>
      </c>
      <c r="J1464" s="16">
        <f>IF(OR(D1464="",F1464=""),"",F1464*I1464-N(H1464))</f>
        <v/>
      </c>
      <c r="K1464" s="16">
        <f>IF(OR(D1464="",F1464=""),"",F1464*IFERROR(INDEX('Sản phẩm'!$D$5:$D$304,MATCH(D1464,'Sản phẩm'!$A$5:$A$304,0)),""))</f>
        <v/>
      </c>
      <c r="L1464" s="16">
        <f>IF(J1464="","",J1464-K1464)</f>
        <v/>
      </c>
      <c r="M1464" s="14">
        <f>IF(A1464="","",MONTH(A1464))</f>
        <v/>
      </c>
      <c r="N1464" s="14">
        <f>IF(A1464="","",YEAR(A1464))</f>
        <v/>
      </c>
    </row>
    <row r="1465">
      <c r="A1465" s="15" t="n"/>
      <c r="B1465" s="10" t="n"/>
      <c r="C1465" s="10" t="n"/>
      <c r="D1465" s="10" t="n"/>
      <c r="E1465" s="14">
        <f>IF(D1465="","",IFERROR(INDEX('Sản phẩm'!$B$5:$B$304,MATCH(D1465,'Sản phẩm'!$A$5:$A$304,0)),""))</f>
        <v/>
      </c>
      <c r="F1465" s="12" t="n"/>
      <c r="G1465" s="11" t="n"/>
      <c r="H1465" s="11" t="n"/>
      <c r="I1465" s="16">
        <f>IF(D1465="","",IF(G1465&lt;&gt;"",G1465,IFERROR(INDEX('Sản phẩm'!$E$5:$E$304,MATCH(D1465,'Sản phẩm'!$A$5:$A$304,0)),"")))</f>
        <v/>
      </c>
      <c r="J1465" s="16">
        <f>IF(OR(D1465="",F1465=""),"",F1465*I1465-N(H1465))</f>
        <v/>
      </c>
      <c r="K1465" s="16">
        <f>IF(OR(D1465="",F1465=""),"",F1465*IFERROR(INDEX('Sản phẩm'!$D$5:$D$304,MATCH(D1465,'Sản phẩm'!$A$5:$A$304,0)),""))</f>
        <v/>
      </c>
      <c r="L1465" s="16">
        <f>IF(J1465="","",J1465-K1465)</f>
        <v/>
      </c>
      <c r="M1465" s="14">
        <f>IF(A1465="","",MONTH(A1465))</f>
        <v/>
      </c>
      <c r="N1465" s="14">
        <f>IF(A1465="","",YEAR(A1465))</f>
        <v/>
      </c>
    </row>
    <row r="1466">
      <c r="A1466" s="15" t="n"/>
      <c r="B1466" s="10" t="n"/>
      <c r="C1466" s="10" t="n"/>
      <c r="D1466" s="10" t="n"/>
      <c r="E1466" s="14">
        <f>IF(D1466="","",IFERROR(INDEX('Sản phẩm'!$B$5:$B$304,MATCH(D1466,'Sản phẩm'!$A$5:$A$304,0)),""))</f>
        <v/>
      </c>
      <c r="F1466" s="12" t="n"/>
      <c r="G1466" s="11" t="n"/>
      <c r="H1466" s="11" t="n"/>
      <c r="I1466" s="16">
        <f>IF(D1466="","",IF(G1466&lt;&gt;"",G1466,IFERROR(INDEX('Sản phẩm'!$E$5:$E$304,MATCH(D1466,'Sản phẩm'!$A$5:$A$304,0)),"")))</f>
        <v/>
      </c>
      <c r="J1466" s="16">
        <f>IF(OR(D1466="",F1466=""),"",F1466*I1466-N(H1466))</f>
        <v/>
      </c>
      <c r="K1466" s="16">
        <f>IF(OR(D1466="",F1466=""),"",F1466*IFERROR(INDEX('Sản phẩm'!$D$5:$D$304,MATCH(D1466,'Sản phẩm'!$A$5:$A$304,0)),""))</f>
        <v/>
      </c>
      <c r="L1466" s="16">
        <f>IF(J1466="","",J1466-K1466)</f>
        <v/>
      </c>
      <c r="M1466" s="14">
        <f>IF(A1466="","",MONTH(A1466))</f>
        <v/>
      </c>
      <c r="N1466" s="14">
        <f>IF(A1466="","",YEAR(A1466))</f>
        <v/>
      </c>
    </row>
    <row r="1467">
      <c r="A1467" s="15" t="n"/>
      <c r="B1467" s="10" t="n"/>
      <c r="C1467" s="10" t="n"/>
      <c r="D1467" s="10" t="n"/>
      <c r="E1467" s="14">
        <f>IF(D1467="","",IFERROR(INDEX('Sản phẩm'!$B$5:$B$304,MATCH(D1467,'Sản phẩm'!$A$5:$A$304,0)),""))</f>
        <v/>
      </c>
      <c r="F1467" s="12" t="n"/>
      <c r="G1467" s="11" t="n"/>
      <c r="H1467" s="11" t="n"/>
      <c r="I1467" s="16">
        <f>IF(D1467="","",IF(G1467&lt;&gt;"",G1467,IFERROR(INDEX('Sản phẩm'!$E$5:$E$304,MATCH(D1467,'Sản phẩm'!$A$5:$A$304,0)),"")))</f>
        <v/>
      </c>
      <c r="J1467" s="16">
        <f>IF(OR(D1467="",F1467=""),"",F1467*I1467-N(H1467))</f>
        <v/>
      </c>
      <c r="K1467" s="16">
        <f>IF(OR(D1467="",F1467=""),"",F1467*IFERROR(INDEX('Sản phẩm'!$D$5:$D$304,MATCH(D1467,'Sản phẩm'!$A$5:$A$304,0)),""))</f>
        <v/>
      </c>
      <c r="L1467" s="16">
        <f>IF(J1467="","",J1467-K1467)</f>
        <v/>
      </c>
      <c r="M1467" s="14">
        <f>IF(A1467="","",MONTH(A1467))</f>
        <v/>
      </c>
      <c r="N1467" s="14">
        <f>IF(A1467="","",YEAR(A1467))</f>
        <v/>
      </c>
    </row>
    <row r="1468">
      <c r="A1468" s="15" t="n"/>
      <c r="B1468" s="10" t="n"/>
      <c r="C1468" s="10" t="n"/>
      <c r="D1468" s="10" t="n"/>
      <c r="E1468" s="14">
        <f>IF(D1468="","",IFERROR(INDEX('Sản phẩm'!$B$5:$B$304,MATCH(D1468,'Sản phẩm'!$A$5:$A$304,0)),""))</f>
        <v/>
      </c>
      <c r="F1468" s="12" t="n"/>
      <c r="G1468" s="11" t="n"/>
      <c r="H1468" s="11" t="n"/>
      <c r="I1468" s="16">
        <f>IF(D1468="","",IF(G1468&lt;&gt;"",G1468,IFERROR(INDEX('Sản phẩm'!$E$5:$E$304,MATCH(D1468,'Sản phẩm'!$A$5:$A$304,0)),"")))</f>
        <v/>
      </c>
      <c r="J1468" s="16">
        <f>IF(OR(D1468="",F1468=""),"",F1468*I1468-N(H1468))</f>
        <v/>
      </c>
      <c r="K1468" s="16">
        <f>IF(OR(D1468="",F1468=""),"",F1468*IFERROR(INDEX('Sản phẩm'!$D$5:$D$304,MATCH(D1468,'Sản phẩm'!$A$5:$A$304,0)),""))</f>
        <v/>
      </c>
      <c r="L1468" s="16">
        <f>IF(J1468="","",J1468-K1468)</f>
        <v/>
      </c>
      <c r="M1468" s="14">
        <f>IF(A1468="","",MONTH(A1468))</f>
        <v/>
      </c>
      <c r="N1468" s="14">
        <f>IF(A1468="","",YEAR(A1468))</f>
        <v/>
      </c>
    </row>
    <row r="1469">
      <c r="A1469" s="15" t="n"/>
      <c r="B1469" s="10" t="n"/>
      <c r="C1469" s="10" t="n"/>
      <c r="D1469" s="10" t="n"/>
      <c r="E1469" s="14">
        <f>IF(D1469="","",IFERROR(INDEX('Sản phẩm'!$B$5:$B$304,MATCH(D1469,'Sản phẩm'!$A$5:$A$304,0)),""))</f>
        <v/>
      </c>
      <c r="F1469" s="12" t="n"/>
      <c r="G1469" s="11" t="n"/>
      <c r="H1469" s="11" t="n"/>
      <c r="I1469" s="16">
        <f>IF(D1469="","",IF(G1469&lt;&gt;"",G1469,IFERROR(INDEX('Sản phẩm'!$E$5:$E$304,MATCH(D1469,'Sản phẩm'!$A$5:$A$304,0)),"")))</f>
        <v/>
      </c>
      <c r="J1469" s="16">
        <f>IF(OR(D1469="",F1469=""),"",F1469*I1469-N(H1469))</f>
        <v/>
      </c>
      <c r="K1469" s="16">
        <f>IF(OR(D1469="",F1469=""),"",F1469*IFERROR(INDEX('Sản phẩm'!$D$5:$D$304,MATCH(D1469,'Sản phẩm'!$A$5:$A$304,0)),""))</f>
        <v/>
      </c>
      <c r="L1469" s="16">
        <f>IF(J1469="","",J1469-K1469)</f>
        <v/>
      </c>
      <c r="M1469" s="14">
        <f>IF(A1469="","",MONTH(A1469))</f>
        <v/>
      </c>
      <c r="N1469" s="14">
        <f>IF(A1469="","",YEAR(A1469))</f>
        <v/>
      </c>
    </row>
    <row r="1470">
      <c r="A1470" s="15" t="n"/>
      <c r="B1470" s="10" t="n"/>
      <c r="C1470" s="10" t="n"/>
      <c r="D1470" s="10" t="n"/>
      <c r="E1470" s="14">
        <f>IF(D1470="","",IFERROR(INDEX('Sản phẩm'!$B$5:$B$304,MATCH(D1470,'Sản phẩm'!$A$5:$A$304,0)),""))</f>
        <v/>
      </c>
      <c r="F1470" s="12" t="n"/>
      <c r="G1470" s="11" t="n"/>
      <c r="H1470" s="11" t="n"/>
      <c r="I1470" s="16">
        <f>IF(D1470="","",IF(G1470&lt;&gt;"",G1470,IFERROR(INDEX('Sản phẩm'!$E$5:$E$304,MATCH(D1470,'Sản phẩm'!$A$5:$A$304,0)),"")))</f>
        <v/>
      </c>
      <c r="J1470" s="16">
        <f>IF(OR(D1470="",F1470=""),"",F1470*I1470-N(H1470))</f>
        <v/>
      </c>
      <c r="K1470" s="16">
        <f>IF(OR(D1470="",F1470=""),"",F1470*IFERROR(INDEX('Sản phẩm'!$D$5:$D$304,MATCH(D1470,'Sản phẩm'!$A$5:$A$304,0)),""))</f>
        <v/>
      </c>
      <c r="L1470" s="16">
        <f>IF(J1470="","",J1470-K1470)</f>
        <v/>
      </c>
      <c r="M1470" s="14">
        <f>IF(A1470="","",MONTH(A1470))</f>
        <v/>
      </c>
      <c r="N1470" s="14">
        <f>IF(A1470="","",YEAR(A1470))</f>
        <v/>
      </c>
    </row>
    <row r="1471">
      <c r="A1471" s="15" t="n"/>
      <c r="B1471" s="10" t="n"/>
      <c r="C1471" s="10" t="n"/>
      <c r="D1471" s="10" t="n"/>
      <c r="E1471" s="14">
        <f>IF(D1471="","",IFERROR(INDEX('Sản phẩm'!$B$5:$B$304,MATCH(D1471,'Sản phẩm'!$A$5:$A$304,0)),""))</f>
        <v/>
      </c>
      <c r="F1471" s="12" t="n"/>
      <c r="G1471" s="11" t="n"/>
      <c r="H1471" s="11" t="n"/>
      <c r="I1471" s="16">
        <f>IF(D1471="","",IF(G1471&lt;&gt;"",G1471,IFERROR(INDEX('Sản phẩm'!$E$5:$E$304,MATCH(D1471,'Sản phẩm'!$A$5:$A$304,0)),"")))</f>
        <v/>
      </c>
      <c r="J1471" s="16">
        <f>IF(OR(D1471="",F1471=""),"",F1471*I1471-N(H1471))</f>
        <v/>
      </c>
      <c r="K1471" s="16">
        <f>IF(OR(D1471="",F1471=""),"",F1471*IFERROR(INDEX('Sản phẩm'!$D$5:$D$304,MATCH(D1471,'Sản phẩm'!$A$5:$A$304,0)),""))</f>
        <v/>
      </c>
      <c r="L1471" s="16">
        <f>IF(J1471="","",J1471-K1471)</f>
        <v/>
      </c>
      <c r="M1471" s="14">
        <f>IF(A1471="","",MONTH(A1471))</f>
        <v/>
      </c>
      <c r="N1471" s="14">
        <f>IF(A1471="","",YEAR(A1471))</f>
        <v/>
      </c>
    </row>
    <row r="1472">
      <c r="A1472" s="15" t="n"/>
      <c r="B1472" s="10" t="n"/>
      <c r="C1472" s="10" t="n"/>
      <c r="D1472" s="10" t="n"/>
      <c r="E1472" s="14">
        <f>IF(D1472="","",IFERROR(INDEX('Sản phẩm'!$B$5:$B$304,MATCH(D1472,'Sản phẩm'!$A$5:$A$304,0)),""))</f>
        <v/>
      </c>
      <c r="F1472" s="12" t="n"/>
      <c r="G1472" s="11" t="n"/>
      <c r="H1472" s="11" t="n"/>
      <c r="I1472" s="16">
        <f>IF(D1472="","",IF(G1472&lt;&gt;"",G1472,IFERROR(INDEX('Sản phẩm'!$E$5:$E$304,MATCH(D1472,'Sản phẩm'!$A$5:$A$304,0)),"")))</f>
        <v/>
      </c>
      <c r="J1472" s="16">
        <f>IF(OR(D1472="",F1472=""),"",F1472*I1472-N(H1472))</f>
        <v/>
      </c>
      <c r="K1472" s="16">
        <f>IF(OR(D1472="",F1472=""),"",F1472*IFERROR(INDEX('Sản phẩm'!$D$5:$D$304,MATCH(D1472,'Sản phẩm'!$A$5:$A$304,0)),""))</f>
        <v/>
      </c>
      <c r="L1472" s="16">
        <f>IF(J1472="","",J1472-K1472)</f>
        <v/>
      </c>
      <c r="M1472" s="14">
        <f>IF(A1472="","",MONTH(A1472))</f>
        <v/>
      </c>
      <c r="N1472" s="14">
        <f>IF(A1472="","",YEAR(A1472))</f>
        <v/>
      </c>
    </row>
    <row r="1473">
      <c r="A1473" s="15" t="n"/>
      <c r="B1473" s="10" t="n"/>
      <c r="C1473" s="10" t="n"/>
      <c r="D1473" s="10" t="n"/>
      <c r="E1473" s="14">
        <f>IF(D1473="","",IFERROR(INDEX('Sản phẩm'!$B$5:$B$304,MATCH(D1473,'Sản phẩm'!$A$5:$A$304,0)),""))</f>
        <v/>
      </c>
      <c r="F1473" s="12" t="n"/>
      <c r="G1473" s="11" t="n"/>
      <c r="H1473" s="11" t="n"/>
      <c r="I1473" s="16">
        <f>IF(D1473="","",IF(G1473&lt;&gt;"",G1473,IFERROR(INDEX('Sản phẩm'!$E$5:$E$304,MATCH(D1473,'Sản phẩm'!$A$5:$A$304,0)),"")))</f>
        <v/>
      </c>
      <c r="J1473" s="16">
        <f>IF(OR(D1473="",F1473=""),"",F1473*I1473-N(H1473))</f>
        <v/>
      </c>
      <c r="K1473" s="16">
        <f>IF(OR(D1473="",F1473=""),"",F1473*IFERROR(INDEX('Sản phẩm'!$D$5:$D$304,MATCH(D1473,'Sản phẩm'!$A$5:$A$304,0)),""))</f>
        <v/>
      </c>
      <c r="L1473" s="16">
        <f>IF(J1473="","",J1473-K1473)</f>
        <v/>
      </c>
      <c r="M1473" s="14">
        <f>IF(A1473="","",MONTH(A1473))</f>
        <v/>
      </c>
      <c r="N1473" s="14">
        <f>IF(A1473="","",YEAR(A1473))</f>
        <v/>
      </c>
    </row>
    <row r="1474">
      <c r="A1474" s="15" t="n"/>
      <c r="B1474" s="10" t="n"/>
      <c r="C1474" s="10" t="n"/>
      <c r="D1474" s="10" t="n"/>
      <c r="E1474" s="14">
        <f>IF(D1474="","",IFERROR(INDEX('Sản phẩm'!$B$5:$B$304,MATCH(D1474,'Sản phẩm'!$A$5:$A$304,0)),""))</f>
        <v/>
      </c>
      <c r="F1474" s="12" t="n"/>
      <c r="G1474" s="11" t="n"/>
      <c r="H1474" s="11" t="n"/>
      <c r="I1474" s="16">
        <f>IF(D1474="","",IF(G1474&lt;&gt;"",G1474,IFERROR(INDEX('Sản phẩm'!$E$5:$E$304,MATCH(D1474,'Sản phẩm'!$A$5:$A$304,0)),"")))</f>
        <v/>
      </c>
      <c r="J1474" s="16">
        <f>IF(OR(D1474="",F1474=""),"",F1474*I1474-N(H1474))</f>
        <v/>
      </c>
      <c r="K1474" s="16">
        <f>IF(OR(D1474="",F1474=""),"",F1474*IFERROR(INDEX('Sản phẩm'!$D$5:$D$304,MATCH(D1474,'Sản phẩm'!$A$5:$A$304,0)),""))</f>
        <v/>
      </c>
      <c r="L1474" s="16">
        <f>IF(J1474="","",J1474-K1474)</f>
        <v/>
      </c>
      <c r="M1474" s="14">
        <f>IF(A1474="","",MONTH(A1474))</f>
        <v/>
      </c>
      <c r="N1474" s="14">
        <f>IF(A1474="","",YEAR(A1474))</f>
        <v/>
      </c>
    </row>
    <row r="1475">
      <c r="A1475" s="15" t="n"/>
      <c r="B1475" s="10" t="n"/>
      <c r="C1475" s="10" t="n"/>
      <c r="D1475" s="10" t="n"/>
      <c r="E1475" s="14">
        <f>IF(D1475="","",IFERROR(INDEX('Sản phẩm'!$B$5:$B$304,MATCH(D1475,'Sản phẩm'!$A$5:$A$304,0)),""))</f>
        <v/>
      </c>
      <c r="F1475" s="12" t="n"/>
      <c r="G1475" s="11" t="n"/>
      <c r="H1475" s="11" t="n"/>
      <c r="I1475" s="16">
        <f>IF(D1475="","",IF(G1475&lt;&gt;"",G1475,IFERROR(INDEX('Sản phẩm'!$E$5:$E$304,MATCH(D1475,'Sản phẩm'!$A$5:$A$304,0)),"")))</f>
        <v/>
      </c>
      <c r="J1475" s="16">
        <f>IF(OR(D1475="",F1475=""),"",F1475*I1475-N(H1475))</f>
        <v/>
      </c>
      <c r="K1475" s="16">
        <f>IF(OR(D1475="",F1475=""),"",F1475*IFERROR(INDEX('Sản phẩm'!$D$5:$D$304,MATCH(D1475,'Sản phẩm'!$A$5:$A$304,0)),""))</f>
        <v/>
      </c>
      <c r="L1475" s="16">
        <f>IF(J1475="","",J1475-K1475)</f>
        <v/>
      </c>
      <c r="M1475" s="14">
        <f>IF(A1475="","",MONTH(A1475))</f>
        <v/>
      </c>
      <c r="N1475" s="14">
        <f>IF(A1475="","",YEAR(A1475))</f>
        <v/>
      </c>
    </row>
    <row r="1476">
      <c r="A1476" s="15" t="n"/>
      <c r="B1476" s="10" t="n"/>
      <c r="C1476" s="10" t="n"/>
      <c r="D1476" s="10" t="n"/>
      <c r="E1476" s="14">
        <f>IF(D1476="","",IFERROR(INDEX('Sản phẩm'!$B$5:$B$304,MATCH(D1476,'Sản phẩm'!$A$5:$A$304,0)),""))</f>
        <v/>
      </c>
      <c r="F1476" s="12" t="n"/>
      <c r="G1476" s="11" t="n"/>
      <c r="H1476" s="11" t="n"/>
      <c r="I1476" s="16">
        <f>IF(D1476="","",IF(G1476&lt;&gt;"",G1476,IFERROR(INDEX('Sản phẩm'!$E$5:$E$304,MATCH(D1476,'Sản phẩm'!$A$5:$A$304,0)),"")))</f>
        <v/>
      </c>
      <c r="J1476" s="16">
        <f>IF(OR(D1476="",F1476=""),"",F1476*I1476-N(H1476))</f>
        <v/>
      </c>
      <c r="K1476" s="16">
        <f>IF(OR(D1476="",F1476=""),"",F1476*IFERROR(INDEX('Sản phẩm'!$D$5:$D$304,MATCH(D1476,'Sản phẩm'!$A$5:$A$304,0)),""))</f>
        <v/>
      </c>
      <c r="L1476" s="16">
        <f>IF(J1476="","",J1476-K1476)</f>
        <v/>
      </c>
      <c r="M1476" s="14">
        <f>IF(A1476="","",MONTH(A1476))</f>
        <v/>
      </c>
      <c r="N1476" s="14">
        <f>IF(A1476="","",YEAR(A1476))</f>
        <v/>
      </c>
    </row>
    <row r="1477">
      <c r="A1477" s="15" t="n"/>
      <c r="B1477" s="10" t="n"/>
      <c r="C1477" s="10" t="n"/>
      <c r="D1477" s="10" t="n"/>
      <c r="E1477" s="14">
        <f>IF(D1477="","",IFERROR(INDEX('Sản phẩm'!$B$5:$B$304,MATCH(D1477,'Sản phẩm'!$A$5:$A$304,0)),""))</f>
        <v/>
      </c>
      <c r="F1477" s="12" t="n"/>
      <c r="G1477" s="11" t="n"/>
      <c r="H1477" s="11" t="n"/>
      <c r="I1477" s="16">
        <f>IF(D1477="","",IF(G1477&lt;&gt;"",G1477,IFERROR(INDEX('Sản phẩm'!$E$5:$E$304,MATCH(D1477,'Sản phẩm'!$A$5:$A$304,0)),"")))</f>
        <v/>
      </c>
      <c r="J1477" s="16">
        <f>IF(OR(D1477="",F1477=""),"",F1477*I1477-N(H1477))</f>
        <v/>
      </c>
      <c r="K1477" s="16">
        <f>IF(OR(D1477="",F1477=""),"",F1477*IFERROR(INDEX('Sản phẩm'!$D$5:$D$304,MATCH(D1477,'Sản phẩm'!$A$5:$A$304,0)),""))</f>
        <v/>
      </c>
      <c r="L1477" s="16">
        <f>IF(J1477="","",J1477-K1477)</f>
        <v/>
      </c>
      <c r="M1477" s="14">
        <f>IF(A1477="","",MONTH(A1477))</f>
        <v/>
      </c>
      <c r="N1477" s="14">
        <f>IF(A1477="","",YEAR(A1477))</f>
        <v/>
      </c>
    </row>
    <row r="1478">
      <c r="A1478" s="15" t="n"/>
      <c r="B1478" s="10" t="n"/>
      <c r="C1478" s="10" t="n"/>
      <c r="D1478" s="10" t="n"/>
      <c r="E1478" s="14">
        <f>IF(D1478="","",IFERROR(INDEX('Sản phẩm'!$B$5:$B$304,MATCH(D1478,'Sản phẩm'!$A$5:$A$304,0)),""))</f>
        <v/>
      </c>
      <c r="F1478" s="12" t="n"/>
      <c r="G1478" s="11" t="n"/>
      <c r="H1478" s="11" t="n"/>
      <c r="I1478" s="16">
        <f>IF(D1478="","",IF(G1478&lt;&gt;"",G1478,IFERROR(INDEX('Sản phẩm'!$E$5:$E$304,MATCH(D1478,'Sản phẩm'!$A$5:$A$304,0)),"")))</f>
        <v/>
      </c>
      <c r="J1478" s="16">
        <f>IF(OR(D1478="",F1478=""),"",F1478*I1478-N(H1478))</f>
        <v/>
      </c>
      <c r="K1478" s="16">
        <f>IF(OR(D1478="",F1478=""),"",F1478*IFERROR(INDEX('Sản phẩm'!$D$5:$D$304,MATCH(D1478,'Sản phẩm'!$A$5:$A$304,0)),""))</f>
        <v/>
      </c>
      <c r="L1478" s="16">
        <f>IF(J1478="","",J1478-K1478)</f>
        <v/>
      </c>
      <c r="M1478" s="14">
        <f>IF(A1478="","",MONTH(A1478))</f>
        <v/>
      </c>
      <c r="N1478" s="14">
        <f>IF(A1478="","",YEAR(A1478))</f>
        <v/>
      </c>
    </row>
    <row r="1479">
      <c r="A1479" s="15" t="n"/>
      <c r="B1479" s="10" t="n"/>
      <c r="C1479" s="10" t="n"/>
      <c r="D1479" s="10" t="n"/>
      <c r="E1479" s="14">
        <f>IF(D1479="","",IFERROR(INDEX('Sản phẩm'!$B$5:$B$304,MATCH(D1479,'Sản phẩm'!$A$5:$A$304,0)),""))</f>
        <v/>
      </c>
      <c r="F1479" s="12" t="n"/>
      <c r="G1479" s="11" t="n"/>
      <c r="H1479" s="11" t="n"/>
      <c r="I1479" s="16">
        <f>IF(D1479="","",IF(G1479&lt;&gt;"",G1479,IFERROR(INDEX('Sản phẩm'!$E$5:$E$304,MATCH(D1479,'Sản phẩm'!$A$5:$A$304,0)),"")))</f>
        <v/>
      </c>
      <c r="J1479" s="16">
        <f>IF(OR(D1479="",F1479=""),"",F1479*I1479-N(H1479))</f>
        <v/>
      </c>
      <c r="K1479" s="16">
        <f>IF(OR(D1479="",F1479=""),"",F1479*IFERROR(INDEX('Sản phẩm'!$D$5:$D$304,MATCH(D1479,'Sản phẩm'!$A$5:$A$304,0)),""))</f>
        <v/>
      </c>
      <c r="L1479" s="16">
        <f>IF(J1479="","",J1479-K1479)</f>
        <v/>
      </c>
      <c r="M1479" s="14">
        <f>IF(A1479="","",MONTH(A1479))</f>
        <v/>
      </c>
      <c r="N1479" s="14">
        <f>IF(A1479="","",YEAR(A1479))</f>
        <v/>
      </c>
    </row>
    <row r="1480">
      <c r="A1480" s="15" t="n"/>
      <c r="B1480" s="10" t="n"/>
      <c r="C1480" s="10" t="n"/>
      <c r="D1480" s="10" t="n"/>
      <c r="E1480" s="14">
        <f>IF(D1480="","",IFERROR(INDEX('Sản phẩm'!$B$5:$B$304,MATCH(D1480,'Sản phẩm'!$A$5:$A$304,0)),""))</f>
        <v/>
      </c>
      <c r="F1480" s="12" t="n"/>
      <c r="G1480" s="11" t="n"/>
      <c r="H1480" s="11" t="n"/>
      <c r="I1480" s="16">
        <f>IF(D1480="","",IF(G1480&lt;&gt;"",G1480,IFERROR(INDEX('Sản phẩm'!$E$5:$E$304,MATCH(D1480,'Sản phẩm'!$A$5:$A$304,0)),"")))</f>
        <v/>
      </c>
      <c r="J1480" s="16">
        <f>IF(OR(D1480="",F1480=""),"",F1480*I1480-N(H1480))</f>
        <v/>
      </c>
      <c r="K1480" s="16">
        <f>IF(OR(D1480="",F1480=""),"",F1480*IFERROR(INDEX('Sản phẩm'!$D$5:$D$304,MATCH(D1480,'Sản phẩm'!$A$5:$A$304,0)),""))</f>
        <v/>
      </c>
      <c r="L1480" s="16">
        <f>IF(J1480="","",J1480-K1480)</f>
        <v/>
      </c>
      <c r="M1480" s="14">
        <f>IF(A1480="","",MONTH(A1480))</f>
        <v/>
      </c>
      <c r="N1480" s="14">
        <f>IF(A1480="","",YEAR(A1480))</f>
        <v/>
      </c>
    </row>
    <row r="1481">
      <c r="A1481" s="15" t="n"/>
      <c r="B1481" s="10" t="n"/>
      <c r="C1481" s="10" t="n"/>
      <c r="D1481" s="10" t="n"/>
      <c r="E1481" s="14">
        <f>IF(D1481="","",IFERROR(INDEX('Sản phẩm'!$B$5:$B$304,MATCH(D1481,'Sản phẩm'!$A$5:$A$304,0)),""))</f>
        <v/>
      </c>
      <c r="F1481" s="12" t="n"/>
      <c r="G1481" s="11" t="n"/>
      <c r="H1481" s="11" t="n"/>
      <c r="I1481" s="16">
        <f>IF(D1481="","",IF(G1481&lt;&gt;"",G1481,IFERROR(INDEX('Sản phẩm'!$E$5:$E$304,MATCH(D1481,'Sản phẩm'!$A$5:$A$304,0)),"")))</f>
        <v/>
      </c>
      <c r="J1481" s="16">
        <f>IF(OR(D1481="",F1481=""),"",F1481*I1481-N(H1481))</f>
        <v/>
      </c>
      <c r="K1481" s="16">
        <f>IF(OR(D1481="",F1481=""),"",F1481*IFERROR(INDEX('Sản phẩm'!$D$5:$D$304,MATCH(D1481,'Sản phẩm'!$A$5:$A$304,0)),""))</f>
        <v/>
      </c>
      <c r="L1481" s="16">
        <f>IF(J1481="","",J1481-K1481)</f>
        <v/>
      </c>
      <c r="M1481" s="14">
        <f>IF(A1481="","",MONTH(A1481))</f>
        <v/>
      </c>
      <c r="N1481" s="14">
        <f>IF(A1481="","",YEAR(A1481))</f>
        <v/>
      </c>
    </row>
    <row r="1482">
      <c r="A1482" s="15" t="n"/>
      <c r="B1482" s="10" t="n"/>
      <c r="C1482" s="10" t="n"/>
      <c r="D1482" s="10" t="n"/>
      <c r="E1482" s="14">
        <f>IF(D1482="","",IFERROR(INDEX('Sản phẩm'!$B$5:$B$304,MATCH(D1482,'Sản phẩm'!$A$5:$A$304,0)),""))</f>
        <v/>
      </c>
      <c r="F1482" s="12" t="n"/>
      <c r="G1482" s="11" t="n"/>
      <c r="H1482" s="11" t="n"/>
      <c r="I1482" s="16">
        <f>IF(D1482="","",IF(G1482&lt;&gt;"",G1482,IFERROR(INDEX('Sản phẩm'!$E$5:$E$304,MATCH(D1482,'Sản phẩm'!$A$5:$A$304,0)),"")))</f>
        <v/>
      </c>
      <c r="J1482" s="16">
        <f>IF(OR(D1482="",F1482=""),"",F1482*I1482-N(H1482))</f>
        <v/>
      </c>
      <c r="K1482" s="16">
        <f>IF(OR(D1482="",F1482=""),"",F1482*IFERROR(INDEX('Sản phẩm'!$D$5:$D$304,MATCH(D1482,'Sản phẩm'!$A$5:$A$304,0)),""))</f>
        <v/>
      </c>
      <c r="L1482" s="16">
        <f>IF(J1482="","",J1482-K1482)</f>
        <v/>
      </c>
      <c r="M1482" s="14">
        <f>IF(A1482="","",MONTH(A1482))</f>
        <v/>
      </c>
      <c r="N1482" s="14">
        <f>IF(A1482="","",YEAR(A1482))</f>
        <v/>
      </c>
    </row>
    <row r="1483">
      <c r="A1483" s="15" t="n"/>
      <c r="B1483" s="10" t="n"/>
      <c r="C1483" s="10" t="n"/>
      <c r="D1483" s="10" t="n"/>
      <c r="E1483" s="14">
        <f>IF(D1483="","",IFERROR(INDEX('Sản phẩm'!$B$5:$B$304,MATCH(D1483,'Sản phẩm'!$A$5:$A$304,0)),""))</f>
        <v/>
      </c>
      <c r="F1483" s="12" t="n"/>
      <c r="G1483" s="11" t="n"/>
      <c r="H1483" s="11" t="n"/>
      <c r="I1483" s="16">
        <f>IF(D1483="","",IF(G1483&lt;&gt;"",G1483,IFERROR(INDEX('Sản phẩm'!$E$5:$E$304,MATCH(D1483,'Sản phẩm'!$A$5:$A$304,0)),"")))</f>
        <v/>
      </c>
      <c r="J1483" s="16">
        <f>IF(OR(D1483="",F1483=""),"",F1483*I1483-N(H1483))</f>
        <v/>
      </c>
      <c r="K1483" s="16">
        <f>IF(OR(D1483="",F1483=""),"",F1483*IFERROR(INDEX('Sản phẩm'!$D$5:$D$304,MATCH(D1483,'Sản phẩm'!$A$5:$A$304,0)),""))</f>
        <v/>
      </c>
      <c r="L1483" s="16">
        <f>IF(J1483="","",J1483-K1483)</f>
        <v/>
      </c>
      <c r="M1483" s="14">
        <f>IF(A1483="","",MONTH(A1483))</f>
        <v/>
      </c>
      <c r="N1483" s="14">
        <f>IF(A1483="","",YEAR(A1483))</f>
        <v/>
      </c>
    </row>
    <row r="1484">
      <c r="A1484" s="15" t="n"/>
      <c r="B1484" s="10" t="n"/>
      <c r="C1484" s="10" t="n"/>
      <c r="D1484" s="10" t="n"/>
      <c r="E1484" s="14">
        <f>IF(D1484="","",IFERROR(INDEX('Sản phẩm'!$B$5:$B$304,MATCH(D1484,'Sản phẩm'!$A$5:$A$304,0)),""))</f>
        <v/>
      </c>
      <c r="F1484" s="12" t="n"/>
      <c r="G1484" s="11" t="n"/>
      <c r="H1484" s="11" t="n"/>
      <c r="I1484" s="16">
        <f>IF(D1484="","",IF(G1484&lt;&gt;"",G1484,IFERROR(INDEX('Sản phẩm'!$E$5:$E$304,MATCH(D1484,'Sản phẩm'!$A$5:$A$304,0)),"")))</f>
        <v/>
      </c>
      <c r="J1484" s="16">
        <f>IF(OR(D1484="",F1484=""),"",F1484*I1484-N(H1484))</f>
        <v/>
      </c>
      <c r="K1484" s="16">
        <f>IF(OR(D1484="",F1484=""),"",F1484*IFERROR(INDEX('Sản phẩm'!$D$5:$D$304,MATCH(D1484,'Sản phẩm'!$A$5:$A$304,0)),""))</f>
        <v/>
      </c>
      <c r="L1484" s="16">
        <f>IF(J1484="","",J1484-K1484)</f>
        <v/>
      </c>
      <c r="M1484" s="14">
        <f>IF(A1484="","",MONTH(A1484))</f>
        <v/>
      </c>
      <c r="N1484" s="14">
        <f>IF(A1484="","",YEAR(A1484))</f>
        <v/>
      </c>
    </row>
    <row r="1485">
      <c r="A1485" s="15" t="n"/>
      <c r="B1485" s="10" t="n"/>
      <c r="C1485" s="10" t="n"/>
      <c r="D1485" s="10" t="n"/>
      <c r="E1485" s="14">
        <f>IF(D1485="","",IFERROR(INDEX('Sản phẩm'!$B$5:$B$304,MATCH(D1485,'Sản phẩm'!$A$5:$A$304,0)),""))</f>
        <v/>
      </c>
      <c r="F1485" s="12" t="n"/>
      <c r="G1485" s="11" t="n"/>
      <c r="H1485" s="11" t="n"/>
      <c r="I1485" s="16">
        <f>IF(D1485="","",IF(G1485&lt;&gt;"",G1485,IFERROR(INDEX('Sản phẩm'!$E$5:$E$304,MATCH(D1485,'Sản phẩm'!$A$5:$A$304,0)),"")))</f>
        <v/>
      </c>
      <c r="J1485" s="16">
        <f>IF(OR(D1485="",F1485=""),"",F1485*I1485-N(H1485))</f>
        <v/>
      </c>
      <c r="K1485" s="16">
        <f>IF(OR(D1485="",F1485=""),"",F1485*IFERROR(INDEX('Sản phẩm'!$D$5:$D$304,MATCH(D1485,'Sản phẩm'!$A$5:$A$304,0)),""))</f>
        <v/>
      </c>
      <c r="L1485" s="16">
        <f>IF(J1485="","",J1485-K1485)</f>
        <v/>
      </c>
      <c r="M1485" s="14">
        <f>IF(A1485="","",MONTH(A1485))</f>
        <v/>
      </c>
      <c r="N1485" s="14">
        <f>IF(A1485="","",YEAR(A1485))</f>
        <v/>
      </c>
    </row>
    <row r="1486">
      <c r="A1486" s="15" t="n"/>
      <c r="B1486" s="10" t="n"/>
      <c r="C1486" s="10" t="n"/>
      <c r="D1486" s="10" t="n"/>
      <c r="E1486" s="14">
        <f>IF(D1486="","",IFERROR(INDEX('Sản phẩm'!$B$5:$B$304,MATCH(D1486,'Sản phẩm'!$A$5:$A$304,0)),""))</f>
        <v/>
      </c>
      <c r="F1486" s="12" t="n"/>
      <c r="G1486" s="11" t="n"/>
      <c r="H1486" s="11" t="n"/>
      <c r="I1486" s="16">
        <f>IF(D1486="","",IF(G1486&lt;&gt;"",G1486,IFERROR(INDEX('Sản phẩm'!$E$5:$E$304,MATCH(D1486,'Sản phẩm'!$A$5:$A$304,0)),"")))</f>
        <v/>
      </c>
      <c r="J1486" s="16">
        <f>IF(OR(D1486="",F1486=""),"",F1486*I1486-N(H1486))</f>
        <v/>
      </c>
      <c r="K1486" s="16">
        <f>IF(OR(D1486="",F1486=""),"",F1486*IFERROR(INDEX('Sản phẩm'!$D$5:$D$304,MATCH(D1486,'Sản phẩm'!$A$5:$A$304,0)),""))</f>
        <v/>
      </c>
      <c r="L1486" s="16">
        <f>IF(J1486="","",J1486-K1486)</f>
        <v/>
      </c>
      <c r="M1486" s="14">
        <f>IF(A1486="","",MONTH(A1486))</f>
        <v/>
      </c>
      <c r="N1486" s="14">
        <f>IF(A1486="","",YEAR(A1486))</f>
        <v/>
      </c>
    </row>
    <row r="1487">
      <c r="A1487" s="15" t="n"/>
      <c r="B1487" s="10" t="n"/>
      <c r="C1487" s="10" t="n"/>
      <c r="D1487" s="10" t="n"/>
      <c r="E1487" s="14">
        <f>IF(D1487="","",IFERROR(INDEX('Sản phẩm'!$B$5:$B$304,MATCH(D1487,'Sản phẩm'!$A$5:$A$304,0)),""))</f>
        <v/>
      </c>
      <c r="F1487" s="12" t="n"/>
      <c r="G1487" s="11" t="n"/>
      <c r="H1487" s="11" t="n"/>
      <c r="I1487" s="16">
        <f>IF(D1487="","",IF(G1487&lt;&gt;"",G1487,IFERROR(INDEX('Sản phẩm'!$E$5:$E$304,MATCH(D1487,'Sản phẩm'!$A$5:$A$304,0)),"")))</f>
        <v/>
      </c>
      <c r="J1487" s="16">
        <f>IF(OR(D1487="",F1487=""),"",F1487*I1487-N(H1487))</f>
        <v/>
      </c>
      <c r="K1487" s="16">
        <f>IF(OR(D1487="",F1487=""),"",F1487*IFERROR(INDEX('Sản phẩm'!$D$5:$D$304,MATCH(D1487,'Sản phẩm'!$A$5:$A$304,0)),""))</f>
        <v/>
      </c>
      <c r="L1487" s="16">
        <f>IF(J1487="","",J1487-K1487)</f>
        <v/>
      </c>
      <c r="M1487" s="14">
        <f>IF(A1487="","",MONTH(A1487))</f>
        <v/>
      </c>
      <c r="N1487" s="14">
        <f>IF(A1487="","",YEAR(A1487))</f>
        <v/>
      </c>
    </row>
    <row r="1488">
      <c r="A1488" s="15" t="n"/>
      <c r="B1488" s="10" t="n"/>
      <c r="C1488" s="10" t="n"/>
      <c r="D1488" s="10" t="n"/>
      <c r="E1488" s="14">
        <f>IF(D1488="","",IFERROR(INDEX('Sản phẩm'!$B$5:$B$304,MATCH(D1488,'Sản phẩm'!$A$5:$A$304,0)),""))</f>
        <v/>
      </c>
      <c r="F1488" s="12" t="n"/>
      <c r="G1488" s="11" t="n"/>
      <c r="H1488" s="11" t="n"/>
      <c r="I1488" s="16">
        <f>IF(D1488="","",IF(G1488&lt;&gt;"",G1488,IFERROR(INDEX('Sản phẩm'!$E$5:$E$304,MATCH(D1488,'Sản phẩm'!$A$5:$A$304,0)),"")))</f>
        <v/>
      </c>
      <c r="J1488" s="16">
        <f>IF(OR(D1488="",F1488=""),"",F1488*I1488-N(H1488))</f>
        <v/>
      </c>
      <c r="K1488" s="16">
        <f>IF(OR(D1488="",F1488=""),"",F1488*IFERROR(INDEX('Sản phẩm'!$D$5:$D$304,MATCH(D1488,'Sản phẩm'!$A$5:$A$304,0)),""))</f>
        <v/>
      </c>
      <c r="L1488" s="16">
        <f>IF(J1488="","",J1488-K1488)</f>
        <v/>
      </c>
      <c r="M1488" s="14">
        <f>IF(A1488="","",MONTH(A1488))</f>
        <v/>
      </c>
      <c r="N1488" s="14">
        <f>IF(A1488="","",YEAR(A1488))</f>
        <v/>
      </c>
    </row>
    <row r="1489">
      <c r="A1489" s="15" t="n"/>
      <c r="B1489" s="10" t="n"/>
      <c r="C1489" s="10" t="n"/>
      <c r="D1489" s="10" t="n"/>
      <c r="E1489" s="14">
        <f>IF(D1489="","",IFERROR(INDEX('Sản phẩm'!$B$5:$B$304,MATCH(D1489,'Sản phẩm'!$A$5:$A$304,0)),""))</f>
        <v/>
      </c>
      <c r="F1489" s="12" t="n"/>
      <c r="G1489" s="11" t="n"/>
      <c r="H1489" s="11" t="n"/>
      <c r="I1489" s="16">
        <f>IF(D1489="","",IF(G1489&lt;&gt;"",G1489,IFERROR(INDEX('Sản phẩm'!$E$5:$E$304,MATCH(D1489,'Sản phẩm'!$A$5:$A$304,0)),"")))</f>
        <v/>
      </c>
      <c r="J1489" s="16">
        <f>IF(OR(D1489="",F1489=""),"",F1489*I1489-N(H1489))</f>
        <v/>
      </c>
      <c r="K1489" s="16">
        <f>IF(OR(D1489="",F1489=""),"",F1489*IFERROR(INDEX('Sản phẩm'!$D$5:$D$304,MATCH(D1489,'Sản phẩm'!$A$5:$A$304,0)),""))</f>
        <v/>
      </c>
      <c r="L1489" s="16">
        <f>IF(J1489="","",J1489-K1489)</f>
        <v/>
      </c>
      <c r="M1489" s="14">
        <f>IF(A1489="","",MONTH(A1489))</f>
        <v/>
      </c>
      <c r="N1489" s="14">
        <f>IF(A1489="","",YEAR(A1489))</f>
        <v/>
      </c>
    </row>
    <row r="1490">
      <c r="A1490" s="15" t="n"/>
      <c r="B1490" s="10" t="n"/>
      <c r="C1490" s="10" t="n"/>
      <c r="D1490" s="10" t="n"/>
      <c r="E1490" s="14">
        <f>IF(D1490="","",IFERROR(INDEX('Sản phẩm'!$B$5:$B$304,MATCH(D1490,'Sản phẩm'!$A$5:$A$304,0)),""))</f>
        <v/>
      </c>
      <c r="F1490" s="12" t="n"/>
      <c r="G1490" s="11" t="n"/>
      <c r="H1490" s="11" t="n"/>
      <c r="I1490" s="16">
        <f>IF(D1490="","",IF(G1490&lt;&gt;"",G1490,IFERROR(INDEX('Sản phẩm'!$E$5:$E$304,MATCH(D1490,'Sản phẩm'!$A$5:$A$304,0)),"")))</f>
        <v/>
      </c>
      <c r="J1490" s="16">
        <f>IF(OR(D1490="",F1490=""),"",F1490*I1490-N(H1490))</f>
        <v/>
      </c>
      <c r="K1490" s="16">
        <f>IF(OR(D1490="",F1490=""),"",F1490*IFERROR(INDEX('Sản phẩm'!$D$5:$D$304,MATCH(D1490,'Sản phẩm'!$A$5:$A$304,0)),""))</f>
        <v/>
      </c>
      <c r="L1490" s="16">
        <f>IF(J1490="","",J1490-K1490)</f>
        <v/>
      </c>
      <c r="M1490" s="14">
        <f>IF(A1490="","",MONTH(A1490))</f>
        <v/>
      </c>
      <c r="N1490" s="14">
        <f>IF(A1490="","",YEAR(A1490))</f>
        <v/>
      </c>
    </row>
    <row r="1491">
      <c r="A1491" s="15" t="n"/>
      <c r="B1491" s="10" t="n"/>
      <c r="C1491" s="10" t="n"/>
      <c r="D1491" s="10" t="n"/>
      <c r="E1491" s="14">
        <f>IF(D1491="","",IFERROR(INDEX('Sản phẩm'!$B$5:$B$304,MATCH(D1491,'Sản phẩm'!$A$5:$A$304,0)),""))</f>
        <v/>
      </c>
      <c r="F1491" s="12" t="n"/>
      <c r="G1491" s="11" t="n"/>
      <c r="H1491" s="11" t="n"/>
      <c r="I1491" s="16">
        <f>IF(D1491="","",IF(G1491&lt;&gt;"",G1491,IFERROR(INDEX('Sản phẩm'!$E$5:$E$304,MATCH(D1491,'Sản phẩm'!$A$5:$A$304,0)),"")))</f>
        <v/>
      </c>
      <c r="J1491" s="16">
        <f>IF(OR(D1491="",F1491=""),"",F1491*I1491-N(H1491))</f>
        <v/>
      </c>
      <c r="K1491" s="16">
        <f>IF(OR(D1491="",F1491=""),"",F1491*IFERROR(INDEX('Sản phẩm'!$D$5:$D$304,MATCH(D1491,'Sản phẩm'!$A$5:$A$304,0)),""))</f>
        <v/>
      </c>
      <c r="L1491" s="16">
        <f>IF(J1491="","",J1491-K1491)</f>
        <v/>
      </c>
      <c r="M1491" s="14">
        <f>IF(A1491="","",MONTH(A1491))</f>
        <v/>
      </c>
      <c r="N1491" s="14">
        <f>IF(A1491="","",YEAR(A1491))</f>
        <v/>
      </c>
    </row>
    <row r="1492">
      <c r="A1492" s="15" t="n"/>
      <c r="B1492" s="10" t="n"/>
      <c r="C1492" s="10" t="n"/>
      <c r="D1492" s="10" t="n"/>
      <c r="E1492" s="14">
        <f>IF(D1492="","",IFERROR(INDEX('Sản phẩm'!$B$5:$B$304,MATCH(D1492,'Sản phẩm'!$A$5:$A$304,0)),""))</f>
        <v/>
      </c>
      <c r="F1492" s="12" t="n"/>
      <c r="G1492" s="11" t="n"/>
      <c r="H1492" s="11" t="n"/>
      <c r="I1492" s="16">
        <f>IF(D1492="","",IF(G1492&lt;&gt;"",G1492,IFERROR(INDEX('Sản phẩm'!$E$5:$E$304,MATCH(D1492,'Sản phẩm'!$A$5:$A$304,0)),"")))</f>
        <v/>
      </c>
      <c r="J1492" s="16">
        <f>IF(OR(D1492="",F1492=""),"",F1492*I1492-N(H1492))</f>
        <v/>
      </c>
      <c r="K1492" s="16">
        <f>IF(OR(D1492="",F1492=""),"",F1492*IFERROR(INDEX('Sản phẩm'!$D$5:$D$304,MATCH(D1492,'Sản phẩm'!$A$5:$A$304,0)),""))</f>
        <v/>
      </c>
      <c r="L1492" s="16">
        <f>IF(J1492="","",J1492-K1492)</f>
        <v/>
      </c>
      <c r="M1492" s="14">
        <f>IF(A1492="","",MONTH(A1492))</f>
        <v/>
      </c>
      <c r="N1492" s="14">
        <f>IF(A1492="","",YEAR(A1492))</f>
        <v/>
      </c>
    </row>
    <row r="1493">
      <c r="A1493" s="15" t="n"/>
      <c r="B1493" s="10" t="n"/>
      <c r="C1493" s="10" t="n"/>
      <c r="D1493" s="10" t="n"/>
      <c r="E1493" s="14">
        <f>IF(D1493="","",IFERROR(INDEX('Sản phẩm'!$B$5:$B$304,MATCH(D1493,'Sản phẩm'!$A$5:$A$304,0)),""))</f>
        <v/>
      </c>
      <c r="F1493" s="12" t="n"/>
      <c r="G1493" s="11" t="n"/>
      <c r="H1493" s="11" t="n"/>
      <c r="I1493" s="16">
        <f>IF(D1493="","",IF(G1493&lt;&gt;"",G1493,IFERROR(INDEX('Sản phẩm'!$E$5:$E$304,MATCH(D1493,'Sản phẩm'!$A$5:$A$304,0)),"")))</f>
        <v/>
      </c>
      <c r="J1493" s="16">
        <f>IF(OR(D1493="",F1493=""),"",F1493*I1493-N(H1493))</f>
        <v/>
      </c>
      <c r="K1493" s="16">
        <f>IF(OR(D1493="",F1493=""),"",F1493*IFERROR(INDEX('Sản phẩm'!$D$5:$D$304,MATCH(D1493,'Sản phẩm'!$A$5:$A$304,0)),""))</f>
        <v/>
      </c>
      <c r="L1493" s="16">
        <f>IF(J1493="","",J1493-K1493)</f>
        <v/>
      </c>
      <c r="M1493" s="14">
        <f>IF(A1493="","",MONTH(A1493))</f>
        <v/>
      </c>
      <c r="N1493" s="14">
        <f>IF(A1493="","",YEAR(A1493))</f>
        <v/>
      </c>
    </row>
    <row r="1494">
      <c r="A1494" s="15" t="n"/>
      <c r="B1494" s="10" t="n"/>
      <c r="C1494" s="10" t="n"/>
      <c r="D1494" s="10" t="n"/>
      <c r="E1494" s="14">
        <f>IF(D1494="","",IFERROR(INDEX('Sản phẩm'!$B$5:$B$304,MATCH(D1494,'Sản phẩm'!$A$5:$A$304,0)),""))</f>
        <v/>
      </c>
      <c r="F1494" s="12" t="n"/>
      <c r="G1494" s="11" t="n"/>
      <c r="H1494" s="11" t="n"/>
      <c r="I1494" s="16">
        <f>IF(D1494="","",IF(G1494&lt;&gt;"",G1494,IFERROR(INDEX('Sản phẩm'!$E$5:$E$304,MATCH(D1494,'Sản phẩm'!$A$5:$A$304,0)),"")))</f>
        <v/>
      </c>
      <c r="J1494" s="16">
        <f>IF(OR(D1494="",F1494=""),"",F1494*I1494-N(H1494))</f>
        <v/>
      </c>
      <c r="K1494" s="16">
        <f>IF(OR(D1494="",F1494=""),"",F1494*IFERROR(INDEX('Sản phẩm'!$D$5:$D$304,MATCH(D1494,'Sản phẩm'!$A$5:$A$304,0)),""))</f>
        <v/>
      </c>
      <c r="L1494" s="16">
        <f>IF(J1494="","",J1494-K1494)</f>
        <v/>
      </c>
      <c r="M1494" s="14">
        <f>IF(A1494="","",MONTH(A1494))</f>
        <v/>
      </c>
      <c r="N1494" s="14">
        <f>IF(A1494="","",YEAR(A1494))</f>
        <v/>
      </c>
    </row>
    <row r="1495">
      <c r="A1495" s="15" t="n"/>
      <c r="B1495" s="10" t="n"/>
      <c r="C1495" s="10" t="n"/>
      <c r="D1495" s="10" t="n"/>
      <c r="E1495" s="14">
        <f>IF(D1495="","",IFERROR(INDEX('Sản phẩm'!$B$5:$B$304,MATCH(D1495,'Sản phẩm'!$A$5:$A$304,0)),""))</f>
        <v/>
      </c>
      <c r="F1495" s="12" t="n"/>
      <c r="G1495" s="11" t="n"/>
      <c r="H1495" s="11" t="n"/>
      <c r="I1495" s="16">
        <f>IF(D1495="","",IF(G1495&lt;&gt;"",G1495,IFERROR(INDEX('Sản phẩm'!$E$5:$E$304,MATCH(D1495,'Sản phẩm'!$A$5:$A$304,0)),"")))</f>
        <v/>
      </c>
      <c r="J1495" s="16">
        <f>IF(OR(D1495="",F1495=""),"",F1495*I1495-N(H1495))</f>
        <v/>
      </c>
      <c r="K1495" s="16">
        <f>IF(OR(D1495="",F1495=""),"",F1495*IFERROR(INDEX('Sản phẩm'!$D$5:$D$304,MATCH(D1495,'Sản phẩm'!$A$5:$A$304,0)),""))</f>
        <v/>
      </c>
      <c r="L1495" s="16">
        <f>IF(J1495="","",J1495-K1495)</f>
        <v/>
      </c>
      <c r="M1495" s="14">
        <f>IF(A1495="","",MONTH(A1495))</f>
        <v/>
      </c>
      <c r="N1495" s="14">
        <f>IF(A1495="","",YEAR(A1495))</f>
        <v/>
      </c>
    </row>
    <row r="1496">
      <c r="A1496" s="15" t="n"/>
      <c r="B1496" s="10" t="n"/>
      <c r="C1496" s="10" t="n"/>
      <c r="D1496" s="10" t="n"/>
      <c r="E1496" s="14">
        <f>IF(D1496="","",IFERROR(INDEX('Sản phẩm'!$B$5:$B$304,MATCH(D1496,'Sản phẩm'!$A$5:$A$304,0)),""))</f>
        <v/>
      </c>
      <c r="F1496" s="12" t="n"/>
      <c r="G1496" s="11" t="n"/>
      <c r="H1496" s="11" t="n"/>
      <c r="I1496" s="16">
        <f>IF(D1496="","",IF(G1496&lt;&gt;"",G1496,IFERROR(INDEX('Sản phẩm'!$E$5:$E$304,MATCH(D1496,'Sản phẩm'!$A$5:$A$304,0)),"")))</f>
        <v/>
      </c>
      <c r="J1496" s="16">
        <f>IF(OR(D1496="",F1496=""),"",F1496*I1496-N(H1496))</f>
        <v/>
      </c>
      <c r="K1496" s="16">
        <f>IF(OR(D1496="",F1496=""),"",F1496*IFERROR(INDEX('Sản phẩm'!$D$5:$D$304,MATCH(D1496,'Sản phẩm'!$A$5:$A$304,0)),""))</f>
        <v/>
      </c>
      <c r="L1496" s="16">
        <f>IF(J1496="","",J1496-K1496)</f>
        <v/>
      </c>
      <c r="M1496" s="14">
        <f>IF(A1496="","",MONTH(A1496))</f>
        <v/>
      </c>
      <c r="N1496" s="14">
        <f>IF(A1496="","",YEAR(A1496))</f>
        <v/>
      </c>
    </row>
    <row r="1497">
      <c r="A1497" s="15" t="n"/>
      <c r="B1497" s="10" t="n"/>
      <c r="C1497" s="10" t="n"/>
      <c r="D1497" s="10" t="n"/>
      <c r="E1497" s="14">
        <f>IF(D1497="","",IFERROR(INDEX('Sản phẩm'!$B$5:$B$304,MATCH(D1497,'Sản phẩm'!$A$5:$A$304,0)),""))</f>
        <v/>
      </c>
      <c r="F1497" s="12" t="n"/>
      <c r="G1497" s="11" t="n"/>
      <c r="H1497" s="11" t="n"/>
      <c r="I1497" s="16">
        <f>IF(D1497="","",IF(G1497&lt;&gt;"",G1497,IFERROR(INDEX('Sản phẩm'!$E$5:$E$304,MATCH(D1497,'Sản phẩm'!$A$5:$A$304,0)),"")))</f>
        <v/>
      </c>
      <c r="J1497" s="16">
        <f>IF(OR(D1497="",F1497=""),"",F1497*I1497-N(H1497))</f>
        <v/>
      </c>
      <c r="K1497" s="16">
        <f>IF(OR(D1497="",F1497=""),"",F1497*IFERROR(INDEX('Sản phẩm'!$D$5:$D$304,MATCH(D1497,'Sản phẩm'!$A$5:$A$304,0)),""))</f>
        <v/>
      </c>
      <c r="L1497" s="16">
        <f>IF(J1497="","",J1497-K1497)</f>
        <v/>
      </c>
      <c r="M1497" s="14">
        <f>IF(A1497="","",MONTH(A1497))</f>
        <v/>
      </c>
      <c r="N1497" s="14">
        <f>IF(A1497="","",YEAR(A1497))</f>
        <v/>
      </c>
    </row>
    <row r="1498">
      <c r="A1498" s="15" t="n"/>
      <c r="B1498" s="10" t="n"/>
      <c r="C1498" s="10" t="n"/>
      <c r="D1498" s="10" t="n"/>
      <c r="E1498" s="14">
        <f>IF(D1498="","",IFERROR(INDEX('Sản phẩm'!$B$5:$B$304,MATCH(D1498,'Sản phẩm'!$A$5:$A$304,0)),""))</f>
        <v/>
      </c>
      <c r="F1498" s="12" t="n"/>
      <c r="G1498" s="11" t="n"/>
      <c r="H1498" s="11" t="n"/>
      <c r="I1498" s="16">
        <f>IF(D1498="","",IF(G1498&lt;&gt;"",G1498,IFERROR(INDEX('Sản phẩm'!$E$5:$E$304,MATCH(D1498,'Sản phẩm'!$A$5:$A$304,0)),"")))</f>
        <v/>
      </c>
      <c r="J1498" s="16">
        <f>IF(OR(D1498="",F1498=""),"",F1498*I1498-N(H1498))</f>
        <v/>
      </c>
      <c r="K1498" s="16">
        <f>IF(OR(D1498="",F1498=""),"",F1498*IFERROR(INDEX('Sản phẩm'!$D$5:$D$304,MATCH(D1498,'Sản phẩm'!$A$5:$A$304,0)),""))</f>
        <v/>
      </c>
      <c r="L1498" s="16">
        <f>IF(J1498="","",J1498-K1498)</f>
        <v/>
      </c>
      <c r="M1498" s="14">
        <f>IF(A1498="","",MONTH(A1498))</f>
        <v/>
      </c>
      <c r="N1498" s="14">
        <f>IF(A1498="","",YEAR(A1498))</f>
        <v/>
      </c>
    </row>
    <row r="1499">
      <c r="A1499" s="15" t="n"/>
      <c r="B1499" s="10" t="n"/>
      <c r="C1499" s="10" t="n"/>
      <c r="D1499" s="10" t="n"/>
      <c r="E1499" s="14">
        <f>IF(D1499="","",IFERROR(INDEX('Sản phẩm'!$B$5:$B$304,MATCH(D1499,'Sản phẩm'!$A$5:$A$304,0)),""))</f>
        <v/>
      </c>
      <c r="F1499" s="12" t="n"/>
      <c r="G1499" s="11" t="n"/>
      <c r="H1499" s="11" t="n"/>
      <c r="I1499" s="16">
        <f>IF(D1499="","",IF(G1499&lt;&gt;"",G1499,IFERROR(INDEX('Sản phẩm'!$E$5:$E$304,MATCH(D1499,'Sản phẩm'!$A$5:$A$304,0)),"")))</f>
        <v/>
      </c>
      <c r="J1499" s="16">
        <f>IF(OR(D1499="",F1499=""),"",F1499*I1499-N(H1499))</f>
        <v/>
      </c>
      <c r="K1499" s="16">
        <f>IF(OR(D1499="",F1499=""),"",F1499*IFERROR(INDEX('Sản phẩm'!$D$5:$D$304,MATCH(D1499,'Sản phẩm'!$A$5:$A$304,0)),""))</f>
        <v/>
      </c>
      <c r="L1499" s="16">
        <f>IF(J1499="","",J1499-K1499)</f>
        <v/>
      </c>
      <c r="M1499" s="14">
        <f>IF(A1499="","",MONTH(A1499))</f>
        <v/>
      </c>
      <c r="N1499" s="14">
        <f>IF(A1499="","",YEAR(A1499))</f>
        <v/>
      </c>
    </row>
    <row r="1500">
      <c r="A1500" s="15" t="n"/>
      <c r="B1500" s="10" t="n"/>
      <c r="C1500" s="10" t="n"/>
      <c r="D1500" s="10" t="n"/>
      <c r="E1500" s="14">
        <f>IF(D1500="","",IFERROR(INDEX('Sản phẩm'!$B$5:$B$304,MATCH(D1500,'Sản phẩm'!$A$5:$A$304,0)),""))</f>
        <v/>
      </c>
      <c r="F1500" s="12" t="n"/>
      <c r="G1500" s="11" t="n"/>
      <c r="H1500" s="11" t="n"/>
      <c r="I1500" s="16">
        <f>IF(D1500="","",IF(G1500&lt;&gt;"",G1500,IFERROR(INDEX('Sản phẩm'!$E$5:$E$304,MATCH(D1500,'Sản phẩm'!$A$5:$A$304,0)),"")))</f>
        <v/>
      </c>
      <c r="J1500" s="16">
        <f>IF(OR(D1500="",F1500=""),"",F1500*I1500-N(H1500))</f>
        <v/>
      </c>
      <c r="K1500" s="16">
        <f>IF(OR(D1500="",F1500=""),"",F1500*IFERROR(INDEX('Sản phẩm'!$D$5:$D$304,MATCH(D1500,'Sản phẩm'!$A$5:$A$304,0)),""))</f>
        <v/>
      </c>
      <c r="L1500" s="16">
        <f>IF(J1500="","",J1500-K1500)</f>
        <v/>
      </c>
      <c r="M1500" s="14">
        <f>IF(A1500="","",MONTH(A1500))</f>
        <v/>
      </c>
      <c r="N1500" s="14">
        <f>IF(A1500="","",YEAR(A1500))</f>
        <v/>
      </c>
    </row>
    <row r="1501">
      <c r="A1501" s="15" t="n"/>
      <c r="B1501" s="10" t="n"/>
      <c r="C1501" s="10" t="n"/>
      <c r="D1501" s="10" t="n"/>
      <c r="E1501" s="14">
        <f>IF(D1501="","",IFERROR(INDEX('Sản phẩm'!$B$5:$B$304,MATCH(D1501,'Sản phẩm'!$A$5:$A$304,0)),""))</f>
        <v/>
      </c>
      <c r="F1501" s="12" t="n"/>
      <c r="G1501" s="11" t="n"/>
      <c r="H1501" s="11" t="n"/>
      <c r="I1501" s="16">
        <f>IF(D1501="","",IF(G1501&lt;&gt;"",G1501,IFERROR(INDEX('Sản phẩm'!$E$5:$E$304,MATCH(D1501,'Sản phẩm'!$A$5:$A$304,0)),"")))</f>
        <v/>
      </c>
      <c r="J1501" s="16">
        <f>IF(OR(D1501="",F1501=""),"",F1501*I1501-N(H1501))</f>
        <v/>
      </c>
      <c r="K1501" s="16">
        <f>IF(OR(D1501="",F1501=""),"",F1501*IFERROR(INDEX('Sản phẩm'!$D$5:$D$304,MATCH(D1501,'Sản phẩm'!$A$5:$A$304,0)),""))</f>
        <v/>
      </c>
      <c r="L1501" s="16">
        <f>IF(J1501="","",J1501-K1501)</f>
        <v/>
      </c>
      <c r="M1501" s="14">
        <f>IF(A1501="","",MONTH(A1501))</f>
        <v/>
      </c>
      <c r="N1501" s="14">
        <f>IF(A1501="","",YEAR(A1501))</f>
        <v/>
      </c>
    </row>
    <row r="1502">
      <c r="A1502" s="15" t="n"/>
      <c r="B1502" s="10" t="n"/>
      <c r="C1502" s="10" t="n"/>
      <c r="D1502" s="10" t="n"/>
      <c r="E1502" s="14">
        <f>IF(D1502="","",IFERROR(INDEX('Sản phẩm'!$B$5:$B$304,MATCH(D1502,'Sản phẩm'!$A$5:$A$304,0)),""))</f>
        <v/>
      </c>
      <c r="F1502" s="12" t="n"/>
      <c r="G1502" s="11" t="n"/>
      <c r="H1502" s="11" t="n"/>
      <c r="I1502" s="16">
        <f>IF(D1502="","",IF(G1502&lt;&gt;"",G1502,IFERROR(INDEX('Sản phẩm'!$E$5:$E$304,MATCH(D1502,'Sản phẩm'!$A$5:$A$304,0)),"")))</f>
        <v/>
      </c>
      <c r="J1502" s="16">
        <f>IF(OR(D1502="",F1502=""),"",F1502*I1502-N(H1502))</f>
        <v/>
      </c>
      <c r="K1502" s="16">
        <f>IF(OR(D1502="",F1502=""),"",F1502*IFERROR(INDEX('Sản phẩm'!$D$5:$D$304,MATCH(D1502,'Sản phẩm'!$A$5:$A$304,0)),""))</f>
        <v/>
      </c>
      <c r="L1502" s="16">
        <f>IF(J1502="","",J1502-K1502)</f>
        <v/>
      </c>
      <c r="M1502" s="14">
        <f>IF(A1502="","",MONTH(A1502))</f>
        <v/>
      </c>
      <c r="N1502" s="14">
        <f>IF(A1502="","",YEAR(A1502))</f>
        <v/>
      </c>
    </row>
    <row r="1503">
      <c r="A1503" s="15" t="n"/>
      <c r="B1503" s="10" t="n"/>
      <c r="C1503" s="10" t="n"/>
      <c r="D1503" s="10" t="n"/>
      <c r="E1503" s="14">
        <f>IF(D1503="","",IFERROR(INDEX('Sản phẩm'!$B$5:$B$304,MATCH(D1503,'Sản phẩm'!$A$5:$A$304,0)),""))</f>
        <v/>
      </c>
      <c r="F1503" s="12" t="n"/>
      <c r="G1503" s="11" t="n"/>
      <c r="H1503" s="11" t="n"/>
      <c r="I1503" s="16">
        <f>IF(D1503="","",IF(G1503&lt;&gt;"",G1503,IFERROR(INDEX('Sản phẩm'!$E$5:$E$304,MATCH(D1503,'Sản phẩm'!$A$5:$A$304,0)),"")))</f>
        <v/>
      </c>
      <c r="J1503" s="16">
        <f>IF(OR(D1503="",F1503=""),"",F1503*I1503-N(H1503))</f>
        <v/>
      </c>
      <c r="K1503" s="16">
        <f>IF(OR(D1503="",F1503=""),"",F1503*IFERROR(INDEX('Sản phẩm'!$D$5:$D$304,MATCH(D1503,'Sản phẩm'!$A$5:$A$304,0)),""))</f>
        <v/>
      </c>
      <c r="L1503" s="16">
        <f>IF(J1503="","",J1503-K1503)</f>
        <v/>
      </c>
      <c r="M1503" s="14">
        <f>IF(A1503="","",MONTH(A1503))</f>
        <v/>
      </c>
      <c r="N1503" s="14">
        <f>IF(A1503="","",YEAR(A1503))</f>
        <v/>
      </c>
    </row>
    <row r="1504">
      <c r="A1504" s="15" t="n"/>
      <c r="B1504" s="10" t="n"/>
      <c r="C1504" s="10" t="n"/>
      <c r="D1504" s="10" t="n"/>
      <c r="E1504" s="14">
        <f>IF(D1504="","",IFERROR(INDEX('Sản phẩm'!$B$5:$B$304,MATCH(D1504,'Sản phẩm'!$A$5:$A$304,0)),""))</f>
        <v/>
      </c>
      <c r="F1504" s="12" t="n"/>
      <c r="G1504" s="11" t="n"/>
      <c r="H1504" s="11" t="n"/>
      <c r="I1504" s="16">
        <f>IF(D1504="","",IF(G1504&lt;&gt;"",G1504,IFERROR(INDEX('Sản phẩm'!$E$5:$E$304,MATCH(D1504,'Sản phẩm'!$A$5:$A$304,0)),"")))</f>
        <v/>
      </c>
      <c r="J1504" s="16">
        <f>IF(OR(D1504="",F1504=""),"",F1504*I1504-N(H1504))</f>
        <v/>
      </c>
      <c r="K1504" s="16">
        <f>IF(OR(D1504="",F1504=""),"",F1504*IFERROR(INDEX('Sản phẩm'!$D$5:$D$304,MATCH(D1504,'Sản phẩm'!$A$5:$A$304,0)),""))</f>
        <v/>
      </c>
      <c r="L1504" s="16">
        <f>IF(J1504="","",J1504-K1504)</f>
        <v/>
      </c>
      <c r="M1504" s="14">
        <f>IF(A1504="","",MONTH(A1504))</f>
        <v/>
      </c>
      <c r="N1504" s="14">
        <f>IF(A1504="","",YEAR(A1504))</f>
        <v/>
      </c>
    </row>
    <row r="1505">
      <c r="A1505" s="15" t="n"/>
      <c r="B1505" s="10" t="n"/>
      <c r="C1505" s="10" t="n"/>
      <c r="D1505" s="10" t="n"/>
      <c r="E1505" s="14">
        <f>IF(D1505="","",IFERROR(INDEX('Sản phẩm'!$B$5:$B$304,MATCH(D1505,'Sản phẩm'!$A$5:$A$304,0)),""))</f>
        <v/>
      </c>
      <c r="F1505" s="12" t="n"/>
      <c r="G1505" s="11" t="n"/>
      <c r="H1505" s="11" t="n"/>
      <c r="I1505" s="16">
        <f>IF(D1505="","",IF(G1505&lt;&gt;"",G1505,IFERROR(INDEX('Sản phẩm'!$E$5:$E$304,MATCH(D1505,'Sản phẩm'!$A$5:$A$304,0)),"")))</f>
        <v/>
      </c>
      <c r="J1505" s="16">
        <f>IF(OR(D1505="",F1505=""),"",F1505*I1505-N(H1505))</f>
        <v/>
      </c>
      <c r="K1505" s="16">
        <f>IF(OR(D1505="",F1505=""),"",F1505*IFERROR(INDEX('Sản phẩm'!$D$5:$D$304,MATCH(D1505,'Sản phẩm'!$A$5:$A$304,0)),""))</f>
        <v/>
      </c>
      <c r="L1505" s="16">
        <f>IF(J1505="","",J1505-K1505)</f>
        <v/>
      </c>
      <c r="M1505" s="14">
        <f>IF(A1505="","",MONTH(A1505))</f>
        <v/>
      </c>
      <c r="N1505" s="14">
        <f>IF(A1505="","",YEAR(A1505))</f>
        <v/>
      </c>
    </row>
    <row r="1506">
      <c r="A1506" s="15" t="n"/>
      <c r="B1506" s="10" t="n"/>
      <c r="C1506" s="10" t="n"/>
      <c r="D1506" s="10" t="n"/>
      <c r="E1506" s="14">
        <f>IF(D1506="","",IFERROR(INDEX('Sản phẩm'!$B$5:$B$304,MATCH(D1506,'Sản phẩm'!$A$5:$A$304,0)),""))</f>
        <v/>
      </c>
      <c r="F1506" s="12" t="n"/>
      <c r="G1506" s="11" t="n"/>
      <c r="H1506" s="11" t="n"/>
      <c r="I1506" s="16">
        <f>IF(D1506="","",IF(G1506&lt;&gt;"",G1506,IFERROR(INDEX('Sản phẩm'!$E$5:$E$304,MATCH(D1506,'Sản phẩm'!$A$5:$A$304,0)),"")))</f>
        <v/>
      </c>
      <c r="J1506" s="16">
        <f>IF(OR(D1506="",F1506=""),"",F1506*I1506-N(H1506))</f>
        <v/>
      </c>
      <c r="K1506" s="16">
        <f>IF(OR(D1506="",F1506=""),"",F1506*IFERROR(INDEX('Sản phẩm'!$D$5:$D$304,MATCH(D1506,'Sản phẩm'!$A$5:$A$304,0)),""))</f>
        <v/>
      </c>
      <c r="L1506" s="16">
        <f>IF(J1506="","",J1506-K1506)</f>
        <v/>
      </c>
      <c r="M1506" s="14">
        <f>IF(A1506="","",MONTH(A1506))</f>
        <v/>
      </c>
      <c r="N1506" s="14">
        <f>IF(A1506="","",YEAR(A1506))</f>
        <v/>
      </c>
    </row>
    <row r="1507">
      <c r="A1507" s="15" t="n"/>
      <c r="B1507" s="10" t="n"/>
      <c r="C1507" s="10" t="n"/>
      <c r="D1507" s="10" t="n"/>
      <c r="E1507" s="14">
        <f>IF(D1507="","",IFERROR(INDEX('Sản phẩm'!$B$5:$B$304,MATCH(D1507,'Sản phẩm'!$A$5:$A$304,0)),""))</f>
        <v/>
      </c>
      <c r="F1507" s="12" t="n"/>
      <c r="G1507" s="11" t="n"/>
      <c r="H1507" s="11" t="n"/>
      <c r="I1507" s="16">
        <f>IF(D1507="","",IF(G1507&lt;&gt;"",G1507,IFERROR(INDEX('Sản phẩm'!$E$5:$E$304,MATCH(D1507,'Sản phẩm'!$A$5:$A$304,0)),"")))</f>
        <v/>
      </c>
      <c r="J1507" s="16">
        <f>IF(OR(D1507="",F1507=""),"",F1507*I1507-N(H1507))</f>
        <v/>
      </c>
      <c r="K1507" s="16">
        <f>IF(OR(D1507="",F1507=""),"",F1507*IFERROR(INDEX('Sản phẩm'!$D$5:$D$304,MATCH(D1507,'Sản phẩm'!$A$5:$A$304,0)),""))</f>
        <v/>
      </c>
      <c r="L1507" s="16">
        <f>IF(J1507="","",J1507-K1507)</f>
        <v/>
      </c>
      <c r="M1507" s="14">
        <f>IF(A1507="","",MONTH(A1507))</f>
        <v/>
      </c>
      <c r="N1507" s="14">
        <f>IF(A1507="","",YEAR(A1507))</f>
        <v/>
      </c>
    </row>
    <row r="1508">
      <c r="A1508" s="15" t="n"/>
      <c r="B1508" s="10" t="n"/>
      <c r="C1508" s="10" t="n"/>
      <c r="D1508" s="10" t="n"/>
      <c r="E1508" s="14">
        <f>IF(D1508="","",IFERROR(INDEX('Sản phẩm'!$B$5:$B$304,MATCH(D1508,'Sản phẩm'!$A$5:$A$304,0)),""))</f>
        <v/>
      </c>
      <c r="F1508" s="12" t="n"/>
      <c r="G1508" s="11" t="n"/>
      <c r="H1508" s="11" t="n"/>
      <c r="I1508" s="16">
        <f>IF(D1508="","",IF(G1508&lt;&gt;"",G1508,IFERROR(INDEX('Sản phẩm'!$E$5:$E$304,MATCH(D1508,'Sản phẩm'!$A$5:$A$304,0)),"")))</f>
        <v/>
      </c>
      <c r="J1508" s="16">
        <f>IF(OR(D1508="",F1508=""),"",F1508*I1508-N(H1508))</f>
        <v/>
      </c>
      <c r="K1508" s="16">
        <f>IF(OR(D1508="",F1508=""),"",F1508*IFERROR(INDEX('Sản phẩm'!$D$5:$D$304,MATCH(D1508,'Sản phẩm'!$A$5:$A$304,0)),""))</f>
        <v/>
      </c>
      <c r="L1508" s="16">
        <f>IF(J1508="","",J1508-K1508)</f>
        <v/>
      </c>
      <c r="M1508" s="14">
        <f>IF(A1508="","",MONTH(A1508))</f>
        <v/>
      </c>
      <c r="N1508" s="14">
        <f>IF(A1508="","",YEAR(A1508))</f>
        <v/>
      </c>
    </row>
    <row r="1509">
      <c r="A1509" s="15" t="n"/>
      <c r="B1509" s="10" t="n"/>
      <c r="C1509" s="10" t="n"/>
      <c r="D1509" s="10" t="n"/>
      <c r="E1509" s="14">
        <f>IF(D1509="","",IFERROR(INDEX('Sản phẩm'!$B$5:$B$304,MATCH(D1509,'Sản phẩm'!$A$5:$A$304,0)),""))</f>
        <v/>
      </c>
      <c r="F1509" s="12" t="n"/>
      <c r="G1509" s="11" t="n"/>
      <c r="H1509" s="11" t="n"/>
      <c r="I1509" s="16">
        <f>IF(D1509="","",IF(G1509&lt;&gt;"",G1509,IFERROR(INDEX('Sản phẩm'!$E$5:$E$304,MATCH(D1509,'Sản phẩm'!$A$5:$A$304,0)),"")))</f>
        <v/>
      </c>
      <c r="J1509" s="16">
        <f>IF(OR(D1509="",F1509=""),"",F1509*I1509-N(H1509))</f>
        <v/>
      </c>
      <c r="K1509" s="16">
        <f>IF(OR(D1509="",F1509=""),"",F1509*IFERROR(INDEX('Sản phẩm'!$D$5:$D$304,MATCH(D1509,'Sản phẩm'!$A$5:$A$304,0)),""))</f>
        <v/>
      </c>
      <c r="L1509" s="16">
        <f>IF(J1509="","",J1509-K1509)</f>
        <v/>
      </c>
      <c r="M1509" s="14">
        <f>IF(A1509="","",MONTH(A1509))</f>
        <v/>
      </c>
      <c r="N1509" s="14">
        <f>IF(A1509="","",YEAR(A1509))</f>
        <v/>
      </c>
    </row>
    <row r="1510">
      <c r="A1510" s="15" t="n"/>
      <c r="B1510" s="10" t="n"/>
      <c r="C1510" s="10" t="n"/>
      <c r="D1510" s="10" t="n"/>
      <c r="E1510" s="14">
        <f>IF(D1510="","",IFERROR(INDEX('Sản phẩm'!$B$5:$B$304,MATCH(D1510,'Sản phẩm'!$A$5:$A$304,0)),""))</f>
        <v/>
      </c>
      <c r="F1510" s="12" t="n"/>
      <c r="G1510" s="11" t="n"/>
      <c r="H1510" s="11" t="n"/>
      <c r="I1510" s="16">
        <f>IF(D1510="","",IF(G1510&lt;&gt;"",G1510,IFERROR(INDEX('Sản phẩm'!$E$5:$E$304,MATCH(D1510,'Sản phẩm'!$A$5:$A$304,0)),"")))</f>
        <v/>
      </c>
      <c r="J1510" s="16">
        <f>IF(OR(D1510="",F1510=""),"",F1510*I1510-N(H1510))</f>
        <v/>
      </c>
      <c r="K1510" s="16">
        <f>IF(OR(D1510="",F1510=""),"",F1510*IFERROR(INDEX('Sản phẩm'!$D$5:$D$304,MATCH(D1510,'Sản phẩm'!$A$5:$A$304,0)),""))</f>
        <v/>
      </c>
      <c r="L1510" s="16">
        <f>IF(J1510="","",J1510-K1510)</f>
        <v/>
      </c>
      <c r="M1510" s="14">
        <f>IF(A1510="","",MONTH(A1510))</f>
        <v/>
      </c>
      <c r="N1510" s="14">
        <f>IF(A1510="","",YEAR(A1510))</f>
        <v/>
      </c>
    </row>
    <row r="1511">
      <c r="A1511" s="15" t="n"/>
      <c r="B1511" s="10" t="n"/>
      <c r="C1511" s="10" t="n"/>
      <c r="D1511" s="10" t="n"/>
      <c r="E1511" s="14">
        <f>IF(D1511="","",IFERROR(INDEX('Sản phẩm'!$B$5:$B$304,MATCH(D1511,'Sản phẩm'!$A$5:$A$304,0)),""))</f>
        <v/>
      </c>
      <c r="F1511" s="12" t="n"/>
      <c r="G1511" s="11" t="n"/>
      <c r="H1511" s="11" t="n"/>
      <c r="I1511" s="16">
        <f>IF(D1511="","",IF(G1511&lt;&gt;"",G1511,IFERROR(INDEX('Sản phẩm'!$E$5:$E$304,MATCH(D1511,'Sản phẩm'!$A$5:$A$304,0)),"")))</f>
        <v/>
      </c>
      <c r="J1511" s="16">
        <f>IF(OR(D1511="",F1511=""),"",F1511*I1511-N(H1511))</f>
        <v/>
      </c>
      <c r="K1511" s="16">
        <f>IF(OR(D1511="",F1511=""),"",F1511*IFERROR(INDEX('Sản phẩm'!$D$5:$D$304,MATCH(D1511,'Sản phẩm'!$A$5:$A$304,0)),""))</f>
        <v/>
      </c>
      <c r="L1511" s="16">
        <f>IF(J1511="","",J1511-K1511)</f>
        <v/>
      </c>
      <c r="M1511" s="14">
        <f>IF(A1511="","",MONTH(A1511))</f>
        <v/>
      </c>
      <c r="N1511" s="14">
        <f>IF(A1511="","",YEAR(A1511))</f>
        <v/>
      </c>
    </row>
    <row r="1512">
      <c r="A1512" s="15" t="n"/>
      <c r="B1512" s="10" t="n"/>
      <c r="C1512" s="10" t="n"/>
      <c r="D1512" s="10" t="n"/>
      <c r="E1512" s="14">
        <f>IF(D1512="","",IFERROR(INDEX('Sản phẩm'!$B$5:$B$304,MATCH(D1512,'Sản phẩm'!$A$5:$A$304,0)),""))</f>
        <v/>
      </c>
      <c r="F1512" s="12" t="n"/>
      <c r="G1512" s="11" t="n"/>
      <c r="H1512" s="11" t="n"/>
      <c r="I1512" s="16">
        <f>IF(D1512="","",IF(G1512&lt;&gt;"",G1512,IFERROR(INDEX('Sản phẩm'!$E$5:$E$304,MATCH(D1512,'Sản phẩm'!$A$5:$A$304,0)),"")))</f>
        <v/>
      </c>
      <c r="J1512" s="16">
        <f>IF(OR(D1512="",F1512=""),"",F1512*I1512-N(H1512))</f>
        <v/>
      </c>
      <c r="K1512" s="16">
        <f>IF(OR(D1512="",F1512=""),"",F1512*IFERROR(INDEX('Sản phẩm'!$D$5:$D$304,MATCH(D1512,'Sản phẩm'!$A$5:$A$304,0)),""))</f>
        <v/>
      </c>
      <c r="L1512" s="16">
        <f>IF(J1512="","",J1512-K1512)</f>
        <v/>
      </c>
      <c r="M1512" s="14">
        <f>IF(A1512="","",MONTH(A1512))</f>
        <v/>
      </c>
      <c r="N1512" s="14">
        <f>IF(A1512="","",YEAR(A1512))</f>
        <v/>
      </c>
    </row>
    <row r="1513">
      <c r="A1513" s="15" t="n"/>
      <c r="B1513" s="10" t="n"/>
      <c r="C1513" s="10" t="n"/>
      <c r="D1513" s="10" t="n"/>
      <c r="E1513" s="14">
        <f>IF(D1513="","",IFERROR(INDEX('Sản phẩm'!$B$5:$B$304,MATCH(D1513,'Sản phẩm'!$A$5:$A$304,0)),""))</f>
        <v/>
      </c>
      <c r="F1513" s="12" t="n"/>
      <c r="G1513" s="11" t="n"/>
      <c r="H1513" s="11" t="n"/>
      <c r="I1513" s="16">
        <f>IF(D1513="","",IF(G1513&lt;&gt;"",G1513,IFERROR(INDEX('Sản phẩm'!$E$5:$E$304,MATCH(D1513,'Sản phẩm'!$A$5:$A$304,0)),"")))</f>
        <v/>
      </c>
      <c r="J1513" s="16">
        <f>IF(OR(D1513="",F1513=""),"",F1513*I1513-N(H1513))</f>
        <v/>
      </c>
      <c r="K1513" s="16">
        <f>IF(OR(D1513="",F1513=""),"",F1513*IFERROR(INDEX('Sản phẩm'!$D$5:$D$304,MATCH(D1513,'Sản phẩm'!$A$5:$A$304,0)),""))</f>
        <v/>
      </c>
      <c r="L1513" s="16">
        <f>IF(J1513="","",J1513-K1513)</f>
        <v/>
      </c>
      <c r="M1513" s="14">
        <f>IF(A1513="","",MONTH(A1513))</f>
        <v/>
      </c>
      <c r="N1513" s="14">
        <f>IF(A1513="","",YEAR(A1513))</f>
        <v/>
      </c>
    </row>
    <row r="1514">
      <c r="A1514" s="15" t="n"/>
      <c r="B1514" s="10" t="n"/>
      <c r="C1514" s="10" t="n"/>
      <c r="D1514" s="10" t="n"/>
      <c r="E1514" s="14">
        <f>IF(D1514="","",IFERROR(INDEX('Sản phẩm'!$B$5:$B$304,MATCH(D1514,'Sản phẩm'!$A$5:$A$304,0)),""))</f>
        <v/>
      </c>
      <c r="F1514" s="12" t="n"/>
      <c r="G1514" s="11" t="n"/>
      <c r="H1514" s="11" t="n"/>
      <c r="I1514" s="16">
        <f>IF(D1514="","",IF(G1514&lt;&gt;"",G1514,IFERROR(INDEX('Sản phẩm'!$E$5:$E$304,MATCH(D1514,'Sản phẩm'!$A$5:$A$304,0)),"")))</f>
        <v/>
      </c>
      <c r="J1514" s="16">
        <f>IF(OR(D1514="",F1514=""),"",F1514*I1514-N(H1514))</f>
        <v/>
      </c>
      <c r="K1514" s="16">
        <f>IF(OR(D1514="",F1514=""),"",F1514*IFERROR(INDEX('Sản phẩm'!$D$5:$D$304,MATCH(D1514,'Sản phẩm'!$A$5:$A$304,0)),""))</f>
        <v/>
      </c>
      <c r="L1514" s="16">
        <f>IF(J1514="","",J1514-K1514)</f>
        <v/>
      </c>
      <c r="M1514" s="14">
        <f>IF(A1514="","",MONTH(A1514))</f>
        <v/>
      </c>
      <c r="N1514" s="14">
        <f>IF(A1514="","",YEAR(A1514))</f>
        <v/>
      </c>
    </row>
    <row r="1515">
      <c r="A1515" s="15" t="n"/>
      <c r="B1515" s="10" t="n"/>
      <c r="C1515" s="10" t="n"/>
      <c r="D1515" s="10" t="n"/>
      <c r="E1515" s="14">
        <f>IF(D1515="","",IFERROR(INDEX('Sản phẩm'!$B$5:$B$304,MATCH(D1515,'Sản phẩm'!$A$5:$A$304,0)),""))</f>
        <v/>
      </c>
      <c r="F1515" s="12" t="n"/>
      <c r="G1515" s="11" t="n"/>
      <c r="H1515" s="11" t="n"/>
      <c r="I1515" s="16">
        <f>IF(D1515="","",IF(G1515&lt;&gt;"",G1515,IFERROR(INDEX('Sản phẩm'!$E$5:$E$304,MATCH(D1515,'Sản phẩm'!$A$5:$A$304,0)),"")))</f>
        <v/>
      </c>
      <c r="J1515" s="16">
        <f>IF(OR(D1515="",F1515=""),"",F1515*I1515-N(H1515))</f>
        <v/>
      </c>
      <c r="K1515" s="16">
        <f>IF(OR(D1515="",F1515=""),"",F1515*IFERROR(INDEX('Sản phẩm'!$D$5:$D$304,MATCH(D1515,'Sản phẩm'!$A$5:$A$304,0)),""))</f>
        <v/>
      </c>
      <c r="L1515" s="16">
        <f>IF(J1515="","",J1515-K1515)</f>
        <v/>
      </c>
      <c r="M1515" s="14">
        <f>IF(A1515="","",MONTH(A1515))</f>
        <v/>
      </c>
      <c r="N1515" s="14">
        <f>IF(A1515="","",YEAR(A1515))</f>
        <v/>
      </c>
    </row>
    <row r="1516">
      <c r="A1516" s="15" t="n"/>
      <c r="B1516" s="10" t="n"/>
      <c r="C1516" s="10" t="n"/>
      <c r="D1516" s="10" t="n"/>
      <c r="E1516" s="14">
        <f>IF(D1516="","",IFERROR(INDEX('Sản phẩm'!$B$5:$B$304,MATCH(D1516,'Sản phẩm'!$A$5:$A$304,0)),""))</f>
        <v/>
      </c>
      <c r="F1516" s="12" t="n"/>
      <c r="G1516" s="11" t="n"/>
      <c r="H1516" s="11" t="n"/>
      <c r="I1516" s="16">
        <f>IF(D1516="","",IF(G1516&lt;&gt;"",G1516,IFERROR(INDEX('Sản phẩm'!$E$5:$E$304,MATCH(D1516,'Sản phẩm'!$A$5:$A$304,0)),"")))</f>
        <v/>
      </c>
      <c r="J1516" s="16">
        <f>IF(OR(D1516="",F1516=""),"",F1516*I1516-N(H1516))</f>
        <v/>
      </c>
      <c r="K1516" s="16">
        <f>IF(OR(D1516="",F1516=""),"",F1516*IFERROR(INDEX('Sản phẩm'!$D$5:$D$304,MATCH(D1516,'Sản phẩm'!$A$5:$A$304,0)),""))</f>
        <v/>
      </c>
      <c r="L1516" s="16">
        <f>IF(J1516="","",J1516-K1516)</f>
        <v/>
      </c>
      <c r="M1516" s="14">
        <f>IF(A1516="","",MONTH(A1516))</f>
        <v/>
      </c>
      <c r="N1516" s="14">
        <f>IF(A1516="","",YEAR(A1516))</f>
        <v/>
      </c>
    </row>
    <row r="1517">
      <c r="A1517" s="15" t="n"/>
      <c r="B1517" s="10" t="n"/>
      <c r="C1517" s="10" t="n"/>
      <c r="D1517" s="10" t="n"/>
      <c r="E1517" s="14">
        <f>IF(D1517="","",IFERROR(INDEX('Sản phẩm'!$B$5:$B$304,MATCH(D1517,'Sản phẩm'!$A$5:$A$304,0)),""))</f>
        <v/>
      </c>
      <c r="F1517" s="12" t="n"/>
      <c r="G1517" s="11" t="n"/>
      <c r="H1517" s="11" t="n"/>
      <c r="I1517" s="16">
        <f>IF(D1517="","",IF(G1517&lt;&gt;"",G1517,IFERROR(INDEX('Sản phẩm'!$E$5:$E$304,MATCH(D1517,'Sản phẩm'!$A$5:$A$304,0)),"")))</f>
        <v/>
      </c>
      <c r="J1517" s="16">
        <f>IF(OR(D1517="",F1517=""),"",F1517*I1517-N(H1517))</f>
        <v/>
      </c>
      <c r="K1517" s="16">
        <f>IF(OR(D1517="",F1517=""),"",F1517*IFERROR(INDEX('Sản phẩm'!$D$5:$D$304,MATCH(D1517,'Sản phẩm'!$A$5:$A$304,0)),""))</f>
        <v/>
      </c>
      <c r="L1517" s="16">
        <f>IF(J1517="","",J1517-K1517)</f>
        <v/>
      </c>
      <c r="M1517" s="14">
        <f>IF(A1517="","",MONTH(A1517))</f>
        <v/>
      </c>
      <c r="N1517" s="14">
        <f>IF(A1517="","",YEAR(A1517))</f>
        <v/>
      </c>
    </row>
    <row r="1518">
      <c r="A1518" s="15" t="n"/>
      <c r="B1518" s="10" t="n"/>
      <c r="C1518" s="10" t="n"/>
      <c r="D1518" s="10" t="n"/>
      <c r="E1518" s="14">
        <f>IF(D1518="","",IFERROR(INDEX('Sản phẩm'!$B$5:$B$304,MATCH(D1518,'Sản phẩm'!$A$5:$A$304,0)),""))</f>
        <v/>
      </c>
      <c r="F1518" s="12" t="n"/>
      <c r="G1518" s="11" t="n"/>
      <c r="H1518" s="11" t="n"/>
      <c r="I1518" s="16">
        <f>IF(D1518="","",IF(G1518&lt;&gt;"",G1518,IFERROR(INDEX('Sản phẩm'!$E$5:$E$304,MATCH(D1518,'Sản phẩm'!$A$5:$A$304,0)),"")))</f>
        <v/>
      </c>
      <c r="J1518" s="16">
        <f>IF(OR(D1518="",F1518=""),"",F1518*I1518-N(H1518))</f>
        <v/>
      </c>
      <c r="K1518" s="16">
        <f>IF(OR(D1518="",F1518=""),"",F1518*IFERROR(INDEX('Sản phẩm'!$D$5:$D$304,MATCH(D1518,'Sản phẩm'!$A$5:$A$304,0)),""))</f>
        <v/>
      </c>
      <c r="L1518" s="16">
        <f>IF(J1518="","",J1518-K1518)</f>
        <v/>
      </c>
      <c r="M1518" s="14">
        <f>IF(A1518="","",MONTH(A1518))</f>
        <v/>
      </c>
      <c r="N1518" s="14">
        <f>IF(A1518="","",YEAR(A1518))</f>
        <v/>
      </c>
    </row>
    <row r="1519">
      <c r="A1519" s="15" t="n"/>
      <c r="B1519" s="10" t="n"/>
      <c r="C1519" s="10" t="n"/>
      <c r="D1519" s="10" t="n"/>
      <c r="E1519" s="14">
        <f>IF(D1519="","",IFERROR(INDEX('Sản phẩm'!$B$5:$B$304,MATCH(D1519,'Sản phẩm'!$A$5:$A$304,0)),""))</f>
        <v/>
      </c>
      <c r="F1519" s="12" t="n"/>
      <c r="G1519" s="11" t="n"/>
      <c r="H1519" s="11" t="n"/>
      <c r="I1519" s="16">
        <f>IF(D1519="","",IF(G1519&lt;&gt;"",G1519,IFERROR(INDEX('Sản phẩm'!$E$5:$E$304,MATCH(D1519,'Sản phẩm'!$A$5:$A$304,0)),"")))</f>
        <v/>
      </c>
      <c r="J1519" s="16">
        <f>IF(OR(D1519="",F1519=""),"",F1519*I1519-N(H1519))</f>
        <v/>
      </c>
      <c r="K1519" s="16">
        <f>IF(OR(D1519="",F1519=""),"",F1519*IFERROR(INDEX('Sản phẩm'!$D$5:$D$304,MATCH(D1519,'Sản phẩm'!$A$5:$A$304,0)),""))</f>
        <v/>
      </c>
      <c r="L1519" s="16">
        <f>IF(J1519="","",J1519-K1519)</f>
        <v/>
      </c>
      <c r="M1519" s="14">
        <f>IF(A1519="","",MONTH(A1519))</f>
        <v/>
      </c>
      <c r="N1519" s="14">
        <f>IF(A1519="","",YEAR(A1519))</f>
        <v/>
      </c>
    </row>
    <row r="1520">
      <c r="A1520" s="15" t="n"/>
      <c r="B1520" s="10" t="n"/>
      <c r="C1520" s="10" t="n"/>
      <c r="D1520" s="10" t="n"/>
      <c r="E1520" s="14">
        <f>IF(D1520="","",IFERROR(INDEX('Sản phẩm'!$B$5:$B$304,MATCH(D1520,'Sản phẩm'!$A$5:$A$304,0)),""))</f>
        <v/>
      </c>
      <c r="F1520" s="12" t="n"/>
      <c r="G1520" s="11" t="n"/>
      <c r="H1520" s="11" t="n"/>
      <c r="I1520" s="16">
        <f>IF(D1520="","",IF(G1520&lt;&gt;"",G1520,IFERROR(INDEX('Sản phẩm'!$E$5:$E$304,MATCH(D1520,'Sản phẩm'!$A$5:$A$304,0)),"")))</f>
        <v/>
      </c>
      <c r="J1520" s="16">
        <f>IF(OR(D1520="",F1520=""),"",F1520*I1520-N(H1520))</f>
        <v/>
      </c>
      <c r="K1520" s="16">
        <f>IF(OR(D1520="",F1520=""),"",F1520*IFERROR(INDEX('Sản phẩm'!$D$5:$D$304,MATCH(D1520,'Sản phẩm'!$A$5:$A$304,0)),""))</f>
        <v/>
      </c>
      <c r="L1520" s="16">
        <f>IF(J1520="","",J1520-K1520)</f>
        <v/>
      </c>
      <c r="M1520" s="14">
        <f>IF(A1520="","",MONTH(A1520))</f>
        <v/>
      </c>
      <c r="N1520" s="14">
        <f>IF(A1520="","",YEAR(A1520))</f>
        <v/>
      </c>
    </row>
    <row r="1521">
      <c r="A1521" s="15" t="n"/>
      <c r="B1521" s="10" t="n"/>
      <c r="C1521" s="10" t="n"/>
      <c r="D1521" s="10" t="n"/>
      <c r="E1521" s="14">
        <f>IF(D1521="","",IFERROR(INDEX('Sản phẩm'!$B$5:$B$304,MATCH(D1521,'Sản phẩm'!$A$5:$A$304,0)),""))</f>
        <v/>
      </c>
      <c r="F1521" s="12" t="n"/>
      <c r="G1521" s="11" t="n"/>
      <c r="H1521" s="11" t="n"/>
      <c r="I1521" s="16">
        <f>IF(D1521="","",IF(G1521&lt;&gt;"",G1521,IFERROR(INDEX('Sản phẩm'!$E$5:$E$304,MATCH(D1521,'Sản phẩm'!$A$5:$A$304,0)),"")))</f>
        <v/>
      </c>
      <c r="J1521" s="16">
        <f>IF(OR(D1521="",F1521=""),"",F1521*I1521-N(H1521))</f>
        <v/>
      </c>
      <c r="K1521" s="16">
        <f>IF(OR(D1521="",F1521=""),"",F1521*IFERROR(INDEX('Sản phẩm'!$D$5:$D$304,MATCH(D1521,'Sản phẩm'!$A$5:$A$304,0)),""))</f>
        <v/>
      </c>
      <c r="L1521" s="16">
        <f>IF(J1521="","",J1521-K1521)</f>
        <v/>
      </c>
      <c r="M1521" s="14">
        <f>IF(A1521="","",MONTH(A1521))</f>
        <v/>
      </c>
      <c r="N1521" s="14">
        <f>IF(A1521="","",YEAR(A1521))</f>
        <v/>
      </c>
    </row>
    <row r="1522">
      <c r="A1522" s="15" t="n"/>
      <c r="B1522" s="10" t="n"/>
      <c r="C1522" s="10" t="n"/>
      <c r="D1522" s="10" t="n"/>
      <c r="E1522" s="14">
        <f>IF(D1522="","",IFERROR(INDEX('Sản phẩm'!$B$5:$B$304,MATCH(D1522,'Sản phẩm'!$A$5:$A$304,0)),""))</f>
        <v/>
      </c>
      <c r="F1522" s="12" t="n"/>
      <c r="G1522" s="11" t="n"/>
      <c r="H1522" s="11" t="n"/>
      <c r="I1522" s="16">
        <f>IF(D1522="","",IF(G1522&lt;&gt;"",G1522,IFERROR(INDEX('Sản phẩm'!$E$5:$E$304,MATCH(D1522,'Sản phẩm'!$A$5:$A$304,0)),"")))</f>
        <v/>
      </c>
      <c r="J1522" s="16">
        <f>IF(OR(D1522="",F1522=""),"",F1522*I1522-N(H1522))</f>
        <v/>
      </c>
      <c r="K1522" s="16">
        <f>IF(OR(D1522="",F1522=""),"",F1522*IFERROR(INDEX('Sản phẩm'!$D$5:$D$304,MATCH(D1522,'Sản phẩm'!$A$5:$A$304,0)),""))</f>
        <v/>
      </c>
      <c r="L1522" s="16">
        <f>IF(J1522="","",J1522-K1522)</f>
        <v/>
      </c>
      <c r="M1522" s="14">
        <f>IF(A1522="","",MONTH(A1522))</f>
        <v/>
      </c>
      <c r="N1522" s="14">
        <f>IF(A1522="","",YEAR(A1522))</f>
        <v/>
      </c>
    </row>
    <row r="1523">
      <c r="A1523" s="15" t="n"/>
      <c r="B1523" s="10" t="n"/>
      <c r="C1523" s="10" t="n"/>
      <c r="D1523" s="10" t="n"/>
      <c r="E1523" s="14">
        <f>IF(D1523="","",IFERROR(INDEX('Sản phẩm'!$B$5:$B$304,MATCH(D1523,'Sản phẩm'!$A$5:$A$304,0)),""))</f>
        <v/>
      </c>
      <c r="F1523" s="12" t="n"/>
      <c r="G1523" s="11" t="n"/>
      <c r="H1523" s="11" t="n"/>
      <c r="I1523" s="16">
        <f>IF(D1523="","",IF(G1523&lt;&gt;"",G1523,IFERROR(INDEX('Sản phẩm'!$E$5:$E$304,MATCH(D1523,'Sản phẩm'!$A$5:$A$304,0)),"")))</f>
        <v/>
      </c>
      <c r="J1523" s="16">
        <f>IF(OR(D1523="",F1523=""),"",F1523*I1523-N(H1523))</f>
        <v/>
      </c>
      <c r="K1523" s="16">
        <f>IF(OR(D1523="",F1523=""),"",F1523*IFERROR(INDEX('Sản phẩm'!$D$5:$D$304,MATCH(D1523,'Sản phẩm'!$A$5:$A$304,0)),""))</f>
        <v/>
      </c>
      <c r="L1523" s="16">
        <f>IF(J1523="","",J1523-K1523)</f>
        <v/>
      </c>
      <c r="M1523" s="14">
        <f>IF(A1523="","",MONTH(A1523))</f>
        <v/>
      </c>
      <c r="N1523" s="14">
        <f>IF(A1523="","",YEAR(A1523))</f>
        <v/>
      </c>
    </row>
    <row r="1524">
      <c r="A1524" s="15" t="n"/>
      <c r="B1524" s="10" t="n"/>
      <c r="C1524" s="10" t="n"/>
      <c r="D1524" s="10" t="n"/>
      <c r="E1524" s="14">
        <f>IF(D1524="","",IFERROR(INDEX('Sản phẩm'!$B$5:$B$304,MATCH(D1524,'Sản phẩm'!$A$5:$A$304,0)),""))</f>
        <v/>
      </c>
      <c r="F1524" s="12" t="n"/>
      <c r="G1524" s="11" t="n"/>
      <c r="H1524" s="11" t="n"/>
      <c r="I1524" s="16">
        <f>IF(D1524="","",IF(G1524&lt;&gt;"",G1524,IFERROR(INDEX('Sản phẩm'!$E$5:$E$304,MATCH(D1524,'Sản phẩm'!$A$5:$A$304,0)),"")))</f>
        <v/>
      </c>
      <c r="J1524" s="16">
        <f>IF(OR(D1524="",F1524=""),"",F1524*I1524-N(H1524))</f>
        <v/>
      </c>
      <c r="K1524" s="16">
        <f>IF(OR(D1524="",F1524=""),"",F1524*IFERROR(INDEX('Sản phẩm'!$D$5:$D$304,MATCH(D1524,'Sản phẩm'!$A$5:$A$304,0)),""))</f>
        <v/>
      </c>
      <c r="L1524" s="16">
        <f>IF(J1524="","",J1524-K1524)</f>
        <v/>
      </c>
      <c r="M1524" s="14">
        <f>IF(A1524="","",MONTH(A1524))</f>
        <v/>
      </c>
      <c r="N1524" s="14">
        <f>IF(A1524="","",YEAR(A1524))</f>
        <v/>
      </c>
    </row>
    <row r="1525">
      <c r="A1525" s="15" t="n"/>
      <c r="B1525" s="10" t="n"/>
      <c r="C1525" s="10" t="n"/>
      <c r="D1525" s="10" t="n"/>
      <c r="E1525" s="14">
        <f>IF(D1525="","",IFERROR(INDEX('Sản phẩm'!$B$5:$B$304,MATCH(D1525,'Sản phẩm'!$A$5:$A$304,0)),""))</f>
        <v/>
      </c>
      <c r="F1525" s="12" t="n"/>
      <c r="G1525" s="11" t="n"/>
      <c r="H1525" s="11" t="n"/>
      <c r="I1525" s="16">
        <f>IF(D1525="","",IF(G1525&lt;&gt;"",G1525,IFERROR(INDEX('Sản phẩm'!$E$5:$E$304,MATCH(D1525,'Sản phẩm'!$A$5:$A$304,0)),"")))</f>
        <v/>
      </c>
      <c r="J1525" s="16">
        <f>IF(OR(D1525="",F1525=""),"",F1525*I1525-N(H1525))</f>
        <v/>
      </c>
      <c r="K1525" s="16">
        <f>IF(OR(D1525="",F1525=""),"",F1525*IFERROR(INDEX('Sản phẩm'!$D$5:$D$304,MATCH(D1525,'Sản phẩm'!$A$5:$A$304,0)),""))</f>
        <v/>
      </c>
      <c r="L1525" s="16">
        <f>IF(J1525="","",J1525-K1525)</f>
        <v/>
      </c>
      <c r="M1525" s="14">
        <f>IF(A1525="","",MONTH(A1525))</f>
        <v/>
      </c>
      <c r="N1525" s="14">
        <f>IF(A1525="","",YEAR(A1525))</f>
        <v/>
      </c>
    </row>
    <row r="1526">
      <c r="A1526" s="15" t="n"/>
      <c r="B1526" s="10" t="n"/>
      <c r="C1526" s="10" t="n"/>
      <c r="D1526" s="10" t="n"/>
      <c r="E1526" s="14">
        <f>IF(D1526="","",IFERROR(INDEX('Sản phẩm'!$B$5:$B$304,MATCH(D1526,'Sản phẩm'!$A$5:$A$304,0)),""))</f>
        <v/>
      </c>
      <c r="F1526" s="12" t="n"/>
      <c r="G1526" s="11" t="n"/>
      <c r="H1526" s="11" t="n"/>
      <c r="I1526" s="16">
        <f>IF(D1526="","",IF(G1526&lt;&gt;"",G1526,IFERROR(INDEX('Sản phẩm'!$E$5:$E$304,MATCH(D1526,'Sản phẩm'!$A$5:$A$304,0)),"")))</f>
        <v/>
      </c>
      <c r="J1526" s="16">
        <f>IF(OR(D1526="",F1526=""),"",F1526*I1526-N(H1526))</f>
        <v/>
      </c>
      <c r="K1526" s="16">
        <f>IF(OR(D1526="",F1526=""),"",F1526*IFERROR(INDEX('Sản phẩm'!$D$5:$D$304,MATCH(D1526,'Sản phẩm'!$A$5:$A$304,0)),""))</f>
        <v/>
      </c>
      <c r="L1526" s="16">
        <f>IF(J1526="","",J1526-K1526)</f>
        <v/>
      </c>
      <c r="M1526" s="14">
        <f>IF(A1526="","",MONTH(A1526))</f>
        <v/>
      </c>
      <c r="N1526" s="14">
        <f>IF(A1526="","",YEAR(A1526))</f>
        <v/>
      </c>
    </row>
    <row r="1527">
      <c r="A1527" s="15" t="n"/>
      <c r="B1527" s="10" t="n"/>
      <c r="C1527" s="10" t="n"/>
      <c r="D1527" s="10" t="n"/>
      <c r="E1527" s="14">
        <f>IF(D1527="","",IFERROR(INDEX('Sản phẩm'!$B$5:$B$304,MATCH(D1527,'Sản phẩm'!$A$5:$A$304,0)),""))</f>
        <v/>
      </c>
      <c r="F1527" s="12" t="n"/>
      <c r="G1527" s="11" t="n"/>
      <c r="H1527" s="11" t="n"/>
      <c r="I1527" s="16">
        <f>IF(D1527="","",IF(G1527&lt;&gt;"",G1527,IFERROR(INDEX('Sản phẩm'!$E$5:$E$304,MATCH(D1527,'Sản phẩm'!$A$5:$A$304,0)),"")))</f>
        <v/>
      </c>
      <c r="J1527" s="16">
        <f>IF(OR(D1527="",F1527=""),"",F1527*I1527-N(H1527))</f>
        <v/>
      </c>
      <c r="K1527" s="16">
        <f>IF(OR(D1527="",F1527=""),"",F1527*IFERROR(INDEX('Sản phẩm'!$D$5:$D$304,MATCH(D1527,'Sản phẩm'!$A$5:$A$304,0)),""))</f>
        <v/>
      </c>
      <c r="L1527" s="16">
        <f>IF(J1527="","",J1527-K1527)</f>
        <v/>
      </c>
      <c r="M1527" s="14">
        <f>IF(A1527="","",MONTH(A1527))</f>
        <v/>
      </c>
      <c r="N1527" s="14">
        <f>IF(A1527="","",YEAR(A1527))</f>
        <v/>
      </c>
    </row>
    <row r="1528">
      <c r="A1528" s="15" t="n"/>
      <c r="B1528" s="10" t="n"/>
      <c r="C1528" s="10" t="n"/>
      <c r="D1528" s="10" t="n"/>
      <c r="E1528" s="14">
        <f>IF(D1528="","",IFERROR(INDEX('Sản phẩm'!$B$5:$B$304,MATCH(D1528,'Sản phẩm'!$A$5:$A$304,0)),""))</f>
        <v/>
      </c>
      <c r="F1528" s="12" t="n"/>
      <c r="G1528" s="11" t="n"/>
      <c r="H1528" s="11" t="n"/>
      <c r="I1528" s="16">
        <f>IF(D1528="","",IF(G1528&lt;&gt;"",G1528,IFERROR(INDEX('Sản phẩm'!$E$5:$E$304,MATCH(D1528,'Sản phẩm'!$A$5:$A$304,0)),"")))</f>
        <v/>
      </c>
      <c r="J1528" s="16">
        <f>IF(OR(D1528="",F1528=""),"",F1528*I1528-N(H1528))</f>
        <v/>
      </c>
      <c r="K1528" s="16">
        <f>IF(OR(D1528="",F1528=""),"",F1528*IFERROR(INDEX('Sản phẩm'!$D$5:$D$304,MATCH(D1528,'Sản phẩm'!$A$5:$A$304,0)),""))</f>
        <v/>
      </c>
      <c r="L1528" s="16">
        <f>IF(J1528="","",J1528-K1528)</f>
        <v/>
      </c>
      <c r="M1528" s="14">
        <f>IF(A1528="","",MONTH(A1528))</f>
        <v/>
      </c>
      <c r="N1528" s="14">
        <f>IF(A1528="","",YEAR(A1528))</f>
        <v/>
      </c>
    </row>
    <row r="1529">
      <c r="A1529" s="15" t="n"/>
      <c r="B1529" s="10" t="n"/>
      <c r="C1529" s="10" t="n"/>
      <c r="D1529" s="10" t="n"/>
      <c r="E1529" s="14">
        <f>IF(D1529="","",IFERROR(INDEX('Sản phẩm'!$B$5:$B$304,MATCH(D1529,'Sản phẩm'!$A$5:$A$304,0)),""))</f>
        <v/>
      </c>
      <c r="F1529" s="12" t="n"/>
      <c r="G1529" s="11" t="n"/>
      <c r="H1529" s="11" t="n"/>
      <c r="I1529" s="16">
        <f>IF(D1529="","",IF(G1529&lt;&gt;"",G1529,IFERROR(INDEX('Sản phẩm'!$E$5:$E$304,MATCH(D1529,'Sản phẩm'!$A$5:$A$304,0)),"")))</f>
        <v/>
      </c>
      <c r="J1529" s="16">
        <f>IF(OR(D1529="",F1529=""),"",F1529*I1529-N(H1529))</f>
        <v/>
      </c>
      <c r="K1529" s="16">
        <f>IF(OR(D1529="",F1529=""),"",F1529*IFERROR(INDEX('Sản phẩm'!$D$5:$D$304,MATCH(D1529,'Sản phẩm'!$A$5:$A$304,0)),""))</f>
        <v/>
      </c>
      <c r="L1529" s="16">
        <f>IF(J1529="","",J1529-K1529)</f>
        <v/>
      </c>
      <c r="M1529" s="14">
        <f>IF(A1529="","",MONTH(A1529))</f>
        <v/>
      </c>
      <c r="N1529" s="14">
        <f>IF(A1529="","",YEAR(A1529))</f>
        <v/>
      </c>
    </row>
    <row r="1530">
      <c r="A1530" s="15" t="n"/>
      <c r="B1530" s="10" t="n"/>
      <c r="C1530" s="10" t="n"/>
      <c r="D1530" s="10" t="n"/>
      <c r="E1530" s="14">
        <f>IF(D1530="","",IFERROR(INDEX('Sản phẩm'!$B$5:$B$304,MATCH(D1530,'Sản phẩm'!$A$5:$A$304,0)),""))</f>
        <v/>
      </c>
      <c r="F1530" s="12" t="n"/>
      <c r="G1530" s="11" t="n"/>
      <c r="H1530" s="11" t="n"/>
      <c r="I1530" s="16">
        <f>IF(D1530="","",IF(G1530&lt;&gt;"",G1530,IFERROR(INDEX('Sản phẩm'!$E$5:$E$304,MATCH(D1530,'Sản phẩm'!$A$5:$A$304,0)),"")))</f>
        <v/>
      </c>
      <c r="J1530" s="16">
        <f>IF(OR(D1530="",F1530=""),"",F1530*I1530-N(H1530))</f>
        <v/>
      </c>
      <c r="K1530" s="16">
        <f>IF(OR(D1530="",F1530=""),"",F1530*IFERROR(INDEX('Sản phẩm'!$D$5:$D$304,MATCH(D1530,'Sản phẩm'!$A$5:$A$304,0)),""))</f>
        <v/>
      </c>
      <c r="L1530" s="16">
        <f>IF(J1530="","",J1530-K1530)</f>
        <v/>
      </c>
      <c r="M1530" s="14">
        <f>IF(A1530="","",MONTH(A1530))</f>
        <v/>
      </c>
      <c r="N1530" s="14">
        <f>IF(A1530="","",YEAR(A1530))</f>
        <v/>
      </c>
    </row>
    <row r="1531">
      <c r="A1531" s="15" t="n"/>
      <c r="B1531" s="10" t="n"/>
      <c r="C1531" s="10" t="n"/>
      <c r="D1531" s="10" t="n"/>
      <c r="E1531" s="14">
        <f>IF(D1531="","",IFERROR(INDEX('Sản phẩm'!$B$5:$B$304,MATCH(D1531,'Sản phẩm'!$A$5:$A$304,0)),""))</f>
        <v/>
      </c>
      <c r="F1531" s="12" t="n"/>
      <c r="G1531" s="11" t="n"/>
      <c r="H1531" s="11" t="n"/>
      <c r="I1531" s="16">
        <f>IF(D1531="","",IF(G1531&lt;&gt;"",G1531,IFERROR(INDEX('Sản phẩm'!$E$5:$E$304,MATCH(D1531,'Sản phẩm'!$A$5:$A$304,0)),"")))</f>
        <v/>
      </c>
      <c r="J1531" s="16">
        <f>IF(OR(D1531="",F1531=""),"",F1531*I1531-N(H1531))</f>
        <v/>
      </c>
      <c r="K1531" s="16">
        <f>IF(OR(D1531="",F1531=""),"",F1531*IFERROR(INDEX('Sản phẩm'!$D$5:$D$304,MATCH(D1531,'Sản phẩm'!$A$5:$A$304,0)),""))</f>
        <v/>
      </c>
      <c r="L1531" s="16">
        <f>IF(J1531="","",J1531-K1531)</f>
        <v/>
      </c>
      <c r="M1531" s="14">
        <f>IF(A1531="","",MONTH(A1531))</f>
        <v/>
      </c>
      <c r="N1531" s="14">
        <f>IF(A1531="","",YEAR(A1531))</f>
        <v/>
      </c>
    </row>
    <row r="1532">
      <c r="A1532" s="15" t="n"/>
      <c r="B1532" s="10" t="n"/>
      <c r="C1532" s="10" t="n"/>
      <c r="D1532" s="10" t="n"/>
      <c r="E1532" s="14">
        <f>IF(D1532="","",IFERROR(INDEX('Sản phẩm'!$B$5:$B$304,MATCH(D1532,'Sản phẩm'!$A$5:$A$304,0)),""))</f>
        <v/>
      </c>
      <c r="F1532" s="12" t="n"/>
      <c r="G1532" s="11" t="n"/>
      <c r="H1532" s="11" t="n"/>
      <c r="I1532" s="16">
        <f>IF(D1532="","",IF(G1532&lt;&gt;"",G1532,IFERROR(INDEX('Sản phẩm'!$E$5:$E$304,MATCH(D1532,'Sản phẩm'!$A$5:$A$304,0)),"")))</f>
        <v/>
      </c>
      <c r="J1532" s="16">
        <f>IF(OR(D1532="",F1532=""),"",F1532*I1532-N(H1532))</f>
        <v/>
      </c>
      <c r="K1532" s="16">
        <f>IF(OR(D1532="",F1532=""),"",F1532*IFERROR(INDEX('Sản phẩm'!$D$5:$D$304,MATCH(D1532,'Sản phẩm'!$A$5:$A$304,0)),""))</f>
        <v/>
      </c>
      <c r="L1532" s="16">
        <f>IF(J1532="","",J1532-K1532)</f>
        <v/>
      </c>
      <c r="M1532" s="14">
        <f>IF(A1532="","",MONTH(A1532))</f>
        <v/>
      </c>
      <c r="N1532" s="14">
        <f>IF(A1532="","",YEAR(A1532))</f>
        <v/>
      </c>
    </row>
    <row r="1533">
      <c r="A1533" s="15" t="n"/>
      <c r="B1533" s="10" t="n"/>
      <c r="C1533" s="10" t="n"/>
      <c r="D1533" s="10" t="n"/>
      <c r="E1533" s="14">
        <f>IF(D1533="","",IFERROR(INDEX('Sản phẩm'!$B$5:$B$304,MATCH(D1533,'Sản phẩm'!$A$5:$A$304,0)),""))</f>
        <v/>
      </c>
      <c r="F1533" s="12" t="n"/>
      <c r="G1533" s="11" t="n"/>
      <c r="H1533" s="11" t="n"/>
      <c r="I1533" s="16">
        <f>IF(D1533="","",IF(G1533&lt;&gt;"",G1533,IFERROR(INDEX('Sản phẩm'!$E$5:$E$304,MATCH(D1533,'Sản phẩm'!$A$5:$A$304,0)),"")))</f>
        <v/>
      </c>
      <c r="J1533" s="16">
        <f>IF(OR(D1533="",F1533=""),"",F1533*I1533-N(H1533))</f>
        <v/>
      </c>
      <c r="K1533" s="16">
        <f>IF(OR(D1533="",F1533=""),"",F1533*IFERROR(INDEX('Sản phẩm'!$D$5:$D$304,MATCH(D1533,'Sản phẩm'!$A$5:$A$304,0)),""))</f>
        <v/>
      </c>
      <c r="L1533" s="16">
        <f>IF(J1533="","",J1533-K1533)</f>
        <v/>
      </c>
      <c r="M1533" s="14">
        <f>IF(A1533="","",MONTH(A1533))</f>
        <v/>
      </c>
      <c r="N1533" s="14">
        <f>IF(A1533="","",YEAR(A1533))</f>
        <v/>
      </c>
    </row>
    <row r="1534">
      <c r="A1534" s="15" t="n"/>
      <c r="B1534" s="10" t="n"/>
      <c r="C1534" s="10" t="n"/>
      <c r="D1534" s="10" t="n"/>
      <c r="E1534" s="14">
        <f>IF(D1534="","",IFERROR(INDEX('Sản phẩm'!$B$5:$B$304,MATCH(D1534,'Sản phẩm'!$A$5:$A$304,0)),""))</f>
        <v/>
      </c>
      <c r="F1534" s="12" t="n"/>
      <c r="G1534" s="11" t="n"/>
      <c r="H1534" s="11" t="n"/>
      <c r="I1534" s="16">
        <f>IF(D1534="","",IF(G1534&lt;&gt;"",G1534,IFERROR(INDEX('Sản phẩm'!$E$5:$E$304,MATCH(D1534,'Sản phẩm'!$A$5:$A$304,0)),"")))</f>
        <v/>
      </c>
      <c r="J1534" s="16">
        <f>IF(OR(D1534="",F1534=""),"",F1534*I1534-N(H1534))</f>
        <v/>
      </c>
      <c r="K1534" s="16">
        <f>IF(OR(D1534="",F1534=""),"",F1534*IFERROR(INDEX('Sản phẩm'!$D$5:$D$304,MATCH(D1534,'Sản phẩm'!$A$5:$A$304,0)),""))</f>
        <v/>
      </c>
      <c r="L1534" s="16">
        <f>IF(J1534="","",J1534-K1534)</f>
        <v/>
      </c>
      <c r="M1534" s="14">
        <f>IF(A1534="","",MONTH(A1534))</f>
        <v/>
      </c>
      <c r="N1534" s="14">
        <f>IF(A1534="","",YEAR(A1534))</f>
        <v/>
      </c>
    </row>
    <row r="1535">
      <c r="A1535" s="15" t="n"/>
      <c r="B1535" s="10" t="n"/>
      <c r="C1535" s="10" t="n"/>
      <c r="D1535" s="10" t="n"/>
      <c r="E1535" s="14">
        <f>IF(D1535="","",IFERROR(INDEX('Sản phẩm'!$B$5:$B$304,MATCH(D1535,'Sản phẩm'!$A$5:$A$304,0)),""))</f>
        <v/>
      </c>
      <c r="F1535" s="12" t="n"/>
      <c r="G1535" s="11" t="n"/>
      <c r="H1535" s="11" t="n"/>
      <c r="I1535" s="16">
        <f>IF(D1535="","",IF(G1535&lt;&gt;"",G1535,IFERROR(INDEX('Sản phẩm'!$E$5:$E$304,MATCH(D1535,'Sản phẩm'!$A$5:$A$304,0)),"")))</f>
        <v/>
      </c>
      <c r="J1535" s="16">
        <f>IF(OR(D1535="",F1535=""),"",F1535*I1535-N(H1535))</f>
        <v/>
      </c>
      <c r="K1535" s="16">
        <f>IF(OR(D1535="",F1535=""),"",F1535*IFERROR(INDEX('Sản phẩm'!$D$5:$D$304,MATCH(D1535,'Sản phẩm'!$A$5:$A$304,0)),""))</f>
        <v/>
      </c>
      <c r="L1535" s="16">
        <f>IF(J1535="","",J1535-K1535)</f>
        <v/>
      </c>
      <c r="M1535" s="14">
        <f>IF(A1535="","",MONTH(A1535))</f>
        <v/>
      </c>
      <c r="N1535" s="14">
        <f>IF(A1535="","",YEAR(A1535))</f>
        <v/>
      </c>
    </row>
    <row r="1536">
      <c r="A1536" s="15" t="n"/>
      <c r="B1536" s="10" t="n"/>
      <c r="C1536" s="10" t="n"/>
      <c r="D1536" s="10" t="n"/>
      <c r="E1536" s="14">
        <f>IF(D1536="","",IFERROR(INDEX('Sản phẩm'!$B$5:$B$304,MATCH(D1536,'Sản phẩm'!$A$5:$A$304,0)),""))</f>
        <v/>
      </c>
      <c r="F1536" s="12" t="n"/>
      <c r="G1536" s="11" t="n"/>
      <c r="H1536" s="11" t="n"/>
      <c r="I1536" s="16">
        <f>IF(D1536="","",IF(G1536&lt;&gt;"",G1536,IFERROR(INDEX('Sản phẩm'!$E$5:$E$304,MATCH(D1536,'Sản phẩm'!$A$5:$A$304,0)),"")))</f>
        <v/>
      </c>
      <c r="J1536" s="16">
        <f>IF(OR(D1536="",F1536=""),"",F1536*I1536-N(H1536))</f>
        <v/>
      </c>
      <c r="K1536" s="16">
        <f>IF(OR(D1536="",F1536=""),"",F1536*IFERROR(INDEX('Sản phẩm'!$D$5:$D$304,MATCH(D1536,'Sản phẩm'!$A$5:$A$304,0)),""))</f>
        <v/>
      </c>
      <c r="L1536" s="16">
        <f>IF(J1536="","",J1536-K1536)</f>
        <v/>
      </c>
      <c r="M1536" s="14">
        <f>IF(A1536="","",MONTH(A1536))</f>
        <v/>
      </c>
      <c r="N1536" s="14">
        <f>IF(A1536="","",YEAR(A1536))</f>
        <v/>
      </c>
    </row>
    <row r="1537">
      <c r="A1537" s="15" t="n"/>
      <c r="B1537" s="10" t="n"/>
      <c r="C1537" s="10" t="n"/>
      <c r="D1537" s="10" t="n"/>
      <c r="E1537" s="14">
        <f>IF(D1537="","",IFERROR(INDEX('Sản phẩm'!$B$5:$B$304,MATCH(D1537,'Sản phẩm'!$A$5:$A$304,0)),""))</f>
        <v/>
      </c>
      <c r="F1537" s="12" t="n"/>
      <c r="G1537" s="11" t="n"/>
      <c r="H1537" s="11" t="n"/>
      <c r="I1537" s="16">
        <f>IF(D1537="","",IF(G1537&lt;&gt;"",G1537,IFERROR(INDEX('Sản phẩm'!$E$5:$E$304,MATCH(D1537,'Sản phẩm'!$A$5:$A$304,0)),"")))</f>
        <v/>
      </c>
      <c r="J1537" s="16">
        <f>IF(OR(D1537="",F1537=""),"",F1537*I1537-N(H1537))</f>
        <v/>
      </c>
      <c r="K1537" s="16">
        <f>IF(OR(D1537="",F1537=""),"",F1537*IFERROR(INDEX('Sản phẩm'!$D$5:$D$304,MATCH(D1537,'Sản phẩm'!$A$5:$A$304,0)),""))</f>
        <v/>
      </c>
      <c r="L1537" s="16">
        <f>IF(J1537="","",J1537-K1537)</f>
        <v/>
      </c>
      <c r="M1537" s="14">
        <f>IF(A1537="","",MONTH(A1537))</f>
        <v/>
      </c>
      <c r="N1537" s="14">
        <f>IF(A1537="","",YEAR(A1537))</f>
        <v/>
      </c>
    </row>
    <row r="1538">
      <c r="A1538" s="15" t="n"/>
      <c r="B1538" s="10" t="n"/>
      <c r="C1538" s="10" t="n"/>
      <c r="D1538" s="10" t="n"/>
      <c r="E1538" s="14">
        <f>IF(D1538="","",IFERROR(INDEX('Sản phẩm'!$B$5:$B$304,MATCH(D1538,'Sản phẩm'!$A$5:$A$304,0)),""))</f>
        <v/>
      </c>
      <c r="F1538" s="12" t="n"/>
      <c r="G1538" s="11" t="n"/>
      <c r="H1538" s="11" t="n"/>
      <c r="I1538" s="16">
        <f>IF(D1538="","",IF(G1538&lt;&gt;"",G1538,IFERROR(INDEX('Sản phẩm'!$E$5:$E$304,MATCH(D1538,'Sản phẩm'!$A$5:$A$304,0)),"")))</f>
        <v/>
      </c>
      <c r="J1538" s="16">
        <f>IF(OR(D1538="",F1538=""),"",F1538*I1538-N(H1538))</f>
        <v/>
      </c>
      <c r="K1538" s="16">
        <f>IF(OR(D1538="",F1538=""),"",F1538*IFERROR(INDEX('Sản phẩm'!$D$5:$D$304,MATCH(D1538,'Sản phẩm'!$A$5:$A$304,0)),""))</f>
        <v/>
      </c>
      <c r="L1538" s="16">
        <f>IF(J1538="","",J1538-K1538)</f>
        <v/>
      </c>
      <c r="M1538" s="14">
        <f>IF(A1538="","",MONTH(A1538))</f>
        <v/>
      </c>
      <c r="N1538" s="14">
        <f>IF(A1538="","",YEAR(A1538))</f>
        <v/>
      </c>
    </row>
    <row r="1539">
      <c r="A1539" s="15" t="n"/>
      <c r="B1539" s="10" t="n"/>
      <c r="C1539" s="10" t="n"/>
      <c r="D1539" s="10" t="n"/>
      <c r="E1539" s="14">
        <f>IF(D1539="","",IFERROR(INDEX('Sản phẩm'!$B$5:$B$304,MATCH(D1539,'Sản phẩm'!$A$5:$A$304,0)),""))</f>
        <v/>
      </c>
      <c r="F1539" s="12" t="n"/>
      <c r="G1539" s="11" t="n"/>
      <c r="H1539" s="11" t="n"/>
      <c r="I1539" s="16">
        <f>IF(D1539="","",IF(G1539&lt;&gt;"",G1539,IFERROR(INDEX('Sản phẩm'!$E$5:$E$304,MATCH(D1539,'Sản phẩm'!$A$5:$A$304,0)),"")))</f>
        <v/>
      </c>
      <c r="J1539" s="16">
        <f>IF(OR(D1539="",F1539=""),"",F1539*I1539-N(H1539))</f>
        <v/>
      </c>
      <c r="K1539" s="16">
        <f>IF(OR(D1539="",F1539=""),"",F1539*IFERROR(INDEX('Sản phẩm'!$D$5:$D$304,MATCH(D1539,'Sản phẩm'!$A$5:$A$304,0)),""))</f>
        <v/>
      </c>
      <c r="L1539" s="16">
        <f>IF(J1539="","",J1539-K1539)</f>
        <v/>
      </c>
      <c r="M1539" s="14">
        <f>IF(A1539="","",MONTH(A1539))</f>
        <v/>
      </c>
      <c r="N1539" s="14">
        <f>IF(A1539="","",YEAR(A1539))</f>
        <v/>
      </c>
    </row>
    <row r="1540">
      <c r="A1540" s="15" t="n"/>
      <c r="B1540" s="10" t="n"/>
      <c r="C1540" s="10" t="n"/>
      <c r="D1540" s="10" t="n"/>
      <c r="E1540" s="14">
        <f>IF(D1540="","",IFERROR(INDEX('Sản phẩm'!$B$5:$B$304,MATCH(D1540,'Sản phẩm'!$A$5:$A$304,0)),""))</f>
        <v/>
      </c>
      <c r="F1540" s="12" t="n"/>
      <c r="G1540" s="11" t="n"/>
      <c r="H1540" s="11" t="n"/>
      <c r="I1540" s="16">
        <f>IF(D1540="","",IF(G1540&lt;&gt;"",G1540,IFERROR(INDEX('Sản phẩm'!$E$5:$E$304,MATCH(D1540,'Sản phẩm'!$A$5:$A$304,0)),"")))</f>
        <v/>
      </c>
      <c r="J1540" s="16">
        <f>IF(OR(D1540="",F1540=""),"",F1540*I1540-N(H1540))</f>
        <v/>
      </c>
      <c r="K1540" s="16">
        <f>IF(OR(D1540="",F1540=""),"",F1540*IFERROR(INDEX('Sản phẩm'!$D$5:$D$304,MATCH(D1540,'Sản phẩm'!$A$5:$A$304,0)),""))</f>
        <v/>
      </c>
      <c r="L1540" s="16">
        <f>IF(J1540="","",J1540-K1540)</f>
        <v/>
      </c>
      <c r="M1540" s="14">
        <f>IF(A1540="","",MONTH(A1540))</f>
        <v/>
      </c>
      <c r="N1540" s="14">
        <f>IF(A1540="","",YEAR(A1540))</f>
        <v/>
      </c>
    </row>
    <row r="1541">
      <c r="A1541" s="15" t="n"/>
      <c r="B1541" s="10" t="n"/>
      <c r="C1541" s="10" t="n"/>
      <c r="D1541" s="10" t="n"/>
      <c r="E1541" s="14">
        <f>IF(D1541="","",IFERROR(INDEX('Sản phẩm'!$B$5:$B$304,MATCH(D1541,'Sản phẩm'!$A$5:$A$304,0)),""))</f>
        <v/>
      </c>
      <c r="F1541" s="12" t="n"/>
      <c r="G1541" s="11" t="n"/>
      <c r="H1541" s="11" t="n"/>
      <c r="I1541" s="16">
        <f>IF(D1541="","",IF(G1541&lt;&gt;"",G1541,IFERROR(INDEX('Sản phẩm'!$E$5:$E$304,MATCH(D1541,'Sản phẩm'!$A$5:$A$304,0)),"")))</f>
        <v/>
      </c>
      <c r="J1541" s="16">
        <f>IF(OR(D1541="",F1541=""),"",F1541*I1541-N(H1541))</f>
        <v/>
      </c>
      <c r="K1541" s="16">
        <f>IF(OR(D1541="",F1541=""),"",F1541*IFERROR(INDEX('Sản phẩm'!$D$5:$D$304,MATCH(D1541,'Sản phẩm'!$A$5:$A$304,0)),""))</f>
        <v/>
      </c>
      <c r="L1541" s="16">
        <f>IF(J1541="","",J1541-K1541)</f>
        <v/>
      </c>
      <c r="M1541" s="14">
        <f>IF(A1541="","",MONTH(A1541))</f>
        <v/>
      </c>
      <c r="N1541" s="14">
        <f>IF(A1541="","",YEAR(A1541))</f>
        <v/>
      </c>
    </row>
    <row r="1542">
      <c r="A1542" s="15" t="n"/>
      <c r="B1542" s="10" t="n"/>
      <c r="C1542" s="10" t="n"/>
      <c r="D1542" s="10" t="n"/>
      <c r="E1542" s="14">
        <f>IF(D1542="","",IFERROR(INDEX('Sản phẩm'!$B$5:$B$304,MATCH(D1542,'Sản phẩm'!$A$5:$A$304,0)),""))</f>
        <v/>
      </c>
      <c r="F1542" s="12" t="n"/>
      <c r="G1542" s="11" t="n"/>
      <c r="H1542" s="11" t="n"/>
      <c r="I1542" s="16">
        <f>IF(D1542="","",IF(G1542&lt;&gt;"",G1542,IFERROR(INDEX('Sản phẩm'!$E$5:$E$304,MATCH(D1542,'Sản phẩm'!$A$5:$A$304,0)),"")))</f>
        <v/>
      </c>
      <c r="J1542" s="16">
        <f>IF(OR(D1542="",F1542=""),"",F1542*I1542-N(H1542))</f>
        <v/>
      </c>
      <c r="K1542" s="16">
        <f>IF(OR(D1542="",F1542=""),"",F1542*IFERROR(INDEX('Sản phẩm'!$D$5:$D$304,MATCH(D1542,'Sản phẩm'!$A$5:$A$304,0)),""))</f>
        <v/>
      </c>
      <c r="L1542" s="16">
        <f>IF(J1542="","",J1542-K1542)</f>
        <v/>
      </c>
      <c r="M1542" s="14">
        <f>IF(A1542="","",MONTH(A1542))</f>
        <v/>
      </c>
      <c r="N1542" s="14">
        <f>IF(A1542="","",YEAR(A1542))</f>
        <v/>
      </c>
    </row>
    <row r="1543">
      <c r="A1543" s="15" t="n"/>
      <c r="B1543" s="10" t="n"/>
      <c r="C1543" s="10" t="n"/>
      <c r="D1543" s="10" t="n"/>
      <c r="E1543" s="14">
        <f>IF(D1543="","",IFERROR(INDEX('Sản phẩm'!$B$5:$B$304,MATCH(D1543,'Sản phẩm'!$A$5:$A$304,0)),""))</f>
        <v/>
      </c>
      <c r="F1543" s="12" t="n"/>
      <c r="G1543" s="11" t="n"/>
      <c r="H1543" s="11" t="n"/>
      <c r="I1543" s="16">
        <f>IF(D1543="","",IF(G1543&lt;&gt;"",G1543,IFERROR(INDEX('Sản phẩm'!$E$5:$E$304,MATCH(D1543,'Sản phẩm'!$A$5:$A$304,0)),"")))</f>
        <v/>
      </c>
      <c r="J1543" s="16">
        <f>IF(OR(D1543="",F1543=""),"",F1543*I1543-N(H1543))</f>
        <v/>
      </c>
      <c r="K1543" s="16">
        <f>IF(OR(D1543="",F1543=""),"",F1543*IFERROR(INDEX('Sản phẩm'!$D$5:$D$304,MATCH(D1543,'Sản phẩm'!$A$5:$A$304,0)),""))</f>
        <v/>
      </c>
      <c r="L1543" s="16">
        <f>IF(J1543="","",J1543-K1543)</f>
        <v/>
      </c>
      <c r="M1543" s="14">
        <f>IF(A1543="","",MONTH(A1543))</f>
        <v/>
      </c>
      <c r="N1543" s="14">
        <f>IF(A1543="","",YEAR(A1543))</f>
        <v/>
      </c>
    </row>
    <row r="1544">
      <c r="A1544" s="15" t="n"/>
      <c r="B1544" s="10" t="n"/>
      <c r="C1544" s="10" t="n"/>
      <c r="D1544" s="10" t="n"/>
      <c r="E1544" s="14">
        <f>IF(D1544="","",IFERROR(INDEX('Sản phẩm'!$B$5:$B$304,MATCH(D1544,'Sản phẩm'!$A$5:$A$304,0)),""))</f>
        <v/>
      </c>
      <c r="F1544" s="12" t="n"/>
      <c r="G1544" s="11" t="n"/>
      <c r="H1544" s="11" t="n"/>
      <c r="I1544" s="16">
        <f>IF(D1544="","",IF(G1544&lt;&gt;"",G1544,IFERROR(INDEX('Sản phẩm'!$E$5:$E$304,MATCH(D1544,'Sản phẩm'!$A$5:$A$304,0)),"")))</f>
        <v/>
      </c>
      <c r="J1544" s="16">
        <f>IF(OR(D1544="",F1544=""),"",F1544*I1544-N(H1544))</f>
        <v/>
      </c>
      <c r="K1544" s="16">
        <f>IF(OR(D1544="",F1544=""),"",F1544*IFERROR(INDEX('Sản phẩm'!$D$5:$D$304,MATCH(D1544,'Sản phẩm'!$A$5:$A$304,0)),""))</f>
        <v/>
      </c>
      <c r="L1544" s="16">
        <f>IF(J1544="","",J1544-K1544)</f>
        <v/>
      </c>
      <c r="M1544" s="14">
        <f>IF(A1544="","",MONTH(A1544))</f>
        <v/>
      </c>
      <c r="N1544" s="14">
        <f>IF(A1544="","",YEAR(A1544))</f>
        <v/>
      </c>
    </row>
    <row r="1545">
      <c r="A1545" s="15" t="n"/>
      <c r="B1545" s="10" t="n"/>
      <c r="C1545" s="10" t="n"/>
      <c r="D1545" s="10" t="n"/>
      <c r="E1545" s="14">
        <f>IF(D1545="","",IFERROR(INDEX('Sản phẩm'!$B$5:$B$304,MATCH(D1545,'Sản phẩm'!$A$5:$A$304,0)),""))</f>
        <v/>
      </c>
      <c r="F1545" s="12" t="n"/>
      <c r="G1545" s="11" t="n"/>
      <c r="H1545" s="11" t="n"/>
      <c r="I1545" s="16">
        <f>IF(D1545="","",IF(G1545&lt;&gt;"",G1545,IFERROR(INDEX('Sản phẩm'!$E$5:$E$304,MATCH(D1545,'Sản phẩm'!$A$5:$A$304,0)),"")))</f>
        <v/>
      </c>
      <c r="J1545" s="16">
        <f>IF(OR(D1545="",F1545=""),"",F1545*I1545-N(H1545))</f>
        <v/>
      </c>
      <c r="K1545" s="16">
        <f>IF(OR(D1545="",F1545=""),"",F1545*IFERROR(INDEX('Sản phẩm'!$D$5:$D$304,MATCH(D1545,'Sản phẩm'!$A$5:$A$304,0)),""))</f>
        <v/>
      </c>
      <c r="L1545" s="16">
        <f>IF(J1545="","",J1545-K1545)</f>
        <v/>
      </c>
      <c r="M1545" s="14">
        <f>IF(A1545="","",MONTH(A1545))</f>
        <v/>
      </c>
      <c r="N1545" s="14">
        <f>IF(A1545="","",YEAR(A1545))</f>
        <v/>
      </c>
    </row>
    <row r="1546">
      <c r="A1546" s="15" t="n"/>
      <c r="B1546" s="10" t="n"/>
      <c r="C1546" s="10" t="n"/>
      <c r="D1546" s="10" t="n"/>
      <c r="E1546" s="14">
        <f>IF(D1546="","",IFERROR(INDEX('Sản phẩm'!$B$5:$B$304,MATCH(D1546,'Sản phẩm'!$A$5:$A$304,0)),""))</f>
        <v/>
      </c>
      <c r="F1546" s="12" t="n"/>
      <c r="G1546" s="11" t="n"/>
      <c r="H1546" s="11" t="n"/>
      <c r="I1546" s="16">
        <f>IF(D1546="","",IF(G1546&lt;&gt;"",G1546,IFERROR(INDEX('Sản phẩm'!$E$5:$E$304,MATCH(D1546,'Sản phẩm'!$A$5:$A$304,0)),"")))</f>
        <v/>
      </c>
      <c r="J1546" s="16">
        <f>IF(OR(D1546="",F1546=""),"",F1546*I1546-N(H1546))</f>
        <v/>
      </c>
      <c r="K1546" s="16">
        <f>IF(OR(D1546="",F1546=""),"",F1546*IFERROR(INDEX('Sản phẩm'!$D$5:$D$304,MATCH(D1546,'Sản phẩm'!$A$5:$A$304,0)),""))</f>
        <v/>
      </c>
      <c r="L1546" s="16">
        <f>IF(J1546="","",J1546-K1546)</f>
        <v/>
      </c>
      <c r="M1546" s="14">
        <f>IF(A1546="","",MONTH(A1546))</f>
        <v/>
      </c>
      <c r="N1546" s="14">
        <f>IF(A1546="","",YEAR(A1546))</f>
        <v/>
      </c>
    </row>
    <row r="1547">
      <c r="A1547" s="15" t="n"/>
      <c r="B1547" s="10" t="n"/>
      <c r="C1547" s="10" t="n"/>
      <c r="D1547" s="10" t="n"/>
      <c r="E1547" s="14">
        <f>IF(D1547="","",IFERROR(INDEX('Sản phẩm'!$B$5:$B$304,MATCH(D1547,'Sản phẩm'!$A$5:$A$304,0)),""))</f>
        <v/>
      </c>
      <c r="F1547" s="12" t="n"/>
      <c r="G1547" s="11" t="n"/>
      <c r="H1547" s="11" t="n"/>
      <c r="I1547" s="16">
        <f>IF(D1547="","",IF(G1547&lt;&gt;"",G1547,IFERROR(INDEX('Sản phẩm'!$E$5:$E$304,MATCH(D1547,'Sản phẩm'!$A$5:$A$304,0)),"")))</f>
        <v/>
      </c>
      <c r="J1547" s="16">
        <f>IF(OR(D1547="",F1547=""),"",F1547*I1547-N(H1547))</f>
        <v/>
      </c>
      <c r="K1547" s="16">
        <f>IF(OR(D1547="",F1547=""),"",F1547*IFERROR(INDEX('Sản phẩm'!$D$5:$D$304,MATCH(D1547,'Sản phẩm'!$A$5:$A$304,0)),""))</f>
        <v/>
      </c>
      <c r="L1547" s="16">
        <f>IF(J1547="","",J1547-K1547)</f>
        <v/>
      </c>
      <c r="M1547" s="14">
        <f>IF(A1547="","",MONTH(A1547))</f>
        <v/>
      </c>
      <c r="N1547" s="14">
        <f>IF(A1547="","",YEAR(A1547))</f>
        <v/>
      </c>
    </row>
    <row r="1548">
      <c r="A1548" s="15" t="n"/>
      <c r="B1548" s="10" t="n"/>
      <c r="C1548" s="10" t="n"/>
      <c r="D1548" s="10" t="n"/>
      <c r="E1548" s="14">
        <f>IF(D1548="","",IFERROR(INDEX('Sản phẩm'!$B$5:$B$304,MATCH(D1548,'Sản phẩm'!$A$5:$A$304,0)),""))</f>
        <v/>
      </c>
      <c r="F1548" s="12" t="n"/>
      <c r="G1548" s="11" t="n"/>
      <c r="H1548" s="11" t="n"/>
      <c r="I1548" s="16">
        <f>IF(D1548="","",IF(G1548&lt;&gt;"",G1548,IFERROR(INDEX('Sản phẩm'!$E$5:$E$304,MATCH(D1548,'Sản phẩm'!$A$5:$A$304,0)),"")))</f>
        <v/>
      </c>
      <c r="J1548" s="16">
        <f>IF(OR(D1548="",F1548=""),"",F1548*I1548-N(H1548))</f>
        <v/>
      </c>
      <c r="K1548" s="16">
        <f>IF(OR(D1548="",F1548=""),"",F1548*IFERROR(INDEX('Sản phẩm'!$D$5:$D$304,MATCH(D1548,'Sản phẩm'!$A$5:$A$304,0)),""))</f>
        <v/>
      </c>
      <c r="L1548" s="16">
        <f>IF(J1548="","",J1548-K1548)</f>
        <v/>
      </c>
      <c r="M1548" s="14">
        <f>IF(A1548="","",MONTH(A1548))</f>
        <v/>
      </c>
      <c r="N1548" s="14">
        <f>IF(A1548="","",YEAR(A1548))</f>
        <v/>
      </c>
    </row>
    <row r="1549">
      <c r="A1549" s="15" t="n"/>
      <c r="B1549" s="10" t="n"/>
      <c r="C1549" s="10" t="n"/>
      <c r="D1549" s="10" t="n"/>
      <c r="E1549" s="14">
        <f>IF(D1549="","",IFERROR(INDEX('Sản phẩm'!$B$5:$B$304,MATCH(D1549,'Sản phẩm'!$A$5:$A$304,0)),""))</f>
        <v/>
      </c>
      <c r="F1549" s="12" t="n"/>
      <c r="G1549" s="11" t="n"/>
      <c r="H1549" s="11" t="n"/>
      <c r="I1549" s="16">
        <f>IF(D1549="","",IF(G1549&lt;&gt;"",G1549,IFERROR(INDEX('Sản phẩm'!$E$5:$E$304,MATCH(D1549,'Sản phẩm'!$A$5:$A$304,0)),"")))</f>
        <v/>
      </c>
      <c r="J1549" s="16">
        <f>IF(OR(D1549="",F1549=""),"",F1549*I1549-N(H1549))</f>
        <v/>
      </c>
      <c r="K1549" s="16">
        <f>IF(OR(D1549="",F1549=""),"",F1549*IFERROR(INDEX('Sản phẩm'!$D$5:$D$304,MATCH(D1549,'Sản phẩm'!$A$5:$A$304,0)),""))</f>
        <v/>
      </c>
      <c r="L1549" s="16">
        <f>IF(J1549="","",J1549-K1549)</f>
        <v/>
      </c>
      <c r="M1549" s="14">
        <f>IF(A1549="","",MONTH(A1549))</f>
        <v/>
      </c>
      <c r="N1549" s="14">
        <f>IF(A1549="","",YEAR(A1549))</f>
        <v/>
      </c>
    </row>
    <row r="1550">
      <c r="A1550" s="15" t="n"/>
      <c r="B1550" s="10" t="n"/>
      <c r="C1550" s="10" t="n"/>
      <c r="D1550" s="10" t="n"/>
      <c r="E1550" s="14">
        <f>IF(D1550="","",IFERROR(INDEX('Sản phẩm'!$B$5:$B$304,MATCH(D1550,'Sản phẩm'!$A$5:$A$304,0)),""))</f>
        <v/>
      </c>
      <c r="F1550" s="12" t="n"/>
      <c r="G1550" s="11" t="n"/>
      <c r="H1550" s="11" t="n"/>
      <c r="I1550" s="16">
        <f>IF(D1550="","",IF(G1550&lt;&gt;"",G1550,IFERROR(INDEX('Sản phẩm'!$E$5:$E$304,MATCH(D1550,'Sản phẩm'!$A$5:$A$304,0)),"")))</f>
        <v/>
      </c>
      <c r="J1550" s="16">
        <f>IF(OR(D1550="",F1550=""),"",F1550*I1550-N(H1550))</f>
        <v/>
      </c>
      <c r="K1550" s="16">
        <f>IF(OR(D1550="",F1550=""),"",F1550*IFERROR(INDEX('Sản phẩm'!$D$5:$D$304,MATCH(D1550,'Sản phẩm'!$A$5:$A$304,0)),""))</f>
        <v/>
      </c>
      <c r="L1550" s="16">
        <f>IF(J1550="","",J1550-K1550)</f>
        <v/>
      </c>
      <c r="M1550" s="14">
        <f>IF(A1550="","",MONTH(A1550))</f>
        <v/>
      </c>
      <c r="N1550" s="14">
        <f>IF(A1550="","",YEAR(A1550))</f>
        <v/>
      </c>
    </row>
    <row r="1551">
      <c r="A1551" s="15" t="n"/>
      <c r="B1551" s="10" t="n"/>
      <c r="C1551" s="10" t="n"/>
      <c r="D1551" s="10" t="n"/>
      <c r="E1551" s="14">
        <f>IF(D1551="","",IFERROR(INDEX('Sản phẩm'!$B$5:$B$304,MATCH(D1551,'Sản phẩm'!$A$5:$A$304,0)),""))</f>
        <v/>
      </c>
      <c r="F1551" s="12" t="n"/>
      <c r="G1551" s="11" t="n"/>
      <c r="H1551" s="11" t="n"/>
      <c r="I1551" s="16">
        <f>IF(D1551="","",IF(G1551&lt;&gt;"",G1551,IFERROR(INDEX('Sản phẩm'!$E$5:$E$304,MATCH(D1551,'Sản phẩm'!$A$5:$A$304,0)),"")))</f>
        <v/>
      </c>
      <c r="J1551" s="16">
        <f>IF(OR(D1551="",F1551=""),"",F1551*I1551-N(H1551))</f>
        <v/>
      </c>
      <c r="K1551" s="16">
        <f>IF(OR(D1551="",F1551=""),"",F1551*IFERROR(INDEX('Sản phẩm'!$D$5:$D$304,MATCH(D1551,'Sản phẩm'!$A$5:$A$304,0)),""))</f>
        <v/>
      </c>
      <c r="L1551" s="16">
        <f>IF(J1551="","",J1551-K1551)</f>
        <v/>
      </c>
      <c r="M1551" s="14">
        <f>IF(A1551="","",MONTH(A1551))</f>
        <v/>
      </c>
      <c r="N1551" s="14">
        <f>IF(A1551="","",YEAR(A1551))</f>
        <v/>
      </c>
    </row>
    <row r="1552">
      <c r="A1552" s="15" t="n"/>
      <c r="B1552" s="10" t="n"/>
      <c r="C1552" s="10" t="n"/>
      <c r="D1552" s="10" t="n"/>
      <c r="E1552" s="14">
        <f>IF(D1552="","",IFERROR(INDEX('Sản phẩm'!$B$5:$B$304,MATCH(D1552,'Sản phẩm'!$A$5:$A$304,0)),""))</f>
        <v/>
      </c>
      <c r="F1552" s="12" t="n"/>
      <c r="G1552" s="11" t="n"/>
      <c r="H1552" s="11" t="n"/>
      <c r="I1552" s="16">
        <f>IF(D1552="","",IF(G1552&lt;&gt;"",G1552,IFERROR(INDEX('Sản phẩm'!$E$5:$E$304,MATCH(D1552,'Sản phẩm'!$A$5:$A$304,0)),"")))</f>
        <v/>
      </c>
      <c r="J1552" s="16">
        <f>IF(OR(D1552="",F1552=""),"",F1552*I1552-N(H1552))</f>
        <v/>
      </c>
      <c r="K1552" s="16">
        <f>IF(OR(D1552="",F1552=""),"",F1552*IFERROR(INDEX('Sản phẩm'!$D$5:$D$304,MATCH(D1552,'Sản phẩm'!$A$5:$A$304,0)),""))</f>
        <v/>
      </c>
      <c r="L1552" s="16">
        <f>IF(J1552="","",J1552-K1552)</f>
        <v/>
      </c>
      <c r="M1552" s="14">
        <f>IF(A1552="","",MONTH(A1552))</f>
        <v/>
      </c>
      <c r="N1552" s="14">
        <f>IF(A1552="","",YEAR(A1552))</f>
        <v/>
      </c>
    </row>
    <row r="1553">
      <c r="A1553" s="15" t="n"/>
      <c r="B1553" s="10" t="n"/>
      <c r="C1553" s="10" t="n"/>
      <c r="D1553" s="10" t="n"/>
      <c r="E1553" s="14">
        <f>IF(D1553="","",IFERROR(INDEX('Sản phẩm'!$B$5:$B$304,MATCH(D1553,'Sản phẩm'!$A$5:$A$304,0)),""))</f>
        <v/>
      </c>
      <c r="F1553" s="12" t="n"/>
      <c r="G1553" s="11" t="n"/>
      <c r="H1553" s="11" t="n"/>
      <c r="I1553" s="16">
        <f>IF(D1553="","",IF(G1553&lt;&gt;"",G1553,IFERROR(INDEX('Sản phẩm'!$E$5:$E$304,MATCH(D1553,'Sản phẩm'!$A$5:$A$304,0)),"")))</f>
        <v/>
      </c>
      <c r="J1553" s="16">
        <f>IF(OR(D1553="",F1553=""),"",F1553*I1553-N(H1553))</f>
        <v/>
      </c>
      <c r="K1553" s="16">
        <f>IF(OR(D1553="",F1553=""),"",F1553*IFERROR(INDEX('Sản phẩm'!$D$5:$D$304,MATCH(D1553,'Sản phẩm'!$A$5:$A$304,0)),""))</f>
        <v/>
      </c>
      <c r="L1553" s="16">
        <f>IF(J1553="","",J1553-K1553)</f>
        <v/>
      </c>
      <c r="M1553" s="14">
        <f>IF(A1553="","",MONTH(A1553))</f>
        <v/>
      </c>
      <c r="N1553" s="14">
        <f>IF(A1553="","",YEAR(A1553))</f>
        <v/>
      </c>
    </row>
    <row r="1554">
      <c r="A1554" s="15" t="n"/>
      <c r="B1554" s="10" t="n"/>
      <c r="C1554" s="10" t="n"/>
      <c r="D1554" s="10" t="n"/>
      <c r="E1554" s="14">
        <f>IF(D1554="","",IFERROR(INDEX('Sản phẩm'!$B$5:$B$304,MATCH(D1554,'Sản phẩm'!$A$5:$A$304,0)),""))</f>
        <v/>
      </c>
      <c r="F1554" s="12" t="n"/>
      <c r="G1554" s="11" t="n"/>
      <c r="H1554" s="11" t="n"/>
      <c r="I1554" s="16">
        <f>IF(D1554="","",IF(G1554&lt;&gt;"",G1554,IFERROR(INDEX('Sản phẩm'!$E$5:$E$304,MATCH(D1554,'Sản phẩm'!$A$5:$A$304,0)),"")))</f>
        <v/>
      </c>
      <c r="J1554" s="16">
        <f>IF(OR(D1554="",F1554=""),"",F1554*I1554-N(H1554))</f>
        <v/>
      </c>
      <c r="K1554" s="16">
        <f>IF(OR(D1554="",F1554=""),"",F1554*IFERROR(INDEX('Sản phẩm'!$D$5:$D$304,MATCH(D1554,'Sản phẩm'!$A$5:$A$304,0)),""))</f>
        <v/>
      </c>
      <c r="L1554" s="16">
        <f>IF(J1554="","",J1554-K1554)</f>
        <v/>
      </c>
      <c r="M1554" s="14">
        <f>IF(A1554="","",MONTH(A1554))</f>
        <v/>
      </c>
      <c r="N1554" s="14">
        <f>IF(A1554="","",YEAR(A1554))</f>
        <v/>
      </c>
    </row>
    <row r="1555">
      <c r="A1555" s="15" t="n"/>
      <c r="B1555" s="10" t="n"/>
      <c r="C1555" s="10" t="n"/>
      <c r="D1555" s="10" t="n"/>
      <c r="E1555" s="14">
        <f>IF(D1555="","",IFERROR(INDEX('Sản phẩm'!$B$5:$B$304,MATCH(D1555,'Sản phẩm'!$A$5:$A$304,0)),""))</f>
        <v/>
      </c>
      <c r="F1555" s="12" t="n"/>
      <c r="G1555" s="11" t="n"/>
      <c r="H1555" s="11" t="n"/>
      <c r="I1555" s="16">
        <f>IF(D1555="","",IF(G1555&lt;&gt;"",G1555,IFERROR(INDEX('Sản phẩm'!$E$5:$E$304,MATCH(D1555,'Sản phẩm'!$A$5:$A$304,0)),"")))</f>
        <v/>
      </c>
      <c r="J1555" s="16">
        <f>IF(OR(D1555="",F1555=""),"",F1555*I1555-N(H1555))</f>
        <v/>
      </c>
      <c r="K1555" s="16">
        <f>IF(OR(D1555="",F1555=""),"",F1555*IFERROR(INDEX('Sản phẩm'!$D$5:$D$304,MATCH(D1555,'Sản phẩm'!$A$5:$A$304,0)),""))</f>
        <v/>
      </c>
      <c r="L1555" s="16">
        <f>IF(J1555="","",J1555-K1555)</f>
        <v/>
      </c>
      <c r="M1555" s="14">
        <f>IF(A1555="","",MONTH(A1555))</f>
        <v/>
      </c>
      <c r="N1555" s="14">
        <f>IF(A1555="","",YEAR(A1555))</f>
        <v/>
      </c>
    </row>
    <row r="1556">
      <c r="A1556" s="15" t="n"/>
      <c r="B1556" s="10" t="n"/>
      <c r="C1556" s="10" t="n"/>
      <c r="D1556" s="10" t="n"/>
      <c r="E1556" s="14">
        <f>IF(D1556="","",IFERROR(INDEX('Sản phẩm'!$B$5:$B$304,MATCH(D1556,'Sản phẩm'!$A$5:$A$304,0)),""))</f>
        <v/>
      </c>
      <c r="F1556" s="12" t="n"/>
      <c r="G1556" s="11" t="n"/>
      <c r="H1556" s="11" t="n"/>
      <c r="I1556" s="16">
        <f>IF(D1556="","",IF(G1556&lt;&gt;"",G1556,IFERROR(INDEX('Sản phẩm'!$E$5:$E$304,MATCH(D1556,'Sản phẩm'!$A$5:$A$304,0)),"")))</f>
        <v/>
      </c>
      <c r="J1556" s="16">
        <f>IF(OR(D1556="",F1556=""),"",F1556*I1556-N(H1556))</f>
        <v/>
      </c>
      <c r="K1556" s="16">
        <f>IF(OR(D1556="",F1556=""),"",F1556*IFERROR(INDEX('Sản phẩm'!$D$5:$D$304,MATCH(D1556,'Sản phẩm'!$A$5:$A$304,0)),""))</f>
        <v/>
      </c>
      <c r="L1556" s="16">
        <f>IF(J1556="","",J1556-K1556)</f>
        <v/>
      </c>
      <c r="M1556" s="14">
        <f>IF(A1556="","",MONTH(A1556))</f>
        <v/>
      </c>
      <c r="N1556" s="14">
        <f>IF(A1556="","",YEAR(A1556))</f>
        <v/>
      </c>
    </row>
    <row r="1557">
      <c r="A1557" s="15" t="n"/>
      <c r="B1557" s="10" t="n"/>
      <c r="C1557" s="10" t="n"/>
      <c r="D1557" s="10" t="n"/>
      <c r="E1557" s="14">
        <f>IF(D1557="","",IFERROR(INDEX('Sản phẩm'!$B$5:$B$304,MATCH(D1557,'Sản phẩm'!$A$5:$A$304,0)),""))</f>
        <v/>
      </c>
      <c r="F1557" s="12" t="n"/>
      <c r="G1557" s="11" t="n"/>
      <c r="H1557" s="11" t="n"/>
      <c r="I1557" s="16">
        <f>IF(D1557="","",IF(G1557&lt;&gt;"",G1557,IFERROR(INDEX('Sản phẩm'!$E$5:$E$304,MATCH(D1557,'Sản phẩm'!$A$5:$A$304,0)),"")))</f>
        <v/>
      </c>
      <c r="J1557" s="16">
        <f>IF(OR(D1557="",F1557=""),"",F1557*I1557-N(H1557))</f>
        <v/>
      </c>
      <c r="K1557" s="16">
        <f>IF(OR(D1557="",F1557=""),"",F1557*IFERROR(INDEX('Sản phẩm'!$D$5:$D$304,MATCH(D1557,'Sản phẩm'!$A$5:$A$304,0)),""))</f>
        <v/>
      </c>
      <c r="L1557" s="16">
        <f>IF(J1557="","",J1557-K1557)</f>
        <v/>
      </c>
      <c r="M1557" s="14">
        <f>IF(A1557="","",MONTH(A1557))</f>
        <v/>
      </c>
      <c r="N1557" s="14">
        <f>IF(A1557="","",YEAR(A1557))</f>
        <v/>
      </c>
    </row>
    <row r="1558">
      <c r="A1558" s="15" t="n"/>
      <c r="B1558" s="10" t="n"/>
      <c r="C1558" s="10" t="n"/>
      <c r="D1558" s="10" t="n"/>
      <c r="E1558" s="14">
        <f>IF(D1558="","",IFERROR(INDEX('Sản phẩm'!$B$5:$B$304,MATCH(D1558,'Sản phẩm'!$A$5:$A$304,0)),""))</f>
        <v/>
      </c>
      <c r="F1558" s="12" t="n"/>
      <c r="G1558" s="11" t="n"/>
      <c r="H1558" s="11" t="n"/>
      <c r="I1558" s="16">
        <f>IF(D1558="","",IF(G1558&lt;&gt;"",G1558,IFERROR(INDEX('Sản phẩm'!$E$5:$E$304,MATCH(D1558,'Sản phẩm'!$A$5:$A$304,0)),"")))</f>
        <v/>
      </c>
      <c r="J1558" s="16">
        <f>IF(OR(D1558="",F1558=""),"",F1558*I1558-N(H1558))</f>
        <v/>
      </c>
      <c r="K1558" s="16">
        <f>IF(OR(D1558="",F1558=""),"",F1558*IFERROR(INDEX('Sản phẩm'!$D$5:$D$304,MATCH(D1558,'Sản phẩm'!$A$5:$A$304,0)),""))</f>
        <v/>
      </c>
      <c r="L1558" s="16">
        <f>IF(J1558="","",J1558-K1558)</f>
        <v/>
      </c>
      <c r="M1558" s="14">
        <f>IF(A1558="","",MONTH(A1558))</f>
        <v/>
      </c>
      <c r="N1558" s="14">
        <f>IF(A1558="","",YEAR(A1558))</f>
        <v/>
      </c>
    </row>
    <row r="1559">
      <c r="A1559" s="15" t="n"/>
      <c r="B1559" s="10" t="n"/>
      <c r="C1559" s="10" t="n"/>
      <c r="D1559" s="10" t="n"/>
      <c r="E1559" s="14">
        <f>IF(D1559="","",IFERROR(INDEX('Sản phẩm'!$B$5:$B$304,MATCH(D1559,'Sản phẩm'!$A$5:$A$304,0)),""))</f>
        <v/>
      </c>
      <c r="F1559" s="12" t="n"/>
      <c r="G1559" s="11" t="n"/>
      <c r="H1559" s="11" t="n"/>
      <c r="I1559" s="16">
        <f>IF(D1559="","",IF(G1559&lt;&gt;"",G1559,IFERROR(INDEX('Sản phẩm'!$E$5:$E$304,MATCH(D1559,'Sản phẩm'!$A$5:$A$304,0)),"")))</f>
        <v/>
      </c>
      <c r="J1559" s="16">
        <f>IF(OR(D1559="",F1559=""),"",F1559*I1559-N(H1559))</f>
        <v/>
      </c>
      <c r="K1559" s="16">
        <f>IF(OR(D1559="",F1559=""),"",F1559*IFERROR(INDEX('Sản phẩm'!$D$5:$D$304,MATCH(D1559,'Sản phẩm'!$A$5:$A$304,0)),""))</f>
        <v/>
      </c>
      <c r="L1559" s="16">
        <f>IF(J1559="","",J1559-K1559)</f>
        <v/>
      </c>
      <c r="M1559" s="14">
        <f>IF(A1559="","",MONTH(A1559))</f>
        <v/>
      </c>
      <c r="N1559" s="14">
        <f>IF(A1559="","",YEAR(A1559))</f>
        <v/>
      </c>
    </row>
    <row r="1560">
      <c r="A1560" s="15" t="n"/>
      <c r="B1560" s="10" t="n"/>
      <c r="C1560" s="10" t="n"/>
      <c r="D1560" s="10" t="n"/>
      <c r="E1560" s="14">
        <f>IF(D1560="","",IFERROR(INDEX('Sản phẩm'!$B$5:$B$304,MATCH(D1560,'Sản phẩm'!$A$5:$A$304,0)),""))</f>
        <v/>
      </c>
      <c r="F1560" s="12" t="n"/>
      <c r="G1560" s="11" t="n"/>
      <c r="H1560" s="11" t="n"/>
      <c r="I1560" s="16">
        <f>IF(D1560="","",IF(G1560&lt;&gt;"",G1560,IFERROR(INDEX('Sản phẩm'!$E$5:$E$304,MATCH(D1560,'Sản phẩm'!$A$5:$A$304,0)),"")))</f>
        <v/>
      </c>
      <c r="J1560" s="16">
        <f>IF(OR(D1560="",F1560=""),"",F1560*I1560-N(H1560))</f>
        <v/>
      </c>
      <c r="K1560" s="16">
        <f>IF(OR(D1560="",F1560=""),"",F1560*IFERROR(INDEX('Sản phẩm'!$D$5:$D$304,MATCH(D1560,'Sản phẩm'!$A$5:$A$304,0)),""))</f>
        <v/>
      </c>
      <c r="L1560" s="16">
        <f>IF(J1560="","",J1560-K1560)</f>
        <v/>
      </c>
      <c r="M1560" s="14">
        <f>IF(A1560="","",MONTH(A1560))</f>
        <v/>
      </c>
      <c r="N1560" s="14">
        <f>IF(A1560="","",YEAR(A1560))</f>
        <v/>
      </c>
    </row>
    <row r="1561">
      <c r="A1561" s="15" t="n"/>
      <c r="B1561" s="10" t="n"/>
      <c r="C1561" s="10" t="n"/>
      <c r="D1561" s="10" t="n"/>
      <c r="E1561" s="14">
        <f>IF(D1561="","",IFERROR(INDEX('Sản phẩm'!$B$5:$B$304,MATCH(D1561,'Sản phẩm'!$A$5:$A$304,0)),""))</f>
        <v/>
      </c>
      <c r="F1561" s="12" t="n"/>
      <c r="G1561" s="11" t="n"/>
      <c r="H1561" s="11" t="n"/>
      <c r="I1561" s="16">
        <f>IF(D1561="","",IF(G1561&lt;&gt;"",G1561,IFERROR(INDEX('Sản phẩm'!$E$5:$E$304,MATCH(D1561,'Sản phẩm'!$A$5:$A$304,0)),"")))</f>
        <v/>
      </c>
      <c r="J1561" s="16">
        <f>IF(OR(D1561="",F1561=""),"",F1561*I1561-N(H1561))</f>
        <v/>
      </c>
      <c r="K1561" s="16">
        <f>IF(OR(D1561="",F1561=""),"",F1561*IFERROR(INDEX('Sản phẩm'!$D$5:$D$304,MATCH(D1561,'Sản phẩm'!$A$5:$A$304,0)),""))</f>
        <v/>
      </c>
      <c r="L1561" s="16">
        <f>IF(J1561="","",J1561-K1561)</f>
        <v/>
      </c>
      <c r="M1561" s="14">
        <f>IF(A1561="","",MONTH(A1561))</f>
        <v/>
      </c>
      <c r="N1561" s="14">
        <f>IF(A1561="","",YEAR(A1561))</f>
        <v/>
      </c>
    </row>
    <row r="1562">
      <c r="A1562" s="15" t="n"/>
      <c r="B1562" s="10" t="n"/>
      <c r="C1562" s="10" t="n"/>
      <c r="D1562" s="10" t="n"/>
      <c r="E1562" s="14">
        <f>IF(D1562="","",IFERROR(INDEX('Sản phẩm'!$B$5:$B$304,MATCH(D1562,'Sản phẩm'!$A$5:$A$304,0)),""))</f>
        <v/>
      </c>
      <c r="F1562" s="12" t="n"/>
      <c r="G1562" s="11" t="n"/>
      <c r="H1562" s="11" t="n"/>
      <c r="I1562" s="16">
        <f>IF(D1562="","",IF(G1562&lt;&gt;"",G1562,IFERROR(INDEX('Sản phẩm'!$E$5:$E$304,MATCH(D1562,'Sản phẩm'!$A$5:$A$304,0)),"")))</f>
        <v/>
      </c>
      <c r="J1562" s="16">
        <f>IF(OR(D1562="",F1562=""),"",F1562*I1562-N(H1562))</f>
        <v/>
      </c>
      <c r="K1562" s="16">
        <f>IF(OR(D1562="",F1562=""),"",F1562*IFERROR(INDEX('Sản phẩm'!$D$5:$D$304,MATCH(D1562,'Sản phẩm'!$A$5:$A$304,0)),""))</f>
        <v/>
      </c>
      <c r="L1562" s="16">
        <f>IF(J1562="","",J1562-K1562)</f>
        <v/>
      </c>
      <c r="M1562" s="14">
        <f>IF(A1562="","",MONTH(A1562))</f>
        <v/>
      </c>
      <c r="N1562" s="14">
        <f>IF(A1562="","",YEAR(A1562))</f>
        <v/>
      </c>
    </row>
    <row r="1563">
      <c r="A1563" s="15" t="n"/>
      <c r="B1563" s="10" t="n"/>
      <c r="C1563" s="10" t="n"/>
      <c r="D1563" s="10" t="n"/>
      <c r="E1563" s="14">
        <f>IF(D1563="","",IFERROR(INDEX('Sản phẩm'!$B$5:$B$304,MATCH(D1563,'Sản phẩm'!$A$5:$A$304,0)),""))</f>
        <v/>
      </c>
      <c r="F1563" s="12" t="n"/>
      <c r="G1563" s="11" t="n"/>
      <c r="H1563" s="11" t="n"/>
      <c r="I1563" s="16">
        <f>IF(D1563="","",IF(G1563&lt;&gt;"",G1563,IFERROR(INDEX('Sản phẩm'!$E$5:$E$304,MATCH(D1563,'Sản phẩm'!$A$5:$A$304,0)),"")))</f>
        <v/>
      </c>
      <c r="J1563" s="16">
        <f>IF(OR(D1563="",F1563=""),"",F1563*I1563-N(H1563))</f>
        <v/>
      </c>
      <c r="K1563" s="16">
        <f>IF(OR(D1563="",F1563=""),"",F1563*IFERROR(INDEX('Sản phẩm'!$D$5:$D$304,MATCH(D1563,'Sản phẩm'!$A$5:$A$304,0)),""))</f>
        <v/>
      </c>
      <c r="L1563" s="16">
        <f>IF(J1563="","",J1563-K1563)</f>
        <v/>
      </c>
      <c r="M1563" s="14">
        <f>IF(A1563="","",MONTH(A1563))</f>
        <v/>
      </c>
      <c r="N1563" s="14">
        <f>IF(A1563="","",YEAR(A1563))</f>
        <v/>
      </c>
    </row>
    <row r="1564">
      <c r="A1564" s="15" t="n"/>
      <c r="B1564" s="10" t="n"/>
      <c r="C1564" s="10" t="n"/>
      <c r="D1564" s="10" t="n"/>
      <c r="E1564" s="14">
        <f>IF(D1564="","",IFERROR(INDEX('Sản phẩm'!$B$5:$B$304,MATCH(D1564,'Sản phẩm'!$A$5:$A$304,0)),""))</f>
        <v/>
      </c>
      <c r="F1564" s="12" t="n"/>
      <c r="G1564" s="11" t="n"/>
      <c r="H1564" s="11" t="n"/>
      <c r="I1564" s="16">
        <f>IF(D1564="","",IF(G1564&lt;&gt;"",G1564,IFERROR(INDEX('Sản phẩm'!$E$5:$E$304,MATCH(D1564,'Sản phẩm'!$A$5:$A$304,0)),"")))</f>
        <v/>
      </c>
      <c r="J1564" s="16">
        <f>IF(OR(D1564="",F1564=""),"",F1564*I1564-N(H1564))</f>
        <v/>
      </c>
      <c r="K1564" s="16">
        <f>IF(OR(D1564="",F1564=""),"",F1564*IFERROR(INDEX('Sản phẩm'!$D$5:$D$304,MATCH(D1564,'Sản phẩm'!$A$5:$A$304,0)),""))</f>
        <v/>
      </c>
      <c r="L1564" s="16">
        <f>IF(J1564="","",J1564-K1564)</f>
        <v/>
      </c>
      <c r="M1564" s="14">
        <f>IF(A1564="","",MONTH(A1564))</f>
        <v/>
      </c>
      <c r="N1564" s="14">
        <f>IF(A1564="","",YEAR(A1564))</f>
        <v/>
      </c>
    </row>
    <row r="1565">
      <c r="A1565" s="15" t="n"/>
      <c r="B1565" s="10" t="n"/>
      <c r="C1565" s="10" t="n"/>
      <c r="D1565" s="10" t="n"/>
      <c r="E1565" s="14">
        <f>IF(D1565="","",IFERROR(INDEX('Sản phẩm'!$B$5:$B$304,MATCH(D1565,'Sản phẩm'!$A$5:$A$304,0)),""))</f>
        <v/>
      </c>
      <c r="F1565" s="12" t="n"/>
      <c r="G1565" s="11" t="n"/>
      <c r="H1565" s="11" t="n"/>
      <c r="I1565" s="16">
        <f>IF(D1565="","",IF(G1565&lt;&gt;"",G1565,IFERROR(INDEX('Sản phẩm'!$E$5:$E$304,MATCH(D1565,'Sản phẩm'!$A$5:$A$304,0)),"")))</f>
        <v/>
      </c>
      <c r="J1565" s="16">
        <f>IF(OR(D1565="",F1565=""),"",F1565*I1565-N(H1565))</f>
        <v/>
      </c>
      <c r="K1565" s="16">
        <f>IF(OR(D1565="",F1565=""),"",F1565*IFERROR(INDEX('Sản phẩm'!$D$5:$D$304,MATCH(D1565,'Sản phẩm'!$A$5:$A$304,0)),""))</f>
        <v/>
      </c>
      <c r="L1565" s="16">
        <f>IF(J1565="","",J1565-K1565)</f>
        <v/>
      </c>
      <c r="M1565" s="14">
        <f>IF(A1565="","",MONTH(A1565))</f>
        <v/>
      </c>
      <c r="N1565" s="14">
        <f>IF(A1565="","",YEAR(A1565))</f>
        <v/>
      </c>
    </row>
    <row r="1566">
      <c r="A1566" s="15" t="n"/>
      <c r="B1566" s="10" t="n"/>
      <c r="C1566" s="10" t="n"/>
      <c r="D1566" s="10" t="n"/>
      <c r="E1566" s="14">
        <f>IF(D1566="","",IFERROR(INDEX('Sản phẩm'!$B$5:$B$304,MATCH(D1566,'Sản phẩm'!$A$5:$A$304,0)),""))</f>
        <v/>
      </c>
      <c r="F1566" s="12" t="n"/>
      <c r="G1566" s="11" t="n"/>
      <c r="H1566" s="11" t="n"/>
      <c r="I1566" s="16">
        <f>IF(D1566="","",IF(G1566&lt;&gt;"",G1566,IFERROR(INDEX('Sản phẩm'!$E$5:$E$304,MATCH(D1566,'Sản phẩm'!$A$5:$A$304,0)),"")))</f>
        <v/>
      </c>
      <c r="J1566" s="16">
        <f>IF(OR(D1566="",F1566=""),"",F1566*I1566-N(H1566))</f>
        <v/>
      </c>
      <c r="K1566" s="16">
        <f>IF(OR(D1566="",F1566=""),"",F1566*IFERROR(INDEX('Sản phẩm'!$D$5:$D$304,MATCH(D1566,'Sản phẩm'!$A$5:$A$304,0)),""))</f>
        <v/>
      </c>
      <c r="L1566" s="16">
        <f>IF(J1566="","",J1566-K1566)</f>
        <v/>
      </c>
      <c r="M1566" s="14">
        <f>IF(A1566="","",MONTH(A1566))</f>
        <v/>
      </c>
      <c r="N1566" s="14">
        <f>IF(A1566="","",YEAR(A1566))</f>
        <v/>
      </c>
    </row>
    <row r="1567">
      <c r="A1567" s="15" t="n"/>
      <c r="B1567" s="10" t="n"/>
      <c r="C1567" s="10" t="n"/>
      <c r="D1567" s="10" t="n"/>
      <c r="E1567" s="14">
        <f>IF(D1567="","",IFERROR(INDEX('Sản phẩm'!$B$5:$B$304,MATCH(D1567,'Sản phẩm'!$A$5:$A$304,0)),""))</f>
        <v/>
      </c>
      <c r="F1567" s="12" t="n"/>
      <c r="G1567" s="11" t="n"/>
      <c r="H1567" s="11" t="n"/>
      <c r="I1567" s="16">
        <f>IF(D1567="","",IF(G1567&lt;&gt;"",G1567,IFERROR(INDEX('Sản phẩm'!$E$5:$E$304,MATCH(D1567,'Sản phẩm'!$A$5:$A$304,0)),"")))</f>
        <v/>
      </c>
      <c r="J1567" s="16">
        <f>IF(OR(D1567="",F1567=""),"",F1567*I1567-N(H1567))</f>
        <v/>
      </c>
      <c r="K1567" s="16">
        <f>IF(OR(D1567="",F1567=""),"",F1567*IFERROR(INDEX('Sản phẩm'!$D$5:$D$304,MATCH(D1567,'Sản phẩm'!$A$5:$A$304,0)),""))</f>
        <v/>
      </c>
      <c r="L1567" s="16">
        <f>IF(J1567="","",J1567-K1567)</f>
        <v/>
      </c>
      <c r="M1567" s="14">
        <f>IF(A1567="","",MONTH(A1567))</f>
        <v/>
      </c>
      <c r="N1567" s="14">
        <f>IF(A1567="","",YEAR(A1567))</f>
        <v/>
      </c>
    </row>
    <row r="1568">
      <c r="A1568" s="15" t="n"/>
      <c r="B1568" s="10" t="n"/>
      <c r="C1568" s="10" t="n"/>
      <c r="D1568" s="10" t="n"/>
      <c r="E1568" s="14">
        <f>IF(D1568="","",IFERROR(INDEX('Sản phẩm'!$B$5:$B$304,MATCH(D1568,'Sản phẩm'!$A$5:$A$304,0)),""))</f>
        <v/>
      </c>
      <c r="F1568" s="12" t="n"/>
      <c r="G1568" s="11" t="n"/>
      <c r="H1568" s="11" t="n"/>
      <c r="I1568" s="16">
        <f>IF(D1568="","",IF(G1568&lt;&gt;"",G1568,IFERROR(INDEX('Sản phẩm'!$E$5:$E$304,MATCH(D1568,'Sản phẩm'!$A$5:$A$304,0)),"")))</f>
        <v/>
      </c>
      <c r="J1568" s="16">
        <f>IF(OR(D1568="",F1568=""),"",F1568*I1568-N(H1568))</f>
        <v/>
      </c>
      <c r="K1568" s="16">
        <f>IF(OR(D1568="",F1568=""),"",F1568*IFERROR(INDEX('Sản phẩm'!$D$5:$D$304,MATCH(D1568,'Sản phẩm'!$A$5:$A$304,0)),""))</f>
        <v/>
      </c>
      <c r="L1568" s="16">
        <f>IF(J1568="","",J1568-K1568)</f>
        <v/>
      </c>
      <c r="M1568" s="14">
        <f>IF(A1568="","",MONTH(A1568))</f>
        <v/>
      </c>
      <c r="N1568" s="14">
        <f>IF(A1568="","",YEAR(A1568))</f>
        <v/>
      </c>
    </row>
    <row r="1569">
      <c r="A1569" s="15" t="n"/>
      <c r="B1569" s="10" t="n"/>
      <c r="C1569" s="10" t="n"/>
      <c r="D1569" s="10" t="n"/>
      <c r="E1569" s="14">
        <f>IF(D1569="","",IFERROR(INDEX('Sản phẩm'!$B$5:$B$304,MATCH(D1569,'Sản phẩm'!$A$5:$A$304,0)),""))</f>
        <v/>
      </c>
      <c r="F1569" s="12" t="n"/>
      <c r="G1569" s="11" t="n"/>
      <c r="H1569" s="11" t="n"/>
      <c r="I1569" s="16">
        <f>IF(D1569="","",IF(G1569&lt;&gt;"",G1569,IFERROR(INDEX('Sản phẩm'!$E$5:$E$304,MATCH(D1569,'Sản phẩm'!$A$5:$A$304,0)),"")))</f>
        <v/>
      </c>
      <c r="J1569" s="16">
        <f>IF(OR(D1569="",F1569=""),"",F1569*I1569-N(H1569))</f>
        <v/>
      </c>
      <c r="K1569" s="16">
        <f>IF(OR(D1569="",F1569=""),"",F1569*IFERROR(INDEX('Sản phẩm'!$D$5:$D$304,MATCH(D1569,'Sản phẩm'!$A$5:$A$304,0)),""))</f>
        <v/>
      </c>
      <c r="L1569" s="16">
        <f>IF(J1569="","",J1569-K1569)</f>
        <v/>
      </c>
      <c r="M1569" s="14">
        <f>IF(A1569="","",MONTH(A1569))</f>
        <v/>
      </c>
      <c r="N1569" s="14">
        <f>IF(A1569="","",YEAR(A1569))</f>
        <v/>
      </c>
    </row>
    <row r="1570">
      <c r="A1570" s="15" t="n"/>
      <c r="B1570" s="10" t="n"/>
      <c r="C1570" s="10" t="n"/>
      <c r="D1570" s="10" t="n"/>
      <c r="E1570" s="14">
        <f>IF(D1570="","",IFERROR(INDEX('Sản phẩm'!$B$5:$B$304,MATCH(D1570,'Sản phẩm'!$A$5:$A$304,0)),""))</f>
        <v/>
      </c>
      <c r="F1570" s="12" t="n"/>
      <c r="G1570" s="11" t="n"/>
      <c r="H1570" s="11" t="n"/>
      <c r="I1570" s="16">
        <f>IF(D1570="","",IF(G1570&lt;&gt;"",G1570,IFERROR(INDEX('Sản phẩm'!$E$5:$E$304,MATCH(D1570,'Sản phẩm'!$A$5:$A$304,0)),"")))</f>
        <v/>
      </c>
      <c r="J1570" s="16">
        <f>IF(OR(D1570="",F1570=""),"",F1570*I1570-N(H1570))</f>
        <v/>
      </c>
      <c r="K1570" s="16">
        <f>IF(OR(D1570="",F1570=""),"",F1570*IFERROR(INDEX('Sản phẩm'!$D$5:$D$304,MATCH(D1570,'Sản phẩm'!$A$5:$A$304,0)),""))</f>
        <v/>
      </c>
      <c r="L1570" s="16">
        <f>IF(J1570="","",J1570-K1570)</f>
        <v/>
      </c>
      <c r="M1570" s="14">
        <f>IF(A1570="","",MONTH(A1570))</f>
        <v/>
      </c>
      <c r="N1570" s="14">
        <f>IF(A1570="","",YEAR(A1570))</f>
        <v/>
      </c>
    </row>
    <row r="1571">
      <c r="A1571" s="15" t="n"/>
      <c r="B1571" s="10" t="n"/>
      <c r="C1571" s="10" t="n"/>
      <c r="D1571" s="10" t="n"/>
      <c r="E1571" s="14">
        <f>IF(D1571="","",IFERROR(INDEX('Sản phẩm'!$B$5:$B$304,MATCH(D1571,'Sản phẩm'!$A$5:$A$304,0)),""))</f>
        <v/>
      </c>
      <c r="F1571" s="12" t="n"/>
      <c r="G1571" s="11" t="n"/>
      <c r="H1571" s="11" t="n"/>
      <c r="I1571" s="16">
        <f>IF(D1571="","",IF(G1571&lt;&gt;"",G1571,IFERROR(INDEX('Sản phẩm'!$E$5:$E$304,MATCH(D1571,'Sản phẩm'!$A$5:$A$304,0)),"")))</f>
        <v/>
      </c>
      <c r="J1571" s="16">
        <f>IF(OR(D1571="",F1571=""),"",F1571*I1571-N(H1571))</f>
        <v/>
      </c>
      <c r="K1571" s="16">
        <f>IF(OR(D1571="",F1571=""),"",F1571*IFERROR(INDEX('Sản phẩm'!$D$5:$D$304,MATCH(D1571,'Sản phẩm'!$A$5:$A$304,0)),""))</f>
        <v/>
      </c>
      <c r="L1571" s="16">
        <f>IF(J1571="","",J1571-K1571)</f>
        <v/>
      </c>
      <c r="M1571" s="14">
        <f>IF(A1571="","",MONTH(A1571))</f>
        <v/>
      </c>
      <c r="N1571" s="14">
        <f>IF(A1571="","",YEAR(A1571))</f>
        <v/>
      </c>
    </row>
    <row r="1572">
      <c r="A1572" s="15" t="n"/>
      <c r="B1572" s="10" t="n"/>
      <c r="C1572" s="10" t="n"/>
      <c r="D1572" s="10" t="n"/>
      <c r="E1572" s="14">
        <f>IF(D1572="","",IFERROR(INDEX('Sản phẩm'!$B$5:$B$304,MATCH(D1572,'Sản phẩm'!$A$5:$A$304,0)),""))</f>
        <v/>
      </c>
      <c r="F1572" s="12" t="n"/>
      <c r="G1572" s="11" t="n"/>
      <c r="H1572" s="11" t="n"/>
      <c r="I1572" s="16">
        <f>IF(D1572="","",IF(G1572&lt;&gt;"",G1572,IFERROR(INDEX('Sản phẩm'!$E$5:$E$304,MATCH(D1572,'Sản phẩm'!$A$5:$A$304,0)),"")))</f>
        <v/>
      </c>
      <c r="J1572" s="16">
        <f>IF(OR(D1572="",F1572=""),"",F1572*I1572-N(H1572))</f>
        <v/>
      </c>
      <c r="K1572" s="16">
        <f>IF(OR(D1572="",F1572=""),"",F1572*IFERROR(INDEX('Sản phẩm'!$D$5:$D$304,MATCH(D1572,'Sản phẩm'!$A$5:$A$304,0)),""))</f>
        <v/>
      </c>
      <c r="L1572" s="16">
        <f>IF(J1572="","",J1572-K1572)</f>
        <v/>
      </c>
      <c r="M1572" s="14">
        <f>IF(A1572="","",MONTH(A1572))</f>
        <v/>
      </c>
      <c r="N1572" s="14">
        <f>IF(A1572="","",YEAR(A1572))</f>
        <v/>
      </c>
    </row>
    <row r="1573">
      <c r="A1573" s="15" t="n"/>
      <c r="B1573" s="10" t="n"/>
      <c r="C1573" s="10" t="n"/>
      <c r="D1573" s="10" t="n"/>
      <c r="E1573" s="14">
        <f>IF(D1573="","",IFERROR(INDEX('Sản phẩm'!$B$5:$B$304,MATCH(D1573,'Sản phẩm'!$A$5:$A$304,0)),""))</f>
        <v/>
      </c>
      <c r="F1573" s="12" t="n"/>
      <c r="G1573" s="11" t="n"/>
      <c r="H1573" s="11" t="n"/>
      <c r="I1573" s="16">
        <f>IF(D1573="","",IF(G1573&lt;&gt;"",G1573,IFERROR(INDEX('Sản phẩm'!$E$5:$E$304,MATCH(D1573,'Sản phẩm'!$A$5:$A$304,0)),"")))</f>
        <v/>
      </c>
      <c r="J1573" s="16">
        <f>IF(OR(D1573="",F1573=""),"",F1573*I1573-N(H1573))</f>
        <v/>
      </c>
      <c r="K1573" s="16">
        <f>IF(OR(D1573="",F1573=""),"",F1573*IFERROR(INDEX('Sản phẩm'!$D$5:$D$304,MATCH(D1573,'Sản phẩm'!$A$5:$A$304,0)),""))</f>
        <v/>
      </c>
      <c r="L1573" s="16">
        <f>IF(J1573="","",J1573-K1573)</f>
        <v/>
      </c>
      <c r="M1573" s="14">
        <f>IF(A1573="","",MONTH(A1573))</f>
        <v/>
      </c>
      <c r="N1573" s="14">
        <f>IF(A1573="","",YEAR(A1573))</f>
        <v/>
      </c>
    </row>
    <row r="1574">
      <c r="A1574" s="15" t="n"/>
      <c r="B1574" s="10" t="n"/>
      <c r="C1574" s="10" t="n"/>
      <c r="D1574" s="10" t="n"/>
      <c r="E1574" s="14">
        <f>IF(D1574="","",IFERROR(INDEX('Sản phẩm'!$B$5:$B$304,MATCH(D1574,'Sản phẩm'!$A$5:$A$304,0)),""))</f>
        <v/>
      </c>
      <c r="F1574" s="12" t="n"/>
      <c r="G1574" s="11" t="n"/>
      <c r="H1574" s="11" t="n"/>
      <c r="I1574" s="16">
        <f>IF(D1574="","",IF(G1574&lt;&gt;"",G1574,IFERROR(INDEX('Sản phẩm'!$E$5:$E$304,MATCH(D1574,'Sản phẩm'!$A$5:$A$304,0)),"")))</f>
        <v/>
      </c>
      <c r="J1574" s="16">
        <f>IF(OR(D1574="",F1574=""),"",F1574*I1574-N(H1574))</f>
        <v/>
      </c>
      <c r="K1574" s="16">
        <f>IF(OR(D1574="",F1574=""),"",F1574*IFERROR(INDEX('Sản phẩm'!$D$5:$D$304,MATCH(D1574,'Sản phẩm'!$A$5:$A$304,0)),""))</f>
        <v/>
      </c>
      <c r="L1574" s="16">
        <f>IF(J1574="","",J1574-K1574)</f>
        <v/>
      </c>
      <c r="M1574" s="14">
        <f>IF(A1574="","",MONTH(A1574))</f>
        <v/>
      </c>
      <c r="N1574" s="14">
        <f>IF(A1574="","",YEAR(A1574))</f>
        <v/>
      </c>
    </row>
    <row r="1575">
      <c r="A1575" s="15" t="n"/>
      <c r="B1575" s="10" t="n"/>
      <c r="C1575" s="10" t="n"/>
      <c r="D1575" s="10" t="n"/>
      <c r="E1575" s="14">
        <f>IF(D1575="","",IFERROR(INDEX('Sản phẩm'!$B$5:$B$304,MATCH(D1575,'Sản phẩm'!$A$5:$A$304,0)),""))</f>
        <v/>
      </c>
      <c r="F1575" s="12" t="n"/>
      <c r="G1575" s="11" t="n"/>
      <c r="H1575" s="11" t="n"/>
      <c r="I1575" s="16">
        <f>IF(D1575="","",IF(G1575&lt;&gt;"",G1575,IFERROR(INDEX('Sản phẩm'!$E$5:$E$304,MATCH(D1575,'Sản phẩm'!$A$5:$A$304,0)),"")))</f>
        <v/>
      </c>
      <c r="J1575" s="16">
        <f>IF(OR(D1575="",F1575=""),"",F1575*I1575-N(H1575))</f>
        <v/>
      </c>
      <c r="K1575" s="16">
        <f>IF(OR(D1575="",F1575=""),"",F1575*IFERROR(INDEX('Sản phẩm'!$D$5:$D$304,MATCH(D1575,'Sản phẩm'!$A$5:$A$304,0)),""))</f>
        <v/>
      </c>
      <c r="L1575" s="16">
        <f>IF(J1575="","",J1575-K1575)</f>
        <v/>
      </c>
      <c r="M1575" s="14">
        <f>IF(A1575="","",MONTH(A1575))</f>
        <v/>
      </c>
      <c r="N1575" s="14">
        <f>IF(A1575="","",YEAR(A1575))</f>
        <v/>
      </c>
    </row>
    <row r="1576">
      <c r="A1576" s="15" t="n"/>
      <c r="B1576" s="10" t="n"/>
      <c r="C1576" s="10" t="n"/>
      <c r="D1576" s="10" t="n"/>
      <c r="E1576" s="14">
        <f>IF(D1576="","",IFERROR(INDEX('Sản phẩm'!$B$5:$B$304,MATCH(D1576,'Sản phẩm'!$A$5:$A$304,0)),""))</f>
        <v/>
      </c>
      <c r="F1576" s="12" t="n"/>
      <c r="G1576" s="11" t="n"/>
      <c r="H1576" s="11" t="n"/>
      <c r="I1576" s="16">
        <f>IF(D1576="","",IF(G1576&lt;&gt;"",G1576,IFERROR(INDEX('Sản phẩm'!$E$5:$E$304,MATCH(D1576,'Sản phẩm'!$A$5:$A$304,0)),"")))</f>
        <v/>
      </c>
      <c r="J1576" s="16">
        <f>IF(OR(D1576="",F1576=""),"",F1576*I1576-N(H1576))</f>
        <v/>
      </c>
      <c r="K1576" s="16">
        <f>IF(OR(D1576="",F1576=""),"",F1576*IFERROR(INDEX('Sản phẩm'!$D$5:$D$304,MATCH(D1576,'Sản phẩm'!$A$5:$A$304,0)),""))</f>
        <v/>
      </c>
      <c r="L1576" s="16">
        <f>IF(J1576="","",J1576-K1576)</f>
        <v/>
      </c>
      <c r="M1576" s="14">
        <f>IF(A1576="","",MONTH(A1576))</f>
        <v/>
      </c>
      <c r="N1576" s="14">
        <f>IF(A1576="","",YEAR(A1576))</f>
        <v/>
      </c>
    </row>
    <row r="1577">
      <c r="A1577" s="15" t="n"/>
      <c r="B1577" s="10" t="n"/>
      <c r="C1577" s="10" t="n"/>
      <c r="D1577" s="10" t="n"/>
      <c r="E1577" s="14">
        <f>IF(D1577="","",IFERROR(INDEX('Sản phẩm'!$B$5:$B$304,MATCH(D1577,'Sản phẩm'!$A$5:$A$304,0)),""))</f>
        <v/>
      </c>
      <c r="F1577" s="12" t="n"/>
      <c r="G1577" s="11" t="n"/>
      <c r="H1577" s="11" t="n"/>
      <c r="I1577" s="16">
        <f>IF(D1577="","",IF(G1577&lt;&gt;"",G1577,IFERROR(INDEX('Sản phẩm'!$E$5:$E$304,MATCH(D1577,'Sản phẩm'!$A$5:$A$304,0)),"")))</f>
        <v/>
      </c>
      <c r="J1577" s="16">
        <f>IF(OR(D1577="",F1577=""),"",F1577*I1577-N(H1577))</f>
        <v/>
      </c>
      <c r="K1577" s="16">
        <f>IF(OR(D1577="",F1577=""),"",F1577*IFERROR(INDEX('Sản phẩm'!$D$5:$D$304,MATCH(D1577,'Sản phẩm'!$A$5:$A$304,0)),""))</f>
        <v/>
      </c>
      <c r="L1577" s="16">
        <f>IF(J1577="","",J1577-K1577)</f>
        <v/>
      </c>
      <c r="M1577" s="14">
        <f>IF(A1577="","",MONTH(A1577))</f>
        <v/>
      </c>
      <c r="N1577" s="14">
        <f>IF(A1577="","",YEAR(A1577))</f>
        <v/>
      </c>
    </row>
    <row r="1578">
      <c r="A1578" s="15" t="n"/>
      <c r="B1578" s="10" t="n"/>
      <c r="C1578" s="10" t="n"/>
      <c r="D1578" s="10" t="n"/>
      <c r="E1578" s="14">
        <f>IF(D1578="","",IFERROR(INDEX('Sản phẩm'!$B$5:$B$304,MATCH(D1578,'Sản phẩm'!$A$5:$A$304,0)),""))</f>
        <v/>
      </c>
      <c r="F1578" s="12" t="n"/>
      <c r="G1578" s="11" t="n"/>
      <c r="H1578" s="11" t="n"/>
      <c r="I1578" s="16">
        <f>IF(D1578="","",IF(G1578&lt;&gt;"",G1578,IFERROR(INDEX('Sản phẩm'!$E$5:$E$304,MATCH(D1578,'Sản phẩm'!$A$5:$A$304,0)),"")))</f>
        <v/>
      </c>
      <c r="J1578" s="16">
        <f>IF(OR(D1578="",F1578=""),"",F1578*I1578-N(H1578))</f>
        <v/>
      </c>
      <c r="K1578" s="16">
        <f>IF(OR(D1578="",F1578=""),"",F1578*IFERROR(INDEX('Sản phẩm'!$D$5:$D$304,MATCH(D1578,'Sản phẩm'!$A$5:$A$304,0)),""))</f>
        <v/>
      </c>
      <c r="L1578" s="16">
        <f>IF(J1578="","",J1578-K1578)</f>
        <v/>
      </c>
      <c r="M1578" s="14">
        <f>IF(A1578="","",MONTH(A1578))</f>
        <v/>
      </c>
      <c r="N1578" s="14">
        <f>IF(A1578="","",YEAR(A1578))</f>
        <v/>
      </c>
    </row>
    <row r="1579">
      <c r="A1579" s="15" t="n"/>
      <c r="B1579" s="10" t="n"/>
      <c r="C1579" s="10" t="n"/>
      <c r="D1579" s="10" t="n"/>
      <c r="E1579" s="14">
        <f>IF(D1579="","",IFERROR(INDEX('Sản phẩm'!$B$5:$B$304,MATCH(D1579,'Sản phẩm'!$A$5:$A$304,0)),""))</f>
        <v/>
      </c>
      <c r="F1579" s="12" t="n"/>
      <c r="G1579" s="11" t="n"/>
      <c r="H1579" s="11" t="n"/>
      <c r="I1579" s="16">
        <f>IF(D1579="","",IF(G1579&lt;&gt;"",G1579,IFERROR(INDEX('Sản phẩm'!$E$5:$E$304,MATCH(D1579,'Sản phẩm'!$A$5:$A$304,0)),"")))</f>
        <v/>
      </c>
      <c r="J1579" s="16">
        <f>IF(OR(D1579="",F1579=""),"",F1579*I1579-N(H1579))</f>
        <v/>
      </c>
      <c r="K1579" s="16">
        <f>IF(OR(D1579="",F1579=""),"",F1579*IFERROR(INDEX('Sản phẩm'!$D$5:$D$304,MATCH(D1579,'Sản phẩm'!$A$5:$A$304,0)),""))</f>
        <v/>
      </c>
      <c r="L1579" s="16">
        <f>IF(J1579="","",J1579-K1579)</f>
        <v/>
      </c>
      <c r="M1579" s="14">
        <f>IF(A1579="","",MONTH(A1579))</f>
        <v/>
      </c>
      <c r="N1579" s="14">
        <f>IF(A1579="","",YEAR(A1579))</f>
        <v/>
      </c>
    </row>
    <row r="1580">
      <c r="A1580" s="15" t="n"/>
      <c r="B1580" s="10" t="n"/>
      <c r="C1580" s="10" t="n"/>
      <c r="D1580" s="10" t="n"/>
      <c r="E1580" s="14">
        <f>IF(D1580="","",IFERROR(INDEX('Sản phẩm'!$B$5:$B$304,MATCH(D1580,'Sản phẩm'!$A$5:$A$304,0)),""))</f>
        <v/>
      </c>
      <c r="F1580" s="12" t="n"/>
      <c r="G1580" s="11" t="n"/>
      <c r="H1580" s="11" t="n"/>
      <c r="I1580" s="16">
        <f>IF(D1580="","",IF(G1580&lt;&gt;"",G1580,IFERROR(INDEX('Sản phẩm'!$E$5:$E$304,MATCH(D1580,'Sản phẩm'!$A$5:$A$304,0)),"")))</f>
        <v/>
      </c>
      <c r="J1580" s="16">
        <f>IF(OR(D1580="",F1580=""),"",F1580*I1580-N(H1580))</f>
        <v/>
      </c>
      <c r="K1580" s="16">
        <f>IF(OR(D1580="",F1580=""),"",F1580*IFERROR(INDEX('Sản phẩm'!$D$5:$D$304,MATCH(D1580,'Sản phẩm'!$A$5:$A$304,0)),""))</f>
        <v/>
      </c>
      <c r="L1580" s="16">
        <f>IF(J1580="","",J1580-K1580)</f>
        <v/>
      </c>
      <c r="M1580" s="14">
        <f>IF(A1580="","",MONTH(A1580))</f>
        <v/>
      </c>
      <c r="N1580" s="14">
        <f>IF(A1580="","",YEAR(A1580))</f>
        <v/>
      </c>
    </row>
    <row r="1581">
      <c r="A1581" s="15" t="n"/>
      <c r="B1581" s="10" t="n"/>
      <c r="C1581" s="10" t="n"/>
      <c r="D1581" s="10" t="n"/>
      <c r="E1581" s="14">
        <f>IF(D1581="","",IFERROR(INDEX('Sản phẩm'!$B$5:$B$304,MATCH(D1581,'Sản phẩm'!$A$5:$A$304,0)),""))</f>
        <v/>
      </c>
      <c r="F1581" s="12" t="n"/>
      <c r="G1581" s="11" t="n"/>
      <c r="H1581" s="11" t="n"/>
      <c r="I1581" s="16">
        <f>IF(D1581="","",IF(G1581&lt;&gt;"",G1581,IFERROR(INDEX('Sản phẩm'!$E$5:$E$304,MATCH(D1581,'Sản phẩm'!$A$5:$A$304,0)),"")))</f>
        <v/>
      </c>
      <c r="J1581" s="16">
        <f>IF(OR(D1581="",F1581=""),"",F1581*I1581-N(H1581))</f>
        <v/>
      </c>
      <c r="K1581" s="16">
        <f>IF(OR(D1581="",F1581=""),"",F1581*IFERROR(INDEX('Sản phẩm'!$D$5:$D$304,MATCH(D1581,'Sản phẩm'!$A$5:$A$304,0)),""))</f>
        <v/>
      </c>
      <c r="L1581" s="16">
        <f>IF(J1581="","",J1581-K1581)</f>
        <v/>
      </c>
      <c r="M1581" s="14">
        <f>IF(A1581="","",MONTH(A1581))</f>
        <v/>
      </c>
      <c r="N1581" s="14">
        <f>IF(A1581="","",YEAR(A1581))</f>
        <v/>
      </c>
    </row>
    <row r="1582">
      <c r="A1582" s="15" t="n"/>
      <c r="B1582" s="10" t="n"/>
      <c r="C1582" s="10" t="n"/>
      <c r="D1582" s="10" t="n"/>
      <c r="E1582" s="14">
        <f>IF(D1582="","",IFERROR(INDEX('Sản phẩm'!$B$5:$B$304,MATCH(D1582,'Sản phẩm'!$A$5:$A$304,0)),""))</f>
        <v/>
      </c>
      <c r="F1582" s="12" t="n"/>
      <c r="G1582" s="11" t="n"/>
      <c r="H1582" s="11" t="n"/>
      <c r="I1582" s="16">
        <f>IF(D1582="","",IF(G1582&lt;&gt;"",G1582,IFERROR(INDEX('Sản phẩm'!$E$5:$E$304,MATCH(D1582,'Sản phẩm'!$A$5:$A$304,0)),"")))</f>
        <v/>
      </c>
      <c r="J1582" s="16">
        <f>IF(OR(D1582="",F1582=""),"",F1582*I1582-N(H1582))</f>
        <v/>
      </c>
      <c r="K1582" s="16">
        <f>IF(OR(D1582="",F1582=""),"",F1582*IFERROR(INDEX('Sản phẩm'!$D$5:$D$304,MATCH(D1582,'Sản phẩm'!$A$5:$A$304,0)),""))</f>
        <v/>
      </c>
      <c r="L1582" s="16">
        <f>IF(J1582="","",J1582-K1582)</f>
        <v/>
      </c>
      <c r="M1582" s="14">
        <f>IF(A1582="","",MONTH(A1582))</f>
        <v/>
      </c>
      <c r="N1582" s="14">
        <f>IF(A1582="","",YEAR(A1582))</f>
        <v/>
      </c>
    </row>
    <row r="1583">
      <c r="A1583" s="15" t="n"/>
      <c r="B1583" s="10" t="n"/>
      <c r="C1583" s="10" t="n"/>
      <c r="D1583" s="10" t="n"/>
      <c r="E1583" s="14">
        <f>IF(D1583="","",IFERROR(INDEX('Sản phẩm'!$B$5:$B$304,MATCH(D1583,'Sản phẩm'!$A$5:$A$304,0)),""))</f>
        <v/>
      </c>
      <c r="F1583" s="12" t="n"/>
      <c r="G1583" s="11" t="n"/>
      <c r="H1583" s="11" t="n"/>
      <c r="I1583" s="16">
        <f>IF(D1583="","",IF(G1583&lt;&gt;"",G1583,IFERROR(INDEX('Sản phẩm'!$E$5:$E$304,MATCH(D1583,'Sản phẩm'!$A$5:$A$304,0)),"")))</f>
        <v/>
      </c>
      <c r="J1583" s="16">
        <f>IF(OR(D1583="",F1583=""),"",F1583*I1583-N(H1583))</f>
        <v/>
      </c>
      <c r="K1583" s="16">
        <f>IF(OR(D1583="",F1583=""),"",F1583*IFERROR(INDEX('Sản phẩm'!$D$5:$D$304,MATCH(D1583,'Sản phẩm'!$A$5:$A$304,0)),""))</f>
        <v/>
      </c>
      <c r="L1583" s="16">
        <f>IF(J1583="","",J1583-K1583)</f>
        <v/>
      </c>
      <c r="M1583" s="14">
        <f>IF(A1583="","",MONTH(A1583))</f>
        <v/>
      </c>
      <c r="N1583" s="14">
        <f>IF(A1583="","",YEAR(A1583))</f>
        <v/>
      </c>
    </row>
    <row r="1584">
      <c r="A1584" s="15" t="n"/>
      <c r="B1584" s="10" t="n"/>
      <c r="C1584" s="10" t="n"/>
      <c r="D1584" s="10" t="n"/>
      <c r="E1584" s="14">
        <f>IF(D1584="","",IFERROR(INDEX('Sản phẩm'!$B$5:$B$304,MATCH(D1584,'Sản phẩm'!$A$5:$A$304,0)),""))</f>
        <v/>
      </c>
      <c r="F1584" s="12" t="n"/>
      <c r="G1584" s="11" t="n"/>
      <c r="H1584" s="11" t="n"/>
      <c r="I1584" s="16">
        <f>IF(D1584="","",IF(G1584&lt;&gt;"",G1584,IFERROR(INDEX('Sản phẩm'!$E$5:$E$304,MATCH(D1584,'Sản phẩm'!$A$5:$A$304,0)),"")))</f>
        <v/>
      </c>
      <c r="J1584" s="16">
        <f>IF(OR(D1584="",F1584=""),"",F1584*I1584-N(H1584))</f>
        <v/>
      </c>
      <c r="K1584" s="16">
        <f>IF(OR(D1584="",F1584=""),"",F1584*IFERROR(INDEX('Sản phẩm'!$D$5:$D$304,MATCH(D1584,'Sản phẩm'!$A$5:$A$304,0)),""))</f>
        <v/>
      </c>
      <c r="L1584" s="16">
        <f>IF(J1584="","",J1584-K1584)</f>
        <v/>
      </c>
      <c r="M1584" s="14">
        <f>IF(A1584="","",MONTH(A1584))</f>
        <v/>
      </c>
      <c r="N1584" s="14">
        <f>IF(A1584="","",YEAR(A1584))</f>
        <v/>
      </c>
    </row>
    <row r="1585">
      <c r="A1585" s="15" t="n"/>
      <c r="B1585" s="10" t="n"/>
      <c r="C1585" s="10" t="n"/>
      <c r="D1585" s="10" t="n"/>
      <c r="E1585" s="14">
        <f>IF(D1585="","",IFERROR(INDEX('Sản phẩm'!$B$5:$B$304,MATCH(D1585,'Sản phẩm'!$A$5:$A$304,0)),""))</f>
        <v/>
      </c>
      <c r="F1585" s="12" t="n"/>
      <c r="G1585" s="11" t="n"/>
      <c r="H1585" s="11" t="n"/>
      <c r="I1585" s="16">
        <f>IF(D1585="","",IF(G1585&lt;&gt;"",G1585,IFERROR(INDEX('Sản phẩm'!$E$5:$E$304,MATCH(D1585,'Sản phẩm'!$A$5:$A$304,0)),"")))</f>
        <v/>
      </c>
      <c r="J1585" s="16">
        <f>IF(OR(D1585="",F1585=""),"",F1585*I1585-N(H1585))</f>
        <v/>
      </c>
      <c r="K1585" s="16">
        <f>IF(OR(D1585="",F1585=""),"",F1585*IFERROR(INDEX('Sản phẩm'!$D$5:$D$304,MATCH(D1585,'Sản phẩm'!$A$5:$A$304,0)),""))</f>
        <v/>
      </c>
      <c r="L1585" s="16">
        <f>IF(J1585="","",J1585-K1585)</f>
        <v/>
      </c>
      <c r="M1585" s="14">
        <f>IF(A1585="","",MONTH(A1585))</f>
        <v/>
      </c>
      <c r="N1585" s="14">
        <f>IF(A1585="","",YEAR(A1585))</f>
        <v/>
      </c>
    </row>
    <row r="1586">
      <c r="A1586" s="15" t="n"/>
      <c r="B1586" s="10" t="n"/>
      <c r="C1586" s="10" t="n"/>
      <c r="D1586" s="10" t="n"/>
      <c r="E1586" s="14">
        <f>IF(D1586="","",IFERROR(INDEX('Sản phẩm'!$B$5:$B$304,MATCH(D1586,'Sản phẩm'!$A$5:$A$304,0)),""))</f>
        <v/>
      </c>
      <c r="F1586" s="12" t="n"/>
      <c r="G1586" s="11" t="n"/>
      <c r="H1586" s="11" t="n"/>
      <c r="I1586" s="16">
        <f>IF(D1586="","",IF(G1586&lt;&gt;"",G1586,IFERROR(INDEX('Sản phẩm'!$E$5:$E$304,MATCH(D1586,'Sản phẩm'!$A$5:$A$304,0)),"")))</f>
        <v/>
      </c>
      <c r="J1586" s="16">
        <f>IF(OR(D1586="",F1586=""),"",F1586*I1586-N(H1586))</f>
        <v/>
      </c>
      <c r="K1586" s="16">
        <f>IF(OR(D1586="",F1586=""),"",F1586*IFERROR(INDEX('Sản phẩm'!$D$5:$D$304,MATCH(D1586,'Sản phẩm'!$A$5:$A$304,0)),""))</f>
        <v/>
      </c>
      <c r="L1586" s="16">
        <f>IF(J1586="","",J1586-K1586)</f>
        <v/>
      </c>
      <c r="M1586" s="14">
        <f>IF(A1586="","",MONTH(A1586))</f>
        <v/>
      </c>
      <c r="N1586" s="14">
        <f>IF(A1586="","",YEAR(A1586))</f>
        <v/>
      </c>
    </row>
    <row r="1587">
      <c r="A1587" s="15" t="n"/>
      <c r="B1587" s="10" t="n"/>
      <c r="C1587" s="10" t="n"/>
      <c r="D1587" s="10" t="n"/>
      <c r="E1587" s="14">
        <f>IF(D1587="","",IFERROR(INDEX('Sản phẩm'!$B$5:$B$304,MATCH(D1587,'Sản phẩm'!$A$5:$A$304,0)),""))</f>
        <v/>
      </c>
      <c r="F1587" s="12" t="n"/>
      <c r="G1587" s="11" t="n"/>
      <c r="H1587" s="11" t="n"/>
      <c r="I1587" s="16">
        <f>IF(D1587="","",IF(G1587&lt;&gt;"",G1587,IFERROR(INDEX('Sản phẩm'!$E$5:$E$304,MATCH(D1587,'Sản phẩm'!$A$5:$A$304,0)),"")))</f>
        <v/>
      </c>
      <c r="J1587" s="16">
        <f>IF(OR(D1587="",F1587=""),"",F1587*I1587-N(H1587))</f>
        <v/>
      </c>
      <c r="K1587" s="16">
        <f>IF(OR(D1587="",F1587=""),"",F1587*IFERROR(INDEX('Sản phẩm'!$D$5:$D$304,MATCH(D1587,'Sản phẩm'!$A$5:$A$304,0)),""))</f>
        <v/>
      </c>
      <c r="L1587" s="16">
        <f>IF(J1587="","",J1587-K1587)</f>
        <v/>
      </c>
      <c r="M1587" s="14">
        <f>IF(A1587="","",MONTH(A1587))</f>
        <v/>
      </c>
      <c r="N1587" s="14">
        <f>IF(A1587="","",YEAR(A1587))</f>
        <v/>
      </c>
    </row>
    <row r="1588">
      <c r="A1588" s="15" t="n"/>
      <c r="B1588" s="10" t="n"/>
      <c r="C1588" s="10" t="n"/>
      <c r="D1588" s="10" t="n"/>
      <c r="E1588" s="14">
        <f>IF(D1588="","",IFERROR(INDEX('Sản phẩm'!$B$5:$B$304,MATCH(D1588,'Sản phẩm'!$A$5:$A$304,0)),""))</f>
        <v/>
      </c>
      <c r="F1588" s="12" t="n"/>
      <c r="G1588" s="11" t="n"/>
      <c r="H1588" s="11" t="n"/>
      <c r="I1588" s="16">
        <f>IF(D1588="","",IF(G1588&lt;&gt;"",G1588,IFERROR(INDEX('Sản phẩm'!$E$5:$E$304,MATCH(D1588,'Sản phẩm'!$A$5:$A$304,0)),"")))</f>
        <v/>
      </c>
      <c r="J1588" s="16">
        <f>IF(OR(D1588="",F1588=""),"",F1588*I1588-N(H1588))</f>
        <v/>
      </c>
      <c r="K1588" s="16">
        <f>IF(OR(D1588="",F1588=""),"",F1588*IFERROR(INDEX('Sản phẩm'!$D$5:$D$304,MATCH(D1588,'Sản phẩm'!$A$5:$A$304,0)),""))</f>
        <v/>
      </c>
      <c r="L1588" s="16">
        <f>IF(J1588="","",J1588-K1588)</f>
        <v/>
      </c>
      <c r="M1588" s="14">
        <f>IF(A1588="","",MONTH(A1588))</f>
        <v/>
      </c>
      <c r="N1588" s="14">
        <f>IF(A1588="","",YEAR(A1588))</f>
        <v/>
      </c>
    </row>
    <row r="1589">
      <c r="A1589" s="15" t="n"/>
      <c r="B1589" s="10" t="n"/>
      <c r="C1589" s="10" t="n"/>
      <c r="D1589" s="10" t="n"/>
      <c r="E1589" s="14">
        <f>IF(D1589="","",IFERROR(INDEX('Sản phẩm'!$B$5:$B$304,MATCH(D1589,'Sản phẩm'!$A$5:$A$304,0)),""))</f>
        <v/>
      </c>
      <c r="F1589" s="12" t="n"/>
      <c r="G1589" s="11" t="n"/>
      <c r="H1589" s="11" t="n"/>
      <c r="I1589" s="16">
        <f>IF(D1589="","",IF(G1589&lt;&gt;"",G1589,IFERROR(INDEX('Sản phẩm'!$E$5:$E$304,MATCH(D1589,'Sản phẩm'!$A$5:$A$304,0)),"")))</f>
        <v/>
      </c>
      <c r="J1589" s="16">
        <f>IF(OR(D1589="",F1589=""),"",F1589*I1589-N(H1589))</f>
        <v/>
      </c>
      <c r="K1589" s="16">
        <f>IF(OR(D1589="",F1589=""),"",F1589*IFERROR(INDEX('Sản phẩm'!$D$5:$D$304,MATCH(D1589,'Sản phẩm'!$A$5:$A$304,0)),""))</f>
        <v/>
      </c>
      <c r="L1589" s="16">
        <f>IF(J1589="","",J1589-K1589)</f>
        <v/>
      </c>
      <c r="M1589" s="14">
        <f>IF(A1589="","",MONTH(A1589))</f>
        <v/>
      </c>
      <c r="N1589" s="14">
        <f>IF(A1589="","",YEAR(A1589))</f>
        <v/>
      </c>
    </row>
    <row r="1590">
      <c r="A1590" s="15" t="n"/>
      <c r="B1590" s="10" t="n"/>
      <c r="C1590" s="10" t="n"/>
      <c r="D1590" s="10" t="n"/>
      <c r="E1590" s="14">
        <f>IF(D1590="","",IFERROR(INDEX('Sản phẩm'!$B$5:$B$304,MATCH(D1590,'Sản phẩm'!$A$5:$A$304,0)),""))</f>
        <v/>
      </c>
      <c r="F1590" s="12" t="n"/>
      <c r="G1590" s="11" t="n"/>
      <c r="H1590" s="11" t="n"/>
      <c r="I1590" s="16">
        <f>IF(D1590="","",IF(G1590&lt;&gt;"",G1590,IFERROR(INDEX('Sản phẩm'!$E$5:$E$304,MATCH(D1590,'Sản phẩm'!$A$5:$A$304,0)),"")))</f>
        <v/>
      </c>
      <c r="J1590" s="16">
        <f>IF(OR(D1590="",F1590=""),"",F1590*I1590-N(H1590))</f>
        <v/>
      </c>
      <c r="K1590" s="16">
        <f>IF(OR(D1590="",F1590=""),"",F1590*IFERROR(INDEX('Sản phẩm'!$D$5:$D$304,MATCH(D1590,'Sản phẩm'!$A$5:$A$304,0)),""))</f>
        <v/>
      </c>
      <c r="L1590" s="16">
        <f>IF(J1590="","",J1590-K1590)</f>
        <v/>
      </c>
      <c r="M1590" s="14">
        <f>IF(A1590="","",MONTH(A1590))</f>
        <v/>
      </c>
      <c r="N1590" s="14">
        <f>IF(A1590="","",YEAR(A1590))</f>
        <v/>
      </c>
    </row>
    <row r="1591">
      <c r="A1591" s="15" t="n"/>
      <c r="B1591" s="10" t="n"/>
      <c r="C1591" s="10" t="n"/>
      <c r="D1591" s="10" t="n"/>
      <c r="E1591" s="14">
        <f>IF(D1591="","",IFERROR(INDEX('Sản phẩm'!$B$5:$B$304,MATCH(D1591,'Sản phẩm'!$A$5:$A$304,0)),""))</f>
        <v/>
      </c>
      <c r="F1591" s="12" t="n"/>
      <c r="G1591" s="11" t="n"/>
      <c r="H1591" s="11" t="n"/>
      <c r="I1591" s="16">
        <f>IF(D1591="","",IF(G1591&lt;&gt;"",G1591,IFERROR(INDEX('Sản phẩm'!$E$5:$E$304,MATCH(D1591,'Sản phẩm'!$A$5:$A$304,0)),"")))</f>
        <v/>
      </c>
      <c r="J1591" s="16">
        <f>IF(OR(D1591="",F1591=""),"",F1591*I1591-N(H1591))</f>
        <v/>
      </c>
      <c r="K1591" s="16">
        <f>IF(OR(D1591="",F1591=""),"",F1591*IFERROR(INDEX('Sản phẩm'!$D$5:$D$304,MATCH(D1591,'Sản phẩm'!$A$5:$A$304,0)),""))</f>
        <v/>
      </c>
      <c r="L1591" s="16">
        <f>IF(J1591="","",J1591-K1591)</f>
        <v/>
      </c>
      <c r="M1591" s="14">
        <f>IF(A1591="","",MONTH(A1591))</f>
        <v/>
      </c>
      <c r="N1591" s="14">
        <f>IF(A1591="","",YEAR(A1591))</f>
        <v/>
      </c>
    </row>
    <row r="1592">
      <c r="A1592" s="15" t="n"/>
      <c r="B1592" s="10" t="n"/>
      <c r="C1592" s="10" t="n"/>
      <c r="D1592" s="10" t="n"/>
      <c r="E1592" s="14">
        <f>IF(D1592="","",IFERROR(INDEX('Sản phẩm'!$B$5:$B$304,MATCH(D1592,'Sản phẩm'!$A$5:$A$304,0)),""))</f>
        <v/>
      </c>
      <c r="F1592" s="12" t="n"/>
      <c r="G1592" s="11" t="n"/>
      <c r="H1592" s="11" t="n"/>
      <c r="I1592" s="16">
        <f>IF(D1592="","",IF(G1592&lt;&gt;"",G1592,IFERROR(INDEX('Sản phẩm'!$E$5:$E$304,MATCH(D1592,'Sản phẩm'!$A$5:$A$304,0)),"")))</f>
        <v/>
      </c>
      <c r="J1592" s="16">
        <f>IF(OR(D1592="",F1592=""),"",F1592*I1592-N(H1592))</f>
        <v/>
      </c>
      <c r="K1592" s="16">
        <f>IF(OR(D1592="",F1592=""),"",F1592*IFERROR(INDEX('Sản phẩm'!$D$5:$D$304,MATCH(D1592,'Sản phẩm'!$A$5:$A$304,0)),""))</f>
        <v/>
      </c>
      <c r="L1592" s="16">
        <f>IF(J1592="","",J1592-K1592)</f>
        <v/>
      </c>
      <c r="M1592" s="14">
        <f>IF(A1592="","",MONTH(A1592))</f>
        <v/>
      </c>
      <c r="N1592" s="14">
        <f>IF(A1592="","",YEAR(A1592))</f>
        <v/>
      </c>
    </row>
    <row r="1593">
      <c r="A1593" s="15" t="n"/>
      <c r="B1593" s="10" t="n"/>
      <c r="C1593" s="10" t="n"/>
      <c r="D1593" s="10" t="n"/>
      <c r="E1593" s="14">
        <f>IF(D1593="","",IFERROR(INDEX('Sản phẩm'!$B$5:$B$304,MATCH(D1593,'Sản phẩm'!$A$5:$A$304,0)),""))</f>
        <v/>
      </c>
      <c r="F1593" s="12" t="n"/>
      <c r="G1593" s="11" t="n"/>
      <c r="H1593" s="11" t="n"/>
      <c r="I1593" s="16">
        <f>IF(D1593="","",IF(G1593&lt;&gt;"",G1593,IFERROR(INDEX('Sản phẩm'!$E$5:$E$304,MATCH(D1593,'Sản phẩm'!$A$5:$A$304,0)),"")))</f>
        <v/>
      </c>
      <c r="J1593" s="16">
        <f>IF(OR(D1593="",F1593=""),"",F1593*I1593-N(H1593))</f>
        <v/>
      </c>
      <c r="K1593" s="16">
        <f>IF(OR(D1593="",F1593=""),"",F1593*IFERROR(INDEX('Sản phẩm'!$D$5:$D$304,MATCH(D1593,'Sản phẩm'!$A$5:$A$304,0)),""))</f>
        <v/>
      </c>
      <c r="L1593" s="16">
        <f>IF(J1593="","",J1593-K1593)</f>
        <v/>
      </c>
      <c r="M1593" s="14">
        <f>IF(A1593="","",MONTH(A1593))</f>
        <v/>
      </c>
      <c r="N1593" s="14">
        <f>IF(A1593="","",YEAR(A1593))</f>
        <v/>
      </c>
    </row>
    <row r="1594">
      <c r="A1594" s="15" t="n"/>
      <c r="B1594" s="10" t="n"/>
      <c r="C1594" s="10" t="n"/>
      <c r="D1594" s="10" t="n"/>
      <c r="E1594" s="14">
        <f>IF(D1594="","",IFERROR(INDEX('Sản phẩm'!$B$5:$B$304,MATCH(D1594,'Sản phẩm'!$A$5:$A$304,0)),""))</f>
        <v/>
      </c>
      <c r="F1594" s="12" t="n"/>
      <c r="G1594" s="11" t="n"/>
      <c r="H1594" s="11" t="n"/>
      <c r="I1594" s="16">
        <f>IF(D1594="","",IF(G1594&lt;&gt;"",G1594,IFERROR(INDEX('Sản phẩm'!$E$5:$E$304,MATCH(D1594,'Sản phẩm'!$A$5:$A$304,0)),"")))</f>
        <v/>
      </c>
      <c r="J1594" s="16">
        <f>IF(OR(D1594="",F1594=""),"",F1594*I1594-N(H1594))</f>
        <v/>
      </c>
      <c r="K1594" s="16">
        <f>IF(OR(D1594="",F1594=""),"",F1594*IFERROR(INDEX('Sản phẩm'!$D$5:$D$304,MATCH(D1594,'Sản phẩm'!$A$5:$A$304,0)),""))</f>
        <v/>
      </c>
      <c r="L1594" s="16">
        <f>IF(J1594="","",J1594-K1594)</f>
        <v/>
      </c>
      <c r="M1594" s="14">
        <f>IF(A1594="","",MONTH(A1594))</f>
        <v/>
      </c>
      <c r="N1594" s="14">
        <f>IF(A1594="","",YEAR(A1594))</f>
        <v/>
      </c>
    </row>
    <row r="1595">
      <c r="A1595" s="15" t="n"/>
      <c r="B1595" s="10" t="n"/>
      <c r="C1595" s="10" t="n"/>
      <c r="D1595" s="10" t="n"/>
      <c r="E1595" s="14">
        <f>IF(D1595="","",IFERROR(INDEX('Sản phẩm'!$B$5:$B$304,MATCH(D1595,'Sản phẩm'!$A$5:$A$304,0)),""))</f>
        <v/>
      </c>
      <c r="F1595" s="12" t="n"/>
      <c r="G1595" s="11" t="n"/>
      <c r="H1595" s="11" t="n"/>
      <c r="I1595" s="16">
        <f>IF(D1595="","",IF(G1595&lt;&gt;"",G1595,IFERROR(INDEX('Sản phẩm'!$E$5:$E$304,MATCH(D1595,'Sản phẩm'!$A$5:$A$304,0)),"")))</f>
        <v/>
      </c>
      <c r="J1595" s="16">
        <f>IF(OR(D1595="",F1595=""),"",F1595*I1595-N(H1595))</f>
        <v/>
      </c>
      <c r="K1595" s="16">
        <f>IF(OR(D1595="",F1595=""),"",F1595*IFERROR(INDEX('Sản phẩm'!$D$5:$D$304,MATCH(D1595,'Sản phẩm'!$A$5:$A$304,0)),""))</f>
        <v/>
      </c>
      <c r="L1595" s="16">
        <f>IF(J1595="","",J1595-K1595)</f>
        <v/>
      </c>
      <c r="M1595" s="14">
        <f>IF(A1595="","",MONTH(A1595))</f>
        <v/>
      </c>
      <c r="N1595" s="14">
        <f>IF(A1595="","",YEAR(A1595))</f>
        <v/>
      </c>
    </row>
    <row r="1596">
      <c r="A1596" s="15" t="n"/>
      <c r="B1596" s="10" t="n"/>
      <c r="C1596" s="10" t="n"/>
      <c r="D1596" s="10" t="n"/>
      <c r="E1596" s="14">
        <f>IF(D1596="","",IFERROR(INDEX('Sản phẩm'!$B$5:$B$304,MATCH(D1596,'Sản phẩm'!$A$5:$A$304,0)),""))</f>
        <v/>
      </c>
      <c r="F1596" s="12" t="n"/>
      <c r="G1596" s="11" t="n"/>
      <c r="H1596" s="11" t="n"/>
      <c r="I1596" s="16">
        <f>IF(D1596="","",IF(G1596&lt;&gt;"",G1596,IFERROR(INDEX('Sản phẩm'!$E$5:$E$304,MATCH(D1596,'Sản phẩm'!$A$5:$A$304,0)),"")))</f>
        <v/>
      </c>
      <c r="J1596" s="16">
        <f>IF(OR(D1596="",F1596=""),"",F1596*I1596-N(H1596))</f>
        <v/>
      </c>
      <c r="K1596" s="16">
        <f>IF(OR(D1596="",F1596=""),"",F1596*IFERROR(INDEX('Sản phẩm'!$D$5:$D$304,MATCH(D1596,'Sản phẩm'!$A$5:$A$304,0)),""))</f>
        <v/>
      </c>
      <c r="L1596" s="16">
        <f>IF(J1596="","",J1596-K1596)</f>
        <v/>
      </c>
      <c r="M1596" s="14">
        <f>IF(A1596="","",MONTH(A1596))</f>
        <v/>
      </c>
      <c r="N1596" s="14">
        <f>IF(A1596="","",YEAR(A1596))</f>
        <v/>
      </c>
    </row>
    <row r="1597">
      <c r="A1597" s="15" t="n"/>
      <c r="B1597" s="10" t="n"/>
      <c r="C1597" s="10" t="n"/>
      <c r="D1597" s="10" t="n"/>
      <c r="E1597" s="14">
        <f>IF(D1597="","",IFERROR(INDEX('Sản phẩm'!$B$5:$B$304,MATCH(D1597,'Sản phẩm'!$A$5:$A$304,0)),""))</f>
        <v/>
      </c>
      <c r="F1597" s="12" t="n"/>
      <c r="G1597" s="11" t="n"/>
      <c r="H1597" s="11" t="n"/>
      <c r="I1597" s="16">
        <f>IF(D1597="","",IF(G1597&lt;&gt;"",G1597,IFERROR(INDEX('Sản phẩm'!$E$5:$E$304,MATCH(D1597,'Sản phẩm'!$A$5:$A$304,0)),"")))</f>
        <v/>
      </c>
      <c r="J1597" s="16">
        <f>IF(OR(D1597="",F1597=""),"",F1597*I1597-N(H1597))</f>
        <v/>
      </c>
      <c r="K1597" s="16">
        <f>IF(OR(D1597="",F1597=""),"",F1597*IFERROR(INDEX('Sản phẩm'!$D$5:$D$304,MATCH(D1597,'Sản phẩm'!$A$5:$A$304,0)),""))</f>
        <v/>
      </c>
      <c r="L1597" s="16">
        <f>IF(J1597="","",J1597-K1597)</f>
        <v/>
      </c>
      <c r="M1597" s="14">
        <f>IF(A1597="","",MONTH(A1597))</f>
        <v/>
      </c>
      <c r="N1597" s="14">
        <f>IF(A1597="","",YEAR(A1597))</f>
        <v/>
      </c>
    </row>
    <row r="1598">
      <c r="A1598" s="15" t="n"/>
      <c r="B1598" s="10" t="n"/>
      <c r="C1598" s="10" t="n"/>
      <c r="D1598" s="10" t="n"/>
      <c r="E1598" s="14">
        <f>IF(D1598="","",IFERROR(INDEX('Sản phẩm'!$B$5:$B$304,MATCH(D1598,'Sản phẩm'!$A$5:$A$304,0)),""))</f>
        <v/>
      </c>
      <c r="F1598" s="12" t="n"/>
      <c r="G1598" s="11" t="n"/>
      <c r="H1598" s="11" t="n"/>
      <c r="I1598" s="16">
        <f>IF(D1598="","",IF(G1598&lt;&gt;"",G1598,IFERROR(INDEX('Sản phẩm'!$E$5:$E$304,MATCH(D1598,'Sản phẩm'!$A$5:$A$304,0)),"")))</f>
        <v/>
      </c>
      <c r="J1598" s="16">
        <f>IF(OR(D1598="",F1598=""),"",F1598*I1598-N(H1598))</f>
        <v/>
      </c>
      <c r="K1598" s="16">
        <f>IF(OR(D1598="",F1598=""),"",F1598*IFERROR(INDEX('Sản phẩm'!$D$5:$D$304,MATCH(D1598,'Sản phẩm'!$A$5:$A$304,0)),""))</f>
        <v/>
      </c>
      <c r="L1598" s="16">
        <f>IF(J1598="","",J1598-K1598)</f>
        <v/>
      </c>
      <c r="M1598" s="14">
        <f>IF(A1598="","",MONTH(A1598))</f>
        <v/>
      </c>
      <c r="N1598" s="14">
        <f>IF(A1598="","",YEAR(A1598))</f>
        <v/>
      </c>
    </row>
    <row r="1599">
      <c r="A1599" s="15" t="n"/>
      <c r="B1599" s="10" t="n"/>
      <c r="C1599" s="10" t="n"/>
      <c r="D1599" s="10" t="n"/>
      <c r="E1599" s="14">
        <f>IF(D1599="","",IFERROR(INDEX('Sản phẩm'!$B$5:$B$304,MATCH(D1599,'Sản phẩm'!$A$5:$A$304,0)),""))</f>
        <v/>
      </c>
      <c r="F1599" s="12" t="n"/>
      <c r="G1599" s="11" t="n"/>
      <c r="H1599" s="11" t="n"/>
      <c r="I1599" s="16">
        <f>IF(D1599="","",IF(G1599&lt;&gt;"",G1599,IFERROR(INDEX('Sản phẩm'!$E$5:$E$304,MATCH(D1599,'Sản phẩm'!$A$5:$A$304,0)),"")))</f>
        <v/>
      </c>
      <c r="J1599" s="16">
        <f>IF(OR(D1599="",F1599=""),"",F1599*I1599-N(H1599))</f>
        <v/>
      </c>
      <c r="K1599" s="16">
        <f>IF(OR(D1599="",F1599=""),"",F1599*IFERROR(INDEX('Sản phẩm'!$D$5:$D$304,MATCH(D1599,'Sản phẩm'!$A$5:$A$304,0)),""))</f>
        <v/>
      </c>
      <c r="L1599" s="16">
        <f>IF(J1599="","",J1599-K1599)</f>
        <v/>
      </c>
      <c r="M1599" s="14">
        <f>IF(A1599="","",MONTH(A1599))</f>
        <v/>
      </c>
      <c r="N1599" s="14">
        <f>IF(A1599="","",YEAR(A1599))</f>
        <v/>
      </c>
    </row>
    <row r="1600">
      <c r="A1600" s="15" t="n"/>
      <c r="B1600" s="10" t="n"/>
      <c r="C1600" s="10" t="n"/>
      <c r="D1600" s="10" t="n"/>
      <c r="E1600" s="14">
        <f>IF(D1600="","",IFERROR(INDEX('Sản phẩm'!$B$5:$B$304,MATCH(D1600,'Sản phẩm'!$A$5:$A$304,0)),""))</f>
        <v/>
      </c>
      <c r="F1600" s="12" t="n"/>
      <c r="G1600" s="11" t="n"/>
      <c r="H1600" s="11" t="n"/>
      <c r="I1600" s="16">
        <f>IF(D1600="","",IF(G1600&lt;&gt;"",G1600,IFERROR(INDEX('Sản phẩm'!$E$5:$E$304,MATCH(D1600,'Sản phẩm'!$A$5:$A$304,0)),"")))</f>
        <v/>
      </c>
      <c r="J1600" s="16">
        <f>IF(OR(D1600="",F1600=""),"",F1600*I1600-N(H1600))</f>
        <v/>
      </c>
      <c r="K1600" s="16">
        <f>IF(OR(D1600="",F1600=""),"",F1600*IFERROR(INDEX('Sản phẩm'!$D$5:$D$304,MATCH(D1600,'Sản phẩm'!$A$5:$A$304,0)),""))</f>
        <v/>
      </c>
      <c r="L1600" s="16">
        <f>IF(J1600="","",J1600-K1600)</f>
        <v/>
      </c>
      <c r="M1600" s="14">
        <f>IF(A1600="","",MONTH(A1600))</f>
        <v/>
      </c>
      <c r="N1600" s="14">
        <f>IF(A1600="","",YEAR(A1600))</f>
        <v/>
      </c>
    </row>
    <row r="1601">
      <c r="A1601" s="15" t="n"/>
      <c r="B1601" s="10" t="n"/>
      <c r="C1601" s="10" t="n"/>
      <c r="D1601" s="10" t="n"/>
      <c r="E1601" s="14">
        <f>IF(D1601="","",IFERROR(INDEX('Sản phẩm'!$B$5:$B$304,MATCH(D1601,'Sản phẩm'!$A$5:$A$304,0)),""))</f>
        <v/>
      </c>
      <c r="F1601" s="12" t="n"/>
      <c r="G1601" s="11" t="n"/>
      <c r="H1601" s="11" t="n"/>
      <c r="I1601" s="16">
        <f>IF(D1601="","",IF(G1601&lt;&gt;"",G1601,IFERROR(INDEX('Sản phẩm'!$E$5:$E$304,MATCH(D1601,'Sản phẩm'!$A$5:$A$304,0)),"")))</f>
        <v/>
      </c>
      <c r="J1601" s="16">
        <f>IF(OR(D1601="",F1601=""),"",F1601*I1601-N(H1601))</f>
        <v/>
      </c>
      <c r="K1601" s="16">
        <f>IF(OR(D1601="",F1601=""),"",F1601*IFERROR(INDEX('Sản phẩm'!$D$5:$D$304,MATCH(D1601,'Sản phẩm'!$A$5:$A$304,0)),""))</f>
        <v/>
      </c>
      <c r="L1601" s="16">
        <f>IF(J1601="","",J1601-K1601)</f>
        <v/>
      </c>
      <c r="M1601" s="14">
        <f>IF(A1601="","",MONTH(A1601))</f>
        <v/>
      </c>
      <c r="N1601" s="14">
        <f>IF(A1601="","",YEAR(A1601))</f>
        <v/>
      </c>
    </row>
    <row r="1602">
      <c r="A1602" s="15" t="n"/>
      <c r="B1602" s="10" t="n"/>
      <c r="C1602" s="10" t="n"/>
      <c r="D1602" s="10" t="n"/>
      <c r="E1602" s="14">
        <f>IF(D1602="","",IFERROR(INDEX('Sản phẩm'!$B$5:$B$304,MATCH(D1602,'Sản phẩm'!$A$5:$A$304,0)),""))</f>
        <v/>
      </c>
      <c r="F1602" s="12" t="n"/>
      <c r="G1602" s="11" t="n"/>
      <c r="H1602" s="11" t="n"/>
      <c r="I1602" s="16">
        <f>IF(D1602="","",IF(G1602&lt;&gt;"",G1602,IFERROR(INDEX('Sản phẩm'!$E$5:$E$304,MATCH(D1602,'Sản phẩm'!$A$5:$A$304,0)),"")))</f>
        <v/>
      </c>
      <c r="J1602" s="16">
        <f>IF(OR(D1602="",F1602=""),"",F1602*I1602-N(H1602))</f>
        <v/>
      </c>
      <c r="K1602" s="16">
        <f>IF(OR(D1602="",F1602=""),"",F1602*IFERROR(INDEX('Sản phẩm'!$D$5:$D$304,MATCH(D1602,'Sản phẩm'!$A$5:$A$304,0)),""))</f>
        <v/>
      </c>
      <c r="L1602" s="16">
        <f>IF(J1602="","",J1602-K1602)</f>
        <v/>
      </c>
      <c r="M1602" s="14">
        <f>IF(A1602="","",MONTH(A1602))</f>
        <v/>
      </c>
      <c r="N1602" s="14">
        <f>IF(A1602="","",YEAR(A1602))</f>
        <v/>
      </c>
    </row>
    <row r="1603">
      <c r="A1603" s="15" t="n"/>
      <c r="B1603" s="10" t="n"/>
      <c r="C1603" s="10" t="n"/>
      <c r="D1603" s="10" t="n"/>
      <c r="E1603" s="14">
        <f>IF(D1603="","",IFERROR(INDEX('Sản phẩm'!$B$5:$B$304,MATCH(D1603,'Sản phẩm'!$A$5:$A$304,0)),""))</f>
        <v/>
      </c>
      <c r="F1603" s="12" t="n"/>
      <c r="G1603" s="11" t="n"/>
      <c r="H1603" s="11" t="n"/>
      <c r="I1603" s="16">
        <f>IF(D1603="","",IF(G1603&lt;&gt;"",G1603,IFERROR(INDEX('Sản phẩm'!$E$5:$E$304,MATCH(D1603,'Sản phẩm'!$A$5:$A$304,0)),"")))</f>
        <v/>
      </c>
      <c r="J1603" s="16">
        <f>IF(OR(D1603="",F1603=""),"",F1603*I1603-N(H1603))</f>
        <v/>
      </c>
      <c r="K1603" s="16">
        <f>IF(OR(D1603="",F1603=""),"",F1603*IFERROR(INDEX('Sản phẩm'!$D$5:$D$304,MATCH(D1603,'Sản phẩm'!$A$5:$A$304,0)),""))</f>
        <v/>
      </c>
      <c r="L1603" s="16">
        <f>IF(J1603="","",J1603-K1603)</f>
        <v/>
      </c>
      <c r="M1603" s="14">
        <f>IF(A1603="","",MONTH(A1603))</f>
        <v/>
      </c>
      <c r="N1603" s="14">
        <f>IF(A1603="","",YEAR(A1603))</f>
        <v/>
      </c>
    </row>
    <row r="1604">
      <c r="A1604" s="15" t="n"/>
      <c r="B1604" s="10" t="n"/>
      <c r="C1604" s="10" t="n"/>
      <c r="D1604" s="10" t="n"/>
      <c r="E1604" s="14">
        <f>IF(D1604="","",IFERROR(INDEX('Sản phẩm'!$B$5:$B$304,MATCH(D1604,'Sản phẩm'!$A$5:$A$304,0)),""))</f>
        <v/>
      </c>
      <c r="F1604" s="12" t="n"/>
      <c r="G1604" s="11" t="n"/>
      <c r="H1604" s="11" t="n"/>
      <c r="I1604" s="16">
        <f>IF(D1604="","",IF(G1604&lt;&gt;"",G1604,IFERROR(INDEX('Sản phẩm'!$E$5:$E$304,MATCH(D1604,'Sản phẩm'!$A$5:$A$304,0)),"")))</f>
        <v/>
      </c>
      <c r="J1604" s="16">
        <f>IF(OR(D1604="",F1604=""),"",F1604*I1604-N(H1604))</f>
        <v/>
      </c>
      <c r="K1604" s="16">
        <f>IF(OR(D1604="",F1604=""),"",F1604*IFERROR(INDEX('Sản phẩm'!$D$5:$D$304,MATCH(D1604,'Sản phẩm'!$A$5:$A$304,0)),""))</f>
        <v/>
      </c>
      <c r="L1604" s="16">
        <f>IF(J1604="","",J1604-K1604)</f>
        <v/>
      </c>
      <c r="M1604" s="14">
        <f>IF(A1604="","",MONTH(A1604))</f>
        <v/>
      </c>
      <c r="N1604" s="14">
        <f>IF(A1604="","",YEAR(A1604))</f>
        <v/>
      </c>
    </row>
    <row r="1605">
      <c r="A1605" s="15" t="n"/>
      <c r="B1605" s="10" t="n"/>
      <c r="C1605" s="10" t="n"/>
      <c r="D1605" s="10" t="n"/>
      <c r="E1605" s="14">
        <f>IF(D1605="","",IFERROR(INDEX('Sản phẩm'!$B$5:$B$304,MATCH(D1605,'Sản phẩm'!$A$5:$A$304,0)),""))</f>
        <v/>
      </c>
      <c r="F1605" s="12" t="n"/>
      <c r="G1605" s="11" t="n"/>
      <c r="H1605" s="11" t="n"/>
      <c r="I1605" s="16">
        <f>IF(D1605="","",IF(G1605&lt;&gt;"",G1605,IFERROR(INDEX('Sản phẩm'!$E$5:$E$304,MATCH(D1605,'Sản phẩm'!$A$5:$A$304,0)),"")))</f>
        <v/>
      </c>
      <c r="J1605" s="16">
        <f>IF(OR(D1605="",F1605=""),"",F1605*I1605-N(H1605))</f>
        <v/>
      </c>
      <c r="K1605" s="16">
        <f>IF(OR(D1605="",F1605=""),"",F1605*IFERROR(INDEX('Sản phẩm'!$D$5:$D$304,MATCH(D1605,'Sản phẩm'!$A$5:$A$304,0)),""))</f>
        <v/>
      </c>
      <c r="L1605" s="16">
        <f>IF(J1605="","",J1605-K1605)</f>
        <v/>
      </c>
      <c r="M1605" s="14">
        <f>IF(A1605="","",MONTH(A1605))</f>
        <v/>
      </c>
      <c r="N1605" s="14">
        <f>IF(A1605="","",YEAR(A1605))</f>
        <v/>
      </c>
    </row>
    <row r="1606">
      <c r="A1606" s="15" t="n"/>
      <c r="B1606" s="10" t="n"/>
      <c r="C1606" s="10" t="n"/>
      <c r="D1606" s="10" t="n"/>
      <c r="E1606" s="14">
        <f>IF(D1606="","",IFERROR(INDEX('Sản phẩm'!$B$5:$B$304,MATCH(D1606,'Sản phẩm'!$A$5:$A$304,0)),""))</f>
        <v/>
      </c>
      <c r="F1606" s="12" t="n"/>
      <c r="G1606" s="11" t="n"/>
      <c r="H1606" s="11" t="n"/>
      <c r="I1606" s="16">
        <f>IF(D1606="","",IF(G1606&lt;&gt;"",G1606,IFERROR(INDEX('Sản phẩm'!$E$5:$E$304,MATCH(D1606,'Sản phẩm'!$A$5:$A$304,0)),"")))</f>
        <v/>
      </c>
      <c r="J1606" s="16">
        <f>IF(OR(D1606="",F1606=""),"",F1606*I1606-N(H1606))</f>
        <v/>
      </c>
      <c r="K1606" s="16">
        <f>IF(OR(D1606="",F1606=""),"",F1606*IFERROR(INDEX('Sản phẩm'!$D$5:$D$304,MATCH(D1606,'Sản phẩm'!$A$5:$A$304,0)),""))</f>
        <v/>
      </c>
      <c r="L1606" s="16">
        <f>IF(J1606="","",J1606-K1606)</f>
        <v/>
      </c>
      <c r="M1606" s="14">
        <f>IF(A1606="","",MONTH(A1606))</f>
        <v/>
      </c>
      <c r="N1606" s="14">
        <f>IF(A1606="","",YEAR(A1606))</f>
        <v/>
      </c>
    </row>
    <row r="1607">
      <c r="A1607" s="15" t="n"/>
      <c r="B1607" s="10" t="n"/>
      <c r="C1607" s="10" t="n"/>
      <c r="D1607" s="10" t="n"/>
      <c r="E1607" s="14">
        <f>IF(D1607="","",IFERROR(INDEX('Sản phẩm'!$B$5:$B$304,MATCH(D1607,'Sản phẩm'!$A$5:$A$304,0)),""))</f>
        <v/>
      </c>
      <c r="F1607" s="12" t="n"/>
      <c r="G1607" s="11" t="n"/>
      <c r="H1607" s="11" t="n"/>
      <c r="I1607" s="16">
        <f>IF(D1607="","",IF(G1607&lt;&gt;"",G1607,IFERROR(INDEX('Sản phẩm'!$E$5:$E$304,MATCH(D1607,'Sản phẩm'!$A$5:$A$304,0)),"")))</f>
        <v/>
      </c>
      <c r="J1607" s="16">
        <f>IF(OR(D1607="",F1607=""),"",F1607*I1607-N(H1607))</f>
        <v/>
      </c>
      <c r="K1607" s="16">
        <f>IF(OR(D1607="",F1607=""),"",F1607*IFERROR(INDEX('Sản phẩm'!$D$5:$D$304,MATCH(D1607,'Sản phẩm'!$A$5:$A$304,0)),""))</f>
        <v/>
      </c>
      <c r="L1607" s="16">
        <f>IF(J1607="","",J1607-K1607)</f>
        <v/>
      </c>
      <c r="M1607" s="14">
        <f>IF(A1607="","",MONTH(A1607))</f>
        <v/>
      </c>
      <c r="N1607" s="14">
        <f>IF(A1607="","",YEAR(A1607))</f>
        <v/>
      </c>
    </row>
    <row r="1608">
      <c r="A1608" s="15" t="n"/>
      <c r="B1608" s="10" t="n"/>
      <c r="C1608" s="10" t="n"/>
      <c r="D1608" s="10" t="n"/>
      <c r="E1608" s="14">
        <f>IF(D1608="","",IFERROR(INDEX('Sản phẩm'!$B$5:$B$304,MATCH(D1608,'Sản phẩm'!$A$5:$A$304,0)),""))</f>
        <v/>
      </c>
      <c r="F1608" s="12" t="n"/>
      <c r="G1608" s="11" t="n"/>
      <c r="H1608" s="11" t="n"/>
      <c r="I1608" s="16">
        <f>IF(D1608="","",IF(G1608&lt;&gt;"",G1608,IFERROR(INDEX('Sản phẩm'!$E$5:$E$304,MATCH(D1608,'Sản phẩm'!$A$5:$A$304,0)),"")))</f>
        <v/>
      </c>
      <c r="J1608" s="16">
        <f>IF(OR(D1608="",F1608=""),"",F1608*I1608-N(H1608))</f>
        <v/>
      </c>
      <c r="K1608" s="16">
        <f>IF(OR(D1608="",F1608=""),"",F1608*IFERROR(INDEX('Sản phẩm'!$D$5:$D$304,MATCH(D1608,'Sản phẩm'!$A$5:$A$304,0)),""))</f>
        <v/>
      </c>
      <c r="L1608" s="16">
        <f>IF(J1608="","",J1608-K1608)</f>
        <v/>
      </c>
      <c r="M1608" s="14">
        <f>IF(A1608="","",MONTH(A1608))</f>
        <v/>
      </c>
      <c r="N1608" s="14">
        <f>IF(A1608="","",YEAR(A1608))</f>
        <v/>
      </c>
    </row>
    <row r="1609">
      <c r="A1609" s="15" t="n"/>
      <c r="B1609" s="10" t="n"/>
      <c r="C1609" s="10" t="n"/>
      <c r="D1609" s="10" t="n"/>
      <c r="E1609" s="14">
        <f>IF(D1609="","",IFERROR(INDEX('Sản phẩm'!$B$5:$B$304,MATCH(D1609,'Sản phẩm'!$A$5:$A$304,0)),""))</f>
        <v/>
      </c>
      <c r="F1609" s="12" t="n"/>
      <c r="G1609" s="11" t="n"/>
      <c r="H1609" s="11" t="n"/>
      <c r="I1609" s="16">
        <f>IF(D1609="","",IF(G1609&lt;&gt;"",G1609,IFERROR(INDEX('Sản phẩm'!$E$5:$E$304,MATCH(D1609,'Sản phẩm'!$A$5:$A$304,0)),"")))</f>
        <v/>
      </c>
      <c r="J1609" s="16">
        <f>IF(OR(D1609="",F1609=""),"",F1609*I1609-N(H1609))</f>
        <v/>
      </c>
      <c r="K1609" s="16">
        <f>IF(OR(D1609="",F1609=""),"",F1609*IFERROR(INDEX('Sản phẩm'!$D$5:$D$304,MATCH(D1609,'Sản phẩm'!$A$5:$A$304,0)),""))</f>
        <v/>
      </c>
      <c r="L1609" s="16">
        <f>IF(J1609="","",J1609-K1609)</f>
        <v/>
      </c>
      <c r="M1609" s="14">
        <f>IF(A1609="","",MONTH(A1609))</f>
        <v/>
      </c>
      <c r="N1609" s="14">
        <f>IF(A1609="","",YEAR(A1609))</f>
        <v/>
      </c>
    </row>
    <row r="1610">
      <c r="A1610" s="15" t="n"/>
      <c r="B1610" s="10" t="n"/>
      <c r="C1610" s="10" t="n"/>
      <c r="D1610" s="10" t="n"/>
      <c r="E1610" s="14">
        <f>IF(D1610="","",IFERROR(INDEX('Sản phẩm'!$B$5:$B$304,MATCH(D1610,'Sản phẩm'!$A$5:$A$304,0)),""))</f>
        <v/>
      </c>
      <c r="F1610" s="12" t="n"/>
      <c r="G1610" s="11" t="n"/>
      <c r="H1610" s="11" t="n"/>
      <c r="I1610" s="16">
        <f>IF(D1610="","",IF(G1610&lt;&gt;"",G1610,IFERROR(INDEX('Sản phẩm'!$E$5:$E$304,MATCH(D1610,'Sản phẩm'!$A$5:$A$304,0)),"")))</f>
        <v/>
      </c>
      <c r="J1610" s="16">
        <f>IF(OR(D1610="",F1610=""),"",F1610*I1610-N(H1610))</f>
        <v/>
      </c>
      <c r="K1610" s="16">
        <f>IF(OR(D1610="",F1610=""),"",F1610*IFERROR(INDEX('Sản phẩm'!$D$5:$D$304,MATCH(D1610,'Sản phẩm'!$A$5:$A$304,0)),""))</f>
        <v/>
      </c>
      <c r="L1610" s="16">
        <f>IF(J1610="","",J1610-K1610)</f>
        <v/>
      </c>
      <c r="M1610" s="14">
        <f>IF(A1610="","",MONTH(A1610))</f>
        <v/>
      </c>
      <c r="N1610" s="14">
        <f>IF(A1610="","",YEAR(A1610))</f>
        <v/>
      </c>
    </row>
    <row r="1611">
      <c r="A1611" s="15" t="n"/>
      <c r="B1611" s="10" t="n"/>
      <c r="C1611" s="10" t="n"/>
      <c r="D1611" s="10" t="n"/>
      <c r="E1611" s="14">
        <f>IF(D1611="","",IFERROR(INDEX('Sản phẩm'!$B$5:$B$304,MATCH(D1611,'Sản phẩm'!$A$5:$A$304,0)),""))</f>
        <v/>
      </c>
      <c r="F1611" s="12" t="n"/>
      <c r="G1611" s="11" t="n"/>
      <c r="H1611" s="11" t="n"/>
      <c r="I1611" s="16">
        <f>IF(D1611="","",IF(G1611&lt;&gt;"",G1611,IFERROR(INDEX('Sản phẩm'!$E$5:$E$304,MATCH(D1611,'Sản phẩm'!$A$5:$A$304,0)),"")))</f>
        <v/>
      </c>
      <c r="J1611" s="16">
        <f>IF(OR(D1611="",F1611=""),"",F1611*I1611-N(H1611))</f>
        <v/>
      </c>
      <c r="K1611" s="16">
        <f>IF(OR(D1611="",F1611=""),"",F1611*IFERROR(INDEX('Sản phẩm'!$D$5:$D$304,MATCH(D1611,'Sản phẩm'!$A$5:$A$304,0)),""))</f>
        <v/>
      </c>
      <c r="L1611" s="16">
        <f>IF(J1611="","",J1611-K1611)</f>
        <v/>
      </c>
      <c r="M1611" s="14">
        <f>IF(A1611="","",MONTH(A1611))</f>
        <v/>
      </c>
      <c r="N1611" s="14">
        <f>IF(A1611="","",YEAR(A1611))</f>
        <v/>
      </c>
    </row>
    <row r="1612">
      <c r="A1612" s="15" t="n"/>
      <c r="B1612" s="10" t="n"/>
      <c r="C1612" s="10" t="n"/>
      <c r="D1612" s="10" t="n"/>
      <c r="E1612" s="14">
        <f>IF(D1612="","",IFERROR(INDEX('Sản phẩm'!$B$5:$B$304,MATCH(D1612,'Sản phẩm'!$A$5:$A$304,0)),""))</f>
        <v/>
      </c>
      <c r="F1612" s="12" t="n"/>
      <c r="G1612" s="11" t="n"/>
      <c r="H1612" s="11" t="n"/>
      <c r="I1612" s="16">
        <f>IF(D1612="","",IF(G1612&lt;&gt;"",G1612,IFERROR(INDEX('Sản phẩm'!$E$5:$E$304,MATCH(D1612,'Sản phẩm'!$A$5:$A$304,0)),"")))</f>
        <v/>
      </c>
      <c r="J1612" s="16">
        <f>IF(OR(D1612="",F1612=""),"",F1612*I1612-N(H1612))</f>
        <v/>
      </c>
      <c r="K1612" s="16">
        <f>IF(OR(D1612="",F1612=""),"",F1612*IFERROR(INDEX('Sản phẩm'!$D$5:$D$304,MATCH(D1612,'Sản phẩm'!$A$5:$A$304,0)),""))</f>
        <v/>
      </c>
      <c r="L1612" s="16">
        <f>IF(J1612="","",J1612-K1612)</f>
        <v/>
      </c>
      <c r="M1612" s="14">
        <f>IF(A1612="","",MONTH(A1612))</f>
        <v/>
      </c>
      <c r="N1612" s="14">
        <f>IF(A1612="","",YEAR(A1612))</f>
        <v/>
      </c>
    </row>
    <row r="1613">
      <c r="A1613" s="15" t="n"/>
      <c r="B1613" s="10" t="n"/>
      <c r="C1613" s="10" t="n"/>
      <c r="D1613" s="10" t="n"/>
      <c r="E1613" s="14">
        <f>IF(D1613="","",IFERROR(INDEX('Sản phẩm'!$B$5:$B$304,MATCH(D1613,'Sản phẩm'!$A$5:$A$304,0)),""))</f>
        <v/>
      </c>
      <c r="F1613" s="12" t="n"/>
      <c r="G1613" s="11" t="n"/>
      <c r="H1613" s="11" t="n"/>
      <c r="I1613" s="16">
        <f>IF(D1613="","",IF(G1613&lt;&gt;"",G1613,IFERROR(INDEX('Sản phẩm'!$E$5:$E$304,MATCH(D1613,'Sản phẩm'!$A$5:$A$304,0)),"")))</f>
        <v/>
      </c>
      <c r="J1613" s="16">
        <f>IF(OR(D1613="",F1613=""),"",F1613*I1613-N(H1613))</f>
        <v/>
      </c>
      <c r="K1613" s="16">
        <f>IF(OR(D1613="",F1613=""),"",F1613*IFERROR(INDEX('Sản phẩm'!$D$5:$D$304,MATCH(D1613,'Sản phẩm'!$A$5:$A$304,0)),""))</f>
        <v/>
      </c>
      <c r="L1613" s="16">
        <f>IF(J1613="","",J1613-K1613)</f>
        <v/>
      </c>
      <c r="M1613" s="14">
        <f>IF(A1613="","",MONTH(A1613))</f>
        <v/>
      </c>
      <c r="N1613" s="14">
        <f>IF(A1613="","",YEAR(A1613))</f>
        <v/>
      </c>
    </row>
    <row r="1614">
      <c r="A1614" s="15" t="n"/>
      <c r="B1614" s="10" t="n"/>
      <c r="C1614" s="10" t="n"/>
      <c r="D1614" s="10" t="n"/>
      <c r="E1614" s="14">
        <f>IF(D1614="","",IFERROR(INDEX('Sản phẩm'!$B$5:$B$304,MATCH(D1614,'Sản phẩm'!$A$5:$A$304,0)),""))</f>
        <v/>
      </c>
      <c r="F1614" s="12" t="n"/>
      <c r="G1614" s="11" t="n"/>
      <c r="H1614" s="11" t="n"/>
      <c r="I1614" s="16">
        <f>IF(D1614="","",IF(G1614&lt;&gt;"",G1614,IFERROR(INDEX('Sản phẩm'!$E$5:$E$304,MATCH(D1614,'Sản phẩm'!$A$5:$A$304,0)),"")))</f>
        <v/>
      </c>
      <c r="J1614" s="16">
        <f>IF(OR(D1614="",F1614=""),"",F1614*I1614-N(H1614))</f>
        <v/>
      </c>
      <c r="K1614" s="16">
        <f>IF(OR(D1614="",F1614=""),"",F1614*IFERROR(INDEX('Sản phẩm'!$D$5:$D$304,MATCH(D1614,'Sản phẩm'!$A$5:$A$304,0)),""))</f>
        <v/>
      </c>
      <c r="L1614" s="16">
        <f>IF(J1614="","",J1614-K1614)</f>
        <v/>
      </c>
      <c r="M1614" s="14">
        <f>IF(A1614="","",MONTH(A1614))</f>
        <v/>
      </c>
      <c r="N1614" s="14">
        <f>IF(A1614="","",YEAR(A1614))</f>
        <v/>
      </c>
    </row>
    <row r="1615">
      <c r="A1615" s="15" t="n"/>
      <c r="B1615" s="10" t="n"/>
      <c r="C1615" s="10" t="n"/>
      <c r="D1615" s="10" t="n"/>
      <c r="E1615" s="14">
        <f>IF(D1615="","",IFERROR(INDEX('Sản phẩm'!$B$5:$B$304,MATCH(D1615,'Sản phẩm'!$A$5:$A$304,0)),""))</f>
        <v/>
      </c>
      <c r="F1615" s="12" t="n"/>
      <c r="G1615" s="11" t="n"/>
      <c r="H1615" s="11" t="n"/>
      <c r="I1615" s="16">
        <f>IF(D1615="","",IF(G1615&lt;&gt;"",G1615,IFERROR(INDEX('Sản phẩm'!$E$5:$E$304,MATCH(D1615,'Sản phẩm'!$A$5:$A$304,0)),"")))</f>
        <v/>
      </c>
      <c r="J1615" s="16">
        <f>IF(OR(D1615="",F1615=""),"",F1615*I1615-N(H1615))</f>
        <v/>
      </c>
      <c r="K1615" s="16">
        <f>IF(OR(D1615="",F1615=""),"",F1615*IFERROR(INDEX('Sản phẩm'!$D$5:$D$304,MATCH(D1615,'Sản phẩm'!$A$5:$A$304,0)),""))</f>
        <v/>
      </c>
      <c r="L1615" s="16">
        <f>IF(J1615="","",J1615-K1615)</f>
        <v/>
      </c>
      <c r="M1615" s="14">
        <f>IF(A1615="","",MONTH(A1615))</f>
        <v/>
      </c>
      <c r="N1615" s="14">
        <f>IF(A1615="","",YEAR(A1615))</f>
        <v/>
      </c>
    </row>
    <row r="1616">
      <c r="A1616" s="15" t="n"/>
      <c r="B1616" s="10" t="n"/>
      <c r="C1616" s="10" t="n"/>
      <c r="D1616" s="10" t="n"/>
      <c r="E1616" s="14">
        <f>IF(D1616="","",IFERROR(INDEX('Sản phẩm'!$B$5:$B$304,MATCH(D1616,'Sản phẩm'!$A$5:$A$304,0)),""))</f>
        <v/>
      </c>
      <c r="F1616" s="12" t="n"/>
      <c r="G1616" s="11" t="n"/>
      <c r="H1616" s="11" t="n"/>
      <c r="I1616" s="16">
        <f>IF(D1616="","",IF(G1616&lt;&gt;"",G1616,IFERROR(INDEX('Sản phẩm'!$E$5:$E$304,MATCH(D1616,'Sản phẩm'!$A$5:$A$304,0)),"")))</f>
        <v/>
      </c>
      <c r="J1616" s="16">
        <f>IF(OR(D1616="",F1616=""),"",F1616*I1616-N(H1616))</f>
        <v/>
      </c>
      <c r="K1616" s="16">
        <f>IF(OR(D1616="",F1616=""),"",F1616*IFERROR(INDEX('Sản phẩm'!$D$5:$D$304,MATCH(D1616,'Sản phẩm'!$A$5:$A$304,0)),""))</f>
        <v/>
      </c>
      <c r="L1616" s="16">
        <f>IF(J1616="","",J1616-K1616)</f>
        <v/>
      </c>
      <c r="M1616" s="14">
        <f>IF(A1616="","",MONTH(A1616))</f>
        <v/>
      </c>
      <c r="N1616" s="14">
        <f>IF(A1616="","",YEAR(A1616))</f>
        <v/>
      </c>
    </row>
    <row r="1617">
      <c r="A1617" s="15" t="n"/>
      <c r="B1617" s="10" t="n"/>
      <c r="C1617" s="10" t="n"/>
      <c r="D1617" s="10" t="n"/>
      <c r="E1617" s="14">
        <f>IF(D1617="","",IFERROR(INDEX('Sản phẩm'!$B$5:$B$304,MATCH(D1617,'Sản phẩm'!$A$5:$A$304,0)),""))</f>
        <v/>
      </c>
      <c r="F1617" s="12" t="n"/>
      <c r="G1617" s="11" t="n"/>
      <c r="H1617" s="11" t="n"/>
      <c r="I1617" s="16">
        <f>IF(D1617="","",IF(G1617&lt;&gt;"",G1617,IFERROR(INDEX('Sản phẩm'!$E$5:$E$304,MATCH(D1617,'Sản phẩm'!$A$5:$A$304,0)),"")))</f>
        <v/>
      </c>
      <c r="J1617" s="16">
        <f>IF(OR(D1617="",F1617=""),"",F1617*I1617-N(H1617))</f>
        <v/>
      </c>
      <c r="K1617" s="16">
        <f>IF(OR(D1617="",F1617=""),"",F1617*IFERROR(INDEX('Sản phẩm'!$D$5:$D$304,MATCH(D1617,'Sản phẩm'!$A$5:$A$304,0)),""))</f>
        <v/>
      </c>
      <c r="L1617" s="16">
        <f>IF(J1617="","",J1617-K1617)</f>
        <v/>
      </c>
      <c r="M1617" s="14">
        <f>IF(A1617="","",MONTH(A1617))</f>
        <v/>
      </c>
      <c r="N1617" s="14">
        <f>IF(A1617="","",YEAR(A1617))</f>
        <v/>
      </c>
    </row>
    <row r="1618">
      <c r="A1618" s="15" t="n"/>
      <c r="B1618" s="10" t="n"/>
      <c r="C1618" s="10" t="n"/>
      <c r="D1618" s="10" t="n"/>
      <c r="E1618" s="14">
        <f>IF(D1618="","",IFERROR(INDEX('Sản phẩm'!$B$5:$B$304,MATCH(D1618,'Sản phẩm'!$A$5:$A$304,0)),""))</f>
        <v/>
      </c>
      <c r="F1618" s="12" t="n"/>
      <c r="G1618" s="11" t="n"/>
      <c r="H1618" s="11" t="n"/>
      <c r="I1618" s="16">
        <f>IF(D1618="","",IF(G1618&lt;&gt;"",G1618,IFERROR(INDEX('Sản phẩm'!$E$5:$E$304,MATCH(D1618,'Sản phẩm'!$A$5:$A$304,0)),"")))</f>
        <v/>
      </c>
      <c r="J1618" s="16">
        <f>IF(OR(D1618="",F1618=""),"",F1618*I1618-N(H1618))</f>
        <v/>
      </c>
      <c r="K1618" s="16">
        <f>IF(OR(D1618="",F1618=""),"",F1618*IFERROR(INDEX('Sản phẩm'!$D$5:$D$304,MATCH(D1618,'Sản phẩm'!$A$5:$A$304,0)),""))</f>
        <v/>
      </c>
      <c r="L1618" s="16">
        <f>IF(J1618="","",J1618-K1618)</f>
        <v/>
      </c>
      <c r="M1618" s="14">
        <f>IF(A1618="","",MONTH(A1618))</f>
        <v/>
      </c>
      <c r="N1618" s="14">
        <f>IF(A1618="","",YEAR(A1618))</f>
        <v/>
      </c>
    </row>
    <row r="1619">
      <c r="A1619" s="15" t="n"/>
      <c r="B1619" s="10" t="n"/>
      <c r="C1619" s="10" t="n"/>
      <c r="D1619" s="10" t="n"/>
      <c r="E1619" s="14">
        <f>IF(D1619="","",IFERROR(INDEX('Sản phẩm'!$B$5:$B$304,MATCH(D1619,'Sản phẩm'!$A$5:$A$304,0)),""))</f>
        <v/>
      </c>
      <c r="F1619" s="12" t="n"/>
      <c r="G1619" s="11" t="n"/>
      <c r="H1619" s="11" t="n"/>
      <c r="I1619" s="16">
        <f>IF(D1619="","",IF(G1619&lt;&gt;"",G1619,IFERROR(INDEX('Sản phẩm'!$E$5:$E$304,MATCH(D1619,'Sản phẩm'!$A$5:$A$304,0)),"")))</f>
        <v/>
      </c>
      <c r="J1619" s="16">
        <f>IF(OR(D1619="",F1619=""),"",F1619*I1619-N(H1619))</f>
        <v/>
      </c>
      <c r="K1619" s="16">
        <f>IF(OR(D1619="",F1619=""),"",F1619*IFERROR(INDEX('Sản phẩm'!$D$5:$D$304,MATCH(D1619,'Sản phẩm'!$A$5:$A$304,0)),""))</f>
        <v/>
      </c>
      <c r="L1619" s="16">
        <f>IF(J1619="","",J1619-K1619)</f>
        <v/>
      </c>
      <c r="M1619" s="14">
        <f>IF(A1619="","",MONTH(A1619))</f>
        <v/>
      </c>
      <c r="N1619" s="14">
        <f>IF(A1619="","",YEAR(A1619))</f>
        <v/>
      </c>
    </row>
    <row r="1620">
      <c r="A1620" s="15" t="n"/>
      <c r="B1620" s="10" t="n"/>
      <c r="C1620" s="10" t="n"/>
      <c r="D1620" s="10" t="n"/>
      <c r="E1620" s="14">
        <f>IF(D1620="","",IFERROR(INDEX('Sản phẩm'!$B$5:$B$304,MATCH(D1620,'Sản phẩm'!$A$5:$A$304,0)),""))</f>
        <v/>
      </c>
      <c r="F1620" s="12" t="n"/>
      <c r="G1620" s="11" t="n"/>
      <c r="H1620" s="11" t="n"/>
      <c r="I1620" s="16">
        <f>IF(D1620="","",IF(G1620&lt;&gt;"",G1620,IFERROR(INDEX('Sản phẩm'!$E$5:$E$304,MATCH(D1620,'Sản phẩm'!$A$5:$A$304,0)),"")))</f>
        <v/>
      </c>
      <c r="J1620" s="16">
        <f>IF(OR(D1620="",F1620=""),"",F1620*I1620-N(H1620))</f>
        <v/>
      </c>
      <c r="K1620" s="16">
        <f>IF(OR(D1620="",F1620=""),"",F1620*IFERROR(INDEX('Sản phẩm'!$D$5:$D$304,MATCH(D1620,'Sản phẩm'!$A$5:$A$304,0)),""))</f>
        <v/>
      </c>
      <c r="L1620" s="16">
        <f>IF(J1620="","",J1620-K1620)</f>
        <v/>
      </c>
      <c r="M1620" s="14">
        <f>IF(A1620="","",MONTH(A1620))</f>
        <v/>
      </c>
      <c r="N1620" s="14">
        <f>IF(A1620="","",YEAR(A1620))</f>
        <v/>
      </c>
    </row>
    <row r="1621">
      <c r="A1621" s="15" t="n"/>
      <c r="B1621" s="10" t="n"/>
      <c r="C1621" s="10" t="n"/>
      <c r="D1621" s="10" t="n"/>
      <c r="E1621" s="14">
        <f>IF(D1621="","",IFERROR(INDEX('Sản phẩm'!$B$5:$B$304,MATCH(D1621,'Sản phẩm'!$A$5:$A$304,0)),""))</f>
        <v/>
      </c>
      <c r="F1621" s="12" t="n"/>
      <c r="G1621" s="11" t="n"/>
      <c r="H1621" s="11" t="n"/>
      <c r="I1621" s="16">
        <f>IF(D1621="","",IF(G1621&lt;&gt;"",G1621,IFERROR(INDEX('Sản phẩm'!$E$5:$E$304,MATCH(D1621,'Sản phẩm'!$A$5:$A$304,0)),"")))</f>
        <v/>
      </c>
      <c r="J1621" s="16">
        <f>IF(OR(D1621="",F1621=""),"",F1621*I1621-N(H1621))</f>
        <v/>
      </c>
      <c r="K1621" s="16">
        <f>IF(OR(D1621="",F1621=""),"",F1621*IFERROR(INDEX('Sản phẩm'!$D$5:$D$304,MATCH(D1621,'Sản phẩm'!$A$5:$A$304,0)),""))</f>
        <v/>
      </c>
      <c r="L1621" s="16">
        <f>IF(J1621="","",J1621-K1621)</f>
        <v/>
      </c>
      <c r="M1621" s="14">
        <f>IF(A1621="","",MONTH(A1621))</f>
        <v/>
      </c>
      <c r="N1621" s="14">
        <f>IF(A1621="","",YEAR(A1621))</f>
        <v/>
      </c>
    </row>
    <row r="1622">
      <c r="A1622" s="15" t="n"/>
      <c r="B1622" s="10" t="n"/>
      <c r="C1622" s="10" t="n"/>
      <c r="D1622" s="10" t="n"/>
      <c r="E1622" s="14">
        <f>IF(D1622="","",IFERROR(INDEX('Sản phẩm'!$B$5:$B$304,MATCH(D1622,'Sản phẩm'!$A$5:$A$304,0)),""))</f>
        <v/>
      </c>
      <c r="F1622" s="12" t="n"/>
      <c r="G1622" s="11" t="n"/>
      <c r="H1622" s="11" t="n"/>
      <c r="I1622" s="16">
        <f>IF(D1622="","",IF(G1622&lt;&gt;"",G1622,IFERROR(INDEX('Sản phẩm'!$E$5:$E$304,MATCH(D1622,'Sản phẩm'!$A$5:$A$304,0)),"")))</f>
        <v/>
      </c>
      <c r="J1622" s="16">
        <f>IF(OR(D1622="",F1622=""),"",F1622*I1622-N(H1622))</f>
        <v/>
      </c>
      <c r="K1622" s="16">
        <f>IF(OR(D1622="",F1622=""),"",F1622*IFERROR(INDEX('Sản phẩm'!$D$5:$D$304,MATCH(D1622,'Sản phẩm'!$A$5:$A$304,0)),""))</f>
        <v/>
      </c>
      <c r="L1622" s="16">
        <f>IF(J1622="","",J1622-K1622)</f>
        <v/>
      </c>
      <c r="M1622" s="14">
        <f>IF(A1622="","",MONTH(A1622))</f>
        <v/>
      </c>
      <c r="N1622" s="14">
        <f>IF(A1622="","",YEAR(A1622))</f>
        <v/>
      </c>
    </row>
    <row r="1623">
      <c r="A1623" s="15" t="n"/>
      <c r="B1623" s="10" t="n"/>
      <c r="C1623" s="10" t="n"/>
      <c r="D1623" s="10" t="n"/>
      <c r="E1623" s="14">
        <f>IF(D1623="","",IFERROR(INDEX('Sản phẩm'!$B$5:$B$304,MATCH(D1623,'Sản phẩm'!$A$5:$A$304,0)),""))</f>
        <v/>
      </c>
      <c r="F1623" s="12" t="n"/>
      <c r="G1623" s="11" t="n"/>
      <c r="H1623" s="11" t="n"/>
      <c r="I1623" s="16">
        <f>IF(D1623="","",IF(G1623&lt;&gt;"",G1623,IFERROR(INDEX('Sản phẩm'!$E$5:$E$304,MATCH(D1623,'Sản phẩm'!$A$5:$A$304,0)),"")))</f>
        <v/>
      </c>
      <c r="J1623" s="16">
        <f>IF(OR(D1623="",F1623=""),"",F1623*I1623-N(H1623))</f>
        <v/>
      </c>
      <c r="K1623" s="16">
        <f>IF(OR(D1623="",F1623=""),"",F1623*IFERROR(INDEX('Sản phẩm'!$D$5:$D$304,MATCH(D1623,'Sản phẩm'!$A$5:$A$304,0)),""))</f>
        <v/>
      </c>
      <c r="L1623" s="16">
        <f>IF(J1623="","",J1623-K1623)</f>
        <v/>
      </c>
      <c r="M1623" s="14">
        <f>IF(A1623="","",MONTH(A1623))</f>
        <v/>
      </c>
      <c r="N1623" s="14">
        <f>IF(A1623="","",YEAR(A1623))</f>
        <v/>
      </c>
    </row>
    <row r="1624">
      <c r="A1624" s="15" t="n"/>
      <c r="B1624" s="10" t="n"/>
      <c r="C1624" s="10" t="n"/>
      <c r="D1624" s="10" t="n"/>
      <c r="E1624" s="14">
        <f>IF(D1624="","",IFERROR(INDEX('Sản phẩm'!$B$5:$B$304,MATCH(D1624,'Sản phẩm'!$A$5:$A$304,0)),""))</f>
        <v/>
      </c>
      <c r="F1624" s="12" t="n"/>
      <c r="G1624" s="11" t="n"/>
      <c r="H1624" s="11" t="n"/>
      <c r="I1624" s="16">
        <f>IF(D1624="","",IF(G1624&lt;&gt;"",G1624,IFERROR(INDEX('Sản phẩm'!$E$5:$E$304,MATCH(D1624,'Sản phẩm'!$A$5:$A$304,0)),"")))</f>
        <v/>
      </c>
      <c r="J1624" s="16">
        <f>IF(OR(D1624="",F1624=""),"",F1624*I1624-N(H1624))</f>
        <v/>
      </c>
      <c r="K1624" s="16">
        <f>IF(OR(D1624="",F1624=""),"",F1624*IFERROR(INDEX('Sản phẩm'!$D$5:$D$304,MATCH(D1624,'Sản phẩm'!$A$5:$A$304,0)),""))</f>
        <v/>
      </c>
      <c r="L1624" s="16">
        <f>IF(J1624="","",J1624-K1624)</f>
        <v/>
      </c>
      <c r="M1624" s="14">
        <f>IF(A1624="","",MONTH(A1624))</f>
        <v/>
      </c>
      <c r="N1624" s="14">
        <f>IF(A1624="","",YEAR(A1624))</f>
        <v/>
      </c>
    </row>
    <row r="1625">
      <c r="A1625" s="15" t="n"/>
      <c r="B1625" s="10" t="n"/>
      <c r="C1625" s="10" t="n"/>
      <c r="D1625" s="10" t="n"/>
      <c r="E1625" s="14">
        <f>IF(D1625="","",IFERROR(INDEX('Sản phẩm'!$B$5:$B$304,MATCH(D1625,'Sản phẩm'!$A$5:$A$304,0)),""))</f>
        <v/>
      </c>
      <c r="F1625" s="12" t="n"/>
      <c r="G1625" s="11" t="n"/>
      <c r="H1625" s="11" t="n"/>
      <c r="I1625" s="16">
        <f>IF(D1625="","",IF(G1625&lt;&gt;"",G1625,IFERROR(INDEX('Sản phẩm'!$E$5:$E$304,MATCH(D1625,'Sản phẩm'!$A$5:$A$304,0)),"")))</f>
        <v/>
      </c>
      <c r="J1625" s="16">
        <f>IF(OR(D1625="",F1625=""),"",F1625*I1625-N(H1625))</f>
        <v/>
      </c>
      <c r="K1625" s="16">
        <f>IF(OR(D1625="",F1625=""),"",F1625*IFERROR(INDEX('Sản phẩm'!$D$5:$D$304,MATCH(D1625,'Sản phẩm'!$A$5:$A$304,0)),""))</f>
        <v/>
      </c>
      <c r="L1625" s="16">
        <f>IF(J1625="","",J1625-K1625)</f>
        <v/>
      </c>
      <c r="M1625" s="14">
        <f>IF(A1625="","",MONTH(A1625))</f>
        <v/>
      </c>
      <c r="N1625" s="14">
        <f>IF(A1625="","",YEAR(A1625))</f>
        <v/>
      </c>
    </row>
    <row r="1626">
      <c r="A1626" s="15" t="n"/>
      <c r="B1626" s="10" t="n"/>
      <c r="C1626" s="10" t="n"/>
      <c r="D1626" s="10" t="n"/>
      <c r="E1626" s="14">
        <f>IF(D1626="","",IFERROR(INDEX('Sản phẩm'!$B$5:$B$304,MATCH(D1626,'Sản phẩm'!$A$5:$A$304,0)),""))</f>
        <v/>
      </c>
      <c r="F1626" s="12" t="n"/>
      <c r="G1626" s="11" t="n"/>
      <c r="H1626" s="11" t="n"/>
      <c r="I1626" s="16">
        <f>IF(D1626="","",IF(G1626&lt;&gt;"",G1626,IFERROR(INDEX('Sản phẩm'!$E$5:$E$304,MATCH(D1626,'Sản phẩm'!$A$5:$A$304,0)),"")))</f>
        <v/>
      </c>
      <c r="J1626" s="16">
        <f>IF(OR(D1626="",F1626=""),"",F1626*I1626-N(H1626))</f>
        <v/>
      </c>
      <c r="K1626" s="16">
        <f>IF(OR(D1626="",F1626=""),"",F1626*IFERROR(INDEX('Sản phẩm'!$D$5:$D$304,MATCH(D1626,'Sản phẩm'!$A$5:$A$304,0)),""))</f>
        <v/>
      </c>
      <c r="L1626" s="16">
        <f>IF(J1626="","",J1626-K1626)</f>
        <v/>
      </c>
      <c r="M1626" s="14">
        <f>IF(A1626="","",MONTH(A1626))</f>
        <v/>
      </c>
      <c r="N1626" s="14">
        <f>IF(A1626="","",YEAR(A1626))</f>
        <v/>
      </c>
    </row>
    <row r="1627">
      <c r="A1627" s="15" t="n"/>
      <c r="B1627" s="10" t="n"/>
      <c r="C1627" s="10" t="n"/>
      <c r="D1627" s="10" t="n"/>
      <c r="E1627" s="14">
        <f>IF(D1627="","",IFERROR(INDEX('Sản phẩm'!$B$5:$B$304,MATCH(D1627,'Sản phẩm'!$A$5:$A$304,0)),""))</f>
        <v/>
      </c>
      <c r="F1627" s="12" t="n"/>
      <c r="G1627" s="11" t="n"/>
      <c r="H1627" s="11" t="n"/>
      <c r="I1627" s="16">
        <f>IF(D1627="","",IF(G1627&lt;&gt;"",G1627,IFERROR(INDEX('Sản phẩm'!$E$5:$E$304,MATCH(D1627,'Sản phẩm'!$A$5:$A$304,0)),"")))</f>
        <v/>
      </c>
      <c r="J1627" s="16">
        <f>IF(OR(D1627="",F1627=""),"",F1627*I1627-N(H1627))</f>
        <v/>
      </c>
      <c r="K1627" s="16">
        <f>IF(OR(D1627="",F1627=""),"",F1627*IFERROR(INDEX('Sản phẩm'!$D$5:$D$304,MATCH(D1627,'Sản phẩm'!$A$5:$A$304,0)),""))</f>
        <v/>
      </c>
      <c r="L1627" s="16">
        <f>IF(J1627="","",J1627-K1627)</f>
        <v/>
      </c>
      <c r="M1627" s="14">
        <f>IF(A1627="","",MONTH(A1627))</f>
        <v/>
      </c>
      <c r="N1627" s="14">
        <f>IF(A1627="","",YEAR(A1627))</f>
        <v/>
      </c>
    </row>
    <row r="1628">
      <c r="A1628" s="15" t="n"/>
      <c r="B1628" s="10" t="n"/>
      <c r="C1628" s="10" t="n"/>
      <c r="D1628" s="10" t="n"/>
      <c r="E1628" s="14">
        <f>IF(D1628="","",IFERROR(INDEX('Sản phẩm'!$B$5:$B$304,MATCH(D1628,'Sản phẩm'!$A$5:$A$304,0)),""))</f>
        <v/>
      </c>
      <c r="F1628" s="12" t="n"/>
      <c r="G1628" s="11" t="n"/>
      <c r="H1628" s="11" t="n"/>
      <c r="I1628" s="16">
        <f>IF(D1628="","",IF(G1628&lt;&gt;"",G1628,IFERROR(INDEX('Sản phẩm'!$E$5:$E$304,MATCH(D1628,'Sản phẩm'!$A$5:$A$304,0)),"")))</f>
        <v/>
      </c>
      <c r="J1628" s="16">
        <f>IF(OR(D1628="",F1628=""),"",F1628*I1628-N(H1628))</f>
        <v/>
      </c>
      <c r="K1628" s="16">
        <f>IF(OR(D1628="",F1628=""),"",F1628*IFERROR(INDEX('Sản phẩm'!$D$5:$D$304,MATCH(D1628,'Sản phẩm'!$A$5:$A$304,0)),""))</f>
        <v/>
      </c>
      <c r="L1628" s="16">
        <f>IF(J1628="","",J1628-K1628)</f>
        <v/>
      </c>
      <c r="M1628" s="14">
        <f>IF(A1628="","",MONTH(A1628))</f>
        <v/>
      </c>
      <c r="N1628" s="14">
        <f>IF(A1628="","",YEAR(A1628))</f>
        <v/>
      </c>
    </row>
    <row r="1629">
      <c r="A1629" s="15" t="n"/>
      <c r="B1629" s="10" t="n"/>
      <c r="C1629" s="10" t="n"/>
      <c r="D1629" s="10" t="n"/>
      <c r="E1629" s="14">
        <f>IF(D1629="","",IFERROR(INDEX('Sản phẩm'!$B$5:$B$304,MATCH(D1629,'Sản phẩm'!$A$5:$A$304,0)),""))</f>
        <v/>
      </c>
      <c r="F1629" s="12" t="n"/>
      <c r="G1629" s="11" t="n"/>
      <c r="H1629" s="11" t="n"/>
      <c r="I1629" s="16">
        <f>IF(D1629="","",IF(G1629&lt;&gt;"",G1629,IFERROR(INDEX('Sản phẩm'!$E$5:$E$304,MATCH(D1629,'Sản phẩm'!$A$5:$A$304,0)),"")))</f>
        <v/>
      </c>
      <c r="J1629" s="16">
        <f>IF(OR(D1629="",F1629=""),"",F1629*I1629-N(H1629))</f>
        <v/>
      </c>
      <c r="K1629" s="16">
        <f>IF(OR(D1629="",F1629=""),"",F1629*IFERROR(INDEX('Sản phẩm'!$D$5:$D$304,MATCH(D1629,'Sản phẩm'!$A$5:$A$304,0)),""))</f>
        <v/>
      </c>
      <c r="L1629" s="16">
        <f>IF(J1629="","",J1629-K1629)</f>
        <v/>
      </c>
      <c r="M1629" s="14">
        <f>IF(A1629="","",MONTH(A1629))</f>
        <v/>
      </c>
      <c r="N1629" s="14">
        <f>IF(A1629="","",YEAR(A1629))</f>
        <v/>
      </c>
    </row>
    <row r="1630">
      <c r="A1630" s="15" t="n"/>
      <c r="B1630" s="10" t="n"/>
      <c r="C1630" s="10" t="n"/>
      <c r="D1630" s="10" t="n"/>
      <c r="E1630" s="14">
        <f>IF(D1630="","",IFERROR(INDEX('Sản phẩm'!$B$5:$B$304,MATCH(D1630,'Sản phẩm'!$A$5:$A$304,0)),""))</f>
        <v/>
      </c>
      <c r="F1630" s="12" t="n"/>
      <c r="G1630" s="11" t="n"/>
      <c r="H1630" s="11" t="n"/>
      <c r="I1630" s="16">
        <f>IF(D1630="","",IF(G1630&lt;&gt;"",G1630,IFERROR(INDEX('Sản phẩm'!$E$5:$E$304,MATCH(D1630,'Sản phẩm'!$A$5:$A$304,0)),"")))</f>
        <v/>
      </c>
      <c r="J1630" s="16">
        <f>IF(OR(D1630="",F1630=""),"",F1630*I1630-N(H1630))</f>
        <v/>
      </c>
      <c r="K1630" s="16">
        <f>IF(OR(D1630="",F1630=""),"",F1630*IFERROR(INDEX('Sản phẩm'!$D$5:$D$304,MATCH(D1630,'Sản phẩm'!$A$5:$A$304,0)),""))</f>
        <v/>
      </c>
      <c r="L1630" s="16">
        <f>IF(J1630="","",J1630-K1630)</f>
        <v/>
      </c>
      <c r="M1630" s="14">
        <f>IF(A1630="","",MONTH(A1630))</f>
        <v/>
      </c>
      <c r="N1630" s="14">
        <f>IF(A1630="","",YEAR(A1630))</f>
        <v/>
      </c>
    </row>
    <row r="1631">
      <c r="A1631" s="15" t="n"/>
      <c r="B1631" s="10" t="n"/>
      <c r="C1631" s="10" t="n"/>
      <c r="D1631" s="10" t="n"/>
      <c r="E1631" s="14">
        <f>IF(D1631="","",IFERROR(INDEX('Sản phẩm'!$B$5:$B$304,MATCH(D1631,'Sản phẩm'!$A$5:$A$304,0)),""))</f>
        <v/>
      </c>
      <c r="F1631" s="12" t="n"/>
      <c r="G1631" s="11" t="n"/>
      <c r="H1631" s="11" t="n"/>
      <c r="I1631" s="16">
        <f>IF(D1631="","",IF(G1631&lt;&gt;"",G1631,IFERROR(INDEX('Sản phẩm'!$E$5:$E$304,MATCH(D1631,'Sản phẩm'!$A$5:$A$304,0)),"")))</f>
        <v/>
      </c>
      <c r="J1631" s="16">
        <f>IF(OR(D1631="",F1631=""),"",F1631*I1631-N(H1631))</f>
        <v/>
      </c>
      <c r="K1631" s="16">
        <f>IF(OR(D1631="",F1631=""),"",F1631*IFERROR(INDEX('Sản phẩm'!$D$5:$D$304,MATCH(D1631,'Sản phẩm'!$A$5:$A$304,0)),""))</f>
        <v/>
      </c>
      <c r="L1631" s="16">
        <f>IF(J1631="","",J1631-K1631)</f>
        <v/>
      </c>
      <c r="M1631" s="14">
        <f>IF(A1631="","",MONTH(A1631))</f>
        <v/>
      </c>
      <c r="N1631" s="14">
        <f>IF(A1631="","",YEAR(A1631))</f>
        <v/>
      </c>
    </row>
    <row r="1632">
      <c r="A1632" s="15" t="n"/>
      <c r="B1632" s="10" t="n"/>
      <c r="C1632" s="10" t="n"/>
      <c r="D1632" s="10" t="n"/>
      <c r="E1632" s="14">
        <f>IF(D1632="","",IFERROR(INDEX('Sản phẩm'!$B$5:$B$304,MATCH(D1632,'Sản phẩm'!$A$5:$A$304,0)),""))</f>
        <v/>
      </c>
      <c r="F1632" s="12" t="n"/>
      <c r="G1632" s="11" t="n"/>
      <c r="H1632" s="11" t="n"/>
      <c r="I1632" s="16">
        <f>IF(D1632="","",IF(G1632&lt;&gt;"",G1632,IFERROR(INDEX('Sản phẩm'!$E$5:$E$304,MATCH(D1632,'Sản phẩm'!$A$5:$A$304,0)),"")))</f>
        <v/>
      </c>
      <c r="J1632" s="16">
        <f>IF(OR(D1632="",F1632=""),"",F1632*I1632-N(H1632))</f>
        <v/>
      </c>
      <c r="K1632" s="16">
        <f>IF(OR(D1632="",F1632=""),"",F1632*IFERROR(INDEX('Sản phẩm'!$D$5:$D$304,MATCH(D1632,'Sản phẩm'!$A$5:$A$304,0)),""))</f>
        <v/>
      </c>
      <c r="L1632" s="16">
        <f>IF(J1632="","",J1632-K1632)</f>
        <v/>
      </c>
      <c r="M1632" s="14">
        <f>IF(A1632="","",MONTH(A1632))</f>
        <v/>
      </c>
      <c r="N1632" s="14">
        <f>IF(A1632="","",YEAR(A1632))</f>
        <v/>
      </c>
    </row>
    <row r="1633">
      <c r="A1633" s="15" t="n"/>
      <c r="B1633" s="10" t="n"/>
      <c r="C1633" s="10" t="n"/>
      <c r="D1633" s="10" t="n"/>
      <c r="E1633" s="14">
        <f>IF(D1633="","",IFERROR(INDEX('Sản phẩm'!$B$5:$B$304,MATCH(D1633,'Sản phẩm'!$A$5:$A$304,0)),""))</f>
        <v/>
      </c>
      <c r="F1633" s="12" t="n"/>
      <c r="G1633" s="11" t="n"/>
      <c r="H1633" s="11" t="n"/>
      <c r="I1633" s="16">
        <f>IF(D1633="","",IF(G1633&lt;&gt;"",G1633,IFERROR(INDEX('Sản phẩm'!$E$5:$E$304,MATCH(D1633,'Sản phẩm'!$A$5:$A$304,0)),"")))</f>
        <v/>
      </c>
      <c r="J1633" s="16">
        <f>IF(OR(D1633="",F1633=""),"",F1633*I1633-N(H1633))</f>
        <v/>
      </c>
      <c r="K1633" s="16">
        <f>IF(OR(D1633="",F1633=""),"",F1633*IFERROR(INDEX('Sản phẩm'!$D$5:$D$304,MATCH(D1633,'Sản phẩm'!$A$5:$A$304,0)),""))</f>
        <v/>
      </c>
      <c r="L1633" s="16">
        <f>IF(J1633="","",J1633-K1633)</f>
        <v/>
      </c>
      <c r="M1633" s="14">
        <f>IF(A1633="","",MONTH(A1633))</f>
        <v/>
      </c>
      <c r="N1633" s="14">
        <f>IF(A1633="","",YEAR(A1633))</f>
        <v/>
      </c>
    </row>
    <row r="1634">
      <c r="A1634" s="15" t="n"/>
      <c r="B1634" s="10" t="n"/>
      <c r="C1634" s="10" t="n"/>
      <c r="D1634" s="10" t="n"/>
      <c r="E1634" s="14">
        <f>IF(D1634="","",IFERROR(INDEX('Sản phẩm'!$B$5:$B$304,MATCH(D1634,'Sản phẩm'!$A$5:$A$304,0)),""))</f>
        <v/>
      </c>
      <c r="F1634" s="12" t="n"/>
      <c r="G1634" s="11" t="n"/>
      <c r="H1634" s="11" t="n"/>
      <c r="I1634" s="16">
        <f>IF(D1634="","",IF(G1634&lt;&gt;"",G1634,IFERROR(INDEX('Sản phẩm'!$E$5:$E$304,MATCH(D1634,'Sản phẩm'!$A$5:$A$304,0)),"")))</f>
        <v/>
      </c>
      <c r="J1634" s="16">
        <f>IF(OR(D1634="",F1634=""),"",F1634*I1634-N(H1634))</f>
        <v/>
      </c>
      <c r="K1634" s="16">
        <f>IF(OR(D1634="",F1634=""),"",F1634*IFERROR(INDEX('Sản phẩm'!$D$5:$D$304,MATCH(D1634,'Sản phẩm'!$A$5:$A$304,0)),""))</f>
        <v/>
      </c>
      <c r="L1634" s="16">
        <f>IF(J1634="","",J1634-K1634)</f>
        <v/>
      </c>
      <c r="M1634" s="14">
        <f>IF(A1634="","",MONTH(A1634))</f>
        <v/>
      </c>
      <c r="N1634" s="14">
        <f>IF(A1634="","",YEAR(A1634))</f>
        <v/>
      </c>
    </row>
    <row r="1635">
      <c r="A1635" s="15" t="n"/>
      <c r="B1635" s="10" t="n"/>
      <c r="C1635" s="10" t="n"/>
      <c r="D1635" s="10" t="n"/>
      <c r="E1635" s="14">
        <f>IF(D1635="","",IFERROR(INDEX('Sản phẩm'!$B$5:$B$304,MATCH(D1635,'Sản phẩm'!$A$5:$A$304,0)),""))</f>
        <v/>
      </c>
      <c r="F1635" s="12" t="n"/>
      <c r="G1635" s="11" t="n"/>
      <c r="H1635" s="11" t="n"/>
      <c r="I1635" s="16">
        <f>IF(D1635="","",IF(G1635&lt;&gt;"",G1635,IFERROR(INDEX('Sản phẩm'!$E$5:$E$304,MATCH(D1635,'Sản phẩm'!$A$5:$A$304,0)),"")))</f>
        <v/>
      </c>
      <c r="J1635" s="16">
        <f>IF(OR(D1635="",F1635=""),"",F1635*I1635-N(H1635))</f>
        <v/>
      </c>
      <c r="K1635" s="16">
        <f>IF(OR(D1635="",F1635=""),"",F1635*IFERROR(INDEX('Sản phẩm'!$D$5:$D$304,MATCH(D1635,'Sản phẩm'!$A$5:$A$304,0)),""))</f>
        <v/>
      </c>
      <c r="L1635" s="16">
        <f>IF(J1635="","",J1635-K1635)</f>
        <v/>
      </c>
      <c r="M1635" s="14">
        <f>IF(A1635="","",MONTH(A1635))</f>
        <v/>
      </c>
      <c r="N1635" s="14">
        <f>IF(A1635="","",YEAR(A1635))</f>
        <v/>
      </c>
    </row>
    <row r="1636">
      <c r="A1636" s="15" t="n"/>
      <c r="B1636" s="10" t="n"/>
      <c r="C1636" s="10" t="n"/>
      <c r="D1636" s="10" t="n"/>
      <c r="E1636" s="14">
        <f>IF(D1636="","",IFERROR(INDEX('Sản phẩm'!$B$5:$B$304,MATCH(D1636,'Sản phẩm'!$A$5:$A$304,0)),""))</f>
        <v/>
      </c>
      <c r="F1636" s="12" t="n"/>
      <c r="G1636" s="11" t="n"/>
      <c r="H1636" s="11" t="n"/>
      <c r="I1636" s="16">
        <f>IF(D1636="","",IF(G1636&lt;&gt;"",G1636,IFERROR(INDEX('Sản phẩm'!$E$5:$E$304,MATCH(D1636,'Sản phẩm'!$A$5:$A$304,0)),"")))</f>
        <v/>
      </c>
      <c r="J1636" s="16">
        <f>IF(OR(D1636="",F1636=""),"",F1636*I1636-N(H1636))</f>
        <v/>
      </c>
      <c r="K1636" s="16">
        <f>IF(OR(D1636="",F1636=""),"",F1636*IFERROR(INDEX('Sản phẩm'!$D$5:$D$304,MATCH(D1636,'Sản phẩm'!$A$5:$A$304,0)),""))</f>
        <v/>
      </c>
      <c r="L1636" s="16">
        <f>IF(J1636="","",J1636-K1636)</f>
        <v/>
      </c>
      <c r="M1636" s="14">
        <f>IF(A1636="","",MONTH(A1636))</f>
        <v/>
      </c>
      <c r="N1636" s="14">
        <f>IF(A1636="","",YEAR(A1636))</f>
        <v/>
      </c>
    </row>
    <row r="1637">
      <c r="A1637" s="15" t="n"/>
      <c r="B1637" s="10" t="n"/>
      <c r="C1637" s="10" t="n"/>
      <c r="D1637" s="10" t="n"/>
      <c r="E1637" s="14">
        <f>IF(D1637="","",IFERROR(INDEX('Sản phẩm'!$B$5:$B$304,MATCH(D1637,'Sản phẩm'!$A$5:$A$304,0)),""))</f>
        <v/>
      </c>
      <c r="F1637" s="12" t="n"/>
      <c r="G1637" s="11" t="n"/>
      <c r="H1637" s="11" t="n"/>
      <c r="I1637" s="16">
        <f>IF(D1637="","",IF(G1637&lt;&gt;"",G1637,IFERROR(INDEX('Sản phẩm'!$E$5:$E$304,MATCH(D1637,'Sản phẩm'!$A$5:$A$304,0)),"")))</f>
        <v/>
      </c>
      <c r="J1637" s="16">
        <f>IF(OR(D1637="",F1637=""),"",F1637*I1637-N(H1637))</f>
        <v/>
      </c>
      <c r="K1637" s="16">
        <f>IF(OR(D1637="",F1637=""),"",F1637*IFERROR(INDEX('Sản phẩm'!$D$5:$D$304,MATCH(D1637,'Sản phẩm'!$A$5:$A$304,0)),""))</f>
        <v/>
      </c>
      <c r="L1637" s="16">
        <f>IF(J1637="","",J1637-K1637)</f>
        <v/>
      </c>
      <c r="M1637" s="14">
        <f>IF(A1637="","",MONTH(A1637))</f>
        <v/>
      </c>
      <c r="N1637" s="14">
        <f>IF(A1637="","",YEAR(A1637))</f>
        <v/>
      </c>
    </row>
    <row r="1638">
      <c r="A1638" s="15" t="n"/>
      <c r="B1638" s="10" t="n"/>
      <c r="C1638" s="10" t="n"/>
      <c r="D1638" s="10" t="n"/>
      <c r="E1638" s="14">
        <f>IF(D1638="","",IFERROR(INDEX('Sản phẩm'!$B$5:$B$304,MATCH(D1638,'Sản phẩm'!$A$5:$A$304,0)),""))</f>
        <v/>
      </c>
      <c r="F1638" s="12" t="n"/>
      <c r="G1638" s="11" t="n"/>
      <c r="H1638" s="11" t="n"/>
      <c r="I1638" s="16">
        <f>IF(D1638="","",IF(G1638&lt;&gt;"",G1638,IFERROR(INDEX('Sản phẩm'!$E$5:$E$304,MATCH(D1638,'Sản phẩm'!$A$5:$A$304,0)),"")))</f>
        <v/>
      </c>
      <c r="J1638" s="16">
        <f>IF(OR(D1638="",F1638=""),"",F1638*I1638-N(H1638))</f>
        <v/>
      </c>
      <c r="K1638" s="16">
        <f>IF(OR(D1638="",F1638=""),"",F1638*IFERROR(INDEX('Sản phẩm'!$D$5:$D$304,MATCH(D1638,'Sản phẩm'!$A$5:$A$304,0)),""))</f>
        <v/>
      </c>
      <c r="L1638" s="16">
        <f>IF(J1638="","",J1638-K1638)</f>
        <v/>
      </c>
      <c r="M1638" s="14">
        <f>IF(A1638="","",MONTH(A1638))</f>
        <v/>
      </c>
      <c r="N1638" s="14">
        <f>IF(A1638="","",YEAR(A1638))</f>
        <v/>
      </c>
    </row>
    <row r="1639">
      <c r="A1639" s="15" t="n"/>
      <c r="B1639" s="10" t="n"/>
      <c r="C1639" s="10" t="n"/>
      <c r="D1639" s="10" t="n"/>
      <c r="E1639" s="14">
        <f>IF(D1639="","",IFERROR(INDEX('Sản phẩm'!$B$5:$B$304,MATCH(D1639,'Sản phẩm'!$A$5:$A$304,0)),""))</f>
        <v/>
      </c>
      <c r="F1639" s="12" t="n"/>
      <c r="G1639" s="11" t="n"/>
      <c r="H1639" s="11" t="n"/>
      <c r="I1639" s="16">
        <f>IF(D1639="","",IF(G1639&lt;&gt;"",G1639,IFERROR(INDEX('Sản phẩm'!$E$5:$E$304,MATCH(D1639,'Sản phẩm'!$A$5:$A$304,0)),"")))</f>
        <v/>
      </c>
      <c r="J1639" s="16">
        <f>IF(OR(D1639="",F1639=""),"",F1639*I1639-N(H1639))</f>
        <v/>
      </c>
      <c r="K1639" s="16">
        <f>IF(OR(D1639="",F1639=""),"",F1639*IFERROR(INDEX('Sản phẩm'!$D$5:$D$304,MATCH(D1639,'Sản phẩm'!$A$5:$A$304,0)),""))</f>
        <v/>
      </c>
      <c r="L1639" s="16">
        <f>IF(J1639="","",J1639-K1639)</f>
        <v/>
      </c>
      <c r="M1639" s="14">
        <f>IF(A1639="","",MONTH(A1639))</f>
        <v/>
      </c>
      <c r="N1639" s="14">
        <f>IF(A1639="","",YEAR(A1639))</f>
        <v/>
      </c>
    </row>
    <row r="1640">
      <c r="A1640" s="15" t="n"/>
      <c r="B1640" s="10" t="n"/>
      <c r="C1640" s="10" t="n"/>
      <c r="D1640" s="10" t="n"/>
      <c r="E1640" s="14">
        <f>IF(D1640="","",IFERROR(INDEX('Sản phẩm'!$B$5:$B$304,MATCH(D1640,'Sản phẩm'!$A$5:$A$304,0)),""))</f>
        <v/>
      </c>
      <c r="F1640" s="12" t="n"/>
      <c r="G1640" s="11" t="n"/>
      <c r="H1640" s="11" t="n"/>
      <c r="I1640" s="16">
        <f>IF(D1640="","",IF(G1640&lt;&gt;"",G1640,IFERROR(INDEX('Sản phẩm'!$E$5:$E$304,MATCH(D1640,'Sản phẩm'!$A$5:$A$304,0)),"")))</f>
        <v/>
      </c>
      <c r="J1640" s="16">
        <f>IF(OR(D1640="",F1640=""),"",F1640*I1640-N(H1640))</f>
        <v/>
      </c>
      <c r="K1640" s="16">
        <f>IF(OR(D1640="",F1640=""),"",F1640*IFERROR(INDEX('Sản phẩm'!$D$5:$D$304,MATCH(D1640,'Sản phẩm'!$A$5:$A$304,0)),""))</f>
        <v/>
      </c>
      <c r="L1640" s="16">
        <f>IF(J1640="","",J1640-K1640)</f>
        <v/>
      </c>
      <c r="M1640" s="14">
        <f>IF(A1640="","",MONTH(A1640))</f>
        <v/>
      </c>
      <c r="N1640" s="14">
        <f>IF(A1640="","",YEAR(A1640))</f>
        <v/>
      </c>
    </row>
    <row r="1641">
      <c r="A1641" s="15" t="n"/>
      <c r="B1641" s="10" t="n"/>
      <c r="C1641" s="10" t="n"/>
      <c r="D1641" s="10" t="n"/>
      <c r="E1641" s="14">
        <f>IF(D1641="","",IFERROR(INDEX('Sản phẩm'!$B$5:$B$304,MATCH(D1641,'Sản phẩm'!$A$5:$A$304,0)),""))</f>
        <v/>
      </c>
      <c r="F1641" s="12" t="n"/>
      <c r="G1641" s="11" t="n"/>
      <c r="H1641" s="11" t="n"/>
      <c r="I1641" s="16">
        <f>IF(D1641="","",IF(G1641&lt;&gt;"",G1641,IFERROR(INDEX('Sản phẩm'!$E$5:$E$304,MATCH(D1641,'Sản phẩm'!$A$5:$A$304,0)),"")))</f>
        <v/>
      </c>
      <c r="J1641" s="16">
        <f>IF(OR(D1641="",F1641=""),"",F1641*I1641-N(H1641))</f>
        <v/>
      </c>
      <c r="K1641" s="16">
        <f>IF(OR(D1641="",F1641=""),"",F1641*IFERROR(INDEX('Sản phẩm'!$D$5:$D$304,MATCH(D1641,'Sản phẩm'!$A$5:$A$304,0)),""))</f>
        <v/>
      </c>
      <c r="L1641" s="16">
        <f>IF(J1641="","",J1641-K1641)</f>
        <v/>
      </c>
      <c r="M1641" s="14">
        <f>IF(A1641="","",MONTH(A1641))</f>
        <v/>
      </c>
      <c r="N1641" s="14">
        <f>IF(A1641="","",YEAR(A1641))</f>
        <v/>
      </c>
    </row>
    <row r="1642">
      <c r="A1642" s="15" t="n"/>
      <c r="B1642" s="10" t="n"/>
      <c r="C1642" s="10" t="n"/>
      <c r="D1642" s="10" t="n"/>
      <c r="E1642" s="14">
        <f>IF(D1642="","",IFERROR(INDEX('Sản phẩm'!$B$5:$B$304,MATCH(D1642,'Sản phẩm'!$A$5:$A$304,0)),""))</f>
        <v/>
      </c>
      <c r="F1642" s="12" t="n"/>
      <c r="G1642" s="11" t="n"/>
      <c r="H1642" s="11" t="n"/>
      <c r="I1642" s="16">
        <f>IF(D1642="","",IF(G1642&lt;&gt;"",G1642,IFERROR(INDEX('Sản phẩm'!$E$5:$E$304,MATCH(D1642,'Sản phẩm'!$A$5:$A$304,0)),"")))</f>
        <v/>
      </c>
      <c r="J1642" s="16">
        <f>IF(OR(D1642="",F1642=""),"",F1642*I1642-N(H1642))</f>
        <v/>
      </c>
      <c r="K1642" s="16">
        <f>IF(OR(D1642="",F1642=""),"",F1642*IFERROR(INDEX('Sản phẩm'!$D$5:$D$304,MATCH(D1642,'Sản phẩm'!$A$5:$A$304,0)),""))</f>
        <v/>
      </c>
      <c r="L1642" s="16">
        <f>IF(J1642="","",J1642-K1642)</f>
        <v/>
      </c>
      <c r="M1642" s="14">
        <f>IF(A1642="","",MONTH(A1642))</f>
        <v/>
      </c>
      <c r="N1642" s="14">
        <f>IF(A1642="","",YEAR(A1642))</f>
        <v/>
      </c>
    </row>
    <row r="1643">
      <c r="A1643" s="15" t="n"/>
      <c r="B1643" s="10" t="n"/>
      <c r="C1643" s="10" t="n"/>
      <c r="D1643" s="10" t="n"/>
      <c r="E1643" s="14">
        <f>IF(D1643="","",IFERROR(INDEX('Sản phẩm'!$B$5:$B$304,MATCH(D1643,'Sản phẩm'!$A$5:$A$304,0)),""))</f>
        <v/>
      </c>
      <c r="F1643" s="12" t="n"/>
      <c r="G1643" s="11" t="n"/>
      <c r="H1643" s="11" t="n"/>
      <c r="I1643" s="16">
        <f>IF(D1643="","",IF(G1643&lt;&gt;"",G1643,IFERROR(INDEX('Sản phẩm'!$E$5:$E$304,MATCH(D1643,'Sản phẩm'!$A$5:$A$304,0)),"")))</f>
        <v/>
      </c>
      <c r="J1643" s="16">
        <f>IF(OR(D1643="",F1643=""),"",F1643*I1643-N(H1643))</f>
        <v/>
      </c>
      <c r="K1643" s="16">
        <f>IF(OR(D1643="",F1643=""),"",F1643*IFERROR(INDEX('Sản phẩm'!$D$5:$D$304,MATCH(D1643,'Sản phẩm'!$A$5:$A$304,0)),""))</f>
        <v/>
      </c>
      <c r="L1643" s="16">
        <f>IF(J1643="","",J1643-K1643)</f>
        <v/>
      </c>
      <c r="M1643" s="14">
        <f>IF(A1643="","",MONTH(A1643))</f>
        <v/>
      </c>
      <c r="N1643" s="14">
        <f>IF(A1643="","",YEAR(A1643))</f>
        <v/>
      </c>
    </row>
    <row r="1644">
      <c r="A1644" s="15" t="n"/>
      <c r="B1644" s="10" t="n"/>
      <c r="C1644" s="10" t="n"/>
      <c r="D1644" s="10" t="n"/>
      <c r="E1644" s="14">
        <f>IF(D1644="","",IFERROR(INDEX('Sản phẩm'!$B$5:$B$304,MATCH(D1644,'Sản phẩm'!$A$5:$A$304,0)),""))</f>
        <v/>
      </c>
      <c r="F1644" s="12" t="n"/>
      <c r="G1644" s="11" t="n"/>
      <c r="H1644" s="11" t="n"/>
      <c r="I1644" s="16">
        <f>IF(D1644="","",IF(G1644&lt;&gt;"",G1644,IFERROR(INDEX('Sản phẩm'!$E$5:$E$304,MATCH(D1644,'Sản phẩm'!$A$5:$A$304,0)),"")))</f>
        <v/>
      </c>
      <c r="J1644" s="16">
        <f>IF(OR(D1644="",F1644=""),"",F1644*I1644-N(H1644))</f>
        <v/>
      </c>
      <c r="K1644" s="16">
        <f>IF(OR(D1644="",F1644=""),"",F1644*IFERROR(INDEX('Sản phẩm'!$D$5:$D$304,MATCH(D1644,'Sản phẩm'!$A$5:$A$304,0)),""))</f>
        <v/>
      </c>
      <c r="L1644" s="16">
        <f>IF(J1644="","",J1644-K1644)</f>
        <v/>
      </c>
      <c r="M1644" s="14">
        <f>IF(A1644="","",MONTH(A1644))</f>
        <v/>
      </c>
      <c r="N1644" s="14">
        <f>IF(A1644="","",YEAR(A1644))</f>
        <v/>
      </c>
    </row>
    <row r="1645">
      <c r="A1645" s="15" t="n"/>
      <c r="B1645" s="10" t="n"/>
      <c r="C1645" s="10" t="n"/>
      <c r="D1645" s="10" t="n"/>
      <c r="E1645" s="14">
        <f>IF(D1645="","",IFERROR(INDEX('Sản phẩm'!$B$5:$B$304,MATCH(D1645,'Sản phẩm'!$A$5:$A$304,0)),""))</f>
        <v/>
      </c>
      <c r="F1645" s="12" t="n"/>
      <c r="G1645" s="11" t="n"/>
      <c r="H1645" s="11" t="n"/>
      <c r="I1645" s="16">
        <f>IF(D1645="","",IF(G1645&lt;&gt;"",G1645,IFERROR(INDEX('Sản phẩm'!$E$5:$E$304,MATCH(D1645,'Sản phẩm'!$A$5:$A$304,0)),"")))</f>
        <v/>
      </c>
      <c r="J1645" s="16">
        <f>IF(OR(D1645="",F1645=""),"",F1645*I1645-N(H1645))</f>
        <v/>
      </c>
      <c r="K1645" s="16">
        <f>IF(OR(D1645="",F1645=""),"",F1645*IFERROR(INDEX('Sản phẩm'!$D$5:$D$304,MATCH(D1645,'Sản phẩm'!$A$5:$A$304,0)),""))</f>
        <v/>
      </c>
      <c r="L1645" s="16">
        <f>IF(J1645="","",J1645-K1645)</f>
        <v/>
      </c>
      <c r="M1645" s="14">
        <f>IF(A1645="","",MONTH(A1645))</f>
        <v/>
      </c>
      <c r="N1645" s="14">
        <f>IF(A1645="","",YEAR(A1645))</f>
        <v/>
      </c>
    </row>
    <row r="1646">
      <c r="A1646" s="15" t="n"/>
      <c r="B1646" s="10" t="n"/>
      <c r="C1646" s="10" t="n"/>
      <c r="D1646" s="10" t="n"/>
      <c r="E1646" s="14">
        <f>IF(D1646="","",IFERROR(INDEX('Sản phẩm'!$B$5:$B$304,MATCH(D1646,'Sản phẩm'!$A$5:$A$304,0)),""))</f>
        <v/>
      </c>
      <c r="F1646" s="12" t="n"/>
      <c r="G1646" s="11" t="n"/>
      <c r="H1646" s="11" t="n"/>
      <c r="I1646" s="16">
        <f>IF(D1646="","",IF(G1646&lt;&gt;"",G1646,IFERROR(INDEX('Sản phẩm'!$E$5:$E$304,MATCH(D1646,'Sản phẩm'!$A$5:$A$304,0)),"")))</f>
        <v/>
      </c>
      <c r="J1646" s="16">
        <f>IF(OR(D1646="",F1646=""),"",F1646*I1646-N(H1646))</f>
        <v/>
      </c>
      <c r="K1646" s="16">
        <f>IF(OR(D1646="",F1646=""),"",F1646*IFERROR(INDEX('Sản phẩm'!$D$5:$D$304,MATCH(D1646,'Sản phẩm'!$A$5:$A$304,0)),""))</f>
        <v/>
      </c>
      <c r="L1646" s="16">
        <f>IF(J1646="","",J1646-K1646)</f>
        <v/>
      </c>
      <c r="M1646" s="14">
        <f>IF(A1646="","",MONTH(A1646))</f>
        <v/>
      </c>
      <c r="N1646" s="14">
        <f>IF(A1646="","",YEAR(A1646))</f>
        <v/>
      </c>
    </row>
    <row r="1647">
      <c r="A1647" s="15" t="n"/>
      <c r="B1647" s="10" t="n"/>
      <c r="C1647" s="10" t="n"/>
      <c r="D1647" s="10" t="n"/>
      <c r="E1647" s="14">
        <f>IF(D1647="","",IFERROR(INDEX('Sản phẩm'!$B$5:$B$304,MATCH(D1647,'Sản phẩm'!$A$5:$A$304,0)),""))</f>
        <v/>
      </c>
      <c r="F1647" s="12" t="n"/>
      <c r="G1647" s="11" t="n"/>
      <c r="H1647" s="11" t="n"/>
      <c r="I1647" s="16">
        <f>IF(D1647="","",IF(G1647&lt;&gt;"",G1647,IFERROR(INDEX('Sản phẩm'!$E$5:$E$304,MATCH(D1647,'Sản phẩm'!$A$5:$A$304,0)),"")))</f>
        <v/>
      </c>
      <c r="J1647" s="16">
        <f>IF(OR(D1647="",F1647=""),"",F1647*I1647-N(H1647))</f>
        <v/>
      </c>
      <c r="K1647" s="16">
        <f>IF(OR(D1647="",F1647=""),"",F1647*IFERROR(INDEX('Sản phẩm'!$D$5:$D$304,MATCH(D1647,'Sản phẩm'!$A$5:$A$304,0)),""))</f>
        <v/>
      </c>
      <c r="L1647" s="16">
        <f>IF(J1647="","",J1647-K1647)</f>
        <v/>
      </c>
      <c r="M1647" s="14">
        <f>IF(A1647="","",MONTH(A1647))</f>
        <v/>
      </c>
      <c r="N1647" s="14">
        <f>IF(A1647="","",YEAR(A1647))</f>
        <v/>
      </c>
    </row>
    <row r="1648">
      <c r="A1648" s="15" t="n"/>
      <c r="B1648" s="10" t="n"/>
      <c r="C1648" s="10" t="n"/>
      <c r="D1648" s="10" t="n"/>
      <c r="E1648" s="14">
        <f>IF(D1648="","",IFERROR(INDEX('Sản phẩm'!$B$5:$B$304,MATCH(D1648,'Sản phẩm'!$A$5:$A$304,0)),""))</f>
        <v/>
      </c>
      <c r="F1648" s="12" t="n"/>
      <c r="G1648" s="11" t="n"/>
      <c r="H1648" s="11" t="n"/>
      <c r="I1648" s="16">
        <f>IF(D1648="","",IF(G1648&lt;&gt;"",G1648,IFERROR(INDEX('Sản phẩm'!$E$5:$E$304,MATCH(D1648,'Sản phẩm'!$A$5:$A$304,0)),"")))</f>
        <v/>
      </c>
      <c r="J1648" s="16">
        <f>IF(OR(D1648="",F1648=""),"",F1648*I1648-N(H1648))</f>
        <v/>
      </c>
      <c r="K1648" s="16">
        <f>IF(OR(D1648="",F1648=""),"",F1648*IFERROR(INDEX('Sản phẩm'!$D$5:$D$304,MATCH(D1648,'Sản phẩm'!$A$5:$A$304,0)),""))</f>
        <v/>
      </c>
      <c r="L1648" s="16">
        <f>IF(J1648="","",J1648-K1648)</f>
        <v/>
      </c>
      <c r="M1648" s="14">
        <f>IF(A1648="","",MONTH(A1648))</f>
        <v/>
      </c>
      <c r="N1648" s="14">
        <f>IF(A1648="","",YEAR(A1648))</f>
        <v/>
      </c>
    </row>
    <row r="1649">
      <c r="A1649" s="15" t="n"/>
      <c r="B1649" s="10" t="n"/>
      <c r="C1649" s="10" t="n"/>
      <c r="D1649" s="10" t="n"/>
      <c r="E1649" s="14">
        <f>IF(D1649="","",IFERROR(INDEX('Sản phẩm'!$B$5:$B$304,MATCH(D1649,'Sản phẩm'!$A$5:$A$304,0)),""))</f>
        <v/>
      </c>
      <c r="F1649" s="12" t="n"/>
      <c r="G1649" s="11" t="n"/>
      <c r="H1649" s="11" t="n"/>
      <c r="I1649" s="16">
        <f>IF(D1649="","",IF(G1649&lt;&gt;"",G1649,IFERROR(INDEX('Sản phẩm'!$E$5:$E$304,MATCH(D1649,'Sản phẩm'!$A$5:$A$304,0)),"")))</f>
        <v/>
      </c>
      <c r="J1649" s="16">
        <f>IF(OR(D1649="",F1649=""),"",F1649*I1649-N(H1649))</f>
        <v/>
      </c>
      <c r="K1649" s="16">
        <f>IF(OR(D1649="",F1649=""),"",F1649*IFERROR(INDEX('Sản phẩm'!$D$5:$D$304,MATCH(D1649,'Sản phẩm'!$A$5:$A$304,0)),""))</f>
        <v/>
      </c>
      <c r="L1649" s="16">
        <f>IF(J1649="","",J1649-K1649)</f>
        <v/>
      </c>
      <c r="M1649" s="14">
        <f>IF(A1649="","",MONTH(A1649))</f>
        <v/>
      </c>
      <c r="N1649" s="14">
        <f>IF(A1649="","",YEAR(A1649))</f>
        <v/>
      </c>
    </row>
    <row r="1650">
      <c r="A1650" s="15" t="n"/>
      <c r="B1650" s="10" t="n"/>
      <c r="C1650" s="10" t="n"/>
      <c r="D1650" s="10" t="n"/>
      <c r="E1650" s="14">
        <f>IF(D1650="","",IFERROR(INDEX('Sản phẩm'!$B$5:$B$304,MATCH(D1650,'Sản phẩm'!$A$5:$A$304,0)),""))</f>
        <v/>
      </c>
      <c r="F1650" s="12" t="n"/>
      <c r="G1650" s="11" t="n"/>
      <c r="H1650" s="11" t="n"/>
      <c r="I1650" s="16">
        <f>IF(D1650="","",IF(G1650&lt;&gt;"",G1650,IFERROR(INDEX('Sản phẩm'!$E$5:$E$304,MATCH(D1650,'Sản phẩm'!$A$5:$A$304,0)),"")))</f>
        <v/>
      </c>
      <c r="J1650" s="16">
        <f>IF(OR(D1650="",F1650=""),"",F1650*I1650-N(H1650))</f>
        <v/>
      </c>
      <c r="K1650" s="16">
        <f>IF(OR(D1650="",F1650=""),"",F1650*IFERROR(INDEX('Sản phẩm'!$D$5:$D$304,MATCH(D1650,'Sản phẩm'!$A$5:$A$304,0)),""))</f>
        <v/>
      </c>
      <c r="L1650" s="16">
        <f>IF(J1650="","",J1650-K1650)</f>
        <v/>
      </c>
      <c r="M1650" s="14">
        <f>IF(A1650="","",MONTH(A1650))</f>
        <v/>
      </c>
      <c r="N1650" s="14">
        <f>IF(A1650="","",YEAR(A1650))</f>
        <v/>
      </c>
    </row>
    <row r="1651">
      <c r="A1651" s="15" t="n"/>
      <c r="B1651" s="10" t="n"/>
      <c r="C1651" s="10" t="n"/>
      <c r="D1651" s="10" t="n"/>
      <c r="E1651" s="14">
        <f>IF(D1651="","",IFERROR(INDEX('Sản phẩm'!$B$5:$B$304,MATCH(D1651,'Sản phẩm'!$A$5:$A$304,0)),""))</f>
        <v/>
      </c>
      <c r="F1651" s="12" t="n"/>
      <c r="G1651" s="11" t="n"/>
      <c r="H1651" s="11" t="n"/>
      <c r="I1651" s="16">
        <f>IF(D1651="","",IF(G1651&lt;&gt;"",G1651,IFERROR(INDEX('Sản phẩm'!$E$5:$E$304,MATCH(D1651,'Sản phẩm'!$A$5:$A$304,0)),"")))</f>
        <v/>
      </c>
      <c r="J1651" s="16">
        <f>IF(OR(D1651="",F1651=""),"",F1651*I1651-N(H1651))</f>
        <v/>
      </c>
      <c r="K1651" s="16">
        <f>IF(OR(D1651="",F1651=""),"",F1651*IFERROR(INDEX('Sản phẩm'!$D$5:$D$304,MATCH(D1651,'Sản phẩm'!$A$5:$A$304,0)),""))</f>
        <v/>
      </c>
      <c r="L1651" s="16">
        <f>IF(J1651="","",J1651-K1651)</f>
        <v/>
      </c>
      <c r="M1651" s="14">
        <f>IF(A1651="","",MONTH(A1651))</f>
        <v/>
      </c>
      <c r="N1651" s="14">
        <f>IF(A1651="","",YEAR(A1651))</f>
        <v/>
      </c>
    </row>
    <row r="1652">
      <c r="A1652" s="15" t="n"/>
      <c r="B1652" s="10" t="n"/>
      <c r="C1652" s="10" t="n"/>
      <c r="D1652" s="10" t="n"/>
      <c r="E1652" s="14">
        <f>IF(D1652="","",IFERROR(INDEX('Sản phẩm'!$B$5:$B$304,MATCH(D1652,'Sản phẩm'!$A$5:$A$304,0)),""))</f>
        <v/>
      </c>
      <c r="F1652" s="12" t="n"/>
      <c r="G1652" s="11" t="n"/>
      <c r="H1652" s="11" t="n"/>
      <c r="I1652" s="16">
        <f>IF(D1652="","",IF(G1652&lt;&gt;"",G1652,IFERROR(INDEX('Sản phẩm'!$E$5:$E$304,MATCH(D1652,'Sản phẩm'!$A$5:$A$304,0)),"")))</f>
        <v/>
      </c>
      <c r="J1652" s="16">
        <f>IF(OR(D1652="",F1652=""),"",F1652*I1652-N(H1652))</f>
        <v/>
      </c>
      <c r="K1652" s="16">
        <f>IF(OR(D1652="",F1652=""),"",F1652*IFERROR(INDEX('Sản phẩm'!$D$5:$D$304,MATCH(D1652,'Sản phẩm'!$A$5:$A$304,0)),""))</f>
        <v/>
      </c>
      <c r="L1652" s="16">
        <f>IF(J1652="","",J1652-K1652)</f>
        <v/>
      </c>
      <c r="M1652" s="14">
        <f>IF(A1652="","",MONTH(A1652))</f>
        <v/>
      </c>
      <c r="N1652" s="14">
        <f>IF(A1652="","",YEAR(A1652))</f>
        <v/>
      </c>
    </row>
    <row r="1653">
      <c r="A1653" s="15" t="n"/>
      <c r="B1653" s="10" t="n"/>
      <c r="C1653" s="10" t="n"/>
      <c r="D1653" s="10" t="n"/>
      <c r="E1653" s="14">
        <f>IF(D1653="","",IFERROR(INDEX('Sản phẩm'!$B$5:$B$304,MATCH(D1653,'Sản phẩm'!$A$5:$A$304,0)),""))</f>
        <v/>
      </c>
      <c r="F1653" s="12" t="n"/>
      <c r="G1653" s="11" t="n"/>
      <c r="H1653" s="11" t="n"/>
      <c r="I1653" s="16">
        <f>IF(D1653="","",IF(G1653&lt;&gt;"",G1653,IFERROR(INDEX('Sản phẩm'!$E$5:$E$304,MATCH(D1653,'Sản phẩm'!$A$5:$A$304,0)),"")))</f>
        <v/>
      </c>
      <c r="J1653" s="16">
        <f>IF(OR(D1653="",F1653=""),"",F1653*I1653-N(H1653))</f>
        <v/>
      </c>
      <c r="K1653" s="16">
        <f>IF(OR(D1653="",F1653=""),"",F1653*IFERROR(INDEX('Sản phẩm'!$D$5:$D$304,MATCH(D1653,'Sản phẩm'!$A$5:$A$304,0)),""))</f>
        <v/>
      </c>
      <c r="L1653" s="16">
        <f>IF(J1653="","",J1653-K1653)</f>
        <v/>
      </c>
      <c r="M1653" s="14">
        <f>IF(A1653="","",MONTH(A1653))</f>
        <v/>
      </c>
      <c r="N1653" s="14">
        <f>IF(A1653="","",YEAR(A1653))</f>
        <v/>
      </c>
    </row>
    <row r="1654">
      <c r="A1654" s="15" t="n"/>
      <c r="B1654" s="10" t="n"/>
      <c r="C1654" s="10" t="n"/>
      <c r="D1654" s="10" t="n"/>
      <c r="E1654" s="14">
        <f>IF(D1654="","",IFERROR(INDEX('Sản phẩm'!$B$5:$B$304,MATCH(D1654,'Sản phẩm'!$A$5:$A$304,0)),""))</f>
        <v/>
      </c>
      <c r="F1654" s="12" t="n"/>
      <c r="G1654" s="11" t="n"/>
      <c r="H1654" s="11" t="n"/>
      <c r="I1654" s="16">
        <f>IF(D1654="","",IF(G1654&lt;&gt;"",G1654,IFERROR(INDEX('Sản phẩm'!$E$5:$E$304,MATCH(D1654,'Sản phẩm'!$A$5:$A$304,0)),"")))</f>
        <v/>
      </c>
      <c r="J1654" s="16">
        <f>IF(OR(D1654="",F1654=""),"",F1654*I1654-N(H1654))</f>
        <v/>
      </c>
      <c r="K1654" s="16">
        <f>IF(OR(D1654="",F1654=""),"",F1654*IFERROR(INDEX('Sản phẩm'!$D$5:$D$304,MATCH(D1654,'Sản phẩm'!$A$5:$A$304,0)),""))</f>
        <v/>
      </c>
      <c r="L1654" s="16">
        <f>IF(J1654="","",J1654-K1654)</f>
        <v/>
      </c>
      <c r="M1654" s="14">
        <f>IF(A1654="","",MONTH(A1654))</f>
        <v/>
      </c>
      <c r="N1654" s="14">
        <f>IF(A1654="","",YEAR(A1654))</f>
        <v/>
      </c>
    </row>
    <row r="1655">
      <c r="A1655" s="15" t="n"/>
      <c r="B1655" s="10" t="n"/>
      <c r="C1655" s="10" t="n"/>
      <c r="D1655" s="10" t="n"/>
      <c r="E1655" s="14">
        <f>IF(D1655="","",IFERROR(INDEX('Sản phẩm'!$B$5:$B$304,MATCH(D1655,'Sản phẩm'!$A$5:$A$304,0)),""))</f>
        <v/>
      </c>
      <c r="F1655" s="12" t="n"/>
      <c r="G1655" s="11" t="n"/>
      <c r="H1655" s="11" t="n"/>
      <c r="I1655" s="16">
        <f>IF(D1655="","",IF(G1655&lt;&gt;"",G1655,IFERROR(INDEX('Sản phẩm'!$E$5:$E$304,MATCH(D1655,'Sản phẩm'!$A$5:$A$304,0)),"")))</f>
        <v/>
      </c>
      <c r="J1655" s="16">
        <f>IF(OR(D1655="",F1655=""),"",F1655*I1655-N(H1655))</f>
        <v/>
      </c>
      <c r="K1655" s="16">
        <f>IF(OR(D1655="",F1655=""),"",F1655*IFERROR(INDEX('Sản phẩm'!$D$5:$D$304,MATCH(D1655,'Sản phẩm'!$A$5:$A$304,0)),""))</f>
        <v/>
      </c>
      <c r="L1655" s="16">
        <f>IF(J1655="","",J1655-K1655)</f>
        <v/>
      </c>
      <c r="M1655" s="14">
        <f>IF(A1655="","",MONTH(A1655))</f>
        <v/>
      </c>
      <c r="N1655" s="14">
        <f>IF(A1655="","",YEAR(A1655))</f>
        <v/>
      </c>
    </row>
    <row r="1656">
      <c r="A1656" s="15" t="n"/>
      <c r="B1656" s="10" t="n"/>
      <c r="C1656" s="10" t="n"/>
      <c r="D1656" s="10" t="n"/>
      <c r="E1656" s="14">
        <f>IF(D1656="","",IFERROR(INDEX('Sản phẩm'!$B$5:$B$304,MATCH(D1656,'Sản phẩm'!$A$5:$A$304,0)),""))</f>
        <v/>
      </c>
      <c r="F1656" s="12" t="n"/>
      <c r="G1656" s="11" t="n"/>
      <c r="H1656" s="11" t="n"/>
      <c r="I1656" s="16">
        <f>IF(D1656="","",IF(G1656&lt;&gt;"",G1656,IFERROR(INDEX('Sản phẩm'!$E$5:$E$304,MATCH(D1656,'Sản phẩm'!$A$5:$A$304,0)),"")))</f>
        <v/>
      </c>
      <c r="J1656" s="16">
        <f>IF(OR(D1656="",F1656=""),"",F1656*I1656-N(H1656))</f>
        <v/>
      </c>
      <c r="K1656" s="16">
        <f>IF(OR(D1656="",F1656=""),"",F1656*IFERROR(INDEX('Sản phẩm'!$D$5:$D$304,MATCH(D1656,'Sản phẩm'!$A$5:$A$304,0)),""))</f>
        <v/>
      </c>
      <c r="L1656" s="16">
        <f>IF(J1656="","",J1656-K1656)</f>
        <v/>
      </c>
      <c r="M1656" s="14">
        <f>IF(A1656="","",MONTH(A1656))</f>
        <v/>
      </c>
      <c r="N1656" s="14">
        <f>IF(A1656="","",YEAR(A1656))</f>
        <v/>
      </c>
    </row>
    <row r="1657">
      <c r="A1657" s="15" t="n"/>
      <c r="B1657" s="10" t="n"/>
      <c r="C1657" s="10" t="n"/>
      <c r="D1657" s="10" t="n"/>
      <c r="E1657" s="14">
        <f>IF(D1657="","",IFERROR(INDEX('Sản phẩm'!$B$5:$B$304,MATCH(D1657,'Sản phẩm'!$A$5:$A$304,0)),""))</f>
        <v/>
      </c>
      <c r="F1657" s="12" t="n"/>
      <c r="G1657" s="11" t="n"/>
      <c r="H1657" s="11" t="n"/>
      <c r="I1657" s="16">
        <f>IF(D1657="","",IF(G1657&lt;&gt;"",G1657,IFERROR(INDEX('Sản phẩm'!$E$5:$E$304,MATCH(D1657,'Sản phẩm'!$A$5:$A$304,0)),"")))</f>
        <v/>
      </c>
      <c r="J1657" s="16">
        <f>IF(OR(D1657="",F1657=""),"",F1657*I1657-N(H1657))</f>
        <v/>
      </c>
      <c r="K1657" s="16">
        <f>IF(OR(D1657="",F1657=""),"",F1657*IFERROR(INDEX('Sản phẩm'!$D$5:$D$304,MATCH(D1657,'Sản phẩm'!$A$5:$A$304,0)),""))</f>
        <v/>
      </c>
      <c r="L1657" s="16">
        <f>IF(J1657="","",J1657-K1657)</f>
        <v/>
      </c>
      <c r="M1657" s="14">
        <f>IF(A1657="","",MONTH(A1657))</f>
        <v/>
      </c>
      <c r="N1657" s="14">
        <f>IF(A1657="","",YEAR(A1657))</f>
        <v/>
      </c>
    </row>
    <row r="1658">
      <c r="A1658" s="15" t="n"/>
      <c r="B1658" s="10" t="n"/>
      <c r="C1658" s="10" t="n"/>
      <c r="D1658" s="10" t="n"/>
      <c r="E1658" s="14">
        <f>IF(D1658="","",IFERROR(INDEX('Sản phẩm'!$B$5:$B$304,MATCH(D1658,'Sản phẩm'!$A$5:$A$304,0)),""))</f>
        <v/>
      </c>
      <c r="F1658" s="12" t="n"/>
      <c r="G1658" s="11" t="n"/>
      <c r="H1658" s="11" t="n"/>
      <c r="I1658" s="16">
        <f>IF(D1658="","",IF(G1658&lt;&gt;"",G1658,IFERROR(INDEX('Sản phẩm'!$E$5:$E$304,MATCH(D1658,'Sản phẩm'!$A$5:$A$304,0)),"")))</f>
        <v/>
      </c>
      <c r="J1658" s="16">
        <f>IF(OR(D1658="",F1658=""),"",F1658*I1658-N(H1658))</f>
        <v/>
      </c>
      <c r="K1658" s="16">
        <f>IF(OR(D1658="",F1658=""),"",F1658*IFERROR(INDEX('Sản phẩm'!$D$5:$D$304,MATCH(D1658,'Sản phẩm'!$A$5:$A$304,0)),""))</f>
        <v/>
      </c>
      <c r="L1658" s="16">
        <f>IF(J1658="","",J1658-K1658)</f>
        <v/>
      </c>
      <c r="M1658" s="14">
        <f>IF(A1658="","",MONTH(A1658))</f>
        <v/>
      </c>
      <c r="N1658" s="14">
        <f>IF(A1658="","",YEAR(A1658))</f>
        <v/>
      </c>
    </row>
    <row r="1659">
      <c r="A1659" s="15" t="n"/>
      <c r="B1659" s="10" t="n"/>
      <c r="C1659" s="10" t="n"/>
      <c r="D1659" s="10" t="n"/>
      <c r="E1659" s="14">
        <f>IF(D1659="","",IFERROR(INDEX('Sản phẩm'!$B$5:$B$304,MATCH(D1659,'Sản phẩm'!$A$5:$A$304,0)),""))</f>
        <v/>
      </c>
      <c r="F1659" s="12" t="n"/>
      <c r="G1659" s="11" t="n"/>
      <c r="H1659" s="11" t="n"/>
      <c r="I1659" s="16">
        <f>IF(D1659="","",IF(G1659&lt;&gt;"",G1659,IFERROR(INDEX('Sản phẩm'!$E$5:$E$304,MATCH(D1659,'Sản phẩm'!$A$5:$A$304,0)),"")))</f>
        <v/>
      </c>
      <c r="J1659" s="16">
        <f>IF(OR(D1659="",F1659=""),"",F1659*I1659-N(H1659))</f>
        <v/>
      </c>
      <c r="K1659" s="16">
        <f>IF(OR(D1659="",F1659=""),"",F1659*IFERROR(INDEX('Sản phẩm'!$D$5:$D$304,MATCH(D1659,'Sản phẩm'!$A$5:$A$304,0)),""))</f>
        <v/>
      </c>
      <c r="L1659" s="16">
        <f>IF(J1659="","",J1659-K1659)</f>
        <v/>
      </c>
      <c r="M1659" s="14">
        <f>IF(A1659="","",MONTH(A1659))</f>
        <v/>
      </c>
      <c r="N1659" s="14">
        <f>IF(A1659="","",YEAR(A1659))</f>
        <v/>
      </c>
    </row>
    <row r="1660">
      <c r="A1660" s="15" t="n"/>
      <c r="B1660" s="10" t="n"/>
      <c r="C1660" s="10" t="n"/>
      <c r="D1660" s="10" t="n"/>
      <c r="E1660" s="14">
        <f>IF(D1660="","",IFERROR(INDEX('Sản phẩm'!$B$5:$B$304,MATCH(D1660,'Sản phẩm'!$A$5:$A$304,0)),""))</f>
        <v/>
      </c>
      <c r="F1660" s="12" t="n"/>
      <c r="G1660" s="11" t="n"/>
      <c r="H1660" s="11" t="n"/>
      <c r="I1660" s="16">
        <f>IF(D1660="","",IF(G1660&lt;&gt;"",G1660,IFERROR(INDEX('Sản phẩm'!$E$5:$E$304,MATCH(D1660,'Sản phẩm'!$A$5:$A$304,0)),"")))</f>
        <v/>
      </c>
      <c r="J1660" s="16">
        <f>IF(OR(D1660="",F1660=""),"",F1660*I1660-N(H1660))</f>
        <v/>
      </c>
      <c r="K1660" s="16">
        <f>IF(OR(D1660="",F1660=""),"",F1660*IFERROR(INDEX('Sản phẩm'!$D$5:$D$304,MATCH(D1660,'Sản phẩm'!$A$5:$A$304,0)),""))</f>
        <v/>
      </c>
      <c r="L1660" s="16">
        <f>IF(J1660="","",J1660-K1660)</f>
        <v/>
      </c>
      <c r="M1660" s="14">
        <f>IF(A1660="","",MONTH(A1660))</f>
        <v/>
      </c>
      <c r="N1660" s="14">
        <f>IF(A1660="","",YEAR(A1660))</f>
        <v/>
      </c>
    </row>
    <row r="1661">
      <c r="A1661" s="15" t="n"/>
      <c r="B1661" s="10" t="n"/>
      <c r="C1661" s="10" t="n"/>
      <c r="D1661" s="10" t="n"/>
      <c r="E1661" s="14">
        <f>IF(D1661="","",IFERROR(INDEX('Sản phẩm'!$B$5:$B$304,MATCH(D1661,'Sản phẩm'!$A$5:$A$304,0)),""))</f>
        <v/>
      </c>
      <c r="F1661" s="12" t="n"/>
      <c r="G1661" s="11" t="n"/>
      <c r="H1661" s="11" t="n"/>
      <c r="I1661" s="16">
        <f>IF(D1661="","",IF(G1661&lt;&gt;"",G1661,IFERROR(INDEX('Sản phẩm'!$E$5:$E$304,MATCH(D1661,'Sản phẩm'!$A$5:$A$304,0)),"")))</f>
        <v/>
      </c>
      <c r="J1661" s="16">
        <f>IF(OR(D1661="",F1661=""),"",F1661*I1661-N(H1661))</f>
        <v/>
      </c>
      <c r="K1661" s="16">
        <f>IF(OR(D1661="",F1661=""),"",F1661*IFERROR(INDEX('Sản phẩm'!$D$5:$D$304,MATCH(D1661,'Sản phẩm'!$A$5:$A$304,0)),""))</f>
        <v/>
      </c>
      <c r="L1661" s="16">
        <f>IF(J1661="","",J1661-K1661)</f>
        <v/>
      </c>
      <c r="M1661" s="14">
        <f>IF(A1661="","",MONTH(A1661))</f>
        <v/>
      </c>
      <c r="N1661" s="14">
        <f>IF(A1661="","",YEAR(A1661))</f>
        <v/>
      </c>
    </row>
    <row r="1662">
      <c r="A1662" s="15" t="n"/>
      <c r="B1662" s="10" t="n"/>
      <c r="C1662" s="10" t="n"/>
      <c r="D1662" s="10" t="n"/>
      <c r="E1662" s="14">
        <f>IF(D1662="","",IFERROR(INDEX('Sản phẩm'!$B$5:$B$304,MATCH(D1662,'Sản phẩm'!$A$5:$A$304,0)),""))</f>
        <v/>
      </c>
      <c r="F1662" s="12" t="n"/>
      <c r="G1662" s="11" t="n"/>
      <c r="H1662" s="11" t="n"/>
      <c r="I1662" s="16">
        <f>IF(D1662="","",IF(G1662&lt;&gt;"",G1662,IFERROR(INDEX('Sản phẩm'!$E$5:$E$304,MATCH(D1662,'Sản phẩm'!$A$5:$A$304,0)),"")))</f>
        <v/>
      </c>
      <c r="J1662" s="16">
        <f>IF(OR(D1662="",F1662=""),"",F1662*I1662-N(H1662))</f>
        <v/>
      </c>
      <c r="K1662" s="16">
        <f>IF(OR(D1662="",F1662=""),"",F1662*IFERROR(INDEX('Sản phẩm'!$D$5:$D$304,MATCH(D1662,'Sản phẩm'!$A$5:$A$304,0)),""))</f>
        <v/>
      </c>
      <c r="L1662" s="16">
        <f>IF(J1662="","",J1662-K1662)</f>
        <v/>
      </c>
      <c r="M1662" s="14">
        <f>IF(A1662="","",MONTH(A1662))</f>
        <v/>
      </c>
      <c r="N1662" s="14">
        <f>IF(A1662="","",YEAR(A1662))</f>
        <v/>
      </c>
    </row>
    <row r="1663">
      <c r="A1663" s="15" t="n"/>
      <c r="B1663" s="10" t="n"/>
      <c r="C1663" s="10" t="n"/>
      <c r="D1663" s="10" t="n"/>
      <c r="E1663" s="14">
        <f>IF(D1663="","",IFERROR(INDEX('Sản phẩm'!$B$5:$B$304,MATCH(D1663,'Sản phẩm'!$A$5:$A$304,0)),""))</f>
        <v/>
      </c>
      <c r="F1663" s="12" t="n"/>
      <c r="G1663" s="11" t="n"/>
      <c r="H1663" s="11" t="n"/>
      <c r="I1663" s="16">
        <f>IF(D1663="","",IF(G1663&lt;&gt;"",G1663,IFERROR(INDEX('Sản phẩm'!$E$5:$E$304,MATCH(D1663,'Sản phẩm'!$A$5:$A$304,0)),"")))</f>
        <v/>
      </c>
      <c r="J1663" s="16">
        <f>IF(OR(D1663="",F1663=""),"",F1663*I1663-N(H1663))</f>
        <v/>
      </c>
      <c r="K1663" s="16">
        <f>IF(OR(D1663="",F1663=""),"",F1663*IFERROR(INDEX('Sản phẩm'!$D$5:$D$304,MATCH(D1663,'Sản phẩm'!$A$5:$A$304,0)),""))</f>
        <v/>
      </c>
      <c r="L1663" s="16">
        <f>IF(J1663="","",J1663-K1663)</f>
        <v/>
      </c>
      <c r="M1663" s="14">
        <f>IF(A1663="","",MONTH(A1663))</f>
        <v/>
      </c>
      <c r="N1663" s="14">
        <f>IF(A1663="","",YEAR(A1663))</f>
        <v/>
      </c>
    </row>
    <row r="1664">
      <c r="A1664" s="15" t="n"/>
      <c r="B1664" s="10" t="n"/>
      <c r="C1664" s="10" t="n"/>
      <c r="D1664" s="10" t="n"/>
      <c r="E1664" s="14">
        <f>IF(D1664="","",IFERROR(INDEX('Sản phẩm'!$B$5:$B$304,MATCH(D1664,'Sản phẩm'!$A$5:$A$304,0)),""))</f>
        <v/>
      </c>
      <c r="F1664" s="12" t="n"/>
      <c r="G1664" s="11" t="n"/>
      <c r="H1664" s="11" t="n"/>
      <c r="I1664" s="16">
        <f>IF(D1664="","",IF(G1664&lt;&gt;"",G1664,IFERROR(INDEX('Sản phẩm'!$E$5:$E$304,MATCH(D1664,'Sản phẩm'!$A$5:$A$304,0)),"")))</f>
        <v/>
      </c>
      <c r="J1664" s="16">
        <f>IF(OR(D1664="",F1664=""),"",F1664*I1664-N(H1664))</f>
        <v/>
      </c>
      <c r="K1664" s="16">
        <f>IF(OR(D1664="",F1664=""),"",F1664*IFERROR(INDEX('Sản phẩm'!$D$5:$D$304,MATCH(D1664,'Sản phẩm'!$A$5:$A$304,0)),""))</f>
        <v/>
      </c>
      <c r="L1664" s="16">
        <f>IF(J1664="","",J1664-K1664)</f>
        <v/>
      </c>
      <c r="M1664" s="14">
        <f>IF(A1664="","",MONTH(A1664))</f>
        <v/>
      </c>
      <c r="N1664" s="14">
        <f>IF(A1664="","",YEAR(A1664))</f>
        <v/>
      </c>
    </row>
    <row r="1665">
      <c r="A1665" s="15" t="n"/>
      <c r="B1665" s="10" t="n"/>
      <c r="C1665" s="10" t="n"/>
      <c r="D1665" s="10" t="n"/>
      <c r="E1665" s="14">
        <f>IF(D1665="","",IFERROR(INDEX('Sản phẩm'!$B$5:$B$304,MATCH(D1665,'Sản phẩm'!$A$5:$A$304,0)),""))</f>
        <v/>
      </c>
      <c r="F1665" s="12" t="n"/>
      <c r="G1665" s="11" t="n"/>
      <c r="H1665" s="11" t="n"/>
      <c r="I1665" s="16">
        <f>IF(D1665="","",IF(G1665&lt;&gt;"",G1665,IFERROR(INDEX('Sản phẩm'!$E$5:$E$304,MATCH(D1665,'Sản phẩm'!$A$5:$A$304,0)),"")))</f>
        <v/>
      </c>
      <c r="J1665" s="16">
        <f>IF(OR(D1665="",F1665=""),"",F1665*I1665-N(H1665))</f>
        <v/>
      </c>
      <c r="K1665" s="16">
        <f>IF(OR(D1665="",F1665=""),"",F1665*IFERROR(INDEX('Sản phẩm'!$D$5:$D$304,MATCH(D1665,'Sản phẩm'!$A$5:$A$304,0)),""))</f>
        <v/>
      </c>
      <c r="L1665" s="16">
        <f>IF(J1665="","",J1665-K1665)</f>
        <v/>
      </c>
      <c r="M1665" s="14">
        <f>IF(A1665="","",MONTH(A1665))</f>
        <v/>
      </c>
      <c r="N1665" s="14">
        <f>IF(A1665="","",YEAR(A1665))</f>
        <v/>
      </c>
    </row>
    <row r="1666">
      <c r="A1666" s="15" t="n"/>
      <c r="B1666" s="10" t="n"/>
      <c r="C1666" s="10" t="n"/>
      <c r="D1666" s="10" t="n"/>
      <c r="E1666" s="14">
        <f>IF(D1666="","",IFERROR(INDEX('Sản phẩm'!$B$5:$B$304,MATCH(D1666,'Sản phẩm'!$A$5:$A$304,0)),""))</f>
        <v/>
      </c>
      <c r="F1666" s="12" t="n"/>
      <c r="G1666" s="11" t="n"/>
      <c r="H1666" s="11" t="n"/>
      <c r="I1666" s="16">
        <f>IF(D1666="","",IF(G1666&lt;&gt;"",G1666,IFERROR(INDEX('Sản phẩm'!$E$5:$E$304,MATCH(D1666,'Sản phẩm'!$A$5:$A$304,0)),"")))</f>
        <v/>
      </c>
      <c r="J1666" s="16">
        <f>IF(OR(D1666="",F1666=""),"",F1666*I1666-N(H1666))</f>
        <v/>
      </c>
      <c r="K1666" s="16">
        <f>IF(OR(D1666="",F1666=""),"",F1666*IFERROR(INDEX('Sản phẩm'!$D$5:$D$304,MATCH(D1666,'Sản phẩm'!$A$5:$A$304,0)),""))</f>
        <v/>
      </c>
      <c r="L1666" s="16">
        <f>IF(J1666="","",J1666-K1666)</f>
        <v/>
      </c>
      <c r="M1666" s="14">
        <f>IF(A1666="","",MONTH(A1666))</f>
        <v/>
      </c>
      <c r="N1666" s="14">
        <f>IF(A1666="","",YEAR(A1666))</f>
        <v/>
      </c>
    </row>
    <row r="1667">
      <c r="A1667" s="15" t="n"/>
      <c r="B1667" s="10" t="n"/>
      <c r="C1667" s="10" t="n"/>
      <c r="D1667" s="10" t="n"/>
      <c r="E1667" s="14">
        <f>IF(D1667="","",IFERROR(INDEX('Sản phẩm'!$B$5:$B$304,MATCH(D1667,'Sản phẩm'!$A$5:$A$304,0)),""))</f>
        <v/>
      </c>
      <c r="F1667" s="12" t="n"/>
      <c r="G1667" s="11" t="n"/>
      <c r="H1667" s="11" t="n"/>
      <c r="I1667" s="16">
        <f>IF(D1667="","",IF(G1667&lt;&gt;"",G1667,IFERROR(INDEX('Sản phẩm'!$E$5:$E$304,MATCH(D1667,'Sản phẩm'!$A$5:$A$304,0)),"")))</f>
        <v/>
      </c>
      <c r="J1667" s="16">
        <f>IF(OR(D1667="",F1667=""),"",F1667*I1667-N(H1667))</f>
        <v/>
      </c>
      <c r="K1667" s="16">
        <f>IF(OR(D1667="",F1667=""),"",F1667*IFERROR(INDEX('Sản phẩm'!$D$5:$D$304,MATCH(D1667,'Sản phẩm'!$A$5:$A$304,0)),""))</f>
        <v/>
      </c>
      <c r="L1667" s="16">
        <f>IF(J1667="","",J1667-K1667)</f>
        <v/>
      </c>
      <c r="M1667" s="14">
        <f>IF(A1667="","",MONTH(A1667))</f>
        <v/>
      </c>
      <c r="N1667" s="14">
        <f>IF(A1667="","",YEAR(A1667))</f>
        <v/>
      </c>
    </row>
    <row r="1668">
      <c r="A1668" s="15" t="n"/>
      <c r="B1668" s="10" t="n"/>
      <c r="C1668" s="10" t="n"/>
      <c r="D1668" s="10" t="n"/>
      <c r="E1668" s="14">
        <f>IF(D1668="","",IFERROR(INDEX('Sản phẩm'!$B$5:$B$304,MATCH(D1668,'Sản phẩm'!$A$5:$A$304,0)),""))</f>
        <v/>
      </c>
      <c r="F1668" s="12" t="n"/>
      <c r="G1668" s="11" t="n"/>
      <c r="H1668" s="11" t="n"/>
      <c r="I1668" s="16">
        <f>IF(D1668="","",IF(G1668&lt;&gt;"",G1668,IFERROR(INDEX('Sản phẩm'!$E$5:$E$304,MATCH(D1668,'Sản phẩm'!$A$5:$A$304,0)),"")))</f>
        <v/>
      </c>
      <c r="J1668" s="16">
        <f>IF(OR(D1668="",F1668=""),"",F1668*I1668-N(H1668))</f>
        <v/>
      </c>
      <c r="K1668" s="16">
        <f>IF(OR(D1668="",F1668=""),"",F1668*IFERROR(INDEX('Sản phẩm'!$D$5:$D$304,MATCH(D1668,'Sản phẩm'!$A$5:$A$304,0)),""))</f>
        <v/>
      </c>
      <c r="L1668" s="16">
        <f>IF(J1668="","",J1668-K1668)</f>
        <v/>
      </c>
      <c r="M1668" s="14">
        <f>IF(A1668="","",MONTH(A1668))</f>
        <v/>
      </c>
      <c r="N1668" s="14">
        <f>IF(A1668="","",YEAR(A1668))</f>
        <v/>
      </c>
    </row>
    <row r="1669">
      <c r="A1669" s="15" t="n"/>
      <c r="B1669" s="10" t="n"/>
      <c r="C1669" s="10" t="n"/>
      <c r="D1669" s="10" t="n"/>
      <c r="E1669" s="14">
        <f>IF(D1669="","",IFERROR(INDEX('Sản phẩm'!$B$5:$B$304,MATCH(D1669,'Sản phẩm'!$A$5:$A$304,0)),""))</f>
        <v/>
      </c>
      <c r="F1669" s="12" t="n"/>
      <c r="G1669" s="11" t="n"/>
      <c r="H1669" s="11" t="n"/>
      <c r="I1669" s="16">
        <f>IF(D1669="","",IF(G1669&lt;&gt;"",G1669,IFERROR(INDEX('Sản phẩm'!$E$5:$E$304,MATCH(D1669,'Sản phẩm'!$A$5:$A$304,0)),"")))</f>
        <v/>
      </c>
      <c r="J1669" s="16">
        <f>IF(OR(D1669="",F1669=""),"",F1669*I1669-N(H1669))</f>
        <v/>
      </c>
      <c r="K1669" s="16">
        <f>IF(OR(D1669="",F1669=""),"",F1669*IFERROR(INDEX('Sản phẩm'!$D$5:$D$304,MATCH(D1669,'Sản phẩm'!$A$5:$A$304,0)),""))</f>
        <v/>
      </c>
      <c r="L1669" s="16">
        <f>IF(J1669="","",J1669-K1669)</f>
        <v/>
      </c>
      <c r="M1669" s="14">
        <f>IF(A1669="","",MONTH(A1669))</f>
        <v/>
      </c>
      <c r="N1669" s="14">
        <f>IF(A1669="","",YEAR(A1669))</f>
        <v/>
      </c>
    </row>
    <row r="1670">
      <c r="A1670" s="15" t="n"/>
      <c r="B1670" s="10" t="n"/>
      <c r="C1670" s="10" t="n"/>
      <c r="D1670" s="10" t="n"/>
      <c r="E1670" s="14">
        <f>IF(D1670="","",IFERROR(INDEX('Sản phẩm'!$B$5:$B$304,MATCH(D1670,'Sản phẩm'!$A$5:$A$304,0)),""))</f>
        <v/>
      </c>
      <c r="F1670" s="12" t="n"/>
      <c r="G1670" s="11" t="n"/>
      <c r="H1670" s="11" t="n"/>
      <c r="I1670" s="16">
        <f>IF(D1670="","",IF(G1670&lt;&gt;"",G1670,IFERROR(INDEX('Sản phẩm'!$E$5:$E$304,MATCH(D1670,'Sản phẩm'!$A$5:$A$304,0)),"")))</f>
        <v/>
      </c>
      <c r="J1670" s="16">
        <f>IF(OR(D1670="",F1670=""),"",F1670*I1670-N(H1670))</f>
        <v/>
      </c>
      <c r="K1670" s="16">
        <f>IF(OR(D1670="",F1670=""),"",F1670*IFERROR(INDEX('Sản phẩm'!$D$5:$D$304,MATCH(D1670,'Sản phẩm'!$A$5:$A$304,0)),""))</f>
        <v/>
      </c>
      <c r="L1670" s="16">
        <f>IF(J1670="","",J1670-K1670)</f>
        <v/>
      </c>
      <c r="M1670" s="14">
        <f>IF(A1670="","",MONTH(A1670))</f>
        <v/>
      </c>
      <c r="N1670" s="14">
        <f>IF(A1670="","",YEAR(A1670))</f>
        <v/>
      </c>
    </row>
    <row r="1671">
      <c r="A1671" s="15" t="n"/>
      <c r="B1671" s="10" t="n"/>
      <c r="C1671" s="10" t="n"/>
      <c r="D1671" s="10" t="n"/>
      <c r="E1671" s="14">
        <f>IF(D1671="","",IFERROR(INDEX('Sản phẩm'!$B$5:$B$304,MATCH(D1671,'Sản phẩm'!$A$5:$A$304,0)),""))</f>
        <v/>
      </c>
      <c r="F1671" s="12" t="n"/>
      <c r="G1671" s="11" t="n"/>
      <c r="H1671" s="11" t="n"/>
      <c r="I1671" s="16">
        <f>IF(D1671="","",IF(G1671&lt;&gt;"",G1671,IFERROR(INDEX('Sản phẩm'!$E$5:$E$304,MATCH(D1671,'Sản phẩm'!$A$5:$A$304,0)),"")))</f>
        <v/>
      </c>
      <c r="J1671" s="16">
        <f>IF(OR(D1671="",F1671=""),"",F1671*I1671-N(H1671))</f>
        <v/>
      </c>
      <c r="K1671" s="16">
        <f>IF(OR(D1671="",F1671=""),"",F1671*IFERROR(INDEX('Sản phẩm'!$D$5:$D$304,MATCH(D1671,'Sản phẩm'!$A$5:$A$304,0)),""))</f>
        <v/>
      </c>
      <c r="L1671" s="16">
        <f>IF(J1671="","",J1671-K1671)</f>
        <v/>
      </c>
      <c r="M1671" s="14">
        <f>IF(A1671="","",MONTH(A1671))</f>
        <v/>
      </c>
      <c r="N1671" s="14">
        <f>IF(A1671="","",YEAR(A1671))</f>
        <v/>
      </c>
    </row>
    <row r="1672">
      <c r="A1672" s="15" t="n"/>
      <c r="B1672" s="10" t="n"/>
      <c r="C1672" s="10" t="n"/>
      <c r="D1672" s="10" t="n"/>
      <c r="E1672" s="14">
        <f>IF(D1672="","",IFERROR(INDEX('Sản phẩm'!$B$5:$B$304,MATCH(D1672,'Sản phẩm'!$A$5:$A$304,0)),""))</f>
        <v/>
      </c>
      <c r="F1672" s="12" t="n"/>
      <c r="G1672" s="11" t="n"/>
      <c r="H1672" s="11" t="n"/>
      <c r="I1672" s="16">
        <f>IF(D1672="","",IF(G1672&lt;&gt;"",G1672,IFERROR(INDEX('Sản phẩm'!$E$5:$E$304,MATCH(D1672,'Sản phẩm'!$A$5:$A$304,0)),"")))</f>
        <v/>
      </c>
      <c r="J1672" s="16">
        <f>IF(OR(D1672="",F1672=""),"",F1672*I1672-N(H1672))</f>
        <v/>
      </c>
      <c r="K1672" s="16">
        <f>IF(OR(D1672="",F1672=""),"",F1672*IFERROR(INDEX('Sản phẩm'!$D$5:$D$304,MATCH(D1672,'Sản phẩm'!$A$5:$A$304,0)),""))</f>
        <v/>
      </c>
      <c r="L1672" s="16">
        <f>IF(J1672="","",J1672-K1672)</f>
        <v/>
      </c>
      <c r="M1672" s="14">
        <f>IF(A1672="","",MONTH(A1672))</f>
        <v/>
      </c>
      <c r="N1672" s="14">
        <f>IF(A1672="","",YEAR(A1672))</f>
        <v/>
      </c>
    </row>
    <row r="1673">
      <c r="A1673" s="15" t="n"/>
      <c r="B1673" s="10" t="n"/>
      <c r="C1673" s="10" t="n"/>
      <c r="D1673" s="10" t="n"/>
      <c r="E1673" s="14">
        <f>IF(D1673="","",IFERROR(INDEX('Sản phẩm'!$B$5:$B$304,MATCH(D1673,'Sản phẩm'!$A$5:$A$304,0)),""))</f>
        <v/>
      </c>
      <c r="F1673" s="12" t="n"/>
      <c r="G1673" s="11" t="n"/>
      <c r="H1673" s="11" t="n"/>
      <c r="I1673" s="16">
        <f>IF(D1673="","",IF(G1673&lt;&gt;"",G1673,IFERROR(INDEX('Sản phẩm'!$E$5:$E$304,MATCH(D1673,'Sản phẩm'!$A$5:$A$304,0)),"")))</f>
        <v/>
      </c>
      <c r="J1673" s="16">
        <f>IF(OR(D1673="",F1673=""),"",F1673*I1673-N(H1673))</f>
        <v/>
      </c>
      <c r="K1673" s="16">
        <f>IF(OR(D1673="",F1673=""),"",F1673*IFERROR(INDEX('Sản phẩm'!$D$5:$D$304,MATCH(D1673,'Sản phẩm'!$A$5:$A$304,0)),""))</f>
        <v/>
      </c>
      <c r="L1673" s="16">
        <f>IF(J1673="","",J1673-K1673)</f>
        <v/>
      </c>
      <c r="M1673" s="14">
        <f>IF(A1673="","",MONTH(A1673))</f>
        <v/>
      </c>
      <c r="N1673" s="14">
        <f>IF(A1673="","",YEAR(A1673))</f>
        <v/>
      </c>
    </row>
    <row r="1674">
      <c r="A1674" s="15" t="n"/>
      <c r="B1674" s="10" t="n"/>
      <c r="C1674" s="10" t="n"/>
      <c r="D1674" s="10" t="n"/>
      <c r="E1674" s="14">
        <f>IF(D1674="","",IFERROR(INDEX('Sản phẩm'!$B$5:$B$304,MATCH(D1674,'Sản phẩm'!$A$5:$A$304,0)),""))</f>
        <v/>
      </c>
      <c r="F1674" s="12" t="n"/>
      <c r="G1674" s="11" t="n"/>
      <c r="H1674" s="11" t="n"/>
      <c r="I1674" s="16">
        <f>IF(D1674="","",IF(G1674&lt;&gt;"",G1674,IFERROR(INDEX('Sản phẩm'!$E$5:$E$304,MATCH(D1674,'Sản phẩm'!$A$5:$A$304,0)),"")))</f>
        <v/>
      </c>
      <c r="J1674" s="16">
        <f>IF(OR(D1674="",F1674=""),"",F1674*I1674-N(H1674))</f>
        <v/>
      </c>
      <c r="K1674" s="16">
        <f>IF(OR(D1674="",F1674=""),"",F1674*IFERROR(INDEX('Sản phẩm'!$D$5:$D$304,MATCH(D1674,'Sản phẩm'!$A$5:$A$304,0)),""))</f>
        <v/>
      </c>
      <c r="L1674" s="16">
        <f>IF(J1674="","",J1674-K1674)</f>
        <v/>
      </c>
      <c r="M1674" s="14">
        <f>IF(A1674="","",MONTH(A1674))</f>
        <v/>
      </c>
      <c r="N1674" s="14">
        <f>IF(A1674="","",YEAR(A1674))</f>
        <v/>
      </c>
    </row>
    <row r="1675">
      <c r="A1675" s="15" t="n"/>
      <c r="B1675" s="10" t="n"/>
      <c r="C1675" s="10" t="n"/>
      <c r="D1675" s="10" t="n"/>
      <c r="E1675" s="14">
        <f>IF(D1675="","",IFERROR(INDEX('Sản phẩm'!$B$5:$B$304,MATCH(D1675,'Sản phẩm'!$A$5:$A$304,0)),""))</f>
        <v/>
      </c>
      <c r="F1675" s="12" t="n"/>
      <c r="G1675" s="11" t="n"/>
      <c r="H1675" s="11" t="n"/>
      <c r="I1675" s="16">
        <f>IF(D1675="","",IF(G1675&lt;&gt;"",G1675,IFERROR(INDEX('Sản phẩm'!$E$5:$E$304,MATCH(D1675,'Sản phẩm'!$A$5:$A$304,0)),"")))</f>
        <v/>
      </c>
      <c r="J1675" s="16">
        <f>IF(OR(D1675="",F1675=""),"",F1675*I1675-N(H1675))</f>
        <v/>
      </c>
      <c r="K1675" s="16">
        <f>IF(OR(D1675="",F1675=""),"",F1675*IFERROR(INDEX('Sản phẩm'!$D$5:$D$304,MATCH(D1675,'Sản phẩm'!$A$5:$A$304,0)),""))</f>
        <v/>
      </c>
      <c r="L1675" s="16">
        <f>IF(J1675="","",J1675-K1675)</f>
        <v/>
      </c>
      <c r="M1675" s="14">
        <f>IF(A1675="","",MONTH(A1675))</f>
        <v/>
      </c>
      <c r="N1675" s="14">
        <f>IF(A1675="","",YEAR(A1675))</f>
        <v/>
      </c>
    </row>
    <row r="1676">
      <c r="A1676" s="15" t="n"/>
      <c r="B1676" s="10" t="n"/>
      <c r="C1676" s="10" t="n"/>
      <c r="D1676" s="10" t="n"/>
      <c r="E1676" s="14">
        <f>IF(D1676="","",IFERROR(INDEX('Sản phẩm'!$B$5:$B$304,MATCH(D1676,'Sản phẩm'!$A$5:$A$304,0)),""))</f>
        <v/>
      </c>
      <c r="F1676" s="12" t="n"/>
      <c r="G1676" s="11" t="n"/>
      <c r="H1676" s="11" t="n"/>
      <c r="I1676" s="16">
        <f>IF(D1676="","",IF(G1676&lt;&gt;"",G1676,IFERROR(INDEX('Sản phẩm'!$E$5:$E$304,MATCH(D1676,'Sản phẩm'!$A$5:$A$304,0)),"")))</f>
        <v/>
      </c>
      <c r="J1676" s="16">
        <f>IF(OR(D1676="",F1676=""),"",F1676*I1676-N(H1676))</f>
        <v/>
      </c>
      <c r="K1676" s="16">
        <f>IF(OR(D1676="",F1676=""),"",F1676*IFERROR(INDEX('Sản phẩm'!$D$5:$D$304,MATCH(D1676,'Sản phẩm'!$A$5:$A$304,0)),""))</f>
        <v/>
      </c>
      <c r="L1676" s="16">
        <f>IF(J1676="","",J1676-K1676)</f>
        <v/>
      </c>
      <c r="M1676" s="14">
        <f>IF(A1676="","",MONTH(A1676))</f>
        <v/>
      </c>
      <c r="N1676" s="14">
        <f>IF(A1676="","",YEAR(A1676))</f>
        <v/>
      </c>
    </row>
    <row r="1677">
      <c r="A1677" s="15" t="n"/>
      <c r="B1677" s="10" t="n"/>
      <c r="C1677" s="10" t="n"/>
      <c r="D1677" s="10" t="n"/>
      <c r="E1677" s="14">
        <f>IF(D1677="","",IFERROR(INDEX('Sản phẩm'!$B$5:$B$304,MATCH(D1677,'Sản phẩm'!$A$5:$A$304,0)),""))</f>
        <v/>
      </c>
      <c r="F1677" s="12" t="n"/>
      <c r="G1677" s="11" t="n"/>
      <c r="H1677" s="11" t="n"/>
      <c r="I1677" s="16">
        <f>IF(D1677="","",IF(G1677&lt;&gt;"",G1677,IFERROR(INDEX('Sản phẩm'!$E$5:$E$304,MATCH(D1677,'Sản phẩm'!$A$5:$A$304,0)),"")))</f>
        <v/>
      </c>
      <c r="J1677" s="16">
        <f>IF(OR(D1677="",F1677=""),"",F1677*I1677-N(H1677))</f>
        <v/>
      </c>
      <c r="K1677" s="16">
        <f>IF(OR(D1677="",F1677=""),"",F1677*IFERROR(INDEX('Sản phẩm'!$D$5:$D$304,MATCH(D1677,'Sản phẩm'!$A$5:$A$304,0)),""))</f>
        <v/>
      </c>
      <c r="L1677" s="16">
        <f>IF(J1677="","",J1677-K1677)</f>
        <v/>
      </c>
      <c r="M1677" s="14">
        <f>IF(A1677="","",MONTH(A1677))</f>
        <v/>
      </c>
      <c r="N1677" s="14">
        <f>IF(A1677="","",YEAR(A1677))</f>
        <v/>
      </c>
    </row>
    <row r="1678">
      <c r="A1678" s="15" t="n"/>
      <c r="B1678" s="10" t="n"/>
      <c r="C1678" s="10" t="n"/>
      <c r="D1678" s="10" t="n"/>
      <c r="E1678" s="14">
        <f>IF(D1678="","",IFERROR(INDEX('Sản phẩm'!$B$5:$B$304,MATCH(D1678,'Sản phẩm'!$A$5:$A$304,0)),""))</f>
        <v/>
      </c>
      <c r="F1678" s="12" t="n"/>
      <c r="G1678" s="11" t="n"/>
      <c r="H1678" s="11" t="n"/>
      <c r="I1678" s="16">
        <f>IF(D1678="","",IF(G1678&lt;&gt;"",G1678,IFERROR(INDEX('Sản phẩm'!$E$5:$E$304,MATCH(D1678,'Sản phẩm'!$A$5:$A$304,0)),"")))</f>
        <v/>
      </c>
      <c r="J1678" s="16">
        <f>IF(OR(D1678="",F1678=""),"",F1678*I1678-N(H1678))</f>
        <v/>
      </c>
      <c r="K1678" s="16">
        <f>IF(OR(D1678="",F1678=""),"",F1678*IFERROR(INDEX('Sản phẩm'!$D$5:$D$304,MATCH(D1678,'Sản phẩm'!$A$5:$A$304,0)),""))</f>
        <v/>
      </c>
      <c r="L1678" s="16">
        <f>IF(J1678="","",J1678-K1678)</f>
        <v/>
      </c>
      <c r="M1678" s="14">
        <f>IF(A1678="","",MONTH(A1678))</f>
        <v/>
      </c>
      <c r="N1678" s="14">
        <f>IF(A1678="","",YEAR(A1678))</f>
        <v/>
      </c>
    </row>
    <row r="1679">
      <c r="A1679" s="15" t="n"/>
      <c r="B1679" s="10" t="n"/>
      <c r="C1679" s="10" t="n"/>
      <c r="D1679" s="10" t="n"/>
      <c r="E1679" s="14">
        <f>IF(D1679="","",IFERROR(INDEX('Sản phẩm'!$B$5:$B$304,MATCH(D1679,'Sản phẩm'!$A$5:$A$304,0)),""))</f>
        <v/>
      </c>
      <c r="F1679" s="12" t="n"/>
      <c r="G1679" s="11" t="n"/>
      <c r="H1679" s="11" t="n"/>
      <c r="I1679" s="16">
        <f>IF(D1679="","",IF(G1679&lt;&gt;"",G1679,IFERROR(INDEX('Sản phẩm'!$E$5:$E$304,MATCH(D1679,'Sản phẩm'!$A$5:$A$304,0)),"")))</f>
        <v/>
      </c>
      <c r="J1679" s="16">
        <f>IF(OR(D1679="",F1679=""),"",F1679*I1679-N(H1679))</f>
        <v/>
      </c>
      <c r="K1679" s="16">
        <f>IF(OR(D1679="",F1679=""),"",F1679*IFERROR(INDEX('Sản phẩm'!$D$5:$D$304,MATCH(D1679,'Sản phẩm'!$A$5:$A$304,0)),""))</f>
        <v/>
      </c>
      <c r="L1679" s="16">
        <f>IF(J1679="","",J1679-K1679)</f>
        <v/>
      </c>
      <c r="M1679" s="14">
        <f>IF(A1679="","",MONTH(A1679))</f>
        <v/>
      </c>
      <c r="N1679" s="14">
        <f>IF(A1679="","",YEAR(A1679))</f>
        <v/>
      </c>
    </row>
    <row r="1680">
      <c r="A1680" s="15" t="n"/>
      <c r="B1680" s="10" t="n"/>
      <c r="C1680" s="10" t="n"/>
      <c r="D1680" s="10" t="n"/>
      <c r="E1680" s="14">
        <f>IF(D1680="","",IFERROR(INDEX('Sản phẩm'!$B$5:$B$304,MATCH(D1680,'Sản phẩm'!$A$5:$A$304,0)),""))</f>
        <v/>
      </c>
      <c r="F1680" s="12" t="n"/>
      <c r="G1680" s="11" t="n"/>
      <c r="H1680" s="11" t="n"/>
      <c r="I1680" s="16">
        <f>IF(D1680="","",IF(G1680&lt;&gt;"",G1680,IFERROR(INDEX('Sản phẩm'!$E$5:$E$304,MATCH(D1680,'Sản phẩm'!$A$5:$A$304,0)),"")))</f>
        <v/>
      </c>
      <c r="J1680" s="16">
        <f>IF(OR(D1680="",F1680=""),"",F1680*I1680-N(H1680))</f>
        <v/>
      </c>
      <c r="K1680" s="16">
        <f>IF(OR(D1680="",F1680=""),"",F1680*IFERROR(INDEX('Sản phẩm'!$D$5:$D$304,MATCH(D1680,'Sản phẩm'!$A$5:$A$304,0)),""))</f>
        <v/>
      </c>
      <c r="L1680" s="16">
        <f>IF(J1680="","",J1680-K1680)</f>
        <v/>
      </c>
      <c r="M1680" s="14">
        <f>IF(A1680="","",MONTH(A1680))</f>
        <v/>
      </c>
      <c r="N1680" s="14">
        <f>IF(A1680="","",YEAR(A1680))</f>
        <v/>
      </c>
    </row>
    <row r="1681">
      <c r="A1681" s="15" t="n"/>
      <c r="B1681" s="10" t="n"/>
      <c r="C1681" s="10" t="n"/>
      <c r="D1681" s="10" t="n"/>
      <c r="E1681" s="14">
        <f>IF(D1681="","",IFERROR(INDEX('Sản phẩm'!$B$5:$B$304,MATCH(D1681,'Sản phẩm'!$A$5:$A$304,0)),""))</f>
        <v/>
      </c>
      <c r="F1681" s="12" t="n"/>
      <c r="G1681" s="11" t="n"/>
      <c r="H1681" s="11" t="n"/>
      <c r="I1681" s="16">
        <f>IF(D1681="","",IF(G1681&lt;&gt;"",G1681,IFERROR(INDEX('Sản phẩm'!$E$5:$E$304,MATCH(D1681,'Sản phẩm'!$A$5:$A$304,0)),"")))</f>
        <v/>
      </c>
      <c r="J1681" s="16">
        <f>IF(OR(D1681="",F1681=""),"",F1681*I1681-N(H1681))</f>
        <v/>
      </c>
      <c r="K1681" s="16">
        <f>IF(OR(D1681="",F1681=""),"",F1681*IFERROR(INDEX('Sản phẩm'!$D$5:$D$304,MATCH(D1681,'Sản phẩm'!$A$5:$A$304,0)),""))</f>
        <v/>
      </c>
      <c r="L1681" s="16">
        <f>IF(J1681="","",J1681-K1681)</f>
        <v/>
      </c>
      <c r="M1681" s="14">
        <f>IF(A1681="","",MONTH(A1681))</f>
        <v/>
      </c>
      <c r="N1681" s="14">
        <f>IF(A1681="","",YEAR(A1681))</f>
        <v/>
      </c>
    </row>
    <row r="1682">
      <c r="A1682" s="15" t="n"/>
      <c r="B1682" s="10" t="n"/>
      <c r="C1682" s="10" t="n"/>
      <c r="D1682" s="10" t="n"/>
      <c r="E1682" s="14">
        <f>IF(D1682="","",IFERROR(INDEX('Sản phẩm'!$B$5:$B$304,MATCH(D1682,'Sản phẩm'!$A$5:$A$304,0)),""))</f>
        <v/>
      </c>
      <c r="F1682" s="12" t="n"/>
      <c r="G1682" s="11" t="n"/>
      <c r="H1682" s="11" t="n"/>
      <c r="I1682" s="16">
        <f>IF(D1682="","",IF(G1682&lt;&gt;"",G1682,IFERROR(INDEX('Sản phẩm'!$E$5:$E$304,MATCH(D1682,'Sản phẩm'!$A$5:$A$304,0)),"")))</f>
        <v/>
      </c>
      <c r="J1682" s="16">
        <f>IF(OR(D1682="",F1682=""),"",F1682*I1682-N(H1682))</f>
        <v/>
      </c>
      <c r="K1682" s="16">
        <f>IF(OR(D1682="",F1682=""),"",F1682*IFERROR(INDEX('Sản phẩm'!$D$5:$D$304,MATCH(D1682,'Sản phẩm'!$A$5:$A$304,0)),""))</f>
        <v/>
      </c>
      <c r="L1682" s="16">
        <f>IF(J1682="","",J1682-K1682)</f>
        <v/>
      </c>
      <c r="M1682" s="14">
        <f>IF(A1682="","",MONTH(A1682))</f>
        <v/>
      </c>
      <c r="N1682" s="14">
        <f>IF(A1682="","",YEAR(A1682))</f>
        <v/>
      </c>
    </row>
    <row r="1683">
      <c r="A1683" s="15" t="n"/>
      <c r="B1683" s="10" t="n"/>
      <c r="C1683" s="10" t="n"/>
      <c r="D1683" s="10" t="n"/>
      <c r="E1683" s="14">
        <f>IF(D1683="","",IFERROR(INDEX('Sản phẩm'!$B$5:$B$304,MATCH(D1683,'Sản phẩm'!$A$5:$A$304,0)),""))</f>
        <v/>
      </c>
      <c r="F1683" s="12" t="n"/>
      <c r="G1683" s="11" t="n"/>
      <c r="H1683" s="11" t="n"/>
      <c r="I1683" s="16">
        <f>IF(D1683="","",IF(G1683&lt;&gt;"",G1683,IFERROR(INDEX('Sản phẩm'!$E$5:$E$304,MATCH(D1683,'Sản phẩm'!$A$5:$A$304,0)),"")))</f>
        <v/>
      </c>
      <c r="J1683" s="16">
        <f>IF(OR(D1683="",F1683=""),"",F1683*I1683-N(H1683))</f>
        <v/>
      </c>
      <c r="K1683" s="16">
        <f>IF(OR(D1683="",F1683=""),"",F1683*IFERROR(INDEX('Sản phẩm'!$D$5:$D$304,MATCH(D1683,'Sản phẩm'!$A$5:$A$304,0)),""))</f>
        <v/>
      </c>
      <c r="L1683" s="16">
        <f>IF(J1683="","",J1683-K1683)</f>
        <v/>
      </c>
      <c r="M1683" s="14">
        <f>IF(A1683="","",MONTH(A1683))</f>
        <v/>
      </c>
      <c r="N1683" s="14">
        <f>IF(A1683="","",YEAR(A1683))</f>
        <v/>
      </c>
    </row>
    <row r="1684">
      <c r="A1684" s="15" t="n"/>
      <c r="B1684" s="10" t="n"/>
      <c r="C1684" s="10" t="n"/>
      <c r="D1684" s="10" t="n"/>
      <c r="E1684" s="14">
        <f>IF(D1684="","",IFERROR(INDEX('Sản phẩm'!$B$5:$B$304,MATCH(D1684,'Sản phẩm'!$A$5:$A$304,0)),""))</f>
        <v/>
      </c>
      <c r="F1684" s="12" t="n"/>
      <c r="G1684" s="11" t="n"/>
      <c r="H1684" s="11" t="n"/>
      <c r="I1684" s="16">
        <f>IF(D1684="","",IF(G1684&lt;&gt;"",G1684,IFERROR(INDEX('Sản phẩm'!$E$5:$E$304,MATCH(D1684,'Sản phẩm'!$A$5:$A$304,0)),"")))</f>
        <v/>
      </c>
      <c r="J1684" s="16">
        <f>IF(OR(D1684="",F1684=""),"",F1684*I1684-N(H1684))</f>
        <v/>
      </c>
      <c r="K1684" s="16">
        <f>IF(OR(D1684="",F1684=""),"",F1684*IFERROR(INDEX('Sản phẩm'!$D$5:$D$304,MATCH(D1684,'Sản phẩm'!$A$5:$A$304,0)),""))</f>
        <v/>
      </c>
      <c r="L1684" s="16">
        <f>IF(J1684="","",J1684-K1684)</f>
        <v/>
      </c>
      <c r="M1684" s="14">
        <f>IF(A1684="","",MONTH(A1684))</f>
        <v/>
      </c>
      <c r="N1684" s="14">
        <f>IF(A1684="","",YEAR(A1684))</f>
        <v/>
      </c>
    </row>
    <row r="1685">
      <c r="A1685" s="15" t="n"/>
      <c r="B1685" s="10" t="n"/>
      <c r="C1685" s="10" t="n"/>
      <c r="D1685" s="10" t="n"/>
      <c r="E1685" s="14">
        <f>IF(D1685="","",IFERROR(INDEX('Sản phẩm'!$B$5:$B$304,MATCH(D1685,'Sản phẩm'!$A$5:$A$304,0)),""))</f>
        <v/>
      </c>
      <c r="F1685" s="12" t="n"/>
      <c r="G1685" s="11" t="n"/>
      <c r="H1685" s="11" t="n"/>
      <c r="I1685" s="16">
        <f>IF(D1685="","",IF(G1685&lt;&gt;"",G1685,IFERROR(INDEX('Sản phẩm'!$E$5:$E$304,MATCH(D1685,'Sản phẩm'!$A$5:$A$304,0)),"")))</f>
        <v/>
      </c>
      <c r="J1685" s="16">
        <f>IF(OR(D1685="",F1685=""),"",F1685*I1685-N(H1685))</f>
        <v/>
      </c>
      <c r="K1685" s="16">
        <f>IF(OR(D1685="",F1685=""),"",F1685*IFERROR(INDEX('Sản phẩm'!$D$5:$D$304,MATCH(D1685,'Sản phẩm'!$A$5:$A$304,0)),""))</f>
        <v/>
      </c>
      <c r="L1685" s="16">
        <f>IF(J1685="","",J1685-K1685)</f>
        <v/>
      </c>
      <c r="M1685" s="14">
        <f>IF(A1685="","",MONTH(A1685))</f>
        <v/>
      </c>
      <c r="N1685" s="14">
        <f>IF(A1685="","",YEAR(A1685))</f>
        <v/>
      </c>
    </row>
    <row r="1686">
      <c r="A1686" s="15" t="n"/>
      <c r="B1686" s="10" t="n"/>
      <c r="C1686" s="10" t="n"/>
      <c r="D1686" s="10" t="n"/>
      <c r="E1686" s="14">
        <f>IF(D1686="","",IFERROR(INDEX('Sản phẩm'!$B$5:$B$304,MATCH(D1686,'Sản phẩm'!$A$5:$A$304,0)),""))</f>
        <v/>
      </c>
      <c r="F1686" s="12" t="n"/>
      <c r="G1686" s="11" t="n"/>
      <c r="H1686" s="11" t="n"/>
      <c r="I1686" s="16">
        <f>IF(D1686="","",IF(G1686&lt;&gt;"",G1686,IFERROR(INDEX('Sản phẩm'!$E$5:$E$304,MATCH(D1686,'Sản phẩm'!$A$5:$A$304,0)),"")))</f>
        <v/>
      </c>
      <c r="J1686" s="16">
        <f>IF(OR(D1686="",F1686=""),"",F1686*I1686-N(H1686))</f>
        <v/>
      </c>
      <c r="K1686" s="16">
        <f>IF(OR(D1686="",F1686=""),"",F1686*IFERROR(INDEX('Sản phẩm'!$D$5:$D$304,MATCH(D1686,'Sản phẩm'!$A$5:$A$304,0)),""))</f>
        <v/>
      </c>
      <c r="L1686" s="16">
        <f>IF(J1686="","",J1686-K1686)</f>
        <v/>
      </c>
      <c r="M1686" s="14">
        <f>IF(A1686="","",MONTH(A1686))</f>
        <v/>
      </c>
      <c r="N1686" s="14">
        <f>IF(A1686="","",YEAR(A1686))</f>
        <v/>
      </c>
    </row>
    <row r="1687">
      <c r="A1687" s="15" t="n"/>
      <c r="B1687" s="10" t="n"/>
      <c r="C1687" s="10" t="n"/>
      <c r="D1687" s="10" t="n"/>
      <c r="E1687" s="14">
        <f>IF(D1687="","",IFERROR(INDEX('Sản phẩm'!$B$5:$B$304,MATCH(D1687,'Sản phẩm'!$A$5:$A$304,0)),""))</f>
        <v/>
      </c>
      <c r="F1687" s="12" t="n"/>
      <c r="G1687" s="11" t="n"/>
      <c r="H1687" s="11" t="n"/>
      <c r="I1687" s="16">
        <f>IF(D1687="","",IF(G1687&lt;&gt;"",G1687,IFERROR(INDEX('Sản phẩm'!$E$5:$E$304,MATCH(D1687,'Sản phẩm'!$A$5:$A$304,0)),"")))</f>
        <v/>
      </c>
      <c r="J1687" s="16">
        <f>IF(OR(D1687="",F1687=""),"",F1687*I1687-N(H1687))</f>
        <v/>
      </c>
      <c r="K1687" s="16">
        <f>IF(OR(D1687="",F1687=""),"",F1687*IFERROR(INDEX('Sản phẩm'!$D$5:$D$304,MATCH(D1687,'Sản phẩm'!$A$5:$A$304,0)),""))</f>
        <v/>
      </c>
      <c r="L1687" s="16">
        <f>IF(J1687="","",J1687-K1687)</f>
        <v/>
      </c>
      <c r="M1687" s="14">
        <f>IF(A1687="","",MONTH(A1687))</f>
        <v/>
      </c>
      <c r="N1687" s="14">
        <f>IF(A1687="","",YEAR(A1687))</f>
        <v/>
      </c>
    </row>
    <row r="1688">
      <c r="A1688" s="15" t="n"/>
      <c r="B1688" s="10" t="n"/>
      <c r="C1688" s="10" t="n"/>
      <c r="D1688" s="10" t="n"/>
      <c r="E1688" s="14">
        <f>IF(D1688="","",IFERROR(INDEX('Sản phẩm'!$B$5:$B$304,MATCH(D1688,'Sản phẩm'!$A$5:$A$304,0)),""))</f>
        <v/>
      </c>
      <c r="F1688" s="12" t="n"/>
      <c r="G1688" s="11" t="n"/>
      <c r="H1688" s="11" t="n"/>
      <c r="I1688" s="16">
        <f>IF(D1688="","",IF(G1688&lt;&gt;"",G1688,IFERROR(INDEX('Sản phẩm'!$E$5:$E$304,MATCH(D1688,'Sản phẩm'!$A$5:$A$304,0)),"")))</f>
        <v/>
      </c>
      <c r="J1688" s="16">
        <f>IF(OR(D1688="",F1688=""),"",F1688*I1688-N(H1688))</f>
        <v/>
      </c>
      <c r="K1688" s="16">
        <f>IF(OR(D1688="",F1688=""),"",F1688*IFERROR(INDEX('Sản phẩm'!$D$5:$D$304,MATCH(D1688,'Sản phẩm'!$A$5:$A$304,0)),""))</f>
        <v/>
      </c>
      <c r="L1688" s="16">
        <f>IF(J1688="","",J1688-K1688)</f>
        <v/>
      </c>
      <c r="M1688" s="14">
        <f>IF(A1688="","",MONTH(A1688))</f>
        <v/>
      </c>
      <c r="N1688" s="14">
        <f>IF(A1688="","",YEAR(A1688))</f>
        <v/>
      </c>
    </row>
    <row r="1689">
      <c r="A1689" s="15" t="n"/>
      <c r="B1689" s="10" t="n"/>
      <c r="C1689" s="10" t="n"/>
      <c r="D1689" s="10" t="n"/>
      <c r="E1689" s="14">
        <f>IF(D1689="","",IFERROR(INDEX('Sản phẩm'!$B$5:$B$304,MATCH(D1689,'Sản phẩm'!$A$5:$A$304,0)),""))</f>
        <v/>
      </c>
      <c r="F1689" s="12" t="n"/>
      <c r="G1689" s="11" t="n"/>
      <c r="H1689" s="11" t="n"/>
      <c r="I1689" s="16">
        <f>IF(D1689="","",IF(G1689&lt;&gt;"",G1689,IFERROR(INDEX('Sản phẩm'!$E$5:$E$304,MATCH(D1689,'Sản phẩm'!$A$5:$A$304,0)),"")))</f>
        <v/>
      </c>
      <c r="J1689" s="16">
        <f>IF(OR(D1689="",F1689=""),"",F1689*I1689-N(H1689))</f>
        <v/>
      </c>
      <c r="K1689" s="16">
        <f>IF(OR(D1689="",F1689=""),"",F1689*IFERROR(INDEX('Sản phẩm'!$D$5:$D$304,MATCH(D1689,'Sản phẩm'!$A$5:$A$304,0)),""))</f>
        <v/>
      </c>
      <c r="L1689" s="16">
        <f>IF(J1689="","",J1689-K1689)</f>
        <v/>
      </c>
      <c r="M1689" s="14">
        <f>IF(A1689="","",MONTH(A1689))</f>
        <v/>
      </c>
      <c r="N1689" s="14">
        <f>IF(A1689="","",YEAR(A1689))</f>
        <v/>
      </c>
    </row>
    <row r="1690">
      <c r="A1690" s="15" t="n"/>
      <c r="B1690" s="10" t="n"/>
      <c r="C1690" s="10" t="n"/>
      <c r="D1690" s="10" t="n"/>
      <c r="E1690" s="14">
        <f>IF(D1690="","",IFERROR(INDEX('Sản phẩm'!$B$5:$B$304,MATCH(D1690,'Sản phẩm'!$A$5:$A$304,0)),""))</f>
        <v/>
      </c>
      <c r="F1690" s="12" t="n"/>
      <c r="G1690" s="11" t="n"/>
      <c r="H1690" s="11" t="n"/>
      <c r="I1690" s="16">
        <f>IF(D1690="","",IF(G1690&lt;&gt;"",G1690,IFERROR(INDEX('Sản phẩm'!$E$5:$E$304,MATCH(D1690,'Sản phẩm'!$A$5:$A$304,0)),"")))</f>
        <v/>
      </c>
      <c r="J1690" s="16">
        <f>IF(OR(D1690="",F1690=""),"",F1690*I1690-N(H1690))</f>
        <v/>
      </c>
      <c r="K1690" s="16">
        <f>IF(OR(D1690="",F1690=""),"",F1690*IFERROR(INDEX('Sản phẩm'!$D$5:$D$304,MATCH(D1690,'Sản phẩm'!$A$5:$A$304,0)),""))</f>
        <v/>
      </c>
      <c r="L1690" s="16">
        <f>IF(J1690="","",J1690-K1690)</f>
        <v/>
      </c>
      <c r="M1690" s="14">
        <f>IF(A1690="","",MONTH(A1690))</f>
        <v/>
      </c>
      <c r="N1690" s="14">
        <f>IF(A1690="","",YEAR(A1690))</f>
        <v/>
      </c>
    </row>
    <row r="1691">
      <c r="A1691" s="15" t="n"/>
      <c r="B1691" s="10" t="n"/>
      <c r="C1691" s="10" t="n"/>
      <c r="D1691" s="10" t="n"/>
      <c r="E1691" s="14">
        <f>IF(D1691="","",IFERROR(INDEX('Sản phẩm'!$B$5:$B$304,MATCH(D1691,'Sản phẩm'!$A$5:$A$304,0)),""))</f>
        <v/>
      </c>
      <c r="F1691" s="12" t="n"/>
      <c r="G1691" s="11" t="n"/>
      <c r="H1691" s="11" t="n"/>
      <c r="I1691" s="16">
        <f>IF(D1691="","",IF(G1691&lt;&gt;"",G1691,IFERROR(INDEX('Sản phẩm'!$E$5:$E$304,MATCH(D1691,'Sản phẩm'!$A$5:$A$304,0)),"")))</f>
        <v/>
      </c>
      <c r="J1691" s="16">
        <f>IF(OR(D1691="",F1691=""),"",F1691*I1691-N(H1691))</f>
        <v/>
      </c>
      <c r="K1691" s="16">
        <f>IF(OR(D1691="",F1691=""),"",F1691*IFERROR(INDEX('Sản phẩm'!$D$5:$D$304,MATCH(D1691,'Sản phẩm'!$A$5:$A$304,0)),""))</f>
        <v/>
      </c>
      <c r="L1691" s="16">
        <f>IF(J1691="","",J1691-K1691)</f>
        <v/>
      </c>
      <c r="M1691" s="14">
        <f>IF(A1691="","",MONTH(A1691))</f>
        <v/>
      </c>
      <c r="N1691" s="14">
        <f>IF(A1691="","",YEAR(A1691))</f>
        <v/>
      </c>
    </row>
    <row r="1692">
      <c r="A1692" s="15" t="n"/>
      <c r="B1692" s="10" t="n"/>
      <c r="C1692" s="10" t="n"/>
      <c r="D1692" s="10" t="n"/>
      <c r="E1692" s="14">
        <f>IF(D1692="","",IFERROR(INDEX('Sản phẩm'!$B$5:$B$304,MATCH(D1692,'Sản phẩm'!$A$5:$A$304,0)),""))</f>
        <v/>
      </c>
      <c r="F1692" s="12" t="n"/>
      <c r="G1692" s="11" t="n"/>
      <c r="H1692" s="11" t="n"/>
      <c r="I1692" s="16">
        <f>IF(D1692="","",IF(G1692&lt;&gt;"",G1692,IFERROR(INDEX('Sản phẩm'!$E$5:$E$304,MATCH(D1692,'Sản phẩm'!$A$5:$A$304,0)),"")))</f>
        <v/>
      </c>
      <c r="J1692" s="16">
        <f>IF(OR(D1692="",F1692=""),"",F1692*I1692-N(H1692))</f>
        <v/>
      </c>
      <c r="K1692" s="16">
        <f>IF(OR(D1692="",F1692=""),"",F1692*IFERROR(INDEX('Sản phẩm'!$D$5:$D$304,MATCH(D1692,'Sản phẩm'!$A$5:$A$304,0)),""))</f>
        <v/>
      </c>
      <c r="L1692" s="16">
        <f>IF(J1692="","",J1692-K1692)</f>
        <v/>
      </c>
      <c r="M1692" s="14">
        <f>IF(A1692="","",MONTH(A1692))</f>
        <v/>
      </c>
      <c r="N1692" s="14">
        <f>IF(A1692="","",YEAR(A1692))</f>
        <v/>
      </c>
    </row>
    <row r="1693">
      <c r="A1693" s="15" t="n"/>
      <c r="B1693" s="10" t="n"/>
      <c r="C1693" s="10" t="n"/>
      <c r="D1693" s="10" t="n"/>
      <c r="E1693" s="14">
        <f>IF(D1693="","",IFERROR(INDEX('Sản phẩm'!$B$5:$B$304,MATCH(D1693,'Sản phẩm'!$A$5:$A$304,0)),""))</f>
        <v/>
      </c>
      <c r="F1693" s="12" t="n"/>
      <c r="G1693" s="11" t="n"/>
      <c r="H1693" s="11" t="n"/>
      <c r="I1693" s="16">
        <f>IF(D1693="","",IF(G1693&lt;&gt;"",G1693,IFERROR(INDEX('Sản phẩm'!$E$5:$E$304,MATCH(D1693,'Sản phẩm'!$A$5:$A$304,0)),"")))</f>
        <v/>
      </c>
      <c r="J1693" s="16">
        <f>IF(OR(D1693="",F1693=""),"",F1693*I1693-N(H1693))</f>
        <v/>
      </c>
      <c r="K1693" s="16">
        <f>IF(OR(D1693="",F1693=""),"",F1693*IFERROR(INDEX('Sản phẩm'!$D$5:$D$304,MATCH(D1693,'Sản phẩm'!$A$5:$A$304,0)),""))</f>
        <v/>
      </c>
      <c r="L1693" s="16">
        <f>IF(J1693="","",J1693-K1693)</f>
        <v/>
      </c>
      <c r="M1693" s="14">
        <f>IF(A1693="","",MONTH(A1693))</f>
        <v/>
      </c>
      <c r="N1693" s="14">
        <f>IF(A1693="","",YEAR(A1693))</f>
        <v/>
      </c>
    </row>
    <row r="1694">
      <c r="A1694" s="15" t="n"/>
      <c r="B1694" s="10" t="n"/>
      <c r="C1694" s="10" t="n"/>
      <c r="D1694" s="10" t="n"/>
      <c r="E1694" s="14">
        <f>IF(D1694="","",IFERROR(INDEX('Sản phẩm'!$B$5:$B$304,MATCH(D1694,'Sản phẩm'!$A$5:$A$304,0)),""))</f>
        <v/>
      </c>
      <c r="F1694" s="12" t="n"/>
      <c r="G1694" s="11" t="n"/>
      <c r="H1694" s="11" t="n"/>
      <c r="I1694" s="16">
        <f>IF(D1694="","",IF(G1694&lt;&gt;"",G1694,IFERROR(INDEX('Sản phẩm'!$E$5:$E$304,MATCH(D1694,'Sản phẩm'!$A$5:$A$304,0)),"")))</f>
        <v/>
      </c>
      <c r="J1694" s="16">
        <f>IF(OR(D1694="",F1694=""),"",F1694*I1694-N(H1694))</f>
        <v/>
      </c>
      <c r="K1694" s="16">
        <f>IF(OR(D1694="",F1694=""),"",F1694*IFERROR(INDEX('Sản phẩm'!$D$5:$D$304,MATCH(D1694,'Sản phẩm'!$A$5:$A$304,0)),""))</f>
        <v/>
      </c>
      <c r="L1694" s="16">
        <f>IF(J1694="","",J1694-K1694)</f>
        <v/>
      </c>
      <c r="M1694" s="14">
        <f>IF(A1694="","",MONTH(A1694))</f>
        <v/>
      </c>
      <c r="N1694" s="14">
        <f>IF(A1694="","",YEAR(A1694))</f>
        <v/>
      </c>
    </row>
    <row r="1695">
      <c r="A1695" s="15" t="n"/>
      <c r="B1695" s="10" t="n"/>
      <c r="C1695" s="10" t="n"/>
      <c r="D1695" s="10" t="n"/>
      <c r="E1695" s="14">
        <f>IF(D1695="","",IFERROR(INDEX('Sản phẩm'!$B$5:$B$304,MATCH(D1695,'Sản phẩm'!$A$5:$A$304,0)),""))</f>
        <v/>
      </c>
      <c r="F1695" s="12" t="n"/>
      <c r="G1695" s="11" t="n"/>
      <c r="H1695" s="11" t="n"/>
      <c r="I1695" s="16">
        <f>IF(D1695="","",IF(G1695&lt;&gt;"",G1695,IFERROR(INDEX('Sản phẩm'!$E$5:$E$304,MATCH(D1695,'Sản phẩm'!$A$5:$A$304,0)),"")))</f>
        <v/>
      </c>
      <c r="J1695" s="16">
        <f>IF(OR(D1695="",F1695=""),"",F1695*I1695-N(H1695))</f>
        <v/>
      </c>
      <c r="K1695" s="16">
        <f>IF(OR(D1695="",F1695=""),"",F1695*IFERROR(INDEX('Sản phẩm'!$D$5:$D$304,MATCH(D1695,'Sản phẩm'!$A$5:$A$304,0)),""))</f>
        <v/>
      </c>
      <c r="L1695" s="16">
        <f>IF(J1695="","",J1695-K1695)</f>
        <v/>
      </c>
      <c r="M1695" s="14">
        <f>IF(A1695="","",MONTH(A1695))</f>
        <v/>
      </c>
      <c r="N1695" s="14">
        <f>IF(A1695="","",YEAR(A1695))</f>
        <v/>
      </c>
    </row>
    <row r="1696">
      <c r="A1696" s="15" t="n"/>
      <c r="B1696" s="10" t="n"/>
      <c r="C1696" s="10" t="n"/>
      <c r="D1696" s="10" t="n"/>
      <c r="E1696" s="14">
        <f>IF(D1696="","",IFERROR(INDEX('Sản phẩm'!$B$5:$B$304,MATCH(D1696,'Sản phẩm'!$A$5:$A$304,0)),""))</f>
        <v/>
      </c>
      <c r="F1696" s="12" t="n"/>
      <c r="G1696" s="11" t="n"/>
      <c r="H1696" s="11" t="n"/>
      <c r="I1696" s="16">
        <f>IF(D1696="","",IF(G1696&lt;&gt;"",G1696,IFERROR(INDEX('Sản phẩm'!$E$5:$E$304,MATCH(D1696,'Sản phẩm'!$A$5:$A$304,0)),"")))</f>
        <v/>
      </c>
      <c r="J1696" s="16">
        <f>IF(OR(D1696="",F1696=""),"",F1696*I1696-N(H1696))</f>
        <v/>
      </c>
      <c r="K1696" s="16">
        <f>IF(OR(D1696="",F1696=""),"",F1696*IFERROR(INDEX('Sản phẩm'!$D$5:$D$304,MATCH(D1696,'Sản phẩm'!$A$5:$A$304,0)),""))</f>
        <v/>
      </c>
      <c r="L1696" s="16">
        <f>IF(J1696="","",J1696-K1696)</f>
        <v/>
      </c>
      <c r="M1696" s="14">
        <f>IF(A1696="","",MONTH(A1696))</f>
        <v/>
      </c>
      <c r="N1696" s="14">
        <f>IF(A1696="","",YEAR(A1696))</f>
        <v/>
      </c>
    </row>
    <row r="1697">
      <c r="A1697" s="15" t="n"/>
      <c r="B1697" s="10" t="n"/>
      <c r="C1697" s="10" t="n"/>
      <c r="D1697" s="10" t="n"/>
      <c r="E1697" s="14">
        <f>IF(D1697="","",IFERROR(INDEX('Sản phẩm'!$B$5:$B$304,MATCH(D1697,'Sản phẩm'!$A$5:$A$304,0)),""))</f>
        <v/>
      </c>
      <c r="F1697" s="12" t="n"/>
      <c r="G1697" s="11" t="n"/>
      <c r="H1697" s="11" t="n"/>
      <c r="I1697" s="16">
        <f>IF(D1697="","",IF(G1697&lt;&gt;"",G1697,IFERROR(INDEX('Sản phẩm'!$E$5:$E$304,MATCH(D1697,'Sản phẩm'!$A$5:$A$304,0)),"")))</f>
        <v/>
      </c>
      <c r="J1697" s="16">
        <f>IF(OR(D1697="",F1697=""),"",F1697*I1697-N(H1697))</f>
        <v/>
      </c>
      <c r="K1697" s="16">
        <f>IF(OR(D1697="",F1697=""),"",F1697*IFERROR(INDEX('Sản phẩm'!$D$5:$D$304,MATCH(D1697,'Sản phẩm'!$A$5:$A$304,0)),""))</f>
        <v/>
      </c>
      <c r="L1697" s="16">
        <f>IF(J1697="","",J1697-K1697)</f>
        <v/>
      </c>
      <c r="M1697" s="14">
        <f>IF(A1697="","",MONTH(A1697))</f>
        <v/>
      </c>
      <c r="N1697" s="14">
        <f>IF(A1697="","",YEAR(A1697))</f>
        <v/>
      </c>
    </row>
    <row r="1698">
      <c r="A1698" s="15" t="n"/>
      <c r="B1698" s="10" t="n"/>
      <c r="C1698" s="10" t="n"/>
      <c r="D1698" s="10" t="n"/>
      <c r="E1698" s="14">
        <f>IF(D1698="","",IFERROR(INDEX('Sản phẩm'!$B$5:$B$304,MATCH(D1698,'Sản phẩm'!$A$5:$A$304,0)),""))</f>
        <v/>
      </c>
      <c r="F1698" s="12" t="n"/>
      <c r="G1698" s="11" t="n"/>
      <c r="H1698" s="11" t="n"/>
      <c r="I1698" s="16">
        <f>IF(D1698="","",IF(G1698&lt;&gt;"",G1698,IFERROR(INDEX('Sản phẩm'!$E$5:$E$304,MATCH(D1698,'Sản phẩm'!$A$5:$A$304,0)),"")))</f>
        <v/>
      </c>
      <c r="J1698" s="16">
        <f>IF(OR(D1698="",F1698=""),"",F1698*I1698-N(H1698))</f>
        <v/>
      </c>
      <c r="K1698" s="16">
        <f>IF(OR(D1698="",F1698=""),"",F1698*IFERROR(INDEX('Sản phẩm'!$D$5:$D$304,MATCH(D1698,'Sản phẩm'!$A$5:$A$304,0)),""))</f>
        <v/>
      </c>
      <c r="L1698" s="16">
        <f>IF(J1698="","",J1698-K1698)</f>
        <v/>
      </c>
      <c r="M1698" s="14">
        <f>IF(A1698="","",MONTH(A1698))</f>
        <v/>
      </c>
      <c r="N1698" s="14">
        <f>IF(A1698="","",YEAR(A1698))</f>
        <v/>
      </c>
    </row>
    <row r="1699">
      <c r="A1699" s="15" t="n"/>
      <c r="B1699" s="10" t="n"/>
      <c r="C1699" s="10" t="n"/>
      <c r="D1699" s="10" t="n"/>
      <c r="E1699" s="14">
        <f>IF(D1699="","",IFERROR(INDEX('Sản phẩm'!$B$5:$B$304,MATCH(D1699,'Sản phẩm'!$A$5:$A$304,0)),""))</f>
        <v/>
      </c>
      <c r="F1699" s="12" t="n"/>
      <c r="G1699" s="11" t="n"/>
      <c r="H1699" s="11" t="n"/>
      <c r="I1699" s="16">
        <f>IF(D1699="","",IF(G1699&lt;&gt;"",G1699,IFERROR(INDEX('Sản phẩm'!$E$5:$E$304,MATCH(D1699,'Sản phẩm'!$A$5:$A$304,0)),"")))</f>
        <v/>
      </c>
      <c r="J1699" s="16">
        <f>IF(OR(D1699="",F1699=""),"",F1699*I1699-N(H1699))</f>
        <v/>
      </c>
      <c r="K1699" s="16">
        <f>IF(OR(D1699="",F1699=""),"",F1699*IFERROR(INDEX('Sản phẩm'!$D$5:$D$304,MATCH(D1699,'Sản phẩm'!$A$5:$A$304,0)),""))</f>
        <v/>
      </c>
      <c r="L1699" s="16">
        <f>IF(J1699="","",J1699-K1699)</f>
        <v/>
      </c>
      <c r="M1699" s="14">
        <f>IF(A1699="","",MONTH(A1699))</f>
        <v/>
      </c>
      <c r="N1699" s="14">
        <f>IF(A1699="","",YEAR(A1699))</f>
        <v/>
      </c>
    </row>
    <row r="1700">
      <c r="A1700" s="15" t="n"/>
      <c r="B1700" s="10" t="n"/>
      <c r="C1700" s="10" t="n"/>
      <c r="D1700" s="10" t="n"/>
      <c r="E1700" s="14">
        <f>IF(D1700="","",IFERROR(INDEX('Sản phẩm'!$B$5:$B$304,MATCH(D1700,'Sản phẩm'!$A$5:$A$304,0)),""))</f>
        <v/>
      </c>
      <c r="F1700" s="12" t="n"/>
      <c r="G1700" s="11" t="n"/>
      <c r="H1700" s="11" t="n"/>
      <c r="I1700" s="16">
        <f>IF(D1700="","",IF(G1700&lt;&gt;"",G1700,IFERROR(INDEX('Sản phẩm'!$E$5:$E$304,MATCH(D1700,'Sản phẩm'!$A$5:$A$304,0)),"")))</f>
        <v/>
      </c>
      <c r="J1700" s="16">
        <f>IF(OR(D1700="",F1700=""),"",F1700*I1700-N(H1700))</f>
        <v/>
      </c>
      <c r="K1700" s="16">
        <f>IF(OR(D1700="",F1700=""),"",F1700*IFERROR(INDEX('Sản phẩm'!$D$5:$D$304,MATCH(D1700,'Sản phẩm'!$A$5:$A$304,0)),""))</f>
        <v/>
      </c>
      <c r="L1700" s="16">
        <f>IF(J1700="","",J1700-K1700)</f>
        <v/>
      </c>
      <c r="M1700" s="14">
        <f>IF(A1700="","",MONTH(A1700))</f>
        <v/>
      </c>
      <c r="N1700" s="14">
        <f>IF(A1700="","",YEAR(A1700))</f>
        <v/>
      </c>
    </row>
    <row r="1701">
      <c r="A1701" s="15" t="n"/>
      <c r="B1701" s="10" t="n"/>
      <c r="C1701" s="10" t="n"/>
      <c r="D1701" s="10" t="n"/>
      <c r="E1701" s="14">
        <f>IF(D1701="","",IFERROR(INDEX('Sản phẩm'!$B$5:$B$304,MATCH(D1701,'Sản phẩm'!$A$5:$A$304,0)),""))</f>
        <v/>
      </c>
      <c r="F1701" s="12" t="n"/>
      <c r="G1701" s="11" t="n"/>
      <c r="H1701" s="11" t="n"/>
      <c r="I1701" s="16">
        <f>IF(D1701="","",IF(G1701&lt;&gt;"",G1701,IFERROR(INDEX('Sản phẩm'!$E$5:$E$304,MATCH(D1701,'Sản phẩm'!$A$5:$A$304,0)),"")))</f>
        <v/>
      </c>
      <c r="J1701" s="16">
        <f>IF(OR(D1701="",F1701=""),"",F1701*I1701-N(H1701))</f>
        <v/>
      </c>
      <c r="K1701" s="16">
        <f>IF(OR(D1701="",F1701=""),"",F1701*IFERROR(INDEX('Sản phẩm'!$D$5:$D$304,MATCH(D1701,'Sản phẩm'!$A$5:$A$304,0)),""))</f>
        <v/>
      </c>
      <c r="L1701" s="16">
        <f>IF(J1701="","",J1701-K1701)</f>
        <v/>
      </c>
      <c r="M1701" s="14">
        <f>IF(A1701="","",MONTH(A1701))</f>
        <v/>
      </c>
      <c r="N1701" s="14">
        <f>IF(A1701="","",YEAR(A1701))</f>
        <v/>
      </c>
    </row>
    <row r="1702">
      <c r="A1702" s="15" t="n"/>
      <c r="B1702" s="10" t="n"/>
      <c r="C1702" s="10" t="n"/>
      <c r="D1702" s="10" t="n"/>
      <c r="E1702" s="14">
        <f>IF(D1702="","",IFERROR(INDEX('Sản phẩm'!$B$5:$B$304,MATCH(D1702,'Sản phẩm'!$A$5:$A$304,0)),""))</f>
        <v/>
      </c>
      <c r="F1702" s="12" t="n"/>
      <c r="G1702" s="11" t="n"/>
      <c r="H1702" s="11" t="n"/>
      <c r="I1702" s="16">
        <f>IF(D1702="","",IF(G1702&lt;&gt;"",G1702,IFERROR(INDEX('Sản phẩm'!$E$5:$E$304,MATCH(D1702,'Sản phẩm'!$A$5:$A$304,0)),"")))</f>
        <v/>
      </c>
      <c r="J1702" s="16">
        <f>IF(OR(D1702="",F1702=""),"",F1702*I1702-N(H1702))</f>
        <v/>
      </c>
      <c r="K1702" s="16">
        <f>IF(OR(D1702="",F1702=""),"",F1702*IFERROR(INDEX('Sản phẩm'!$D$5:$D$304,MATCH(D1702,'Sản phẩm'!$A$5:$A$304,0)),""))</f>
        <v/>
      </c>
      <c r="L1702" s="16">
        <f>IF(J1702="","",J1702-K1702)</f>
        <v/>
      </c>
      <c r="M1702" s="14">
        <f>IF(A1702="","",MONTH(A1702))</f>
        <v/>
      </c>
      <c r="N1702" s="14">
        <f>IF(A1702="","",YEAR(A1702))</f>
        <v/>
      </c>
    </row>
    <row r="1703">
      <c r="A1703" s="15" t="n"/>
      <c r="B1703" s="10" t="n"/>
      <c r="C1703" s="10" t="n"/>
      <c r="D1703" s="10" t="n"/>
      <c r="E1703" s="14">
        <f>IF(D1703="","",IFERROR(INDEX('Sản phẩm'!$B$5:$B$304,MATCH(D1703,'Sản phẩm'!$A$5:$A$304,0)),""))</f>
        <v/>
      </c>
      <c r="F1703" s="12" t="n"/>
      <c r="G1703" s="11" t="n"/>
      <c r="H1703" s="11" t="n"/>
      <c r="I1703" s="16">
        <f>IF(D1703="","",IF(G1703&lt;&gt;"",G1703,IFERROR(INDEX('Sản phẩm'!$E$5:$E$304,MATCH(D1703,'Sản phẩm'!$A$5:$A$304,0)),"")))</f>
        <v/>
      </c>
      <c r="J1703" s="16">
        <f>IF(OR(D1703="",F1703=""),"",F1703*I1703-N(H1703))</f>
        <v/>
      </c>
      <c r="K1703" s="16">
        <f>IF(OR(D1703="",F1703=""),"",F1703*IFERROR(INDEX('Sản phẩm'!$D$5:$D$304,MATCH(D1703,'Sản phẩm'!$A$5:$A$304,0)),""))</f>
        <v/>
      </c>
      <c r="L1703" s="16">
        <f>IF(J1703="","",J1703-K1703)</f>
        <v/>
      </c>
      <c r="M1703" s="14">
        <f>IF(A1703="","",MONTH(A1703))</f>
        <v/>
      </c>
      <c r="N1703" s="14">
        <f>IF(A1703="","",YEAR(A1703))</f>
        <v/>
      </c>
    </row>
    <row r="1704">
      <c r="A1704" s="15" t="n"/>
      <c r="B1704" s="10" t="n"/>
      <c r="C1704" s="10" t="n"/>
      <c r="D1704" s="10" t="n"/>
      <c r="E1704" s="14">
        <f>IF(D1704="","",IFERROR(INDEX('Sản phẩm'!$B$5:$B$304,MATCH(D1704,'Sản phẩm'!$A$5:$A$304,0)),""))</f>
        <v/>
      </c>
      <c r="F1704" s="12" t="n"/>
      <c r="G1704" s="11" t="n"/>
      <c r="H1704" s="11" t="n"/>
      <c r="I1704" s="16">
        <f>IF(D1704="","",IF(G1704&lt;&gt;"",G1704,IFERROR(INDEX('Sản phẩm'!$E$5:$E$304,MATCH(D1704,'Sản phẩm'!$A$5:$A$304,0)),"")))</f>
        <v/>
      </c>
      <c r="J1704" s="16">
        <f>IF(OR(D1704="",F1704=""),"",F1704*I1704-N(H1704))</f>
        <v/>
      </c>
      <c r="K1704" s="16">
        <f>IF(OR(D1704="",F1704=""),"",F1704*IFERROR(INDEX('Sản phẩm'!$D$5:$D$304,MATCH(D1704,'Sản phẩm'!$A$5:$A$304,0)),""))</f>
        <v/>
      </c>
      <c r="L1704" s="16">
        <f>IF(J1704="","",J1704-K1704)</f>
        <v/>
      </c>
      <c r="M1704" s="14">
        <f>IF(A1704="","",MONTH(A1704))</f>
        <v/>
      </c>
      <c r="N1704" s="14">
        <f>IF(A1704="","",YEAR(A1704))</f>
        <v/>
      </c>
    </row>
    <row r="1705">
      <c r="A1705" s="15" t="n"/>
      <c r="B1705" s="10" t="n"/>
      <c r="C1705" s="10" t="n"/>
      <c r="D1705" s="10" t="n"/>
      <c r="E1705" s="14">
        <f>IF(D1705="","",IFERROR(INDEX('Sản phẩm'!$B$5:$B$304,MATCH(D1705,'Sản phẩm'!$A$5:$A$304,0)),""))</f>
        <v/>
      </c>
      <c r="F1705" s="12" t="n"/>
      <c r="G1705" s="11" t="n"/>
      <c r="H1705" s="11" t="n"/>
      <c r="I1705" s="16">
        <f>IF(D1705="","",IF(G1705&lt;&gt;"",G1705,IFERROR(INDEX('Sản phẩm'!$E$5:$E$304,MATCH(D1705,'Sản phẩm'!$A$5:$A$304,0)),"")))</f>
        <v/>
      </c>
      <c r="J1705" s="16">
        <f>IF(OR(D1705="",F1705=""),"",F1705*I1705-N(H1705))</f>
        <v/>
      </c>
      <c r="K1705" s="16">
        <f>IF(OR(D1705="",F1705=""),"",F1705*IFERROR(INDEX('Sản phẩm'!$D$5:$D$304,MATCH(D1705,'Sản phẩm'!$A$5:$A$304,0)),""))</f>
        <v/>
      </c>
      <c r="L1705" s="16">
        <f>IF(J1705="","",J1705-K1705)</f>
        <v/>
      </c>
      <c r="M1705" s="14">
        <f>IF(A1705="","",MONTH(A1705))</f>
        <v/>
      </c>
      <c r="N1705" s="14">
        <f>IF(A1705="","",YEAR(A1705))</f>
        <v/>
      </c>
    </row>
    <row r="1706">
      <c r="A1706" s="15" t="n"/>
      <c r="B1706" s="10" t="n"/>
      <c r="C1706" s="10" t="n"/>
      <c r="D1706" s="10" t="n"/>
      <c r="E1706" s="14">
        <f>IF(D1706="","",IFERROR(INDEX('Sản phẩm'!$B$5:$B$304,MATCH(D1706,'Sản phẩm'!$A$5:$A$304,0)),""))</f>
        <v/>
      </c>
      <c r="F1706" s="12" t="n"/>
      <c r="G1706" s="11" t="n"/>
      <c r="H1706" s="11" t="n"/>
      <c r="I1706" s="16">
        <f>IF(D1706="","",IF(G1706&lt;&gt;"",G1706,IFERROR(INDEX('Sản phẩm'!$E$5:$E$304,MATCH(D1706,'Sản phẩm'!$A$5:$A$304,0)),"")))</f>
        <v/>
      </c>
      <c r="J1706" s="16">
        <f>IF(OR(D1706="",F1706=""),"",F1706*I1706-N(H1706))</f>
        <v/>
      </c>
      <c r="K1706" s="16">
        <f>IF(OR(D1706="",F1706=""),"",F1706*IFERROR(INDEX('Sản phẩm'!$D$5:$D$304,MATCH(D1706,'Sản phẩm'!$A$5:$A$304,0)),""))</f>
        <v/>
      </c>
      <c r="L1706" s="16">
        <f>IF(J1706="","",J1706-K1706)</f>
        <v/>
      </c>
      <c r="M1706" s="14">
        <f>IF(A1706="","",MONTH(A1706))</f>
        <v/>
      </c>
      <c r="N1706" s="14">
        <f>IF(A1706="","",YEAR(A1706))</f>
        <v/>
      </c>
    </row>
    <row r="1707">
      <c r="A1707" s="15" t="n"/>
      <c r="B1707" s="10" t="n"/>
      <c r="C1707" s="10" t="n"/>
      <c r="D1707" s="10" t="n"/>
      <c r="E1707" s="14">
        <f>IF(D1707="","",IFERROR(INDEX('Sản phẩm'!$B$5:$B$304,MATCH(D1707,'Sản phẩm'!$A$5:$A$304,0)),""))</f>
        <v/>
      </c>
      <c r="F1707" s="12" t="n"/>
      <c r="G1707" s="11" t="n"/>
      <c r="H1707" s="11" t="n"/>
      <c r="I1707" s="16">
        <f>IF(D1707="","",IF(G1707&lt;&gt;"",G1707,IFERROR(INDEX('Sản phẩm'!$E$5:$E$304,MATCH(D1707,'Sản phẩm'!$A$5:$A$304,0)),"")))</f>
        <v/>
      </c>
      <c r="J1707" s="16">
        <f>IF(OR(D1707="",F1707=""),"",F1707*I1707-N(H1707))</f>
        <v/>
      </c>
      <c r="K1707" s="16">
        <f>IF(OR(D1707="",F1707=""),"",F1707*IFERROR(INDEX('Sản phẩm'!$D$5:$D$304,MATCH(D1707,'Sản phẩm'!$A$5:$A$304,0)),""))</f>
        <v/>
      </c>
      <c r="L1707" s="16">
        <f>IF(J1707="","",J1707-K1707)</f>
        <v/>
      </c>
      <c r="M1707" s="14">
        <f>IF(A1707="","",MONTH(A1707))</f>
        <v/>
      </c>
      <c r="N1707" s="14">
        <f>IF(A1707="","",YEAR(A1707))</f>
        <v/>
      </c>
    </row>
    <row r="1708">
      <c r="A1708" s="15" t="n"/>
      <c r="B1708" s="10" t="n"/>
      <c r="C1708" s="10" t="n"/>
      <c r="D1708" s="10" t="n"/>
      <c r="E1708" s="14">
        <f>IF(D1708="","",IFERROR(INDEX('Sản phẩm'!$B$5:$B$304,MATCH(D1708,'Sản phẩm'!$A$5:$A$304,0)),""))</f>
        <v/>
      </c>
      <c r="F1708" s="12" t="n"/>
      <c r="G1708" s="11" t="n"/>
      <c r="H1708" s="11" t="n"/>
      <c r="I1708" s="16">
        <f>IF(D1708="","",IF(G1708&lt;&gt;"",G1708,IFERROR(INDEX('Sản phẩm'!$E$5:$E$304,MATCH(D1708,'Sản phẩm'!$A$5:$A$304,0)),"")))</f>
        <v/>
      </c>
      <c r="J1708" s="16">
        <f>IF(OR(D1708="",F1708=""),"",F1708*I1708-N(H1708))</f>
        <v/>
      </c>
      <c r="K1708" s="16">
        <f>IF(OR(D1708="",F1708=""),"",F1708*IFERROR(INDEX('Sản phẩm'!$D$5:$D$304,MATCH(D1708,'Sản phẩm'!$A$5:$A$304,0)),""))</f>
        <v/>
      </c>
      <c r="L1708" s="16">
        <f>IF(J1708="","",J1708-K1708)</f>
        <v/>
      </c>
      <c r="M1708" s="14">
        <f>IF(A1708="","",MONTH(A1708))</f>
        <v/>
      </c>
      <c r="N1708" s="14">
        <f>IF(A1708="","",YEAR(A1708))</f>
        <v/>
      </c>
    </row>
    <row r="1709">
      <c r="A1709" s="15" t="n"/>
      <c r="B1709" s="10" t="n"/>
      <c r="C1709" s="10" t="n"/>
      <c r="D1709" s="10" t="n"/>
      <c r="E1709" s="14">
        <f>IF(D1709="","",IFERROR(INDEX('Sản phẩm'!$B$5:$B$304,MATCH(D1709,'Sản phẩm'!$A$5:$A$304,0)),""))</f>
        <v/>
      </c>
      <c r="F1709" s="12" t="n"/>
      <c r="G1709" s="11" t="n"/>
      <c r="H1709" s="11" t="n"/>
      <c r="I1709" s="16">
        <f>IF(D1709="","",IF(G1709&lt;&gt;"",G1709,IFERROR(INDEX('Sản phẩm'!$E$5:$E$304,MATCH(D1709,'Sản phẩm'!$A$5:$A$304,0)),"")))</f>
        <v/>
      </c>
      <c r="J1709" s="16">
        <f>IF(OR(D1709="",F1709=""),"",F1709*I1709-N(H1709))</f>
        <v/>
      </c>
      <c r="K1709" s="16">
        <f>IF(OR(D1709="",F1709=""),"",F1709*IFERROR(INDEX('Sản phẩm'!$D$5:$D$304,MATCH(D1709,'Sản phẩm'!$A$5:$A$304,0)),""))</f>
        <v/>
      </c>
      <c r="L1709" s="16">
        <f>IF(J1709="","",J1709-K1709)</f>
        <v/>
      </c>
      <c r="M1709" s="14">
        <f>IF(A1709="","",MONTH(A1709))</f>
        <v/>
      </c>
      <c r="N1709" s="14">
        <f>IF(A1709="","",YEAR(A1709))</f>
        <v/>
      </c>
    </row>
    <row r="1710">
      <c r="A1710" s="15" t="n"/>
      <c r="B1710" s="10" t="n"/>
      <c r="C1710" s="10" t="n"/>
      <c r="D1710" s="10" t="n"/>
      <c r="E1710" s="14">
        <f>IF(D1710="","",IFERROR(INDEX('Sản phẩm'!$B$5:$B$304,MATCH(D1710,'Sản phẩm'!$A$5:$A$304,0)),""))</f>
        <v/>
      </c>
      <c r="F1710" s="12" t="n"/>
      <c r="G1710" s="11" t="n"/>
      <c r="H1710" s="11" t="n"/>
      <c r="I1710" s="16">
        <f>IF(D1710="","",IF(G1710&lt;&gt;"",G1710,IFERROR(INDEX('Sản phẩm'!$E$5:$E$304,MATCH(D1710,'Sản phẩm'!$A$5:$A$304,0)),"")))</f>
        <v/>
      </c>
      <c r="J1710" s="16">
        <f>IF(OR(D1710="",F1710=""),"",F1710*I1710-N(H1710))</f>
        <v/>
      </c>
      <c r="K1710" s="16">
        <f>IF(OR(D1710="",F1710=""),"",F1710*IFERROR(INDEX('Sản phẩm'!$D$5:$D$304,MATCH(D1710,'Sản phẩm'!$A$5:$A$304,0)),""))</f>
        <v/>
      </c>
      <c r="L1710" s="16">
        <f>IF(J1710="","",J1710-K1710)</f>
        <v/>
      </c>
      <c r="M1710" s="14">
        <f>IF(A1710="","",MONTH(A1710))</f>
        <v/>
      </c>
      <c r="N1710" s="14">
        <f>IF(A1710="","",YEAR(A1710))</f>
        <v/>
      </c>
    </row>
    <row r="1711">
      <c r="A1711" s="15" t="n"/>
      <c r="B1711" s="10" t="n"/>
      <c r="C1711" s="10" t="n"/>
      <c r="D1711" s="10" t="n"/>
      <c r="E1711" s="14">
        <f>IF(D1711="","",IFERROR(INDEX('Sản phẩm'!$B$5:$B$304,MATCH(D1711,'Sản phẩm'!$A$5:$A$304,0)),""))</f>
        <v/>
      </c>
      <c r="F1711" s="12" t="n"/>
      <c r="G1711" s="11" t="n"/>
      <c r="H1711" s="11" t="n"/>
      <c r="I1711" s="16">
        <f>IF(D1711="","",IF(G1711&lt;&gt;"",G1711,IFERROR(INDEX('Sản phẩm'!$E$5:$E$304,MATCH(D1711,'Sản phẩm'!$A$5:$A$304,0)),"")))</f>
        <v/>
      </c>
      <c r="J1711" s="16">
        <f>IF(OR(D1711="",F1711=""),"",F1711*I1711-N(H1711))</f>
        <v/>
      </c>
      <c r="K1711" s="16">
        <f>IF(OR(D1711="",F1711=""),"",F1711*IFERROR(INDEX('Sản phẩm'!$D$5:$D$304,MATCH(D1711,'Sản phẩm'!$A$5:$A$304,0)),""))</f>
        <v/>
      </c>
      <c r="L1711" s="16">
        <f>IF(J1711="","",J1711-K1711)</f>
        <v/>
      </c>
      <c r="M1711" s="14">
        <f>IF(A1711="","",MONTH(A1711))</f>
        <v/>
      </c>
      <c r="N1711" s="14">
        <f>IF(A1711="","",YEAR(A1711))</f>
        <v/>
      </c>
    </row>
    <row r="1712">
      <c r="A1712" s="15" t="n"/>
      <c r="B1712" s="10" t="n"/>
      <c r="C1712" s="10" t="n"/>
      <c r="D1712" s="10" t="n"/>
      <c r="E1712" s="14">
        <f>IF(D1712="","",IFERROR(INDEX('Sản phẩm'!$B$5:$B$304,MATCH(D1712,'Sản phẩm'!$A$5:$A$304,0)),""))</f>
        <v/>
      </c>
      <c r="F1712" s="12" t="n"/>
      <c r="G1712" s="11" t="n"/>
      <c r="H1712" s="11" t="n"/>
      <c r="I1712" s="16">
        <f>IF(D1712="","",IF(G1712&lt;&gt;"",G1712,IFERROR(INDEX('Sản phẩm'!$E$5:$E$304,MATCH(D1712,'Sản phẩm'!$A$5:$A$304,0)),"")))</f>
        <v/>
      </c>
      <c r="J1712" s="16">
        <f>IF(OR(D1712="",F1712=""),"",F1712*I1712-N(H1712))</f>
        <v/>
      </c>
      <c r="K1712" s="16">
        <f>IF(OR(D1712="",F1712=""),"",F1712*IFERROR(INDEX('Sản phẩm'!$D$5:$D$304,MATCH(D1712,'Sản phẩm'!$A$5:$A$304,0)),""))</f>
        <v/>
      </c>
      <c r="L1712" s="16">
        <f>IF(J1712="","",J1712-K1712)</f>
        <v/>
      </c>
      <c r="M1712" s="14">
        <f>IF(A1712="","",MONTH(A1712))</f>
        <v/>
      </c>
      <c r="N1712" s="14">
        <f>IF(A1712="","",YEAR(A1712))</f>
        <v/>
      </c>
    </row>
    <row r="1713">
      <c r="A1713" s="15" t="n"/>
      <c r="B1713" s="10" t="n"/>
      <c r="C1713" s="10" t="n"/>
      <c r="D1713" s="10" t="n"/>
      <c r="E1713" s="14">
        <f>IF(D1713="","",IFERROR(INDEX('Sản phẩm'!$B$5:$B$304,MATCH(D1713,'Sản phẩm'!$A$5:$A$304,0)),""))</f>
        <v/>
      </c>
      <c r="F1713" s="12" t="n"/>
      <c r="G1713" s="11" t="n"/>
      <c r="H1713" s="11" t="n"/>
      <c r="I1713" s="16">
        <f>IF(D1713="","",IF(G1713&lt;&gt;"",G1713,IFERROR(INDEX('Sản phẩm'!$E$5:$E$304,MATCH(D1713,'Sản phẩm'!$A$5:$A$304,0)),"")))</f>
        <v/>
      </c>
      <c r="J1713" s="16">
        <f>IF(OR(D1713="",F1713=""),"",F1713*I1713-N(H1713))</f>
        <v/>
      </c>
      <c r="K1713" s="16">
        <f>IF(OR(D1713="",F1713=""),"",F1713*IFERROR(INDEX('Sản phẩm'!$D$5:$D$304,MATCH(D1713,'Sản phẩm'!$A$5:$A$304,0)),""))</f>
        <v/>
      </c>
      <c r="L1713" s="16">
        <f>IF(J1713="","",J1713-K1713)</f>
        <v/>
      </c>
      <c r="M1713" s="14">
        <f>IF(A1713="","",MONTH(A1713))</f>
        <v/>
      </c>
      <c r="N1713" s="14">
        <f>IF(A1713="","",YEAR(A1713))</f>
        <v/>
      </c>
    </row>
    <row r="1714">
      <c r="A1714" s="15" t="n"/>
      <c r="B1714" s="10" t="n"/>
      <c r="C1714" s="10" t="n"/>
      <c r="D1714" s="10" t="n"/>
      <c r="E1714" s="14">
        <f>IF(D1714="","",IFERROR(INDEX('Sản phẩm'!$B$5:$B$304,MATCH(D1714,'Sản phẩm'!$A$5:$A$304,0)),""))</f>
        <v/>
      </c>
      <c r="F1714" s="12" t="n"/>
      <c r="G1714" s="11" t="n"/>
      <c r="H1714" s="11" t="n"/>
      <c r="I1714" s="16">
        <f>IF(D1714="","",IF(G1714&lt;&gt;"",G1714,IFERROR(INDEX('Sản phẩm'!$E$5:$E$304,MATCH(D1714,'Sản phẩm'!$A$5:$A$304,0)),"")))</f>
        <v/>
      </c>
      <c r="J1714" s="16">
        <f>IF(OR(D1714="",F1714=""),"",F1714*I1714-N(H1714))</f>
        <v/>
      </c>
      <c r="K1714" s="16">
        <f>IF(OR(D1714="",F1714=""),"",F1714*IFERROR(INDEX('Sản phẩm'!$D$5:$D$304,MATCH(D1714,'Sản phẩm'!$A$5:$A$304,0)),""))</f>
        <v/>
      </c>
      <c r="L1714" s="16">
        <f>IF(J1714="","",J1714-K1714)</f>
        <v/>
      </c>
      <c r="M1714" s="14">
        <f>IF(A1714="","",MONTH(A1714))</f>
        <v/>
      </c>
      <c r="N1714" s="14">
        <f>IF(A1714="","",YEAR(A1714))</f>
        <v/>
      </c>
    </row>
    <row r="1715">
      <c r="A1715" s="15" t="n"/>
      <c r="B1715" s="10" t="n"/>
      <c r="C1715" s="10" t="n"/>
      <c r="D1715" s="10" t="n"/>
      <c r="E1715" s="14">
        <f>IF(D1715="","",IFERROR(INDEX('Sản phẩm'!$B$5:$B$304,MATCH(D1715,'Sản phẩm'!$A$5:$A$304,0)),""))</f>
        <v/>
      </c>
      <c r="F1715" s="12" t="n"/>
      <c r="G1715" s="11" t="n"/>
      <c r="H1715" s="11" t="n"/>
      <c r="I1715" s="16">
        <f>IF(D1715="","",IF(G1715&lt;&gt;"",G1715,IFERROR(INDEX('Sản phẩm'!$E$5:$E$304,MATCH(D1715,'Sản phẩm'!$A$5:$A$304,0)),"")))</f>
        <v/>
      </c>
      <c r="J1715" s="16">
        <f>IF(OR(D1715="",F1715=""),"",F1715*I1715-N(H1715))</f>
        <v/>
      </c>
      <c r="K1715" s="16">
        <f>IF(OR(D1715="",F1715=""),"",F1715*IFERROR(INDEX('Sản phẩm'!$D$5:$D$304,MATCH(D1715,'Sản phẩm'!$A$5:$A$304,0)),""))</f>
        <v/>
      </c>
      <c r="L1715" s="16">
        <f>IF(J1715="","",J1715-K1715)</f>
        <v/>
      </c>
      <c r="M1715" s="14">
        <f>IF(A1715="","",MONTH(A1715))</f>
        <v/>
      </c>
      <c r="N1715" s="14">
        <f>IF(A1715="","",YEAR(A1715))</f>
        <v/>
      </c>
    </row>
    <row r="1716">
      <c r="A1716" s="15" t="n"/>
      <c r="B1716" s="10" t="n"/>
      <c r="C1716" s="10" t="n"/>
      <c r="D1716" s="10" t="n"/>
      <c r="E1716" s="14">
        <f>IF(D1716="","",IFERROR(INDEX('Sản phẩm'!$B$5:$B$304,MATCH(D1716,'Sản phẩm'!$A$5:$A$304,0)),""))</f>
        <v/>
      </c>
      <c r="F1716" s="12" t="n"/>
      <c r="G1716" s="11" t="n"/>
      <c r="H1716" s="11" t="n"/>
      <c r="I1716" s="16">
        <f>IF(D1716="","",IF(G1716&lt;&gt;"",G1716,IFERROR(INDEX('Sản phẩm'!$E$5:$E$304,MATCH(D1716,'Sản phẩm'!$A$5:$A$304,0)),"")))</f>
        <v/>
      </c>
      <c r="J1716" s="16">
        <f>IF(OR(D1716="",F1716=""),"",F1716*I1716-N(H1716))</f>
        <v/>
      </c>
      <c r="K1716" s="16">
        <f>IF(OR(D1716="",F1716=""),"",F1716*IFERROR(INDEX('Sản phẩm'!$D$5:$D$304,MATCH(D1716,'Sản phẩm'!$A$5:$A$304,0)),""))</f>
        <v/>
      </c>
      <c r="L1716" s="16">
        <f>IF(J1716="","",J1716-K1716)</f>
        <v/>
      </c>
      <c r="M1716" s="14">
        <f>IF(A1716="","",MONTH(A1716))</f>
        <v/>
      </c>
      <c r="N1716" s="14">
        <f>IF(A1716="","",YEAR(A1716))</f>
        <v/>
      </c>
    </row>
    <row r="1717">
      <c r="A1717" s="15" t="n"/>
      <c r="B1717" s="10" t="n"/>
      <c r="C1717" s="10" t="n"/>
      <c r="D1717" s="10" t="n"/>
      <c r="E1717" s="14">
        <f>IF(D1717="","",IFERROR(INDEX('Sản phẩm'!$B$5:$B$304,MATCH(D1717,'Sản phẩm'!$A$5:$A$304,0)),""))</f>
        <v/>
      </c>
      <c r="F1717" s="12" t="n"/>
      <c r="G1717" s="11" t="n"/>
      <c r="H1717" s="11" t="n"/>
      <c r="I1717" s="16">
        <f>IF(D1717="","",IF(G1717&lt;&gt;"",G1717,IFERROR(INDEX('Sản phẩm'!$E$5:$E$304,MATCH(D1717,'Sản phẩm'!$A$5:$A$304,0)),"")))</f>
        <v/>
      </c>
      <c r="J1717" s="16">
        <f>IF(OR(D1717="",F1717=""),"",F1717*I1717-N(H1717))</f>
        <v/>
      </c>
      <c r="K1717" s="16">
        <f>IF(OR(D1717="",F1717=""),"",F1717*IFERROR(INDEX('Sản phẩm'!$D$5:$D$304,MATCH(D1717,'Sản phẩm'!$A$5:$A$304,0)),""))</f>
        <v/>
      </c>
      <c r="L1717" s="16">
        <f>IF(J1717="","",J1717-K1717)</f>
        <v/>
      </c>
      <c r="M1717" s="14">
        <f>IF(A1717="","",MONTH(A1717))</f>
        <v/>
      </c>
      <c r="N1717" s="14">
        <f>IF(A1717="","",YEAR(A1717))</f>
        <v/>
      </c>
    </row>
    <row r="1718">
      <c r="A1718" s="15" t="n"/>
      <c r="B1718" s="10" t="n"/>
      <c r="C1718" s="10" t="n"/>
      <c r="D1718" s="10" t="n"/>
      <c r="E1718" s="14">
        <f>IF(D1718="","",IFERROR(INDEX('Sản phẩm'!$B$5:$B$304,MATCH(D1718,'Sản phẩm'!$A$5:$A$304,0)),""))</f>
        <v/>
      </c>
      <c r="F1718" s="12" t="n"/>
      <c r="G1718" s="11" t="n"/>
      <c r="H1718" s="11" t="n"/>
      <c r="I1718" s="16">
        <f>IF(D1718="","",IF(G1718&lt;&gt;"",G1718,IFERROR(INDEX('Sản phẩm'!$E$5:$E$304,MATCH(D1718,'Sản phẩm'!$A$5:$A$304,0)),"")))</f>
        <v/>
      </c>
      <c r="J1718" s="16">
        <f>IF(OR(D1718="",F1718=""),"",F1718*I1718-N(H1718))</f>
        <v/>
      </c>
      <c r="K1718" s="16">
        <f>IF(OR(D1718="",F1718=""),"",F1718*IFERROR(INDEX('Sản phẩm'!$D$5:$D$304,MATCH(D1718,'Sản phẩm'!$A$5:$A$304,0)),""))</f>
        <v/>
      </c>
      <c r="L1718" s="16">
        <f>IF(J1718="","",J1718-K1718)</f>
        <v/>
      </c>
      <c r="M1718" s="14">
        <f>IF(A1718="","",MONTH(A1718))</f>
        <v/>
      </c>
      <c r="N1718" s="14">
        <f>IF(A1718="","",YEAR(A1718))</f>
        <v/>
      </c>
    </row>
    <row r="1719">
      <c r="A1719" s="15" t="n"/>
      <c r="B1719" s="10" t="n"/>
      <c r="C1719" s="10" t="n"/>
      <c r="D1719" s="10" t="n"/>
      <c r="E1719" s="14">
        <f>IF(D1719="","",IFERROR(INDEX('Sản phẩm'!$B$5:$B$304,MATCH(D1719,'Sản phẩm'!$A$5:$A$304,0)),""))</f>
        <v/>
      </c>
      <c r="F1719" s="12" t="n"/>
      <c r="G1719" s="11" t="n"/>
      <c r="H1719" s="11" t="n"/>
      <c r="I1719" s="16">
        <f>IF(D1719="","",IF(G1719&lt;&gt;"",G1719,IFERROR(INDEX('Sản phẩm'!$E$5:$E$304,MATCH(D1719,'Sản phẩm'!$A$5:$A$304,0)),"")))</f>
        <v/>
      </c>
      <c r="J1719" s="16">
        <f>IF(OR(D1719="",F1719=""),"",F1719*I1719-N(H1719))</f>
        <v/>
      </c>
      <c r="K1719" s="16">
        <f>IF(OR(D1719="",F1719=""),"",F1719*IFERROR(INDEX('Sản phẩm'!$D$5:$D$304,MATCH(D1719,'Sản phẩm'!$A$5:$A$304,0)),""))</f>
        <v/>
      </c>
      <c r="L1719" s="16">
        <f>IF(J1719="","",J1719-K1719)</f>
        <v/>
      </c>
      <c r="M1719" s="14">
        <f>IF(A1719="","",MONTH(A1719))</f>
        <v/>
      </c>
      <c r="N1719" s="14">
        <f>IF(A1719="","",YEAR(A1719))</f>
        <v/>
      </c>
    </row>
    <row r="1720">
      <c r="A1720" s="15" t="n"/>
      <c r="B1720" s="10" t="n"/>
      <c r="C1720" s="10" t="n"/>
      <c r="D1720" s="10" t="n"/>
      <c r="E1720" s="14">
        <f>IF(D1720="","",IFERROR(INDEX('Sản phẩm'!$B$5:$B$304,MATCH(D1720,'Sản phẩm'!$A$5:$A$304,0)),""))</f>
        <v/>
      </c>
      <c r="F1720" s="12" t="n"/>
      <c r="G1720" s="11" t="n"/>
      <c r="H1720" s="11" t="n"/>
      <c r="I1720" s="16">
        <f>IF(D1720="","",IF(G1720&lt;&gt;"",G1720,IFERROR(INDEX('Sản phẩm'!$E$5:$E$304,MATCH(D1720,'Sản phẩm'!$A$5:$A$304,0)),"")))</f>
        <v/>
      </c>
      <c r="J1720" s="16">
        <f>IF(OR(D1720="",F1720=""),"",F1720*I1720-N(H1720))</f>
        <v/>
      </c>
      <c r="K1720" s="16">
        <f>IF(OR(D1720="",F1720=""),"",F1720*IFERROR(INDEX('Sản phẩm'!$D$5:$D$304,MATCH(D1720,'Sản phẩm'!$A$5:$A$304,0)),""))</f>
        <v/>
      </c>
      <c r="L1720" s="16">
        <f>IF(J1720="","",J1720-K1720)</f>
        <v/>
      </c>
      <c r="M1720" s="14">
        <f>IF(A1720="","",MONTH(A1720))</f>
        <v/>
      </c>
      <c r="N1720" s="14">
        <f>IF(A1720="","",YEAR(A1720))</f>
        <v/>
      </c>
    </row>
    <row r="1721">
      <c r="A1721" s="15" t="n"/>
      <c r="B1721" s="10" t="n"/>
      <c r="C1721" s="10" t="n"/>
      <c r="D1721" s="10" t="n"/>
      <c r="E1721" s="14">
        <f>IF(D1721="","",IFERROR(INDEX('Sản phẩm'!$B$5:$B$304,MATCH(D1721,'Sản phẩm'!$A$5:$A$304,0)),""))</f>
        <v/>
      </c>
      <c r="F1721" s="12" t="n"/>
      <c r="G1721" s="11" t="n"/>
      <c r="H1721" s="11" t="n"/>
      <c r="I1721" s="16">
        <f>IF(D1721="","",IF(G1721&lt;&gt;"",G1721,IFERROR(INDEX('Sản phẩm'!$E$5:$E$304,MATCH(D1721,'Sản phẩm'!$A$5:$A$304,0)),"")))</f>
        <v/>
      </c>
      <c r="J1721" s="16">
        <f>IF(OR(D1721="",F1721=""),"",F1721*I1721-N(H1721))</f>
        <v/>
      </c>
      <c r="K1721" s="16">
        <f>IF(OR(D1721="",F1721=""),"",F1721*IFERROR(INDEX('Sản phẩm'!$D$5:$D$304,MATCH(D1721,'Sản phẩm'!$A$5:$A$304,0)),""))</f>
        <v/>
      </c>
      <c r="L1721" s="16">
        <f>IF(J1721="","",J1721-K1721)</f>
        <v/>
      </c>
      <c r="M1721" s="14">
        <f>IF(A1721="","",MONTH(A1721))</f>
        <v/>
      </c>
      <c r="N1721" s="14">
        <f>IF(A1721="","",YEAR(A1721))</f>
        <v/>
      </c>
    </row>
    <row r="1722">
      <c r="A1722" s="15" t="n"/>
      <c r="B1722" s="10" t="n"/>
      <c r="C1722" s="10" t="n"/>
      <c r="D1722" s="10" t="n"/>
      <c r="E1722" s="14">
        <f>IF(D1722="","",IFERROR(INDEX('Sản phẩm'!$B$5:$B$304,MATCH(D1722,'Sản phẩm'!$A$5:$A$304,0)),""))</f>
        <v/>
      </c>
      <c r="F1722" s="12" t="n"/>
      <c r="G1722" s="11" t="n"/>
      <c r="H1722" s="11" t="n"/>
      <c r="I1722" s="16">
        <f>IF(D1722="","",IF(G1722&lt;&gt;"",G1722,IFERROR(INDEX('Sản phẩm'!$E$5:$E$304,MATCH(D1722,'Sản phẩm'!$A$5:$A$304,0)),"")))</f>
        <v/>
      </c>
      <c r="J1722" s="16">
        <f>IF(OR(D1722="",F1722=""),"",F1722*I1722-N(H1722))</f>
        <v/>
      </c>
      <c r="K1722" s="16">
        <f>IF(OR(D1722="",F1722=""),"",F1722*IFERROR(INDEX('Sản phẩm'!$D$5:$D$304,MATCH(D1722,'Sản phẩm'!$A$5:$A$304,0)),""))</f>
        <v/>
      </c>
      <c r="L1722" s="16">
        <f>IF(J1722="","",J1722-K1722)</f>
        <v/>
      </c>
      <c r="M1722" s="14">
        <f>IF(A1722="","",MONTH(A1722))</f>
        <v/>
      </c>
      <c r="N1722" s="14">
        <f>IF(A1722="","",YEAR(A1722))</f>
        <v/>
      </c>
    </row>
    <row r="1723">
      <c r="A1723" s="15" t="n"/>
      <c r="B1723" s="10" t="n"/>
      <c r="C1723" s="10" t="n"/>
      <c r="D1723" s="10" t="n"/>
      <c r="E1723" s="14">
        <f>IF(D1723="","",IFERROR(INDEX('Sản phẩm'!$B$5:$B$304,MATCH(D1723,'Sản phẩm'!$A$5:$A$304,0)),""))</f>
        <v/>
      </c>
      <c r="F1723" s="12" t="n"/>
      <c r="G1723" s="11" t="n"/>
      <c r="H1723" s="11" t="n"/>
      <c r="I1723" s="16">
        <f>IF(D1723="","",IF(G1723&lt;&gt;"",G1723,IFERROR(INDEX('Sản phẩm'!$E$5:$E$304,MATCH(D1723,'Sản phẩm'!$A$5:$A$304,0)),"")))</f>
        <v/>
      </c>
      <c r="J1723" s="16">
        <f>IF(OR(D1723="",F1723=""),"",F1723*I1723-N(H1723))</f>
        <v/>
      </c>
      <c r="K1723" s="16">
        <f>IF(OR(D1723="",F1723=""),"",F1723*IFERROR(INDEX('Sản phẩm'!$D$5:$D$304,MATCH(D1723,'Sản phẩm'!$A$5:$A$304,0)),""))</f>
        <v/>
      </c>
      <c r="L1723" s="16">
        <f>IF(J1723="","",J1723-K1723)</f>
        <v/>
      </c>
      <c r="M1723" s="14">
        <f>IF(A1723="","",MONTH(A1723))</f>
        <v/>
      </c>
      <c r="N1723" s="14">
        <f>IF(A1723="","",YEAR(A1723))</f>
        <v/>
      </c>
    </row>
    <row r="1724">
      <c r="A1724" s="15" t="n"/>
      <c r="B1724" s="10" t="n"/>
      <c r="C1724" s="10" t="n"/>
      <c r="D1724" s="10" t="n"/>
      <c r="E1724" s="14">
        <f>IF(D1724="","",IFERROR(INDEX('Sản phẩm'!$B$5:$B$304,MATCH(D1724,'Sản phẩm'!$A$5:$A$304,0)),""))</f>
        <v/>
      </c>
      <c r="F1724" s="12" t="n"/>
      <c r="G1724" s="11" t="n"/>
      <c r="H1724" s="11" t="n"/>
      <c r="I1724" s="16">
        <f>IF(D1724="","",IF(G1724&lt;&gt;"",G1724,IFERROR(INDEX('Sản phẩm'!$E$5:$E$304,MATCH(D1724,'Sản phẩm'!$A$5:$A$304,0)),"")))</f>
        <v/>
      </c>
      <c r="J1724" s="16">
        <f>IF(OR(D1724="",F1724=""),"",F1724*I1724-N(H1724))</f>
        <v/>
      </c>
      <c r="K1724" s="16">
        <f>IF(OR(D1724="",F1724=""),"",F1724*IFERROR(INDEX('Sản phẩm'!$D$5:$D$304,MATCH(D1724,'Sản phẩm'!$A$5:$A$304,0)),""))</f>
        <v/>
      </c>
      <c r="L1724" s="16">
        <f>IF(J1724="","",J1724-K1724)</f>
        <v/>
      </c>
      <c r="M1724" s="14">
        <f>IF(A1724="","",MONTH(A1724))</f>
        <v/>
      </c>
      <c r="N1724" s="14">
        <f>IF(A1724="","",YEAR(A1724))</f>
        <v/>
      </c>
    </row>
    <row r="1725">
      <c r="A1725" s="15" t="n"/>
      <c r="B1725" s="10" t="n"/>
      <c r="C1725" s="10" t="n"/>
      <c r="D1725" s="10" t="n"/>
      <c r="E1725" s="14">
        <f>IF(D1725="","",IFERROR(INDEX('Sản phẩm'!$B$5:$B$304,MATCH(D1725,'Sản phẩm'!$A$5:$A$304,0)),""))</f>
        <v/>
      </c>
      <c r="F1725" s="12" t="n"/>
      <c r="G1725" s="11" t="n"/>
      <c r="H1725" s="11" t="n"/>
      <c r="I1725" s="16">
        <f>IF(D1725="","",IF(G1725&lt;&gt;"",G1725,IFERROR(INDEX('Sản phẩm'!$E$5:$E$304,MATCH(D1725,'Sản phẩm'!$A$5:$A$304,0)),"")))</f>
        <v/>
      </c>
      <c r="J1725" s="16">
        <f>IF(OR(D1725="",F1725=""),"",F1725*I1725-N(H1725))</f>
        <v/>
      </c>
      <c r="K1725" s="16">
        <f>IF(OR(D1725="",F1725=""),"",F1725*IFERROR(INDEX('Sản phẩm'!$D$5:$D$304,MATCH(D1725,'Sản phẩm'!$A$5:$A$304,0)),""))</f>
        <v/>
      </c>
      <c r="L1725" s="16">
        <f>IF(J1725="","",J1725-K1725)</f>
        <v/>
      </c>
      <c r="M1725" s="14">
        <f>IF(A1725="","",MONTH(A1725))</f>
        <v/>
      </c>
      <c r="N1725" s="14">
        <f>IF(A1725="","",YEAR(A1725))</f>
        <v/>
      </c>
    </row>
    <row r="1726">
      <c r="A1726" s="15" t="n"/>
      <c r="B1726" s="10" t="n"/>
      <c r="C1726" s="10" t="n"/>
      <c r="D1726" s="10" t="n"/>
      <c r="E1726" s="14">
        <f>IF(D1726="","",IFERROR(INDEX('Sản phẩm'!$B$5:$B$304,MATCH(D1726,'Sản phẩm'!$A$5:$A$304,0)),""))</f>
        <v/>
      </c>
      <c r="F1726" s="12" t="n"/>
      <c r="G1726" s="11" t="n"/>
      <c r="H1726" s="11" t="n"/>
      <c r="I1726" s="16">
        <f>IF(D1726="","",IF(G1726&lt;&gt;"",G1726,IFERROR(INDEX('Sản phẩm'!$E$5:$E$304,MATCH(D1726,'Sản phẩm'!$A$5:$A$304,0)),"")))</f>
        <v/>
      </c>
      <c r="J1726" s="16">
        <f>IF(OR(D1726="",F1726=""),"",F1726*I1726-N(H1726))</f>
        <v/>
      </c>
      <c r="K1726" s="16">
        <f>IF(OR(D1726="",F1726=""),"",F1726*IFERROR(INDEX('Sản phẩm'!$D$5:$D$304,MATCH(D1726,'Sản phẩm'!$A$5:$A$304,0)),""))</f>
        <v/>
      </c>
      <c r="L1726" s="16">
        <f>IF(J1726="","",J1726-K1726)</f>
        <v/>
      </c>
      <c r="M1726" s="14">
        <f>IF(A1726="","",MONTH(A1726))</f>
        <v/>
      </c>
      <c r="N1726" s="14">
        <f>IF(A1726="","",YEAR(A1726))</f>
        <v/>
      </c>
    </row>
    <row r="1727">
      <c r="A1727" s="15" t="n"/>
      <c r="B1727" s="10" t="n"/>
      <c r="C1727" s="10" t="n"/>
      <c r="D1727" s="10" t="n"/>
      <c r="E1727" s="14">
        <f>IF(D1727="","",IFERROR(INDEX('Sản phẩm'!$B$5:$B$304,MATCH(D1727,'Sản phẩm'!$A$5:$A$304,0)),""))</f>
        <v/>
      </c>
      <c r="F1727" s="12" t="n"/>
      <c r="G1727" s="11" t="n"/>
      <c r="H1727" s="11" t="n"/>
      <c r="I1727" s="16">
        <f>IF(D1727="","",IF(G1727&lt;&gt;"",G1727,IFERROR(INDEX('Sản phẩm'!$E$5:$E$304,MATCH(D1727,'Sản phẩm'!$A$5:$A$304,0)),"")))</f>
        <v/>
      </c>
      <c r="J1727" s="16">
        <f>IF(OR(D1727="",F1727=""),"",F1727*I1727-N(H1727))</f>
        <v/>
      </c>
      <c r="K1727" s="16">
        <f>IF(OR(D1727="",F1727=""),"",F1727*IFERROR(INDEX('Sản phẩm'!$D$5:$D$304,MATCH(D1727,'Sản phẩm'!$A$5:$A$304,0)),""))</f>
        <v/>
      </c>
      <c r="L1727" s="16">
        <f>IF(J1727="","",J1727-K1727)</f>
        <v/>
      </c>
      <c r="M1727" s="14">
        <f>IF(A1727="","",MONTH(A1727))</f>
        <v/>
      </c>
      <c r="N1727" s="14">
        <f>IF(A1727="","",YEAR(A1727))</f>
        <v/>
      </c>
    </row>
    <row r="1728">
      <c r="A1728" s="15" t="n"/>
      <c r="B1728" s="10" t="n"/>
      <c r="C1728" s="10" t="n"/>
      <c r="D1728" s="10" t="n"/>
      <c r="E1728" s="14">
        <f>IF(D1728="","",IFERROR(INDEX('Sản phẩm'!$B$5:$B$304,MATCH(D1728,'Sản phẩm'!$A$5:$A$304,0)),""))</f>
        <v/>
      </c>
      <c r="F1728" s="12" t="n"/>
      <c r="G1728" s="11" t="n"/>
      <c r="H1728" s="11" t="n"/>
      <c r="I1728" s="16">
        <f>IF(D1728="","",IF(G1728&lt;&gt;"",G1728,IFERROR(INDEX('Sản phẩm'!$E$5:$E$304,MATCH(D1728,'Sản phẩm'!$A$5:$A$304,0)),"")))</f>
        <v/>
      </c>
      <c r="J1728" s="16">
        <f>IF(OR(D1728="",F1728=""),"",F1728*I1728-N(H1728))</f>
        <v/>
      </c>
      <c r="K1728" s="16">
        <f>IF(OR(D1728="",F1728=""),"",F1728*IFERROR(INDEX('Sản phẩm'!$D$5:$D$304,MATCH(D1728,'Sản phẩm'!$A$5:$A$304,0)),""))</f>
        <v/>
      </c>
      <c r="L1728" s="16">
        <f>IF(J1728="","",J1728-K1728)</f>
        <v/>
      </c>
      <c r="M1728" s="14">
        <f>IF(A1728="","",MONTH(A1728))</f>
        <v/>
      </c>
      <c r="N1728" s="14">
        <f>IF(A1728="","",YEAR(A1728))</f>
        <v/>
      </c>
    </row>
    <row r="1729">
      <c r="A1729" s="15" t="n"/>
      <c r="B1729" s="10" t="n"/>
      <c r="C1729" s="10" t="n"/>
      <c r="D1729" s="10" t="n"/>
      <c r="E1729" s="14">
        <f>IF(D1729="","",IFERROR(INDEX('Sản phẩm'!$B$5:$B$304,MATCH(D1729,'Sản phẩm'!$A$5:$A$304,0)),""))</f>
        <v/>
      </c>
      <c r="F1729" s="12" t="n"/>
      <c r="G1729" s="11" t="n"/>
      <c r="H1729" s="11" t="n"/>
      <c r="I1729" s="16">
        <f>IF(D1729="","",IF(G1729&lt;&gt;"",G1729,IFERROR(INDEX('Sản phẩm'!$E$5:$E$304,MATCH(D1729,'Sản phẩm'!$A$5:$A$304,0)),"")))</f>
        <v/>
      </c>
      <c r="J1729" s="16">
        <f>IF(OR(D1729="",F1729=""),"",F1729*I1729-N(H1729))</f>
        <v/>
      </c>
      <c r="K1729" s="16">
        <f>IF(OR(D1729="",F1729=""),"",F1729*IFERROR(INDEX('Sản phẩm'!$D$5:$D$304,MATCH(D1729,'Sản phẩm'!$A$5:$A$304,0)),""))</f>
        <v/>
      </c>
      <c r="L1729" s="16">
        <f>IF(J1729="","",J1729-K1729)</f>
        <v/>
      </c>
      <c r="M1729" s="14">
        <f>IF(A1729="","",MONTH(A1729))</f>
        <v/>
      </c>
      <c r="N1729" s="14">
        <f>IF(A1729="","",YEAR(A1729))</f>
        <v/>
      </c>
    </row>
    <row r="1730">
      <c r="A1730" s="15" t="n"/>
      <c r="B1730" s="10" t="n"/>
      <c r="C1730" s="10" t="n"/>
      <c r="D1730" s="10" t="n"/>
      <c r="E1730" s="14">
        <f>IF(D1730="","",IFERROR(INDEX('Sản phẩm'!$B$5:$B$304,MATCH(D1730,'Sản phẩm'!$A$5:$A$304,0)),""))</f>
        <v/>
      </c>
      <c r="F1730" s="12" t="n"/>
      <c r="G1730" s="11" t="n"/>
      <c r="H1730" s="11" t="n"/>
      <c r="I1730" s="16">
        <f>IF(D1730="","",IF(G1730&lt;&gt;"",G1730,IFERROR(INDEX('Sản phẩm'!$E$5:$E$304,MATCH(D1730,'Sản phẩm'!$A$5:$A$304,0)),"")))</f>
        <v/>
      </c>
      <c r="J1730" s="16">
        <f>IF(OR(D1730="",F1730=""),"",F1730*I1730-N(H1730))</f>
        <v/>
      </c>
      <c r="K1730" s="16">
        <f>IF(OR(D1730="",F1730=""),"",F1730*IFERROR(INDEX('Sản phẩm'!$D$5:$D$304,MATCH(D1730,'Sản phẩm'!$A$5:$A$304,0)),""))</f>
        <v/>
      </c>
      <c r="L1730" s="16">
        <f>IF(J1730="","",J1730-K1730)</f>
        <v/>
      </c>
      <c r="M1730" s="14">
        <f>IF(A1730="","",MONTH(A1730))</f>
        <v/>
      </c>
      <c r="N1730" s="14">
        <f>IF(A1730="","",YEAR(A1730))</f>
        <v/>
      </c>
    </row>
    <row r="1731">
      <c r="A1731" s="15" t="n"/>
      <c r="B1731" s="10" t="n"/>
      <c r="C1731" s="10" t="n"/>
      <c r="D1731" s="10" t="n"/>
      <c r="E1731" s="14">
        <f>IF(D1731="","",IFERROR(INDEX('Sản phẩm'!$B$5:$B$304,MATCH(D1731,'Sản phẩm'!$A$5:$A$304,0)),""))</f>
        <v/>
      </c>
      <c r="F1731" s="12" t="n"/>
      <c r="G1731" s="11" t="n"/>
      <c r="H1731" s="11" t="n"/>
      <c r="I1731" s="16">
        <f>IF(D1731="","",IF(G1731&lt;&gt;"",G1731,IFERROR(INDEX('Sản phẩm'!$E$5:$E$304,MATCH(D1731,'Sản phẩm'!$A$5:$A$304,0)),"")))</f>
        <v/>
      </c>
      <c r="J1731" s="16">
        <f>IF(OR(D1731="",F1731=""),"",F1731*I1731-N(H1731))</f>
        <v/>
      </c>
      <c r="K1731" s="16">
        <f>IF(OR(D1731="",F1731=""),"",F1731*IFERROR(INDEX('Sản phẩm'!$D$5:$D$304,MATCH(D1731,'Sản phẩm'!$A$5:$A$304,0)),""))</f>
        <v/>
      </c>
      <c r="L1731" s="16">
        <f>IF(J1731="","",J1731-K1731)</f>
        <v/>
      </c>
      <c r="M1731" s="14">
        <f>IF(A1731="","",MONTH(A1731))</f>
        <v/>
      </c>
      <c r="N1731" s="14">
        <f>IF(A1731="","",YEAR(A1731))</f>
        <v/>
      </c>
    </row>
    <row r="1732">
      <c r="A1732" s="15" t="n"/>
      <c r="B1732" s="10" t="n"/>
      <c r="C1732" s="10" t="n"/>
      <c r="D1732" s="10" t="n"/>
      <c r="E1732" s="14">
        <f>IF(D1732="","",IFERROR(INDEX('Sản phẩm'!$B$5:$B$304,MATCH(D1732,'Sản phẩm'!$A$5:$A$304,0)),""))</f>
        <v/>
      </c>
      <c r="F1732" s="12" t="n"/>
      <c r="G1732" s="11" t="n"/>
      <c r="H1732" s="11" t="n"/>
      <c r="I1732" s="16">
        <f>IF(D1732="","",IF(G1732&lt;&gt;"",G1732,IFERROR(INDEX('Sản phẩm'!$E$5:$E$304,MATCH(D1732,'Sản phẩm'!$A$5:$A$304,0)),"")))</f>
        <v/>
      </c>
      <c r="J1732" s="16">
        <f>IF(OR(D1732="",F1732=""),"",F1732*I1732-N(H1732))</f>
        <v/>
      </c>
      <c r="K1732" s="16">
        <f>IF(OR(D1732="",F1732=""),"",F1732*IFERROR(INDEX('Sản phẩm'!$D$5:$D$304,MATCH(D1732,'Sản phẩm'!$A$5:$A$304,0)),""))</f>
        <v/>
      </c>
      <c r="L1732" s="16">
        <f>IF(J1732="","",J1732-K1732)</f>
        <v/>
      </c>
      <c r="M1732" s="14">
        <f>IF(A1732="","",MONTH(A1732))</f>
        <v/>
      </c>
      <c r="N1732" s="14">
        <f>IF(A1732="","",YEAR(A1732))</f>
        <v/>
      </c>
    </row>
    <row r="1733">
      <c r="A1733" s="15" t="n"/>
      <c r="B1733" s="10" t="n"/>
      <c r="C1733" s="10" t="n"/>
      <c r="D1733" s="10" t="n"/>
      <c r="E1733" s="14">
        <f>IF(D1733="","",IFERROR(INDEX('Sản phẩm'!$B$5:$B$304,MATCH(D1733,'Sản phẩm'!$A$5:$A$304,0)),""))</f>
        <v/>
      </c>
      <c r="F1733" s="12" t="n"/>
      <c r="G1733" s="11" t="n"/>
      <c r="H1733" s="11" t="n"/>
      <c r="I1733" s="16">
        <f>IF(D1733="","",IF(G1733&lt;&gt;"",G1733,IFERROR(INDEX('Sản phẩm'!$E$5:$E$304,MATCH(D1733,'Sản phẩm'!$A$5:$A$304,0)),"")))</f>
        <v/>
      </c>
      <c r="J1733" s="16">
        <f>IF(OR(D1733="",F1733=""),"",F1733*I1733-N(H1733))</f>
        <v/>
      </c>
      <c r="K1733" s="16">
        <f>IF(OR(D1733="",F1733=""),"",F1733*IFERROR(INDEX('Sản phẩm'!$D$5:$D$304,MATCH(D1733,'Sản phẩm'!$A$5:$A$304,0)),""))</f>
        <v/>
      </c>
      <c r="L1733" s="16">
        <f>IF(J1733="","",J1733-K1733)</f>
        <v/>
      </c>
      <c r="M1733" s="14">
        <f>IF(A1733="","",MONTH(A1733))</f>
        <v/>
      </c>
      <c r="N1733" s="14">
        <f>IF(A1733="","",YEAR(A1733))</f>
        <v/>
      </c>
    </row>
    <row r="1734">
      <c r="A1734" s="15" t="n"/>
      <c r="B1734" s="10" t="n"/>
      <c r="C1734" s="10" t="n"/>
      <c r="D1734" s="10" t="n"/>
      <c r="E1734" s="14">
        <f>IF(D1734="","",IFERROR(INDEX('Sản phẩm'!$B$5:$B$304,MATCH(D1734,'Sản phẩm'!$A$5:$A$304,0)),""))</f>
        <v/>
      </c>
      <c r="F1734" s="12" t="n"/>
      <c r="G1734" s="11" t="n"/>
      <c r="H1734" s="11" t="n"/>
      <c r="I1734" s="16">
        <f>IF(D1734="","",IF(G1734&lt;&gt;"",G1734,IFERROR(INDEX('Sản phẩm'!$E$5:$E$304,MATCH(D1734,'Sản phẩm'!$A$5:$A$304,0)),"")))</f>
        <v/>
      </c>
      <c r="J1734" s="16">
        <f>IF(OR(D1734="",F1734=""),"",F1734*I1734-N(H1734))</f>
        <v/>
      </c>
      <c r="K1734" s="16">
        <f>IF(OR(D1734="",F1734=""),"",F1734*IFERROR(INDEX('Sản phẩm'!$D$5:$D$304,MATCH(D1734,'Sản phẩm'!$A$5:$A$304,0)),""))</f>
        <v/>
      </c>
      <c r="L1734" s="16">
        <f>IF(J1734="","",J1734-K1734)</f>
        <v/>
      </c>
      <c r="M1734" s="14">
        <f>IF(A1734="","",MONTH(A1734))</f>
        <v/>
      </c>
      <c r="N1734" s="14">
        <f>IF(A1734="","",YEAR(A1734))</f>
        <v/>
      </c>
    </row>
    <row r="1735">
      <c r="A1735" s="15" t="n"/>
      <c r="B1735" s="10" t="n"/>
      <c r="C1735" s="10" t="n"/>
      <c r="D1735" s="10" t="n"/>
      <c r="E1735" s="14">
        <f>IF(D1735="","",IFERROR(INDEX('Sản phẩm'!$B$5:$B$304,MATCH(D1735,'Sản phẩm'!$A$5:$A$304,0)),""))</f>
        <v/>
      </c>
      <c r="F1735" s="12" t="n"/>
      <c r="G1735" s="11" t="n"/>
      <c r="H1735" s="11" t="n"/>
      <c r="I1735" s="16">
        <f>IF(D1735="","",IF(G1735&lt;&gt;"",G1735,IFERROR(INDEX('Sản phẩm'!$E$5:$E$304,MATCH(D1735,'Sản phẩm'!$A$5:$A$304,0)),"")))</f>
        <v/>
      </c>
      <c r="J1735" s="16">
        <f>IF(OR(D1735="",F1735=""),"",F1735*I1735-N(H1735))</f>
        <v/>
      </c>
      <c r="K1735" s="16">
        <f>IF(OR(D1735="",F1735=""),"",F1735*IFERROR(INDEX('Sản phẩm'!$D$5:$D$304,MATCH(D1735,'Sản phẩm'!$A$5:$A$304,0)),""))</f>
        <v/>
      </c>
      <c r="L1735" s="16">
        <f>IF(J1735="","",J1735-K1735)</f>
        <v/>
      </c>
      <c r="M1735" s="14">
        <f>IF(A1735="","",MONTH(A1735))</f>
        <v/>
      </c>
      <c r="N1735" s="14">
        <f>IF(A1735="","",YEAR(A1735))</f>
        <v/>
      </c>
    </row>
    <row r="1736">
      <c r="A1736" s="15" t="n"/>
      <c r="B1736" s="10" t="n"/>
      <c r="C1736" s="10" t="n"/>
      <c r="D1736" s="10" t="n"/>
      <c r="E1736" s="14">
        <f>IF(D1736="","",IFERROR(INDEX('Sản phẩm'!$B$5:$B$304,MATCH(D1736,'Sản phẩm'!$A$5:$A$304,0)),""))</f>
        <v/>
      </c>
      <c r="F1736" s="12" t="n"/>
      <c r="G1736" s="11" t="n"/>
      <c r="H1736" s="11" t="n"/>
      <c r="I1736" s="16">
        <f>IF(D1736="","",IF(G1736&lt;&gt;"",G1736,IFERROR(INDEX('Sản phẩm'!$E$5:$E$304,MATCH(D1736,'Sản phẩm'!$A$5:$A$304,0)),"")))</f>
        <v/>
      </c>
      <c r="J1736" s="16">
        <f>IF(OR(D1736="",F1736=""),"",F1736*I1736-N(H1736))</f>
        <v/>
      </c>
      <c r="K1736" s="16">
        <f>IF(OR(D1736="",F1736=""),"",F1736*IFERROR(INDEX('Sản phẩm'!$D$5:$D$304,MATCH(D1736,'Sản phẩm'!$A$5:$A$304,0)),""))</f>
        <v/>
      </c>
      <c r="L1736" s="16">
        <f>IF(J1736="","",J1736-K1736)</f>
        <v/>
      </c>
      <c r="M1736" s="14">
        <f>IF(A1736="","",MONTH(A1736))</f>
        <v/>
      </c>
      <c r="N1736" s="14">
        <f>IF(A1736="","",YEAR(A1736))</f>
        <v/>
      </c>
    </row>
    <row r="1737">
      <c r="A1737" s="15" t="n"/>
      <c r="B1737" s="10" t="n"/>
      <c r="C1737" s="10" t="n"/>
      <c r="D1737" s="10" t="n"/>
      <c r="E1737" s="14">
        <f>IF(D1737="","",IFERROR(INDEX('Sản phẩm'!$B$5:$B$304,MATCH(D1737,'Sản phẩm'!$A$5:$A$304,0)),""))</f>
        <v/>
      </c>
      <c r="F1737" s="12" t="n"/>
      <c r="G1737" s="11" t="n"/>
      <c r="H1737" s="11" t="n"/>
      <c r="I1737" s="16">
        <f>IF(D1737="","",IF(G1737&lt;&gt;"",G1737,IFERROR(INDEX('Sản phẩm'!$E$5:$E$304,MATCH(D1737,'Sản phẩm'!$A$5:$A$304,0)),"")))</f>
        <v/>
      </c>
      <c r="J1737" s="16">
        <f>IF(OR(D1737="",F1737=""),"",F1737*I1737-N(H1737))</f>
        <v/>
      </c>
      <c r="K1737" s="16">
        <f>IF(OR(D1737="",F1737=""),"",F1737*IFERROR(INDEX('Sản phẩm'!$D$5:$D$304,MATCH(D1737,'Sản phẩm'!$A$5:$A$304,0)),""))</f>
        <v/>
      </c>
      <c r="L1737" s="16">
        <f>IF(J1737="","",J1737-K1737)</f>
        <v/>
      </c>
      <c r="M1737" s="14">
        <f>IF(A1737="","",MONTH(A1737))</f>
        <v/>
      </c>
      <c r="N1737" s="14">
        <f>IF(A1737="","",YEAR(A1737))</f>
        <v/>
      </c>
    </row>
    <row r="1738">
      <c r="A1738" s="15" t="n"/>
      <c r="B1738" s="10" t="n"/>
      <c r="C1738" s="10" t="n"/>
      <c r="D1738" s="10" t="n"/>
      <c r="E1738" s="14">
        <f>IF(D1738="","",IFERROR(INDEX('Sản phẩm'!$B$5:$B$304,MATCH(D1738,'Sản phẩm'!$A$5:$A$304,0)),""))</f>
        <v/>
      </c>
      <c r="F1738" s="12" t="n"/>
      <c r="G1738" s="11" t="n"/>
      <c r="H1738" s="11" t="n"/>
      <c r="I1738" s="16">
        <f>IF(D1738="","",IF(G1738&lt;&gt;"",G1738,IFERROR(INDEX('Sản phẩm'!$E$5:$E$304,MATCH(D1738,'Sản phẩm'!$A$5:$A$304,0)),"")))</f>
        <v/>
      </c>
      <c r="J1738" s="16">
        <f>IF(OR(D1738="",F1738=""),"",F1738*I1738-N(H1738))</f>
        <v/>
      </c>
      <c r="K1738" s="16">
        <f>IF(OR(D1738="",F1738=""),"",F1738*IFERROR(INDEX('Sản phẩm'!$D$5:$D$304,MATCH(D1738,'Sản phẩm'!$A$5:$A$304,0)),""))</f>
        <v/>
      </c>
      <c r="L1738" s="16">
        <f>IF(J1738="","",J1738-K1738)</f>
        <v/>
      </c>
      <c r="M1738" s="14">
        <f>IF(A1738="","",MONTH(A1738))</f>
        <v/>
      </c>
      <c r="N1738" s="14">
        <f>IF(A1738="","",YEAR(A1738))</f>
        <v/>
      </c>
    </row>
    <row r="1739">
      <c r="A1739" s="15" t="n"/>
      <c r="B1739" s="10" t="n"/>
      <c r="C1739" s="10" t="n"/>
      <c r="D1739" s="10" t="n"/>
      <c r="E1739" s="14">
        <f>IF(D1739="","",IFERROR(INDEX('Sản phẩm'!$B$5:$B$304,MATCH(D1739,'Sản phẩm'!$A$5:$A$304,0)),""))</f>
        <v/>
      </c>
      <c r="F1739" s="12" t="n"/>
      <c r="G1739" s="11" t="n"/>
      <c r="H1739" s="11" t="n"/>
      <c r="I1739" s="16">
        <f>IF(D1739="","",IF(G1739&lt;&gt;"",G1739,IFERROR(INDEX('Sản phẩm'!$E$5:$E$304,MATCH(D1739,'Sản phẩm'!$A$5:$A$304,0)),"")))</f>
        <v/>
      </c>
      <c r="J1739" s="16">
        <f>IF(OR(D1739="",F1739=""),"",F1739*I1739-N(H1739))</f>
        <v/>
      </c>
      <c r="K1739" s="16">
        <f>IF(OR(D1739="",F1739=""),"",F1739*IFERROR(INDEX('Sản phẩm'!$D$5:$D$304,MATCH(D1739,'Sản phẩm'!$A$5:$A$304,0)),""))</f>
        <v/>
      </c>
      <c r="L1739" s="16">
        <f>IF(J1739="","",J1739-K1739)</f>
        <v/>
      </c>
      <c r="M1739" s="14">
        <f>IF(A1739="","",MONTH(A1739))</f>
        <v/>
      </c>
      <c r="N1739" s="14">
        <f>IF(A1739="","",YEAR(A1739))</f>
        <v/>
      </c>
    </row>
    <row r="1740">
      <c r="A1740" s="15" t="n"/>
      <c r="B1740" s="10" t="n"/>
      <c r="C1740" s="10" t="n"/>
      <c r="D1740" s="10" t="n"/>
      <c r="E1740" s="14">
        <f>IF(D1740="","",IFERROR(INDEX('Sản phẩm'!$B$5:$B$304,MATCH(D1740,'Sản phẩm'!$A$5:$A$304,0)),""))</f>
        <v/>
      </c>
      <c r="F1740" s="12" t="n"/>
      <c r="G1740" s="11" t="n"/>
      <c r="H1740" s="11" t="n"/>
      <c r="I1740" s="16">
        <f>IF(D1740="","",IF(G1740&lt;&gt;"",G1740,IFERROR(INDEX('Sản phẩm'!$E$5:$E$304,MATCH(D1740,'Sản phẩm'!$A$5:$A$304,0)),"")))</f>
        <v/>
      </c>
      <c r="J1740" s="16">
        <f>IF(OR(D1740="",F1740=""),"",F1740*I1740-N(H1740))</f>
        <v/>
      </c>
      <c r="K1740" s="16">
        <f>IF(OR(D1740="",F1740=""),"",F1740*IFERROR(INDEX('Sản phẩm'!$D$5:$D$304,MATCH(D1740,'Sản phẩm'!$A$5:$A$304,0)),""))</f>
        <v/>
      </c>
      <c r="L1740" s="16">
        <f>IF(J1740="","",J1740-K1740)</f>
        <v/>
      </c>
      <c r="M1740" s="14">
        <f>IF(A1740="","",MONTH(A1740))</f>
        <v/>
      </c>
      <c r="N1740" s="14">
        <f>IF(A1740="","",YEAR(A1740))</f>
        <v/>
      </c>
    </row>
    <row r="1741">
      <c r="A1741" s="15" t="n"/>
      <c r="B1741" s="10" t="n"/>
      <c r="C1741" s="10" t="n"/>
      <c r="D1741" s="10" t="n"/>
      <c r="E1741" s="14">
        <f>IF(D1741="","",IFERROR(INDEX('Sản phẩm'!$B$5:$B$304,MATCH(D1741,'Sản phẩm'!$A$5:$A$304,0)),""))</f>
        <v/>
      </c>
      <c r="F1741" s="12" t="n"/>
      <c r="G1741" s="11" t="n"/>
      <c r="H1741" s="11" t="n"/>
      <c r="I1741" s="16">
        <f>IF(D1741="","",IF(G1741&lt;&gt;"",G1741,IFERROR(INDEX('Sản phẩm'!$E$5:$E$304,MATCH(D1741,'Sản phẩm'!$A$5:$A$304,0)),"")))</f>
        <v/>
      </c>
      <c r="J1741" s="16">
        <f>IF(OR(D1741="",F1741=""),"",F1741*I1741-N(H1741))</f>
        <v/>
      </c>
      <c r="K1741" s="16">
        <f>IF(OR(D1741="",F1741=""),"",F1741*IFERROR(INDEX('Sản phẩm'!$D$5:$D$304,MATCH(D1741,'Sản phẩm'!$A$5:$A$304,0)),""))</f>
        <v/>
      </c>
      <c r="L1741" s="16">
        <f>IF(J1741="","",J1741-K1741)</f>
        <v/>
      </c>
      <c r="M1741" s="14">
        <f>IF(A1741="","",MONTH(A1741))</f>
        <v/>
      </c>
      <c r="N1741" s="14">
        <f>IF(A1741="","",YEAR(A1741))</f>
        <v/>
      </c>
    </row>
    <row r="1742">
      <c r="A1742" s="15" t="n"/>
      <c r="B1742" s="10" t="n"/>
      <c r="C1742" s="10" t="n"/>
      <c r="D1742" s="10" t="n"/>
      <c r="E1742" s="14">
        <f>IF(D1742="","",IFERROR(INDEX('Sản phẩm'!$B$5:$B$304,MATCH(D1742,'Sản phẩm'!$A$5:$A$304,0)),""))</f>
        <v/>
      </c>
      <c r="F1742" s="12" t="n"/>
      <c r="G1742" s="11" t="n"/>
      <c r="H1742" s="11" t="n"/>
      <c r="I1742" s="16">
        <f>IF(D1742="","",IF(G1742&lt;&gt;"",G1742,IFERROR(INDEX('Sản phẩm'!$E$5:$E$304,MATCH(D1742,'Sản phẩm'!$A$5:$A$304,0)),"")))</f>
        <v/>
      </c>
      <c r="J1742" s="16">
        <f>IF(OR(D1742="",F1742=""),"",F1742*I1742-N(H1742))</f>
        <v/>
      </c>
      <c r="K1742" s="16">
        <f>IF(OR(D1742="",F1742=""),"",F1742*IFERROR(INDEX('Sản phẩm'!$D$5:$D$304,MATCH(D1742,'Sản phẩm'!$A$5:$A$304,0)),""))</f>
        <v/>
      </c>
      <c r="L1742" s="16">
        <f>IF(J1742="","",J1742-K1742)</f>
        <v/>
      </c>
      <c r="M1742" s="14">
        <f>IF(A1742="","",MONTH(A1742))</f>
        <v/>
      </c>
      <c r="N1742" s="14">
        <f>IF(A1742="","",YEAR(A1742))</f>
        <v/>
      </c>
    </row>
    <row r="1743">
      <c r="A1743" s="15" t="n"/>
      <c r="B1743" s="10" t="n"/>
      <c r="C1743" s="10" t="n"/>
      <c r="D1743" s="10" t="n"/>
      <c r="E1743" s="14">
        <f>IF(D1743="","",IFERROR(INDEX('Sản phẩm'!$B$5:$B$304,MATCH(D1743,'Sản phẩm'!$A$5:$A$304,0)),""))</f>
        <v/>
      </c>
      <c r="F1743" s="12" t="n"/>
      <c r="G1743" s="11" t="n"/>
      <c r="H1743" s="11" t="n"/>
      <c r="I1743" s="16">
        <f>IF(D1743="","",IF(G1743&lt;&gt;"",G1743,IFERROR(INDEX('Sản phẩm'!$E$5:$E$304,MATCH(D1743,'Sản phẩm'!$A$5:$A$304,0)),"")))</f>
        <v/>
      </c>
      <c r="J1743" s="16">
        <f>IF(OR(D1743="",F1743=""),"",F1743*I1743-N(H1743))</f>
        <v/>
      </c>
      <c r="K1743" s="16">
        <f>IF(OR(D1743="",F1743=""),"",F1743*IFERROR(INDEX('Sản phẩm'!$D$5:$D$304,MATCH(D1743,'Sản phẩm'!$A$5:$A$304,0)),""))</f>
        <v/>
      </c>
      <c r="L1743" s="16">
        <f>IF(J1743="","",J1743-K1743)</f>
        <v/>
      </c>
      <c r="M1743" s="14">
        <f>IF(A1743="","",MONTH(A1743))</f>
        <v/>
      </c>
      <c r="N1743" s="14">
        <f>IF(A1743="","",YEAR(A1743))</f>
        <v/>
      </c>
    </row>
    <row r="1744">
      <c r="A1744" s="15" t="n"/>
      <c r="B1744" s="10" t="n"/>
      <c r="C1744" s="10" t="n"/>
      <c r="D1744" s="10" t="n"/>
      <c r="E1744" s="14">
        <f>IF(D1744="","",IFERROR(INDEX('Sản phẩm'!$B$5:$B$304,MATCH(D1744,'Sản phẩm'!$A$5:$A$304,0)),""))</f>
        <v/>
      </c>
      <c r="F1744" s="12" t="n"/>
      <c r="G1744" s="11" t="n"/>
      <c r="H1744" s="11" t="n"/>
      <c r="I1744" s="16">
        <f>IF(D1744="","",IF(G1744&lt;&gt;"",G1744,IFERROR(INDEX('Sản phẩm'!$E$5:$E$304,MATCH(D1744,'Sản phẩm'!$A$5:$A$304,0)),"")))</f>
        <v/>
      </c>
      <c r="J1744" s="16">
        <f>IF(OR(D1744="",F1744=""),"",F1744*I1744-N(H1744))</f>
        <v/>
      </c>
      <c r="K1744" s="16">
        <f>IF(OR(D1744="",F1744=""),"",F1744*IFERROR(INDEX('Sản phẩm'!$D$5:$D$304,MATCH(D1744,'Sản phẩm'!$A$5:$A$304,0)),""))</f>
        <v/>
      </c>
      <c r="L1744" s="16">
        <f>IF(J1744="","",J1744-K1744)</f>
        <v/>
      </c>
      <c r="M1744" s="14">
        <f>IF(A1744="","",MONTH(A1744))</f>
        <v/>
      </c>
      <c r="N1744" s="14">
        <f>IF(A1744="","",YEAR(A1744))</f>
        <v/>
      </c>
    </row>
    <row r="1745">
      <c r="A1745" s="15" t="n"/>
      <c r="B1745" s="10" t="n"/>
      <c r="C1745" s="10" t="n"/>
      <c r="D1745" s="10" t="n"/>
      <c r="E1745" s="14">
        <f>IF(D1745="","",IFERROR(INDEX('Sản phẩm'!$B$5:$B$304,MATCH(D1745,'Sản phẩm'!$A$5:$A$304,0)),""))</f>
        <v/>
      </c>
      <c r="F1745" s="12" t="n"/>
      <c r="G1745" s="11" t="n"/>
      <c r="H1745" s="11" t="n"/>
      <c r="I1745" s="16">
        <f>IF(D1745="","",IF(G1745&lt;&gt;"",G1745,IFERROR(INDEX('Sản phẩm'!$E$5:$E$304,MATCH(D1745,'Sản phẩm'!$A$5:$A$304,0)),"")))</f>
        <v/>
      </c>
      <c r="J1745" s="16">
        <f>IF(OR(D1745="",F1745=""),"",F1745*I1745-N(H1745))</f>
        <v/>
      </c>
      <c r="K1745" s="16">
        <f>IF(OR(D1745="",F1745=""),"",F1745*IFERROR(INDEX('Sản phẩm'!$D$5:$D$304,MATCH(D1745,'Sản phẩm'!$A$5:$A$304,0)),""))</f>
        <v/>
      </c>
      <c r="L1745" s="16">
        <f>IF(J1745="","",J1745-K1745)</f>
        <v/>
      </c>
      <c r="M1745" s="14">
        <f>IF(A1745="","",MONTH(A1745))</f>
        <v/>
      </c>
      <c r="N1745" s="14">
        <f>IF(A1745="","",YEAR(A1745))</f>
        <v/>
      </c>
    </row>
    <row r="1746">
      <c r="A1746" s="15" t="n"/>
      <c r="B1746" s="10" t="n"/>
      <c r="C1746" s="10" t="n"/>
      <c r="D1746" s="10" t="n"/>
      <c r="E1746" s="14">
        <f>IF(D1746="","",IFERROR(INDEX('Sản phẩm'!$B$5:$B$304,MATCH(D1746,'Sản phẩm'!$A$5:$A$304,0)),""))</f>
        <v/>
      </c>
      <c r="F1746" s="12" t="n"/>
      <c r="G1746" s="11" t="n"/>
      <c r="H1746" s="11" t="n"/>
      <c r="I1746" s="16">
        <f>IF(D1746="","",IF(G1746&lt;&gt;"",G1746,IFERROR(INDEX('Sản phẩm'!$E$5:$E$304,MATCH(D1746,'Sản phẩm'!$A$5:$A$304,0)),"")))</f>
        <v/>
      </c>
      <c r="J1746" s="16">
        <f>IF(OR(D1746="",F1746=""),"",F1746*I1746-N(H1746))</f>
        <v/>
      </c>
      <c r="K1746" s="16">
        <f>IF(OR(D1746="",F1746=""),"",F1746*IFERROR(INDEX('Sản phẩm'!$D$5:$D$304,MATCH(D1746,'Sản phẩm'!$A$5:$A$304,0)),""))</f>
        <v/>
      </c>
      <c r="L1746" s="16">
        <f>IF(J1746="","",J1746-K1746)</f>
        <v/>
      </c>
      <c r="M1746" s="14">
        <f>IF(A1746="","",MONTH(A1746))</f>
        <v/>
      </c>
      <c r="N1746" s="14">
        <f>IF(A1746="","",YEAR(A1746))</f>
        <v/>
      </c>
    </row>
    <row r="1747">
      <c r="A1747" s="15" t="n"/>
      <c r="B1747" s="10" t="n"/>
      <c r="C1747" s="10" t="n"/>
      <c r="D1747" s="10" t="n"/>
      <c r="E1747" s="14">
        <f>IF(D1747="","",IFERROR(INDEX('Sản phẩm'!$B$5:$B$304,MATCH(D1747,'Sản phẩm'!$A$5:$A$304,0)),""))</f>
        <v/>
      </c>
      <c r="F1747" s="12" t="n"/>
      <c r="G1747" s="11" t="n"/>
      <c r="H1747" s="11" t="n"/>
      <c r="I1747" s="16">
        <f>IF(D1747="","",IF(G1747&lt;&gt;"",G1747,IFERROR(INDEX('Sản phẩm'!$E$5:$E$304,MATCH(D1747,'Sản phẩm'!$A$5:$A$304,0)),"")))</f>
        <v/>
      </c>
      <c r="J1747" s="16">
        <f>IF(OR(D1747="",F1747=""),"",F1747*I1747-N(H1747))</f>
        <v/>
      </c>
      <c r="K1747" s="16">
        <f>IF(OR(D1747="",F1747=""),"",F1747*IFERROR(INDEX('Sản phẩm'!$D$5:$D$304,MATCH(D1747,'Sản phẩm'!$A$5:$A$304,0)),""))</f>
        <v/>
      </c>
      <c r="L1747" s="16">
        <f>IF(J1747="","",J1747-K1747)</f>
        <v/>
      </c>
      <c r="M1747" s="14">
        <f>IF(A1747="","",MONTH(A1747))</f>
        <v/>
      </c>
      <c r="N1747" s="14">
        <f>IF(A1747="","",YEAR(A1747))</f>
        <v/>
      </c>
    </row>
    <row r="1748">
      <c r="A1748" s="15" t="n"/>
      <c r="B1748" s="10" t="n"/>
      <c r="C1748" s="10" t="n"/>
      <c r="D1748" s="10" t="n"/>
      <c r="E1748" s="14">
        <f>IF(D1748="","",IFERROR(INDEX('Sản phẩm'!$B$5:$B$304,MATCH(D1748,'Sản phẩm'!$A$5:$A$304,0)),""))</f>
        <v/>
      </c>
      <c r="F1748" s="12" t="n"/>
      <c r="G1748" s="11" t="n"/>
      <c r="H1748" s="11" t="n"/>
      <c r="I1748" s="16">
        <f>IF(D1748="","",IF(G1748&lt;&gt;"",G1748,IFERROR(INDEX('Sản phẩm'!$E$5:$E$304,MATCH(D1748,'Sản phẩm'!$A$5:$A$304,0)),"")))</f>
        <v/>
      </c>
      <c r="J1748" s="16">
        <f>IF(OR(D1748="",F1748=""),"",F1748*I1748-N(H1748))</f>
        <v/>
      </c>
      <c r="K1748" s="16">
        <f>IF(OR(D1748="",F1748=""),"",F1748*IFERROR(INDEX('Sản phẩm'!$D$5:$D$304,MATCH(D1748,'Sản phẩm'!$A$5:$A$304,0)),""))</f>
        <v/>
      </c>
      <c r="L1748" s="16">
        <f>IF(J1748="","",J1748-K1748)</f>
        <v/>
      </c>
      <c r="M1748" s="14">
        <f>IF(A1748="","",MONTH(A1748))</f>
        <v/>
      </c>
      <c r="N1748" s="14">
        <f>IF(A1748="","",YEAR(A1748))</f>
        <v/>
      </c>
    </row>
    <row r="1749">
      <c r="A1749" s="15" t="n"/>
      <c r="B1749" s="10" t="n"/>
      <c r="C1749" s="10" t="n"/>
      <c r="D1749" s="10" t="n"/>
      <c r="E1749" s="14">
        <f>IF(D1749="","",IFERROR(INDEX('Sản phẩm'!$B$5:$B$304,MATCH(D1749,'Sản phẩm'!$A$5:$A$304,0)),""))</f>
        <v/>
      </c>
      <c r="F1749" s="12" t="n"/>
      <c r="G1749" s="11" t="n"/>
      <c r="H1749" s="11" t="n"/>
      <c r="I1749" s="16">
        <f>IF(D1749="","",IF(G1749&lt;&gt;"",G1749,IFERROR(INDEX('Sản phẩm'!$E$5:$E$304,MATCH(D1749,'Sản phẩm'!$A$5:$A$304,0)),"")))</f>
        <v/>
      </c>
      <c r="J1749" s="16">
        <f>IF(OR(D1749="",F1749=""),"",F1749*I1749-N(H1749))</f>
        <v/>
      </c>
      <c r="K1749" s="16">
        <f>IF(OR(D1749="",F1749=""),"",F1749*IFERROR(INDEX('Sản phẩm'!$D$5:$D$304,MATCH(D1749,'Sản phẩm'!$A$5:$A$304,0)),""))</f>
        <v/>
      </c>
      <c r="L1749" s="16">
        <f>IF(J1749="","",J1749-K1749)</f>
        <v/>
      </c>
      <c r="M1749" s="14">
        <f>IF(A1749="","",MONTH(A1749))</f>
        <v/>
      </c>
      <c r="N1749" s="14">
        <f>IF(A1749="","",YEAR(A1749))</f>
        <v/>
      </c>
    </row>
    <row r="1750">
      <c r="A1750" s="15" t="n"/>
      <c r="B1750" s="10" t="n"/>
      <c r="C1750" s="10" t="n"/>
      <c r="D1750" s="10" t="n"/>
      <c r="E1750" s="14">
        <f>IF(D1750="","",IFERROR(INDEX('Sản phẩm'!$B$5:$B$304,MATCH(D1750,'Sản phẩm'!$A$5:$A$304,0)),""))</f>
        <v/>
      </c>
      <c r="F1750" s="12" t="n"/>
      <c r="G1750" s="11" t="n"/>
      <c r="H1750" s="11" t="n"/>
      <c r="I1750" s="16">
        <f>IF(D1750="","",IF(G1750&lt;&gt;"",G1750,IFERROR(INDEX('Sản phẩm'!$E$5:$E$304,MATCH(D1750,'Sản phẩm'!$A$5:$A$304,0)),"")))</f>
        <v/>
      </c>
      <c r="J1750" s="16">
        <f>IF(OR(D1750="",F1750=""),"",F1750*I1750-N(H1750))</f>
        <v/>
      </c>
      <c r="K1750" s="16">
        <f>IF(OR(D1750="",F1750=""),"",F1750*IFERROR(INDEX('Sản phẩm'!$D$5:$D$304,MATCH(D1750,'Sản phẩm'!$A$5:$A$304,0)),""))</f>
        <v/>
      </c>
      <c r="L1750" s="16">
        <f>IF(J1750="","",J1750-K1750)</f>
        <v/>
      </c>
      <c r="M1750" s="14">
        <f>IF(A1750="","",MONTH(A1750))</f>
        <v/>
      </c>
      <c r="N1750" s="14">
        <f>IF(A1750="","",YEAR(A1750))</f>
        <v/>
      </c>
    </row>
    <row r="1751">
      <c r="A1751" s="15" t="n"/>
      <c r="B1751" s="10" t="n"/>
      <c r="C1751" s="10" t="n"/>
      <c r="D1751" s="10" t="n"/>
      <c r="E1751" s="14">
        <f>IF(D1751="","",IFERROR(INDEX('Sản phẩm'!$B$5:$B$304,MATCH(D1751,'Sản phẩm'!$A$5:$A$304,0)),""))</f>
        <v/>
      </c>
      <c r="F1751" s="12" t="n"/>
      <c r="G1751" s="11" t="n"/>
      <c r="H1751" s="11" t="n"/>
      <c r="I1751" s="16">
        <f>IF(D1751="","",IF(G1751&lt;&gt;"",G1751,IFERROR(INDEX('Sản phẩm'!$E$5:$E$304,MATCH(D1751,'Sản phẩm'!$A$5:$A$304,0)),"")))</f>
        <v/>
      </c>
      <c r="J1751" s="16">
        <f>IF(OR(D1751="",F1751=""),"",F1751*I1751-N(H1751))</f>
        <v/>
      </c>
      <c r="K1751" s="16">
        <f>IF(OR(D1751="",F1751=""),"",F1751*IFERROR(INDEX('Sản phẩm'!$D$5:$D$304,MATCH(D1751,'Sản phẩm'!$A$5:$A$304,0)),""))</f>
        <v/>
      </c>
      <c r="L1751" s="16">
        <f>IF(J1751="","",J1751-K1751)</f>
        <v/>
      </c>
      <c r="M1751" s="14">
        <f>IF(A1751="","",MONTH(A1751))</f>
        <v/>
      </c>
      <c r="N1751" s="14">
        <f>IF(A1751="","",YEAR(A1751))</f>
        <v/>
      </c>
    </row>
    <row r="1752">
      <c r="A1752" s="15" t="n"/>
      <c r="B1752" s="10" t="n"/>
      <c r="C1752" s="10" t="n"/>
      <c r="D1752" s="10" t="n"/>
      <c r="E1752" s="14">
        <f>IF(D1752="","",IFERROR(INDEX('Sản phẩm'!$B$5:$B$304,MATCH(D1752,'Sản phẩm'!$A$5:$A$304,0)),""))</f>
        <v/>
      </c>
      <c r="F1752" s="12" t="n"/>
      <c r="G1752" s="11" t="n"/>
      <c r="H1752" s="11" t="n"/>
      <c r="I1752" s="16">
        <f>IF(D1752="","",IF(G1752&lt;&gt;"",G1752,IFERROR(INDEX('Sản phẩm'!$E$5:$E$304,MATCH(D1752,'Sản phẩm'!$A$5:$A$304,0)),"")))</f>
        <v/>
      </c>
      <c r="J1752" s="16">
        <f>IF(OR(D1752="",F1752=""),"",F1752*I1752-N(H1752))</f>
        <v/>
      </c>
      <c r="K1752" s="16">
        <f>IF(OR(D1752="",F1752=""),"",F1752*IFERROR(INDEX('Sản phẩm'!$D$5:$D$304,MATCH(D1752,'Sản phẩm'!$A$5:$A$304,0)),""))</f>
        <v/>
      </c>
      <c r="L1752" s="16">
        <f>IF(J1752="","",J1752-K1752)</f>
        <v/>
      </c>
      <c r="M1752" s="14">
        <f>IF(A1752="","",MONTH(A1752))</f>
        <v/>
      </c>
      <c r="N1752" s="14">
        <f>IF(A1752="","",YEAR(A1752))</f>
        <v/>
      </c>
    </row>
    <row r="1753">
      <c r="A1753" s="15" t="n"/>
      <c r="B1753" s="10" t="n"/>
      <c r="C1753" s="10" t="n"/>
      <c r="D1753" s="10" t="n"/>
      <c r="E1753" s="14">
        <f>IF(D1753="","",IFERROR(INDEX('Sản phẩm'!$B$5:$B$304,MATCH(D1753,'Sản phẩm'!$A$5:$A$304,0)),""))</f>
        <v/>
      </c>
      <c r="F1753" s="12" t="n"/>
      <c r="G1753" s="11" t="n"/>
      <c r="H1753" s="11" t="n"/>
      <c r="I1753" s="16">
        <f>IF(D1753="","",IF(G1753&lt;&gt;"",G1753,IFERROR(INDEX('Sản phẩm'!$E$5:$E$304,MATCH(D1753,'Sản phẩm'!$A$5:$A$304,0)),"")))</f>
        <v/>
      </c>
      <c r="J1753" s="16">
        <f>IF(OR(D1753="",F1753=""),"",F1753*I1753-N(H1753))</f>
        <v/>
      </c>
      <c r="K1753" s="16">
        <f>IF(OR(D1753="",F1753=""),"",F1753*IFERROR(INDEX('Sản phẩm'!$D$5:$D$304,MATCH(D1753,'Sản phẩm'!$A$5:$A$304,0)),""))</f>
        <v/>
      </c>
      <c r="L1753" s="16">
        <f>IF(J1753="","",J1753-K1753)</f>
        <v/>
      </c>
      <c r="M1753" s="14">
        <f>IF(A1753="","",MONTH(A1753))</f>
        <v/>
      </c>
      <c r="N1753" s="14">
        <f>IF(A1753="","",YEAR(A1753))</f>
        <v/>
      </c>
    </row>
    <row r="1754">
      <c r="A1754" s="15" t="n"/>
      <c r="B1754" s="10" t="n"/>
      <c r="C1754" s="10" t="n"/>
      <c r="D1754" s="10" t="n"/>
      <c r="E1754" s="14">
        <f>IF(D1754="","",IFERROR(INDEX('Sản phẩm'!$B$5:$B$304,MATCH(D1754,'Sản phẩm'!$A$5:$A$304,0)),""))</f>
        <v/>
      </c>
      <c r="F1754" s="12" t="n"/>
      <c r="G1754" s="11" t="n"/>
      <c r="H1754" s="11" t="n"/>
      <c r="I1754" s="16">
        <f>IF(D1754="","",IF(G1754&lt;&gt;"",G1754,IFERROR(INDEX('Sản phẩm'!$E$5:$E$304,MATCH(D1754,'Sản phẩm'!$A$5:$A$304,0)),"")))</f>
        <v/>
      </c>
      <c r="J1754" s="16">
        <f>IF(OR(D1754="",F1754=""),"",F1754*I1754-N(H1754))</f>
        <v/>
      </c>
      <c r="K1754" s="16">
        <f>IF(OR(D1754="",F1754=""),"",F1754*IFERROR(INDEX('Sản phẩm'!$D$5:$D$304,MATCH(D1754,'Sản phẩm'!$A$5:$A$304,0)),""))</f>
        <v/>
      </c>
      <c r="L1754" s="16">
        <f>IF(J1754="","",J1754-K1754)</f>
        <v/>
      </c>
      <c r="M1754" s="14">
        <f>IF(A1754="","",MONTH(A1754))</f>
        <v/>
      </c>
      <c r="N1754" s="14">
        <f>IF(A1754="","",YEAR(A1754))</f>
        <v/>
      </c>
    </row>
    <row r="1755">
      <c r="A1755" s="15" t="n"/>
      <c r="B1755" s="10" t="n"/>
      <c r="C1755" s="10" t="n"/>
      <c r="D1755" s="10" t="n"/>
      <c r="E1755" s="14">
        <f>IF(D1755="","",IFERROR(INDEX('Sản phẩm'!$B$5:$B$304,MATCH(D1755,'Sản phẩm'!$A$5:$A$304,0)),""))</f>
        <v/>
      </c>
      <c r="F1755" s="12" t="n"/>
      <c r="G1755" s="11" t="n"/>
      <c r="H1755" s="11" t="n"/>
      <c r="I1755" s="16">
        <f>IF(D1755="","",IF(G1755&lt;&gt;"",G1755,IFERROR(INDEX('Sản phẩm'!$E$5:$E$304,MATCH(D1755,'Sản phẩm'!$A$5:$A$304,0)),"")))</f>
        <v/>
      </c>
      <c r="J1755" s="16">
        <f>IF(OR(D1755="",F1755=""),"",F1755*I1755-N(H1755))</f>
        <v/>
      </c>
      <c r="K1755" s="16">
        <f>IF(OR(D1755="",F1755=""),"",F1755*IFERROR(INDEX('Sản phẩm'!$D$5:$D$304,MATCH(D1755,'Sản phẩm'!$A$5:$A$304,0)),""))</f>
        <v/>
      </c>
      <c r="L1755" s="16">
        <f>IF(J1755="","",J1755-K1755)</f>
        <v/>
      </c>
      <c r="M1755" s="14">
        <f>IF(A1755="","",MONTH(A1755))</f>
        <v/>
      </c>
      <c r="N1755" s="14">
        <f>IF(A1755="","",YEAR(A1755))</f>
        <v/>
      </c>
    </row>
    <row r="1756">
      <c r="A1756" s="15" t="n"/>
      <c r="B1756" s="10" t="n"/>
      <c r="C1756" s="10" t="n"/>
      <c r="D1756" s="10" t="n"/>
      <c r="E1756" s="14">
        <f>IF(D1756="","",IFERROR(INDEX('Sản phẩm'!$B$5:$B$304,MATCH(D1756,'Sản phẩm'!$A$5:$A$304,0)),""))</f>
        <v/>
      </c>
      <c r="F1756" s="12" t="n"/>
      <c r="G1756" s="11" t="n"/>
      <c r="H1756" s="11" t="n"/>
      <c r="I1756" s="16">
        <f>IF(D1756="","",IF(G1756&lt;&gt;"",G1756,IFERROR(INDEX('Sản phẩm'!$E$5:$E$304,MATCH(D1756,'Sản phẩm'!$A$5:$A$304,0)),"")))</f>
        <v/>
      </c>
      <c r="J1756" s="16">
        <f>IF(OR(D1756="",F1756=""),"",F1756*I1756-N(H1756))</f>
        <v/>
      </c>
      <c r="K1756" s="16">
        <f>IF(OR(D1756="",F1756=""),"",F1756*IFERROR(INDEX('Sản phẩm'!$D$5:$D$304,MATCH(D1756,'Sản phẩm'!$A$5:$A$304,0)),""))</f>
        <v/>
      </c>
      <c r="L1756" s="16">
        <f>IF(J1756="","",J1756-K1756)</f>
        <v/>
      </c>
      <c r="M1756" s="14">
        <f>IF(A1756="","",MONTH(A1756))</f>
        <v/>
      </c>
      <c r="N1756" s="14">
        <f>IF(A1756="","",YEAR(A1756))</f>
        <v/>
      </c>
    </row>
    <row r="1757">
      <c r="A1757" s="15" t="n"/>
      <c r="B1757" s="10" t="n"/>
      <c r="C1757" s="10" t="n"/>
      <c r="D1757" s="10" t="n"/>
      <c r="E1757" s="14">
        <f>IF(D1757="","",IFERROR(INDEX('Sản phẩm'!$B$5:$B$304,MATCH(D1757,'Sản phẩm'!$A$5:$A$304,0)),""))</f>
        <v/>
      </c>
      <c r="F1757" s="12" t="n"/>
      <c r="G1757" s="11" t="n"/>
      <c r="H1757" s="11" t="n"/>
      <c r="I1757" s="16">
        <f>IF(D1757="","",IF(G1757&lt;&gt;"",G1757,IFERROR(INDEX('Sản phẩm'!$E$5:$E$304,MATCH(D1757,'Sản phẩm'!$A$5:$A$304,0)),"")))</f>
        <v/>
      </c>
      <c r="J1757" s="16">
        <f>IF(OR(D1757="",F1757=""),"",F1757*I1757-N(H1757))</f>
        <v/>
      </c>
      <c r="K1757" s="16">
        <f>IF(OR(D1757="",F1757=""),"",F1757*IFERROR(INDEX('Sản phẩm'!$D$5:$D$304,MATCH(D1757,'Sản phẩm'!$A$5:$A$304,0)),""))</f>
        <v/>
      </c>
      <c r="L1757" s="16">
        <f>IF(J1757="","",J1757-K1757)</f>
        <v/>
      </c>
      <c r="M1757" s="14">
        <f>IF(A1757="","",MONTH(A1757))</f>
        <v/>
      </c>
      <c r="N1757" s="14">
        <f>IF(A1757="","",YEAR(A1757))</f>
        <v/>
      </c>
    </row>
    <row r="1758">
      <c r="A1758" s="15" t="n"/>
      <c r="B1758" s="10" t="n"/>
      <c r="C1758" s="10" t="n"/>
      <c r="D1758" s="10" t="n"/>
      <c r="E1758" s="14">
        <f>IF(D1758="","",IFERROR(INDEX('Sản phẩm'!$B$5:$B$304,MATCH(D1758,'Sản phẩm'!$A$5:$A$304,0)),""))</f>
        <v/>
      </c>
      <c r="F1758" s="12" t="n"/>
      <c r="G1758" s="11" t="n"/>
      <c r="H1758" s="11" t="n"/>
      <c r="I1758" s="16">
        <f>IF(D1758="","",IF(G1758&lt;&gt;"",G1758,IFERROR(INDEX('Sản phẩm'!$E$5:$E$304,MATCH(D1758,'Sản phẩm'!$A$5:$A$304,0)),"")))</f>
        <v/>
      </c>
      <c r="J1758" s="16">
        <f>IF(OR(D1758="",F1758=""),"",F1758*I1758-N(H1758))</f>
        <v/>
      </c>
      <c r="K1758" s="16">
        <f>IF(OR(D1758="",F1758=""),"",F1758*IFERROR(INDEX('Sản phẩm'!$D$5:$D$304,MATCH(D1758,'Sản phẩm'!$A$5:$A$304,0)),""))</f>
        <v/>
      </c>
      <c r="L1758" s="16">
        <f>IF(J1758="","",J1758-K1758)</f>
        <v/>
      </c>
      <c r="M1758" s="14">
        <f>IF(A1758="","",MONTH(A1758))</f>
        <v/>
      </c>
      <c r="N1758" s="14">
        <f>IF(A1758="","",YEAR(A1758))</f>
        <v/>
      </c>
    </row>
    <row r="1759">
      <c r="A1759" s="15" t="n"/>
      <c r="B1759" s="10" t="n"/>
      <c r="C1759" s="10" t="n"/>
      <c r="D1759" s="10" t="n"/>
      <c r="E1759" s="14">
        <f>IF(D1759="","",IFERROR(INDEX('Sản phẩm'!$B$5:$B$304,MATCH(D1759,'Sản phẩm'!$A$5:$A$304,0)),""))</f>
        <v/>
      </c>
      <c r="F1759" s="12" t="n"/>
      <c r="G1759" s="11" t="n"/>
      <c r="H1759" s="11" t="n"/>
      <c r="I1759" s="16">
        <f>IF(D1759="","",IF(G1759&lt;&gt;"",G1759,IFERROR(INDEX('Sản phẩm'!$E$5:$E$304,MATCH(D1759,'Sản phẩm'!$A$5:$A$304,0)),"")))</f>
        <v/>
      </c>
      <c r="J1759" s="16">
        <f>IF(OR(D1759="",F1759=""),"",F1759*I1759-N(H1759))</f>
        <v/>
      </c>
      <c r="K1759" s="16">
        <f>IF(OR(D1759="",F1759=""),"",F1759*IFERROR(INDEX('Sản phẩm'!$D$5:$D$304,MATCH(D1759,'Sản phẩm'!$A$5:$A$304,0)),""))</f>
        <v/>
      </c>
      <c r="L1759" s="16">
        <f>IF(J1759="","",J1759-K1759)</f>
        <v/>
      </c>
      <c r="M1759" s="14">
        <f>IF(A1759="","",MONTH(A1759))</f>
        <v/>
      </c>
      <c r="N1759" s="14">
        <f>IF(A1759="","",YEAR(A1759))</f>
        <v/>
      </c>
    </row>
    <row r="1760">
      <c r="A1760" s="15" t="n"/>
      <c r="B1760" s="10" t="n"/>
      <c r="C1760" s="10" t="n"/>
      <c r="D1760" s="10" t="n"/>
      <c r="E1760" s="14">
        <f>IF(D1760="","",IFERROR(INDEX('Sản phẩm'!$B$5:$B$304,MATCH(D1760,'Sản phẩm'!$A$5:$A$304,0)),""))</f>
        <v/>
      </c>
      <c r="F1760" s="12" t="n"/>
      <c r="G1760" s="11" t="n"/>
      <c r="H1760" s="11" t="n"/>
      <c r="I1760" s="16">
        <f>IF(D1760="","",IF(G1760&lt;&gt;"",G1760,IFERROR(INDEX('Sản phẩm'!$E$5:$E$304,MATCH(D1760,'Sản phẩm'!$A$5:$A$304,0)),"")))</f>
        <v/>
      </c>
      <c r="J1760" s="16">
        <f>IF(OR(D1760="",F1760=""),"",F1760*I1760-N(H1760))</f>
        <v/>
      </c>
      <c r="K1760" s="16">
        <f>IF(OR(D1760="",F1760=""),"",F1760*IFERROR(INDEX('Sản phẩm'!$D$5:$D$304,MATCH(D1760,'Sản phẩm'!$A$5:$A$304,0)),""))</f>
        <v/>
      </c>
      <c r="L1760" s="16">
        <f>IF(J1760="","",J1760-K1760)</f>
        <v/>
      </c>
      <c r="M1760" s="14">
        <f>IF(A1760="","",MONTH(A1760))</f>
        <v/>
      </c>
      <c r="N1760" s="14">
        <f>IF(A1760="","",YEAR(A1760))</f>
        <v/>
      </c>
    </row>
    <row r="1761">
      <c r="A1761" s="15" t="n"/>
      <c r="B1761" s="10" t="n"/>
      <c r="C1761" s="10" t="n"/>
      <c r="D1761" s="10" t="n"/>
      <c r="E1761" s="14">
        <f>IF(D1761="","",IFERROR(INDEX('Sản phẩm'!$B$5:$B$304,MATCH(D1761,'Sản phẩm'!$A$5:$A$304,0)),""))</f>
        <v/>
      </c>
      <c r="F1761" s="12" t="n"/>
      <c r="G1761" s="11" t="n"/>
      <c r="H1761" s="11" t="n"/>
      <c r="I1761" s="16">
        <f>IF(D1761="","",IF(G1761&lt;&gt;"",G1761,IFERROR(INDEX('Sản phẩm'!$E$5:$E$304,MATCH(D1761,'Sản phẩm'!$A$5:$A$304,0)),"")))</f>
        <v/>
      </c>
      <c r="J1761" s="16">
        <f>IF(OR(D1761="",F1761=""),"",F1761*I1761-N(H1761))</f>
        <v/>
      </c>
      <c r="K1761" s="16">
        <f>IF(OR(D1761="",F1761=""),"",F1761*IFERROR(INDEX('Sản phẩm'!$D$5:$D$304,MATCH(D1761,'Sản phẩm'!$A$5:$A$304,0)),""))</f>
        <v/>
      </c>
      <c r="L1761" s="16">
        <f>IF(J1761="","",J1761-K1761)</f>
        <v/>
      </c>
      <c r="M1761" s="14">
        <f>IF(A1761="","",MONTH(A1761))</f>
        <v/>
      </c>
      <c r="N1761" s="14">
        <f>IF(A1761="","",YEAR(A1761))</f>
        <v/>
      </c>
    </row>
    <row r="1762">
      <c r="A1762" s="15" t="n"/>
      <c r="B1762" s="10" t="n"/>
      <c r="C1762" s="10" t="n"/>
      <c r="D1762" s="10" t="n"/>
      <c r="E1762" s="14">
        <f>IF(D1762="","",IFERROR(INDEX('Sản phẩm'!$B$5:$B$304,MATCH(D1762,'Sản phẩm'!$A$5:$A$304,0)),""))</f>
        <v/>
      </c>
      <c r="F1762" s="12" t="n"/>
      <c r="G1762" s="11" t="n"/>
      <c r="H1762" s="11" t="n"/>
      <c r="I1762" s="16">
        <f>IF(D1762="","",IF(G1762&lt;&gt;"",G1762,IFERROR(INDEX('Sản phẩm'!$E$5:$E$304,MATCH(D1762,'Sản phẩm'!$A$5:$A$304,0)),"")))</f>
        <v/>
      </c>
      <c r="J1762" s="16">
        <f>IF(OR(D1762="",F1762=""),"",F1762*I1762-N(H1762))</f>
        <v/>
      </c>
      <c r="K1762" s="16">
        <f>IF(OR(D1762="",F1762=""),"",F1762*IFERROR(INDEX('Sản phẩm'!$D$5:$D$304,MATCH(D1762,'Sản phẩm'!$A$5:$A$304,0)),""))</f>
        <v/>
      </c>
      <c r="L1762" s="16">
        <f>IF(J1762="","",J1762-K1762)</f>
        <v/>
      </c>
      <c r="M1762" s="14">
        <f>IF(A1762="","",MONTH(A1762))</f>
        <v/>
      </c>
      <c r="N1762" s="14">
        <f>IF(A1762="","",YEAR(A1762))</f>
        <v/>
      </c>
    </row>
    <row r="1763">
      <c r="A1763" s="15" t="n"/>
      <c r="B1763" s="10" t="n"/>
      <c r="C1763" s="10" t="n"/>
      <c r="D1763" s="10" t="n"/>
      <c r="E1763" s="14">
        <f>IF(D1763="","",IFERROR(INDEX('Sản phẩm'!$B$5:$B$304,MATCH(D1763,'Sản phẩm'!$A$5:$A$304,0)),""))</f>
        <v/>
      </c>
      <c r="F1763" s="12" t="n"/>
      <c r="G1763" s="11" t="n"/>
      <c r="H1763" s="11" t="n"/>
      <c r="I1763" s="16">
        <f>IF(D1763="","",IF(G1763&lt;&gt;"",G1763,IFERROR(INDEX('Sản phẩm'!$E$5:$E$304,MATCH(D1763,'Sản phẩm'!$A$5:$A$304,0)),"")))</f>
        <v/>
      </c>
      <c r="J1763" s="16">
        <f>IF(OR(D1763="",F1763=""),"",F1763*I1763-N(H1763))</f>
        <v/>
      </c>
      <c r="K1763" s="16">
        <f>IF(OR(D1763="",F1763=""),"",F1763*IFERROR(INDEX('Sản phẩm'!$D$5:$D$304,MATCH(D1763,'Sản phẩm'!$A$5:$A$304,0)),""))</f>
        <v/>
      </c>
      <c r="L1763" s="16">
        <f>IF(J1763="","",J1763-K1763)</f>
        <v/>
      </c>
      <c r="M1763" s="14">
        <f>IF(A1763="","",MONTH(A1763))</f>
        <v/>
      </c>
      <c r="N1763" s="14">
        <f>IF(A1763="","",YEAR(A1763))</f>
        <v/>
      </c>
    </row>
    <row r="1764">
      <c r="A1764" s="15" t="n"/>
      <c r="B1764" s="10" t="n"/>
      <c r="C1764" s="10" t="n"/>
      <c r="D1764" s="10" t="n"/>
      <c r="E1764" s="14">
        <f>IF(D1764="","",IFERROR(INDEX('Sản phẩm'!$B$5:$B$304,MATCH(D1764,'Sản phẩm'!$A$5:$A$304,0)),""))</f>
        <v/>
      </c>
      <c r="F1764" s="12" t="n"/>
      <c r="G1764" s="11" t="n"/>
      <c r="H1764" s="11" t="n"/>
      <c r="I1764" s="16">
        <f>IF(D1764="","",IF(G1764&lt;&gt;"",G1764,IFERROR(INDEX('Sản phẩm'!$E$5:$E$304,MATCH(D1764,'Sản phẩm'!$A$5:$A$304,0)),"")))</f>
        <v/>
      </c>
      <c r="J1764" s="16">
        <f>IF(OR(D1764="",F1764=""),"",F1764*I1764-N(H1764))</f>
        <v/>
      </c>
      <c r="K1764" s="16">
        <f>IF(OR(D1764="",F1764=""),"",F1764*IFERROR(INDEX('Sản phẩm'!$D$5:$D$304,MATCH(D1764,'Sản phẩm'!$A$5:$A$304,0)),""))</f>
        <v/>
      </c>
      <c r="L1764" s="16">
        <f>IF(J1764="","",J1764-K1764)</f>
        <v/>
      </c>
      <c r="M1764" s="14">
        <f>IF(A1764="","",MONTH(A1764))</f>
        <v/>
      </c>
      <c r="N1764" s="14">
        <f>IF(A1764="","",YEAR(A1764))</f>
        <v/>
      </c>
    </row>
    <row r="1765">
      <c r="A1765" s="15" t="n"/>
      <c r="B1765" s="10" t="n"/>
      <c r="C1765" s="10" t="n"/>
      <c r="D1765" s="10" t="n"/>
      <c r="E1765" s="14">
        <f>IF(D1765="","",IFERROR(INDEX('Sản phẩm'!$B$5:$B$304,MATCH(D1765,'Sản phẩm'!$A$5:$A$304,0)),""))</f>
        <v/>
      </c>
      <c r="F1765" s="12" t="n"/>
      <c r="G1765" s="11" t="n"/>
      <c r="H1765" s="11" t="n"/>
      <c r="I1765" s="16">
        <f>IF(D1765="","",IF(G1765&lt;&gt;"",G1765,IFERROR(INDEX('Sản phẩm'!$E$5:$E$304,MATCH(D1765,'Sản phẩm'!$A$5:$A$304,0)),"")))</f>
        <v/>
      </c>
      <c r="J1765" s="16">
        <f>IF(OR(D1765="",F1765=""),"",F1765*I1765-N(H1765))</f>
        <v/>
      </c>
      <c r="K1765" s="16">
        <f>IF(OR(D1765="",F1765=""),"",F1765*IFERROR(INDEX('Sản phẩm'!$D$5:$D$304,MATCH(D1765,'Sản phẩm'!$A$5:$A$304,0)),""))</f>
        <v/>
      </c>
      <c r="L1765" s="16">
        <f>IF(J1765="","",J1765-K1765)</f>
        <v/>
      </c>
      <c r="M1765" s="14">
        <f>IF(A1765="","",MONTH(A1765))</f>
        <v/>
      </c>
      <c r="N1765" s="14">
        <f>IF(A1765="","",YEAR(A1765))</f>
        <v/>
      </c>
    </row>
    <row r="1766">
      <c r="A1766" s="15" t="n"/>
      <c r="B1766" s="10" t="n"/>
      <c r="C1766" s="10" t="n"/>
      <c r="D1766" s="10" t="n"/>
      <c r="E1766" s="14">
        <f>IF(D1766="","",IFERROR(INDEX('Sản phẩm'!$B$5:$B$304,MATCH(D1766,'Sản phẩm'!$A$5:$A$304,0)),""))</f>
        <v/>
      </c>
      <c r="F1766" s="12" t="n"/>
      <c r="G1766" s="11" t="n"/>
      <c r="H1766" s="11" t="n"/>
      <c r="I1766" s="16">
        <f>IF(D1766="","",IF(G1766&lt;&gt;"",G1766,IFERROR(INDEX('Sản phẩm'!$E$5:$E$304,MATCH(D1766,'Sản phẩm'!$A$5:$A$304,0)),"")))</f>
        <v/>
      </c>
      <c r="J1766" s="16">
        <f>IF(OR(D1766="",F1766=""),"",F1766*I1766-N(H1766))</f>
        <v/>
      </c>
      <c r="K1766" s="16">
        <f>IF(OR(D1766="",F1766=""),"",F1766*IFERROR(INDEX('Sản phẩm'!$D$5:$D$304,MATCH(D1766,'Sản phẩm'!$A$5:$A$304,0)),""))</f>
        <v/>
      </c>
      <c r="L1766" s="16">
        <f>IF(J1766="","",J1766-K1766)</f>
        <v/>
      </c>
      <c r="M1766" s="14">
        <f>IF(A1766="","",MONTH(A1766))</f>
        <v/>
      </c>
      <c r="N1766" s="14">
        <f>IF(A1766="","",YEAR(A1766))</f>
        <v/>
      </c>
    </row>
    <row r="1767">
      <c r="A1767" s="15" t="n"/>
      <c r="B1767" s="10" t="n"/>
      <c r="C1767" s="10" t="n"/>
      <c r="D1767" s="10" t="n"/>
      <c r="E1767" s="14">
        <f>IF(D1767="","",IFERROR(INDEX('Sản phẩm'!$B$5:$B$304,MATCH(D1767,'Sản phẩm'!$A$5:$A$304,0)),""))</f>
        <v/>
      </c>
      <c r="F1767" s="12" t="n"/>
      <c r="G1767" s="11" t="n"/>
      <c r="H1767" s="11" t="n"/>
      <c r="I1767" s="16">
        <f>IF(D1767="","",IF(G1767&lt;&gt;"",G1767,IFERROR(INDEX('Sản phẩm'!$E$5:$E$304,MATCH(D1767,'Sản phẩm'!$A$5:$A$304,0)),"")))</f>
        <v/>
      </c>
      <c r="J1767" s="16">
        <f>IF(OR(D1767="",F1767=""),"",F1767*I1767-N(H1767))</f>
        <v/>
      </c>
      <c r="K1767" s="16">
        <f>IF(OR(D1767="",F1767=""),"",F1767*IFERROR(INDEX('Sản phẩm'!$D$5:$D$304,MATCH(D1767,'Sản phẩm'!$A$5:$A$304,0)),""))</f>
        <v/>
      </c>
      <c r="L1767" s="16">
        <f>IF(J1767="","",J1767-K1767)</f>
        <v/>
      </c>
      <c r="M1767" s="14">
        <f>IF(A1767="","",MONTH(A1767))</f>
        <v/>
      </c>
      <c r="N1767" s="14">
        <f>IF(A1767="","",YEAR(A1767))</f>
        <v/>
      </c>
    </row>
    <row r="1768">
      <c r="A1768" s="15" t="n"/>
      <c r="B1768" s="10" t="n"/>
      <c r="C1768" s="10" t="n"/>
      <c r="D1768" s="10" t="n"/>
      <c r="E1768" s="14">
        <f>IF(D1768="","",IFERROR(INDEX('Sản phẩm'!$B$5:$B$304,MATCH(D1768,'Sản phẩm'!$A$5:$A$304,0)),""))</f>
        <v/>
      </c>
      <c r="F1768" s="12" t="n"/>
      <c r="G1768" s="11" t="n"/>
      <c r="H1768" s="11" t="n"/>
      <c r="I1768" s="16">
        <f>IF(D1768="","",IF(G1768&lt;&gt;"",G1768,IFERROR(INDEX('Sản phẩm'!$E$5:$E$304,MATCH(D1768,'Sản phẩm'!$A$5:$A$304,0)),"")))</f>
        <v/>
      </c>
      <c r="J1768" s="16">
        <f>IF(OR(D1768="",F1768=""),"",F1768*I1768-N(H1768))</f>
        <v/>
      </c>
      <c r="K1768" s="16">
        <f>IF(OR(D1768="",F1768=""),"",F1768*IFERROR(INDEX('Sản phẩm'!$D$5:$D$304,MATCH(D1768,'Sản phẩm'!$A$5:$A$304,0)),""))</f>
        <v/>
      </c>
      <c r="L1768" s="16">
        <f>IF(J1768="","",J1768-K1768)</f>
        <v/>
      </c>
      <c r="M1768" s="14">
        <f>IF(A1768="","",MONTH(A1768))</f>
        <v/>
      </c>
      <c r="N1768" s="14">
        <f>IF(A1768="","",YEAR(A1768))</f>
        <v/>
      </c>
    </row>
    <row r="1769">
      <c r="A1769" s="15" t="n"/>
      <c r="B1769" s="10" t="n"/>
      <c r="C1769" s="10" t="n"/>
      <c r="D1769" s="10" t="n"/>
      <c r="E1769" s="14">
        <f>IF(D1769="","",IFERROR(INDEX('Sản phẩm'!$B$5:$B$304,MATCH(D1769,'Sản phẩm'!$A$5:$A$304,0)),""))</f>
        <v/>
      </c>
      <c r="F1769" s="12" t="n"/>
      <c r="G1769" s="11" t="n"/>
      <c r="H1769" s="11" t="n"/>
      <c r="I1769" s="16">
        <f>IF(D1769="","",IF(G1769&lt;&gt;"",G1769,IFERROR(INDEX('Sản phẩm'!$E$5:$E$304,MATCH(D1769,'Sản phẩm'!$A$5:$A$304,0)),"")))</f>
        <v/>
      </c>
      <c r="J1769" s="16">
        <f>IF(OR(D1769="",F1769=""),"",F1769*I1769-N(H1769))</f>
        <v/>
      </c>
      <c r="K1769" s="16">
        <f>IF(OR(D1769="",F1769=""),"",F1769*IFERROR(INDEX('Sản phẩm'!$D$5:$D$304,MATCH(D1769,'Sản phẩm'!$A$5:$A$304,0)),""))</f>
        <v/>
      </c>
      <c r="L1769" s="16">
        <f>IF(J1769="","",J1769-K1769)</f>
        <v/>
      </c>
      <c r="M1769" s="14">
        <f>IF(A1769="","",MONTH(A1769))</f>
        <v/>
      </c>
      <c r="N1769" s="14">
        <f>IF(A1769="","",YEAR(A1769))</f>
        <v/>
      </c>
    </row>
    <row r="1770">
      <c r="A1770" s="15" t="n"/>
      <c r="B1770" s="10" t="n"/>
      <c r="C1770" s="10" t="n"/>
      <c r="D1770" s="10" t="n"/>
      <c r="E1770" s="14">
        <f>IF(D1770="","",IFERROR(INDEX('Sản phẩm'!$B$5:$B$304,MATCH(D1770,'Sản phẩm'!$A$5:$A$304,0)),""))</f>
        <v/>
      </c>
      <c r="F1770" s="12" t="n"/>
      <c r="G1770" s="11" t="n"/>
      <c r="H1770" s="11" t="n"/>
      <c r="I1770" s="16">
        <f>IF(D1770="","",IF(G1770&lt;&gt;"",G1770,IFERROR(INDEX('Sản phẩm'!$E$5:$E$304,MATCH(D1770,'Sản phẩm'!$A$5:$A$304,0)),"")))</f>
        <v/>
      </c>
      <c r="J1770" s="16">
        <f>IF(OR(D1770="",F1770=""),"",F1770*I1770-N(H1770))</f>
        <v/>
      </c>
      <c r="K1770" s="16">
        <f>IF(OR(D1770="",F1770=""),"",F1770*IFERROR(INDEX('Sản phẩm'!$D$5:$D$304,MATCH(D1770,'Sản phẩm'!$A$5:$A$304,0)),""))</f>
        <v/>
      </c>
      <c r="L1770" s="16">
        <f>IF(J1770="","",J1770-K1770)</f>
        <v/>
      </c>
      <c r="M1770" s="14">
        <f>IF(A1770="","",MONTH(A1770))</f>
        <v/>
      </c>
      <c r="N1770" s="14">
        <f>IF(A1770="","",YEAR(A1770))</f>
        <v/>
      </c>
    </row>
    <row r="1771">
      <c r="A1771" s="15" t="n"/>
      <c r="B1771" s="10" t="n"/>
      <c r="C1771" s="10" t="n"/>
      <c r="D1771" s="10" t="n"/>
      <c r="E1771" s="14">
        <f>IF(D1771="","",IFERROR(INDEX('Sản phẩm'!$B$5:$B$304,MATCH(D1771,'Sản phẩm'!$A$5:$A$304,0)),""))</f>
        <v/>
      </c>
      <c r="F1771" s="12" t="n"/>
      <c r="G1771" s="11" t="n"/>
      <c r="H1771" s="11" t="n"/>
      <c r="I1771" s="16">
        <f>IF(D1771="","",IF(G1771&lt;&gt;"",G1771,IFERROR(INDEX('Sản phẩm'!$E$5:$E$304,MATCH(D1771,'Sản phẩm'!$A$5:$A$304,0)),"")))</f>
        <v/>
      </c>
      <c r="J1771" s="16">
        <f>IF(OR(D1771="",F1771=""),"",F1771*I1771-N(H1771))</f>
        <v/>
      </c>
      <c r="K1771" s="16">
        <f>IF(OR(D1771="",F1771=""),"",F1771*IFERROR(INDEX('Sản phẩm'!$D$5:$D$304,MATCH(D1771,'Sản phẩm'!$A$5:$A$304,0)),""))</f>
        <v/>
      </c>
      <c r="L1771" s="16">
        <f>IF(J1771="","",J1771-K1771)</f>
        <v/>
      </c>
      <c r="M1771" s="14">
        <f>IF(A1771="","",MONTH(A1771))</f>
        <v/>
      </c>
      <c r="N1771" s="14">
        <f>IF(A1771="","",YEAR(A1771))</f>
        <v/>
      </c>
    </row>
    <row r="1772">
      <c r="A1772" s="15" t="n"/>
      <c r="B1772" s="10" t="n"/>
      <c r="C1772" s="10" t="n"/>
      <c r="D1772" s="10" t="n"/>
      <c r="E1772" s="14">
        <f>IF(D1772="","",IFERROR(INDEX('Sản phẩm'!$B$5:$B$304,MATCH(D1772,'Sản phẩm'!$A$5:$A$304,0)),""))</f>
        <v/>
      </c>
      <c r="F1772" s="12" t="n"/>
      <c r="G1772" s="11" t="n"/>
      <c r="H1772" s="11" t="n"/>
      <c r="I1772" s="16">
        <f>IF(D1772="","",IF(G1772&lt;&gt;"",G1772,IFERROR(INDEX('Sản phẩm'!$E$5:$E$304,MATCH(D1772,'Sản phẩm'!$A$5:$A$304,0)),"")))</f>
        <v/>
      </c>
      <c r="J1772" s="16">
        <f>IF(OR(D1772="",F1772=""),"",F1772*I1772-N(H1772))</f>
        <v/>
      </c>
      <c r="K1772" s="16">
        <f>IF(OR(D1772="",F1772=""),"",F1772*IFERROR(INDEX('Sản phẩm'!$D$5:$D$304,MATCH(D1772,'Sản phẩm'!$A$5:$A$304,0)),""))</f>
        <v/>
      </c>
      <c r="L1772" s="16">
        <f>IF(J1772="","",J1772-K1772)</f>
        <v/>
      </c>
      <c r="M1772" s="14">
        <f>IF(A1772="","",MONTH(A1772))</f>
        <v/>
      </c>
      <c r="N1772" s="14">
        <f>IF(A1772="","",YEAR(A1772))</f>
        <v/>
      </c>
    </row>
    <row r="1773">
      <c r="A1773" s="15" t="n"/>
      <c r="B1773" s="10" t="n"/>
      <c r="C1773" s="10" t="n"/>
      <c r="D1773" s="10" t="n"/>
      <c r="E1773" s="14">
        <f>IF(D1773="","",IFERROR(INDEX('Sản phẩm'!$B$5:$B$304,MATCH(D1773,'Sản phẩm'!$A$5:$A$304,0)),""))</f>
        <v/>
      </c>
      <c r="F1773" s="12" t="n"/>
      <c r="G1773" s="11" t="n"/>
      <c r="H1773" s="11" t="n"/>
      <c r="I1773" s="16">
        <f>IF(D1773="","",IF(G1773&lt;&gt;"",G1773,IFERROR(INDEX('Sản phẩm'!$E$5:$E$304,MATCH(D1773,'Sản phẩm'!$A$5:$A$304,0)),"")))</f>
        <v/>
      </c>
      <c r="J1773" s="16">
        <f>IF(OR(D1773="",F1773=""),"",F1773*I1773-N(H1773))</f>
        <v/>
      </c>
      <c r="K1773" s="16">
        <f>IF(OR(D1773="",F1773=""),"",F1773*IFERROR(INDEX('Sản phẩm'!$D$5:$D$304,MATCH(D1773,'Sản phẩm'!$A$5:$A$304,0)),""))</f>
        <v/>
      </c>
      <c r="L1773" s="16">
        <f>IF(J1773="","",J1773-K1773)</f>
        <v/>
      </c>
      <c r="M1773" s="14">
        <f>IF(A1773="","",MONTH(A1773))</f>
        <v/>
      </c>
      <c r="N1773" s="14">
        <f>IF(A1773="","",YEAR(A1773))</f>
        <v/>
      </c>
    </row>
    <row r="1774">
      <c r="A1774" s="15" t="n"/>
      <c r="B1774" s="10" t="n"/>
      <c r="C1774" s="10" t="n"/>
      <c r="D1774" s="10" t="n"/>
      <c r="E1774" s="14">
        <f>IF(D1774="","",IFERROR(INDEX('Sản phẩm'!$B$5:$B$304,MATCH(D1774,'Sản phẩm'!$A$5:$A$304,0)),""))</f>
        <v/>
      </c>
      <c r="F1774" s="12" t="n"/>
      <c r="G1774" s="11" t="n"/>
      <c r="H1774" s="11" t="n"/>
      <c r="I1774" s="16">
        <f>IF(D1774="","",IF(G1774&lt;&gt;"",G1774,IFERROR(INDEX('Sản phẩm'!$E$5:$E$304,MATCH(D1774,'Sản phẩm'!$A$5:$A$304,0)),"")))</f>
        <v/>
      </c>
      <c r="J1774" s="16">
        <f>IF(OR(D1774="",F1774=""),"",F1774*I1774-N(H1774))</f>
        <v/>
      </c>
      <c r="K1774" s="16">
        <f>IF(OR(D1774="",F1774=""),"",F1774*IFERROR(INDEX('Sản phẩm'!$D$5:$D$304,MATCH(D1774,'Sản phẩm'!$A$5:$A$304,0)),""))</f>
        <v/>
      </c>
      <c r="L1774" s="16">
        <f>IF(J1774="","",J1774-K1774)</f>
        <v/>
      </c>
      <c r="M1774" s="14">
        <f>IF(A1774="","",MONTH(A1774))</f>
        <v/>
      </c>
      <c r="N1774" s="14">
        <f>IF(A1774="","",YEAR(A1774))</f>
        <v/>
      </c>
    </row>
    <row r="1775">
      <c r="A1775" s="15" t="n"/>
      <c r="B1775" s="10" t="n"/>
      <c r="C1775" s="10" t="n"/>
      <c r="D1775" s="10" t="n"/>
      <c r="E1775" s="14">
        <f>IF(D1775="","",IFERROR(INDEX('Sản phẩm'!$B$5:$B$304,MATCH(D1775,'Sản phẩm'!$A$5:$A$304,0)),""))</f>
        <v/>
      </c>
      <c r="F1775" s="12" t="n"/>
      <c r="G1775" s="11" t="n"/>
      <c r="H1775" s="11" t="n"/>
      <c r="I1775" s="16">
        <f>IF(D1775="","",IF(G1775&lt;&gt;"",G1775,IFERROR(INDEX('Sản phẩm'!$E$5:$E$304,MATCH(D1775,'Sản phẩm'!$A$5:$A$304,0)),"")))</f>
        <v/>
      </c>
      <c r="J1775" s="16">
        <f>IF(OR(D1775="",F1775=""),"",F1775*I1775-N(H1775))</f>
        <v/>
      </c>
      <c r="K1775" s="16">
        <f>IF(OR(D1775="",F1775=""),"",F1775*IFERROR(INDEX('Sản phẩm'!$D$5:$D$304,MATCH(D1775,'Sản phẩm'!$A$5:$A$304,0)),""))</f>
        <v/>
      </c>
      <c r="L1775" s="16">
        <f>IF(J1775="","",J1775-K1775)</f>
        <v/>
      </c>
      <c r="M1775" s="14">
        <f>IF(A1775="","",MONTH(A1775))</f>
        <v/>
      </c>
      <c r="N1775" s="14">
        <f>IF(A1775="","",YEAR(A1775))</f>
        <v/>
      </c>
    </row>
    <row r="1776">
      <c r="A1776" s="15" t="n"/>
      <c r="B1776" s="10" t="n"/>
      <c r="C1776" s="10" t="n"/>
      <c r="D1776" s="10" t="n"/>
      <c r="E1776" s="14">
        <f>IF(D1776="","",IFERROR(INDEX('Sản phẩm'!$B$5:$B$304,MATCH(D1776,'Sản phẩm'!$A$5:$A$304,0)),""))</f>
        <v/>
      </c>
      <c r="F1776" s="12" t="n"/>
      <c r="G1776" s="11" t="n"/>
      <c r="H1776" s="11" t="n"/>
      <c r="I1776" s="16">
        <f>IF(D1776="","",IF(G1776&lt;&gt;"",G1776,IFERROR(INDEX('Sản phẩm'!$E$5:$E$304,MATCH(D1776,'Sản phẩm'!$A$5:$A$304,0)),"")))</f>
        <v/>
      </c>
      <c r="J1776" s="16">
        <f>IF(OR(D1776="",F1776=""),"",F1776*I1776-N(H1776))</f>
        <v/>
      </c>
      <c r="K1776" s="16">
        <f>IF(OR(D1776="",F1776=""),"",F1776*IFERROR(INDEX('Sản phẩm'!$D$5:$D$304,MATCH(D1776,'Sản phẩm'!$A$5:$A$304,0)),""))</f>
        <v/>
      </c>
      <c r="L1776" s="16">
        <f>IF(J1776="","",J1776-K1776)</f>
        <v/>
      </c>
      <c r="M1776" s="14">
        <f>IF(A1776="","",MONTH(A1776))</f>
        <v/>
      </c>
      <c r="N1776" s="14">
        <f>IF(A1776="","",YEAR(A1776))</f>
        <v/>
      </c>
    </row>
    <row r="1777">
      <c r="A1777" s="15" t="n"/>
      <c r="B1777" s="10" t="n"/>
      <c r="C1777" s="10" t="n"/>
      <c r="D1777" s="10" t="n"/>
      <c r="E1777" s="14">
        <f>IF(D1777="","",IFERROR(INDEX('Sản phẩm'!$B$5:$B$304,MATCH(D1777,'Sản phẩm'!$A$5:$A$304,0)),""))</f>
        <v/>
      </c>
      <c r="F1777" s="12" t="n"/>
      <c r="G1777" s="11" t="n"/>
      <c r="H1777" s="11" t="n"/>
      <c r="I1777" s="16">
        <f>IF(D1777="","",IF(G1777&lt;&gt;"",G1777,IFERROR(INDEX('Sản phẩm'!$E$5:$E$304,MATCH(D1777,'Sản phẩm'!$A$5:$A$304,0)),"")))</f>
        <v/>
      </c>
      <c r="J1777" s="16">
        <f>IF(OR(D1777="",F1777=""),"",F1777*I1777-N(H1777))</f>
        <v/>
      </c>
      <c r="K1777" s="16">
        <f>IF(OR(D1777="",F1777=""),"",F1777*IFERROR(INDEX('Sản phẩm'!$D$5:$D$304,MATCH(D1777,'Sản phẩm'!$A$5:$A$304,0)),""))</f>
        <v/>
      </c>
      <c r="L1777" s="16">
        <f>IF(J1777="","",J1777-K1777)</f>
        <v/>
      </c>
      <c r="M1777" s="14">
        <f>IF(A1777="","",MONTH(A1777))</f>
        <v/>
      </c>
      <c r="N1777" s="14">
        <f>IF(A1777="","",YEAR(A1777))</f>
        <v/>
      </c>
    </row>
    <row r="1778">
      <c r="A1778" s="15" t="n"/>
      <c r="B1778" s="10" t="n"/>
      <c r="C1778" s="10" t="n"/>
      <c r="D1778" s="10" t="n"/>
      <c r="E1778" s="14">
        <f>IF(D1778="","",IFERROR(INDEX('Sản phẩm'!$B$5:$B$304,MATCH(D1778,'Sản phẩm'!$A$5:$A$304,0)),""))</f>
        <v/>
      </c>
      <c r="F1778" s="12" t="n"/>
      <c r="G1778" s="11" t="n"/>
      <c r="H1778" s="11" t="n"/>
      <c r="I1778" s="16">
        <f>IF(D1778="","",IF(G1778&lt;&gt;"",G1778,IFERROR(INDEX('Sản phẩm'!$E$5:$E$304,MATCH(D1778,'Sản phẩm'!$A$5:$A$304,0)),"")))</f>
        <v/>
      </c>
      <c r="J1778" s="16">
        <f>IF(OR(D1778="",F1778=""),"",F1778*I1778-N(H1778))</f>
        <v/>
      </c>
      <c r="K1778" s="16">
        <f>IF(OR(D1778="",F1778=""),"",F1778*IFERROR(INDEX('Sản phẩm'!$D$5:$D$304,MATCH(D1778,'Sản phẩm'!$A$5:$A$304,0)),""))</f>
        <v/>
      </c>
      <c r="L1778" s="16">
        <f>IF(J1778="","",J1778-K1778)</f>
        <v/>
      </c>
      <c r="M1778" s="14">
        <f>IF(A1778="","",MONTH(A1778))</f>
        <v/>
      </c>
      <c r="N1778" s="14">
        <f>IF(A1778="","",YEAR(A1778))</f>
        <v/>
      </c>
    </row>
    <row r="1779">
      <c r="A1779" s="15" t="n"/>
      <c r="B1779" s="10" t="n"/>
      <c r="C1779" s="10" t="n"/>
      <c r="D1779" s="10" t="n"/>
      <c r="E1779" s="14">
        <f>IF(D1779="","",IFERROR(INDEX('Sản phẩm'!$B$5:$B$304,MATCH(D1779,'Sản phẩm'!$A$5:$A$304,0)),""))</f>
        <v/>
      </c>
      <c r="F1779" s="12" t="n"/>
      <c r="G1779" s="11" t="n"/>
      <c r="H1779" s="11" t="n"/>
      <c r="I1779" s="16">
        <f>IF(D1779="","",IF(G1779&lt;&gt;"",G1779,IFERROR(INDEX('Sản phẩm'!$E$5:$E$304,MATCH(D1779,'Sản phẩm'!$A$5:$A$304,0)),"")))</f>
        <v/>
      </c>
      <c r="J1779" s="16">
        <f>IF(OR(D1779="",F1779=""),"",F1779*I1779-N(H1779))</f>
        <v/>
      </c>
      <c r="K1779" s="16">
        <f>IF(OR(D1779="",F1779=""),"",F1779*IFERROR(INDEX('Sản phẩm'!$D$5:$D$304,MATCH(D1779,'Sản phẩm'!$A$5:$A$304,0)),""))</f>
        <v/>
      </c>
      <c r="L1779" s="16">
        <f>IF(J1779="","",J1779-K1779)</f>
        <v/>
      </c>
      <c r="M1779" s="14">
        <f>IF(A1779="","",MONTH(A1779))</f>
        <v/>
      </c>
      <c r="N1779" s="14">
        <f>IF(A1779="","",YEAR(A1779))</f>
        <v/>
      </c>
    </row>
    <row r="1780">
      <c r="A1780" s="15" t="n"/>
      <c r="B1780" s="10" t="n"/>
      <c r="C1780" s="10" t="n"/>
      <c r="D1780" s="10" t="n"/>
      <c r="E1780" s="14">
        <f>IF(D1780="","",IFERROR(INDEX('Sản phẩm'!$B$5:$B$304,MATCH(D1780,'Sản phẩm'!$A$5:$A$304,0)),""))</f>
        <v/>
      </c>
      <c r="F1780" s="12" t="n"/>
      <c r="G1780" s="11" t="n"/>
      <c r="H1780" s="11" t="n"/>
      <c r="I1780" s="16">
        <f>IF(D1780="","",IF(G1780&lt;&gt;"",G1780,IFERROR(INDEX('Sản phẩm'!$E$5:$E$304,MATCH(D1780,'Sản phẩm'!$A$5:$A$304,0)),"")))</f>
        <v/>
      </c>
      <c r="J1780" s="16">
        <f>IF(OR(D1780="",F1780=""),"",F1780*I1780-N(H1780))</f>
        <v/>
      </c>
      <c r="K1780" s="16">
        <f>IF(OR(D1780="",F1780=""),"",F1780*IFERROR(INDEX('Sản phẩm'!$D$5:$D$304,MATCH(D1780,'Sản phẩm'!$A$5:$A$304,0)),""))</f>
        <v/>
      </c>
      <c r="L1780" s="16">
        <f>IF(J1780="","",J1780-K1780)</f>
        <v/>
      </c>
      <c r="M1780" s="14">
        <f>IF(A1780="","",MONTH(A1780))</f>
        <v/>
      </c>
      <c r="N1780" s="14">
        <f>IF(A1780="","",YEAR(A1780))</f>
        <v/>
      </c>
    </row>
    <row r="1781">
      <c r="A1781" s="15" t="n"/>
      <c r="B1781" s="10" t="n"/>
      <c r="C1781" s="10" t="n"/>
      <c r="D1781" s="10" t="n"/>
      <c r="E1781" s="14">
        <f>IF(D1781="","",IFERROR(INDEX('Sản phẩm'!$B$5:$B$304,MATCH(D1781,'Sản phẩm'!$A$5:$A$304,0)),""))</f>
        <v/>
      </c>
      <c r="F1781" s="12" t="n"/>
      <c r="G1781" s="11" t="n"/>
      <c r="H1781" s="11" t="n"/>
      <c r="I1781" s="16">
        <f>IF(D1781="","",IF(G1781&lt;&gt;"",G1781,IFERROR(INDEX('Sản phẩm'!$E$5:$E$304,MATCH(D1781,'Sản phẩm'!$A$5:$A$304,0)),"")))</f>
        <v/>
      </c>
      <c r="J1781" s="16">
        <f>IF(OR(D1781="",F1781=""),"",F1781*I1781-N(H1781))</f>
        <v/>
      </c>
      <c r="K1781" s="16">
        <f>IF(OR(D1781="",F1781=""),"",F1781*IFERROR(INDEX('Sản phẩm'!$D$5:$D$304,MATCH(D1781,'Sản phẩm'!$A$5:$A$304,0)),""))</f>
        <v/>
      </c>
      <c r="L1781" s="16">
        <f>IF(J1781="","",J1781-K1781)</f>
        <v/>
      </c>
      <c r="M1781" s="14">
        <f>IF(A1781="","",MONTH(A1781))</f>
        <v/>
      </c>
      <c r="N1781" s="14">
        <f>IF(A1781="","",YEAR(A1781))</f>
        <v/>
      </c>
    </row>
    <row r="1782">
      <c r="A1782" s="15" t="n"/>
      <c r="B1782" s="10" t="n"/>
      <c r="C1782" s="10" t="n"/>
      <c r="D1782" s="10" t="n"/>
      <c r="E1782" s="14">
        <f>IF(D1782="","",IFERROR(INDEX('Sản phẩm'!$B$5:$B$304,MATCH(D1782,'Sản phẩm'!$A$5:$A$304,0)),""))</f>
        <v/>
      </c>
      <c r="F1782" s="12" t="n"/>
      <c r="G1782" s="11" t="n"/>
      <c r="H1782" s="11" t="n"/>
      <c r="I1782" s="16">
        <f>IF(D1782="","",IF(G1782&lt;&gt;"",G1782,IFERROR(INDEX('Sản phẩm'!$E$5:$E$304,MATCH(D1782,'Sản phẩm'!$A$5:$A$304,0)),"")))</f>
        <v/>
      </c>
      <c r="J1782" s="16">
        <f>IF(OR(D1782="",F1782=""),"",F1782*I1782-N(H1782))</f>
        <v/>
      </c>
      <c r="K1782" s="16">
        <f>IF(OR(D1782="",F1782=""),"",F1782*IFERROR(INDEX('Sản phẩm'!$D$5:$D$304,MATCH(D1782,'Sản phẩm'!$A$5:$A$304,0)),""))</f>
        <v/>
      </c>
      <c r="L1782" s="16">
        <f>IF(J1782="","",J1782-K1782)</f>
        <v/>
      </c>
      <c r="M1782" s="14">
        <f>IF(A1782="","",MONTH(A1782))</f>
        <v/>
      </c>
      <c r="N1782" s="14">
        <f>IF(A1782="","",YEAR(A1782))</f>
        <v/>
      </c>
    </row>
    <row r="1783">
      <c r="A1783" s="15" t="n"/>
      <c r="B1783" s="10" t="n"/>
      <c r="C1783" s="10" t="n"/>
      <c r="D1783" s="10" t="n"/>
      <c r="E1783" s="14">
        <f>IF(D1783="","",IFERROR(INDEX('Sản phẩm'!$B$5:$B$304,MATCH(D1783,'Sản phẩm'!$A$5:$A$304,0)),""))</f>
        <v/>
      </c>
      <c r="F1783" s="12" t="n"/>
      <c r="G1783" s="11" t="n"/>
      <c r="H1783" s="11" t="n"/>
      <c r="I1783" s="16">
        <f>IF(D1783="","",IF(G1783&lt;&gt;"",G1783,IFERROR(INDEX('Sản phẩm'!$E$5:$E$304,MATCH(D1783,'Sản phẩm'!$A$5:$A$304,0)),"")))</f>
        <v/>
      </c>
      <c r="J1783" s="16">
        <f>IF(OR(D1783="",F1783=""),"",F1783*I1783-N(H1783))</f>
        <v/>
      </c>
      <c r="K1783" s="16">
        <f>IF(OR(D1783="",F1783=""),"",F1783*IFERROR(INDEX('Sản phẩm'!$D$5:$D$304,MATCH(D1783,'Sản phẩm'!$A$5:$A$304,0)),""))</f>
        <v/>
      </c>
      <c r="L1783" s="16">
        <f>IF(J1783="","",J1783-K1783)</f>
        <v/>
      </c>
      <c r="M1783" s="14">
        <f>IF(A1783="","",MONTH(A1783))</f>
        <v/>
      </c>
      <c r="N1783" s="14">
        <f>IF(A1783="","",YEAR(A1783))</f>
        <v/>
      </c>
    </row>
    <row r="1784">
      <c r="A1784" s="15" t="n"/>
      <c r="B1784" s="10" t="n"/>
      <c r="C1784" s="10" t="n"/>
      <c r="D1784" s="10" t="n"/>
      <c r="E1784" s="14">
        <f>IF(D1784="","",IFERROR(INDEX('Sản phẩm'!$B$5:$B$304,MATCH(D1784,'Sản phẩm'!$A$5:$A$304,0)),""))</f>
        <v/>
      </c>
      <c r="F1784" s="12" t="n"/>
      <c r="G1784" s="11" t="n"/>
      <c r="H1784" s="11" t="n"/>
      <c r="I1784" s="16">
        <f>IF(D1784="","",IF(G1784&lt;&gt;"",G1784,IFERROR(INDEX('Sản phẩm'!$E$5:$E$304,MATCH(D1784,'Sản phẩm'!$A$5:$A$304,0)),"")))</f>
        <v/>
      </c>
      <c r="J1784" s="16">
        <f>IF(OR(D1784="",F1784=""),"",F1784*I1784-N(H1784))</f>
        <v/>
      </c>
      <c r="K1784" s="16">
        <f>IF(OR(D1784="",F1784=""),"",F1784*IFERROR(INDEX('Sản phẩm'!$D$5:$D$304,MATCH(D1784,'Sản phẩm'!$A$5:$A$304,0)),""))</f>
        <v/>
      </c>
      <c r="L1784" s="16">
        <f>IF(J1784="","",J1784-K1784)</f>
        <v/>
      </c>
      <c r="M1784" s="14">
        <f>IF(A1784="","",MONTH(A1784))</f>
        <v/>
      </c>
      <c r="N1784" s="14">
        <f>IF(A1784="","",YEAR(A1784))</f>
        <v/>
      </c>
    </row>
    <row r="1785">
      <c r="A1785" s="15" t="n"/>
      <c r="B1785" s="10" t="n"/>
      <c r="C1785" s="10" t="n"/>
      <c r="D1785" s="10" t="n"/>
      <c r="E1785" s="14">
        <f>IF(D1785="","",IFERROR(INDEX('Sản phẩm'!$B$5:$B$304,MATCH(D1785,'Sản phẩm'!$A$5:$A$304,0)),""))</f>
        <v/>
      </c>
      <c r="F1785" s="12" t="n"/>
      <c r="G1785" s="11" t="n"/>
      <c r="H1785" s="11" t="n"/>
      <c r="I1785" s="16">
        <f>IF(D1785="","",IF(G1785&lt;&gt;"",G1785,IFERROR(INDEX('Sản phẩm'!$E$5:$E$304,MATCH(D1785,'Sản phẩm'!$A$5:$A$304,0)),"")))</f>
        <v/>
      </c>
      <c r="J1785" s="16">
        <f>IF(OR(D1785="",F1785=""),"",F1785*I1785-N(H1785))</f>
        <v/>
      </c>
      <c r="K1785" s="16">
        <f>IF(OR(D1785="",F1785=""),"",F1785*IFERROR(INDEX('Sản phẩm'!$D$5:$D$304,MATCH(D1785,'Sản phẩm'!$A$5:$A$304,0)),""))</f>
        <v/>
      </c>
      <c r="L1785" s="16">
        <f>IF(J1785="","",J1785-K1785)</f>
        <v/>
      </c>
      <c r="M1785" s="14">
        <f>IF(A1785="","",MONTH(A1785))</f>
        <v/>
      </c>
      <c r="N1785" s="14">
        <f>IF(A1785="","",YEAR(A1785))</f>
        <v/>
      </c>
    </row>
    <row r="1786">
      <c r="A1786" s="15" t="n"/>
      <c r="B1786" s="10" t="n"/>
      <c r="C1786" s="10" t="n"/>
      <c r="D1786" s="10" t="n"/>
      <c r="E1786" s="14">
        <f>IF(D1786="","",IFERROR(INDEX('Sản phẩm'!$B$5:$B$304,MATCH(D1786,'Sản phẩm'!$A$5:$A$304,0)),""))</f>
        <v/>
      </c>
      <c r="F1786" s="12" t="n"/>
      <c r="G1786" s="11" t="n"/>
      <c r="H1786" s="11" t="n"/>
      <c r="I1786" s="16">
        <f>IF(D1786="","",IF(G1786&lt;&gt;"",G1786,IFERROR(INDEX('Sản phẩm'!$E$5:$E$304,MATCH(D1786,'Sản phẩm'!$A$5:$A$304,0)),"")))</f>
        <v/>
      </c>
      <c r="J1786" s="16">
        <f>IF(OR(D1786="",F1786=""),"",F1786*I1786-N(H1786))</f>
        <v/>
      </c>
      <c r="K1786" s="16">
        <f>IF(OR(D1786="",F1786=""),"",F1786*IFERROR(INDEX('Sản phẩm'!$D$5:$D$304,MATCH(D1786,'Sản phẩm'!$A$5:$A$304,0)),""))</f>
        <v/>
      </c>
      <c r="L1786" s="16">
        <f>IF(J1786="","",J1786-K1786)</f>
        <v/>
      </c>
      <c r="M1786" s="14">
        <f>IF(A1786="","",MONTH(A1786))</f>
        <v/>
      </c>
      <c r="N1786" s="14">
        <f>IF(A1786="","",YEAR(A1786))</f>
        <v/>
      </c>
    </row>
    <row r="1787">
      <c r="A1787" s="15" t="n"/>
      <c r="B1787" s="10" t="n"/>
      <c r="C1787" s="10" t="n"/>
      <c r="D1787" s="10" t="n"/>
      <c r="E1787" s="14">
        <f>IF(D1787="","",IFERROR(INDEX('Sản phẩm'!$B$5:$B$304,MATCH(D1787,'Sản phẩm'!$A$5:$A$304,0)),""))</f>
        <v/>
      </c>
      <c r="F1787" s="12" t="n"/>
      <c r="G1787" s="11" t="n"/>
      <c r="H1787" s="11" t="n"/>
      <c r="I1787" s="16">
        <f>IF(D1787="","",IF(G1787&lt;&gt;"",G1787,IFERROR(INDEX('Sản phẩm'!$E$5:$E$304,MATCH(D1787,'Sản phẩm'!$A$5:$A$304,0)),"")))</f>
        <v/>
      </c>
      <c r="J1787" s="16">
        <f>IF(OR(D1787="",F1787=""),"",F1787*I1787-N(H1787))</f>
        <v/>
      </c>
      <c r="K1787" s="16">
        <f>IF(OR(D1787="",F1787=""),"",F1787*IFERROR(INDEX('Sản phẩm'!$D$5:$D$304,MATCH(D1787,'Sản phẩm'!$A$5:$A$304,0)),""))</f>
        <v/>
      </c>
      <c r="L1787" s="16">
        <f>IF(J1787="","",J1787-K1787)</f>
        <v/>
      </c>
      <c r="M1787" s="14">
        <f>IF(A1787="","",MONTH(A1787))</f>
        <v/>
      </c>
      <c r="N1787" s="14">
        <f>IF(A1787="","",YEAR(A1787))</f>
        <v/>
      </c>
    </row>
    <row r="1788">
      <c r="A1788" s="15" t="n"/>
      <c r="B1788" s="10" t="n"/>
      <c r="C1788" s="10" t="n"/>
      <c r="D1788" s="10" t="n"/>
      <c r="E1788" s="14">
        <f>IF(D1788="","",IFERROR(INDEX('Sản phẩm'!$B$5:$B$304,MATCH(D1788,'Sản phẩm'!$A$5:$A$304,0)),""))</f>
        <v/>
      </c>
      <c r="F1788" s="12" t="n"/>
      <c r="G1788" s="11" t="n"/>
      <c r="H1788" s="11" t="n"/>
      <c r="I1788" s="16">
        <f>IF(D1788="","",IF(G1788&lt;&gt;"",G1788,IFERROR(INDEX('Sản phẩm'!$E$5:$E$304,MATCH(D1788,'Sản phẩm'!$A$5:$A$304,0)),"")))</f>
        <v/>
      </c>
      <c r="J1788" s="16">
        <f>IF(OR(D1788="",F1788=""),"",F1788*I1788-N(H1788))</f>
        <v/>
      </c>
      <c r="K1788" s="16">
        <f>IF(OR(D1788="",F1788=""),"",F1788*IFERROR(INDEX('Sản phẩm'!$D$5:$D$304,MATCH(D1788,'Sản phẩm'!$A$5:$A$304,0)),""))</f>
        <v/>
      </c>
      <c r="L1788" s="16">
        <f>IF(J1788="","",J1788-K1788)</f>
        <v/>
      </c>
      <c r="M1788" s="14">
        <f>IF(A1788="","",MONTH(A1788))</f>
        <v/>
      </c>
      <c r="N1788" s="14">
        <f>IF(A1788="","",YEAR(A1788))</f>
        <v/>
      </c>
    </row>
    <row r="1789">
      <c r="A1789" s="15" t="n"/>
      <c r="B1789" s="10" t="n"/>
      <c r="C1789" s="10" t="n"/>
      <c r="D1789" s="10" t="n"/>
      <c r="E1789" s="14">
        <f>IF(D1789="","",IFERROR(INDEX('Sản phẩm'!$B$5:$B$304,MATCH(D1789,'Sản phẩm'!$A$5:$A$304,0)),""))</f>
        <v/>
      </c>
      <c r="F1789" s="12" t="n"/>
      <c r="G1789" s="11" t="n"/>
      <c r="H1789" s="11" t="n"/>
      <c r="I1789" s="16">
        <f>IF(D1789="","",IF(G1789&lt;&gt;"",G1789,IFERROR(INDEX('Sản phẩm'!$E$5:$E$304,MATCH(D1789,'Sản phẩm'!$A$5:$A$304,0)),"")))</f>
        <v/>
      </c>
      <c r="J1789" s="16">
        <f>IF(OR(D1789="",F1789=""),"",F1789*I1789-N(H1789))</f>
        <v/>
      </c>
      <c r="K1789" s="16">
        <f>IF(OR(D1789="",F1789=""),"",F1789*IFERROR(INDEX('Sản phẩm'!$D$5:$D$304,MATCH(D1789,'Sản phẩm'!$A$5:$A$304,0)),""))</f>
        <v/>
      </c>
      <c r="L1789" s="16">
        <f>IF(J1789="","",J1789-K1789)</f>
        <v/>
      </c>
      <c r="M1789" s="14">
        <f>IF(A1789="","",MONTH(A1789))</f>
        <v/>
      </c>
      <c r="N1789" s="14">
        <f>IF(A1789="","",YEAR(A1789))</f>
        <v/>
      </c>
    </row>
    <row r="1790">
      <c r="A1790" s="15" t="n"/>
      <c r="B1790" s="10" t="n"/>
      <c r="C1790" s="10" t="n"/>
      <c r="D1790" s="10" t="n"/>
      <c r="E1790" s="14">
        <f>IF(D1790="","",IFERROR(INDEX('Sản phẩm'!$B$5:$B$304,MATCH(D1790,'Sản phẩm'!$A$5:$A$304,0)),""))</f>
        <v/>
      </c>
      <c r="F1790" s="12" t="n"/>
      <c r="G1790" s="11" t="n"/>
      <c r="H1790" s="11" t="n"/>
      <c r="I1790" s="16">
        <f>IF(D1790="","",IF(G1790&lt;&gt;"",G1790,IFERROR(INDEX('Sản phẩm'!$E$5:$E$304,MATCH(D1790,'Sản phẩm'!$A$5:$A$304,0)),"")))</f>
        <v/>
      </c>
      <c r="J1790" s="16">
        <f>IF(OR(D1790="",F1790=""),"",F1790*I1790-N(H1790))</f>
        <v/>
      </c>
      <c r="K1790" s="16">
        <f>IF(OR(D1790="",F1790=""),"",F1790*IFERROR(INDEX('Sản phẩm'!$D$5:$D$304,MATCH(D1790,'Sản phẩm'!$A$5:$A$304,0)),""))</f>
        <v/>
      </c>
      <c r="L1790" s="16">
        <f>IF(J1790="","",J1790-K1790)</f>
        <v/>
      </c>
      <c r="M1790" s="14">
        <f>IF(A1790="","",MONTH(A1790))</f>
        <v/>
      </c>
      <c r="N1790" s="14">
        <f>IF(A1790="","",YEAR(A1790))</f>
        <v/>
      </c>
    </row>
    <row r="1791">
      <c r="A1791" s="15" t="n"/>
      <c r="B1791" s="10" t="n"/>
      <c r="C1791" s="10" t="n"/>
      <c r="D1791" s="10" t="n"/>
      <c r="E1791" s="14">
        <f>IF(D1791="","",IFERROR(INDEX('Sản phẩm'!$B$5:$B$304,MATCH(D1791,'Sản phẩm'!$A$5:$A$304,0)),""))</f>
        <v/>
      </c>
      <c r="F1791" s="12" t="n"/>
      <c r="G1791" s="11" t="n"/>
      <c r="H1791" s="11" t="n"/>
      <c r="I1791" s="16">
        <f>IF(D1791="","",IF(G1791&lt;&gt;"",G1791,IFERROR(INDEX('Sản phẩm'!$E$5:$E$304,MATCH(D1791,'Sản phẩm'!$A$5:$A$304,0)),"")))</f>
        <v/>
      </c>
      <c r="J1791" s="16">
        <f>IF(OR(D1791="",F1791=""),"",F1791*I1791-N(H1791))</f>
        <v/>
      </c>
      <c r="K1791" s="16">
        <f>IF(OR(D1791="",F1791=""),"",F1791*IFERROR(INDEX('Sản phẩm'!$D$5:$D$304,MATCH(D1791,'Sản phẩm'!$A$5:$A$304,0)),""))</f>
        <v/>
      </c>
      <c r="L1791" s="16">
        <f>IF(J1791="","",J1791-K1791)</f>
        <v/>
      </c>
      <c r="M1791" s="14">
        <f>IF(A1791="","",MONTH(A1791))</f>
        <v/>
      </c>
      <c r="N1791" s="14">
        <f>IF(A1791="","",YEAR(A1791))</f>
        <v/>
      </c>
    </row>
    <row r="1792">
      <c r="A1792" s="15" t="n"/>
      <c r="B1792" s="10" t="n"/>
      <c r="C1792" s="10" t="n"/>
      <c r="D1792" s="10" t="n"/>
      <c r="E1792" s="14">
        <f>IF(D1792="","",IFERROR(INDEX('Sản phẩm'!$B$5:$B$304,MATCH(D1792,'Sản phẩm'!$A$5:$A$304,0)),""))</f>
        <v/>
      </c>
      <c r="F1792" s="12" t="n"/>
      <c r="G1792" s="11" t="n"/>
      <c r="H1792" s="11" t="n"/>
      <c r="I1792" s="16">
        <f>IF(D1792="","",IF(G1792&lt;&gt;"",G1792,IFERROR(INDEX('Sản phẩm'!$E$5:$E$304,MATCH(D1792,'Sản phẩm'!$A$5:$A$304,0)),"")))</f>
        <v/>
      </c>
      <c r="J1792" s="16">
        <f>IF(OR(D1792="",F1792=""),"",F1792*I1792-N(H1792))</f>
        <v/>
      </c>
      <c r="K1792" s="16">
        <f>IF(OR(D1792="",F1792=""),"",F1792*IFERROR(INDEX('Sản phẩm'!$D$5:$D$304,MATCH(D1792,'Sản phẩm'!$A$5:$A$304,0)),""))</f>
        <v/>
      </c>
      <c r="L1792" s="16">
        <f>IF(J1792="","",J1792-K1792)</f>
        <v/>
      </c>
      <c r="M1792" s="14">
        <f>IF(A1792="","",MONTH(A1792))</f>
        <v/>
      </c>
      <c r="N1792" s="14">
        <f>IF(A1792="","",YEAR(A1792))</f>
        <v/>
      </c>
    </row>
    <row r="1793">
      <c r="A1793" s="15" t="n"/>
      <c r="B1793" s="10" t="n"/>
      <c r="C1793" s="10" t="n"/>
      <c r="D1793" s="10" t="n"/>
      <c r="E1793" s="14">
        <f>IF(D1793="","",IFERROR(INDEX('Sản phẩm'!$B$5:$B$304,MATCH(D1793,'Sản phẩm'!$A$5:$A$304,0)),""))</f>
        <v/>
      </c>
      <c r="F1793" s="12" t="n"/>
      <c r="G1793" s="11" t="n"/>
      <c r="H1793" s="11" t="n"/>
      <c r="I1793" s="16">
        <f>IF(D1793="","",IF(G1793&lt;&gt;"",G1793,IFERROR(INDEX('Sản phẩm'!$E$5:$E$304,MATCH(D1793,'Sản phẩm'!$A$5:$A$304,0)),"")))</f>
        <v/>
      </c>
      <c r="J1793" s="16">
        <f>IF(OR(D1793="",F1793=""),"",F1793*I1793-N(H1793))</f>
        <v/>
      </c>
      <c r="K1793" s="16">
        <f>IF(OR(D1793="",F1793=""),"",F1793*IFERROR(INDEX('Sản phẩm'!$D$5:$D$304,MATCH(D1793,'Sản phẩm'!$A$5:$A$304,0)),""))</f>
        <v/>
      </c>
      <c r="L1793" s="16">
        <f>IF(J1793="","",J1793-K1793)</f>
        <v/>
      </c>
      <c r="M1793" s="14">
        <f>IF(A1793="","",MONTH(A1793))</f>
        <v/>
      </c>
      <c r="N1793" s="14">
        <f>IF(A1793="","",YEAR(A1793))</f>
        <v/>
      </c>
    </row>
    <row r="1794">
      <c r="A1794" s="15" t="n"/>
      <c r="B1794" s="10" t="n"/>
      <c r="C1794" s="10" t="n"/>
      <c r="D1794" s="10" t="n"/>
      <c r="E1794" s="14">
        <f>IF(D1794="","",IFERROR(INDEX('Sản phẩm'!$B$5:$B$304,MATCH(D1794,'Sản phẩm'!$A$5:$A$304,0)),""))</f>
        <v/>
      </c>
      <c r="F1794" s="12" t="n"/>
      <c r="G1794" s="11" t="n"/>
      <c r="H1794" s="11" t="n"/>
      <c r="I1794" s="16">
        <f>IF(D1794="","",IF(G1794&lt;&gt;"",G1794,IFERROR(INDEX('Sản phẩm'!$E$5:$E$304,MATCH(D1794,'Sản phẩm'!$A$5:$A$304,0)),"")))</f>
        <v/>
      </c>
      <c r="J1794" s="16">
        <f>IF(OR(D1794="",F1794=""),"",F1794*I1794-N(H1794))</f>
        <v/>
      </c>
      <c r="K1794" s="16">
        <f>IF(OR(D1794="",F1794=""),"",F1794*IFERROR(INDEX('Sản phẩm'!$D$5:$D$304,MATCH(D1794,'Sản phẩm'!$A$5:$A$304,0)),""))</f>
        <v/>
      </c>
      <c r="L1794" s="16">
        <f>IF(J1794="","",J1794-K1794)</f>
        <v/>
      </c>
      <c r="M1794" s="14">
        <f>IF(A1794="","",MONTH(A1794))</f>
        <v/>
      </c>
      <c r="N1794" s="14">
        <f>IF(A1794="","",YEAR(A1794))</f>
        <v/>
      </c>
    </row>
    <row r="1795">
      <c r="A1795" s="15" t="n"/>
      <c r="B1795" s="10" t="n"/>
      <c r="C1795" s="10" t="n"/>
      <c r="D1795" s="10" t="n"/>
      <c r="E1795" s="14">
        <f>IF(D1795="","",IFERROR(INDEX('Sản phẩm'!$B$5:$B$304,MATCH(D1795,'Sản phẩm'!$A$5:$A$304,0)),""))</f>
        <v/>
      </c>
      <c r="F1795" s="12" t="n"/>
      <c r="G1795" s="11" t="n"/>
      <c r="H1795" s="11" t="n"/>
      <c r="I1795" s="16">
        <f>IF(D1795="","",IF(G1795&lt;&gt;"",G1795,IFERROR(INDEX('Sản phẩm'!$E$5:$E$304,MATCH(D1795,'Sản phẩm'!$A$5:$A$304,0)),"")))</f>
        <v/>
      </c>
      <c r="J1795" s="16">
        <f>IF(OR(D1795="",F1795=""),"",F1795*I1795-N(H1795))</f>
        <v/>
      </c>
      <c r="K1795" s="16">
        <f>IF(OR(D1795="",F1795=""),"",F1795*IFERROR(INDEX('Sản phẩm'!$D$5:$D$304,MATCH(D1795,'Sản phẩm'!$A$5:$A$304,0)),""))</f>
        <v/>
      </c>
      <c r="L1795" s="16">
        <f>IF(J1795="","",J1795-K1795)</f>
        <v/>
      </c>
      <c r="M1795" s="14">
        <f>IF(A1795="","",MONTH(A1795))</f>
        <v/>
      </c>
      <c r="N1795" s="14">
        <f>IF(A1795="","",YEAR(A1795))</f>
        <v/>
      </c>
    </row>
    <row r="1796">
      <c r="A1796" s="15" t="n"/>
      <c r="B1796" s="10" t="n"/>
      <c r="C1796" s="10" t="n"/>
      <c r="D1796" s="10" t="n"/>
      <c r="E1796" s="14">
        <f>IF(D1796="","",IFERROR(INDEX('Sản phẩm'!$B$5:$B$304,MATCH(D1796,'Sản phẩm'!$A$5:$A$304,0)),""))</f>
        <v/>
      </c>
      <c r="F1796" s="12" t="n"/>
      <c r="G1796" s="11" t="n"/>
      <c r="H1796" s="11" t="n"/>
      <c r="I1796" s="16">
        <f>IF(D1796="","",IF(G1796&lt;&gt;"",G1796,IFERROR(INDEX('Sản phẩm'!$E$5:$E$304,MATCH(D1796,'Sản phẩm'!$A$5:$A$304,0)),"")))</f>
        <v/>
      </c>
      <c r="J1796" s="16">
        <f>IF(OR(D1796="",F1796=""),"",F1796*I1796-N(H1796))</f>
        <v/>
      </c>
      <c r="K1796" s="16">
        <f>IF(OR(D1796="",F1796=""),"",F1796*IFERROR(INDEX('Sản phẩm'!$D$5:$D$304,MATCH(D1796,'Sản phẩm'!$A$5:$A$304,0)),""))</f>
        <v/>
      </c>
      <c r="L1796" s="16">
        <f>IF(J1796="","",J1796-K1796)</f>
        <v/>
      </c>
      <c r="M1796" s="14">
        <f>IF(A1796="","",MONTH(A1796))</f>
        <v/>
      </c>
      <c r="N1796" s="14">
        <f>IF(A1796="","",YEAR(A1796))</f>
        <v/>
      </c>
    </row>
    <row r="1797">
      <c r="A1797" s="15" t="n"/>
      <c r="B1797" s="10" t="n"/>
      <c r="C1797" s="10" t="n"/>
      <c r="D1797" s="10" t="n"/>
      <c r="E1797" s="14">
        <f>IF(D1797="","",IFERROR(INDEX('Sản phẩm'!$B$5:$B$304,MATCH(D1797,'Sản phẩm'!$A$5:$A$304,0)),""))</f>
        <v/>
      </c>
      <c r="F1797" s="12" t="n"/>
      <c r="G1797" s="11" t="n"/>
      <c r="H1797" s="11" t="n"/>
      <c r="I1797" s="16">
        <f>IF(D1797="","",IF(G1797&lt;&gt;"",G1797,IFERROR(INDEX('Sản phẩm'!$E$5:$E$304,MATCH(D1797,'Sản phẩm'!$A$5:$A$304,0)),"")))</f>
        <v/>
      </c>
      <c r="J1797" s="16">
        <f>IF(OR(D1797="",F1797=""),"",F1797*I1797-N(H1797))</f>
        <v/>
      </c>
      <c r="K1797" s="16">
        <f>IF(OR(D1797="",F1797=""),"",F1797*IFERROR(INDEX('Sản phẩm'!$D$5:$D$304,MATCH(D1797,'Sản phẩm'!$A$5:$A$304,0)),""))</f>
        <v/>
      </c>
      <c r="L1797" s="16">
        <f>IF(J1797="","",J1797-K1797)</f>
        <v/>
      </c>
      <c r="M1797" s="14">
        <f>IF(A1797="","",MONTH(A1797))</f>
        <v/>
      </c>
      <c r="N1797" s="14">
        <f>IF(A1797="","",YEAR(A1797))</f>
        <v/>
      </c>
    </row>
    <row r="1798">
      <c r="A1798" s="15" t="n"/>
      <c r="B1798" s="10" t="n"/>
      <c r="C1798" s="10" t="n"/>
      <c r="D1798" s="10" t="n"/>
      <c r="E1798" s="14">
        <f>IF(D1798="","",IFERROR(INDEX('Sản phẩm'!$B$5:$B$304,MATCH(D1798,'Sản phẩm'!$A$5:$A$304,0)),""))</f>
        <v/>
      </c>
      <c r="F1798" s="12" t="n"/>
      <c r="G1798" s="11" t="n"/>
      <c r="H1798" s="11" t="n"/>
      <c r="I1798" s="16">
        <f>IF(D1798="","",IF(G1798&lt;&gt;"",G1798,IFERROR(INDEX('Sản phẩm'!$E$5:$E$304,MATCH(D1798,'Sản phẩm'!$A$5:$A$304,0)),"")))</f>
        <v/>
      </c>
      <c r="J1798" s="16">
        <f>IF(OR(D1798="",F1798=""),"",F1798*I1798-N(H1798))</f>
        <v/>
      </c>
      <c r="K1798" s="16">
        <f>IF(OR(D1798="",F1798=""),"",F1798*IFERROR(INDEX('Sản phẩm'!$D$5:$D$304,MATCH(D1798,'Sản phẩm'!$A$5:$A$304,0)),""))</f>
        <v/>
      </c>
      <c r="L1798" s="16">
        <f>IF(J1798="","",J1798-K1798)</f>
        <v/>
      </c>
      <c r="M1798" s="14">
        <f>IF(A1798="","",MONTH(A1798))</f>
        <v/>
      </c>
      <c r="N1798" s="14">
        <f>IF(A1798="","",YEAR(A1798))</f>
        <v/>
      </c>
    </row>
    <row r="1799">
      <c r="A1799" s="15" t="n"/>
      <c r="B1799" s="10" t="n"/>
      <c r="C1799" s="10" t="n"/>
      <c r="D1799" s="10" t="n"/>
      <c r="E1799" s="14">
        <f>IF(D1799="","",IFERROR(INDEX('Sản phẩm'!$B$5:$B$304,MATCH(D1799,'Sản phẩm'!$A$5:$A$304,0)),""))</f>
        <v/>
      </c>
      <c r="F1799" s="12" t="n"/>
      <c r="G1799" s="11" t="n"/>
      <c r="H1799" s="11" t="n"/>
      <c r="I1799" s="16">
        <f>IF(D1799="","",IF(G1799&lt;&gt;"",G1799,IFERROR(INDEX('Sản phẩm'!$E$5:$E$304,MATCH(D1799,'Sản phẩm'!$A$5:$A$304,0)),"")))</f>
        <v/>
      </c>
      <c r="J1799" s="16">
        <f>IF(OR(D1799="",F1799=""),"",F1799*I1799-N(H1799))</f>
        <v/>
      </c>
      <c r="K1799" s="16">
        <f>IF(OR(D1799="",F1799=""),"",F1799*IFERROR(INDEX('Sản phẩm'!$D$5:$D$304,MATCH(D1799,'Sản phẩm'!$A$5:$A$304,0)),""))</f>
        <v/>
      </c>
      <c r="L1799" s="16">
        <f>IF(J1799="","",J1799-K1799)</f>
        <v/>
      </c>
      <c r="M1799" s="14">
        <f>IF(A1799="","",MONTH(A1799))</f>
        <v/>
      </c>
      <c r="N1799" s="14">
        <f>IF(A1799="","",YEAR(A1799))</f>
        <v/>
      </c>
    </row>
    <row r="1800">
      <c r="A1800" s="15" t="n"/>
      <c r="B1800" s="10" t="n"/>
      <c r="C1800" s="10" t="n"/>
      <c r="D1800" s="10" t="n"/>
      <c r="E1800" s="14">
        <f>IF(D1800="","",IFERROR(INDEX('Sản phẩm'!$B$5:$B$304,MATCH(D1800,'Sản phẩm'!$A$5:$A$304,0)),""))</f>
        <v/>
      </c>
      <c r="F1800" s="12" t="n"/>
      <c r="G1800" s="11" t="n"/>
      <c r="H1800" s="11" t="n"/>
      <c r="I1800" s="16">
        <f>IF(D1800="","",IF(G1800&lt;&gt;"",G1800,IFERROR(INDEX('Sản phẩm'!$E$5:$E$304,MATCH(D1800,'Sản phẩm'!$A$5:$A$304,0)),"")))</f>
        <v/>
      </c>
      <c r="J1800" s="16">
        <f>IF(OR(D1800="",F1800=""),"",F1800*I1800-N(H1800))</f>
        <v/>
      </c>
      <c r="K1800" s="16">
        <f>IF(OR(D1800="",F1800=""),"",F1800*IFERROR(INDEX('Sản phẩm'!$D$5:$D$304,MATCH(D1800,'Sản phẩm'!$A$5:$A$304,0)),""))</f>
        <v/>
      </c>
      <c r="L1800" s="16">
        <f>IF(J1800="","",J1800-K1800)</f>
        <v/>
      </c>
      <c r="M1800" s="14">
        <f>IF(A1800="","",MONTH(A1800))</f>
        <v/>
      </c>
      <c r="N1800" s="14">
        <f>IF(A1800="","",YEAR(A1800))</f>
        <v/>
      </c>
    </row>
    <row r="1801">
      <c r="A1801" s="15" t="n"/>
      <c r="B1801" s="10" t="n"/>
      <c r="C1801" s="10" t="n"/>
      <c r="D1801" s="10" t="n"/>
      <c r="E1801" s="14">
        <f>IF(D1801="","",IFERROR(INDEX('Sản phẩm'!$B$5:$B$304,MATCH(D1801,'Sản phẩm'!$A$5:$A$304,0)),""))</f>
        <v/>
      </c>
      <c r="F1801" s="12" t="n"/>
      <c r="G1801" s="11" t="n"/>
      <c r="H1801" s="11" t="n"/>
      <c r="I1801" s="16">
        <f>IF(D1801="","",IF(G1801&lt;&gt;"",G1801,IFERROR(INDEX('Sản phẩm'!$E$5:$E$304,MATCH(D1801,'Sản phẩm'!$A$5:$A$304,0)),"")))</f>
        <v/>
      </c>
      <c r="J1801" s="16">
        <f>IF(OR(D1801="",F1801=""),"",F1801*I1801-N(H1801))</f>
        <v/>
      </c>
      <c r="K1801" s="16">
        <f>IF(OR(D1801="",F1801=""),"",F1801*IFERROR(INDEX('Sản phẩm'!$D$5:$D$304,MATCH(D1801,'Sản phẩm'!$A$5:$A$304,0)),""))</f>
        <v/>
      </c>
      <c r="L1801" s="16">
        <f>IF(J1801="","",J1801-K1801)</f>
        <v/>
      </c>
      <c r="M1801" s="14">
        <f>IF(A1801="","",MONTH(A1801))</f>
        <v/>
      </c>
      <c r="N1801" s="14">
        <f>IF(A1801="","",YEAR(A1801))</f>
        <v/>
      </c>
    </row>
    <row r="1802">
      <c r="A1802" s="15" t="n"/>
      <c r="B1802" s="10" t="n"/>
      <c r="C1802" s="10" t="n"/>
      <c r="D1802" s="10" t="n"/>
      <c r="E1802" s="14">
        <f>IF(D1802="","",IFERROR(INDEX('Sản phẩm'!$B$5:$B$304,MATCH(D1802,'Sản phẩm'!$A$5:$A$304,0)),""))</f>
        <v/>
      </c>
      <c r="F1802" s="12" t="n"/>
      <c r="G1802" s="11" t="n"/>
      <c r="H1802" s="11" t="n"/>
      <c r="I1802" s="16">
        <f>IF(D1802="","",IF(G1802&lt;&gt;"",G1802,IFERROR(INDEX('Sản phẩm'!$E$5:$E$304,MATCH(D1802,'Sản phẩm'!$A$5:$A$304,0)),"")))</f>
        <v/>
      </c>
      <c r="J1802" s="16">
        <f>IF(OR(D1802="",F1802=""),"",F1802*I1802-N(H1802))</f>
        <v/>
      </c>
      <c r="K1802" s="16">
        <f>IF(OR(D1802="",F1802=""),"",F1802*IFERROR(INDEX('Sản phẩm'!$D$5:$D$304,MATCH(D1802,'Sản phẩm'!$A$5:$A$304,0)),""))</f>
        <v/>
      </c>
      <c r="L1802" s="16">
        <f>IF(J1802="","",J1802-K1802)</f>
        <v/>
      </c>
      <c r="M1802" s="14">
        <f>IF(A1802="","",MONTH(A1802))</f>
        <v/>
      </c>
      <c r="N1802" s="14">
        <f>IF(A1802="","",YEAR(A1802))</f>
        <v/>
      </c>
    </row>
    <row r="1803">
      <c r="A1803" s="15" t="n"/>
      <c r="B1803" s="10" t="n"/>
      <c r="C1803" s="10" t="n"/>
      <c r="D1803" s="10" t="n"/>
      <c r="E1803" s="14">
        <f>IF(D1803="","",IFERROR(INDEX('Sản phẩm'!$B$5:$B$304,MATCH(D1803,'Sản phẩm'!$A$5:$A$304,0)),""))</f>
        <v/>
      </c>
      <c r="F1803" s="12" t="n"/>
      <c r="G1803" s="11" t="n"/>
      <c r="H1803" s="11" t="n"/>
      <c r="I1803" s="16">
        <f>IF(D1803="","",IF(G1803&lt;&gt;"",G1803,IFERROR(INDEX('Sản phẩm'!$E$5:$E$304,MATCH(D1803,'Sản phẩm'!$A$5:$A$304,0)),"")))</f>
        <v/>
      </c>
      <c r="J1803" s="16">
        <f>IF(OR(D1803="",F1803=""),"",F1803*I1803-N(H1803))</f>
        <v/>
      </c>
      <c r="K1803" s="16">
        <f>IF(OR(D1803="",F1803=""),"",F1803*IFERROR(INDEX('Sản phẩm'!$D$5:$D$304,MATCH(D1803,'Sản phẩm'!$A$5:$A$304,0)),""))</f>
        <v/>
      </c>
      <c r="L1803" s="16">
        <f>IF(J1803="","",J1803-K1803)</f>
        <v/>
      </c>
      <c r="M1803" s="14">
        <f>IF(A1803="","",MONTH(A1803))</f>
        <v/>
      </c>
      <c r="N1803" s="14">
        <f>IF(A1803="","",YEAR(A1803))</f>
        <v/>
      </c>
    </row>
    <row r="1804">
      <c r="A1804" s="15" t="n"/>
      <c r="B1804" s="10" t="n"/>
      <c r="C1804" s="10" t="n"/>
      <c r="D1804" s="10" t="n"/>
      <c r="E1804" s="14">
        <f>IF(D1804="","",IFERROR(INDEX('Sản phẩm'!$B$5:$B$304,MATCH(D1804,'Sản phẩm'!$A$5:$A$304,0)),""))</f>
        <v/>
      </c>
      <c r="F1804" s="12" t="n"/>
      <c r="G1804" s="11" t="n"/>
      <c r="H1804" s="11" t="n"/>
      <c r="I1804" s="16">
        <f>IF(D1804="","",IF(G1804&lt;&gt;"",G1804,IFERROR(INDEX('Sản phẩm'!$E$5:$E$304,MATCH(D1804,'Sản phẩm'!$A$5:$A$304,0)),"")))</f>
        <v/>
      </c>
      <c r="J1804" s="16">
        <f>IF(OR(D1804="",F1804=""),"",F1804*I1804-N(H1804))</f>
        <v/>
      </c>
      <c r="K1804" s="16">
        <f>IF(OR(D1804="",F1804=""),"",F1804*IFERROR(INDEX('Sản phẩm'!$D$5:$D$304,MATCH(D1804,'Sản phẩm'!$A$5:$A$304,0)),""))</f>
        <v/>
      </c>
      <c r="L1804" s="16">
        <f>IF(J1804="","",J1804-K1804)</f>
        <v/>
      </c>
      <c r="M1804" s="14">
        <f>IF(A1804="","",MONTH(A1804))</f>
        <v/>
      </c>
      <c r="N1804" s="14">
        <f>IF(A1804="","",YEAR(A1804))</f>
        <v/>
      </c>
    </row>
    <row r="1805">
      <c r="A1805" s="15" t="n"/>
      <c r="B1805" s="10" t="n"/>
      <c r="C1805" s="10" t="n"/>
      <c r="D1805" s="10" t="n"/>
      <c r="E1805" s="14">
        <f>IF(D1805="","",IFERROR(INDEX('Sản phẩm'!$B$5:$B$304,MATCH(D1805,'Sản phẩm'!$A$5:$A$304,0)),""))</f>
        <v/>
      </c>
      <c r="F1805" s="12" t="n"/>
      <c r="G1805" s="11" t="n"/>
      <c r="H1805" s="11" t="n"/>
      <c r="I1805" s="16">
        <f>IF(D1805="","",IF(G1805&lt;&gt;"",G1805,IFERROR(INDEX('Sản phẩm'!$E$5:$E$304,MATCH(D1805,'Sản phẩm'!$A$5:$A$304,0)),"")))</f>
        <v/>
      </c>
      <c r="J1805" s="16">
        <f>IF(OR(D1805="",F1805=""),"",F1805*I1805-N(H1805))</f>
        <v/>
      </c>
      <c r="K1805" s="16">
        <f>IF(OR(D1805="",F1805=""),"",F1805*IFERROR(INDEX('Sản phẩm'!$D$5:$D$304,MATCH(D1805,'Sản phẩm'!$A$5:$A$304,0)),""))</f>
        <v/>
      </c>
      <c r="L1805" s="16">
        <f>IF(J1805="","",J1805-K1805)</f>
        <v/>
      </c>
      <c r="M1805" s="14">
        <f>IF(A1805="","",MONTH(A1805))</f>
        <v/>
      </c>
      <c r="N1805" s="14">
        <f>IF(A1805="","",YEAR(A1805))</f>
        <v/>
      </c>
    </row>
    <row r="1806">
      <c r="A1806" s="15" t="n"/>
      <c r="B1806" s="10" t="n"/>
      <c r="C1806" s="10" t="n"/>
      <c r="D1806" s="10" t="n"/>
      <c r="E1806" s="14">
        <f>IF(D1806="","",IFERROR(INDEX('Sản phẩm'!$B$5:$B$304,MATCH(D1806,'Sản phẩm'!$A$5:$A$304,0)),""))</f>
        <v/>
      </c>
      <c r="F1806" s="12" t="n"/>
      <c r="G1806" s="11" t="n"/>
      <c r="H1806" s="11" t="n"/>
      <c r="I1806" s="16">
        <f>IF(D1806="","",IF(G1806&lt;&gt;"",G1806,IFERROR(INDEX('Sản phẩm'!$E$5:$E$304,MATCH(D1806,'Sản phẩm'!$A$5:$A$304,0)),"")))</f>
        <v/>
      </c>
      <c r="J1806" s="16">
        <f>IF(OR(D1806="",F1806=""),"",F1806*I1806-N(H1806))</f>
        <v/>
      </c>
      <c r="K1806" s="16">
        <f>IF(OR(D1806="",F1806=""),"",F1806*IFERROR(INDEX('Sản phẩm'!$D$5:$D$304,MATCH(D1806,'Sản phẩm'!$A$5:$A$304,0)),""))</f>
        <v/>
      </c>
      <c r="L1806" s="16">
        <f>IF(J1806="","",J1806-K1806)</f>
        <v/>
      </c>
      <c r="M1806" s="14">
        <f>IF(A1806="","",MONTH(A1806))</f>
        <v/>
      </c>
      <c r="N1806" s="14">
        <f>IF(A1806="","",YEAR(A1806))</f>
        <v/>
      </c>
    </row>
    <row r="1807">
      <c r="A1807" s="15" t="n"/>
      <c r="B1807" s="10" t="n"/>
      <c r="C1807" s="10" t="n"/>
      <c r="D1807" s="10" t="n"/>
      <c r="E1807" s="14">
        <f>IF(D1807="","",IFERROR(INDEX('Sản phẩm'!$B$5:$B$304,MATCH(D1807,'Sản phẩm'!$A$5:$A$304,0)),""))</f>
        <v/>
      </c>
      <c r="F1807" s="12" t="n"/>
      <c r="G1807" s="11" t="n"/>
      <c r="H1807" s="11" t="n"/>
      <c r="I1807" s="16">
        <f>IF(D1807="","",IF(G1807&lt;&gt;"",G1807,IFERROR(INDEX('Sản phẩm'!$E$5:$E$304,MATCH(D1807,'Sản phẩm'!$A$5:$A$304,0)),"")))</f>
        <v/>
      </c>
      <c r="J1807" s="16">
        <f>IF(OR(D1807="",F1807=""),"",F1807*I1807-N(H1807))</f>
        <v/>
      </c>
      <c r="K1807" s="16">
        <f>IF(OR(D1807="",F1807=""),"",F1807*IFERROR(INDEX('Sản phẩm'!$D$5:$D$304,MATCH(D1807,'Sản phẩm'!$A$5:$A$304,0)),""))</f>
        <v/>
      </c>
      <c r="L1807" s="16">
        <f>IF(J1807="","",J1807-K1807)</f>
        <v/>
      </c>
      <c r="M1807" s="14">
        <f>IF(A1807="","",MONTH(A1807))</f>
        <v/>
      </c>
      <c r="N1807" s="14">
        <f>IF(A1807="","",YEAR(A1807))</f>
        <v/>
      </c>
    </row>
    <row r="1808">
      <c r="A1808" s="15" t="n"/>
      <c r="B1808" s="10" t="n"/>
      <c r="C1808" s="10" t="n"/>
      <c r="D1808" s="10" t="n"/>
      <c r="E1808" s="14">
        <f>IF(D1808="","",IFERROR(INDEX('Sản phẩm'!$B$5:$B$304,MATCH(D1808,'Sản phẩm'!$A$5:$A$304,0)),""))</f>
        <v/>
      </c>
      <c r="F1808" s="12" t="n"/>
      <c r="G1808" s="11" t="n"/>
      <c r="H1808" s="11" t="n"/>
      <c r="I1808" s="16">
        <f>IF(D1808="","",IF(G1808&lt;&gt;"",G1808,IFERROR(INDEX('Sản phẩm'!$E$5:$E$304,MATCH(D1808,'Sản phẩm'!$A$5:$A$304,0)),"")))</f>
        <v/>
      </c>
      <c r="J1808" s="16">
        <f>IF(OR(D1808="",F1808=""),"",F1808*I1808-N(H1808))</f>
        <v/>
      </c>
      <c r="K1808" s="16">
        <f>IF(OR(D1808="",F1808=""),"",F1808*IFERROR(INDEX('Sản phẩm'!$D$5:$D$304,MATCH(D1808,'Sản phẩm'!$A$5:$A$304,0)),""))</f>
        <v/>
      </c>
      <c r="L1808" s="16">
        <f>IF(J1808="","",J1808-K1808)</f>
        <v/>
      </c>
      <c r="M1808" s="14">
        <f>IF(A1808="","",MONTH(A1808))</f>
        <v/>
      </c>
      <c r="N1808" s="14">
        <f>IF(A1808="","",YEAR(A1808))</f>
        <v/>
      </c>
    </row>
    <row r="1809">
      <c r="A1809" s="15" t="n"/>
      <c r="B1809" s="10" t="n"/>
      <c r="C1809" s="10" t="n"/>
      <c r="D1809" s="10" t="n"/>
      <c r="E1809" s="14">
        <f>IF(D1809="","",IFERROR(INDEX('Sản phẩm'!$B$5:$B$304,MATCH(D1809,'Sản phẩm'!$A$5:$A$304,0)),""))</f>
        <v/>
      </c>
      <c r="F1809" s="12" t="n"/>
      <c r="G1809" s="11" t="n"/>
      <c r="H1809" s="11" t="n"/>
      <c r="I1809" s="16">
        <f>IF(D1809="","",IF(G1809&lt;&gt;"",G1809,IFERROR(INDEX('Sản phẩm'!$E$5:$E$304,MATCH(D1809,'Sản phẩm'!$A$5:$A$304,0)),"")))</f>
        <v/>
      </c>
      <c r="J1809" s="16">
        <f>IF(OR(D1809="",F1809=""),"",F1809*I1809-N(H1809))</f>
        <v/>
      </c>
      <c r="K1809" s="16">
        <f>IF(OR(D1809="",F1809=""),"",F1809*IFERROR(INDEX('Sản phẩm'!$D$5:$D$304,MATCH(D1809,'Sản phẩm'!$A$5:$A$304,0)),""))</f>
        <v/>
      </c>
      <c r="L1809" s="16">
        <f>IF(J1809="","",J1809-K1809)</f>
        <v/>
      </c>
      <c r="M1809" s="14">
        <f>IF(A1809="","",MONTH(A1809))</f>
        <v/>
      </c>
      <c r="N1809" s="14">
        <f>IF(A1809="","",YEAR(A1809))</f>
        <v/>
      </c>
    </row>
    <row r="1810">
      <c r="A1810" s="15" t="n"/>
      <c r="B1810" s="10" t="n"/>
      <c r="C1810" s="10" t="n"/>
      <c r="D1810" s="10" t="n"/>
      <c r="E1810" s="14">
        <f>IF(D1810="","",IFERROR(INDEX('Sản phẩm'!$B$5:$B$304,MATCH(D1810,'Sản phẩm'!$A$5:$A$304,0)),""))</f>
        <v/>
      </c>
      <c r="F1810" s="12" t="n"/>
      <c r="G1810" s="11" t="n"/>
      <c r="H1810" s="11" t="n"/>
      <c r="I1810" s="16">
        <f>IF(D1810="","",IF(G1810&lt;&gt;"",G1810,IFERROR(INDEX('Sản phẩm'!$E$5:$E$304,MATCH(D1810,'Sản phẩm'!$A$5:$A$304,0)),"")))</f>
        <v/>
      </c>
      <c r="J1810" s="16">
        <f>IF(OR(D1810="",F1810=""),"",F1810*I1810-N(H1810))</f>
        <v/>
      </c>
      <c r="K1810" s="16">
        <f>IF(OR(D1810="",F1810=""),"",F1810*IFERROR(INDEX('Sản phẩm'!$D$5:$D$304,MATCH(D1810,'Sản phẩm'!$A$5:$A$304,0)),""))</f>
        <v/>
      </c>
      <c r="L1810" s="16">
        <f>IF(J1810="","",J1810-K1810)</f>
        <v/>
      </c>
      <c r="M1810" s="14">
        <f>IF(A1810="","",MONTH(A1810))</f>
        <v/>
      </c>
      <c r="N1810" s="14">
        <f>IF(A1810="","",YEAR(A1810))</f>
        <v/>
      </c>
    </row>
    <row r="1811">
      <c r="A1811" s="15" t="n"/>
      <c r="B1811" s="10" t="n"/>
      <c r="C1811" s="10" t="n"/>
      <c r="D1811" s="10" t="n"/>
      <c r="E1811" s="14">
        <f>IF(D1811="","",IFERROR(INDEX('Sản phẩm'!$B$5:$B$304,MATCH(D1811,'Sản phẩm'!$A$5:$A$304,0)),""))</f>
        <v/>
      </c>
      <c r="F1811" s="12" t="n"/>
      <c r="G1811" s="11" t="n"/>
      <c r="H1811" s="11" t="n"/>
      <c r="I1811" s="16">
        <f>IF(D1811="","",IF(G1811&lt;&gt;"",G1811,IFERROR(INDEX('Sản phẩm'!$E$5:$E$304,MATCH(D1811,'Sản phẩm'!$A$5:$A$304,0)),"")))</f>
        <v/>
      </c>
      <c r="J1811" s="16">
        <f>IF(OR(D1811="",F1811=""),"",F1811*I1811-N(H1811))</f>
        <v/>
      </c>
      <c r="K1811" s="16">
        <f>IF(OR(D1811="",F1811=""),"",F1811*IFERROR(INDEX('Sản phẩm'!$D$5:$D$304,MATCH(D1811,'Sản phẩm'!$A$5:$A$304,0)),""))</f>
        <v/>
      </c>
      <c r="L1811" s="16">
        <f>IF(J1811="","",J1811-K1811)</f>
        <v/>
      </c>
      <c r="M1811" s="14">
        <f>IF(A1811="","",MONTH(A1811))</f>
        <v/>
      </c>
      <c r="N1811" s="14">
        <f>IF(A1811="","",YEAR(A1811))</f>
        <v/>
      </c>
    </row>
    <row r="1812">
      <c r="A1812" s="15" t="n"/>
      <c r="B1812" s="10" t="n"/>
      <c r="C1812" s="10" t="n"/>
      <c r="D1812" s="10" t="n"/>
      <c r="E1812" s="14">
        <f>IF(D1812="","",IFERROR(INDEX('Sản phẩm'!$B$5:$B$304,MATCH(D1812,'Sản phẩm'!$A$5:$A$304,0)),""))</f>
        <v/>
      </c>
      <c r="F1812" s="12" t="n"/>
      <c r="G1812" s="11" t="n"/>
      <c r="H1812" s="11" t="n"/>
      <c r="I1812" s="16">
        <f>IF(D1812="","",IF(G1812&lt;&gt;"",G1812,IFERROR(INDEX('Sản phẩm'!$E$5:$E$304,MATCH(D1812,'Sản phẩm'!$A$5:$A$304,0)),"")))</f>
        <v/>
      </c>
      <c r="J1812" s="16">
        <f>IF(OR(D1812="",F1812=""),"",F1812*I1812-N(H1812))</f>
        <v/>
      </c>
      <c r="K1812" s="16">
        <f>IF(OR(D1812="",F1812=""),"",F1812*IFERROR(INDEX('Sản phẩm'!$D$5:$D$304,MATCH(D1812,'Sản phẩm'!$A$5:$A$304,0)),""))</f>
        <v/>
      </c>
      <c r="L1812" s="16">
        <f>IF(J1812="","",J1812-K1812)</f>
        <v/>
      </c>
      <c r="M1812" s="14">
        <f>IF(A1812="","",MONTH(A1812))</f>
        <v/>
      </c>
      <c r="N1812" s="14">
        <f>IF(A1812="","",YEAR(A1812))</f>
        <v/>
      </c>
    </row>
    <row r="1813">
      <c r="A1813" s="15" t="n"/>
      <c r="B1813" s="10" t="n"/>
      <c r="C1813" s="10" t="n"/>
      <c r="D1813" s="10" t="n"/>
      <c r="E1813" s="14">
        <f>IF(D1813="","",IFERROR(INDEX('Sản phẩm'!$B$5:$B$304,MATCH(D1813,'Sản phẩm'!$A$5:$A$304,0)),""))</f>
        <v/>
      </c>
      <c r="F1813" s="12" t="n"/>
      <c r="G1813" s="11" t="n"/>
      <c r="H1813" s="11" t="n"/>
      <c r="I1813" s="16">
        <f>IF(D1813="","",IF(G1813&lt;&gt;"",G1813,IFERROR(INDEX('Sản phẩm'!$E$5:$E$304,MATCH(D1813,'Sản phẩm'!$A$5:$A$304,0)),"")))</f>
        <v/>
      </c>
      <c r="J1813" s="16">
        <f>IF(OR(D1813="",F1813=""),"",F1813*I1813-N(H1813))</f>
        <v/>
      </c>
      <c r="K1813" s="16">
        <f>IF(OR(D1813="",F1813=""),"",F1813*IFERROR(INDEX('Sản phẩm'!$D$5:$D$304,MATCH(D1813,'Sản phẩm'!$A$5:$A$304,0)),""))</f>
        <v/>
      </c>
      <c r="L1813" s="16">
        <f>IF(J1813="","",J1813-K1813)</f>
        <v/>
      </c>
      <c r="M1813" s="14">
        <f>IF(A1813="","",MONTH(A1813))</f>
        <v/>
      </c>
      <c r="N1813" s="14">
        <f>IF(A1813="","",YEAR(A1813))</f>
        <v/>
      </c>
    </row>
    <row r="1814">
      <c r="A1814" s="15" t="n"/>
      <c r="B1814" s="10" t="n"/>
      <c r="C1814" s="10" t="n"/>
      <c r="D1814" s="10" t="n"/>
      <c r="E1814" s="14">
        <f>IF(D1814="","",IFERROR(INDEX('Sản phẩm'!$B$5:$B$304,MATCH(D1814,'Sản phẩm'!$A$5:$A$304,0)),""))</f>
        <v/>
      </c>
      <c r="F1814" s="12" t="n"/>
      <c r="G1814" s="11" t="n"/>
      <c r="H1814" s="11" t="n"/>
      <c r="I1814" s="16">
        <f>IF(D1814="","",IF(G1814&lt;&gt;"",G1814,IFERROR(INDEX('Sản phẩm'!$E$5:$E$304,MATCH(D1814,'Sản phẩm'!$A$5:$A$304,0)),"")))</f>
        <v/>
      </c>
      <c r="J1814" s="16">
        <f>IF(OR(D1814="",F1814=""),"",F1814*I1814-N(H1814))</f>
        <v/>
      </c>
      <c r="K1814" s="16">
        <f>IF(OR(D1814="",F1814=""),"",F1814*IFERROR(INDEX('Sản phẩm'!$D$5:$D$304,MATCH(D1814,'Sản phẩm'!$A$5:$A$304,0)),""))</f>
        <v/>
      </c>
      <c r="L1814" s="16">
        <f>IF(J1814="","",J1814-K1814)</f>
        <v/>
      </c>
      <c r="M1814" s="14">
        <f>IF(A1814="","",MONTH(A1814))</f>
        <v/>
      </c>
      <c r="N1814" s="14">
        <f>IF(A1814="","",YEAR(A1814))</f>
        <v/>
      </c>
    </row>
    <row r="1815">
      <c r="A1815" s="15" t="n"/>
      <c r="B1815" s="10" t="n"/>
      <c r="C1815" s="10" t="n"/>
      <c r="D1815" s="10" t="n"/>
      <c r="E1815" s="14">
        <f>IF(D1815="","",IFERROR(INDEX('Sản phẩm'!$B$5:$B$304,MATCH(D1815,'Sản phẩm'!$A$5:$A$304,0)),""))</f>
        <v/>
      </c>
      <c r="F1815" s="12" t="n"/>
      <c r="G1815" s="11" t="n"/>
      <c r="H1815" s="11" t="n"/>
      <c r="I1815" s="16">
        <f>IF(D1815="","",IF(G1815&lt;&gt;"",G1815,IFERROR(INDEX('Sản phẩm'!$E$5:$E$304,MATCH(D1815,'Sản phẩm'!$A$5:$A$304,0)),"")))</f>
        <v/>
      </c>
      <c r="J1815" s="16">
        <f>IF(OR(D1815="",F1815=""),"",F1815*I1815-N(H1815))</f>
        <v/>
      </c>
      <c r="K1815" s="16">
        <f>IF(OR(D1815="",F1815=""),"",F1815*IFERROR(INDEX('Sản phẩm'!$D$5:$D$304,MATCH(D1815,'Sản phẩm'!$A$5:$A$304,0)),""))</f>
        <v/>
      </c>
      <c r="L1815" s="16">
        <f>IF(J1815="","",J1815-K1815)</f>
        <v/>
      </c>
      <c r="M1815" s="14">
        <f>IF(A1815="","",MONTH(A1815))</f>
        <v/>
      </c>
      <c r="N1815" s="14">
        <f>IF(A1815="","",YEAR(A1815))</f>
        <v/>
      </c>
    </row>
    <row r="1816">
      <c r="A1816" s="15" t="n"/>
      <c r="B1816" s="10" t="n"/>
      <c r="C1816" s="10" t="n"/>
      <c r="D1816" s="10" t="n"/>
      <c r="E1816" s="14">
        <f>IF(D1816="","",IFERROR(INDEX('Sản phẩm'!$B$5:$B$304,MATCH(D1816,'Sản phẩm'!$A$5:$A$304,0)),""))</f>
        <v/>
      </c>
      <c r="F1816" s="12" t="n"/>
      <c r="G1816" s="11" t="n"/>
      <c r="H1816" s="11" t="n"/>
      <c r="I1816" s="16">
        <f>IF(D1816="","",IF(G1816&lt;&gt;"",G1816,IFERROR(INDEX('Sản phẩm'!$E$5:$E$304,MATCH(D1816,'Sản phẩm'!$A$5:$A$304,0)),"")))</f>
        <v/>
      </c>
      <c r="J1816" s="16">
        <f>IF(OR(D1816="",F1816=""),"",F1816*I1816-N(H1816))</f>
        <v/>
      </c>
      <c r="K1816" s="16">
        <f>IF(OR(D1816="",F1816=""),"",F1816*IFERROR(INDEX('Sản phẩm'!$D$5:$D$304,MATCH(D1816,'Sản phẩm'!$A$5:$A$304,0)),""))</f>
        <v/>
      </c>
      <c r="L1816" s="16">
        <f>IF(J1816="","",J1816-K1816)</f>
        <v/>
      </c>
      <c r="M1816" s="14">
        <f>IF(A1816="","",MONTH(A1816))</f>
        <v/>
      </c>
      <c r="N1816" s="14">
        <f>IF(A1816="","",YEAR(A1816))</f>
        <v/>
      </c>
    </row>
    <row r="1817">
      <c r="A1817" s="15" t="n"/>
      <c r="B1817" s="10" t="n"/>
      <c r="C1817" s="10" t="n"/>
      <c r="D1817" s="10" t="n"/>
      <c r="E1817" s="14">
        <f>IF(D1817="","",IFERROR(INDEX('Sản phẩm'!$B$5:$B$304,MATCH(D1817,'Sản phẩm'!$A$5:$A$304,0)),""))</f>
        <v/>
      </c>
      <c r="F1817" s="12" t="n"/>
      <c r="G1817" s="11" t="n"/>
      <c r="H1817" s="11" t="n"/>
      <c r="I1817" s="16">
        <f>IF(D1817="","",IF(G1817&lt;&gt;"",G1817,IFERROR(INDEX('Sản phẩm'!$E$5:$E$304,MATCH(D1817,'Sản phẩm'!$A$5:$A$304,0)),"")))</f>
        <v/>
      </c>
      <c r="J1817" s="16">
        <f>IF(OR(D1817="",F1817=""),"",F1817*I1817-N(H1817))</f>
        <v/>
      </c>
      <c r="K1817" s="16">
        <f>IF(OR(D1817="",F1817=""),"",F1817*IFERROR(INDEX('Sản phẩm'!$D$5:$D$304,MATCH(D1817,'Sản phẩm'!$A$5:$A$304,0)),""))</f>
        <v/>
      </c>
      <c r="L1817" s="16">
        <f>IF(J1817="","",J1817-K1817)</f>
        <v/>
      </c>
      <c r="M1817" s="14">
        <f>IF(A1817="","",MONTH(A1817))</f>
        <v/>
      </c>
      <c r="N1817" s="14">
        <f>IF(A1817="","",YEAR(A1817))</f>
        <v/>
      </c>
    </row>
    <row r="1818">
      <c r="A1818" s="15" t="n"/>
      <c r="B1818" s="10" t="n"/>
      <c r="C1818" s="10" t="n"/>
      <c r="D1818" s="10" t="n"/>
      <c r="E1818" s="14">
        <f>IF(D1818="","",IFERROR(INDEX('Sản phẩm'!$B$5:$B$304,MATCH(D1818,'Sản phẩm'!$A$5:$A$304,0)),""))</f>
        <v/>
      </c>
      <c r="F1818" s="12" t="n"/>
      <c r="G1818" s="11" t="n"/>
      <c r="H1818" s="11" t="n"/>
      <c r="I1818" s="16">
        <f>IF(D1818="","",IF(G1818&lt;&gt;"",G1818,IFERROR(INDEX('Sản phẩm'!$E$5:$E$304,MATCH(D1818,'Sản phẩm'!$A$5:$A$304,0)),"")))</f>
        <v/>
      </c>
      <c r="J1818" s="16">
        <f>IF(OR(D1818="",F1818=""),"",F1818*I1818-N(H1818))</f>
        <v/>
      </c>
      <c r="K1818" s="16">
        <f>IF(OR(D1818="",F1818=""),"",F1818*IFERROR(INDEX('Sản phẩm'!$D$5:$D$304,MATCH(D1818,'Sản phẩm'!$A$5:$A$304,0)),""))</f>
        <v/>
      </c>
      <c r="L1818" s="16">
        <f>IF(J1818="","",J1818-K1818)</f>
        <v/>
      </c>
      <c r="M1818" s="14">
        <f>IF(A1818="","",MONTH(A1818))</f>
        <v/>
      </c>
      <c r="N1818" s="14">
        <f>IF(A1818="","",YEAR(A1818))</f>
        <v/>
      </c>
    </row>
    <row r="1819">
      <c r="A1819" s="15" t="n"/>
      <c r="B1819" s="10" t="n"/>
      <c r="C1819" s="10" t="n"/>
      <c r="D1819" s="10" t="n"/>
      <c r="E1819" s="14">
        <f>IF(D1819="","",IFERROR(INDEX('Sản phẩm'!$B$5:$B$304,MATCH(D1819,'Sản phẩm'!$A$5:$A$304,0)),""))</f>
        <v/>
      </c>
      <c r="F1819" s="12" t="n"/>
      <c r="G1819" s="11" t="n"/>
      <c r="H1819" s="11" t="n"/>
      <c r="I1819" s="16">
        <f>IF(D1819="","",IF(G1819&lt;&gt;"",G1819,IFERROR(INDEX('Sản phẩm'!$E$5:$E$304,MATCH(D1819,'Sản phẩm'!$A$5:$A$304,0)),"")))</f>
        <v/>
      </c>
      <c r="J1819" s="16">
        <f>IF(OR(D1819="",F1819=""),"",F1819*I1819-N(H1819))</f>
        <v/>
      </c>
      <c r="K1819" s="16">
        <f>IF(OR(D1819="",F1819=""),"",F1819*IFERROR(INDEX('Sản phẩm'!$D$5:$D$304,MATCH(D1819,'Sản phẩm'!$A$5:$A$304,0)),""))</f>
        <v/>
      </c>
      <c r="L1819" s="16">
        <f>IF(J1819="","",J1819-K1819)</f>
        <v/>
      </c>
      <c r="M1819" s="14">
        <f>IF(A1819="","",MONTH(A1819))</f>
        <v/>
      </c>
      <c r="N1819" s="14">
        <f>IF(A1819="","",YEAR(A1819))</f>
        <v/>
      </c>
    </row>
    <row r="1820">
      <c r="A1820" s="15" t="n"/>
      <c r="B1820" s="10" t="n"/>
      <c r="C1820" s="10" t="n"/>
      <c r="D1820" s="10" t="n"/>
      <c r="E1820" s="14">
        <f>IF(D1820="","",IFERROR(INDEX('Sản phẩm'!$B$5:$B$304,MATCH(D1820,'Sản phẩm'!$A$5:$A$304,0)),""))</f>
        <v/>
      </c>
      <c r="F1820" s="12" t="n"/>
      <c r="G1820" s="11" t="n"/>
      <c r="H1820" s="11" t="n"/>
      <c r="I1820" s="16">
        <f>IF(D1820="","",IF(G1820&lt;&gt;"",G1820,IFERROR(INDEX('Sản phẩm'!$E$5:$E$304,MATCH(D1820,'Sản phẩm'!$A$5:$A$304,0)),"")))</f>
        <v/>
      </c>
      <c r="J1820" s="16">
        <f>IF(OR(D1820="",F1820=""),"",F1820*I1820-N(H1820))</f>
        <v/>
      </c>
      <c r="K1820" s="16">
        <f>IF(OR(D1820="",F1820=""),"",F1820*IFERROR(INDEX('Sản phẩm'!$D$5:$D$304,MATCH(D1820,'Sản phẩm'!$A$5:$A$304,0)),""))</f>
        <v/>
      </c>
      <c r="L1820" s="16">
        <f>IF(J1820="","",J1820-K1820)</f>
        <v/>
      </c>
      <c r="M1820" s="14">
        <f>IF(A1820="","",MONTH(A1820))</f>
        <v/>
      </c>
      <c r="N1820" s="14">
        <f>IF(A1820="","",YEAR(A1820))</f>
        <v/>
      </c>
    </row>
    <row r="1821">
      <c r="A1821" s="15" t="n"/>
      <c r="B1821" s="10" t="n"/>
      <c r="C1821" s="10" t="n"/>
      <c r="D1821" s="10" t="n"/>
      <c r="E1821" s="14">
        <f>IF(D1821="","",IFERROR(INDEX('Sản phẩm'!$B$5:$B$304,MATCH(D1821,'Sản phẩm'!$A$5:$A$304,0)),""))</f>
        <v/>
      </c>
      <c r="F1821" s="12" t="n"/>
      <c r="G1821" s="11" t="n"/>
      <c r="H1821" s="11" t="n"/>
      <c r="I1821" s="16">
        <f>IF(D1821="","",IF(G1821&lt;&gt;"",G1821,IFERROR(INDEX('Sản phẩm'!$E$5:$E$304,MATCH(D1821,'Sản phẩm'!$A$5:$A$304,0)),"")))</f>
        <v/>
      </c>
      <c r="J1821" s="16">
        <f>IF(OR(D1821="",F1821=""),"",F1821*I1821-N(H1821))</f>
        <v/>
      </c>
      <c r="K1821" s="16">
        <f>IF(OR(D1821="",F1821=""),"",F1821*IFERROR(INDEX('Sản phẩm'!$D$5:$D$304,MATCH(D1821,'Sản phẩm'!$A$5:$A$304,0)),""))</f>
        <v/>
      </c>
      <c r="L1821" s="16">
        <f>IF(J1821="","",J1821-K1821)</f>
        <v/>
      </c>
      <c r="M1821" s="14">
        <f>IF(A1821="","",MONTH(A1821))</f>
        <v/>
      </c>
      <c r="N1821" s="14">
        <f>IF(A1821="","",YEAR(A1821))</f>
        <v/>
      </c>
    </row>
    <row r="1822">
      <c r="A1822" s="15" t="n"/>
      <c r="B1822" s="10" t="n"/>
      <c r="C1822" s="10" t="n"/>
      <c r="D1822" s="10" t="n"/>
      <c r="E1822" s="14">
        <f>IF(D1822="","",IFERROR(INDEX('Sản phẩm'!$B$5:$B$304,MATCH(D1822,'Sản phẩm'!$A$5:$A$304,0)),""))</f>
        <v/>
      </c>
      <c r="F1822" s="12" t="n"/>
      <c r="G1822" s="11" t="n"/>
      <c r="H1822" s="11" t="n"/>
      <c r="I1822" s="16">
        <f>IF(D1822="","",IF(G1822&lt;&gt;"",G1822,IFERROR(INDEX('Sản phẩm'!$E$5:$E$304,MATCH(D1822,'Sản phẩm'!$A$5:$A$304,0)),"")))</f>
        <v/>
      </c>
      <c r="J1822" s="16">
        <f>IF(OR(D1822="",F1822=""),"",F1822*I1822-N(H1822))</f>
        <v/>
      </c>
      <c r="K1822" s="16">
        <f>IF(OR(D1822="",F1822=""),"",F1822*IFERROR(INDEX('Sản phẩm'!$D$5:$D$304,MATCH(D1822,'Sản phẩm'!$A$5:$A$304,0)),""))</f>
        <v/>
      </c>
      <c r="L1822" s="16">
        <f>IF(J1822="","",J1822-K1822)</f>
        <v/>
      </c>
      <c r="M1822" s="14">
        <f>IF(A1822="","",MONTH(A1822))</f>
        <v/>
      </c>
      <c r="N1822" s="14">
        <f>IF(A1822="","",YEAR(A1822))</f>
        <v/>
      </c>
    </row>
    <row r="1823">
      <c r="A1823" s="15" t="n"/>
      <c r="B1823" s="10" t="n"/>
      <c r="C1823" s="10" t="n"/>
      <c r="D1823" s="10" t="n"/>
      <c r="E1823" s="14">
        <f>IF(D1823="","",IFERROR(INDEX('Sản phẩm'!$B$5:$B$304,MATCH(D1823,'Sản phẩm'!$A$5:$A$304,0)),""))</f>
        <v/>
      </c>
      <c r="F1823" s="12" t="n"/>
      <c r="G1823" s="11" t="n"/>
      <c r="H1823" s="11" t="n"/>
      <c r="I1823" s="16">
        <f>IF(D1823="","",IF(G1823&lt;&gt;"",G1823,IFERROR(INDEX('Sản phẩm'!$E$5:$E$304,MATCH(D1823,'Sản phẩm'!$A$5:$A$304,0)),"")))</f>
        <v/>
      </c>
      <c r="J1823" s="16">
        <f>IF(OR(D1823="",F1823=""),"",F1823*I1823-N(H1823))</f>
        <v/>
      </c>
      <c r="K1823" s="16">
        <f>IF(OR(D1823="",F1823=""),"",F1823*IFERROR(INDEX('Sản phẩm'!$D$5:$D$304,MATCH(D1823,'Sản phẩm'!$A$5:$A$304,0)),""))</f>
        <v/>
      </c>
      <c r="L1823" s="16">
        <f>IF(J1823="","",J1823-K1823)</f>
        <v/>
      </c>
      <c r="M1823" s="14">
        <f>IF(A1823="","",MONTH(A1823))</f>
        <v/>
      </c>
      <c r="N1823" s="14">
        <f>IF(A1823="","",YEAR(A1823))</f>
        <v/>
      </c>
    </row>
    <row r="1824">
      <c r="A1824" s="15" t="n"/>
      <c r="B1824" s="10" t="n"/>
      <c r="C1824" s="10" t="n"/>
      <c r="D1824" s="10" t="n"/>
      <c r="E1824" s="14">
        <f>IF(D1824="","",IFERROR(INDEX('Sản phẩm'!$B$5:$B$304,MATCH(D1824,'Sản phẩm'!$A$5:$A$304,0)),""))</f>
        <v/>
      </c>
      <c r="F1824" s="12" t="n"/>
      <c r="G1824" s="11" t="n"/>
      <c r="H1824" s="11" t="n"/>
      <c r="I1824" s="16">
        <f>IF(D1824="","",IF(G1824&lt;&gt;"",G1824,IFERROR(INDEX('Sản phẩm'!$E$5:$E$304,MATCH(D1824,'Sản phẩm'!$A$5:$A$304,0)),"")))</f>
        <v/>
      </c>
      <c r="J1824" s="16">
        <f>IF(OR(D1824="",F1824=""),"",F1824*I1824-N(H1824))</f>
        <v/>
      </c>
      <c r="K1824" s="16">
        <f>IF(OR(D1824="",F1824=""),"",F1824*IFERROR(INDEX('Sản phẩm'!$D$5:$D$304,MATCH(D1824,'Sản phẩm'!$A$5:$A$304,0)),""))</f>
        <v/>
      </c>
      <c r="L1824" s="16">
        <f>IF(J1824="","",J1824-K1824)</f>
        <v/>
      </c>
      <c r="M1824" s="14">
        <f>IF(A1824="","",MONTH(A1824))</f>
        <v/>
      </c>
      <c r="N1824" s="14">
        <f>IF(A1824="","",YEAR(A1824))</f>
        <v/>
      </c>
    </row>
    <row r="1825">
      <c r="A1825" s="15" t="n"/>
      <c r="B1825" s="10" t="n"/>
      <c r="C1825" s="10" t="n"/>
      <c r="D1825" s="10" t="n"/>
      <c r="E1825" s="14">
        <f>IF(D1825="","",IFERROR(INDEX('Sản phẩm'!$B$5:$B$304,MATCH(D1825,'Sản phẩm'!$A$5:$A$304,0)),""))</f>
        <v/>
      </c>
      <c r="F1825" s="12" t="n"/>
      <c r="G1825" s="11" t="n"/>
      <c r="H1825" s="11" t="n"/>
      <c r="I1825" s="16">
        <f>IF(D1825="","",IF(G1825&lt;&gt;"",G1825,IFERROR(INDEX('Sản phẩm'!$E$5:$E$304,MATCH(D1825,'Sản phẩm'!$A$5:$A$304,0)),"")))</f>
        <v/>
      </c>
      <c r="J1825" s="16">
        <f>IF(OR(D1825="",F1825=""),"",F1825*I1825-N(H1825))</f>
        <v/>
      </c>
      <c r="K1825" s="16">
        <f>IF(OR(D1825="",F1825=""),"",F1825*IFERROR(INDEX('Sản phẩm'!$D$5:$D$304,MATCH(D1825,'Sản phẩm'!$A$5:$A$304,0)),""))</f>
        <v/>
      </c>
      <c r="L1825" s="16">
        <f>IF(J1825="","",J1825-K1825)</f>
        <v/>
      </c>
      <c r="M1825" s="14">
        <f>IF(A1825="","",MONTH(A1825))</f>
        <v/>
      </c>
      <c r="N1825" s="14">
        <f>IF(A1825="","",YEAR(A1825))</f>
        <v/>
      </c>
    </row>
    <row r="1826">
      <c r="A1826" s="15" t="n"/>
      <c r="B1826" s="10" t="n"/>
      <c r="C1826" s="10" t="n"/>
      <c r="D1826" s="10" t="n"/>
      <c r="E1826" s="14">
        <f>IF(D1826="","",IFERROR(INDEX('Sản phẩm'!$B$5:$B$304,MATCH(D1826,'Sản phẩm'!$A$5:$A$304,0)),""))</f>
        <v/>
      </c>
      <c r="F1826" s="12" t="n"/>
      <c r="G1826" s="11" t="n"/>
      <c r="H1826" s="11" t="n"/>
      <c r="I1826" s="16">
        <f>IF(D1826="","",IF(G1826&lt;&gt;"",G1826,IFERROR(INDEX('Sản phẩm'!$E$5:$E$304,MATCH(D1826,'Sản phẩm'!$A$5:$A$304,0)),"")))</f>
        <v/>
      </c>
      <c r="J1826" s="16">
        <f>IF(OR(D1826="",F1826=""),"",F1826*I1826-N(H1826))</f>
        <v/>
      </c>
      <c r="K1826" s="16">
        <f>IF(OR(D1826="",F1826=""),"",F1826*IFERROR(INDEX('Sản phẩm'!$D$5:$D$304,MATCH(D1826,'Sản phẩm'!$A$5:$A$304,0)),""))</f>
        <v/>
      </c>
      <c r="L1826" s="16">
        <f>IF(J1826="","",J1826-K1826)</f>
        <v/>
      </c>
      <c r="M1826" s="14">
        <f>IF(A1826="","",MONTH(A1826))</f>
        <v/>
      </c>
      <c r="N1826" s="14">
        <f>IF(A1826="","",YEAR(A1826))</f>
        <v/>
      </c>
    </row>
    <row r="1827">
      <c r="A1827" s="15" t="n"/>
      <c r="B1827" s="10" t="n"/>
      <c r="C1827" s="10" t="n"/>
      <c r="D1827" s="10" t="n"/>
      <c r="E1827" s="14">
        <f>IF(D1827="","",IFERROR(INDEX('Sản phẩm'!$B$5:$B$304,MATCH(D1827,'Sản phẩm'!$A$5:$A$304,0)),""))</f>
        <v/>
      </c>
      <c r="F1827" s="12" t="n"/>
      <c r="G1827" s="11" t="n"/>
      <c r="H1827" s="11" t="n"/>
      <c r="I1827" s="16">
        <f>IF(D1827="","",IF(G1827&lt;&gt;"",G1827,IFERROR(INDEX('Sản phẩm'!$E$5:$E$304,MATCH(D1827,'Sản phẩm'!$A$5:$A$304,0)),"")))</f>
        <v/>
      </c>
      <c r="J1827" s="16">
        <f>IF(OR(D1827="",F1827=""),"",F1827*I1827-N(H1827))</f>
        <v/>
      </c>
      <c r="K1827" s="16">
        <f>IF(OR(D1827="",F1827=""),"",F1827*IFERROR(INDEX('Sản phẩm'!$D$5:$D$304,MATCH(D1827,'Sản phẩm'!$A$5:$A$304,0)),""))</f>
        <v/>
      </c>
      <c r="L1827" s="16">
        <f>IF(J1827="","",J1827-K1827)</f>
        <v/>
      </c>
      <c r="M1827" s="14">
        <f>IF(A1827="","",MONTH(A1827))</f>
        <v/>
      </c>
      <c r="N1827" s="14">
        <f>IF(A1827="","",YEAR(A1827))</f>
        <v/>
      </c>
    </row>
    <row r="1828">
      <c r="A1828" s="15" t="n"/>
      <c r="B1828" s="10" t="n"/>
      <c r="C1828" s="10" t="n"/>
      <c r="D1828" s="10" t="n"/>
      <c r="E1828" s="14">
        <f>IF(D1828="","",IFERROR(INDEX('Sản phẩm'!$B$5:$B$304,MATCH(D1828,'Sản phẩm'!$A$5:$A$304,0)),""))</f>
        <v/>
      </c>
      <c r="F1828" s="12" t="n"/>
      <c r="G1828" s="11" t="n"/>
      <c r="H1828" s="11" t="n"/>
      <c r="I1828" s="16">
        <f>IF(D1828="","",IF(G1828&lt;&gt;"",G1828,IFERROR(INDEX('Sản phẩm'!$E$5:$E$304,MATCH(D1828,'Sản phẩm'!$A$5:$A$304,0)),"")))</f>
        <v/>
      </c>
      <c r="J1828" s="16">
        <f>IF(OR(D1828="",F1828=""),"",F1828*I1828-N(H1828))</f>
        <v/>
      </c>
      <c r="K1828" s="16">
        <f>IF(OR(D1828="",F1828=""),"",F1828*IFERROR(INDEX('Sản phẩm'!$D$5:$D$304,MATCH(D1828,'Sản phẩm'!$A$5:$A$304,0)),""))</f>
        <v/>
      </c>
      <c r="L1828" s="16">
        <f>IF(J1828="","",J1828-K1828)</f>
        <v/>
      </c>
      <c r="M1828" s="14">
        <f>IF(A1828="","",MONTH(A1828))</f>
        <v/>
      </c>
      <c r="N1828" s="14">
        <f>IF(A1828="","",YEAR(A1828))</f>
        <v/>
      </c>
    </row>
    <row r="1829">
      <c r="A1829" s="15" t="n"/>
      <c r="B1829" s="10" t="n"/>
      <c r="C1829" s="10" t="n"/>
      <c r="D1829" s="10" t="n"/>
      <c r="E1829" s="14">
        <f>IF(D1829="","",IFERROR(INDEX('Sản phẩm'!$B$5:$B$304,MATCH(D1829,'Sản phẩm'!$A$5:$A$304,0)),""))</f>
        <v/>
      </c>
      <c r="F1829" s="12" t="n"/>
      <c r="G1829" s="11" t="n"/>
      <c r="H1829" s="11" t="n"/>
      <c r="I1829" s="16">
        <f>IF(D1829="","",IF(G1829&lt;&gt;"",G1829,IFERROR(INDEX('Sản phẩm'!$E$5:$E$304,MATCH(D1829,'Sản phẩm'!$A$5:$A$304,0)),"")))</f>
        <v/>
      </c>
      <c r="J1829" s="16">
        <f>IF(OR(D1829="",F1829=""),"",F1829*I1829-N(H1829))</f>
        <v/>
      </c>
      <c r="K1829" s="16">
        <f>IF(OR(D1829="",F1829=""),"",F1829*IFERROR(INDEX('Sản phẩm'!$D$5:$D$304,MATCH(D1829,'Sản phẩm'!$A$5:$A$304,0)),""))</f>
        <v/>
      </c>
      <c r="L1829" s="16">
        <f>IF(J1829="","",J1829-K1829)</f>
        <v/>
      </c>
      <c r="M1829" s="14">
        <f>IF(A1829="","",MONTH(A1829))</f>
        <v/>
      </c>
      <c r="N1829" s="14">
        <f>IF(A1829="","",YEAR(A1829))</f>
        <v/>
      </c>
    </row>
    <row r="1830">
      <c r="A1830" s="15" t="n"/>
      <c r="B1830" s="10" t="n"/>
      <c r="C1830" s="10" t="n"/>
      <c r="D1830" s="10" t="n"/>
      <c r="E1830" s="14">
        <f>IF(D1830="","",IFERROR(INDEX('Sản phẩm'!$B$5:$B$304,MATCH(D1830,'Sản phẩm'!$A$5:$A$304,0)),""))</f>
        <v/>
      </c>
      <c r="F1830" s="12" t="n"/>
      <c r="G1830" s="11" t="n"/>
      <c r="H1830" s="11" t="n"/>
      <c r="I1830" s="16">
        <f>IF(D1830="","",IF(G1830&lt;&gt;"",G1830,IFERROR(INDEX('Sản phẩm'!$E$5:$E$304,MATCH(D1830,'Sản phẩm'!$A$5:$A$304,0)),"")))</f>
        <v/>
      </c>
      <c r="J1830" s="16">
        <f>IF(OR(D1830="",F1830=""),"",F1830*I1830-N(H1830))</f>
        <v/>
      </c>
      <c r="K1830" s="16">
        <f>IF(OR(D1830="",F1830=""),"",F1830*IFERROR(INDEX('Sản phẩm'!$D$5:$D$304,MATCH(D1830,'Sản phẩm'!$A$5:$A$304,0)),""))</f>
        <v/>
      </c>
      <c r="L1830" s="16">
        <f>IF(J1830="","",J1830-K1830)</f>
        <v/>
      </c>
      <c r="M1830" s="14">
        <f>IF(A1830="","",MONTH(A1830))</f>
        <v/>
      </c>
      <c r="N1830" s="14">
        <f>IF(A1830="","",YEAR(A1830))</f>
        <v/>
      </c>
    </row>
    <row r="1831">
      <c r="A1831" s="15" t="n"/>
      <c r="B1831" s="10" t="n"/>
      <c r="C1831" s="10" t="n"/>
      <c r="D1831" s="10" t="n"/>
      <c r="E1831" s="14">
        <f>IF(D1831="","",IFERROR(INDEX('Sản phẩm'!$B$5:$B$304,MATCH(D1831,'Sản phẩm'!$A$5:$A$304,0)),""))</f>
        <v/>
      </c>
      <c r="F1831" s="12" t="n"/>
      <c r="G1831" s="11" t="n"/>
      <c r="H1831" s="11" t="n"/>
      <c r="I1831" s="16">
        <f>IF(D1831="","",IF(G1831&lt;&gt;"",G1831,IFERROR(INDEX('Sản phẩm'!$E$5:$E$304,MATCH(D1831,'Sản phẩm'!$A$5:$A$304,0)),"")))</f>
        <v/>
      </c>
      <c r="J1831" s="16">
        <f>IF(OR(D1831="",F1831=""),"",F1831*I1831-N(H1831))</f>
        <v/>
      </c>
      <c r="K1831" s="16">
        <f>IF(OR(D1831="",F1831=""),"",F1831*IFERROR(INDEX('Sản phẩm'!$D$5:$D$304,MATCH(D1831,'Sản phẩm'!$A$5:$A$304,0)),""))</f>
        <v/>
      </c>
      <c r="L1831" s="16">
        <f>IF(J1831="","",J1831-K1831)</f>
        <v/>
      </c>
      <c r="M1831" s="14">
        <f>IF(A1831="","",MONTH(A1831))</f>
        <v/>
      </c>
      <c r="N1831" s="14">
        <f>IF(A1831="","",YEAR(A1831))</f>
        <v/>
      </c>
    </row>
    <row r="1832">
      <c r="A1832" s="15" t="n"/>
      <c r="B1832" s="10" t="n"/>
      <c r="C1832" s="10" t="n"/>
      <c r="D1832" s="10" t="n"/>
      <c r="E1832" s="14">
        <f>IF(D1832="","",IFERROR(INDEX('Sản phẩm'!$B$5:$B$304,MATCH(D1832,'Sản phẩm'!$A$5:$A$304,0)),""))</f>
        <v/>
      </c>
      <c r="F1832" s="12" t="n"/>
      <c r="G1832" s="11" t="n"/>
      <c r="H1832" s="11" t="n"/>
      <c r="I1832" s="16">
        <f>IF(D1832="","",IF(G1832&lt;&gt;"",G1832,IFERROR(INDEX('Sản phẩm'!$E$5:$E$304,MATCH(D1832,'Sản phẩm'!$A$5:$A$304,0)),"")))</f>
        <v/>
      </c>
      <c r="J1832" s="16">
        <f>IF(OR(D1832="",F1832=""),"",F1832*I1832-N(H1832))</f>
        <v/>
      </c>
      <c r="K1832" s="16">
        <f>IF(OR(D1832="",F1832=""),"",F1832*IFERROR(INDEX('Sản phẩm'!$D$5:$D$304,MATCH(D1832,'Sản phẩm'!$A$5:$A$304,0)),""))</f>
        <v/>
      </c>
      <c r="L1832" s="16">
        <f>IF(J1832="","",J1832-K1832)</f>
        <v/>
      </c>
      <c r="M1832" s="14">
        <f>IF(A1832="","",MONTH(A1832))</f>
        <v/>
      </c>
      <c r="N1832" s="14">
        <f>IF(A1832="","",YEAR(A1832))</f>
        <v/>
      </c>
    </row>
    <row r="1833">
      <c r="A1833" s="15" t="n"/>
      <c r="B1833" s="10" t="n"/>
      <c r="C1833" s="10" t="n"/>
      <c r="D1833" s="10" t="n"/>
      <c r="E1833" s="14">
        <f>IF(D1833="","",IFERROR(INDEX('Sản phẩm'!$B$5:$B$304,MATCH(D1833,'Sản phẩm'!$A$5:$A$304,0)),""))</f>
        <v/>
      </c>
      <c r="F1833" s="12" t="n"/>
      <c r="G1833" s="11" t="n"/>
      <c r="H1833" s="11" t="n"/>
      <c r="I1833" s="16">
        <f>IF(D1833="","",IF(G1833&lt;&gt;"",G1833,IFERROR(INDEX('Sản phẩm'!$E$5:$E$304,MATCH(D1833,'Sản phẩm'!$A$5:$A$304,0)),"")))</f>
        <v/>
      </c>
      <c r="J1833" s="16">
        <f>IF(OR(D1833="",F1833=""),"",F1833*I1833-N(H1833))</f>
        <v/>
      </c>
      <c r="K1833" s="16">
        <f>IF(OR(D1833="",F1833=""),"",F1833*IFERROR(INDEX('Sản phẩm'!$D$5:$D$304,MATCH(D1833,'Sản phẩm'!$A$5:$A$304,0)),""))</f>
        <v/>
      </c>
      <c r="L1833" s="16">
        <f>IF(J1833="","",J1833-K1833)</f>
        <v/>
      </c>
      <c r="M1833" s="14">
        <f>IF(A1833="","",MONTH(A1833))</f>
        <v/>
      </c>
      <c r="N1833" s="14">
        <f>IF(A1833="","",YEAR(A1833))</f>
        <v/>
      </c>
    </row>
    <row r="1834">
      <c r="A1834" s="15" t="n"/>
      <c r="B1834" s="10" t="n"/>
      <c r="C1834" s="10" t="n"/>
      <c r="D1834" s="10" t="n"/>
      <c r="E1834" s="14">
        <f>IF(D1834="","",IFERROR(INDEX('Sản phẩm'!$B$5:$B$304,MATCH(D1834,'Sản phẩm'!$A$5:$A$304,0)),""))</f>
        <v/>
      </c>
      <c r="F1834" s="12" t="n"/>
      <c r="G1834" s="11" t="n"/>
      <c r="H1834" s="11" t="n"/>
      <c r="I1834" s="16">
        <f>IF(D1834="","",IF(G1834&lt;&gt;"",G1834,IFERROR(INDEX('Sản phẩm'!$E$5:$E$304,MATCH(D1834,'Sản phẩm'!$A$5:$A$304,0)),"")))</f>
        <v/>
      </c>
      <c r="J1834" s="16">
        <f>IF(OR(D1834="",F1834=""),"",F1834*I1834-N(H1834))</f>
        <v/>
      </c>
      <c r="K1834" s="16">
        <f>IF(OR(D1834="",F1834=""),"",F1834*IFERROR(INDEX('Sản phẩm'!$D$5:$D$304,MATCH(D1834,'Sản phẩm'!$A$5:$A$304,0)),""))</f>
        <v/>
      </c>
      <c r="L1834" s="16">
        <f>IF(J1834="","",J1834-K1834)</f>
        <v/>
      </c>
      <c r="M1834" s="14">
        <f>IF(A1834="","",MONTH(A1834))</f>
        <v/>
      </c>
      <c r="N1834" s="14">
        <f>IF(A1834="","",YEAR(A1834))</f>
        <v/>
      </c>
    </row>
    <row r="1835">
      <c r="A1835" s="15" t="n"/>
      <c r="B1835" s="10" t="n"/>
      <c r="C1835" s="10" t="n"/>
      <c r="D1835" s="10" t="n"/>
      <c r="E1835" s="14">
        <f>IF(D1835="","",IFERROR(INDEX('Sản phẩm'!$B$5:$B$304,MATCH(D1835,'Sản phẩm'!$A$5:$A$304,0)),""))</f>
        <v/>
      </c>
      <c r="F1835" s="12" t="n"/>
      <c r="G1835" s="11" t="n"/>
      <c r="H1835" s="11" t="n"/>
      <c r="I1835" s="16">
        <f>IF(D1835="","",IF(G1835&lt;&gt;"",G1835,IFERROR(INDEX('Sản phẩm'!$E$5:$E$304,MATCH(D1835,'Sản phẩm'!$A$5:$A$304,0)),"")))</f>
        <v/>
      </c>
      <c r="J1835" s="16">
        <f>IF(OR(D1835="",F1835=""),"",F1835*I1835-N(H1835))</f>
        <v/>
      </c>
      <c r="K1835" s="16">
        <f>IF(OR(D1835="",F1835=""),"",F1835*IFERROR(INDEX('Sản phẩm'!$D$5:$D$304,MATCH(D1835,'Sản phẩm'!$A$5:$A$304,0)),""))</f>
        <v/>
      </c>
      <c r="L1835" s="16">
        <f>IF(J1835="","",J1835-K1835)</f>
        <v/>
      </c>
      <c r="M1835" s="14">
        <f>IF(A1835="","",MONTH(A1835))</f>
        <v/>
      </c>
      <c r="N1835" s="14">
        <f>IF(A1835="","",YEAR(A1835))</f>
        <v/>
      </c>
    </row>
    <row r="1836">
      <c r="A1836" s="15" t="n"/>
      <c r="B1836" s="10" t="n"/>
      <c r="C1836" s="10" t="n"/>
      <c r="D1836" s="10" t="n"/>
      <c r="E1836" s="14">
        <f>IF(D1836="","",IFERROR(INDEX('Sản phẩm'!$B$5:$B$304,MATCH(D1836,'Sản phẩm'!$A$5:$A$304,0)),""))</f>
        <v/>
      </c>
      <c r="F1836" s="12" t="n"/>
      <c r="G1836" s="11" t="n"/>
      <c r="H1836" s="11" t="n"/>
      <c r="I1836" s="16">
        <f>IF(D1836="","",IF(G1836&lt;&gt;"",G1836,IFERROR(INDEX('Sản phẩm'!$E$5:$E$304,MATCH(D1836,'Sản phẩm'!$A$5:$A$304,0)),"")))</f>
        <v/>
      </c>
      <c r="J1836" s="16">
        <f>IF(OR(D1836="",F1836=""),"",F1836*I1836-N(H1836))</f>
        <v/>
      </c>
      <c r="K1836" s="16">
        <f>IF(OR(D1836="",F1836=""),"",F1836*IFERROR(INDEX('Sản phẩm'!$D$5:$D$304,MATCH(D1836,'Sản phẩm'!$A$5:$A$304,0)),""))</f>
        <v/>
      </c>
      <c r="L1836" s="16">
        <f>IF(J1836="","",J1836-K1836)</f>
        <v/>
      </c>
      <c r="M1836" s="14">
        <f>IF(A1836="","",MONTH(A1836))</f>
        <v/>
      </c>
      <c r="N1836" s="14">
        <f>IF(A1836="","",YEAR(A1836))</f>
        <v/>
      </c>
    </row>
    <row r="1837">
      <c r="A1837" s="15" t="n"/>
      <c r="B1837" s="10" t="n"/>
      <c r="C1837" s="10" t="n"/>
      <c r="D1837" s="10" t="n"/>
      <c r="E1837" s="14">
        <f>IF(D1837="","",IFERROR(INDEX('Sản phẩm'!$B$5:$B$304,MATCH(D1837,'Sản phẩm'!$A$5:$A$304,0)),""))</f>
        <v/>
      </c>
      <c r="F1837" s="12" t="n"/>
      <c r="G1837" s="11" t="n"/>
      <c r="H1837" s="11" t="n"/>
      <c r="I1837" s="16">
        <f>IF(D1837="","",IF(G1837&lt;&gt;"",G1837,IFERROR(INDEX('Sản phẩm'!$E$5:$E$304,MATCH(D1837,'Sản phẩm'!$A$5:$A$304,0)),"")))</f>
        <v/>
      </c>
      <c r="J1837" s="16">
        <f>IF(OR(D1837="",F1837=""),"",F1837*I1837-N(H1837))</f>
        <v/>
      </c>
      <c r="K1837" s="16">
        <f>IF(OR(D1837="",F1837=""),"",F1837*IFERROR(INDEX('Sản phẩm'!$D$5:$D$304,MATCH(D1837,'Sản phẩm'!$A$5:$A$304,0)),""))</f>
        <v/>
      </c>
      <c r="L1837" s="16">
        <f>IF(J1837="","",J1837-K1837)</f>
        <v/>
      </c>
      <c r="M1837" s="14">
        <f>IF(A1837="","",MONTH(A1837))</f>
        <v/>
      </c>
      <c r="N1837" s="14">
        <f>IF(A1837="","",YEAR(A1837))</f>
        <v/>
      </c>
    </row>
    <row r="1838">
      <c r="A1838" s="15" t="n"/>
      <c r="B1838" s="10" t="n"/>
      <c r="C1838" s="10" t="n"/>
      <c r="D1838" s="10" t="n"/>
      <c r="E1838" s="14">
        <f>IF(D1838="","",IFERROR(INDEX('Sản phẩm'!$B$5:$B$304,MATCH(D1838,'Sản phẩm'!$A$5:$A$304,0)),""))</f>
        <v/>
      </c>
      <c r="F1838" s="12" t="n"/>
      <c r="G1838" s="11" t="n"/>
      <c r="H1838" s="11" t="n"/>
      <c r="I1838" s="16">
        <f>IF(D1838="","",IF(G1838&lt;&gt;"",G1838,IFERROR(INDEX('Sản phẩm'!$E$5:$E$304,MATCH(D1838,'Sản phẩm'!$A$5:$A$304,0)),"")))</f>
        <v/>
      </c>
      <c r="J1838" s="16">
        <f>IF(OR(D1838="",F1838=""),"",F1838*I1838-N(H1838))</f>
        <v/>
      </c>
      <c r="K1838" s="16">
        <f>IF(OR(D1838="",F1838=""),"",F1838*IFERROR(INDEX('Sản phẩm'!$D$5:$D$304,MATCH(D1838,'Sản phẩm'!$A$5:$A$304,0)),""))</f>
        <v/>
      </c>
      <c r="L1838" s="16">
        <f>IF(J1838="","",J1838-K1838)</f>
        <v/>
      </c>
      <c r="M1838" s="14">
        <f>IF(A1838="","",MONTH(A1838))</f>
        <v/>
      </c>
      <c r="N1838" s="14">
        <f>IF(A1838="","",YEAR(A1838))</f>
        <v/>
      </c>
    </row>
    <row r="1839">
      <c r="A1839" s="15" t="n"/>
      <c r="B1839" s="10" t="n"/>
      <c r="C1839" s="10" t="n"/>
      <c r="D1839" s="10" t="n"/>
      <c r="E1839" s="14">
        <f>IF(D1839="","",IFERROR(INDEX('Sản phẩm'!$B$5:$B$304,MATCH(D1839,'Sản phẩm'!$A$5:$A$304,0)),""))</f>
        <v/>
      </c>
      <c r="F1839" s="12" t="n"/>
      <c r="G1839" s="11" t="n"/>
      <c r="H1839" s="11" t="n"/>
      <c r="I1839" s="16">
        <f>IF(D1839="","",IF(G1839&lt;&gt;"",G1839,IFERROR(INDEX('Sản phẩm'!$E$5:$E$304,MATCH(D1839,'Sản phẩm'!$A$5:$A$304,0)),"")))</f>
        <v/>
      </c>
      <c r="J1839" s="16">
        <f>IF(OR(D1839="",F1839=""),"",F1839*I1839-N(H1839))</f>
        <v/>
      </c>
      <c r="K1839" s="16">
        <f>IF(OR(D1839="",F1839=""),"",F1839*IFERROR(INDEX('Sản phẩm'!$D$5:$D$304,MATCH(D1839,'Sản phẩm'!$A$5:$A$304,0)),""))</f>
        <v/>
      </c>
      <c r="L1839" s="16">
        <f>IF(J1839="","",J1839-K1839)</f>
        <v/>
      </c>
      <c r="M1839" s="14">
        <f>IF(A1839="","",MONTH(A1839))</f>
        <v/>
      </c>
      <c r="N1839" s="14">
        <f>IF(A1839="","",YEAR(A1839))</f>
        <v/>
      </c>
    </row>
    <row r="1840">
      <c r="A1840" s="15" t="n"/>
      <c r="B1840" s="10" t="n"/>
      <c r="C1840" s="10" t="n"/>
      <c r="D1840" s="10" t="n"/>
      <c r="E1840" s="14">
        <f>IF(D1840="","",IFERROR(INDEX('Sản phẩm'!$B$5:$B$304,MATCH(D1840,'Sản phẩm'!$A$5:$A$304,0)),""))</f>
        <v/>
      </c>
      <c r="F1840" s="12" t="n"/>
      <c r="G1840" s="11" t="n"/>
      <c r="H1840" s="11" t="n"/>
      <c r="I1840" s="16">
        <f>IF(D1840="","",IF(G1840&lt;&gt;"",G1840,IFERROR(INDEX('Sản phẩm'!$E$5:$E$304,MATCH(D1840,'Sản phẩm'!$A$5:$A$304,0)),"")))</f>
        <v/>
      </c>
      <c r="J1840" s="16">
        <f>IF(OR(D1840="",F1840=""),"",F1840*I1840-N(H1840))</f>
        <v/>
      </c>
      <c r="K1840" s="16">
        <f>IF(OR(D1840="",F1840=""),"",F1840*IFERROR(INDEX('Sản phẩm'!$D$5:$D$304,MATCH(D1840,'Sản phẩm'!$A$5:$A$304,0)),""))</f>
        <v/>
      </c>
      <c r="L1840" s="16">
        <f>IF(J1840="","",J1840-K1840)</f>
        <v/>
      </c>
      <c r="M1840" s="14">
        <f>IF(A1840="","",MONTH(A1840))</f>
        <v/>
      </c>
      <c r="N1840" s="14">
        <f>IF(A1840="","",YEAR(A1840))</f>
        <v/>
      </c>
    </row>
    <row r="1841">
      <c r="A1841" s="15" t="n"/>
      <c r="B1841" s="10" t="n"/>
      <c r="C1841" s="10" t="n"/>
      <c r="D1841" s="10" t="n"/>
      <c r="E1841" s="14">
        <f>IF(D1841="","",IFERROR(INDEX('Sản phẩm'!$B$5:$B$304,MATCH(D1841,'Sản phẩm'!$A$5:$A$304,0)),""))</f>
        <v/>
      </c>
      <c r="F1841" s="12" t="n"/>
      <c r="G1841" s="11" t="n"/>
      <c r="H1841" s="11" t="n"/>
      <c r="I1841" s="16">
        <f>IF(D1841="","",IF(G1841&lt;&gt;"",G1841,IFERROR(INDEX('Sản phẩm'!$E$5:$E$304,MATCH(D1841,'Sản phẩm'!$A$5:$A$304,0)),"")))</f>
        <v/>
      </c>
      <c r="J1841" s="16">
        <f>IF(OR(D1841="",F1841=""),"",F1841*I1841-N(H1841))</f>
        <v/>
      </c>
      <c r="K1841" s="16">
        <f>IF(OR(D1841="",F1841=""),"",F1841*IFERROR(INDEX('Sản phẩm'!$D$5:$D$304,MATCH(D1841,'Sản phẩm'!$A$5:$A$304,0)),""))</f>
        <v/>
      </c>
      <c r="L1841" s="16">
        <f>IF(J1841="","",J1841-K1841)</f>
        <v/>
      </c>
      <c r="M1841" s="14">
        <f>IF(A1841="","",MONTH(A1841))</f>
        <v/>
      </c>
      <c r="N1841" s="14">
        <f>IF(A1841="","",YEAR(A1841))</f>
        <v/>
      </c>
    </row>
    <row r="1842">
      <c r="A1842" s="15" t="n"/>
      <c r="B1842" s="10" t="n"/>
      <c r="C1842" s="10" t="n"/>
      <c r="D1842" s="10" t="n"/>
      <c r="E1842" s="14">
        <f>IF(D1842="","",IFERROR(INDEX('Sản phẩm'!$B$5:$B$304,MATCH(D1842,'Sản phẩm'!$A$5:$A$304,0)),""))</f>
        <v/>
      </c>
      <c r="F1842" s="12" t="n"/>
      <c r="G1842" s="11" t="n"/>
      <c r="H1842" s="11" t="n"/>
      <c r="I1842" s="16">
        <f>IF(D1842="","",IF(G1842&lt;&gt;"",G1842,IFERROR(INDEX('Sản phẩm'!$E$5:$E$304,MATCH(D1842,'Sản phẩm'!$A$5:$A$304,0)),"")))</f>
        <v/>
      </c>
      <c r="J1842" s="16">
        <f>IF(OR(D1842="",F1842=""),"",F1842*I1842-N(H1842))</f>
        <v/>
      </c>
      <c r="K1842" s="16">
        <f>IF(OR(D1842="",F1842=""),"",F1842*IFERROR(INDEX('Sản phẩm'!$D$5:$D$304,MATCH(D1842,'Sản phẩm'!$A$5:$A$304,0)),""))</f>
        <v/>
      </c>
      <c r="L1842" s="16">
        <f>IF(J1842="","",J1842-K1842)</f>
        <v/>
      </c>
      <c r="M1842" s="14">
        <f>IF(A1842="","",MONTH(A1842))</f>
        <v/>
      </c>
      <c r="N1842" s="14">
        <f>IF(A1842="","",YEAR(A1842))</f>
        <v/>
      </c>
    </row>
    <row r="1843">
      <c r="A1843" s="15" t="n"/>
      <c r="B1843" s="10" t="n"/>
      <c r="C1843" s="10" t="n"/>
      <c r="D1843" s="10" t="n"/>
      <c r="E1843" s="14">
        <f>IF(D1843="","",IFERROR(INDEX('Sản phẩm'!$B$5:$B$304,MATCH(D1843,'Sản phẩm'!$A$5:$A$304,0)),""))</f>
        <v/>
      </c>
      <c r="F1843" s="12" t="n"/>
      <c r="G1843" s="11" t="n"/>
      <c r="H1843" s="11" t="n"/>
      <c r="I1843" s="16">
        <f>IF(D1843="","",IF(G1843&lt;&gt;"",G1843,IFERROR(INDEX('Sản phẩm'!$E$5:$E$304,MATCH(D1843,'Sản phẩm'!$A$5:$A$304,0)),"")))</f>
        <v/>
      </c>
      <c r="J1843" s="16">
        <f>IF(OR(D1843="",F1843=""),"",F1843*I1843-N(H1843))</f>
        <v/>
      </c>
      <c r="K1843" s="16">
        <f>IF(OR(D1843="",F1843=""),"",F1843*IFERROR(INDEX('Sản phẩm'!$D$5:$D$304,MATCH(D1843,'Sản phẩm'!$A$5:$A$304,0)),""))</f>
        <v/>
      </c>
      <c r="L1843" s="16">
        <f>IF(J1843="","",J1843-K1843)</f>
        <v/>
      </c>
      <c r="M1843" s="14">
        <f>IF(A1843="","",MONTH(A1843))</f>
        <v/>
      </c>
      <c r="N1843" s="14">
        <f>IF(A1843="","",YEAR(A1843))</f>
        <v/>
      </c>
    </row>
    <row r="1844">
      <c r="A1844" s="15" t="n"/>
      <c r="B1844" s="10" t="n"/>
      <c r="C1844" s="10" t="n"/>
      <c r="D1844" s="10" t="n"/>
      <c r="E1844" s="14">
        <f>IF(D1844="","",IFERROR(INDEX('Sản phẩm'!$B$5:$B$304,MATCH(D1844,'Sản phẩm'!$A$5:$A$304,0)),""))</f>
        <v/>
      </c>
      <c r="F1844" s="12" t="n"/>
      <c r="G1844" s="11" t="n"/>
      <c r="H1844" s="11" t="n"/>
      <c r="I1844" s="16">
        <f>IF(D1844="","",IF(G1844&lt;&gt;"",G1844,IFERROR(INDEX('Sản phẩm'!$E$5:$E$304,MATCH(D1844,'Sản phẩm'!$A$5:$A$304,0)),"")))</f>
        <v/>
      </c>
      <c r="J1844" s="16">
        <f>IF(OR(D1844="",F1844=""),"",F1844*I1844-N(H1844))</f>
        <v/>
      </c>
      <c r="K1844" s="16">
        <f>IF(OR(D1844="",F1844=""),"",F1844*IFERROR(INDEX('Sản phẩm'!$D$5:$D$304,MATCH(D1844,'Sản phẩm'!$A$5:$A$304,0)),""))</f>
        <v/>
      </c>
      <c r="L1844" s="16">
        <f>IF(J1844="","",J1844-K1844)</f>
        <v/>
      </c>
      <c r="M1844" s="14">
        <f>IF(A1844="","",MONTH(A1844))</f>
        <v/>
      </c>
      <c r="N1844" s="14">
        <f>IF(A1844="","",YEAR(A1844))</f>
        <v/>
      </c>
    </row>
    <row r="1845">
      <c r="A1845" s="15" t="n"/>
      <c r="B1845" s="10" t="n"/>
      <c r="C1845" s="10" t="n"/>
      <c r="D1845" s="10" t="n"/>
      <c r="E1845" s="14">
        <f>IF(D1845="","",IFERROR(INDEX('Sản phẩm'!$B$5:$B$304,MATCH(D1845,'Sản phẩm'!$A$5:$A$304,0)),""))</f>
        <v/>
      </c>
      <c r="F1845" s="12" t="n"/>
      <c r="G1845" s="11" t="n"/>
      <c r="H1845" s="11" t="n"/>
      <c r="I1845" s="16">
        <f>IF(D1845="","",IF(G1845&lt;&gt;"",G1845,IFERROR(INDEX('Sản phẩm'!$E$5:$E$304,MATCH(D1845,'Sản phẩm'!$A$5:$A$304,0)),"")))</f>
        <v/>
      </c>
      <c r="J1845" s="16">
        <f>IF(OR(D1845="",F1845=""),"",F1845*I1845-N(H1845))</f>
        <v/>
      </c>
      <c r="K1845" s="16">
        <f>IF(OR(D1845="",F1845=""),"",F1845*IFERROR(INDEX('Sản phẩm'!$D$5:$D$304,MATCH(D1845,'Sản phẩm'!$A$5:$A$304,0)),""))</f>
        <v/>
      </c>
      <c r="L1845" s="16">
        <f>IF(J1845="","",J1845-K1845)</f>
        <v/>
      </c>
      <c r="M1845" s="14">
        <f>IF(A1845="","",MONTH(A1845))</f>
        <v/>
      </c>
      <c r="N1845" s="14">
        <f>IF(A1845="","",YEAR(A1845))</f>
        <v/>
      </c>
    </row>
    <row r="1846">
      <c r="A1846" s="15" t="n"/>
      <c r="B1846" s="10" t="n"/>
      <c r="C1846" s="10" t="n"/>
      <c r="D1846" s="10" t="n"/>
      <c r="E1846" s="14">
        <f>IF(D1846="","",IFERROR(INDEX('Sản phẩm'!$B$5:$B$304,MATCH(D1846,'Sản phẩm'!$A$5:$A$304,0)),""))</f>
        <v/>
      </c>
      <c r="F1846" s="12" t="n"/>
      <c r="G1846" s="11" t="n"/>
      <c r="H1846" s="11" t="n"/>
      <c r="I1846" s="16">
        <f>IF(D1846="","",IF(G1846&lt;&gt;"",G1846,IFERROR(INDEX('Sản phẩm'!$E$5:$E$304,MATCH(D1846,'Sản phẩm'!$A$5:$A$304,0)),"")))</f>
        <v/>
      </c>
      <c r="J1846" s="16">
        <f>IF(OR(D1846="",F1846=""),"",F1846*I1846-N(H1846))</f>
        <v/>
      </c>
      <c r="K1846" s="16">
        <f>IF(OR(D1846="",F1846=""),"",F1846*IFERROR(INDEX('Sản phẩm'!$D$5:$D$304,MATCH(D1846,'Sản phẩm'!$A$5:$A$304,0)),""))</f>
        <v/>
      </c>
      <c r="L1846" s="16">
        <f>IF(J1846="","",J1846-K1846)</f>
        <v/>
      </c>
      <c r="M1846" s="14">
        <f>IF(A1846="","",MONTH(A1846))</f>
        <v/>
      </c>
      <c r="N1846" s="14">
        <f>IF(A1846="","",YEAR(A1846))</f>
        <v/>
      </c>
    </row>
    <row r="1847">
      <c r="A1847" s="15" t="n"/>
      <c r="B1847" s="10" t="n"/>
      <c r="C1847" s="10" t="n"/>
      <c r="D1847" s="10" t="n"/>
      <c r="E1847" s="14">
        <f>IF(D1847="","",IFERROR(INDEX('Sản phẩm'!$B$5:$B$304,MATCH(D1847,'Sản phẩm'!$A$5:$A$304,0)),""))</f>
        <v/>
      </c>
      <c r="F1847" s="12" t="n"/>
      <c r="G1847" s="11" t="n"/>
      <c r="H1847" s="11" t="n"/>
      <c r="I1847" s="16">
        <f>IF(D1847="","",IF(G1847&lt;&gt;"",G1847,IFERROR(INDEX('Sản phẩm'!$E$5:$E$304,MATCH(D1847,'Sản phẩm'!$A$5:$A$304,0)),"")))</f>
        <v/>
      </c>
      <c r="J1847" s="16">
        <f>IF(OR(D1847="",F1847=""),"",F1847*I1847-N(H1847))</f>
        <v/>
      </c>
      <c r="K1847" s="16">
        <f>IF(OR(D1847="",F1847=""),"",F1847*IFERROR(INDEX('Sản phẩm'!$D$5:$D$304,MATCH(D1847,'Sản phẩm'!$A$5:$A$304,0)),""))</f>
        <v/>
      </c>
      <c r="L1847" s="16">
        <f>IF(J1847="","",J1847-K1847)</f>
        <v/>
      </c>
      <c r="M1847" s="14">
        <f>IF(A1847="","",MONTH(A1847))</f>
        <v/>
      </c>
      <c r="N1847" s="14">
        <f>IF(A1847="","",YEAR(A1847))</f>
        <v/>
      </c>
    </row>
    <row r="1848">
      <c r="A1848" s="15" t="n"/>
      <c r="B1848" s="10" t="n"/>
      <c r="C1848" s="10" t="n"/>
      <c r="D1848" s="10" t="n"/>
      <c r="E1848" s="14">
        <f>IF(D1848="","",IFERROR(INDEX('Sản phẩm'!$B$5:$B$304,MATCH(D1848,'Sản phẩm'!$A$5:$A$304,0)),""))</f>
        <v/>
      </c>
      <c r="F1848" s="12" t="n"/>
      <c r="G1848" s="11" t="n"/>
      <c r="H1848" s="11" t="n"/>
      <c r="I1848" s="16">
        <f>IF(D1848="","",IF(G1848&lt;&gt;"",G1848,IFERROR(INDEX('Sản phẩm'!$E$5:$E$304,MATCH(D1848,'Sản phẩm'!$A$5:$A$304,0)),"")))</f>
        <v/>
      </c>
      <c r="J1848" s="16">
        <f>IF(OR(D1848="",F1848=""),"",F1848*I1848-N(H1848))</f>
        <v/>
      </c>
      <c r="K1848" s="16">
        <f>IF(OR(D1848="",F1848=""),"",F1848*IFERROR(INDEX('Sản phẩm'!$D$5:$D$304,MATCH(D1848,'Sản phẩm'!$A$5:$A$304,0)),""))</f>
        <v/>
      </c>
      <c r="L1848" s="16">
        <f>IF(J1848="","",J1848-K1848)</f>
        <v/>
      </c>
      <c r="M1848" s="14">
        <f>IF(A1848="","",MONTH(A1848))</f>
        <v/>
      </c>
      <c r="N1848" s="14">
        <f>IF(A1848="","",YEAR(A1848))</f>
        <v/>
      </c>
    </row>
    <row r="1849">
      <c r="A1849" s="15" t="n"/>
      <c r="B1849" s="10" t="n"/>
      <c r="C1849" s="10" t="n"/>
      <c r="D1849" s="10" t="n"/>
      <c r="E1849" s="14">
        <f>IF(D1849="","",IFERROR(INDEX('Sản phẩm'!$B$5:$B$304,MATCH(D1849,'Sản phẩm'!$A$5:$A$304,0)),""))</f>
        <v/>
      </c>
      <c r="F1849" s="12" t="n"/>
      <c r="G1849" s="11" t="n"/>
      <c r="H1849" s="11" t="n"/>
      <c r="I1849" s="16">
        <f>IF(D1849="","",IF(G1849&lt;&gt;"",G1849,IFERROR(INDEX('Sản phẩm'!$E$5:$E$304,MATCH(D1849,'Sản phẩm'!$A$5:$A$304,0)),"")))</f>
        <v/>
      </c>
      <c r="J1849" s="16">
        <f>IF(OR(D1849="",F1849=""),"",F1849*I1849-N(H1849))</f>
        <v/>
      </c>
      <c r="K1849" s="16">
        <f>IF(OR(D1849="",F1849=""),"",F1849*IFERROR(INDEX('Sản phẩm'!$D$5:$D$304,MATCH(D1849,'Sản phẩm'!$A$5:$A$304,0)),""))</f>
        <v/>
      </c>
      <c r="L1849" s="16">
        <f>IF(J1849="","",J1849-K1849)</f>
        <v/>
      </c>
      <c r="M1849" s="14">
        <f>IF(A1849="","",MONTH(A1849))</f>
        <v/>
      </c>
      <c r="N1849" s="14">
        <f>IF(A1849="","",YEAR(A1849))</f>
        <v/>
      </c>
    </row>
    <row r="1850">
      <c r="A1850" s="15" t="n"/>
      <c r="B1850" s="10" t="n"/>
      <c r="C1850" s="10" t="n"/>
      <c r="D1850" s="10" t="n"/>
      <c r="E1850" s="14">
        <f>IF(D1850="","",IFERROR(INDEX('Sản phẩm'!$B$5:$B$304,MATCH(D1850,'Sản phẩm'!$A$5:$A$304,0)),""))</f>
        <v/>
      </c>
      <c r="F1850" s="12" t="n"/>
      <c r="G1850" s="11" t="n"/>
      <c r="H1850" s="11" t="n"/>
      <c r="I1850" s="16">
        <f>IF(D1850="","",IF(G1850&lt;&gt;"",G1850,IFERROR(INDEX('Sản phẩm'!$E$5:$E$304,MATCH(D1850,'Sản phẩm'!$A$5:$A$304,0)),"")))</f>
        <v/>
      </c>
      <c r="J1850" s="16">
        <f>IF(OR(D1850="",F1850=""),"",F1850*I1850-N(H1850))</f>
        <v/>
      </c>
      <c r="K1850" s="16">
        <f>IF(OR(D1850="",F1850=""),"",F1850*IFERROR(INDEX('Sản phẩm'!$D$5:$D$304,MATCH(D1850,'Sản phẩm'!$A$5:$A$304,0)),""))</f>
        <v/>
      </c>
      <c r="L1850" s="16">
        <f>IF(J1850="","",J1850-K1850)</f>
        <v/>
      </c>
      <c r="M1850" s="14">
        <f>IF(A1850="","",MONTH(A1850))</f>
        <v/>
      </c>
      <c r="N1850" s="14">
        <f>IF(A1850="","",YEAR(A1850))</f>
        <v/>
      </c>
    </row>
    <row r="1851">
      <c r="A1851" s="15" t="n"/>
      <c r="B1851" s="10" t="n"/>
      <c r="C1851" s="10" t="n"/>
      <c r="D1851" s="10" t="n"/>
      <c r="E1851" s="14">
        <f>IF(D1851="","",IFERROR(INDEX('Sản phẩm'!$B$5:$B$304,MATCH(D1851,'Sản phẩm'!$A$5:$A$304,0)),""))</f>
        <v/>
      </c>
      <c r="F1851" s="12" t="n"/>
      <c r="G1851" s="11" t="n"/>
      <c r="H1851" s="11" t="n"/>
      <c r="I1851" s="16">
        <f>IF(D1851="","",IF(G1851&lt;&gt;"",G1851,IFERROR(INDEX('Sản phẩm'!$E$5:$E$304,MATCH(D1851,'Sản phẩm'!$A$5:$A$304,0)),"")))</f>
        <v/>
      </c>
      <c r="J1851" s="16">
        <f>IF(OR(D1851="",F1851=""),"",F1851*I1851-N(H1851))</f>
        <v/>
      </c>
      <c r="K1851" s="16">
        <f>IF(OR(D1851="",F1851=""),"",F1851*IFERROR(INDEX('Sản phẩm'!$D$5:$D$304,MATCH(D1851,'Sản phẩm'!$A$5:$A$304,0)),""))</f>
        <v/>
      </c>
      <c r="L1851" s="16">
        <f>IF(J1851="","",J1851-K1851)</f>
        <v/>
      </c>
      <c r="M1851" s="14">
        <f>IF(A1851="","",MONTH(A1851))</f>
        <v/>
      </c>
      <c r="N1851" s="14">
        <f>IF(A1851="","",YEAR(A1851))</f>
        <v/>
      </c>
    </row>
    <row r="1852">
      <c r="A1852" s="15" t="n"/>
      <c r="B1852" s="10" t="n"/>
      <c r="C1852" s="10" t="n"/>
      <c r="D1852" s="10" t="n"/>
      <c r="E1852" s="14">
        <f>IF(D1852="","",IFERROR(INDEX('Sản phẩm'!$B$5:$B$304,MATCH(D1852,'Sản phẩm'!$A$5:$A$304,0)),""))</f>
        <v/>
      </c>
      <c r="F1852" s="12" t="n"/>
      <c r="G1852" s="11" t="n"/>
      <c r="H1852" s="11" t="n"/>
      <c r="I1852" s="16">
        <f>IF(D1852="","",IF(G1852&lt;&gt;"",G1852,IFERROR(INDEX('Sản phẩm'!$E$5:$E$304,MATCH(D1852,'Sản phẩm'!$A$5:$A$304,0)),"")))</f>
        <v/>
      </c>
      <c r="J1852" s="16">
        <f>IF(OR(D1852="",F1852=""),"",F1852*I1852-N(H1852))</f>
        <v/>
      </c>
      <c r="K1852" s="16">
        <f>IF(OR(D1852="",F1852=""),"",F1852*IFERROR(INDEX('Sản phẩm'!$D$5:$D$304,MATCH(D1852,'Sản phẩm'!$A$5:$A$304,0)),""))</f>
        <v/>
      </c>
      <c r="L1852" s="16">
        <f>IF(J1852="","",J1852-K1852)</f>
        <v/>
      </c>
      <c r="M1852" s="14">
        <f>IF(A1852="","",MONTH(A1852))</f>
        <v/>
      </c>
      <c r="N1852" s="14">
        <f>IF(A1852="","",YEAR(A1852))</f>
        <v/>
      </c>
    </row>
    <row r="1853">
      <c r="A1853" s="15" t="n"/>
      <c r="B1853" s="10" t="n"/>
      <c r="C1853" s="10" t="n"/>
      <c r="D1853" s="10" t="n"/>
      <c r="E1853" s="14">
        <f>IF(D1853="","",IFERROR(INDEX('Sản phẩm'!$B$5:$B$304,MATCH(D1853,'Sản phẩm'!$A$5:$A$304,0)),""))</f>
        <v/>
      </c>
      <c r="F1853" s="12" t="n"/>
      <c r="G1853" s="11" t="n"/>
      <c r="H1853" s="11" t="n"/>
      <c r="I1853" s="16">
        <f>IF(D1853="","",IF(G1853&lt;&gt;"",G1853,IFERROR(INDEX('Sản phẩm'!$E$5:$E$304,MATCH(D1853,'Sản phẩm'!$A$5:$A$304,0)),"")))</f>
        <v/>
      </c>
      <c r="J1853" s="16">
        <f>IF(OR(D1853="",F1853=""),"",F1853*I1853-N(H1853))</f>
        <v/>
      </c>
      <c r="K1853" s="16">
        <f>IF(OR(D1853="",F1853=""),"",F1853*IFERROR(INDEX('Sản phẩm'!$D$5:$D$304,MATCH(D1853,'Sản phẩm'!$A$5:$A$304,0)),""))</f>
        <v/>
      </c>
      <c r="L1853" s="16">
        <f>IF(J1853="","",J1853-K1853)</f>
        <v/>
      </c>
      <c r="M1853" s="14">
        <f>IF(A1853="","",MONTH(A1853))</f>
        <v/>
      </c>
      <c r="N1853" s="14">
        <f>IF(A1853="","",YEAR(A1853))</f>
        <v/>
      </c>
    </row>
    <row r="1854">
      <c r="A1854" s="15" t="n"/>
      <c r="B1854" s="10" t="n"/>
      <c r="C1854" s="10" t="n"/>
      <c r="D1854" s="10" t="n"/>
      <c r="E1854" s="14">
        <f>IF(D1854="","",IFERROR(INDEX('Sản phẩm'!$B$5:$B$304,MATCH(D1854,'Sản phẩm'!$A$5:$A$304,0)),""))</f>
        <v/>
      </c>
      <c r="F1854" s="12" t="n"/>
      <c r="G1854" s="11" t="n"/>
      <c r="H1854" s="11" t="n"/>
      <c r="I1854" s="16">
        <f>IF(D1854="","",IF(G1854&lt;&gt;"",G1854,IFERROR(INDEX('Sản phẩm'!$E$5:$E$304,MATCH(D1854,'Sản phẩm'!$A$5:$A$304,0)),"")))</f>
        <v/>
      </c>
      <c r="J1854" s="16">
        <f>IF(OR(D1854="",F1854=""),"",F1854*I1854-N(H1854))</f>
        <v/>
      </c>
      <c r="K1854" s="16">
        <f>IF(OR(D1854="",F1854=""),"",F1854*IFERROR(INDEX('Sản phẩm'!$D$5:$D$304,MATCH(D1854,'Sản phẩm'!$A$5:$A$304,0)),""))</f>
        <v/>
      </c>
      <c r="L1854" s="16">
        <f>IF(J1854="","",J1854-K1854)</f>
        <v/>
      </c>
      <c r="M1854" s="14">
        <f>IF(A1854="","",MONTH(A1854))</f>
        <v/>
      </c>
      <c r="N1854" s="14">
        <f>IF(A1854="","",YEAR(A1854))</f>
        <v/>
      </c>
    </row>
    <row r="1855">
      <c r="A1855" s="15" t="n"/>
      <c r="B1855" s="10" t="n"/>
      <c r="C1855" s="10" t="n"/>
      <c r="D1855" s="10" t="n"/>
      <c r="E1855" s="14">
        <f>IF(D1855="","",IFERROR(INDEX('Sản phẩm'!$B$5:$B$304,MATCH(D1855,'Sản phẩm'!$A$5:$A$304,0)),""))</f>
        <v/>
      </c>
      <c r="F1855" s="12" t="n"/>
      <c r="G1855" s="11" t="n"/>
      <c r="H1855" s="11" t="n"/>
      <c r="I1855" s="16">
        <f>IF(D1855="","",IF(G1855&lt;&gt;"",G1855,IFERROR(INDEX('Sản phẩm'!$E$5:$E$304,MATCH(D1855,'Sản phẩm'!$A$5:$A$304,0)),"")))</f>
        <v/>
      </c>
      <c r="J1855" s="16">
        <f>IF(OR(D1855="",F1855=""),"",F1855*I1855-N(H1855))</f>
        <v/>
      </c>
      <c r="K1855" s="16">
        <f>IF(OR(D1855="",F1855=""),"",F1855*IFERROR(INDEX('Sản phẩm'!$D$5:$D$304,MATCH(D1855,'Sản phẩm'!$A$5:$A$304,0)),""))</f>
        <v/>
      </c>
      <c r="L1855" s="16">
        <f>IF(J1855="","",J1855-K1855)</f>
        <v/>
      </c>
      <c r="M1855" s="14">
        <f>IF(A1855="","",MONTH(A1855))</f>
        <v/>
      </c>
      <c r="N1855" s="14">
        <f>IF(A1855="","",YEAR(A1855))</f>
        <v/>
      </c>
    </row>
    <row r="1856">
      <c r="A1856" s="15" t="n"/>
      <c r="B1856" s="10" t="n"/>
      <c r="C1856" s="10" t="n"/>
      <c r="D1856" s="10" t="n"/>
      <c r="E1856" s="14">
        <f>IF(D1856="","",IFERROR(INDEX('Sản phẩm'!$B$5:$B$304,MATCH(D1856,'Sản phẩm'!$A$5:$A$304,0)),""))</f>
        <v/>
      </c>
      <c r="F1856" s="12" t="n"/>
      <c r="G1856" s="11" t="n"/>
      <c r="H1856" s="11" t="n"/>
      <c r="I1856" s="16">
        <f>IF(D1856="","",IF(G1856&lt;&gt;"",G1856,IFERROR(INDEX('Sản phẩm'!$E$5:$E$304,MATCH(D1856,'Sản phẩm'!$A$5:$A$304,0)),"")))</f>
        <v/>
      </c>
      <c r="J1856" s="16">
        <f>IF(OR(D1856="",F1856=""),"",F1856*I1856-N(H1856))</f>
        <v/>
      </c>
      <c r="K1856" s="16">
        <f>IF(OR(D1856="",F1856=""),"",F1856*IFERROR(INDEX('Sản phẩm'!$D$5:$D$304,MATCH(D1856,'Sản phẩm'!$A$5:$A$304,0)),""))</f>
        <v/>
      </c>
      <c r="L1856" s="16">
        <f>IF(J1856="","",J1856-K1856)</f>
        <v/>
      </c>
      <c r="M1856" s="14">
        <f>IF(A1856="","",MONTH(A1856))</f>
        <v/>
      </c>
      <c r="N1856" s="14">
        <f>IF(A1856="","",YEAR(A1856))</f>
        <v/>
      </c>
    </row>
    <row r="1857">
      <c r="A1857" s="15" t="n"/>
      <c r="B1857" s="10" t="n"/>
      <c r="C1857" s="10" t="n"/>
      <c r="D1857" s="10" t="n"/>
      <c r="E1857" s="14">
        <f>IF(D1857="","",IFERROR(INDEX('Sản phẩm'!$B$5:$B$304,MATCH(D1857,'Sản phẩm'!$A$5:$A$304,0)),""))</f>
        <v/>
      </c>
      <c r="F1857" s="12" t="n"/>
      <c r="G1857" s="11" t="n"/>
      <c r="H1857" s="11" t="n"/>
      <c r="I1857" s="16">
        <f>IF(D1857="","",IF(G1857&lt;&gt;"",G1857,IFERROR(INDEX('Sản phẩm'!$E$5:$E$304,MATCH(D1857,'Sản phẩm'!$A$5:$A$304,0)),"")))</f>
        <v/>
      </c>
      <c r="J1857" s="16">
        <f>IF(OR(D1857="",F1857=""),"",F1857*I1857-N(H1857))</f>
        <v/>
      </c>
      <c r="K1857" s="16">
        <f>IF(OR(D1857="",F1857=""),"",F1857*IFERROR(INDEX('Sản phẩm'!$D$5:$D$304,MATCH(D1857,'Sản phẩm'!$A$5:$A$304,0)),""))</f>
        <v/>
      </c>
      <c r="L1857" s="16">
        <f>IF(J1857="","",J1857-K1857)</f>
        <v/>
      </c>
      <c r="M1857" s="14">
        <f>IF(A1857="","",MONTH(A1857))</f>
        <v/>
      </c>
      <c r="N1857" s="14">
        <f>IF(A1857="","",YEAR(A1857))</f>
        <v/>
      </c>
    </row>
    <row r="1858">
      <c r="A1858" s="15" t="n"/>
      <c r="B1858" s="10" t="n"/>
      <c r="C1858" s="10" t="n"/>
      <c r="D1858" s="10" t="n"/>
      <c r="E1858" s="14">
        <f>IF(D1858="","",IFERROR(INDEX('Sản phẩm'!$B$5:$B$304,MATCH(D1858,'Sản phẩm'!$A$5:$A$304,0)),""))</f>
        <v/>
      </c>
      <c r="F1858" s="12" t="n"/>
      <c r="G1858" s="11" t="n"/>
      <c r="H1858" s="11" t="n"/>
      <c r="I1858" s="16">
        <f>IF(D1858="","",IF(G1858&lt;&gt;"",G1858,IFERROR(INDEX('Sản phẩm'!$E$5:$E$304,MATCH(D1858,'Sản phẩm'!$A$5:$A$304,0)),"")))</f>
        <v/>
      </c>
      <c r="J1858" s="16">
        <f>IF(OR(D1858="",F1858=""),"",F1858*I1858-N(H1858))</f>
        <v/>
      </c>
      <c r="K1858" s="16">
        <f>IF(OR(D1858="",F1858=""),"",F1858*IFERROR(INDEX('Sản phẩm'!$D$5:$D$304,MATCH(D1858,'Sản phẩm'!$A$5:$A$304,0)),""))</f>
        <v/>
      </c>
      <c r="L1858" s="16">
        <f>IF(J1858="","",J1858-K1858)</f>
        <v/>
      </c>
      <c r="M1858" s="14">
        <f>IF(A1858="","",MONTH(A1858))</f>
        <v/>
      </c>
      <c r="N1858" s="14">
        <f>IF(A1858="","",YEAR(A1858))</f>
        <v/>
      </c>
    </row>
    <row r="1859">
      <c r="A1859" s="15" t="n"/>
      <c r="B1859" s="10" t="n"/>
      <c r="C1859" s="10" t="n"/>
      <c r="D1859" s="10" t="n"/>
      <c r="E1859" s="14">
        <f>IF(D1859="","",IFERROR(INDEX('Sản phẩm'!$B$5:$B$304,MATCH(D1859,'Sản phẩm'!$A$5:$A$304,0)),""))</f>
        <v/>
      </c>
      <c r="F1859" s="12" t="n"/>
      <c r="G1859" s="11" t="n"/>
      <c r="H1859" s="11" t="n"/>
      <c r="I1859" s="16">
        <f>IF(D1859="","",IF(G1859&lt;&gt;"",G1859,IFERROR(INDEX('Sản phẩm'!$E$5:$E$304,MATCH(D1859,'Sản phẩm'!$A$5:$A$304,0)),"")))</f>
        <v/>
      </c>
      <c r="J1859" s="16">
        <f>IF(OR(D1859="",F1859=""),"",F1859*I1859-N(H1859))</f>
        <v/>
      </c>
      <c r="K1859" s="16">
        <f>IF(OR(D1859="",F1859=""),"",F1859*IFERROR(INDEX('Sản phẩm'!$D$5:$D$304,MATCH(D1859,'Sản phẩm'!$A$5:$A$304,0)),""))</f>
        <v/>
      </c>
      <c r="L1859" s="16">
        <f>IF(J1859="","",J1859-K1859)</f>
        <v/>
      </c>
      <c r="M1859" s="14">
        <f>IF(A1859="","",MONTH(A1859))</f>
        <v/>
      </c>
      <c r="N1859" s="14">
        <f>IF(A1859="","",YEAR(A1859))</f>
        <v/>
      </c>
    </row>
    <row r="1860">
      <c r="A1860" s="15" t="n"/>
      <c r="B1860" s="10" t="n"/>
      <c r="C1860" s="10" t="n"/>
      <c r="D1860" s="10" t="n"/>
      <c r="E1860" s="14">
        <f>IF(D1860="","",IFERROR(INDEX('Sản phẩm'!$B$5:$B$304,MATCH(D1860,'Sản phẩm'!$A$5:$A$304,0)),""))</f>
        <v/>
      </c>
      <c r="F1860" s="12" t="n"/>
      <c r="G1860" s="11" t="n"/>
      <c r="H1860" s="11" t="n"/>
      <c r="I1860" s="16">
        <f>IF(D1860="","",IF(G1860&lt;&gt;"",G1860,IFERROR(INDEX('Sản phẩm'!$E$5:$E$304,MATCH(D1860,'Sản phẩm'!$A$5:$A$304,0)),"")))</f>
        <v/>
      </c>
      <c r="J1860" s="16">
        <f>IF(OR(D1860="",F1860=""),"",F1860*I1860-N(H1860))</f>
        <v/>
      </c>
      <c r="K1860" s="16">
        <f>IF(OR(D1860="",F1860=""),"",F1860*IFERROR(INDEX('Sản phẩm'!$D$5:$D$304,MATCH(D1860,'Sản phẩm'!$A$5:$A$304,0)),""))</f>
        <v/>
      </c>
      <c r="L1860" s="16">
        <f>IF(J1860="","",J1860-K1860)</f>
        <v/>
      </c>
      <c r="M1860" s="14">
        <f>IF(A1860="","",MONTH(A1860))</f>
        <v/>
      </c>
      <c r="N1860" s="14">
        <f>IF(A1860="","",YEAR(A1860))</f>
        <v/>
      </c>
    </row>
    <row r="1861">
      <c r="A1861" s="15" t="n"/>
      <c r="B1861" s="10" t="n"/>
      <c r="C1861" s="10" t="n"/>
      <c r="D1861" s="10" t="n"/>
      <c r="E1861" s="14">
        <f>IF(D1861="","",IFERROR(INDEX('Sản phẩm'!$B$5:$B$304,MATCH(D1861,'Sản phẩm'!$A$5:$A$304,0)),""))</f>
        <v/>
      </c>
      <c r="F1861" s="12" t="n"/>
      <c r="G1861" s="11" t="n"/>
      <c r="H1861" s="11" t="n"/>
      <c r="I1861" s="16">
        <f>IF(D1861="","",IF(G1861&lt;&gt;"",G1861,IFERROR(INDEX('Sản phẩm'!$E$5:$E$304,MATCH(D1861,'Sản phẩm'!$A$5:$A$304,0)),"")))</f>
        <v/>
      </c>
      <c r="J1861" s="16">
        <f>IF(OR(D1861="",F1861=""),"",F1861*I1861-N(H1861))</f>
        <v/>
      </c>
      <c r="K1861" s="16">
        <f>IF(OR(D1861="",F1861=""),"",F1861*IFERROR(INDEX('Sản phẩm'!$D$5:$D$304,MATCH(D1861,'Sản phẩm'!$A$5:$A$304,0)),""))</f>
        <v/>
      </c>
      <c r="L1861" s="16">
        <f>IF(J1861="","",J1861-K1861)</f>
        <v/>
      </c>
      <c r="M1861" s="14">
        <f>IF(A1861="","",MONTH(A1861))</f>
        <v/>
      </c>
      <c r="N1861" s="14">
        <f>IF(A1861="","",YEAR(A1861))</f>
        <v/>
      </c>
    </row>
    <row r="1862">
      <c r="A1862" s="15" t="n"/>
      <c r="B1862" s="10" t="n"/>
      <c r="C1862" s="10" t="n"/>
      <c r="D1862" s="10" t="n"/>
      <c r="E1862" s="14">
        <f>IF(D1862="","",IFERROR(INDEX('Sản phẩm'!$B$5:$B$304,MATCH(D1862,'Sản phẩm'!$A$5:$A$304,0)),""))</f>
        <v/>
      </c>
      <c r="F1862" s="12" t="n"/>
      <c r="G1862" s="11" t="n"/>
      <c r="H1862" s="11" t="n"/>
      <c r="I1862" s="16">
        <f>IF(D1862="","",IF(G1862&lt;&gt;"",G1862,IFERROR(INDEX('Sản phẩm'!$E$5:$E$304,MATCH(D1862,'Sản phẩm'!$A$5:$A$304,0)),"")))</f>
        <v/>
      </c>
      <c r="J1862" s="16">
        <f>IF(OR(D1862="",F1862=""),"",F1862*I1862-N(H1862))</f>
        <v/>
      </c>
      <c r="K1862" s="16">
        <f>IF(OR(D1862="",F1862=""),"",F1862*IFERROR(INDEX('Sản phẩm'!$D$5:$D$304,MATCH(D1862,'Sản phẩm'!$A$5:$A$304,0)),""))</f>
        <v/>
      </c>
      <c r="L1862" s="16">
        <f>IF(J1862="","",J1862-K1862)</f>
        <v/>
      </c>
      <c r="M1862" s="14">
        <f>IF(A1862="","",MONTH(A1862))</f>
        <v/>
      </c>
      <c r="N1862" s="14">
        <f>IF(A1862="","",YEAR(A1862))</f>
        <v/>
      </c>
    </row>
    <row r="1863">
      <c r="A1863" s="15" t="n"/>
      <c r="B1863" s="10" t="n"/>
      <c r="C1863" s="10" t="n"/>
      <c r="D1863" s="10" t="n"/>
      <c r="E1863" s="14">
        <f>IF(D1863="","",IFERROR(INDEX('Sản phẩm'!$B$5:$B$304,MATCH(D1863,'Sản phẩm'!$A$5:$A$304,0)),""))</f>
        <v/>
      </c>
      <c r="F1863" s="12" t="n"/>
      <c r="G1863" s="11" t="n"/>
      <c r="H1863" s="11" t="n"/>
      <c r="I1863" s="16">
        <f>IF(D1863="","",IF(G1863&lt;&gt;"",G1863,IFERROR(INDEX('Sản phẩm'!$E$5:$E$304,MATCH(D1863,'Sản phẩm'!$A$5:$A$304,0)),"")))</f>
        <v/>
      </c>
      <c r="J1863" s="16">
        <f>IF(OR(D1863="",F1863=""),"",F1863*I1863-N(H1863))</f>
        <v/>
      </c>
      <c r="K1863" s="16">
        <f>IF(OR(D1863="",F1863=""),"",F1863*IFERROR(INDEX('Sản phẩm'!$D$5:$D$304,MATCH(D1863,'Sản phẩm'!$A$5:$A$304,0)),""))</f>
        <v/>
      </c>
      <c r="L1863" s="16">
        <f>IF(J1863="","",J1863-K1863)</f>
        <v/>
      </c>
      <c r="M1863" s="14">
        <f>IF(A1863="","",MONTH(A1863))</f>
        <v/>
      </c>
      <c r="N1863" s="14">
        <f>IF(A1863="","",YEAR(A1863))</f>
        <v/>
      </c>
    </row>
    <row r="1864">
      <c r="A1864" s="15" t="n"/>
      <c r="B1864" s="10" t="n"/>
      <c r="C1864" s="10" t="n"/>
      <c r="D1864" s="10" t="n"/>
      <c r="E1864" s="14">
        <f>IF(D1864="","",IFERROR(INDEX('Sản phẩm'!$B$5:$B$304,MATCH(D1864,'Sản phẩm'!$A$5:$A$304,0)),""))</f>
        <v/>
      </c>
      <c r="F1864" s="12" t="n"/>
      <c r="G1864" s="11" t="n"/>
      <c r="H1864" s="11" t="n"/>
      <c r="I1864" s="16">
        <f>IF(D1864="","",IF(G1864&lt;&gt;"",G1864,IFERROR(INDEX('Sản phẩm'!$E$5:$E$304,MATCH(D1864,'Sản phẩm'!$A$5:$A$304,0)),"")))</f>
        <v/>
      </c>
      <c r="J1864" s="16">
        <f>IF(OR(D1864="",F1864=""),"",F1864*I1864-N(H1864))</f>
        <v/>
      </c>
      <c r="K1864" s="16">
        <f>IF(OR(D1864="",F1864=""),"",F1864*IFERROR(INDEX('Sản phẩm'!$D$5:$D$304,MATCH(D1864,'Sản phẩm'!$A$5:$A$304,0)),""))</f>
        <v/>
      </c>
      <c r="L1864" s="16">
        <f>IF(J1864="","",J1864-K1864)</f>
        <v/>
      </c>
      <c r="M1864" s="14">
        <f>IF(A1864="","",MONTH(A1864))</f>
        <v/>
      </c>
      <c r="N1864" s="14">
        <f>IF(A1864="","",YEAR(A1864))</f>
        <v/>
      </c>
    </row>
    <row r="1865">
      <c r="A1865" s="15" t="n"/>
      <c r="B1865" s="10" t="n"/>
      <c r="C1865" s="10" t="n"/>
      <c r="D1865" s="10" t="n"/>
      <c r="E1865" s="14">
        <f>IF(D1865="","",IFERROR(INDEX('Sản phẩm'!$B$5:$B$304,MATCH(D1865,'Sản phẩm'!$A$5:$A$304,0)),""))</f>
        <v/>
      </c>
      <c r="F1865" s="12" t="n"/>
      <c r="G1865" s="11" t="n"/>
      <c r="H1865" s="11" t="n"/>
      <c r="I1865" s="16">
        <f>IF(D1865="","",IF(G1865&lt;&gt;"",G1865,IFERROR(INDEX('Sản phẩm'!$E$5:$E$304,MATCH(D1865,'Sản phẩm'!$A$5:$A$304,0)),"")))</f>
        <v/>
      </c>
      <c r="J1865" s="16">
        <f>IF(OR(D1865="",F1865=""),"",F1865*I1865-N(H1865))</f>
        <v/>
      </c>
      <c r="K1865" s="16">
        <f>IF(OR(D1865="",F1865=""),"",F1865*IFERROR(INDEX('Sản phẩm'!$D$5:$D$304,MATCH(D1865,'Sản phẩm'!$A$5:$A$304,0)),""))</f>
        <v/>
      </c>
      <c r="L1865" s="16">
        <f>IF(J1865="","",J1865-K1865)</f>
        <v/>
      </c>
      <c r="M1865" s="14">
        <f>IF(A1865="","",MONTH(A1865))</f>
        <v/>
      </c>
      <c r="N1865" s="14">
        <f>IF(A1865="","",YEAR(A1865))</f>
        <v/>
      </c>
    </row>
    <row r="1866">
      <c r="A1866" s="15" t="n"/>
      <c r="B1866" s="10" t="n"/>
      <c r="C1866" s="10" t="n"/>
      <c r="D1866" s="10" t="n"/>
      <c r="E1866" s="14">
        <f>IF(D1866="","",IFERROR(INDEX('Sản phẩm'!$B$5:$B$304,MATCH(D1866,'Sản phẩm'!$A$5:$A$304,0)),""))</f>
        <v/>
      </c>
      <c r="F1866" s="12" t="n"/>
      <c r="G1866" s="11" t="n"/>
      <c r="H1866" s="11" t="n"/>
      <c r="I1866" s="16">
        <f>IF(D1866="","",IF(G1866&lt;&gt;"",G1866,IFERROR(INDEX('Sản phẩm'!$E$5:$E$304,MATCH(D1866,'Sản phẩm'!$A$5:$A$304,0)),"")))</f>
        <v/>
      </c>
      <c r="J1866" s="16">
        <f>IF(OR(D1866="",F1866=""),"",F1866*I1866-N(H1866))</f>
        <v/>
      </c>
      <c r="K1866" s="16">
        <f>IF(OR(D1866="",F1866=""),"",F1866*IFERROR(INDEX('Sản phẩm'!$D$5:$D$304,MATCH(D1866,'Sản phẩm'!$A$5:$A$304,0)),""))</f>
        <v/>
      </c>
      <c r="L1866" s="16">
        <f>IF(J1866="","",J1866-K1866)</f>
        <v/>
      </c>
      <c r="M1866" s="14">
        <f>IF(A1866="","",MONTH(A1866))</f>
        <v/>
      </c>
      <c r="N1866" s="14">
        <f>IF(A1866="","",YEAR(A1866))</f>
        <v/>
      </c>
    </row>
    <row r="1867">
      <c r="A1867" s="15" t="n"/>
      <c r="B1867" s="10" t="n"/>
      <c r="C1867" s="10" t="n"/>
      <c r="D1867" s="10" t="n"/>
      <c r="E1867" s="14">
        <f>IF(D1867="","",IFERROR(INDEX('Sản phẩm'!$B$5:$B$304,MATCH(D1867,'Sản phẩm'!$A$5:$A$304,0)),""))</f>
        <v/>
      </c>
      <c r="F1867" s="12" t="n"/>
      <c r="G1867" s="11" t="n"/>
      <c r="H1867" s="11" t="n"/>
      <c r="I1867" s="16">
        <f>IF(D1867="","",IF(G1867&lt;&gt;"",G1867,IFERROR(INDEX('Sản phẩm'!$E$5:$E$304,MATCH(D1867,'Sản phẩm'!$A$5:$A$304,0)),"")))</f>
        <v/>
      </c>
      <c r="J1867" s="16">
        <f>IF(OR(D1867="",F1867=""),"",F1867*I1867-N(H1867))</f>
        <v/>
      </c>
      <c r="K1867" s="16">
        <f>IF(OR(D1867="",F1867=""),"",F1867*IFERROR(INDEX('Sản phẩm'!$D$5:$D$304,MATCH(D1867,'Sản phẩm'!$A$5:$A$304,0)),""))</f>
        <v/>
      </c>
      <c r="L1867" s="16">
        <f>IF(J1867="","",J1867-K1867)</f>
        <v/>
      </c>
      <c r="M1867" s="14">
        <f>IF(A1867="","",MONTH(A1867))</f>
        <v/>
      </c>
      <c r="N1867" s="14">
        <f>IF(A1867="","",YEAR(A1867))</f>
        <v/>
      </c>
    </row>
    <row r="1868">
      <c r="A1868" s="15" t="n"/>
      <c r="B1868" s="10" t="n"/>
      <c r="C1868" s="10" t="n"/>
      <c r="D1868" s="10" t="n"/>
      <c r="E1868" s="14">
        <f>IF(D1868="","",IFERROR(INDEX('Sản phẩm'!$B$5:$B$304,MATCH(D1868,'Sản phẩm'!$A$5:$A$304,0)),""))</f>
        <v/>
      </c>
      <c r="F1868" s="12" t="n"/>
      <c r="G1868" s="11" t="n"/>
      <c r="H1868" s="11" t="n"/>
      <c r="I1868" s="16">
        <f>IF(D1868="","",IF(G1868&lt;&gt;"",G1868,IFERROR(INDEX('Sản phẩm'!$E$5:$E$304,MATCH(D1868,'Sản phẩm'!$A$5:$A$304,0)),"")))</f>
        <v/>
      </c>
      <c r="J1868" s="16">
        <f>IF(OR(D1868="",F1868=""),"",F1868*I1868-N(H1868))</f>
        <v/>
      </c>
      <c r="K1868" s="16">
        <f>IF(OR(D1868="",F1868=""),"",F1868*IFERROR(INDEX('Sản phẩm'!$D$5:$D$304,MATCH(D1868,'Sản phẩm'!$A$5:$A$304,0)),""))</f>
        <v/>
      </c>
      <c r="L1868" s="16">
        <f>IF(J1868="","",J1868-K1868)</f>
        <v/>
      </c>
      <c r="M1868" s="14">
        <f>IF(A1868="","",MONTH(A1868))</f>
        <v/>
      </c>
      <c r="N1868" s="14">
        <f>IF(A1868="","",YEAR(A1868))</f>
        <v/>
      </c>
    </row>
    <row r="1869">
      <c r="A1869" s="15" t="n"/>
      <c r="B1869" s="10" t="n"/>
      <c r="C1869" s="10" t="n"/>
      <c r="D1869" s="10" t="n"/>
      <c r="E1869" s="14">
        <f>IF(D1869="","",IFERROR(INDEX('Sản phẩm'!$B$5:$B$304,MATCH(D1869,'Sản phẩm'!$A$5:$A$304,0)),""))</f>
        <v/>
      </c>
      <c r="F1869" s="12" t="n"/>
      <c r="G1869" s="11" t="n"/>
      <c r="H1869" s="11" t="n"/>
      <c r="I1869" s="16">
        <f>IF(D1869="","",IF(G1869&lt;&gt;"",G1869,IFERROR(INDEX('Sản phẩm'!$E$5:$E$304,MATCH(D1869,'Sản phẩm'!$A$5:$A$304,0)),"")))</f>
        <v/>
      </c>
      <c r="J1869" s="16">
        <f>IF(OR(D1869="",F1869=""),"",F1869*I1869-N(H1869))</f>
        <v/>
      </c>
      <c r="K1869" s="16">
        <f>IF(OR(D1869="",F1869=""),"",F1869*IFERROR(INDEX('Sản phẩm'!$D$5:$D$304,MATCH(D1869,'Sản phẩm'!$A$5:$A$304,0)),""))</f>
        <v/>
      </c>
      <c r="L1869" s="16">
        <f>IF(J1869="","",J1869-K1869)</f>
        <v/>
      </c>
      <c r="M1869" s="14">
        <f>IF(A1869="","",MONTH(A1869))</f>
        <v/>
      </c>
      <c r="N1869" s="14">
        <f>IF(A1869="","",YEAR(A1869))</f>
        <v/>
      </c>
    </row>
    <row r="1870">
      <c r="A1870" s="15" t="n"/>
      <c r="B1870" s="10" t="n"/>
      <c r="C1870" s="10" t="n"/>
      <c r="D1870" s="10" t="n"/>
      <c r="E1870" s="14">
        <f>IF(D1870="","",IFERROR(INDEX('Sản phẩm'!$B$5:$B$304,MATCH(D1870,'Sản phẩm'!$A$5:$A$304,0)),""))</f>
        <v/>
      </c>
      <c r="F1870" s="12" t="n"/>
      <c r="G1870" s="11" t="n"/>
      <c r="H1870" s="11" t="n"/>
      <c r="I1870" s="16">
        <f>IF(D1870="","",IF(G1870&lt;&gt;"",G1870,IFERROR(INDEX('Sản phẩm'!$E$5:$E$304,MATCH(D1870,'Sản phẩm'!$A$5:$A$304,0)),"")))</f>
        <v/>
      </c>
      <c r="J1870" s="16">
        <f>IF(OR(D1870="",F1870=""),"",F1870*I1870-N(H1870))</f>
        <v/>
      </c>
      <c r="K1870" s="16">
        <f>IF(OR(D1870="",F1870=""),"",F1870*IFERROR(INDEX('Sản phẩm'!$D$5:$D$304,MATCH(D1870,'Sản phẩm'!$A$5:$A$304,0)),""))</f>
        <v/>
      </c>
      <c r="L1870" s="16">
        <f>IF(J1870="","",J1870-K1870)</f>
        <v/>
      </c>
      <c r="M1870" s="14">
        <f>IF(A1870="","",MONTH(A1870))</f>
        <v/>
      </c>
      <c r="N1870" s="14">
        <f>IF(A1870="","",YEAR(A1870))</f>
        <v/>
      </c>
    </row>
    <row r="1871">
      <c r="A1871" s="15" t="n"/>
      <c r="B1871" s="10" t="n"/>
      <c r="C1871" s="10" t="n"/>
      <c r="D1871" s="10" t="n"/>
      <c r="E1871" s="14">
        <f>IF(D1871="","",IFERROR(INDEX('Sản phẩm'!$B$5:$B$304,MATCH(D1871,'Sản phẩm'!$A$5:$A$304,0)),""))</f>
        <v/>
      </c>
      <c r="F1871" s="12" t="n"/>
      <c r="G1871" s="11" t="n"/>
      <c r="H1871" s="11" t="n"/>
      <c r="I1871" s="16">
        <f>IF(D1871="","",IF(G1871&lt;&gt;"",G1871,IFERROR(INDEX('Sản phẩm'!$E$5:$E$304,MATCH(D1871,'Sản phẩm'!$A$5:$A$304,0)),"")))</f>
        <v/>
      </c>
      <c r="J1871" s="16">
        <f>IF(OR(D1871="",F1871=""),"",F1871*I1871-N(H1871))</f>
        <v/>
      </c>
      <c r="K1871" s="16">
        <f>IF(OR(D1871="",F1871=""),"",F1871*IFERROR(INDEX('Sản phẩm'!$D$5:$D$304,MATCH(D1871,'Sản phẩm'!$A$5:$A$304,0)),""))</f>
        <v/>
      </c>
      <c r="L1871" s="16">
        <f>IF(J1871="","",J1871-K1871)</f>
        <v/>
      </c>
      <c r="M1871" s="14">
        <f>IF(A1871="","",MONTH(A1871))</f>
        <v/>
      </c>
      <c r="N1871" s="14">
        <f>IF(A1871="","",YEAR(A1871))</f>
        <v/>
      </c>
    </row>
    <row r="1872">
      <c r="A1872" s="15" t="n"/>
      <c r="B1872" s="10" t="n"/>
      <c r="C1872" s="10" t="n"/>
      <c r="D1872" s="10" t="n"/>
      <c r="E1872" s="14">
        <f>IF(D1872="","",IFERROR(INDEX('Sản phẩm'!$B$5:$B$304,MATCH(D1872,'Sản phẩm'!$A$5:$A$304,0)),""))</f>
        <v/>
      </c>
      <c r="F1872" s="12" t="n"/>
      <c r="G1872" s="11" t="n"/>
      <c r="H1872" s="11" t="n"/>
      <c r="I1872" s="16">
        <f>IF(D1872="","",IF(G1872&lt;&gt;"",G1872,IFERROR(INDEX('Sản phẩm'!$E$5:$E$304,MATCH(D1872,'Sản phẩm'!$A$5:$A$304,0)),"")))</f>
        <v/>
      </c>
      <c r="J1872" s="16">
        <f>IF(OR(D1872="",F1872=""),"",F1872*I1872-N(H1872))</f>
        <v/>
      </c>
      <c r="K1872" s="16">
        <f>IF(OR(D1872="",F1872=""),"",F1872*IFERROR(INDEX('Sản phẩm'!$D$5:$D$304,MATCH(D1872,'Sản phẩm'!$A$5:$A$304,0)),""))</f>
        <v/>
      </c>
      <c r="L1872" s="16">
        <f>IF(J1872="","",J1872-K1872)</f>
        <v/>
      </c>
      <c r="M1872" s="14">
        <f>IF(A1872="","",MONTH(A1872))</f>
        <v/>
      </c>
      <c r="N1872" s="14">
        <f>IF(A1872="","",YEAR(A1872))</f>
        <v/>
      </c>
    </row>
    <row r="1873">
      <c r="A1873" s="15" t="n"/>
      <c r="B1873" s="10" t="n"/>
      <c r="C1873" s="10" t="n"/>
      <c r="D1873" s="10" t="n"/>
      <c r="E1873" s="14">
        <f>IF(D1873="","",IFERROR(INDEX('Sản phẩm'!$B$5:$B$304,MATCH(D1873,'Sản phẩm'!$A$5:$A$304,0)),""))</f>
        <v/>
      </c>
      <c r="F1873" s="12" t="n"/>
      <c r="G1873" s="11" t="n"/>
      <c r="H1873" s="11" t="n"/>
      <c r="I1873" s="16">
        <f>IF(D1873="","",IF(G1873&lt;&gt;"",G1873,IFERROR(INDEX('Sản phẩm'!$E$5:$E$304,MATCH(D1873,'Sản phẩm'!$A$5:$A$304,0)),"")))</f>
        <v/>
      </c>
      <c r="J1873" s="16">
        <f>IF(OR(D1873="",F1873=""),"",F1873*I1873-N(H1873))</f>
        <v/>
      </c>
      <c r="K1873" s="16">
        <f>IF(OR(D1873="",F1873=""),"",F1873*IFERROR(INDEX('Sản phẩm'!$D$5:$D$304,MATCH(D1873,'Sản phẩm'!$A$5:$A$304,0)),""))</f>
        <v/>
      </c>
      <c r="L1873" s="16">
        <f>IF(J1873="","",J1873-K1873)</f>
        <v/>
      </c>
      <c r="M1873" s="14">
        <f>IF(A1873="","",MONTH(A1873))</f>
        <v/>
      </c>
      <c r="N1873" s="14">
        <f>IF(A1873="","",YEAR(A1873))</f>
        <v/>
      </c>
    </row>
    <row r="1874">
      <c r="A1874" s="15" t="n"/>
      <c r="B1874" s="10" t="n"/>
      <c r="C1874" s="10" t="n"/>
      <c r="D1874" s="10" t="n"/>
      <c r="E1874" s="14">
        <f>IF(D1874="","",IFERROR(INDEX('Sản phẩm'!$B$5:$B$304,MATCH(D1874,'Sản phẩm'!$A$5:$A$304,0)),""))</f>
        <v/>
      </c>
      <c r="F1874" s="12" t="n"/>
      <c r="G1874" s="11" t="n"/>
      <c r="H1874" s="11" t="n"/>
      <c r="I1874" s="16">
        <f>IF(D1874="","",IF(G1874&lt;&gt;"",G1874,IFERROR(INDEX('Sản phẩm'!$E$5:$E$304,MATCH(D1874,'Sản phẩm'!$A$5:$A$304,0)),"")))</f>
        <v/>
      </c>
      <c r="J1874" s="16">
        <f>IF(OR(D1874="",F1874=""),"",F1874*I1874-N(H1874))</f>
        <v/>
      </c>
      <c r="K1874" s="16">
        <f>IF(OR(D1874="",F1874=""),"",F1874*IFERROR(INDEX('Sản phẩm'!$D$5:$D$304,MATCH(D1874,'Sản phẩm'!$A$5:$A$304,0)),""))</f>
        <v/>
      </c>
      <c r="L1874" s="16">
        <f>IF(J1874="","",J1874-K1874)</f>
        <v/>
      </c>
      <c r="M1874" s="14">
        <f>IF(A1874="","",MONTH(A1874))</f>
        <v/>
      </c>
      <c r="N1874" s="14">
        <f>IF(A1874="","",YEAR(A1874))</f>
        <v/>
      </c>
    </row>
    <row r="1875">
      <c r="A1875" s="15" t="n"/>
      <c r="B1875" s="10" t="n"/>
      <c r="C1875" s="10" t="n"/>
      <c r="D1875" s="10" t="n"/>
      <c r="E1875" s="14">
        <f>IF(D1875="","",IFERROR(INDEX('Sản phẩm'!$B$5:$B$304,MATCH(D1875,'Sản phẩm'!$A$5:$A$304,0)),""))</f>
        <v/>
      </c>
      <c r="F1875" s="12" t="n"/>
      <c r="G1875" s="11" t="n"/>
      <c r="H1875" s="11" t="n"/>
      <c r="I1875" s="16">
        <f>IF(D1875="","",IF(G1875&lt;&gt;"",G1875,IFERROR(INDEX('Sản phẩm'!$E$5:$E$304,MATCH(D1875,'Sản phẩm'!$A$5:$A$304,0)),"")))</f>
        <v/>
      </c>
      <c r="J1875" s="16">
        <f>IF(OR(D1875="",F1875=""),"",F1875*I1875-N(H1875))</f>
        <v/>
      </c>
      <c r="K1875" s="16">
        <f>IF(OR(D1875="",F1875=""),"",F1875*IFERROR(INDEX('Sản phẩm'!$D$5:$D$304,MATCH(D1875,'Sản phẩm'!$A$5:$A$304,0)),""))</f>
        <v/>
      </c>
      <c r="L1875" s="16">
        <f>IF(J1875="","",J1875-K1875)</f>
        <v/>
      </c>
      <c r="M1875" s="14">
        <f>IF(A1875="","",MONTH(A1875))</f>
        <v/>
      </c>
      <c r="N1875" s="14">
        <f>IF(A1875="","",YEAR(A1875))</f>
        <v/>
      </c>
    </row>
    <row r="1876">
      <c r="A1876" s="15" t="n"/>
      <c r="B1876" s="10" t="n"/>
      <c r="C1876" s="10" t="n"/>
      <c r="D1876" s="10" t="n"/>
      <c r="E1876" s="14">
        <f>IF(D1876="","",IFERROR(INDEX('Sản phẩm'!$B$5:$B$304,MATCH(D1876,'Sản phẩm'!$A$5:$A$304,0)),""))</f>
        <v/>
      </c>
      <c r="F1876" s="12" t="n"/>
      <c r="G1876" s="11" t="n"/>
      <c r="H1876" s="11" t="n"/>
      <c r="I1876" s="16">
        <f>IF(D1876="","",IF(G1876&lt;&gt;"",G1876,IFERROR(INDEX('Sản phẩm'!$E$5:$E$304,MATCH(D1876,'Sản phẩm'!$A$5:$A$304,0)),"")))</f>
        <v/>
      </c>
      <c r="J1876" s="16">
        <f>IF(OR(D1876="",F1876=""),"",F1876*I1876-N(H1876))</f>
        <v/>
      </c>
      <c r="K1876" s="16">
        <f>IF(OR(D1876="",F1876=""),"",F1876*IFERROR(INDEX('Sản phẩm'!$D$5:$D$304,MATCH(D1876,'Sản phẩm'!$A$5:$A$304,0)),""))</f>
        <v/>
      </c>
      <c r="L1876" s="16">
        <f>IF(J1876="","",J1876-K1876)</f>
        <v/>
      </c>
      <c r="M1876" s="14">
        <f>IF(A1876="","",MONTH(A1876))</f>
        <v/>
      </c>
      <c r="N1876" s="14">
        <f>IF(A1876="","",YEAR(A1876))</f>
        <v/>
      </c>
    </row>
    <row r="1877">
      <c r="A1877" s="15" t="n"/>
      <c r="B1877" s="10" t="n"/>
      <c r="C1877" s="10" t="n"/>
      <c r="D1877" s="10" t="n"/>
      <c r="E1877" s="14">
        <f>IF(D1877="","",IFERROR(INDEX('Sản phẩm'!$B$5:$B$304,MATCH(D1877,'Sản phẩm'!$A$5:$A$304,0)),""))</f>
        <v/>
      </c>
      <c r="F1877" s="12" t="n"/>
      <c r="G1877" s="11" t="n"/>
      <c r="H1877" s="11" t="n"/>
      <c r="I1877" s="16">
        <f>IF(D1877="","",IF(G1877&lt;&gt;"",G1877,IFERROR(INDEX('Sản phẩm'!$E$5:$E$304,MATCH(D1877,'Sản phẩm'!$A$5:$A$304,0)),"")))</f>
        <v/>
      </c>
      <c r="J1877" s="16">
        <f>IF(OR(D1877="",F1877=""),"",F1877*I1877-N(H1877))</f>
        <v/>
      </c>
      <c r="K1877" s="16">
        <f>IF(OR(D1877="",F1877=""),"",F1877*IFERROR(INDEX('Sản phẩm'!$D$5:$D$304,MATCH(D1877,'Sản phẩm'!$A$5:$A$304,0)),""))</f>
        <v/>
      </c>
      <c r="L1877" s="16">
        <f>IF(J1877="","",J1877-K1877)</f>
        <v/>
      </c>
      <c r="M1877" s="14">
        <f>IF(A1877="","",MONTH(A1877))</f>
        <v/>
      </c>
      <c r="N1877" s="14">
        <f>IF(A1877="","",YEAR(A1877))</f>
        <v/>
      </c>
    </row>
    <row r="1878">
      <c r="A1878" s="15" t="n"/>
      <c r="B1878" s="10" t="n"/>
      <c r="C1878" s="10" t="n"/>
      <c r="D1878" s="10" t="n"/>
      <c r="E1878" s="14">
        <f>IF(D1878="","",IFERROR(INDEX('Sản phẩm'!$B$5:$B$304,MATCH(D1878,'Sản phẩm'!$A$5:$A$304,0)),""))</f>
        <v/>
      </c>
      <c r="F1878" s="12" t="n"/>
      <c r="G1878" s="11" t="n"/>
      <c r="H1878" s="11" t="n"/>
      <c r="I1878" s="16">
        <f>IF(D1878="","",IF(G1878&lt;&gt;"",G1878,IFERROR(INDEX('Sản phẩm'!$E$5:$E$304,MATCH(D1878,'Sản phẩm'!$A$5:$A$304,0)),"")))</f>
        <v/>
      </c>
      <c r="J1878" s="16">
        <f>IF(OR(D1878="",F1878=""),"",F1878*I1878-N(H1878))</f>
        <v/>
      </c>
      <c r="K1878" s="16">
        <f>IF(OR(D1878="",F1878=""),"",F1878*IFERROR(INDEX('Sản phẩm'!$D$5:$D$304,MATCH(D1878,'Sản phẩm'!$A$5:$A$304,0)),""))</f>
        <v/>
      </c>
      <c r="L1878" s="16">
        <f>IF(J1878="","",J1878-K1878)</f>
        <v/>
      </c>
      <c r="M1878" s="14">
        <f>IF(A1878="","",MONTH(A1878))</f>
        <v/>
      </c>
      <c r="N1878" s="14">
        <f>IF(A1878="","",YEAR(A1878))</f>
        <v/>
      </c>
    </row>
    <row r="1879">
      <c r="A1879" s="15" t="n"/>
      <c r="B1879" s="10" t="n"/>
      <c r="C1879" s="10" t="n"/>
      <c r="D1879" s="10" t="n"/>
      <c r="E1879" s="14">
        <f>IF(D1879="","",IFERROR(INDEX('Sản phẩm'!$B$5:$B$304,MATCH(D1879,'Sản phẩm'!$A$5:$A$304,0)),""))</f>
        <v/>
      </c>
      <c r="F1879" s="12" t="n"/>
      <c r="G1879" s="11" t="n"/>
      <c r="H1879" s="11" t="n"/>
      <c r="I1879" s="16">
        <f>IF(D1879="","",IF(G1879&lt;&gt;"",G1879,IFERROR(INDEX('Sản phẩm'!$E$5:$E$304,MATCH(D1879,'Sản phẩm'!$A$5:$A$304,0)),"")))</f>
        <v/>
      </c>
      <c r="J1879" s="16">
        <f>IF(OR(D1879="",F1879=""),"",F1879*I1879-N(H1879))</f>
        <v/>
      </c>
      <c r="K1879" s="16">
        <f>IF(OR(D1879="",F1879=""),"",F1879*IFERROR(INDEX('Sản phẩm'!$D$5:$D$304,MATCH(D1879,'Sản phẩm'!$A$5:$A$304,0)),""))</f>
        <v/>
      </c>
      <c r="L1879" s="16">
        <f>IF(J1879="","",J1879-K1879)</f>
        <v/>
      </c>
      <c r="M1879" s="14">
        <f>IF(A1879="","",MONTH(A1879))</f>
        <v/>
      </c>
      <c r="N1879" s="14">
        <f>IF(A1879="","",YEAR(A1879))</f>
        <v/>
      </c>
    </row>
    <row r="1880">
      <c r="A1880" s="15" t="n"/>
      <c r="B1880" s="10" t="n"/>
      <c r="C1880" s="10" t="n"/>
      <c r="D1880" s="10" t="n"/>
      <c r="E1880" s="14">
        <f>IF(D1880="","",IFERROR(INDEX('Sản phẩm'!$B$5:$B$304,MATCH(D1880,'Sản phẩm'!$A$5:$A$304,0)),""))</f>
        <v/>
      </c>
      <c r="F1880" s="12" t="n"/>
      <c r="G1880" s="11" t="n"/>
      <c r="H1880" s="11" t="n"/>
      <c r="I1880" s="16">
        <f>IF(D1880="","",IF(G1880&lt;&gt;"",G1880,IFERROR(INDEX('Sản phẩm'!$E$5:$E$304,MATCH(D1880,'Sản phẩm'!$A$5:$A$304,0)),"")))</f>
        <v/>
      </c>
      <c r="J1880" s="16">
        <f>IF(OR(D1880="",F1880=""),"",F1880*I1880-N(H1880))</f>
        <v/>
      </c>
      <c r="K1880" s="16">
        <f>IF(OR(D1880="",F1880=""),"",F1880*IFERROR(INDEX('Sản phẩm'!$D$5:$D$304,MATCH(D1880,'Sản phẩm'!$A$5:$A$304,0)),""))</f>
        <v/>
      </c>
      <c r="L1880" s="16">
        <f>IF(J1880="","",J1880-K1880)</f>
        <v/>
      </c>
      <c r="M1880" s="14">
        <f>IF(A1880="","",MONTH(A1880))</f>
        <v/>
      </c>
      <c r="N1880" s="14">
        <f>IF(A1880="","",YEAR(A1880))</f>
        <v/>
      </c>
    </row>
    <row r="1881">
      <c r="A1881" s="15" t="n"/>
      <c r="B1881" s="10" t="n"/>
      <c r="C1881" s="10" t="n"/>
      <c r="D1881" s="10" t="n"/>
      <c r="E1881" s="14">
        <f>IF(D1881="","",IFERROR(INDEX('Sản phẩm'!$B$5:$B$304,MATCH(D1881,'Sản phẩm'!$A$5:$A$304,0)),""))</f>
        <v/>
      </c>
      <c r="F1881" s="12" t="n"/>
      <c r="G1881" s="11" t="n"/>
      <c r="H1881" s="11" t="n"/>
      <c r="I1881" s="16">
        <f>IF(D1881="","",IF(G1881&lt;&gt;"",G1881,IFERROR(INDEX('Sản phẩm'!$E$5:$E$304,MATCH(D1881,'Sản phẩm'!$A$5:$A$304,0)),"")))</f>
        <v/>
      </c>
      <c r="J1881" s="16">
        <f>IF(OR(D1881="",F1881=""),"",F1881*I1881-N(H1881))</f>
        <v/>
      </c>
      <c r="K1881" s="16">
        <f>IF(OR(D1881="",F1881=""),"",F1881*IFERROR(INDEX('Sản phẩm'!$D$5:$D$304,MATCH(D1881,'Sản phẩm'!$A$5:$A$304,0)),""))</f>
        <v/>
      </c>
      <c r="L1881" s="16">
        <f>IF(J1881="","",J1881-K1881)</f>
        <v/>
      </c>
      <c r="M1881" s="14">
        <f>IF(A1881="","",MONTH(A1881))</f>
        <v/>
      </c>
      <c r="N1881" s="14">
        <f>IF(A1881="","",YEAR(A1881))</f>
        <v/>
      </c>
    </row>
    <row r="1882">
      <c r="A1882" s="15" t="n"/>
      <c r="B1882" s="10" t="n"/>
      <c r="C1882" s="10" t="n"/>
      <c r="D1882" s="10" t="n"/>
      <c r="E1882" s="14">
        <f>IF(D1882="","",IFERROR(INDEX('Sản phẩm'!$B$5:$B$304,MATCH(D1882,'Sản phẩm'!$A$5:$A$304,0)),""))</f>
        <v/>
      </c>
      <c r="F1882" s="12" t="n"/>
      <c r="G1882" s="11" t="n"/>
      <c r="H1882" s="11" t="n"/>
      <c r="I1882" s="16">
        <f>IF(D1882="","",IF(G1882&lt;&gt;"",G1882,IFERROR(INDEX('Sản phẩm'!$E$5:$E$304,MATCH(D1882,'Sản phẩm'!$A$5:$A$304,0)),"")))</f>
        <v/>
      </c>
      <c r="J1882" s="16">
        <f>IF(OR(D1882="",F1882=""),"",F1882*I1882-N(H1882))</f>
        <v/>
      </c>
      <c r="K1882" s="16">
        <f>IF(OR(D1882="",F1882=""),"",F1882*IFERROR(INDEX('Sản phẩm'!$D$5:$D$304,MATCH(D1882,'Sản phẩm'!$A$5:$A$304,0)),""))</f>
        <v/>
      </c>
      <c r="L1882" s="16">
        <f>IF(J1882="","",J1882-K1882)</f>
        <v/>
      </c>
      <c r="M1882" s="14">
        <f>IF(A1882="","",MONTH(A1882))</f>
        <v/>
      </c>
      <c r="N1882" s="14">
        <f>IF(A1882="","",YEAR(A1882))</f>
        <v/>
      </c>
    </row>
    <row r="1883">
      <c r="A1883" s="15" t="n"/>
      <c r="B1883" s="10" t="n"/>
      <c r="C1883" s="10" t="n"/>
      <c r="D1883" s="10" t="n"/>
      <c r="E1883" s="14">
        <f>IF(D1883="","",IFERROR(INDEX('Sản phẩm'!$B$5:$B$304,MATCH(D1883,'Sản phẩm'!$A$5:$A$304,0)),""))</f>
        <v/>
      </c>
      <c r="F1883" s="12" t="n"/>
      <c r="G1883" s="11" t="n"/>
      <c r="H1883" s="11" t="n"/>
      <c r="I1883" s="16">
        <f>IF(D1883="","",IF(G1883&lt;&gt;"",G1883,IFERROR(INDEX('Sản phẩm'!$E$5:$E$304,MATCH(D1883,'Sản phẩm'!$A$5:$A$304,0)),"")))</f>
        <v/>
      </c>
      <c r="J1883" s="16">
        <f>IF(OR(D1883="",F1883=""),"",F1883*I1883-N(H1883))</f>
        <v/>
      </c>
      <c r="K1883" s="16">
        <f>IF(OR(D1883="",F1883=""),"",F1883*IFERROR(INDEX('Sản phẩm'!$D$5:$D$304,MATCH(D1883,'Sản phẩm'!$A$5:$A$304,0)),""))</f>
        <v/>
      </c>
      <c r="L1883" s="16">
        <f>IF(J1883="","",J1883-K1883)</f>
        <v/>
      </c>
      <c r="M1883" s="14">
        <f>IF(A1883="","",MONTH(A1883))</f>
        <v/>
      </c>
      <c r="N1883" s="14">
        <f>IF(A1883="","",YEAR(A1883))</f>
        <v/>
      </c>
    </row>
    <row r="1884">
      <c r="A1884" s="15" t="n"/>
      <c r="B1884" s="10" t="n"/>
      <c r="C1884" s="10" t="n"/>
      <c r="D1884" s="10" t="n"/>
      <c r="E1884" s="14">
        <f>IF(D1884="","",IFERROR(INDEX('Sản phẩm'!$B$5:$B$304,MATCH(D1884,'Sản phẩm'!$A$5:$A$304,0)),""))</f>
        <v/>
      </c>
      <c r="F1884" s="12" t="n"/>
      <c r="G1884" s="11" t="n"/>
      <c r="H1884" s="11" t="n"/>
      <c r="I1884" s="16">
        <f>IF(D1884="","",IF(G1884&lt;&gt;"",G1884,IFERROR(INDEX('Sản phẩm'!$E$5:$E$304,MATCH(D1884,'Sản phẩm'!$A$5:$A$304,0)),"")))</f>
        <v/>
      </c>
      <c r="J1884" s="16">
        <f>IF(OR(D1884="",F1884=""),"",F1884*I1884-N(H1884))</f>
        <v/>
      </c>
      <c r="K1884" s="16">
        <f>IF(OR(D1884="",F1884=""),"",F1884*IFERROR(INDEX('Sản phẩm'!$D$5:$D$304,MATCH(D1884,'Sản phẩm'!$A$5:$A$304,0)),""))</f>
        <v/>
      </c>
      <c r="L1884" s="16">
        <f>IF(J1884="","",J1884-K1884)</f>
        <v/>
      </c>
      <c r="M1884" s="14">
        <f>IF(A1884="","",MONTH(A1884))</f>
        <v/>
      </c>
      <c r="N1884" s="14">
        <f>IF(A1884="","",YEAR(A1884))</f>
        <v/>
      </c>
    </row>
    <row r="1885">
      <c r="A1885" s="15" t="n"/>
      <c r="B1885" s="10" t="n"/>
      <c r="C1885" s="10" t="n"/>
      <c r="D1885" s="10" t="n"/>
      <c r="E1885" s="14">
        <f>IF(D1885="","",IFERROR(INDEX('Sản phẩm'!$B$5:$B$304,MATCH(D1885,'Sản phẩm'!$A$5:$A$304,0)),""))</f>
        <v/>
      </c>
      <c r="F1885" s="12" t="n"/>
      <c r="G1885" s="11" t="n"/>
      <c r="H1885" s="11" t="n"/>
      <c r="I1885" s="16">
        <f>IF(D1885="","",IF(G1885&lt;&gt;"",G1885,IFERROR(INDEX('Sản phẩm'!$E$5:$E$304,MATCH(D1885,'Sản phẩm'!$A$5:$A$304,0)),"")))</f>
        <v/>
      </c>
      <c r="J1885" s="16">
        <f>IF(OR(D1885="",F1885=""),"",F1885*I1885-N(H1885))</f>
        <v/>
      </c>
      <c r="K1885" s="16">
        <f>IF(OR(D1885="",F1885=""),"",F1885*IFERROR(INDEX('Sản phẩm'!$D$5:$D$304,MATCH(D1885,'Sản phẩm'!$A$5:$A$304,0)),""))</f>
        <v/>
      </c>
      <c r="L1885" s="16">
        <f>IF(J1885="","",J1885-K1885)</f>
        <v/>
      </c>
      <c r="M1885" s="14">
        <f>IF(A1885="","",MONTH(A1885))</f>
        <v/>
      </c>
      <c r="N1885" s="14">
        <f>IF(A1885="","",YEAR(A1885))</f>
        <v/>
      </c>
    </row>
    <row r="1886">
      <c r="A1886" s="15" t="n"/>
      <c r="B1886" s="10" t="n"/>
      <c r="C1886" s="10" t="n"/>
      <c r="D1886" s="10" t="n"/>
      <c r="E1886" s="14">
        <f>IF(D1886="","",IFERROR(INDEX('Sản phẩm'!$B$5:$B$304,MATCH(D1886,'Sản phẩm'!$A$5:$A$304,0)),""))</f>
        <v/>
      </c>
      <c r="F1886" s="12" t="n"/>
      <c r="G1886" s="11" t="n"/>
      <c r="H1886" s="11" t="n"/>
      <c r="I1886" s="16">
        <f>IF(D1886="","",IF(G1886&lt;&gt;"",G1886,IFERROR(INDEX('Sản phẩm'!$E$5:$E$304,MATCH(D1886,'Sản phẩm'!$A$5:$A$304,0)),"")))</f>
        <v/>
      </c>
      <c r="J1886" s="16">
        <f>IF(OR(D1886="",F1886=""),"",F1886*I1886-N(H1886))</f>
        <v/>
      </c>
      <c r="K1886" s="16">
        <f>IF(OR(D1886="",F1886=""),"",F1886*IFERROR(INDEX('Sản phẩm'!$D$5:$D$304,MATCH(D1886,'Sản phẩm'!$A$5:$A$304,0)),""))</f>
        <v/>
      </c>
      <c r="L1886" s="16">
        <f>IF(J1886="","",J1886-K1886)</f>
        <v/>
      </c>
      <c r="M1886" s="14">
        <f>IF(A1886="","",MONTH(A1886))</f>
        <v/>
      </c>
      <c r="N1886" s="14">
        <f>IF(A1886="","",YEAR(A1886))</f>
        <v/>
      </c>
    </row>
    <row r="1887">
      <c r="A1887" s="15" t="n"/>
      <c r="B1887" s="10" t="n"/>
      <c r="C1887" s="10" t="n"/>
      <c r="D1887" s="10" t="n"/>
      <c r="E1887" s="14">
        <f>IF(D1887="","",IFERROR(INDEX('Sản phẩm'!$B$5:$B$304,MATCH(D1887,'Sản phẩm'!$A$5:$A$304,0)),""))</f>
        <v/>
      </c>
      <c r="F1887" s="12" t="n"/>
      <c r="G1887" s="11" t="n"/>
      <c r="H1887" s="11" t="n"/>
      <c r="I1887" s="16">
        <f>IF(D1887="","",IF(G1887&lt;&gt;"",G1887,IFERROR(INDEX('Sản phẩm'!$E$5:$E$304,MATCH(D1887,'Sản phẩm'!$A$5:$A$304,0)),"")))</f>
        <v/>
      </c>
      <c r="J1887" s="16">
        <f>IF(OR(D1887="",F1887=""),"",F1887*I1887-N(H1887))</f>
        <v/>
      </c>
      <c r="K1887" s="16">
        <f>IF(OR(D1887="",F1887=""),"",F1887*IFERROR(INDEX('Sản phẩm'!$D$5:$D$304,MATCH(D1887,'Sản phẩm'!$A$5:$A$304,0)),""))</f>
        <v/>
      </c>
      <c r="L1887" s="16">
        <f>IF(J1887="","",J1887-K1887)</f>
        <v/>
      </c>
      <c r="M1887" s="14">
        <f>IF(A1887="","",MONTH(A1887))</f>
        <v/>
      </c>
      <c r="N1887" s="14">
        <f>IF(A1887="","",YEAR(A1887))</f>
        <v/>
      </c>
    </row>
    <row r="1888">
      <c r="A1888" s="15" t="n"/>
      <c r="B1888" s="10" t="n"/>
      <c r="C1888" s="10" t="n"/>
      <c r="D1888" s="10" t="n"/>
      <c r="E1888" s="14">
        <f>IF(D1888="","",IFERROR(INDEX('Sản phẩm'!$B$5:$B$304,MATCH(D1888,'Sản phẩm'!$A$5:$A$304,0)),""))</f>
        <v/>
      </c>
      <c r="F1888" s="12" t="n"/>
      <c r="G1888" s="11" t="n"/>
      <c r="H1888" s="11" t="n"/>
      <c r="I1888" s="16">
        <f>IF(D1888="","",IF(G1888&lt;&gt;"",G1888,IFERROR(INDEX('Sản phẩm'!$E$5:$E$304,MATCH(D1888,'Sản phẩm'!$A$5:$A$304,0)),"")))</f>
        <v/>
      </c>
      <c r="J1888" s="16">
        <f>IF(OR(D1888="",F1888=""),"",F1888*I1888-N(H1888))</f>
        <v/>
      </c>
      <c r="K1888" s="16">
        <f>IF(OR(D1888="",F1888=""),"",F1888*IFERROR(INDEX('Sản phẩm'!$D$5:$D$304,MATCH(D1888,'Sản phẩm'!$A$5:$A$304,0)),""))</f>
        <v/>
      </c>
      <c r="L1888" s="16">
        <f>IF(J1888="","",J1888-K1888)</f>
        <v/>
      </c>
      <c r="M1888" s="14">
        <f>IF(A1888="","",MONTH(A1888))</f>
        <v/>
      </c>
      <c r="N1888" s="14">
        <f>IF(A1888="","",YEAR(A1888))</f>
        <v/>
      </c>
    </row>
    <row r="1889">
      <c r="A1889" s="15" t="n"/>
      <c r="B1889" s="10" t="n"/>
      <c r="C1889" s="10" t="n"/>
      <c r="D1889" s="10" t="n"/>
      <c r="E1889" s="14">
        <f>IF(D1889="","",IFERROR(INDEX('Sản phẩm'!$B$5:$B$304,MATCH(D1889,'Sản phẩm'!$A$5:$A$304,0)),""))</f>
        <v/>
      </c>
      <c r="F1889" s="12" t="n"/>
      <c r="G1889" s="11" t="n"/>
      <c r="H1889" s="11" t="n"/>
      <c r="I1889" s="16">
        <f>IF(D1889="","",IF(G1889&lt;&gt;"",G1889,IFERROR(INDEX('Sản phẩm'!$E$5:$E$304,MATCH(D1889,'Sản phẩm'!$A$5:$A$304,0)),"")))</f>
        <v/>
      </c>
      <c r="J1889" s="16">
        <f>IF(OR(D1889="",F1889=""),"",F1889*I1889-N(H1889))</f>
        <v/>
      </c>
      <c r="K1889" s="16">
        <f>IF(OR(D1889="",F1889=""),"",F1889*IFERROR(INDEX('Sản phẩm'!$D$5:$D$304,MATCH(D1889,'Sản phẩm'!$A$5:$A$304,0)),""))</f>
        <v/>
      </c>
      <c r="L1889" s="16">
        <f>IF(J1889="","",J1889-K1889)</f>
        <v/>
      </c>
      <c r="M1889" s="14">
        <f>IF(A1889="","",MONTH(A1889))</f>
        <v/>
      </c>
      <c r="N1889" s="14">
        <f>IF(A1889="","",YEAR(A1889))</f>
        <v/>
      </c>
    </row>
    <row r="1890">
      <c r="A1890" s="15" t="n"/>
      <c r="B1890" s="10" t="n"/>
      <c r="C1890" s="10" t="n"/>
      <c r="D1890" s="10" t="n"/>
      <c r="E1890" s="14">
        <f>IF(D1890="","",IFERROR(INDEX('Sản phẩm'!$B$5:$B$304,MATCH(D1890,'Sản phẩm'!$A$5:$A$304,0)),""))</f>
        <v/>
      </c>
      <c r="F1890" s="12" t="n"/>
      <c r="G1890" s="11" t="n"/>
      <c r="H1890" s="11" t="n"/>
      <c r="I1890" s="16">
        <f>IF(D1890="","",IF(G1890&lt;&gt;"",G1890,IFERROR(INDEX('Sản phẩm'!$E$5:$E$304,MATCH(D1890,'Sản phẩm'!$A$5:$A$304,0)),"")))</f>
        <v/>
      </c>
      <c r="J1890" s="16">
        <f>IF(OR(D1890="",F1890=""),"",F1890*I1890-N(H1890))</f>
        <v/>
      </c>
      <c r="K1890" s="16">
        <f>IF(OR(D1890="",F1890=""),"",F1890*IFERROR(INDEX('Sản phẩm'!$D$5:$D$304,MATCH(D1890,'Sản phẩm'!$A$5:$A$304,0)),""))</f>
        <v/>
      </c>
      <c r="L1890" s="16">
        <f>IF(J1890="","",J1890-K1890)</f>
        <v/>
      </c>
      <c r="M1890" s="14">
        <f>IF(A1890="","",MONTH(A1890))</f>
        <v/>
      </c>
      <c r="N1890" s="14">
        <f>IF(A1890="","",YEAR(A1890))</f>
        <v/>
      </c>
    </row>
    <row r="1891">
      <c r="A1891" s="15" t="n"/>
      <c r="B1891" s="10" t="n"/>
      <c r="C1891" s="10" t="n"/>
      <c r="D1891" s="10" t="n"/>
      <c r="E1891" s="14">
        <f>IF(D1891="","",IFERROR(INDEX('Sản phẩm'!$B$5:$B$304,MATCH(D1891,'Sản phẩm'!$A$5:$A$304,0)),""))</f>
        <v/>
      </c>
      <c r="F1891" s="12" t="n"/>
      <c r="G1891" s="11" t="n"/>
      <c r="H1891" s="11" t="n"/>
      <c r="I1891" s="16">
        <f>IF(D1891="","",IF(G1891&lt;&gt;"",G1891,IFERROR(INDEX('Sản phẩm'!$E$5:$E$304,MATCH(D1891,'Sản phẩm'!$A$5:$A$304,0)),"")))</f>
        <v/>
      </c>
      <c r="J1891" s="16">
        <f>IF(OR(D1891="",F1891=""),"",F1891*I1891-N(H1891))</f>
        <v/>
      </c>
      <c r="K1891" s="16">
        <f>IF(OR(D1891="",F1891=""),"",F1891*IFERROR(INDEX('Sản phẩm'!$D$5:$D$304,MATCH(D1891,'Sản phẩm'!$A$5:$A$304,0)),""))</f>
        <v/>
      </c>
      <c r="L1891" s="16">
        <f>IF(J1891="","",J1891-K1891)</f>
        <v/>
      </c>
      <c r="M1891" s="14">
        <f>IF(A1891="","",MONTH(A1891))</f>
        <v/>
      </c>
      <c r="N1891" s="14">
        <f>IF(A1891="","",YEAR(A1891))</f>
        <v/>
      </c>
    </row>
    <row r="1892">
      <c r="A1892" s="15" t="n"/>
      <c r="B1892" s="10" t="n"/>
      <c r="C1892" s="10" t="n"/>
      <c r="D1892" s="10" t="n"/>
      <c r="E1892" s="14">
        <f>IF(D1892="","",IFERROR(INDEX('Sản phẩm'!$B$5:$B$304,MATCH(D1892,'Sản phẩm'!$A$5:$A$304,0)),""))</f>
        <v/>
      </c>
      <c r="F1892" s="12" t="n"/>
      <c r="G1892" s="11" t="n"/>
      <c r="H1892" s="11" t="n"/>
      <c r="I1892" s="16">
        <f>IF(D1892="","",IF(G1892&lt;&gt;"",G1892,IFERROR(INDEX('Sản phẩm'!$E$5:$E$304,MATCH(D1892,'Sản phẩm'!$A$5:$A$304,0)),"")))</f>
        <v/>
      </c>
      <c r="J1892" s="16">
        <f>IF(OR(D1892="",F1892=""),"",F1892*I1892-N(H1892))</f>
        <v/>
      </c>
      <c r="K1892" s="16">
        <f>IF(OR(D1892="",F1892=""),"",F1892*IFERROR(INDEX('Sản phẩm'!$D$5:$D$304,MATCH(D1892,'Sản phẩm'!$A$5:$A$304,0)),""))</f>
        <v/>
      </c>
      <c r="L1892" s="16">
        <f>IF(J1892="","",J1892-K1892)</f>
        <v/>
      </c>
      <c r="M1892" s="14">
        <f>IF(A1892="","",MONTH(A1892))</f>
        <v/>
      </c>
      <c r="N1892" s="14">
        <f>IF(A1892="","",YEAR(A1892))</f>
        <v/>
      </c>
    </row>
    <row r="1893">
      <c r="A1893" s="15" t="n"/>
      <c r="B1893" s="10" t="n"/>
      <c r="C1893" s="10" t="n"/>
      <c r="D1893" s="10" t="n"/>
      <c r="E1893" s="14">
        <f>IF(D1893="","",IFERROR(INDEX('Sản phẩm'!$B$5:$B$304,MATCH(D1893,'Sản phẩm'!$A$5:$A$304,0)),""))</f>
        <v/>
      </c>
      <c r="F1893" s="12" t="n"/>
      <c r="G1893" s="11" t="n"/>
      <c r="H1893" s="11" t="n"/>
      <c r="I1893" s="16">
        <f>IF(D1893="","",IF(G1893&lt;&gt;"",G1893,IFERROR(INDEX('Sản phẩm'!$E$5:$E$304,MATCH(D1893,'Sản phẩm'!$A$5:$A$304,0)),"")))</f>
        <v/>
      </c>
      <c r="J1893" s="16">
        <f>IF(OR(D1893="",F1893=""),"",F1893*I1893-N(H1893))</f>
        <v/>
      </c>
      <c r="K1893" s="16">
        <f>IF(OR(D1893="",F1893=""),"",F1893*IFERROR(INDEX('Sản phẩm'!$D$5:$D$304,MATCH(D1893,'Sản phẩm'!$A$5:$A$304,0)),""))</f>
        <v/>
      </c>
      <c r="L1893" s="16">
        <f>IF(J1893="","",J1893-K1893)</f>
        <v/>
      </c>
      <c r="M1893" s="14">
        <f>IF(A1893="","",MONTH(A1893))</f>
        <v/>
      </c>
      <c r="N1893" s="14">
        <f>IF(A1893="","",YEAR(A1893))</f>
        <v/>
      </c>
    </row>
    <row r="1894">
      <c r="A1894" s="15" t="n"/>
      <c r="B1894" s="10" t="n"/>
      <c r="C1894" s="10" t="n"/>
      <c r="D1894" s="10" t="n"/>
      <c r="E1894" s="14">
        <f>IF(D1894="","",IFERROR(INDEX('Sản phẩm'!$B$5:$B$304,MATCH(D1894,'Sản phẩm'!$A$5:$A$304,0)),""))</f>
        <v/>
      </c>
      <c r="F1894" s="12" t="n"/>
      <c r="G1894" s="11" t="n"/>
      <c r="H1894" s="11" t="n"/>
      <c r="I1894" s="16">
        <f>IF(D1894="","",IF(G1894&lt;&gt;"",G1894,IFERROR(INDEX('Sản phẩm'!$E$5:$E$304,MATCH(D1894,'Sản phẩm'!$A$5:$A$304,0)),"")))</f>
        <v/>
      </c>
      <c r="J1894" s="16">
        <f>IF(OR(D1894="",F1894=""),"",F1894*I1894-N(H1894))</f>
        <v/>
      </c>
      <c r="K1894" s="16">
        <f>IF(OR(D1894="",F1894=""),"",F1894*IFERROR(INDEX('Sản phẩm'!$D$5:$D$304,MATCH(D1894,'Sản phẩm'!$A$5:$A$304,0)),""))</f>
        <v/>
      </c>
      <c r="L1894" s="16">
        <f>IF(J1894="","",J1894-K1894)</f>
        <v/>
      </c>
      <c r="M1894" s="14">
        <f>IF(A1894="","",MONTH(A1894))</f>
        <v/>
      </c>
      <c r="N1894" s="14">
        <f>IF(A1894="","",YEAR(A1894))</f>
        <v/>
      </c>
    </row>
    <row r="1895">
      <c r="A1895" s="15" t="n"/>
      <c r="B1895" s="10" t="n"/>
      <c r="C1895" s="10" t="n"/>
      <c r="D1895" s="10" t="n"/>
      <c r="E1895" s="14">
        <f>IF(D1895="","",IFERROR(INDEX('Sản phẩm'!$B$5:$B$304,MATCH(D1895,'Sản phẩm'!$A$5:$A$304,0)),""))</f>
        <v/>
      </c>
      <c r="F1895" s="12" t="n"/>
      <c r="G1895" s="11" t="n"/>
      <c r="H1895" s="11" t="n"/>
      <c r="I1895" s="16">
        <f>IF(D1895="","",IF(G1895&lt;&gt;"",G1895,IFERROR(INDEX('Sản phẩm'!$E$5:$E$304,MATCH(D1895,'Sản phẩm'!$A$5:$A$304,0)),"")))</f>
        <v/>
      </c>
      <c r="J1895" s="16">
        <f>IF(OR(D1895="",F1895=""),"",F1895*I1895-N(H1895))</f>
        <v/>
      </c>
      <c r="K1895" s="16">
        <f>IF(OR(D1895="",F1895=""),"",F1895*IFERROR(INDEX('Sản phẩm'!$D$5:$D$304,MATCH(D1895,'Sản phẩm'!$A$5:$A$304,0)),""))</f>
        <v/>
      </c>
      <c r="L1895" s="16">
        <f>IF(J1895="","",J1895-K1895)</f>
        <v/>
      </c>
      <c r="M1895" s="14">
        <f>IF(A1895="","",MONTH(A1895))</f>
        <v/>
      </c>
      <c r="N1895" s="14">
        <f>IF(A1895="","",YEAR(A1895))</f>
        <v/>
      </c>
    </row>
    <row r="1896">
      <c r="A1896" s="15" t="n"/>
      <c r="B1896" s="10" t="n"/>
      <c r="C1896" s="10" t="n"/>
      <c r="D1896" s="10" t="n"/>
      <c r="E1896" s="14">
        <f>IF(D1896="","",IFERROR(INDEX('Sản phẩm'!$B$5:$B$304,MATCH(D1896,'Sản phẩm'!$A$5:$A$304,0)),""))</f>
        <v/>
      </c>
      <c r="F1896" s="12" t="n"/>
      <c r="G1896" s="11" t="n"/>
      <c r="H1896" s="11" t="n"/>
      <c r="I1896" s="16">
        <f>IF(D1896="","",IF(G1896&lt;&gt;"",G1896,IFERROR(INDEX('Sản phẩm'!$E$5:$E$304,MATCH(D1896,'Sản phẩm'!$A$5:$A$304,0)),"")))</f>
        <v/>
      </c>
      <c r="J1896" s="16">
        <f>IF(OR(D1896="",F1896=""),"",F1896*I1896-N(H1896))</f>
        <v/>
      </c>
      <c r="K1896" s="16">
        <f>IF(OR(D1896="",F1896=""),"",F1896*IFERROR(INDEX('Sản phẩm'!$D$5:$D$304,MATCH(D1896,'Sản phẩm'!$A$5:$A$304,0)),""))</f>
        <v/>
      </c>
      <c r="L1896" s="16">
        <f>IF(J1896="","",J1896-K1896)</f>
        <v/>
      </c>
      <c r="M1896" s="14">
        <f>IF(A1896="","",MONTH(A1896))</f>
        <v/>
      </c>
      <c r="N1896" s="14">
        <f>IF(A1896="","",YEAR(A1896))</f>
        <v/>
      </c>
    </row>
    <row r="1897">
      <c r="A1897" s="15" t="n"/>
      <c r="B1897" s="10" t="n"/>
      <c r="C1897" s="10" t="n"/>
      <c r="D1897" s="10" t="n"/>
      <c r="E1897" s="14">
        <f>IF(D1897="","",IFERROR(INDEX('Sản phẩm'!$B$5:$B$304,MATCH(D1897,'Sản phẩm'!$A$5:$A$304,0)),""))</f>
        <v/>
      </c>
      <c r="F1897" s="12" t="n"/>
      <c r="G1897" s="11" t="n"/>
      <c r="H1897" s="11" t="n"/>
      <c r="I1897" s="16">
        <f>IF(D1897="","",IF(G1897&lt;&gt;"",G1897,IFERROR(INDEX('Sản phẩm'!$E$5:$E$304,MATCH(D1897,'Sản phẩm'!$A$5:$A$304,0)),"")))</f>
        <v/>
      </c>
      <c r="J1897" s="16">
        <f>IF(OR(D1897="",F1897=""),"",F1897*I1897-N(H1897))</f>
        <v/>
      </c>
      <c r="K1897" s="16">
        <f>IF(OR(D1897="",F1897=""),"",F1897*IFERROR(INDEX('Sản phẩm'!$D$5:$D$304,MATCH(D1897,'Sản phẩm'!$A$5:$A$304,0)),""))</f>
        <v/>
      </c>
      <c r="L1897" s="16">
        <f>IF(J1897="","",J1897-K1897)</f>
        <v/>
      </c>
      <c r="M1897" s="14">
        <f>IF(A1897="","",MONTH(A1897))</f>
        <v/>
      </c>
      <c r="N1897" s="14">
        <f>IF(A1897="","",YEAR(A1897))</f>
        <v/>
      </c>
    </row>
    <row r="1898">
      <c r="A1898" s="15" t="n"/>
      <c r="B1898" s="10" t="n"/>
      <c r="C1898" s="10" t="n"/>
      <c r="D1898" s="10" t="n"/>
      <c r="E1898" s="14">
        <f>IF(D1898="","",IFERROR(INDEX('Sản phẩm'!$B$5:$B$304,MATCH(D1898,'Sản phẩm'!$A$5:$A$304,0)),""))</f>
        <v/>
      </c>
      <c r="F1898" s="12" t="n"/>
      <c r="G1898" s="11" t="n"/>
      <c r="H1898" s="11" t="n"/>
      <c r="I1898" s="16">
        <f>IF(D1898="","",IF(G1898&lt;&gt;"",G1898,IFERROR(INDEX('Sản phẩm'!$E$5:$E$304,MATCH(D1898,'Sản phẩm'!$A$5:$A$304,0)),"")))</f>
        <v/>
      </c>
      <c r="J1898" s="16">
        <f>IF(OR(D1898="",F1898=""),"",F1898*I1898-N(H1898))</f>
        <v/>
      </c>
      <c r="K1898" s="16">
        <f>IF(OR(D1898="",F1898=""),"",F1898*IFERROR(INDEX('Sản phẩm'!$D$5:$D$304,MATCH(D1898,'Sản phẩm'!$A$5:$A$304,0)),""))</f>
        <v/>
      </c>
      <c r="L1898" s="16">
        <f>IF(J1898="","",J1898-K1898)</f>
        <v/>
      </c>
      <c r="M1898" s="14">
        <f>IF(A1898="","",MONTH(A1898))</f>
        <v/>
      </c>
      <c r="N1898" s="14">
        <f>IF(A1898="","",YEAR(A1898))</f>
        <v/>
      </c>
    </row>
    <row r="1899">
      <c r="A1899" s="15" t="n"/>
      <c r="B1899" s="10" t="n"/>
      <c r="C1899" s="10" t="n"/>
      <c r="D1899" s="10" t="n"/>
      <c r="E1899" s="14">
        <f>IF(D1899="","",IFERROR(INDEX('Sản phẩm'!$B$5:$B$304,MATCH(D1899,'Sản phẩm'!$A$5:$A$304,0)),""))</f>
        <v/>
      </c>
      <c r="F1899" s="12" t="n"/>
      <c r="G1899" s="11" t="n"/>
      <c r="H1899" s="11" t="n"/>
      <c r="I1899" s="16">
        <f>IF(D1899="","",IF(G1899&lt;&gt;"",G1899,IFERROR(INDEX('Sản phẩm'!$E$5:$E$304,MATCH(D1899,'Sản phẩm'!$A$5:$A$304,0)),"")))</f>
        <v/>
      </c>
      <c r="J1899" s="16">
        <f>IF(OR(D1899="",F1899=""),"",F1899*I1899-N(H1899))</f>
        <v/>
      </c>
      <c r="K1899" s="16">
        <f>IF(OR(D1899="",F1899=""),"",F1899*IFERROR(INDEX('Sản phẩm'!$D$5:$D$304,MATCH(D1899,'Sản phẩm'!$A$5:$A$304,0)),""))</f>
        <v/>
      </c>
      <c r="L1899" s="16">
        <f>IF(J1899="","",J1899-K1899)</f>
        <v/>
      </c>
      <c r="M1899" s="14">
        <f>IF(A1899="","",MONTH(A1899))</f>
        <v/>
      </c>
      <c r="N1899" s="14">
        <f>IF(A1899="","",YEAR(A1899))</f>
        <v/>
      </c>
    </row>
    <row r="1900">
      <c r="A1900" s="15" t="n"/>
      <c r="B1900" s="10" t="n"/>
      <c r="C1900" s="10" t="n"/>
      <c r="D1900" s="10" t="n"/>
      <c r="E1900" s="14">
        <f>IF(D1900="","",IFERROR(INDEX('Sản phẩm'!$B$5:$B$304,MATCH(D1900,'Sản phẩm'!$A$5:$A$304,0)),""))</f>
        <v/>
      </c>
      <c r="F1900" s="12" t="n"/>
      <c r="G1900" s="11" t="n"/>
      <c r="H1900" s="11" t="n"/>
      <c r="I1900" s="16">
        <f>IF(D1900="","",IF(G1900&lt;&gt;"",G1900,IFERROR(INDEX('Sản phẩm'!$E$5:$E$304,MATCH(D1900,'Sản phẩm'!$A$5:$A$304,0)),"")))</f>
        <v/>
      </c>
      <c r="J1900" s="16">
        <f>IF(OR(D1900="",F1900=""),"",F1900*I1900-N(H1900))</f>
        <v/>
      </c>
      <c r="K1900" s="16">
        <f>IF(OR(D1900="",F1900=""),"",F1900*IFERROR(INDEX('Sản phẩm'!$D$5:$D$304,MATCH(D1900,'Sản phẩm'!$A$5:$A$304,0)),""))</f>
        <v/>
      </c>
      <c r="L1900" s="16">
        <f>IF(J1900="","",J1900-K1900)</f>
        <v/>
      </c>
      <c r="M1900" s="14">
        <f>IF(A1900="","",MONTH(A1900))</f>
        <v/>
      </c>
      <c r="N1900" s="14">
        <f>IF(A1900="","",YEAR(A1900))</f>
        <v/>
      </c>
    </row>
    <row r="1901">
      <c r="A1901" s="15" t="n"/>
      <c r="B1901" s="10" t="n"/>
      <c r="C1901" s="10" t="n"/>
      <c r="D1901" s="10" t="n"/>
      <c r="E1901" s="14">
        <f>IF(D1901="","",IFERROR(INDEX('Sản phẩm'!$B$5:$B$304,MATCH(D1901,'Sản phẩm'!$A$5:$A$304,0)),""))</f>
        <v/>
      </c>
      <c r="F1901" s="12" t="n"/>
      <c r="G1901" s="11" t="n"/>
      <c r="H1901" s="11" t="n"/>
      <c r="I1901" s="16">
        <f>IF(D1901="","",IF(G1901&lt;&gt;"",G1901,IFERROR(INDEX('Sản phẩm'!$E$5:$E$304,MATCH(D1901,'Sản phẩm'!$A$5:$A$304,0)),"")))</f>
        <v/>
      </c>
      <c r="J1901" s="16">
        <f>IF(OR(D1901="",F1901=""),"",F1901*I1901-N(H1901))</f>
        <v/>
      </c>
      <c r="K1901" s="16">
        <f>IF(OR(D1901="",F1901=""),"",F1901*IFERROR(INDEX('Sản phẩm'!$D$5:$D$304,MATCH(D1901,'Sản phẩm'!$A$5:$A$304,0)),""))</f>
        <v/>
      </c>
      <c r="L1901" s="16">
        <f>IF(J1901="","",J1901-K1901)</f>
        <v/>
      </c>
      <c r="M1901" s="14">
        <f>IF(A1901="","",MONTH(A1901))</f>
        <v/>
      </c>
      <c r="N1901" s="14">
        <f>IF(A1901="","",YEAR(A1901))</f>
        <v/>
      </c>
    </row>
    <row r="1902">
      <c r="A1902" s="15" t="n"/>
      <c r="B1902" s="10" t="n"/>
      <c r="C1902" s="10" t="n"/>
      <c r="D1902" s="10" t="n"/>
      <c r="E1902" s="14">
        <f>IF(D1902="","",IFERROR(INDEX('Sản phẩm'!$B$5:$B$304,MATCH(D1902,'Sản phẩm'!$A$5:$A$304,0)),""))</f>
        <v/>
      </c>
      <c r="F1902" s="12" t="n"/>
      <c r="G1902" s="11" t="n"/>
      <c r="H1902" s="11" t="n"/>
      <c r="I1902" s="16">
        <f>IF(D1902="","",IF(G1902&lt;&gt;"",G1902,IFERROR(INDEX('Sản phẩm'!$E$5:$E$304,MATCH(D1902,'Sản phẩm'!$A$5:$A$304,0)),"")))</f>
        <v/>
      </c>
      <c r="J1902" s="16">
        <f>IF(OR(D1902="",F1902=""),"",F1902*I1902-N(H1902))</f>
        <v/>
      </c>
      <c r="K1902" s="16">
        <f>IF(OR(D1902="",F1902=""),"",F1902*IFERROR(INDEX('Sản phẩm'!$D$5:$D$304,MATCH(D1902,'Sản phẩm'!$A$5:$A$304,0)),""))</f>
        <v/>
      </c>
      <c r="L1902" s="16">
        <f>IF(J1902="","",J1902-K1902)</f>
        <v/>
      </c>
      <c r="M1902" s="14">
        <f>IF(A1902="","",MONTH(A1902))</f>
        <v/>
      </c>
      <c r="N1902" s="14">
        <f>IF(A1902="","",YEAR(A1902))</f>
        <v/>
      </c>
    </row>
    <row r="1903">
      <c r="A1903" s="15" t="n"/>
      <c r="B1903" s="10" t="n"/>
      <c r="C1903" s="10" t="n"/>
      <c r="D1903" s="10" t="n"/>
      <c r="E1903" s="14">
        <f>IF(D1903="","",IFERROR(INDEX('Sản phẩm'!$B$5:$B$304,MATCH(D1903,'Sản phẩm'!$A$5:$A$304,0)),""))</f>
        <v/>
      </c>
      <c r="F1903" s="12" t="n"/>
      <c r="G1903" s="11" t="n"/>
      <c r="H1903" s="11" t="n"/>
      <c r="I1903" s="16">
        <f>IF(D1903="","",IF(G1903&lt;&gt;"",G1903,IFERROR(INDEX('Sản phẩm'!$E$5:$E$304,MATCH(D1903,'Sản phẩm'!$A$5:$A$304,0)),"")))</f>
        <v/>
      </c>
      <c r="J1903" s="16">
        <f>IF(OR(D1903="",F1903=""),"",F1903*I1903-N(H1903))</f>
        <v/>
      </c>
      <c r="K1903" s="16">
        <f>IF(OR(D1903="",F1903=""),"",F1903*IFERROR(INDEX('Sản phẩm'!$D$5:$D$304,MATCH(D1903,'Sản phẩm'!$A$5:$A$304,0)),""))</f>
        <v/>
      </c>
      <c r="L1903" s="16">
        <f>IF(J1903="","",J1903-K1903)</f>
        <v/>
      </c>
      <c r="M1903" s="14">
        <f>IF(A1903="","",MONTH(A1903))</f>
        <v/>
      </c>
      <c r="N1903" s="14">
        <f>IF(A1903="","",YEAR(A1903))</f>
        <v/>
      </c>
    </row>
    <row r="1904">
      <c r="A1904" s="15" t="n"/>
      <c r="B1904" s="10" t="n"/>
      <c r="C1904" s="10" t="n"/>
      <c r="D1904" s="10" t="n"/>
      <c r="E1904" s="14">
        <f>IF(D1904="","",IFERROR(INDEX('Sản phẩm'!$B$5:$B$304,MATCH(D1904,'Sản phẩm'!$A$5:$A$304,0)),""))</f>
        <v/>
      </c>
      <c r="F1904" s="12" t="n"/>
      <c r="G1904" s="11" t="n"/>
      <c r="H1904" s="11" t="n"/>
      <c r="I1904" s="16">
        <f>IF(D1904="","",IF(G1904&lt;&gt;"",G1904,IFERROR(INDEX('Sản phẩm'!$E$5:$E$304,MATCH(D1904,'Sản phẩm'!$A$5:$A$304,0)),"")))</f>
        <v/>
      </c>
      <c r="J1904" s="16">
        <f>IF(OR(D1904="",F1904=""),"",F1904*I1904-N(H1904))</f>
        <v/>
      </c>
      <c r="K1904" s="16">
        <f>IF(OR(D1904="",F1904=""),"",F1904*IFERROR(INDEX('Sản phẩm'!$D$5:$D$304,MATCH(D1904,'Sản phẩm'!$A$5:$A$304,0)),""))</f>
        <v/>
      </c>
      <c r="L1904" s="16">
        <f>IF(J1904="","",J1904-K1904)</f>
        <v/>
      </c>
      <c r="M1904" s="14">
        <f>IF(A1904="","",MONTH(A1904))</f>
        <v/>
      </c>
      <c r="N1904" s="14">
        <f>IF(A1904="","",YEAR(A1904))</f>
        <v/>
      </c>
    </row>
    <row r="1905">
      <c r="A1905" s="15" t="n"/>
      <c r="B1905" s="10" t="n"/>
      <c r="C1905" s="10" t="n"/>
      <c r="D1905" s="10" t="n"/>
      <c r="E1905" s="14">
        <f>IF(D1905="","",IFERROR(INDEX('Sản phẩm'!$B$5:$B$304,MATCH(D1905,'Sản phẩm'!$A$5:$A$304,0)),""))</f>
        <v/>
      </c>
      <c r="F1905" s="12" t="n"/>
      <c r="G1905" s="11" t="n"/>
      <c r="H1905" s="11" t="n"/>
      <c r="I1905" s="16">
        <f>IF(D1905="","",IF(G1905&lt;&gt;"",G1905,IFERROR(INDEX('Sản phẩm'!$E$5:$E$304,MATCH(D1905,'Sản phẩm'!$A$5:$A$304,0)),"")))</f>
        <v/>
      </c>
      <c r="J1905" s="16">
        <f>IF(OR(D1905="",F1905=""),"",F1905*I1905-N(H1905))</f>
        <v/>
      </c>
      <c r="K1905" s="16">
        <f>IF(OR(D1905="",F1905=""),"",F1905*IFERROR(INDEX('Sản phẩm'!$D$5:$D$304,MATCH(D1905,'Sản phẩm'!$A$5:$A$304,0)),""))</f>
        <v/>
      </c>
      <c r="L1905" s="16">
        <f>IF(J1905="","",J1905-K1905)</f>
        <v/>
      </c>
      <c r="M1905" s="14">
        <f>IF(A1905="","",MONTH(A1905))</f>
        <v/>
      </c>
      <c r="N1905" s="14">
        <f>IF(A1905="","",YEAR(A1905))</f>
        <v/>
      </c>
    </row>
    <row r="1906">
      <c r="A1906" s="15" t="n"/>
      <c r="B1906" s="10" t="n"/>
      <c r="C1906" s="10" t="n"/>
      <c r="D1906" s="10" t="n"/>
      <c r="E1906" s="14">
        <f>IF(D1906="","",IFERROR(INDEX('Sản phẩm'!$B$5:$B$304,MATCH(D1906,'Sản phẩm'!$A$5:$A$304,0)),""))</f>
        <v/>
      </c>
      <c r="F1906" s="12" t="n"/>
      <c r="G1906" s="11" t="n"/>
      <c r="H1906" s="11" t="n"/>
      <c r="I1906" s="16">
        <f>IF(D1906="","",IF(G1906&lt;&gt;"",G1906,IFERROR(INDEX('Sản phẩm'!$E$5:$E$304,MATCH(D1906,'Sản phẩm'!$A$5:$A$304,0)),"")))</f>
        <v/>
      </c>
      <c r="J1906" s="16">
        <f>IF(OR(D1906="",F1906=""),"",F1906*I1906-N(H1906))</f>
        <v/>
      </c>
      <c r="K1906" s="16">
        <f>IF(OR(D1906="",F1906=""),"",F1906*IFERROR(INDEX('Sản phẩm'!$D$5:$D$304,MATCH(D1906,'Sản phẩm'!$A$5:$A$304,0)),""))</f>
        <v/>
      </c>
      <c r="L1906" s="16">
        <f>IF(J1906="","",J1906-K1906)</f>
        <v/>
      </c>
      <c r="M1906" s="14">
        <f>IF(A1906="","",MONTH(A1906))</f>
        <v/>
      </c>
      <c r="N1906" s="14">
        <f>IF(A1906="","",YEAR(A1906))</f>
        <v/>
      </c>
    </row>
    <row r="1907">
      <c r="A1907" s="15" t="n"/>
      <c r="B1907" s="10" t="n"/>
      <c r="C1907" s="10" t="n"/>
      <c r="D1907" s="10" t="n"/>
      <c r="E1907" s="14">
        <f>IF(D1907="","",IFERROR(INDEX('Sản phẩm'!$B$5:$B$304,MATCH(D1907,'Sản phẩm'!$A$5:$A$304,0)),""))</f>
        <v/>
      </c>
      <c r="F1907" s="12" t="n"/>
      <c r="G1907" s="11" t="n"/>
      <c r="H1907" s="11" t="n"/>
      <c r="I1907" s="16">
        <f>IF(D1907="","",IF(G1907&lt;&gt;"",G1907,IFERROR(INDEX('Sản phẩm'!$E$5:$E$304,MATCH(D1907,'Sản phẩm'!$A$5:$A$304,0)),"")))</f>
        <v/>
      </c>
      <c r="J1907" s="16">
        <f>IF(OR(D1907="",F1907=""),"",F1907*I1907-N(H1907))</f>
        <v/>
      </c>
      <c r="K1907" s="16">
        <f>IF(OR(D1907="",F1907=""),"",F1907*IFERROR(INDEX('Sản phẩm'!$D$5:$D$304,MATCH(D1907,'Sản phẩm'!$A$5:$A$304,0)),""))</f>
        <v/>
      </c>
      <c r="L1907" s="16">
        <f>IF(J1907="","",J1907-K1907)</f>
        <v/>
      </c>
      <c r="M1907" s="14">
        <f>IF(A1907="","",MONTH(A1907))</f>
        <v/>
      </c>
      <c r="N1907" s="14">
        <f>IF(A1907="","",YEAR(A1907))</f>
        <v/>
      </c>
    </row>
    <row r="1908">
      <c r="A1908" s="15" t="n"/>
      <c r="B1908" s="10" t="n"/>
      <c r="C1908" s="10" t="n"/>
      <c r="D1908" s="10" t="n"/>
      <c r="E1908" s="14">
        <f>IF(D1908="","",IFERROR(INDEX('Sản phẩm'!$B$5:$B$304,MATCH(D1908,'Sản phẩm'!$A$5:$A$304,0)),""))</f>
        <v/>
      </c>
      <c r="F1908" s="12" t="n"/>
      <c r="G1908" s="11" t="n"/>
      <c r="H1908" s="11" t="n"/>
      <c r="I1908" s="16">
        <f>IF(D1908="","",IF(G1908&lt;&gt;"",G1908,IFERROR(INDEX('Sản phẩm'!$E$5:$E$304,MATCH(D1908,'Sản phẩm'!$A$5:$A$304,0)),"")))</f>
        <v/>
      </c>
      <c r="J1908" s="16">
        <f>IF(OR(D1908="",F1908=""),"",F1908*I1908-N(H1908))</f>
        <v/>
      </c>
      <c r="K1908" s="16">
        <f>IF(OR(D1908="",F1908=""),"",F1908*IFERROR(INDEX('Sản phẩm'!$D$5:$D$304,MATCH(D1908,'Sản phẩm'!$A$5:$A$304,0)),""))</f>
        <v/>
      </c>
      <c r="L1908" s="16">
        <f>IF(J1908="","",J1908-K1908)</f>
        <v/>
      </c>
      <c r="M1908" s="14">
        <f>IF(A1908="","",MONTH(A1908))</f>
        <v/>
      </c>
      <c r="N1908" s="14">
        <f>IF(A1908="","",YEAR(A1908))</f>
        <v/>
      </c>
    </row>
    <row r="1909">
      <c r="A1909" s="15" t="n"/>
      <c r="B1909" s="10" t="n"/>
      <c r="C1909" s="10" t="n"/>
      <c r="D1909" s="10" t="n"/>
      <c r="E1909" s="14">
        <f>IF(D1909="","",IFERROR(INDEX('Sản phẩm'!$B$5:$B$304,MATCH(D1909,'Sản phẩm'!$A$5:$A$304,0)),""))</f>
        <v/>
      </c>
      <c r="F1909" s="12" t="n"/>
      <c r="G1909" s="11" t="n"/>
      <c r="H1909" s="11" t="n"/>
      <c r="I1909" s="16">
        <f>IF(D1909="","",IF(G1909&lt;&gt;"",G1909,IFERROR(INDEX('Sản phẩm'!$E$5:$E$304,MATCH(D1909,'Sản phẩm'!$A$5:$A$304,0)),"")))</f>
        <v/>
      </c>
      <c r="J1909" s="16">
        <f>IF(OR(D1909="",F1909=""),"",F1909*I1909-N(H1909))</f>
        <v/>
      </c>
      <c r="K1909" s="16">
        <f>IF(OR(D1909="",F1909=""),"",F1909*IFERROR(INDEX('Sản phẩm'!$D$5:$D$304,MATCH(D1909,'Sản phẩm'!$A$5:$A$304,0)),""))</f>
        <v/>
      </c>
      <c r="L1909" s="16">
        <f>IF(J1909="","",J1909-K1909)</f>
        <v/>
      </c>
      <c r="M1909" s="14">
        <f>IF(A1909="","",MONTH(A1909))</f>
        <v/>
      </c>
      <c r="N1909" s="14">
        <f>IF(A1909="","",YEAR(A1909))</f>
        <v/>
      </c>
    </row>
    <row r="1910">
      <c r="A1910" s="15" t="n"/>
      <c r="B1910" s="10" t="n"/>
      <c r="C1910" s="10" t="n"/>
      <c r="D1910" s="10" t="n"/>
      <c r="E1910" s="14">
        <f>IF(D1910="","",IFERROR(INDEX('Sản phẩm'!$B$5:$B$304,MATCH(D1910,'Sản phẩm'!$A$5:$A$304,0)),""))</f>
        <v/>
      </c>
      <c r="F1910" s="12" t="n"/>
      <c r="G1910" s="11" t="n"/>
      <c r="H1910" s="11" t="n"/>
      <c r="I1910" s="16">
        <f>IF(D1910="","",IF(G1910&lt;&gt;"",G1910,IFERROR(INDEX('Sản phẩm'!$E$5:$E$304,MATCH(D1910,'Sản phẩm'!$A$5:$A$304,0)),"")))</f>
        <v/>
      </c>
      <c r="J1910" s="16">
        <f>IF(OR(D1910="",F1910=""),"",F1910*I1910-N(H1910))</f>
        <v/>
      </c>
      <c r="K1910" s="16">
        <f>IF(OR(D1910="",F1910=""),"",F1910*IFERROR(INDEX('Sản phẩm'!$D$5:$D$304,MATCH(D1910,'Sản phẩm'!$A$5:$A$304,0)),""))</f>
        <v/>
      </c>
      <c r="L1910" s="16">
        <f>IF(J1910="","",J1910-K1910)</f>
        <v/>
      </c>
      <c r="M1910" s="14">
        <f>IF(A1910="","",MONTH(A1910))</f>
        <v/>
      </c>
      <c r="N1910" s="14">
        <f>IF(A1910="","",YEAR(A1910))</f>
        <v/>
      </c>
    </row>
    <row r="1911">
      <c r="A1911" s="15" t="n"/>
      <c r="B1911" s="10" t="n"/>
      <c r="C1911" s="10" t="n"/>
      <c r="D1911" s="10" t="n"/>
      <c r="E1911" s="14">
        <f>IF(D1911="","",IFERROR(INDEX('Sản phẩm'!$B$5:$B$304,MATCH(D1911,'Sản phẩm'!$A$5:$A$304,0)),""))</f>
        <v/>
      </c>
      <c r="F1911" s="12" t="n"/>
      <c r="G1911" s="11" t="n"/>
      <c r="H1911" s="11" t="n"/>
      <c r="I1911" s="16">
        <f>IF(D1911="","",IF(G1911&lt;&gt;"",G1911,IFERROR(INDEX('Sản phẩm'!$E$5:$E$304,MATCH(D1911,'Sản phẩm'!$A$5:$A$304,0)),"")))</f>
        <v/>
      </c>
      <c r="J1911" s="16">
        <f>IF(OR(D1911="",F1911=""),"",F1911*I1911-N(H1911))</f>
        <v/>
      </c>
      <c r="K1911" s="16">
        <f>IF(OR(D1911="",F1911=""),"",F1911*IFERROR(INDEX('Sản phẩm'!$D$5:$D$304,MATCH(D1911,'Sản phẩm'!$A$5:$A$304,0)),""))</f>
        <v/>
      </c>
      <c r="L1911" s="16">
        <f>IF(J1911="","",J1911-K1911)</f>
        <v/>
      </c>
      <c r="M1911" s="14">
        <f>IF(A1911="","",MONTH(A1911))</f>
        <v/>
      </c>
      <c r="N1911" s="14">
        <f>IF(A1911="","",YEAR(A1911))</f>
        <v/>
      </c>
    </row>
    <row r="1912">
      <c r="A1912" s="15" t="n"/>
      <c r="B1912" s="10" t="n"/>
      <c r="C1912" s="10" t="n"/>
      <c r="D1912" s="10" t="n"/>
      <c r="E1912" s="14">
        <f>IF(D1912="","",IFERROR(INDEX('Sản phẩm'!$B$5:$B$304,MATCH(D1912,'Sản phẩm'!$A$5:$A$304,0)),""))</f>
        <v/>
      </c>
      <c r="F1912" s="12" t="n"/>
      <c r="G1912" s="11" t="n"/>
      <c r="H1912" s="11" t="n"/>
      <c r="I1912" s="16">
        <f>IF(D1912="","",IF(G1912&lt;&gt;"",G1912,IFERROR(INDEX('Sản phẩm'!$E$5:$E$304,MATCH(D1912,'Sản phẩm'!$A$5:$A$304,0)),"")))</f>
        <v/>
      </c>
      <c r="J1912" s="16">
        <f>IF(OR(D1912="",F1912=""),"",F1912*I1912-N(H1912))</f>
        <v/>
      </c>
      <c r="K1912" s="16">
        <f>IF(OR(D1912="",F1912=""),"",F1912*IFERROR(INDEX('Sản phẩm'!$D$5:$D$304,MATCH(D1912,'Sản phẩm'!$A$5:$A$304,0)),""))</f>
        <v/>
      </c>
      <c r="L1912" s="16">
        <f>IF(J1912="","",J1912-K1912)</f>
        <v/>
      </c>
      <c r="M1912" s="14">
        <f>IF(A1912="","",MONTH(A1912))</f>
        <v/>
      </c>
      <c r="N1912" s="14">
        <f>IF(A1912="","",YEAR(A1912))</f>
        <v/>
      </c>
    </row>
    <row r="1913">
      <c r="A1913" s="15" t="n"/>
      <c r="B1913" s="10" t="n"/>
      <c r="C1913" s="10" t="n"/>
      <c r="D1913" s="10" t="n"/>
      <c r="E1913" s="14">
        <f>IF(D1913="","",IFERROR(INDEX('Sản phẩm'!$B$5:$B$304,MATCH(D1913,'Sản phẩm'!$A$5:$A$304,0)),""))</f>
        <v/>
      </c>
      <c r="F1913" s="12" t="n"/>
      <c r="G1913" s="11" t="n"/>
      <c r="H1913" s="11" t="n"/>
      <c r="I1913" s="16">
        <f>IF(D1913="","",IF(G1913&lt;&gt;"",G1913,IFERROR(INDEX('Sản phẩm'!$E$5:$E$304,MATCH(D1913,'Sản phẩm'!$A$5:$A$304,0)),"")))</f>
        <v/>
      </c>
      <c r="J1913" s="16">
        <f>IF(OR(D1913="",F1913=""),"",F1913*I1913-N(H1913))</f>
        <v/>
      </c>
      <c r="K1913" s="16">
        <f>IF(OR(D1913="",F1913=""),"",F1913*IFERROR(INDEX('Sản phẩm'!$D$5:$D$304,MATCH(D1913,'Sản phẩm'!$A$5:$A$304,0)),""))</f>
        <v/>
      </c>
      <c r="L1913" s="16">
        <f>IF(J1913="","",J1913-K1913)</f>
        <v/>
      </c>
      <c r="M1913" s="14">
        <f>IF(A1913="","",MONTH(A1913))</f>
        <v/>
      </c>
      <c r="N1913" s="14">
        <f>IF(A1913="","",YEAR(A1913))</f>
        <v/>
      </c>
    </row>
    <row r="1914">
      <c r="A1914" s="15" t="n"/>
      <c r="B1914" s="10" t="n"/>
      <c r="C1914" s="10" t="n"/>
      <c r="D1914" s="10" t="n"/>
      <c r="E1914" s="14">
        <f>IF(D1914="","",IFERROR(INDEX('Sản phẩm'!$B$5:$B$304,MATCH(D1914,'Sản phẩm'!$A$5:$A$304,0)),""))</f>
        <v/>
      </c>
      <c r="F1914" s="12" t="n"/>
      <c r="G1914" s="11" t="n"/>
      <c r="H1914" s="11" t="n"/>
      <c r="I1914" s="16">
        <f>IF(D1914="","",IF(G1914&lt;&gt;"",G1914,IFERROR(INDEX('Sản phẩm'!$E$5:$E$304,MATCH(D1914,'Sản phẩm'!$A$5:$A$304,0)),"")))</f>
        <v/>
      </c>
      <c r="J1914" s="16">
        <f>IF(OR(D1914="",F1914=""),"",F1914*I1914-N(H1914))</f>
        <v/>
      </c>
      <c r="K1914" s="16">
        <f>IF(OR(D1914="",F1914=""),"",F1914*IFERROR(INDEX('Sản phẩm'!$D$5:$D$304,MATCH(D1914,'Sản phẩm'!$A$5:$A$304,0)),""))</f>
        <v/>
      </c>
      <c r="L1914" s="16">
        <f>IF(J1914="","",J1914-K1914)</f>
        <v/>
      </c>
      <c r="M1914" s="14">
        <f>IF(A1914="","",MONTH(A1914))</f>
        <v/>
      </c>
      <c r="N1914" s="14">
        <f>IF(A1914="","",YEAR(A1914))</f>
        <v/>
      </c>
    </row>
    <row r="1915">
      <c r="A1915" s="15" t="n"/>
      <c r="B1915" s="10" t="n"/>
      <c r="C1915" s="10" t="n"/>
      <c r="D1915" s="10" t="n"/>
      <c r="E1915" s="14">
        <f>IF(D1915="","",IFERROR(INDEX('Sản phẩm'!$B$5:$B$304,MATCH(D1915,'Sản phẩm'!$A$5:$A$304,0)),""))</f>
        <v/>
      </c>
      <c r="F1915" s="12" t="n"/>
      <c r="G1915" s="11" t="n"/>
      <c r="H1915" s="11" t="n"/>
      <c r="I1915" s="16">
        <f>IF(D1915="","",IF(G1915&lt;&gt;"",G1915,IFERROR(INDEX('Sản phẩm'!$E$5:$E$304,MATCH(D1915,'Sản phẩm'!$A$5:$A$304,0)),"")))</f>
        <v/>
      </c>
      <c r="J1915" s="16">
        <f>IF(OR(D1915="",F1915=""),"",F1915*I1915-N(H1915))</f>
        <v/>
      </c>
      <c r="K1915" s="16">
        <f>IF(OR(D1915="",F1915=""),"",F1915*IFERROR(INDEX('Sản phẩm'!$D$5:$D$304,MATCH(D1915,'Sản phẩm'!$A$5:$A$304,0)),""))</f>
        <v/>
      </c>
      <c r="L1915" s="16">
        <f>IF(J1915="","",J1915-K1915)</f>
        <v/>
      </c>
      <c r="M1915" s="14">
        <f>IF(A1915="","",MONTH(A1915))</f>
        <v/>
      </c>
      <c r="N1915" s="14">
        <f>IF(A1915="","",YEAR(A1915))</f>
        <v/>
      </c>
    </row>
    <row r="1916">
      <c r="A1916" s="15" t="n"/>
      <c r="B1916" s="10" t="n"/>
      <c r="C1916" s="10" t="n"/>
      <c r="D1916" s="10" t="n"/>
      <c r="E1916" s="14">
        <f>IF(D1916="","",IFERROR(INDEX('Sản phẩm'!$B$5:$B$304,MATCH(D1916,'Sản phẩm'!$A$5:$A$304,0)),""))</f>
        <v/>
      </c>
      <c r="F1916" s="12" t="n"/>
      <c r="G1916" s="11" t="n"/>
      <c r="H1916" s="11" t="n"/>
      <c r="I1916" s="16">
        <f>IF(D1916="","",IF(G1916&lt;&gt;"",G1916,IFERROR(INDEX('Sản phẩm'!$E$5:$E$304,MATCH(D1916,'Sản phẩm'!$A$5:$A$304,0)),"")))</f>
        <v/>
      </c>
      <c r="J1916" s="16">
        <f>IF(OR(D1916="",F1916=""),"",F1916*I1916-N(H1916))</f>
        <v/>
      </c>
      <c r="K1916" s="16">
        <f>IF(OR(D1916="",F1916=""),"",F1916*IFERROR(INDEX('Sản phẩm'!$D$5:$D$304,MATCH(D1916,'Sản phẩm'!$A$5:$A$304,0)),""))</f>
        <v/>
      </c>
      <c r="L1916" s="16">
        <f>IF(J1916="","",J1916-K1916)</f>
        <v/>
      </c>
      <c r="M1916" s="14">
        <f>IF(A1916="","",MONTH(A1916))</f>
        <v/>
      </c>
      <c r="N1916" s="14">
        <f>IF(A1916="","",YEAR(A1916))</f>
        <v/>
      </c>
    </row>
    <row r="1917">
      <c r="A1917" s="15" t="n"/>
      <c r="B1917" s="10" t="n"/>
      <c r="C1917" s="10" t="n"/>
      <c r="D1917" s="10" t="n"/>
      <c r="E1917" s="14">
        <f>IF(D1917="","",IFERROR(INDEX('Sản phẩm'!$B$5:$B$304,MATCH(D1917,'Sản phẩm'!$A$5:$A$304,0)),""))</f>
        <v/>
      </c>
      <c r="F1917" s="12" t="n"/>
      <c r="G1917" s="11" t="n"/>
      <c r="H1917" s="11" t="n"/>
      <c r="I1917" s="16">
        <f>IF(D1917="","",IF(G1917&lt;&gt;"",G1917,IFERROR(INDEX('Sản phẩm'!$E$5:$E$304,MATCH(D1917,'Sản phẩm'!$A$5:$A$304,0)),"")))</f>
        <v/>
      </c>
      <c r="J1917" s="16">
        <f>IF(OR(D1917="",F1917=""),"",F1917*I1917-N(H1917))</f>
        <v/>
      </c>
      <c r="K1917" s="16">
        <f>IF(OR(D1917="",F1917=""),"",F1917*IFERROR(INDEX('Sản phẩm'!$D$5:$D$304,MATCH(D1917,'Sản phẩm'!$A$5:$A$304,0)),""))</f>
        <v/>
      </c>
      <c r="L1917" s="16">
        <f>IF(J1917="","",J1917-K1917)</f>
        <v/>
      </c>
      <c r="M1917" s="14">
        <f>IF(A1917="","",MONTH(A1917))</f>
        <v/>
      </c>
      <c r="N1917" s="14">
        <f>IF(A1917="","",YEAR(A1917))</f>
        <v/>
      </c>
    </row>
    <row r="1918">
      <c r="A1918" s="15" t="n"/>
      <c r="B1918" s="10" t="n"/>
      <c r="C1918" s="10" t="n"/>
      <c r="D1918" s="10" t="n"/>
      <c r="E1918" s="14">
        <f>IF(D1918="","",IFERROR(INDEX('Sản phẩm'!$B$5:$B$304,MATCH(D1918,'Sản phẩm'!$A$5:$A$304,0)),""))</f>
        <v/>
      </c>
      <c r="F1918" s="12" t="n"/>
      <c r="G1918" s="11" t="n"/>
      <c r="H1918" s="11" t="n"/>
      <c r="I1918" s="16">
        <f>IF(D1918="","",IF(G1918&lt;&gt;"",G1918,IFERROR(INDEX('Sản phẩm'!$E$5:$E$304,MATCH(D1918,'Sản phẩm'!$A$5:$A$304,0)),"")))</f>
        <v/>
      </c>
      <c r="J1918" s="16">
        <f>IF(OR(D1918="",F1918=""),"",F1918*I1918-N(H1918))</f>
        <v/>
      </c>
      <c r="K1918" s="16">
        <f>IF(OR(D1918="",F1918=""),"",F1918*IFERROR(INDEX('Sản phẩm'!$D$5:$D$304,MATCH(D1918,'Sản phẩm'!$A$5:$A$304,0)),""))</f>
        <v/>
      </c>
      <c r="L1918" s="16">
        <f>IF(J1918="","",J1918-K1918)</f>
        <v/>
      </c>
      <c r="M1918" s="14">
        <f>IF(A1918="","",MONTH(A1918))</f>
        <v/>
      </c>
      <c r="N1918" s="14">
        <f>IF(A1918="","",YEAR(A1918))</f>
        <v/>
      </c>
    </row>
    <row r="1919">
      <c r="A1919" s="15" t="n"/>
      <c r="B1919" s="10" t="n"/>
      <c r="C1919" s="10" t="n"/>
      <c r="D1919" s="10" t="n"/>
      <c r="E1919" s="14">
        <f>IF(D1919="","",IFERROR(INDEX('Sản phẩm'!$B$5:$B$304,MATCH(D1919,'Sản phẩm'!$A$5:$A$304,0)),""))</f>
        <v/>
      </c>
      <c r="F1919" s="12" t="n"/>
      <c r="G1919" s="11" t="n"/>
      <c r="H1919" s="11" t="n"/>
      <c r="I1919" s="16">
        <f>IF(D1919="","",IF(G1919&lt;&gt;"",G1919,IFERROR(INDEX('Sản phẩm'!$E$5:$E$304,MATCH(D1919,'Sản phẩm'!$A$5:$A$304,0)),"")))</f>
        <v/>
      </c>
      <c r="J1919" s="16">
        <f>IF(OR(D1919="",F1919=""),"",F1919*I1919-N(H1919))</f>
        <v/>
      </c>
      <c r="K1919" s="16">
        <f>IF(OR(D1919="",F1919=""),"",F1919*IFERROR(INDEX('Sản phẩm'!$D$5:$D$304,MATCH(D1919,'Sản phẩm'!$A$5:$A$304,0)),""))</f>
        <v/>
      </c>
      <c r="L1919" s="16">
        <f>IF(J1919="","",J1919-K1919)</f>
        <v/>
      </c>
      <c r="M1919" s="14">
        <f>IF(A1919="","",MONTH(A1919))</f>
        <v/>
      </c>
      <c r="N1919" s="14">
        <f>IF(A1919="","",YEAR(A1919))</f>
        <v/>
      </c>
    </row>
    <row r="1920">
      <c r="A1920" s="15" t="n"/>
      <c r="B1920" s="10" t="n"/>
      <c r="C1920" s="10" t="n"/>
      <c r="D1920" s="10" t="n"/>
      <c r="E1920" s="14">
        <f>IF(D1920="","",IFERROR(INDEX('Sản phẩm'!$B$5:$B$304,MATCH(D1920,'Sản phẩm'!$A$5:$A$304,0)),""))</f>
        <v/>
      </c>
      <c r="F1920" s="12" t="n"/>
      <c r="G1920" s="11" t="n"/>
      <c r="H1920" s="11" t="n"/>
      <c r="I1920" s="16">
        <f>IF(D1920="","",IF(G1920&lt;&gt;"",G1920,IFERROR(INDEX('Sản phẩm'!$E$5:$E$304,MATCH(D1920,'Sản phẩm'!$A$5:$A$304,0)),"")))</f>
        <v/>
      </c>
      <c r="J1920" s="16">
        <f>IF(OR(D1920="",F1920=""),"",F1920*I1920-N(H1920))</f>
        <v/>
      </c>
      <c r="K1920" s="16">
        <f>IF(OR(D1920="",F1920=""),"",F1920*IFERROR(INDEX('Sản phẩm'!$D$5:$D$304,MATCH(D1920,'Sản phẩm'!$A$5:$A$304,0)),""))</f>
        <v/>
      </c>
      <c r="L1920" s="16">
        <f>IF(J1920="","",J1920-K1920)</f>
        <v/>
      </c>
      <c r="M1920" s="14">
        <f>IF(A1920="","",MONTH(A1920))</f>
        <v/>
      </c>
      <c r="N1920" s="14">
        <f>IF(A1920="","",YEAR(A1920))</f>
        <v/>
      </c>
    </row>
    <row r="1921">
      <c r="A1921" s="15" t="n"/>
      <c r="B1921" s="10" t="n"/>
      <c r="C1921" s="10" t="n"/>
      <c r="D1921" s="10" t="n"/>
      <c r="E1921" s="14">
        <f>IF(D1921="","",IFERROR(INDEX('Sản phẩm'!$B$5:$B$304,MATCH(D1921,'Sản phẩm'!$A$5:$A$304,0)),""))</f>
        <v/>
      </c>
      <c r="F1921" s="12" t="n"/>
      <c r="G1921" s="11" t="n"/>
      <c r="H1921" s="11" t="n"/>
      <c r="I1921" s="16">
        <f>IF(D1921="","",IF(G1921&lt;&gt;"",G1921,IFERROR(INDEX('Sản phẩm'!$E$5:$E$304,MATCH(D1921,'Sản phẩm'!$A$5:$A$304,0)),"")))</f>
        <v/>
      </c>
      <c r="J1921" s="16">
        <f>IF(OR(D1921="",F1921=""),"",F1921*I1921-N(H1921))</f>
        <v/>
      </c>
      <c r="K1921" s="16">
        <f>IF(OR(D1921="",F1921=""),"",F1921*IFERROR(INDEX('Sản phẩm'!$D$5:$D$304,MATCH(D1921,'Sản phẩm'!$A$5:$A$304,0)),""))</f>
        <v/>
      </c>
      <c r="L1921" s="16">
        <f>IF(J1921="","",J1921-K1921)</f>
        <v/>
      </c>
      <c r="M1921" s="14">
        <f>IF(A1921="","",MONTH(A1921))</f>
        <v/>
      </c>
      <c r="N1921" s="14">
        <f>IF(A1921="","",YEAR(A1921))</f>
        <v/>
      </c>
    </row>
    <row r="1922">
      <c r="A1922" s="15" t="n"/>
      <c r="B1922" s="10" t="n"/>
      <c r="C1922" s="10" t="n"/>
      <c r="D1922" s="10" t="n"/>
      <c r="E1922" s="14">
        <f>IF(D1922="","",IFERROR(INDEX('Sản phẩm'!$B$5:$B$304,MATCH(D1922,'Sản phẩm'!$A$5:$A$304,0)),""))</f>
        <v/>
      </c>
      <c r="F1922" s="12" t="n"/>
      <c r="G1922" s="11" t="n"/>
      <c r="H1922" s="11" t="n"/>
      <c r="I1922" s="16">
        <f>IF(D1922="","",IF(G1922&lt;&gt;"",G1922,IFERROR(INDEX('Sản phẩm'!$E$5:$E$304,MATCH(D1922,'Sản phẩm'!$A$5:$A$304,0)),"")))</f>
        <v/>
      </c>
      <c r="J1922" s="16">
        <f>IF(OR(D1922="",F1922=""),"",F1922*I1922-N(H1922))</f>
        <v/>
      </c>
      <c r="K1922" s="16">
        <f>IF(OR(D1922="",F1922=""),"",F1922*IFERROR(INDEX('Sản phẩm'!$D$5:$D$304,MATCH(D1922,'Sản phẩm'!$A$5:$A$304,0)),""))</f>
        <v/>
      </c>
      <c r="L1922" s="16">
        <f>IF(J1922="","",J1922-K1922)</f>
        <v/>
      </c>
      <c r="M1922" s="14">
        <f>IF(A1922="","",MONTH(A1922))</f>
        <v/>
      </c>
      <c r="N1922" s="14">
        <f>IF(A1922="","",YEAR(A1922))</f>
        <v/>
      </c>
    </row>
    <row r="1923">
      <c r="A1923" s="15" t="n"/>
      <c r="B1923" s="10" t="n"/>
      <c r="C1923" s="10" t="n"/>
      <c r="D1923" s="10" t="n"/>
      <c r="E1923" s="14">
        <f>IF(D1923="","",IFERROR(INDEX('Sản phẩm'!$B$5:$B$304,MATCH(D1923,'Sản phẩm'!$A$5:$A$304,0)),""))</f>
        <v/>
      </c>
      <c r="F1923" s="12" t="n"/>
      <c r="G1923" s="11" t="n"/>
      <c r="H1923" s="11" t="n"/>
      <c r="I1923" s="16">
        <f>IF(D1923="","",IF(G1923&lt;&gt;"",G1923,IFERROR(INDEX('Sản phẩm'!$E$5:$E$304,MATCH(D1923,'Sản phẩm'!$A$5:$A$304,0)),"")))</f>
        <v/>
      </c>
      <c r="J1923" s="16">
        <f>IF(OR(D1923="",F1923=""),"",F1923*I1923-N(H1923))</f>
        <v/>
      </c>
      <c r="K1923" s="16">
        <f>IF(OR(D1923="",F1923=""),"",F1923*IFERROR(INDEX('Sản phẩm'!$D$5:$D$304,MATCH(D1923,'Sản phẩm'!$A$5:$A$304,0)),""))</f>
        <v/>
      </c>
      <c r="L1923" s="16">
        <f>IF(J1923="","",J1923-K1923)</f>
        <v/>
      </c>
      <c r="M1923" s="14">
        <f>IF(A1923="","",MONTH(A1923))</f>
        <v/>
      </c>
      <c r="N1923" s="14">
        <f>IF(A1923="","",YEAR(A1923))</f>
        <v/>
      </c>
    </row>
    <row r="1924">
      <c r="A1924" s="15" t="n"/>
      <c r="B1924" s="10" t="n"/>
      <c r="C1924" s="10" t="n"/>
      <c r="D1924" s="10" t="n"/>
      <c r="E1924" s="14">
        <f>IF(D1924="","",IFERROR(INDEX('Sản phẩm'!$B$5:$B$304,MATCH(D1924,'Sản phẩm'!$A$5:$A$304,0)),""))</f>
        <v/>
      </c>
      <c r="F1924" s="12" t="n"/>
      <c r="G1924" s="11" t="n"/>
      <c r="H1924" s="11" t="n"/>
      <c r="I1924" s="16">
        <f>IF(D1924="","",IF(G1924&lt;&gt;"",G1924,IFERROR(INDEX('Sản phẩm'!$E$5:$E$304,MATCH(D1924,'Sản phẩm'!$A$5:$A$304,0)),"")))</f>
        <v/>
      </c>
      <c r="J1924" s="16">
        <f>IF(OR(D1924="",F1924=""),"",F1924*I1924-N(H1924))</f>
        <v/>
      </c>
      <c r="K1924" s="16">
        <f>IF(OR(D1924="",F1924=""),"",F1924*IFERROR(INDEX('Sản phẩm'!$D$5:$D$304,MATCH(D1924,'Sản phẩm'!$A$5:$A$304,0)),""))</f>
        <v/>
      </c>
      <c r="L1924" s="16">
        <f>IF(J1924="","",J1924-K1924)</f>
        <v/>
      </c>
      <c r="M1924" s="14">
        <f>IF(A1924="","",MONTH(A1924))</f>
        <v/>
      </c>
      <c r="N1924" s="14">
        <f>IF(A1924="","",YEAR(A1924))</f>
        <v/>
      </c>
    </row>
    <row r="1925">
      <c r="A1925" s="15" t="n"/>
      <c r="B1925" s="10" t="n"/>
      <c r="C1925" s="10" t="n"/>
      <c r="D1925" s="10" t="n"/>
      <c r="E1925" s="14">
        <f>IF(D1925="","",IFERROR(INDEX('Sản phẩm'!$B$5:$B$304,MATCH(D1925,'Sản phẩm'!$A$5:$A$304,0)),""))</f>
        <v/>
      </c>
      <c r="F1925" s="12" t="n"/>
      <c r="G1925" s="11" t="n"/>
      <c r="H1925" s="11" t="n"/>
      <c r="I1925" s="16">
        <f>IF(D1925="","",IF(G1925&lt;&gt;"",G1925,IFERROR(INDEX('Sản phẩm'!$E$5:$E$304,MATCH(D1925,'Sản phẩm'!$A$5:$A$304,0)),"")))</f>
        <v/>
      </c>
      <c r="J1925" s="16">
        <f>IF(OR(D1925="",F1925=""),"",F1925*I1925-N(H1925))</f>
        <v/>
      </c>
      <c r="K1925" s="16">
        <f>IF(OR(D1925="",F1925=""),"",F1925*IFERROR(INDEX('Sản phẩm'!$D$5:$D$304,MATCH(D1925,'Sản phẩm'!$A$5:$A$304,0)),""))</f>
        <v/>
      </c>
      <c r="L1925" s="16">
        <f>IF(J1925="","",J1925-K1925)</f>
        <v/>
      </c>
      <c r="M1925" s="14">
        <f>IF(A1925="","",MONTH(A1925))</f>
        <v/>
      </c>
      <c r="N1925" s="14">
        <f>IF(A1925="","",YEAR(A1925))</f>
        <v/>
      </c>
    </row>
    <row r="1926">
      <c r="A1926" s="15" t="n"/>
      <c r="B1926" s="10" t="n"/>
      <c r="C1926" s="10" t="n"/>
      <c r="D1926" s="10" t="n"/>
      <c r="E1926" s="14">
        <f>IF(D1926="","",IFERROR(INDEX('Sản phẩm'!$B$5:$B$304,MATCH(D1926,'Sản phẩm'!$A$5:$A$304,0)),""))</f>
        <v/>
      </c>
      <c r="F1926" s="12" t="n"/>
      <c r="G1926" s="11" t="n"/>
      <c r="H1926" s="11" t="n"/>
      <c r="I1926" s="16">
        <f>IF(D1926="","",IF(G1926&lt;&gt;"",G1926,IFERROR(INDEX('Sản phẩm'!$E$5:$E$304,MATCH(D1926,'Sản phẩm'!$A$5:$A$304,0)),"")))</f>
        <v/>
      </c>
      <c r="J1926" s="16">
        <f>IF(OR(D1926="",F1926=""),"",F1926*I1926-N(H1926))</f>
        <v/>
      </c>
      <c r="K1926" s="16">
        <f>IF(OR(D1926="",F1926=""),"",F1926*IFERROR(INDEX('Sản phẩm'!$D$5:$D$304,MATCH(D1926,'Sản phẩm'!$A$5:$A$304,0)),""))</f>
        <v/>
      </c>
      <c r="L1926" s="16">
        <f>IF(J1926="","",J1926-K1926)</f>
        <v/>
      </c>
      <c r="M1926" s="14">
        <f>IF(A1926="","",MONTH(A1926))</f>
        <v/>
      </c>
      <c r="N1926" s="14">
        <f>IF(A1926="","",YEAR(A1926))</f>
        <v/>
      </c>
    </row>
    <row r="1927">
      <c r="A1927" s="15" t="n"/>
      <c r="B1927" s="10" t="n"/>
      <c r="C1927" s="10" t="n"/>
      <c r="D1927" s="10" t="n"/>
      <c r="E1927" s="14">
        <f>IF(D1927="","",IFERROR(INDEX('Sản phẩm'!$B$5:$B$304,MATCH(D1927,'Sản phẩm'!$A$5:$A$304,0)),""))</f>
        <v/>
      </c>
      <c r="F1927" s="12" t="n"/>
      <c r="G1927" s="11" t="n"/>
      <c r="H1927" s="11" t="n"/>
      <c r="I1927" s="16">
        <f>IF(D1927="","",IF(G1927&lt;&gt;"",G1927,IFERROR(INDEX('Sản phẩm'!$E$5:$E$304,MATCH(D1927,'Sản phẩm'!$A$5:$A$304,0)),"")))</f>
        <v/>
      </c>
      <c r="J1927" s="16">
        <f>IF(OR(D1927="",F1927=""),"",F1927*I1927-N(H1927))</f>
        <v/>
      </c>
      <c r="K1927" s="16">
        <f>IF(OR(D1927="",F1927=""),"",F1927*IFERROR(INDEX('Sản phẩm'!$D$5:$D$304,MATCH(D1927,'Sản phẩm'!$A$5:$A$304,0)),""))</f>
        <v/>
      </c>
      <c r="L1927" s="16">
        <f>IF(J1927="","",J1927-K1927)</f>
        <v/>
      </c>
      <c r="M1927" s="14">
        <f>IF(A1927="","",MONTH(A1927))</f>
        <v/>
      </c>
      <c r="N1927" s="14">
        <f>IF(A1927="","",YEAR(A1927))</f>
        <v/>
      </c>
    </row>
    <row r="1928">
      <c r="A1928" s="15" t="n"/>
      <c r="B1928" s="10" t="n"/>
      <c r="C1928" s="10" t="n"/>
      <c r="D1928" s="10" t="n"/>
      <c r="E1928" s="14">
        <f>IF(D1928="","",IFERROR(INDEX('Sản phẩm'!$B$5:$B$304,MATCH(D1928,'Sản phẩm'!$A$5:$A$304,0)),""))</f>
        <v/>
      </c>
      <c r="F1928" s="12" t="n"/>
      <c r="G1928" s="11" t="n"/>
      <c r="H1928" s="11" t="n"/>
      <c r="I1928" s="16">
        <f>IF(D1928="","",IF(G1928&lt;&gt;"",G1928,IFERROR(INDEX('Sản phẩm'!$E$5:$E$304,MATCH(D1928,'Sản phẩm'!$A$5:$A$304,0)),"")))</f>
        <v/>
      </c>
      <c r="J1928" s="16">
        <f>IF(OR(D1928="",F1928=""),"",F1928*I1928-N(H1928))</f>
        <v/>
      </c>
      <c r="K1928" s="16">
        <f>IF(OR(D1928="",F1928=""),"",F1928*IFERROR(INDEX('Sản phẩm'!$D$5:$D$304,MATCH(D1928,'Sản phẩm'!$A$5:$A$304,0)),""))</f>
        <v/>
      </c>
      <c r="L1928" s="16">
        <f>IF(J1928="","",J1928-K1928)</f>
        <v/>
      </c>
      <c r="M1928" s="14">
        <f>IF(A1928="","",MONTH(A1928))</f>
        <v/>
      </c>
      <c r="N1928" s="14">
        <f>IF(A1928="","",YEAR(A1928))</f>
        <v/>
      </c>
    </row>
    <row r="1929">
      <c r="A1929" s="15" t="n"/>
      <c r="B1929" s="10" t="n"/>
      <c r="C1929" s="10" t="n"/>
      <c r="D1929" s="10" t="n"/>
      <c r="E1929" s="14">
        <f>IF(D1929="","",IFERROR(INDEX('Sản phẩm'!$B$5:$B$304,MATCH(D1929,'Sản phẩm'!$A$5:$A$304,0)),""))</f>
        <v/>
      </c>
      <c r="F1929" s="12" t="n"/>
      <c r="G1929" s="11" t="n"/>
      <c r="H1929" s="11" t="n"/>
      <c r="I1929" s="16">
        <f>IF(D1929="","",IF(G1929&lt;&gt;"",G1929,IFERROR(INDEX('Sản phẩm'!$E$5:$E$304,MATCH(D1929,'Sản phẩm'!$A$5:$A$304,0)),"")))</f>
        <v/>
      </c>
      <c r="J1929" s="16">
        <f>IF(OR(D1929="",F1929=""),"",F1929*I1929-N(H1929))</f>
        <v/>
      </c>
      <c r="K1929" s="16">
        <f>IF(OR(D1929="",F1929=""),"",F1929*IFERROR(INDEX('Sản phẩm'!$D$5:$D$304,MATCH(D1929,'Sản phẩm'!$A$5:$A$304,0)),""))</f>
        <v/>
      </c>
      <c r="L1929" s="16">
        <f>IF(J1929="","",J1929-K1929)</f>
        <v/>
      </c>
      <c r="M1929" s="14">
        <f>IF(A1929="","",MONTH(A1929))</f>
        <v/>
      </c>
      <c r="N1929" s="14">
        <f>IF(A1929="","",YEAR(A1929))</f>
        <v/>
      </c>
    </row>
    <row r="1930">
      <c r="A1930" s="15" t="n"/>
      <c r="B1930" s="10" t="n"/>
      <c r="C1930" s="10" t="n"/>
      <c r="D1930" s="10" t="n"/>
      <c r="E1930" s="14">
        <f>IF(D1930="","",IFERROR(INDEX('Sản phẩm'!$B$5:$B$304,MATCH(D1930,'Sản phẩm'!$A$5:$A$304,0)),""))</f>
        <v/>
      </c>
      <c r="F1930" s="12" t="n"/>
      <c r="G1930" s="11" t="n"/>
      <c r="H1930" s="11" t="n"/>
      <c r="I1930" s="16">
        <f>IF(D1930="","",IF(G1930&lt;&gt;"",G1930,IFERROR(INDEX('Sản phẩm'!$E$5:$E$304,MATCH(D1930,'Sản phẩm'!$A$5:$A$304,0)),"")))</f>
        <v/>
      </c>
      <c r="J1930" s="16">
        <f>IF(OR(D1930="",F1930=""),"",F1930*I1930-N(H1930))</f>
        <v/>
      </c>
      <c r="K1930" s="16">
        <f>IF(OR(D1930="",F1930=""),"",F1930*IFERROR(INDEX('Sản phẩm'!$D$5:$D$304,MATCH(D1930,'Sản phẩm'!$A$5:$A$304,0)),""))</f>
        <v/>
      </c>
      <c r="L1930" s="16">
        <f>IF(J1930="","",J1930-K1930)</f>
        <v/>
      </c>
      <c r="M1930" s="14">
        <f>IF(A1930="","",MONTH(A1930))</f>
        <v/>
      </c>
      <c r="N1930" s="14">
        <f>IF(A1930="","",YEAR(A1930))</f>
        <v/>
      </c>
    </row>
    <row r="1931">
      <c r="A1931" s="15" t="n"/>
      <c r="B1931" s="10" t="n"/>
      <c r="C1931" s="10" t="n"/>
      <c r="D1931" s="10" t="n"/>
      <c r="E1931" s="14">
        <f>IF(D1931="","",IFERROR(INDEX('Sản phẩm'!$B$5:$B$304,MATCH(D1931,'Sản phẩm'!$A$5:$A$304,0)),""))</f>
        <v/>
      </c>
      <c r="F1931" s="12" t="n"/>
      <c r="G1931" s="11" t="n"/>
      <c r="H1931" s="11" t="n"/>
      <c r="I1931" s="16">
        <f>IF(D1931="","",IF(G1931&lt;&gt;"",G1931,IFERROR(INDEX('Sản phẩm'!$E$5:$E$304,MATCH(D1931,'Sản phẩm'!$A$5:$A$304,0)),"")))</f>
        <v/>
      </c>
      <c r="J1931" s="16">
        <f>IF(OR(D1931="",F1931=""),"",F1931*I1931-N(H1931))</f>
        <v/>
      </c>
      <c r="K1931" s="16">
        <f>IF(OR(D1931="",F1931=""),"",F1931*IFERROR(INDEX('Sản phẩm'!$D$5:$D$304,MATCH(D1931,'Sản phẩm'!$A$5:$A$304,0)),""))</f>
        <v/>
      </c>
      <c r="L1931" s="16">
        <f>IF(J1931="","",J1931-K1931)</f>
        <v/>
      </c>
      <c r="M1931" s="14">
        <f>IF(A1931="","",MONTH(A1931))</f>
        <v/>
      </c>
      <c r="N1931" s="14">
        <f>IF(A1931="","",YEAR(A1931))</f>
        <v/>
      </c>
    </row>
    <row r="1932">
      <c r="A1932" s="15" t="n"/>
      <c r="B1932" s="10" t="n"/>
      <c r="C1932" s="10" t="n"/>
      <c r="D1932" s="10" t="n"/>
      <c r="E1932" s="14">
        <f>IF(D1932="","",IFERROR(INDEX('Sản phẩm'!$B$5:$B$304,MATCH(D1932,'Sản phẩm'!$A$5:$A$304,0)),""))</f>
        <v/>
      </c>
      <c r="F1932" s="12" t="n"/>
      <c r="G1932" s="11" t="n"/>
      <c r="H1932" s="11" t="n"/>
      <c r="I1932" s="16">
        <f>IF(D1932="","",IF(G1932&lt;&gt;"",G1932,IFERROR(INDEX('Sản phẩm'!$E$5:$E$304,MATCH(D1932,'Sản phẩm'!$A$5:$A$304,0)),"")))</f>
        <v/>
      </c>
      <c r="J1932" s="16">
        <f>IF(OR(D1932="",F1932=""),"",F1932*I1932-N(H1932))</f>
        <v/>
      </c>
      <c r="K1932" s="16">
        <f>IF(OR(D1932="",F1932=""),"",F1932*IFERROR(INDEX('Sản phẩm'!$D$5:$D$304,MATCH(D1932,'Sản phẩm'!$A$5:$A$304,0)),""))</f>
        <v/>
      </c>
      <c r="L1932" s="16">
        <f>IF(J1932="","",J1932-K1932)</f>
        <v/>
      </c>
      <c r="M1932" s="14">
        <f>IF(A1932="","",MONTH(A1932))</f>
        <v/>
      </c>
      <c r="N1932" s="14">
        <f>IF(A1932="","",YEAR(A1932))</f>
        <v/>
      </c>
    </row>
    <row r="1933">
      <c r="A1933" s="15" t="n"/>
      <c r="B1933" s="10" t="n"/>
      <c r="C1933" s="10" t="n"/>
      <c r="D1933" s="10" t="n"/>
      <c r="E1933" s="14">
        <f>IF(D1933="","",IFERROR(INDEX('Sản phẩm'!$B$5:$B$304,MATCH(D1933,'Sản phẩm'!$A$5:$A$304,0)),""))</f>
        <v/>
      </c>
      <c r="F1933" s="12" t="n"/>
      <c r="G1933" s="11" t="n"/>
      <c r="H1933" s="11" t="n"/>
      <c r="I1933" s="16">
        <f>IF(D1933="","",IF(G1933&lt;&gt;"",G1933,IFERROR(INDEX('Sản phẩm'!$E$5:$E$304,MATCH(D1933,'Sản phẩm'!$A$5:$A$304,0)),"")))</f>
        <v/>
      </c>
      <c r="J1933" s="16">
        <f>IF(OR(D1933="",F1933=""),"",F1933*I1933-N(H1933))</f>
        <v/>
      </c>
      <c r="K1933" s="16">
        <f>IF(OR(D1933="",F1933=""),"",F1933*IFERROR(INDEX('Sản phẩm'!$D$5:$D$304,MATCH(D1933,'Sản phẩm'!$A$5:$A$304,0)),""))</f>
        <v/>
      </c>
      <c r="L1933" s="16">
        <f>IF(J1933="","",J1933-K1933)</f>
        <v/>
      </c>
      <c r="M1933" s="14">
        <f>IF(A1933="","",MONTH(A1933))</f>
        <v/>
      </c>
      <c r="N1933" s="14">
        <f>IF(A1933="","",YEAR(A1933))</f>
        <v/>
      </c>
    </row>
    <row r="1934">
      <c r="A1934" s="15" t="n"/>
      <c r="B1934" s="10" t="n"/>
      <c r="C1934" s="10" t="n"/>
      <c r="D1934" s="10" t="n"/>
      <c r="E1934" s="14">
        <f>IF(D1934="","",IFERROR(INDEX('Sản phẩm'!$B$5:$B$304,MATCH(D1934,'Sản phẩm'!$A$5:$A$304,0)),""))</f>
        <v/>
      </c>
      <c r="F1934" s="12" t="n"/>
      <c r="G1934" s="11" t="n"/>
      <c r="H1934" s="11" t="n"/>
      <c r="I1934" s="16">
        <f>IF(D1934="","",IF(G1934&lt;&gt;"",G1934,IFERROR(INDEX('Sản phẩm'!$E$5:$E$304,MATCH(D1934,'Sản phẩm'!$A$5:$A$304,0)),"")))</f>
        <v/>
      </c>
      <c r="J1934" s="16">
        <f>IF(OR(D1934="",F1934=""),"",F1934*I1934-N(H1934))</f>
        <v/>
      </c>
      <c r="K1934" s="16">
        <f>IF(OR(D1934="",F1934=""),"",F1934*IFERROR(INDEX('Sản phẩm'!$D$5:$D$304,MATCH(D1934,'Sản phẩm'!$A$5:$A$304,0)),""))</f>
        <v/>
      </c>
      <c r="L1934" s="16">
        <f>IF(J1934="","",J1934-K1934)</f>
        <v/>
      </c>
      <c r="M1934" s="14">
        <f>IF(A1934="","",MONTH(A1934))</f>
        <v/>
      </c>
      <c r="N1934" s="14">
        <f>IF(A1934="","",YEAR(A1934))</f>
        <v/>
      </c>
    </row>
    <row r="1935">
      <c r="A1935" s="15" t="n"/>
      <c r="B1935" s="10" t="n"/>
      <c r="C1935" s="10" t="n"/>
      <c r="D1935" s="10" t="n"/>
      <c r="E1935" s="14">
        <f>IF(D1935="","",IFERROR(INDEX('Sản phẩm'!$B$5:$B$304,MATCH(D1935,'Sản phẩm'!$A$5:$A$304,0)),""))</f>
        <v/>
      </c>
      <c r="F1935" s="12" t="n"/>
      <c r="G1935" s="11" t="n"/>
      <c r="H1935" s="11" t="n"/>
      <c r="I1935" s="16">
        <f>IF(D1935="","",IF(G1935&lt;&gt;"",G1935,IFERROR(INDEX('Sản phẩm'!$E$5:$E$304,MATCH(D1935,'Sản phẩm'!$A$5:$A$304,0)),"")))</f>
        <v/>
      </c>
      <c r="J1935" s="16">
        <f>IF(OR(D1935="",F1935=""),"",F1935*I1935-N(H1935))</f>
        <v/>
      </c>
      <c r="K1935" s="16">
        <f>IF(OR(D1935="",F1935=""),"",F1935*IFERROR(INDEX('Sản phẩm'!$D$5:$D$304,MATCH(D1935,'Sản phẩm'!$A$5:$A$304,0)),""))</f>
        <v/>
      </c>
      <c r="L1935" s="16">
        <f>IF(J1935="","",J1935-K1935)</f>
        <v/>
      </c>
      <c r="M1935" s="14">
        <f>IF(A1935="","",MONTH(A1935))</f>
        <v/>
      </c>
      <c r="N1935" s="14">
        <f>IF(A1935="","",YEAR(A1935))</f>
        <v/>
      </c>
    </row>
    <row r="1936">
      <c r="A1936" s="15" t="n"/>
      <c r="B1936" s="10" t="n"/>
      <c r="C1936" s="10" t="n"/>
      <c r="D1936" s="10" t="n"/>
      <c r="E1936" s="14">
        <f>IF(D1936="","",IFERROR(INDEX('Sản phẩm'!$B$5:$B$304,MATCH(D1936,'Sản phẩm'!$A$5:$A$304,0)),""))</f>
        <v/>
      </c>
      <c r="F1936" s="12" t="n"/>
      <c r="G1936" s="11" t="n"/>
      <c r="H1936" s="11" t="n"/>
      <c r="I1936" s="16">
        <f>IF(D1936="","",IF(G1936&lt;&gt;"",G1936,IFERROR(INDEX('Sản phẩm'!$E$5:$E$304,MATCH(D1936,'Sản phẩm'!$A$5:$A$304,0)),"")))</f>
        <v/>
      </c>
      <c r="J1936" s="16">
        <f>IF(OR(D1936="",F1936=""),"",F1936*I1936-N(H1936))</f>
        <v/>
      </c>
      <c r="K1936" s="16">
        <f>IF(OR(D1936="",F1936=""),"",F1936*IFERROR(INDEX('Sản phẩm'!$D$5:$D$304,MATCH(D1936,'Sản phẩm'!$A$5:$A$304,0)),""))</f>
        <v/>
      </c>
      <c r="L1936" s="16">
        <f>IF(J1936="","",J1936-K1936)</f>
        <v/>
      </c>
      <c r="M1936" s="14">
        <f>IF(A1936="","",MONTH(A1936))</f>
        <v/>
      </c>
      <c r="N1936" s="14">
        <f>IF(A1936="","",YEAR(A1936))</f>
        <v/>
      </c>
    </row>
    <row r="1937">
      <c r="A1937" s="15" t="n"/>
      <c r="B1937" s="10" t="n"/>
      <c r="C1937" s="10" t="n"/>
      <c r="D1937" s="10" t="n"/>
      <c r="E1937" s="14">
        <f>IF(D1937="","",IFERROR(INDEX('Sản phẩm'!$B$5:$B$304,MATCH(D1937,'Sản phẩm'!$A$5:$A$304,0)),""))</f>
        <v/>
      </c>
      <c r="F1937" s="12" t="n"/>
      <c r="G1937" s="11" t="n"/>
      <c r="H1937" s="11" t="n"/>
      <c r="I1937" s="16">
        <f>IF(D1937="","",IF(G1937&lt;&gt;"",G1937,IFERROR(INDEX('Sản phẩm'!$E$5:$E$304,MATCH(D1937,'Sản phẩm'!$A$5:$A$304,0)),"")))</f>
        <v/>
      </c>
      <c r="J1937" s="16">
        <f>IF(OR(D1937="",F1937=""),"",F1937*I1937-N(H1937))</f>
        <v/>
      </c>
      <c r="K1937" s="16">
        <f>IF(OR(D1937="",F1937=""),"",F1937*IFERROR(INDEX('Sản phẩm'!$D$5:$D$304,MATCH(D1937,'Sản phẩm'!$A$5:$A$304,0)),""))</f>
        <v/>
      </c>
      <c r="L1937" s="16">
        <f>IF(J1937="","",J1937-K1937)</f>
        <v/>
      </c>
      <c r="M1937" s="14">
        <f>IF(A1937="","",MONTH(A1937))</f>
        <v/>
      </c>
      <c r="N1937" s="14">
        <f>IF(A1937="","",YEAR(A1937))</f>
        <v/>
      </c>
    </row>
    <row r="1938">
      <c r="A1938" s="15" t="n"/>
      <c r="B1938" s="10" t="n"/>
      <c r="C1938" s="10" t="n"/>
      <c r="D1938" s="10" t="n"/>
      <c r="E1938" s="14">
        <f>IF(D1938="","",IFERROR(INDEX('Sản phẩm'!$B$5:$B$304,MATCH(D1938,'Sản phẩm'!$A$5:$A$304,0)),""))</f>
        <v/>
      </c>
      <c r="F1938" s="12" t="n"/>
      <c r="G1938" s="11" t="n"/>
      <c r="H1938" s="11" t="n"/>
      <c r="I1938" s="16">
        <f>IF(D1938="","",IF(G1938&lt;&gt;"",G1938,IFERROR(INDEX('Sản phẩm'!$E$5:$E$304,MATCH(D1938,'Sản phẩm'!$A$5:$A$304,0)),"")))</f>
        <v/>
      </c>
      <c r="J1938" s="16">
        <f>IF(OR(D1938="",F1938=""),"",F1938*I1938-N(H1938))</f>
        <v/>
      </c>
      <c r="K1938" s="16">
        <f>IF(OR(D1938="",F1938=""),"",F1938*IFERROR(INDEX('Sản phẩm'!$D$5:$D$304,MATCH(D1938,'Sản phẩm'!$A$5:$A$304,0)),""))</f>
        <v/>
      </c>
      <c r="L1938" s="16">
        <f>IF(J1938="","",J1938-K1938)</f>
        <v/>
      </c>
      <c r="M1938" s="14">
        <f>IF(A1938="","",MONTH(A1938))</f>
        <v/>
      </c>
      <c r="N1938" s="14">
        <f>IF(A1938="","",YEAR(A1938))</f>
        <v/>
      </c>
    </row>
    <row r="1939">
      <c r="A1939" s="15" t="n"/>
      <c r="B1939" s="10" t="n"/>
      <c r="C1939" s="10" t="n"/>
      <c r="D1939" s="10" t="n"/>
      <c r="E1939" s="14">
        <f>IF(D1939="","",IFERROR(INDEX('Sản phẩm'!$B$5:$B$304,MATCH(D1939,'Sản phẩm'!$A$5:$A$304,0)),""))</f>
        <v/>
      </c>
      <c r="F1939" s="12" t="n"/>
      <c r="G1939" s="11" t="n"/>
      <c r="H1939" s="11" t="n"/>
      <c r="I1939" s="16">
        <f>IF(D1939="","",IF(G1939&lt;&gt;"",G1939,IFERROR(INDEX('Sản phẩm'!$E$5:$E$304,MATCH(D1939,'Sản phẩm'!$A$5:$A$304,0)),"")))</f>
        <v/>
      </c>
      <c r="J1939" s="16">
        <f>IF(OR(D1939="",F1939=""),"",F1939*I1939-N(H1939))</f>
        <v/>
      </c>
      <c r="K1939" s="16">
        <f>IF(OR(D1939="",F1939=""),"",F1939*IFERROR(INDEX('Sản phẩm'!$D$5:$D$304,MATCH(D1939,'Sản phẩm'!$A$5:$A$304,0)),""))</f>
        <v/>
      </c>
      <c r="L1939" s="16">
        <f>IF(J1939="","",J1939-K1939)</f>
        <v/>
      </c>
      <c r="M1939" s="14">
        <f>IF(A1939="","",MONTH(A1939))</f>
        <v/>
      </c>
      <c r="N1939" s="14">
        <f>IF(A1939="","",YEAR(A1939))</f>
        <v/>
      </c>
    </row>
    <row r="1940">
      <c r="A1940" s="15" t="n"/>
      <c r="B1940" s="10" t="n"/>
      <c r="C1940" s="10" t="n"/>
      <c r="D1940" s="10" t="n"/>
      <c r="E1940" s="14">
        <f>IF(D1940="","",IFERROR(INDEX('Sản phẩm'!$B$5:$B$304,MATCH(D1940,'Sản phẩm'!$A$5:$A$304,0)),""))</f>
        <v/>
      </c>
      <c r="F1940" s="12" t="n"/>
      <c r="G1940" s="11" t="n"/>
      <c r="H1940" s="11" t="n"/>
      <c r="I1940" s="16">
        <f>IF(D1940="","",IF(G1940&lt;&gt;"",G1940,IFERROR(INDEX('Sản phẩm'!$E$5:$E$304,MATCH(D1940,'Sản phẩm'!$A$5:$A$304,0)),"")))</f>
        <v/>
      </c>
      <c r="J1940" s="16">
        <f>IF(OR(D1940="",F1940=""),"",F1940*I1940-N(H1940))</f>
        <v/>
      </c>
      <c r="K1940" s="16">
        <f>IF(OR(D1940="",F1940=""),"",F1940*IFERROR(INDEX('Sản phẩm'!$D$5:$D$304,MATCH(D1940,'Sản phẩm'!$A$5:$A$304,0)),""))</f>
        <v/>
      </c>
      <c r="L1940" s="16">
        <f>IF(J1940="","",J1940-K1940)</f>
        <v/>
      </c>
      <c r="M1940" s="14">
        <f>IF(A1940="","",MONTH(A1940))</f>
        <v/>
      </c>
      <c r="N1940" s="14">
        <f>IF(A1940="","",YEAR(A1940))</f>
        <v/>
      </c>
    </row>
    <row r="1941">
      <c r="A1941" s="15" t="n"/>
      <c r="B1941" s="10" t="n"/>
      <c r="C1941" s="10" t="n"/>
      <c r="D1941" s="10" t="n"/>
      <c r="E1941" s="14">
        <f>IF(D1941="","",IFERROR(INDEX('Sản phẩm'!$B$5:$B$304,MATCH(D1941,'Sản phẩm'!$A$5:$A$304,0)),""))</f>
        <v/>
      </c>
      <c r="F1941" s="12" t="n"/>
      <c r="G1941" s="11" t="n"/>
      <c r="H1941" s="11" t="n"/>
      <c r="I1941" s="16">
        <f>IF(D1941="","",IF(G1941&lt;&gt;"",G1941,IFERROR(INDEX('Sản phẩm'!$E$5:$E$304,MATCH(D1941,'Sản phẩm'!$A$5:$A$304,0)),"")))</f>
        <v/>
      </c>
      <c r="J1941" s="16">
        <f>IF(OR(D1941="",F1941=""),"",F1941*I1941-N(H1941))</f>
        <v/>
      </c>
      <c r="K1941" s="16">
        <f>IF(OR(D1941="",F1941=""),"",F1941*IFERROR(INDEX('Sản phẩm'!$D$5:$D$304,MATCH(D1941,'Sản phẩm'!$A$5:$A$304,0)),""))</f>
        <v/>
      </c>
      <c r="L1941" s="16">
        <f>IF(J1941="","",J1941-K1941)</f>
        <v/>
      </c>
      <c r="M1941" s="14">
        <f>IF(A1941="","",MONTH(A1941))</f>
        <v/>
      </c>
      <c r="N1941" s="14">
        <f>IF(A1941="","",YEAR(A1941))</f>
        <v/>
      </c>
    </row>
    <row r="1942">
      <c r="A1942" s="15" t="n"/>
      <c r="B1942" s="10" t="n"/>
      <c r="C1942" s="10" t="n"/>
      <c r="D1942" s="10" t="n"/>
      <c r="E1942" s="14">
        <f>IF(D1942="","",IFERROR(INDEX('Sản phẩm'!$B$5:$B$304,MATCH(D1942,'Sản phẩm'!$A$5:$A$304,0)),""))</f>
        <v/>
      </c>
      <c r="F1942" s="12" t="n"/>
      <c r="G1942" s="11" t="n"/>
      <c r="H1942" s="11" t="n"/>
      <c r="I1942" s="16">
        <f>IF(D1942="","",IF(G1942&lt;&gt;"",G1942,IFERROR(INDEX('Sản phẩm'!$E$5:$E$304,MATCH(D1942,'Sản phẩm'!$A$5:$A$304,0)),"")))</f>
        <v/>
      </c>
      <c r="J1942" s="16">
        <f>IF(OR(D1942="",F1942=""),"",F1942*I1942-N(H1942))</f>
        <v/>
      </c>
      <c r="K1942" s="16">
        <f>IF(OR(D1942="",F1942=""),"",F1942*IFERROR(INDEX('Sản phẩm'!$D$5:$D$304,MATCH(D1942,'Sản phẩm'!$A$5:$A$304,0)),""))</f>
        <v/>
      </c>
      <c r="L1942" s="16">
        <f>IF(J1942="","",J1942-K1942)</f>
        <v/>
      </c>
      <c r="M1942" s="14">
        <f>IF(A1942="","",MONTH(A1942))</f>
        <v/>
      </c>
      <c r="N1942" s="14">
        <f>IF(A1942="","",YEAR(A1942))</f>
        <v/>
      </c>
    </row>
    <row r="1943">
      <c r="A1943" s="15" t="n"/>
      <c r="B1943" s="10" t="n"/>
      <c r="C1943" s="10" t="n"/>
      <c r="D1943" s="10" t="n"/>
      <c r="E1943" s="14">
        <f>IF(D1943="","",IFERROR(INDEX('Sản phẩm'!$B$5:$B$304,MATCH(D1943,'Sản phẩm'!$A$5:$A$304,0)),""))</f>
        <v/>
      </c>
      <c r="F1943" s="12" t="n"/>
      <c r="G1943" s="11" t="n"/>
      <c r="H1943" s="11" t="n"/>
      <c r="I1943" s="16">
        <f>IF(D1943="","",IF(G1943&lt;&gt;"",G1943,IFERROR(INDEX('Sản phẩm'!$E$5:$E$304,MATCH(D1943,'Sản phẩm'!$A$5:$A$304,0)),"")))</f>
        <v/>
      </c>
      <c r="J1943" s="16">
        <f>IF(OR(D1943="",F1943=""),"",F1943*I1943-N(H1943))</f>
        <v/>
      </c>
      <c r="K1943" s="16">
        <f>IF(OR(D1943="",F1943=""),"",F1943*IFERROR(INDEX('Sản phẩm'!$D$5:$D$304,MATCH(D1943,'Sản phẩm'!$A$5:$A$304,0)),""))</f>
        <v/>
      </c>
      <c r="L1943" s="16">
        <f>IF(J1943="","",J1943-K1943)</f>
        <v/>
      </c>
      <c r="M1943" s="14">
        <f>IF(A1943="","",MONTH(A1943))</f>
        <v/>
      </c>
      <c r="N1943" s="14">
        <f>IF(A1943="","",YEAR(A1943))</f>
        <v/>
      </c>
    </row>
    <row r="1944">
      <c r="A1944" s="15" t="n"/>
      <c r="B1944" s="10" t="n"/>
      <c r="C1944" s="10" t="n"/>
      <c r="D1944" s="10" t="n"/>
      <c r="E1944" s="14">
        <f>IF(D1944="","",IFERROR(INDEX('Sản phẩm'!$B$5:$B$304,MATCH(D1944,'Sản phẩm'!$A$5:$A$304,0)),""))</f>
        <v/>
      </c>
      <c r="F1944" s="12" t="n"/>
      <c r="G1944" s="11" t="n"/>
      <c r="H1944" s="11" t="n"/>
      <c r="I1944" s="16">
        <f>IF(D1944="","",IF(G1944&lt;&gt;"",G1944,IFERROR(INDEX('Sản phẩm'!$E$5:$E$304,MATCH(D1944,'Sản phẩm'!$A$5:$A$304,0)),"")))</f>
        <v/>
      </c>
      <c r="J1944" s="16">
        <f>IF(OR(D1944="",F1944=""),"",F1944*I1944-N(H1944))</f>
        <v/>
      </c>
      <c r="K1944" s="16">
        <f>IF(OR(D1944="",F1944=""),"",F1944*IFERROR(INDEX('Sản phẩm'!$D$5:$D$304,MATCH(D1944,'Sản phẩm'!$A$5:$A$304,0)),""))</f>
        <v/>
      </c>
      <c r="L1944" s="16">
        <f>IF(J1944="","",J1944-K1944)</f>
        <v/>
      </c>
      <c r="M1944" s="14">
        <f>IF(A1944="","",MONTH(A1944))</f>
        <v/>
      </c>
      <c r="N1944" s="14">
        <f>IF(A1944="","",YEAR(A1944))</f>
        <v/>
      </c>
    </row>
    <row r="1945">
      <c r="A1945" s="15" t="n"/>
      <c r="B1945" s="10" t="n"/>
      <c r="C1945" s="10" t="n"/>
      <c r="D1945" s="10" t="n"/>
      <c r="E1945" s="14">
        <f>IF(D1945="","",IFERROR(INDEX('Sản phẩm'!$B$5:$B$304,MATCH(D1945,'Sản phẩm'!$A$5:$A$304,0)),""))</f>
        <v/>
      </c>
      <c r="F1945" s="12" t="n"/>
      <c r="G1945" s="11" t="n"/>
      <c r="H1945" s="11" t="n"/>
      <c r="I1945" s="16">
        <f>IF(D1945="","",IF(G1945&lt;&gt;"",G1945,IFERROR(INDEX('Sản phẩm'!$E$5:$E$304,MATCH(D1945,'Sản phẩm'!$A$5:$A$304,0)),"")))</f>
        <v/>
      </c>
      <c r="J1945" s="16">
        <f>IF(OR(D1945="",F1945=""),"",F1945*I1945-N(H1945))</f>
        <v/>
      </c>
      <c r="K1945" s="16">
        <f>IF(OR(D1945="",F1945=""),"",F1945*IFERROR(INDEX('Sản phẩm'!$D$5:$D$304,MATCH(D1945,'Sản phẩm'!$A$5:$A$304,0)),""))</f>
        <v/>
      </c>
      <c r="L1945" s="16">
        <f>IF(J1945="","",J1945-K1945)</f>
        <v/>
      </c>
      <c r="M1945" s="14">
        <f>IF(A1945="","",MONTH(A1945))</f>
        <v/>
      </c>
      <c r="N1945" s="14">
        <f>IF(A1945="","",YEAR(A1945))</f>
        <v/>
      </c>
    </row>
    <row r="1946">
      <c r="A1946" s="15" t="n"/>
      <c r="B1946" s="10" t="n"/>
      <c r="C1946" s="10" t="n"/>
      <c r="D1946" s="10" t="n"/>
      <c r="E1946" s="14">
        <f>IF(D1946="","",IFERROR(INDEX('Sản phẩm'!$B$5:$B$304,MATCH(D1946,'Sản phẩm'!$A$5:$A$304,0)),""))</f>
        <v/>
      </c>
      <c r="F1946" s="12" t="n"/>
      <c r="G1946" s="11" t="n"/>
      <c r="H1946" s="11" t="n"/>
      <c r="I1946" s="16">
        <f>IF(D1946="","",IF(G1946&lt;&gt;"",G1946,IFERROR(INDEX('Sản phẩm'!$E$5:$E$304,MATCH(D1946,'Sản phẩm'!$A$5:$A$304,0)),"")))</f>
        <v/>
      </c>
      <c r="J1946" s="16">
        <f>IF(OR(D1946="",F1946=""),"",F1946*I1946-N(H1946))</f>
        <v/>
      </c>
      <c r="K1946" s="16">
        <f>IF(OR(D1946="",F1946=""),"",F1946*IFERROR(INDEX('Sản phẩm'!$D$5:$D$304,MATCH(D1946,'Sản phẩm'!$A$5:$A$304,0)),""))</f>
        <v/>
      </c>
      <c r="L1946" s="16">
        <f>IF(J1946="","",J1946-K1946)</f>
        <v/>
      </c>
      <c r="M1946" s="14">
        <f>IF(A1946="","",MONTH(A1946))</f>
        <v/>
      </c>
      <c r="N1946" s="14">
        <f>IF(A1946="","",YEAR(A1946))</f>
        <v/>
      </c>
    </row>
    <row r="1947">
      <c r="A1947" s="15" t="n"/>
      <c r="B1947" s="10" t="n"/>
      <c r="C1947" s="10" t="n"/>
      <c r="D1947" s="10" t="n"/>
      <c r="E1947" s="14">
        <f>IF(D1947="","",IFERROR(INDEX('Sản phẩm'!$B$5:$B$304,MATCH(D1947,'Sản phẩm'!$A$5:$A$304,0)),""))</f>
        <v/>
      </c>
      <c r="F1947" s="12" t="n"/>
      <c r="G1947" s="11" t="n"/>
      <c r="H1947" s="11" t="n"/>
      <c r="I1947" s="16">
        <f>IF(D1947="","",IF(G1947&lt;&gt;"",G1947,IFERROR(INDEX('Sản phẩm'!$E$5:$E$304,MATCH(D1947,'Sản phẩm'!$A$5:$A$304,0)),"")))</f>
        <v/>
      </c>
      <c r="J1947" s="16">
        <f>IF(OR(D1947="",F1947=""),"",F1947*I1947-N(H1947))</f>
        <v/>
      </c>
      <c r="K1947" s="16">
        <f>IF(OR(D1947="",F1947=""),"",F1947*IFERROR(INDEX('Sản phẩm'!$D$5:$D$304,MATCH(D1947,'Sản phẩm'!$A$5:$A$304,0)),""))</f>
        <v/>
      </c>
      <c r="L1947" s="16">
        <f>IF(J1947="","",J1947-K1947)</f>
        <v/>
      </c>
      <c r="M1947" s="14">
        <f>IF(A1947="","",MONTH(A1947))</f>
        <v/>
      </c>
      <c r="N1947" s="14">
        <f>IF(A1947="","",YEAR(A1947))</f>
        <v/>
      </c>
    </row>
    <row r="1948">
      <c r="A1948" s="15" t="n"/>
      <c r="B1948" s="10" t="n"/>
      <c r="C1948" s="10" t="n"/>
      <c r="D1948" s="10" t="n"/>
      <c r="E1948" s="14">
        <f>IF(D1948="","",IFERROR(INDEX('Sản phẩm'!$B$5:$B$304,MATCH(D1948,'Sản phẩm'!$A$5:$A$304,0)),""))</f>
        <v/>
      </c>
      <c r="F1948" s="12" t="n"/>
      <c r="G1948" s="11" t="n"/>
      <c r="H1948" s="11" t="n"/>
      <c r="I1948" s="16">
        <f>IF(D1948="","",IF(G1948&lt;&gt;"",G1948,IFERROR(INDEX('Sản phẩm'!$E$5:$E$304,MATCH(D1948,'Sản phẩm'!$A$5:$A$304,0)),"")))</f>
        <v/>
      </c>
      <c r="J1948" s="16">
        <f>IF(OR(D1948="",F1948=""),"",F1948*I1948-N(H1948))</f>
        <v/>
      </c>
      <c r="K1948" s="16">
        <f>IF(OR(D1948="",F1948=""),"",F1948*IFERROR(INDEX('Sản phẩm'!$D$5:$D$304,MATCH(D1948,'Sản phẩm'!$A$5:$A$304,0)),""))</f>
        <v/>
      </c>
      <c r="L1948" s="16">
        <f>IF(J1948="","",J1948-K1948)</f>
        <v/>
      </c>
      <c r="M1948" s="14">
        <f>IF(A1948="","",MONTH(A1948))</f>
        <v/>
      </c>
      <c r="N1948" s="14">
        <f>IF(A1948="","",YEAR(A1948))</f>
        <v/>
      </c>
    </row>
    <row r="1949">
      <c r="A1949" s="15" t="n"/>
      <c r="B1949" s="10" t="n"/>
      <c r="C1949" s="10" t="n"/>
      <c r="D1949" s="10" t="n"/>
      <c r="E1949" s="14">
        <f>IF(D1949="","",IFERROR(INDEX('Sản phẩm'!$B$5:$B$304,MATCH(D1949,'Sản phẩm'!$A$5:$A$304,0)),""))</f>
        <v/>
      </c>
      <c r="F1949" s="12" t="n"/>
      <c r="G1949" s="11" t="n"/>
      <c r="H1949" s="11" t="n"/>
      <c r="I1949" s="16">
        <f>IF(D1949="","",IF(G1949&lt;&gt;"",G1949,IFERROR(INDEX('Sản phẩm'!$E$5:$E$304,MATCH(D1949,'Sản phẩm'!$A$5:$A$304,0)),"")))</f>
        <v/>
      </c>
      <c r="J1949" s="16">
        <f>IF(OR(D1949="",F1949=""),"",F1949*I1949-N(H1949))</f>
        <v/>
      </c>
      <c r="K1949" s="16">
        <f>IF(OR(D1949="",F1949=""),"",F1949*IFERROR(INDEX('Sản phẩm'!$D$5:$D$304,MATCH(D1949,'Sản phẩm'!$A$5:$A$304,0)),""))</f>
        <v/>
      </c>
      <c r="L1949" s="16">
        <f>IF(J1949="","",J1949-K1949)</f>
        <v/>
      </c>
      <c r="M1949" s="14">
        <f>IF(A1949="","",MONTH(A1949))</f>
        <v/>
      </c>
      <c r="N1949" s="14">
        <f>IF(A1949="","",YEAR(A1949))</f>
        <v/>
      </c>
    </row>
    <row r="1950">
      <c r="A1950" s="15" t="n"/>
      <c r="B1950" s="10" t="n"/>
      <c r="C1950" s="10" t="n"/>
      <c r="D1950" s="10" t="n"/>
      <c r="E1950" s="14">
        <f>IF(D1950="","",IFERROR(INDEX('Sản phẩm'!$B$5:$B$304,MATCH(D1950,'Sản phẩm'!$A$5:$A$304,0)),""))</f>
        <v/>
      </c>
      <c r="F1950" s="12" t="n"/>
      <c r="G1950" s="11" t="n"/>
      <c r="H1950" s="11" t="n"/>
      <c r="I1950" s="16">
        <f>IF(D1950="","",IF(G1950&lt;&gt;"",G1950,IFERROR(INDEX('Sản phẩm'!$E$5:$E$304,MATCH(D1950,'Sản phẩm'!$A$5:$A$304,0)),"")))</f>
        <v/>
      </c>
      <c r="J1950" s="16">
        <f>IF(OR(D1950="",F1950=""),"",F1950*I1950-N(H1950))</f>
        <v/>
      </c>
      <c r="K1950" s="16">
        <f>IF(OR(D1950="",F1950=""),"",F1950*IFERROR(INDEX('Sản phẩm'!$D$5:$D$304,MATCH(D1950,'Sản phẩm'!$A$5:$A$304,0)),""))</f>
        <v/>
      </c>
      <c r="L1950" s="16">
        <f>IF(J1950="","",J1950-K1950)</f>
        <v/>
      </c>
      <c r="M1950" s="14">
        <f>IF(A1950="","",MONTH(A1950))</f>
        <v/>
      </c>
      <c r="N1950" s="14">
        <f>IF(A1950="","",YEAR(A1950))</f>
        <v/>
      </c>
    </row>
    <row r="1951">
      <c r="A1951" s="15" t="n"/>
      <c r="B1951" s="10" t="n"/>
      <c r="C1951" s="10" t="n"/>
      <c r="D1951" s="10" t="n"/>
      <c r="E1951" s="14">
        <f>IF(D1951="","",IFERROR(INDEX('Sản phẩm'!$B$5:$B$304,MATCH(D1951,'Sản phẩm'!$A$5:$A$304,0)),""))</f>
        <v/>
      </c>
      <c r="F1951" s="12" t="n"/>
      <c r="G1951" s="11" t="n"/>
      <c r="H1951" s="11" t="n"/>
      <c r="I1951" s="16">
        <f>IF(D1951="","",IF(G1951&lt;&gt;"",G1951,IFERROR(INDEX('Sản phẩm'!$E$5:$E$304,MATCH(D1951,'Sản phẩm'!$A$5:$A$304,0)),"")))</f>
        <v/>
      </c>
      <c r="J1951" s="16">
        <f>IF(OR(D1951="",F1951=""),"",F1951*I1951-N(H1951))</f>
        <v/>
      </c>
      <c r="K1951" s="16">
        <f>IF(OR(D1951="",F1951=""),"",F1951*IFERROR(INDEX('Sản phẩm'!$D$5:$D$304,MATCH(D1951,'Sản phẩm'!$A$5:$A$304,0)),""))</f>
        <v/>
      </c>
      <c r="L1951" s="16">
        <f>IF(J1951="","",J1951-K1951)</f>
        <v/>
      </c>
      <c r="M1951" s="14">
        <f>IF(A1951="","",MONTH(A1951))</f>
        <v/>
      </c>
      <c r="N1951" s="14">
        <f>IF(A1951="","",YEAR(A1951))</f>
        <v/>
      </c>
    </row>
    <row r="1952">
      <c r="A1952" s="15" t="n"/>
      <c r="B1952" s="10" t="n"/>
      <c r="C1952" s="10" t="n"/>
      <c r="D1952" s="10" t="n"/>
      <c r="E1952" s="14">
        <f>IF(D1952="","",IFERROR(INDEX('Sản phẩm'!$B$5:$B$304,MATCH(D1952,'Sản phẩm'!$A$5:$A$304,0)),""))</f>
        <v/>
      </c>
      <c r="F1952" s="12" t="n"/>
      <c r="G1952" s="11" t="n"/>
      <c r="H1952" s="11" t="n"/>
      <c r="I1952" s="16">
        <f>IF(D1952="","",IF(G1952&lt;&gt;"",G1952,IFERROR(INDEX('Sản phẩm'!$E$5:$E$304,MATCH(D1952,'Sản phẩm'!$A$5:$A$304,0)),"")))</f>
        <v/>
      </c>
      <c r="J1952" s="16">
        <f>IF(OR(D1952="",F1952=""),"",F1952*I1952-N(H1952))</f>
        <v/>
      </c>
      <c r="K1952" s="16">
        <f>IF(OR(D1952="",F1952=""),"",F1952*IFERROR(INDEX('Sản phẩm'!$D$5:$D$304,MATCH(D1952,'Sản phẩm'!$A$5:$A$304,0)),""))</f>
        <v/>
      </c>
      <c r="L1952" s="16">
        <f>IF(J1952="","",J1952-K1952)</f>
        <v/>
      </c>
      <c r="M1952" s="14">
        <f>IF(A1952="","",MONTH(A1952))</f>
        <v/>
      </c>
      <c r="N1952" s="14">
        <f>IF(A1952="","",YEAR(A1952))</f>
        <v/>
      </c>
    </row>
    <row r="1953">
      <c r="A1953" s="15" t="n"/>
      <c r="B1953" s="10" t="n"/>
      <c r="C1953" s="10" t="n"/>
      <c r="D1953" s="10" t="n"/>
      <c r="E1953" s="14">
        <f>IF(D1953="","",IFERROR(INDEX('Sản phẩm'!$B$5:$B$304,MATCH(D1953,'Sản phẩm'!$A$5:$A$304,0)),""))</f>
        <v/>
      </c>
      <c r="F1953" s="12" t="n"/>
      <c r="G1953" s="11" t="n"/>
      <c r="H1953" s="11" t="n"/>
      <c r="I1953" s="16">
        <f>IF(D1953="","",IF(G1953&lt;&gt;"",G1953,IFERROR(INDEX('Sản phẩm'!$E$5:$E$304,MATCH(D1953,'Sản phẩm'!$A$5:$A$304,0)),"")))</f>
        <v/>
      </c>
      <c r="J1953" s="16">
        <f>IF(OR(D1953="",F1953=""),"",F1953*I1953-N(H1953))</f>
        <v/>
      </c>
      <c r="K1953" s="16">
        <f>IF(OR(D1953="",F1953=""),"",F1953*IFERROR(INDEX('Sản phẩm'!$D$5:$D$304,MATCH(D1953,'Sản phẩm'!$A$5:$A$304,0)),""))</f>
        <v/>
      </c>
      <c r="L1953" s="16">
        <f>IF(J1953="","",J1953-K1953)</f>
        <v/>
      </c>
      <c r="M1953" s="14">
        <f>IF(A1953="","",MONTH(A1953))</f>
        <v/>
      </c>
      <c r="N1953" s="14">
        <f>IF(A1953="","",YEAR(A1953))</f>
        <v/>
      </c>
    </row>
    <row r="1954">
      <c r="A1954" s="15" t="n"/>
      <c r="B1954" s="10" t="n"/>
      <c r="C1954" s="10" t="n"/>
      <c r="D1954" s="10" t="n"/>
      <c r="E1954" s="14">
        <f>IF(D1954="","",IFERROR(INDEX('Sản phẩm'!$B$5:$B$304,MATCH(D1954,'Sản phẩm'!$A$5:$A$304,0)),""))</f>
        <v/>
      </c>
      <c r="F1954" s="12" t="n"/>
      <c r="G1954" s="11" t="n"/>
      <c r="H1954" s="11" t="n"/>
      <c r="I1954" s="16">
        <f>IF(D1954="","",IF(G1954&lt;&gt;"",G1954,IFERROR(INDEX('Sản phẩm'!$E$5:$E$304,MATCH(D1954,'Sản phẩm'!$A$5:$A$304,0)),"")))</f>
        <v/>
      </c>
      <c r="J1954" s="16">
        <f>IF(OR(D1954="",F1954=""),"",F1954*I1954-N(H1954))</f>
        <v/>
      </c>
      <c r="K1954" s="16">
        <f>IF(OR(D1954="",F1954=""),"",F1954*IFERROR(INDEX('Sản phẩm'!$D$5:$D$304,MATCH(D1954,'Sản phẩm'!$A$5:$A$304,0)),""))</f>
        <v/>
      </c>
      <c r="L1954" s="16">
        <f>IF(J1954="","",J1954-K1954)</f>
        <v/>
      </c>
      <c r="M1954" s="14">
        <f>IF(A1954="","",MONTH(A1954))</f>
        <v/>
      </c>
      <c r="N1954" s="14">
        <f>IF(A1954="","",YEAR(A1954))</f>
        <v/>
      </c>
    </row>
    <row r="1955">
      <c r="A1955" s="15" t="n"/>
      <c r="B1955" s="10" t="n"/>
      <c r="C1955" s="10" t="n"/>
      <c r="D1955" s="10" t="n"/>
      <c r="E1955" s="14">
        <f>IF(D1955="","",IFERROR(INDEX('Sản phẩm'!$B$5:$B$304,MATCH(D1955,'Sản phẩm'!$A$5:$A$304,0)),""))</f>
        <v/>
      </c>
      <c r="F1955" s="12" t="n"/>
      <c r="G1955" s="11" t="n"/>
      <c r="H1955" s="11" t="n"/>
      <c r="I1955" s="16">
        <f>IF(D1955="","",IF(G1955&lt;&gt;"",G1955,IFERROR(INDEX('Sản phẩm'!$E$5:$E$304,MATCH(D1955,'Sản phẩm'!$A$5:$A$304,0)),"")))</f>
        <v/>
      </c>
      <c r="J1955" s="16">
        <f>IF(OR(D1955="",F1955=""),"",F1955*I1955-N(H1955))</f>
        <v/>
      </c>
      <c r="K1955" s="16">
        <f>IF(OR(D1955="",F1955=""),"",F1955*IFERROR(INDEX('Sản phẩm'!$D$5:$D$304,MATCH(D1955,'Sản phẩm'!$A$5:$A$304,0)),""))</f>
        <v/>
      </c>
      <c r="L1955" s="16">
        <f>IF(J1955="","",J1955-K1955)</f>
        <v/>
      </c>
      <c r="M1955" s="14">
        <f>IF(A1955="","",MONTH(A1955))</f>
        <v/>
      </c>
      <c r="N1955" s="14">
        <f>IF(A1955="","",YEAR(A1955))</f>
        <v/>
      </c>
    </row>
    <row r="1956">
      <c r="A1956" s="15" t="n"/>
      <c r="B1956" s="10" t="n"/>
      <c r="C1956" s="10" t="n"/>
      <c r="D1956" s="10" t="n"/>
      <c r="E1956" s="14">
        <f>IF(D1956="","",IFERROR(INDEX('Sản phẩm'!$B$5:$B$304,MATCH(D1956,'Sản phẩm'!$A$5:$A$304,0)),""))</f>
        <v/>
      </c>
      <c r="F1956" s="12" t="n"/>
      <c r="G1956" s="11" t="n"/>
      <c r="H1956" s="11" t="n"/>
      <c r="I1956" s="16">
        <f>IF(D1956="","",IF(G1956&lt;&gt;"",G1956,IFERROR(INDEX('Sản phẩm'!$E$5:$E$304,MATCH(D1956,'Sản phẩm'!$A$5:$A$304,0)),"")))</f>
        <v/>
      </c>
      <c r="J1956" s="16">
        <f>IF(OR(D1956="",F1956=""),"",F1956*I1956-N(H1956))</f>
        <v/>
      </c>
      <c r="K1956" s="16">
        <f>IF(OR(D1956="",F1956=""),"",F1956*IFERROR(INDEX('Sản phẩm'!$D$5:$D$304,MATCH(D1956,'Sản phẩm'!$A$5:$A$304,0)),""))</f>
        <v/>
      </c>
      <c r="L1956" s="16">
        <f>IF(J1956="","",J1956-K1956)</f>
        <v/>
      </c>
      <c r="M1956" s="14">
        <f>IF(A1956="","",MONTH(A1956))</f>
        <v/>
      </c>
      <c r="N1956" s="14">
        <f>IF(A1956="","",YEAR(A1956))</f>
        <v/>
      </c>
    </row>
    <row r="1957">
      <c r="A1957" s="15" t="n"/>
      <c r="B1957" s="10" t="n"/>
      <c r="C1957" s="10" t="n"/>
      <c r="D1957" s="10" t="n"/>
      <c r="E1957" s="14">
        <f>IF(D1957="","",IFERROR(INDEX('Sản phẩm'!$B$5:$B$304,MATCH(D1957,'Sản phẩm'!$A$5:$A$304,0)),""))</f>
        <v/>
      </c>
      <c r="F1957" s="12" t="n"/>
      <c r="G1957" s="11" t="n"/>
      <c r="H1957" s="11" t="n"/>
      <c r="I1957" s="16">
        <f>IF(D1957="","",IF(G1957&lt;&gt;"",G1957,IFERROR(INDEX('Sản phẩm'!$E$5:$E$304,MATCH(D1957,'Sản phẩm'!$A$5:$A$304,0)),"")))</f>
        <v/>
      </c>
      <c r="J1957" s="16">
        <f>IF(OR(D1957="",F1957=""),"",F1957*I1957-N(H1957))</f>
        <v/>
      </c>
      <c r="K1957" s="16">
        <f>IF(OR(D1957="",F1957=""),"",F1957*IFERROR(INDEX('Sản phẩm'!$D$5:$D$304,MATCH(D1957,'Sản phẩm'!$A$5:$A$304,0)),""))</f>
        <v/>
      </c>
      <c r="L1957" s="16">
        <f>IF(J1957="","",J1957-K1957)</f>
        <v/>
      </c>
      <c r="M1957" s="14">
        <f>IF(A1957="","",MONTH(A1957))</f>
        <v/>
      </c>
      <c r="N1957" s="14">
        <f>IF(A1957="","",YEAR(A1957))</f>
        <v/>
      </c>
    </row>
    <row r="1958">
      <c r="A1958" s="15" t="n"/>
      <c r="B1958" s="10" t="n"/>
      <c r="C1958" s="10" t="n"/>
      <c r="D1958" s="10" t="n"/>
      <c r="E1958" s="14">
        <f>IF(D1958="","",IFERROR(INDEX('Sản phẩm'!$B$5:$B$304,MATCH(D1958,'Sản phẩm'!$A$5:$A$304,0)),""))</f>
        <v/>
      </c>
      <c r="F1958" s="12" t="n"/>
      <c r="G1958" s="11" t="n"/>
      <c r="H1958" s="11" t="n"/>
      <c r="I1958" s="16">
        <f>IF(D1958="","",IF(G1958&lt;&gt;"",G1958,IFERROR(INDEX('Sản phẩm'!$E$5:$E$304,MATCH(D1958,'Sản phẩm'!$A$5:$A$304,0)),"")))</f>
        <v/>
      </c>
      <c r="J1958" s="16">
        <f>IF(OR(D1958="",F1958=""),"",F1958*I1958-N(H1958))</f>
        <v/>
      </c>
      <c r="K1958" s="16">
        <f>IF(OR(D1958="",F1958=""),"",F1958*IFERROR(INDEX('Sản phẩm'!$D$5:$D$304,MATCH(D1958,'Sản phẩm'!$A$5:$A$304,0)),""))</f>
        <v/>
      </c>
      <c r="L1958" s="16">
        <f>IF(J1958="","",J1958-K1958)</f>
        <v/>
      </c>
      <c r="M1958" s="14">
        <f>IF(A1958="","",MONTH(A1958))</f>
        <v/>
      </c>
      <c r="N1958" s="14">
        <f>IF(A1958="","",YEAR(A1958))</f>
        <v/>
      </c>
    </row>
    <row r="1959">
      <c r="A1959" s="15" t="n"/>
      <c r="B1959" s="10" t="n"/>
      <c r="C1959" s="10" t="n"/>
      <c r="D1959" s="10" t="n"/>
      <c r="E1959" s="14">
        <f>IF(D1959="","",IFERROR(INDEX('Sản phẩm'!$B$5:$B$304,MATCH(D1959,'Sản phẩm'!$A$5:$A$304,0)),""))</f>
        <v/>
      </c>
      <c r="F1959" s="12" t="n"/>
      <c r="G1959" s="11" t="n"/>
      <c r="H1959" s="11" t="n"/>
      <c r="I1959" s="16">
        <f>IF(D1959="","",IF(G1959&lt;&gt;"",G1959,IFERROR(INDEX('Sản phẩm'!$E$5:$E$304,MATCH(D1959,'Sản phẩm'!$A$5:$A$304,0)),"")))</f>
        <v/>
      </c>
      <c r="J1959" s="16">
        <f>IF(OR(D1959="",F1959=""),"",F1959*I1959-N(H1959))</f>
        <v/>
      </c>
      <c r="K1959" s="16">
        <f>IF(OR(D1959="",F1959=""),"",F1959*IFERROR(INDEX('Sản phẩm'!$D$5:$D$304,MATCH(D1959,'Sản phẩm'!$A$5:$A$304,0)),""))</f>
        <v/>
      </c>
      <c r="L1959" s="16">
        <f>IF(J1959="","",J1959-K1959)</f>
        <v/>
      </c>
      <c r="M1959" s="14">
        <f>IF(A1959="","",MONTH(A1959))</f>
        <v/>
      </c>
      <c r="N1959" s="14">
        <f>IF(A1959="","",YEAR(A1959))</f>
        <v/>
      </c>
    </row>
    <row r="1960">
      <c r="A1960" s="15" t="n"/>
      <c r="B1960" s="10" t="n"/>
      <c r="C1960" s="10" t="n"/>
      <c r="D1960" s="10" t="n"/>
      <c r="E1960" s="14">
        <f>IF(D1960="","",IFERROR(INDEX('Sản phẩm'!$B$5:$B$304,MATCH(D1960,'Sản phẩm'!$A$5:$A$304,0)),""))</f>
        <v/>
      </c>
      <c r="F1960" s="12" t="n"/>
      <c r="G1960" s="11" t="n"/>
      <c r="H1960" s="11" t="n"/>
      <c r="I1960" s="16">
        <f>IF(D1960="","",IF(G1960&lt;&gt;"",G1960,IFERROR(INDEX('Sản phẩm'!$E$5:$E$304,MATCH(D1960,'Sản phẩm'!$A$5:$A$304,0)),"")))</f>
        <v/>
      </c>
      <c r="J1960" s="16">
        <f>IF(OR(D1960="",F1960=""),"",F1960*I1960-N(H1960))</f>
        <v/>
      </c>
      <c r="K1960" s="16">
        <f>IF(OR(D1960="",F1960=""),"",F1960*IFERROR(INDEX('Sản phẩm'!$D$5:$D$304,MATCH(D1960,'Sản phẩm'!$A$5:$A$304,0)),""))</f>
        <v/>
      </c>
      <c r="L1960" s="16">
        <f>IF(J1960="","",J1960-K1960)</f>
        <v/>
      </c>
      <c r="M1960" s="14">
        <f>IF(A1960="","",MONTH(A1960))</f>
        <v/>
      </c>
      <c r="N1960" s="14">
        <f>IF(A1960="","",YEAR(A1960))</f>
        <v/>
      </c>
    </row>
    <row r="1961">
      <c r="A1961" s="15" t="n"/>
      <c r="B1961" s="10" t="n"/>
      <c r="C1961" s="10" t="n"/>
      <c r="D1961" s="10" t="n"/>
      <c r="E1961" s="14">
        <f>IF(D1961="","",IFERROR(INDEX('Sản phẩm'!$B$5:$B$304,MATCH(D1961,'Sản phẩm'!$A$5:$A$304,0)),""))</f>
        <v/>
      </c>
      <c r="F1961" s="12" t="n"/>
      <c r="G1961" s="11" t="n"/>
      <c r="H1961" s="11" t="n"/>
      <c r="I1961" s="16">
        <f>IF(D1961="","",IF(G1961&lt;&gt;"",G1961,IFERROR(INDEX('Sản phẩm'!$E$5:$E$304,MATCH(D1961,'Sản phẩm'!$A$5:$A$304,0)),"")))</f>
        <v/>
      </c>
      <c r="J1961" s="16">
        <f>IF(OR(D1961="",F1961=""),"",F1961*I1961-N(H1961))</f>
        <v/>
      </c>
      <c r="K1961" s="16">
        <f>IF(OR(D1961="",F1961=""),"",F1961*IFERROR(INDEX('Sản phẩm'!$D$5:$D$304,MATCH(D1961,'Sản phẩm'!$A$5:$A$304,0)),""))</f>
        <v/>
      </c>
      <c r="L1961" s="16">
        <f>IF(J1961="","",J1961-K1961)</f>
        <v/>
      </c>
      <c r="M1961" s="14">
        <f>IF(A1961="","",MONTH(A1961))</f>
        <v/>
      </c>
      <c r="N1961" s="14">
        <f>IF(A1961="","",YEAR(A1961))</f>
        <v/>
      </c>
    </row>
    <row r="1962">
      <c r="A1962" s="15" t="n"/>
      <c r="B1962" s="10" t="n"/>
      <c r="C1962" s="10" t="n"/>
      <c r="D1962" s="10" t="n"/>
      <c r="E1962" s="14">
        <f>IF(D1962="","",IFERROR(INDEX('Sản phẩm'!$B$5:$B$304,MATCH(D1962,'Sản phẩm'!$A$5:$A$304,0)),""))</f>
        <v/>
      </c>
      <c r="F1962" s="12" t="n"/>
      <c r="G1962" s="11" t="n"/>
      <c r="H1962" s="11" t="n"/>
      <c r="I1962" s="16">
        <f>IF(D1962="","",IF(G1962&lt;&gt;"",G1962,IFERROR(INDEX('Sản phẩm'!$E$5:$E$304,MATCH(D1962,'Sản phẩm'!$A$5:$A$304,0)),"")))</f>
        <v/>
      </c>
      <c r="J1962" s="16">
        <f>IF(OR(D1962="",F1962=""),"",F1962*I1962-N(H1962))</f>
        <v/>
      </c>
      <c r="K1962" s="16">
        <f>IF(OR(D1962="",F1962=""),"",F1962*IFERROR(INDEX('Sản phẩm'!$D$5:$D$304,MATCH(D1962,'Sản phẩm'!$A$5:$A$304,0)),""))</f>
        <v/>
      </c>
      <c r="L1962" s="16">
        <f>IF(J1962="","",J1962-K1962)</f>
        <v/>
      </c>
      <c r="M1962" s="14">
        <f>IF(A1962="","",MONTH(A1962))</f>
        <v/>
      </c>
      <c r="N1962" s="14">
        <f>IF(A1962="","",YEAR(A1962))</f>
        <v/>
      </c>
    </row>
    <row r="1963">
      <c r="A1963" s="15" t="n"/>
      <c r="B1963" s="10" t="n"/>
      <c r="C1963" s="10" t="n"/>
      <c r="D1963" s="10" t="n"/>
      <c r="E1963" s="14">
        <f>IF(D1963="","",IFERROR(INDEX('Sản phẩm'!$B$5:$B$304,MATCH(D1963,'Sản phẩm'!$A$5:$A$304,0)),""))</f>
        <v/>
      </c>
      <c r="F1963" s="12" t="n"/>
      <c r="G1963" s="11" t="n"/>
      <c r="H1963" s="11" t="n"/>
      <c r="I1963" s="16">
        <f>IF(D1963="","",IF(G1963&lt;&gt;"",G1963,IFERROR(INDEX('Sản phẩm'!$E$5:$E$304,MATCH(D1963,'Sản phẩm'!$A$5:$A$304,0)),"")))</f>
        <v/>
      </c>
      <c r="J1963" s="16">
        <f>IF(OR(D1963="",F1963=""),"",F1963*I1963-N(H1963))</f>
        <v/>
      </c>
      <c r="K1963" s="16">
        <f>IF(OR(D1963="",F1963=""),"",F1963*IFERROR(INDEX('Sản phẩm'!$D$5:$D$304,MATCH(D1963,'Sản phẩm'!$A$5:$A$304,0)),""))</f>
        <v/>
      </c>
      <c r="L1963" s="16">
        <f>IF(J1963="","",J1963-K1963)</f>
        <v/>
      </c>
      <c r="M1963" s="14">
        <f>IF(A1963="","",MONTH(A1963))</f>
        <v/>
      </c>
      <c r="N1963" s="14">
        <f>IF(A1963="","",YEAR(A1963))</f>
        <v/>
      </c>
    </row>
    <row r="1964">
      <c r="A1964" s="15" t="n"/>
      <c r="B1964" s="10" t="n"/>
      <c r="C1964" s="10" t="n"/>
      <c r="D1964" s="10" t="n"/>
      <c r="E1964" s="14">
        <f>IF(D1964="","",IFERROR(INDEX('Sản phẩm'!$B$5:$B$304,MATCH(D1964,'Sản phẩm'!$A$5:$A$304,0)),""))</f>
        <v/>
      </c>
      <c r="F1964" s="12" t="n"/>
      <c r="G1964" s="11" t="n"/>
      <c r="H1964" s="11" t="n"/>
      <c r="I1964" s="16">
        <f>IF(D1964="","",IF(G1964&lt;&gt;"",G1964,IFERROR(INDEX('Sản phẩm'!$E$5:$E$304,MATCH(D1964,'Sản phẩm'!$A$5:$A$304,0)),"")))</f>
        <v/>
      </c>
      <c r="J1964" s="16">
        <f>IF(OR(D1964="",F1964=""),"",F1964*I1964-N(H1964))</f>
        <v/>
      </c>
      <c r="K1964" s="16">
        <f>IF(OR(D1964="",F1964=""),"",F1964*IFERROR(INDEX('Sản phẩm'!$D$5:$D$304,MATCH(D1964,'Sản phẩm'!$A$5:$A$304,0)),""))</f>
        <v/>
      </c>
      <c r="L1964" s="16">
        <f>IF(J1964="","",J1964-K1964)</f>
        <v/>
      </c>
      <c r="M1964" s="14">
        <f>IF(A1964="","",MONTH(A1964))</f>
        <v/>
      </c>
      <c r="N1964" s="14">
        <f>IF(A1964="","",YEAR(A1964))</f>
        <v/>
      </c>
    </row>
    <row r="1965">
      <c r="A1965" s="15" t="n"/>
      <c r="B1965" s="10" t="n"/>
      <c r="C1965" s="10" t="n"/>
      <c r="D1965" s="10" t="n"/>
      <c r="E1965" s="14">
        <f>IF(D1965="","",IFERROR(INDEX('Sản phẩm'!$B$5:$B$304,MATCH(D1965,'Sản phẩm'!$A$5:$A$304,0)),""))</f>
        <v/>
      </c>
      <c r="F1965" s="12" t="n"/>
      <c r="G1965" s="11" t="n"/>
      <c r="H1965" s="11" t="n"/>
      <c r="I1965" s="16">
        <f>IF(D1965="","",IF(G1965&lt;&gt;"",G1965,IFERROR(INDEX('Sản phẩm'!$E$5:$E$304,MATCH(D1965,'Sản phẩm'!$A$5:$A$304,0)),"")))</f>
        <v/>
      </c>
      <c r="J1965" s="16">
        <f>IF(OR(D1965="",F1965=""),"",F1965*I1965-N(H1965))</f>
        <v/>
      </c>
      <c r="K1965" s="16">
        <f>IF(OR(D1965="",F1965=""),"",F1965*IFERROR(INDEX('Sản phẩm'!$D$5:$D$304,MATCH(D1965,'Sản phẩm'!$A$5:$A$304,0)),""))</f>
        <v/>
      </c>
      <c r="L1965" s="16">
        <f>IF(J1965="","",J1965-K1965)</f>
        <v/>
      </c>
      <c r="M1965" s="14">
        <f>IF(A1965="","",MONTH(A1965))</f>
        <v/>
      </c>
      <c r="N1965" s="14">
        <f>IF(A1965="","",YEAR(A1965))</f>
        <v/>
      </c>
    </row>
    <row r="1966">
      <c r="A1966" s="15" t="n"/>
      <c r="B1966" s="10" t="n"/>
      <c r="C1966" s="10" t="n"/>
      <c r="D1966" s="10" t="n"/>
      <c r="E1966" s="14">
        <f>IF(D1966="","",IFERROR(INDEX('Sản phẩm'!$B$5:$B$304,MATCH(D1966,'Sản phẩm'!$A$5:$A$304,0)),""))</f>
        <v/>
      </c>
      <c r="F1966" s="12" t="n"/>
      <c r="G1966" s="11" t="n"/>
      <c r="H1966" s="11" t="n"/>
      <c r="I1966" s="16">
        <f>IF(D1966="","",IF(G1966&lt;&gt;"",G1966,IFERROR(INDEX('Sản phẩm'!$E$5:$E$304,MATCH(D1966,'Sản phẩm'!$A$5:$A$304,0)),"")))</f>
        <v/>
      </c>
      <c r="J1966" s="16">
        <f>IF(OR(D1966="",F1966=""),"",F1966*I1966-N(H1966))</f>
        <v/>
      </c>
      <c r="K1966" s="16">
        <f>IF(OR(D1966="",F1966=""),"",F1966*IFERROR(INDEX('Sản phẩm'!$D$5:$D$304,MATCH(D1966,'Sản phẩm'!$A$5:$A$304,0)),""))</f>
        <v/>
      </c>
      <c r="L1966" s="16">
        <f>IF(J1966="","",J1966-K1966)</f>
        <v/>
      </c>
      <c r="M1966" s="14">
        <f>IF(A1966="","",MONTH(A1966))</f>
        <v/>
      </c>
      <c r="N1966" s="14">
        <f>IF(A1966="","",YEAR(A1966))</f>
        <v/>
      </c>
    </row>
    <row r="1967">
      <c r="A1967" s="15" t="n"/>
      <c r="B1967" s="10" t="n"/>
      <c r="C1967" s="10" t="n"/>
      <c r="D1967" s="10" t="n"/>
      <c r="E1967" s="14">
        <f>IF(D1967="","",IFERROR(INDEX('Sản phẩm'!$B$5:$B$304,MATCH(D1967,'Sản phẩm'!$A$5:$A$304,0)),""))</f>
        <v/>
      </c>
      <c r="F1967" s="12" t="n"/>
      <c r="G1967" s="11" t="n"/>
      <c r="H1967" s="11" t="n"/>
      <c r="I1967" s="16">
        <f>IF(D1967="","",IF(G1967&lt;&gt;"",G1967,IFERROR(INDEX('Sản phẩm'!$E$5:$E$304,MATCH(D1967,'Sản phẩm'!$A$5:$A$304,0)),"")))</f>
        <v/>
      </c>
      <c r="J1967" s="16">
        <f>IF(OR(D1967="",F1967=""),"",F1967*I1967-N(H1967))</f>
        <v/>
      </c>
      <c r="K1967" s="16">
        <f>IF(OR(D1967="",F1967=""),"",F1967*IFERROR(INDEX('Sản phẩm'!$D$5:$D$304,MATCH(D1967,'Sản phẩm'!$A$5:$A$304,0)),""))</f>
        <v/>
      </c>
      <c r="L1967" s="16">
        <f>IF(J1967="","",J1967-K1967)</f>
        <v/>
      </c>
      <c r="M1967" s="14">
        <f>IF(A1967="","",MONTH(A1967))</f>
        <v/>
      </c>
      <c r="N1967" s="14">
        <f>IF(A1967="","",YEAR(A1967))</f>
        <v/>
      </c>
    </row>
    <row r="1968">
      <c r="A1968" s="15" t="n"/>
      <c r="B1968" s="10" t="n"/>
      <c r="C1968" s="10" t="n"/>
      <c r="D1968" s="10" t="n"/>
      <c r="E1968" s="14">
        <f>IF(D1968="","",IFERROR(INDEX('Sản phẩm'!$B$5:$B$304,MATCH(D1968,'Sản phẩm'!$A$5:$A$304,0)),""))</f>
        <v/>
      </c>
      <c r="F1968" s="12" t="n"/>
      <c r="G1968" s="11" t="n"/>
      <c r="H1968" s="11" t="n"/>
      <c r="I1968" s="16">
        <f>IF(D1968="","",IF(G1968&lt;&gt;"",G1968,IFERROR(INDEX('Sản phẩm'!$E$5:$E$304,MATCH(D1968,'Sản phẩm'!$A$5:$A$304,0)),"")))</f>
        <v/>
      </c>
      <c r="J1968" s="16">
        <f>IF(OR(D1968="",F1968=""),"",F1968*I1968-N(H1968))</f>
        <v/>
      </c>
      <c r="K1968" s="16">
        <f>IF(OR(D1968="",F1968=""),"",F1968*IFERROR(INDEX('Sản phẩm'!$D$5:$D$304,MATCH(D1968,'Sản phẩm'!$A$5:$A$304,0)),""))</f>
        <v/>
      </c>
      <c r="L1968" s="16">
        <f>IF(J1968="","",J1968-K1968)</f>
        <v/>
      </c>
      <c r="M1968" s="14">
        <f>IF(A1968="","",MONTH(A1968))</f>
        <v/>
      </c>
      <c r="N1968" s="14">
        <f>IF(A1968="","",YEAR(A1968))</f>
        <v/>
      </c>
    </row>
    <row r="1969">
      <c r="A1969" s="15" t="n"/>
      <c r="B1969" s="10" t="n"/>
      <c r="C1969" s="10" t="n"/>
      <c r="D1969" s="10" t="n"/>
      <c r="E1969" s="14">
        <f>IF(D1969="","",IFERROR(INDEX('Sản phẩm'!$B$5:$B$304,MATCH(D1969,'Sản phẩm'!$A$5:$A$304,0)),""))</f>
        <v/>
      </c>
      <c r="F1969" s="12" t="n"/>
      <c r="G1969" s="11" t="n"/>
      <c r="H1969" s="11" t="n"/>
      <c r="I1969" s="16">
        <f>IF(D1969="","",IF(G1969&lt;&gt;"",G1969,IFERROR(INDEX('Sản phẩm'!$E$5:$E$304,MATCH(D1969,'Sản phẩm'!$A$5:$A$304,0)),"")))</f>
        <v/>
      </c>
      <c r="J1969" s="16">
        <f>IF(OR(D1969="",F1969=""),"",F1969*I1969-N(H1969))</f>
        <v/>
      </c>
      <c r="K1969" s="16">
        <f>IF(OR(D1969="",F1969=""),"",F1969*IFERROR(INDEX('Sản phẩm'!$D$5:$D$304,MATCH(D1969,'Sản phẩm'!$A$5:$A$304,0)),""))</f>
        <v/>
      </c>
      <c r="L1969" s="16">
        <f>IF(J1969="","",J1969-K1969)</f>
        <v/>
      </c>
      <c r="M1969" s="14">
        <f>IF(A1969="","",MONTH(A1969))</f>
        <v/>
      </c>
      <c r="N1969" s="14">
        <f>IF(A1969="","",YEAR(A1969))</f>
        <v/>
      </c>
    </row>
    <row r="1970">
      <c r="A1970" s="15" t="n"/>
      <c r="B1970" s="10" t="n"/>
      <c r="C1970" s="10" t="n"/>
      <c r="D1970" s="10" t="n"/>
      <c r="E1970" s="14">
        <f>IF(D1970="","",IFERROR(INDEX('Sản phẩm'!$B$5:$B$304,MATCH(D1970,'Sản phẩm'!$A$5:$A$304,0)),""))</f>
        <v/>
      </c>
      <c r="F1970" s="12" t="n"/>
      <c r="G1970" s="11" t="n"/>
      <c r="H1970" s="11" t="n"/>
      <c r="I1970" s="16">
        <f>IF(D1970="","",IF(G1970&lt;&gt;"",G1970,IFERROR(INDEX('Sản phẩm'!$E$5:$E$304,MATCH(D1970,'Sản phẩm'!$A$5:$A$304,0)),"")))</f>
        <v/>
      </c>
      <c r="J1970" s="16">
        <f>IF(OR(D1970="",F1970=""),"",F1970*I1970-N(H1970))</f>
        <v/>
      </c>
      <c r="K1970" s="16">
        <f>IF(OR(D1970="",F1970=""),"",F1970*IFERROR(INDEX('Sản phẩm'!$D$5:$D$304,MATCH(D1970,'Sản phẩm'!$A$5:$A$304,0)),""))</f>
        <v/>
      </c>
      <c r="L1970" s="16">
        <f>IF(J1970="","",J1970-K1970)</f>
        <v/>
      </c>
      <c r="M1970" s="14">
        <f>IF(A1970="","",MONTH(A1970))</f>
        <v/>
      </c>
      <c r="N1970" s="14">
        <f>IF(A1970="","",YEAR(A1970))</f>
        <v/>
      </c>
    </row>
    <row r="1971">
      <c r="A1971" s="15" t="n"/>
      <c r="B1971" s="10" t="n"/>
      <c r="C1971" s="10" t="n"/>
      <c r="D1971" s="10" t="n"/>
      <c r="E1971" s="14">
        <f>IF(D1971="","",IFERROR(INDEX('Sản phẩm'!$B$5:$B$304,MATCH(D1971,'Sản phẩm'!$A$5:$A$304,0)),""))</f>
        <v/>
      </c>
      <c r="F1971" s="12" t="n"/>
      <c r="G1971" s="11" t="n"/>
      <c r="H1971" s="11" t="n"/>
      <c r="I1971" s="16">
        <f>IF(D1971="","",IF(G1971&lt;&gt;"",G1971,IFERROR(INDEX('Sản phẩm'!$E$5:$E$304,MATCH(D1971,'Sản phẩm'!$A$5:$A$304,0)),"")))</f>
        <v/>
      </c>
      <c r="J1971" s="16">
        <f>IF(OR(D1971="",F1971=""),"",F1971*I1971-N(H1971))</f>
        <v/>
      </c>
      <c r="K1971" s="16">
        <f>IF(OR(D1971="",F1971=""),"",F1971*IFERROR(INDEX('Sản phẩm'!$D$5:$D$304,MATCH(D1971,'Sản phẩm'!$A$5:$A$304,0)),""))</f>
        <v/>
      </c>
      <c r="L1971" s="16">
        <f>IF(J1971="","",J1971-K1971)</f>
        <v/>
      </c>
      <c r="M1971" s="14">
        <f>IF(A1971="","",MONTH(A1971))</f>
        <v/>
      </c>
      <c r="N1971" s="14">
        <f>IF(A1971="","",YEAR(A1971))</f>
        <v/>
      </c>
    </row>
    <row r="1972">
      <c r="A1972" s="15" t="n"/>
      <c r="B1972" s="10" t="n"/>
      <c r="C1972" s="10" t="n"/>
      <c r="D1972" s="10" t="n"/>
      <c r="E1972" s="14">
        <f>IF(D1972="","",IFERROR(INDEX('Sản phẩm'!$B$5:$B$304,MATCH(D1972,'Sản phẩm'!$A$5:$A$304,0)),""))</f>
        <v/>
      </c>
      <c r="F1972" s="12" t="n"/>
      <c r="G1972" s="11" t="n"/>
      <c r="H1972" s="11" t="n"/>
      <c r="I1972" s="16">
        <f>IF(D1972="","",IF(G1972&lt;&gt;"",G1972,IFERROR(INDEX('Sản phẩm'!$E$5:$E$304,MATCH(D1972,'Sản phẩm'!$A$5:$A$304,0)),"")))</f>
        <v/>
      </c>
      <c r="J1972" s="16">
        <f>IF(OR(D1972="",F1972=""),"",F1972*I1972-N(H1972))</f>
        <v/>
      </c>
      <c r="K1972" s="16">
        <f>IF(OR(D1972="",F1972=""),"",F1972*IFERROR(INDEX('Sản phẩm'!$D$5:$D$304,MATCH(D1972,'Sản phẩm'!$A$5:$A$304,0)),""))</f>
        <v/>
      </c>
      <c r="L1972" s="16">
        <f>IF(J1972="","",J1972-K1972)</f>
        <v/>
      </c>
      <c r="M1972" s="14">
        <f>IF(A1972="","",MONTH(A1972))</f>
        <v/>
      </c>
      <c r="N1972" s="14">
        <f>IF(A1972="","",YEAR(A1972))</f>
        <v/>
      </c>
    </row>
    <row r="1973">
      <c r="A1973" s="15" t="n"/>
      <c r="B1973" s="10" t="n"/>
      <c r="C1973" s="10" t="n"/>
      <c r="D1973" s="10" t="n"/>
      <c r="E1973" s="14">
        <f>IF(D1973="","",IFERROR(INDEX('Sản phẩm'!$B$5:$B$304,MATCH(D1973,'Sản phẩm'!$A$5:$A$304,0)),""))</f>
        <v/>
      </c>
      <c r="F1973" s="12" t="n"/>
      <c r="G1973" s="11" t="n"/>
      <c r="H1973" s="11" t="n"/>
      <c r="I1973" s="16">
        <f>IF(D1973="","",IF(G1973&lt;&gt;"",G1973,IFERROR(INDEX('Sản phẩm'!$E$5:$E$304,MATCH(D1973,'Sản phẩm'!$A$5:$A$304,0)),"")))</f>
        <v/>
      </c>
      <c r="J1973" s="16">
        <f>IF(OR(D1973="",F1973=""),"",F1973*I1973-N(H1973))</f>
        <v/>
      </c>
      <c r="K1973" s="16">
        <f>IF(OR(D1973="",F1973=""),"",F1973*IFERROR(INDEX('Sản phẩm'!$D$5:$D$304,MATCH(D1973,'Sản phẩm'!$A$5:$A$304,0)),""))</f>
        <v/>
      </c>
      <c r="L1973" s="16">
        <f>IF(J1973="","",J1973-K1973)</f>
        <v/>
      </c>
      <c r="M1973" s="14">
        <f>IF(A1973="","",MONTH(A1973))</f>
        <v/>
      </c>
      <c r="N1973" s="14">
        <f>IF(A1973="","",YEAR(A1973))</f>
        <v/>
      </c>
    </row>
    <row r="1974">
      <c r="A1974" s="15" t="n"/>
      <c r="B1974" s="10" t="n"/>
      <c r="C1974" s="10" t="n"/>
      <c r="D1974" s="10" t="n"/>
      <c r="E1974" s="14">
        <f>IF(D1974="","",IFERROR(INDEX('Sản phẩm'!$B$5:$B$304,MATCH(D1974,'Sản phẩm'!$A$5:$A$304,0)),""))</f>
        <v/>
      </c>
      <c r="F1974" s="12" t="n"/>
      <c r="G1974" s="11" t="n"/>
      <c r="H1974" s="11" t="n"/>
      <c r="I1974" s="16">
        <f>IF(D1974="","",IF(G1974&lt;&gt;"",G1974,IFERROR(INDEX('Sản phẩm'!$E$5:$E$304,MATCH(D1974,'Sản phẩm'!$A$5:$A$304,0)),"")))</f>
        <v/>
      </c>
      <c r="J1974" s="16">
        <f>IF(OR(D1974="",F1974=""),"",F1974*I1974-N(H1974))</f>
        <v/>
      </c>
      <c r="K1974" s="16">
        <f>IF(OR(D1974="",F1974=""),"",F1974*IFERROR(INDEX('Sản phẩm'!$D$5:$D$304,MATCH(D1974,'Sản phẩm'!$A$5:$A$304,0)),""))</f>
        <v/>
      </c>
      <c r="L1974" s="16">
        <f>IF(J1974="","",J1974-K1974)</f>
        <v/>
      </c>
      <c r="M1974" s="14">
        <f>IF(A1974="","",MONTH(A1974))</f>
        <v/>
      </c>
      <c r="N1974" s="14">
        <f>IF(A1974="","",YEAR(A1974))</f>
        <v/>
      </c>
    </row>
    <row r="1975">
      <c r="A1975" s="15" t="n"/>
      <c r="B1975" s="10" t="n"/>
      <c r="C1975" s="10" t="n"/>
      <c r="D1975" s="10" t="n"/>
      <c r="E1975" s="14">
        <f>IF(D1975="","",IFERROR(INDEX('Sản phẩm'!$B$5:$B$304,MATCH(D1975,'Sản phẩm'!$A$5:$A$304,0)),""))</f>
        <v/>
      </c>
      <c r="F1975" s="12" t="n"/>
      <c r="G1975" s="11" t="n"/>
      <c r="H1975" s="11" t="n"/>
      <c r="I1975" s="16">
        <f>IF(D1975="","",IF(G1975&lt;&gt;"",G1975,IFERROR(INDEX('Sản phẩm'!$E$5:$E$304,MATCH(D1975,'Sản phẩm'!$A$5:$A$304,0)),"")))</f>
        <v/>
      </c>
      <c r="J1975" s="16">
        <f>IF(OR(D1975="",F1975=""),"",F1975*I1975-N(H1975))</f>
        <v/>
      </c>
      <c r="K1975" s="16">
        <f>IF(OR(D1975="",F1975=""),"",F1975*IFERROR(INDEX('Sản phẩm'!$D$5:$D$304,MATCH(D1975,'Sản phẩm'!$A$5:$A$304,0)),""))</f>
        <v/>
      </c>
      <c r="L1975" s="16">
        <f>IF(J1975="","",J1975-K1975)</f>
        <v/>
      </c>
      <c r="M1975" s="14">
        <f>IF(A1975="","",MONTH(A1975))</f>
        <v/>
      </c>
      <c r="N1975" s="14">
        <f>IF(A1975="","",YEAR(A1975))</f>
        <v/>
      </c>
    </row>
    <row r="1976">
      <c r="A1976" s="15" t="n"/>
      <c r="B1976" s="10" t="n"/>
      <c r="C1976" s="10" t="n"/>
      <c r="D1976" s="10" t="n"/>
      <c r="E1976" s="14">
        <f>IF(D1976="","",IFERROR(INDEX('Sản phẩm'!$B$5:$B$304,MATCH(D1976,'Sản phẩm'!$A$5:$A$304,0)),""))</f>
        <v/>
      </c>
      <c r="F1976" s="12" t="n"/>
      <c r="G1976" s="11" t="n"/>
      <c r="H1976" s="11" t="n"/>
      <c r="I1976" s="16">
        <f>IF(D1976="","",IF(G1976&lt;&gt;"",G1976,IFERROR(INDEX('Sản phẩm'!$E$5:$E$304,MATCH(D1976,'Sản phẩm'!$A$5:$A$304,0)),"")))</f>
        <v/>
      </c>
      <c r="J1976" s="16">
        <f>IF(OR(D1976="",F1976=""),"",F1976*I1976-N(H1976))</f>
        <v/>
      </c>
      <c r="K1976" s="16">
        <f>IF(OR(D1976="",F1976=""),"",F1976*IFERROR(INDEX('Sản phẩm'!$D$5:$D$304,MATCH(D1976,'Sản phẩm'!$A$5:$A$304,0)),""))</f>
        <v/>
      </c>
      <c r="L1976" s="16">
        <f>IF(J1976="","",J1976-K1976)</f>
        <v/>
      </c>
      <c r="M1976" s="14">
        <f>IF(A1976="","",MONTH(A1976))</f>
        <v/>
      </c>
      <c r="N1976" s="14">
        <f>IF(A1976="","",YEAR(A1976))</f>
        <v/>
      </c>
    </row>
    <row r="1977">
      <c r="A1977" s="15" t="n"/>
      <c r="B1977" s="10" t="n"/>
      <c r="C1977" s="10" t="n"/>
      <c r="D1977" s="10" t="n"/>
      <c r="E1977" s="14">
        <f>IF(D1977="","",IFERROR(INDEX('Sản phẩm'!$B$5:$B$304,MATCH(D1977,'Sản phẩm'!$A$5:$A$304,0)),""))</f>
        <v/>
      </c>
      <c r="F1977" s="12" t="n"/>
      <c r="G1977" s="11" t="n"/>
      <c r="H1977" s="11" t="n"/>
      <c r="I1977" s="16">
        <f>IF(D1977="","",IF(G1977&lt;&gt;"",G1977,IFERROR(INDEX('Sản phẩm'!$E$5:$E$304,MATCH(D1977,'Sản phẩm'!$A$5:$A$304,0)),"")))</f>
        <v/>
      </c>
      <c r="J1977" s="16">
        <f>IF(OR(D1977="",F1977=""),"",F1977*I1977-N(H1977))</f>
        <v/>
      </c>
      <c r="K1977" s="16">
        <f>IF(OR(D1977="",F1977=""),"",F1977*IFERROR(INDEX('Sản phẩm'!$D$5:$D$304,MATCH(D1977,'Sản phẩm'!$A$5:$A$304,0)),""))</f>
        <v/>
      </c>
      <c r="L1977" s="16">
        <f>IF(J1977="","",J1977-K1977)</f>
        <v/>
      </c>
      <c r="M1977" s="14">
        <f>IF(A1977="","",MONTH(A1977))</f>
        <v/>
      </c>
      <c r="N1977" s="14">
        <f>IF(A1977="","",YEAR(A1977))</f>
        <v/>
      </c>
    </row>
    <row r="1978">
      <c r="A1978" s="15" t="n"/>
      <c r="B1978" s="10" t="n"/>
      <c r="C1978" s="10" t="n"/>
      <c r="D1978" s="10" t="n"/>
      <c r="E1978" s="14">
        <f>IF(D1978="","",IFERROR(INDEX('Sản phẩm'!$B$5:$B$304,MATCH(D1978,'Sản phẩm'!$A$5:$A$304,0)),""))</f>
        <v/>
      </c>
      <c r="F1978" s="12" t="n"/>
      <c r="G1978" s="11" t="n"/>
      <c r="H1978" s="11" t="n"/>
      <c r="I1978" s="16">
        <f>IF(D1978="","",IF(G1978&lt;&gt;"",G1978,IFERROR(INDEX('Sản phẩm'!$E$5:$E$304,MATCH(D1978,'Sản phẩm'!$A$5:$A$304,0)),"")))</f>
        <v/>
      </c>
      <c r="J1978" s="16">
        <f>IF(OR(D1978="",F1978=""),"",F1978*I1978-N(H1978))</f>
        <v/>
      </c>
      <c r="K1978" s="16">
        <f>IF(OR(D1978="",F1978=""),"",F1978*IFERROR(INDEX('Sản phẩm'!$D$5:$D$304,MATCH(D1978,'Sản phẩm'!$A$5:$A$304,0)),""))</f>
        <v/>
      </c>
      <c r="L1978" s="16">
        <f>IF(J1978="","",J1978-K1978)</f>
        <v/>
      </c>
      <c r="M1978" s="14">
        <f>IF(A1978="","",MONTH(A1978))</f>
        <v/>
      </c>
      <c r="N1978" s="14">
        <f>IF(A1978="","",YEAR(A1978))</f>
        <v/>
      </c>
    </row>
    <row r="1979">
      <c r="A1979" s="15" t="n"/>
      <c r="B1979" s="10" t="n"/>
      <c r="C1979" s="10" t="n"/>
      <c r="D1979" s="10" t="n"/>
      <c r="E1979" s="14">
        <f>IF(D1979="","",IFERROR(INDEX('Sản phẩm'!$B$5:$B$304,MATCH(D1979,'Sản phẩm'!$A$5:$A$304,0)),""))</f>
        <v/>
      </c>
      <c r="F1979" s="12" t="n"/>
      <c r="G1979" s="11" t="n"/>
      <c r="H1979" s="11" t="n"/>
      <c r="I1979" s="16">
        <f>IF(D1979="","",IF(G1979&lt;&gt;"",G1979,IFERROR(INDEX('Sản phẩm'!$E$5:$E$304,MATCH(D1979,'Sản phẩm'!$A$5:$A$304,0)),"")))</f>
        <v/>
      </c>
      <c r="J1979" s="16">
        <f>IF(OR(D1979="",F1979=""),"",F1979*I1979-N(H1979))</f>
        <v/>
      </c>
      <c r="K1979" s="16">
        <f>IF(OR(D1979="",F1979=""),"",F1979*IFERROR(INDEX('Sản phẩm'!$D$5:$D$304,MATCH(D1979,'Sản phẩm'!$A$5:$A$304,0)),""))</f>
        <v/>
      </c>
      <c r="L1979" s="16">
        <f>IF(J1979="","",J1979-K1979)</f>
        <v/>
      </c>
      <c r="M1979" s="14">
        <f>IF(A1979="","",MONTH(A1979))</f>
        <v/>
      </c>
      <c r="N1979" s="14">
        <f>IF(A1979="","",YEAR(A1979))</f>
        <v/>
      </c>
    </row>
    <row r="1980">
      <c r="A1980" s="15" t="n"/>
      <c r="B1980" s="10" t="n"/>
      <c r="C1980" s="10" t="n"/>
      <c r="D1980" s="10" t="n"/>
      <c r="E1980" s="14">
        <f>IF(D1980="","",IFERROR(INDEX('Sản phẩm'!$B$5:$B$304,MATCH(D1980,'Sản phẩm'!$A$5:$A$304,0)),""))</f>
        <v/>
      </c>
      <c r="F1980" s="12" t="n"/>
      <c r="G1980" s="11" t="n"/>
      <c r="H1980" s="11" t="n"/>
      <c r="I1980" s="16">
        <f>IF(D1980="","",IF(G1980&lt;&gt;"",G1980,IFERROR(INDEX('Sản phẩm'!$E$5:$E$304,MATCH(D1980,'Sản phẩm'!$A$5:$A$304,0)),"")))</f>
        <v/>
      </c>
      <c r="J1980" s="16">
        <f>IF(OR(D1980="",F1980=""),"",F1980*I1980-N(H1980))</f>
        <v/>
      </c>
      <c r="K1980" s="16">
        <f>IF(OR(D1980="",F1980=""),"",F1980*IFERROR(INDEX('Sản phẩm'!$D$5:$D$304,MATCH(D1980,'Sản phẩm'!$A$5:$A$304,0)),""))</f>
        <v/>
      </c>
      <c r="L1980" s="16">
        <f>IF(J1980="","",J1980-K1980)</f>
        <v/>
      </c>
      <c r="M1980" s="14">
        <f>IF(A1980="","",MONTH(A1980))</f>
        <v/>
      </c>
      <c r="N1980" s="14">
        <f>IF(A1980="","",YEAR(A1980))</f>
        <v/>
      </c>
    </row>
    <row r="1981">
      <c r="A1981" s="15" t="n"/>
      <c r="B1981" s="10" t="n"/>
      <c r="C1981" s="10" t="n"/>
      <c r="D1981" s="10" t="n"/>
      <c r="E1981" s="14">
        <f>IF(D1981="","",IFERROR(INDEX('Sản phẩm'!$B$5:$B$304,MATCH(D1981,'Sản phẩm'!$A$5:$A$304,0)),""))</f>
        <v/>
      </c>
      <c r="F1981" s="12" t="n"/>
      <c r="G1981" s="11" t="n"/>
      <c r="H1981" s="11" t="n"/>
      <c r="I1981" s="16">
        <f>IF(D1981="","",IF(G1981&lt;&gt;"",G1981,IFERROR(INDEX('Sản phẩm'!$E$5:$E$304,MATCH(D1981,'Sản phẩm'!$A$5:$A$304,0)),"")))</f>
        <v/>
      </c>
      <c r="J1981" s="16">
        <f>IF(OR(D1981="",F1981=""),"",F1981*I1981-N(H1981))</f>
        <v/>
      </c>
      <c r="K1981" s="16">
        <f>IF(OR(D1981="",F1981=""),"",F1981*IFERROR(INDEX('Sản phẩm'!$D$5:$D$304,MATCH(D1981,'Sản phẩm'!$A$5:$A$304,0)),""))</f>
        <v/>
      </c>
      <c r="L1981" s="16">
        <f>IF(J1981="","",J1981-K1981)</f>
        <v/>
      </c>
      <c r="M1981" s="14">
        <f>IF(A1981="","",MONTH(A1981))</f>
        <v/>
      </c>
      <c r="N1981" s="14">
        <f>IF(A1981="","",YEAR(A1981))</f>
        <v/>
      </c>
    </row>
    <row r="1982">
      <c r="A1982" s="15" t="n"/>
      <c r="B1982" s="10" t="n"/>
      <c r="C1982" s="10" t="n"/>
      <c r="D1982" s="10" t="n"/>
      <c r="E1982" s="14">
        <f>IF(D1982="","",IFERROR(INDEX('Sản phẩm'!$B$5:$B$304,MATCH(D1982,'Sản phẩm'!$A$5:$A$304,0)),""))</f>
        <v/>
      </c>
      <c r="F1982" s="12" t="n"/>
      <c r="G1982" s="11" t="n"/>
      <c r="H1982" s="11" t="n"/>
      <c r="I1982" s="16">
        <f>IF(D1982="","",IF(G1982&lt;&gt;"",G1982,IFERROR(INDEX('Sản phẩm'!$E$5:$E$304,MATCH(D1982,'Sản phẩm'!$A$5:$A$304,0)),"")))</f>
        <v/>
      </c>
      <c r="J1982" s="16">
        <f>IF(OR(D1982="",F1982=""),"",F1982*I1982-N(H1982))</f>
        <v/>
      </c>
      <c r="K1982" s="16">
        <f>IF(OR(D1982="",F1982=""),"",F1982*IFERROR(INDEX('Sản phẩm'!$D$5:$D$304,MATCH(D1982,'Sản phẩm'!$A$5:$A$304,0)),""))</f>
        <v/>
      </c>
      <c r="L1982" s="16">
        <f>IF(J1982="","",J1982-K1982)</f>
        <v/>
      </c>
      <c r="M1982" s="14">
        <f>IF(A1982="","",MONTH(A1982))</f>
        <v/>
      </c>
      <c r="N1982" s="14">
        <f>IF(A1982="","",YEAR(A1982))</f>
        <v/>
      </c>
    </row>
    <row r="1983">
      <c r="A1983" s="15" t="n"/>
      <c r="B1983" s="10" t="n"/>
      <c r="C1983" s="10" t="n"/>
      <c r="D1983" s="10" t="n"/>
      <c r="E1983" s="14">
        <f>IF(D1983="","",IFERROR(INDEX('Sản phẩm'!$B$5:$B$304,MATCH(D1983,'Sản phẩm'!$A$5:$A$304,0)),""))</f>
        <v/>
      </c>
      <c r="F1983" s="12" t="n"/>
      <c r="G1983" s="11" t="n"/>
      <c r="H1983" s="11" t="n"/>
      <c r="I1983" s="16">
        <f>IF(D1983="","",IF(G1983&lt;&gt;"",G1983,IFERROR(INDEX('Sản phẩm'!$E$5:$E$304,MATCH(D1983,'Sản phẩm'!$A$5:$A$304,0)),"")))</f>
        <v/>
      </c>
      <c r="J1983" s="16">
        <f>IF(OR(D1983="",F1983=""),"",F1983*I1983-N(H1983))</f>
        <v/>
      </c>
      <c r="K1983" s="16">
        <f>IF(OR(D1983="",F1983=""),"",F1983*IFERROR(INDEX('Sản phẩm'!$D$5:$D$304,MATCH(D1983,'Sản phẩm'!$A$5:$A$304,0)),""))</f>
        <v/>
      </c>
      <c r="L1983" s="16">
        <f>IF(J1983="","",J1983-K1983)</f>
        <v/>
      </c>
      <c r="M1983" s="14">
        <f>IF(A1983="","",MONTH(A1983))</f>
        <v/>
      </c>
      <c r="N1983" s="14">
        <f>IF(A1983="","",YEAR(A1983))</f>
        <v/>
      </c>
    </row>
    <row r="1984">
      <c r="A1984" s="15" t="n"/>
      <c r="B1984" s="10" t="n"/>
      <c r="C1984" s="10" t="n"/>
      <c r="D1984" s="10" t="n"/>
      <c r="E1984" s="14">
        <f>IF(D1984="","",IFERROR(INDEX('Sản phẩm'!$B$5:$B$304,MATCH(D1984,'Sản phẩm'!$A$5:$A$304,0)),""))</f>
        <v/>
      </c>
      <c r="F1984" s="12" t="n"/>
      <c r="G1984" s="11" t="n"/>
      <c r="H1984" s="11" t="n"/>
      <c r="I1984" s="16">
        <f>IF(D1984="","",IF(G1984&lt;&gt;"",G1984,IFERROR(INDEX('Sản phẩm'!$E$5:$E$304,MATCH(D1984,'Sản phẩm'!$A$5:$A$304,0)),"")))</f>
        <v/>
      </c>
      <c r="J1984" s="16">
        <f>IF(OR(D1984="",F1984=""),"",F1984*I1984-N(H1984))</f>
        <v/>
      </c>
      <c r="K1984" s="16">
        <f>IF(OR(D1984="",F1984=""),"",F1984*IFERROR(INDEX('Sản phẩm'!$D$5:$D$304,MATCH(D1984,'Sản phẩm'!$A$5:$A$304,0)),""))</f>
        <v/>
      </c>
      <c r="L1984" s="16">
        <f>IF(J1984="","",J1984-K1984)</f>
        <v/>
      </c>
      <c r="M1984" s="14">
        <f>IF(A1984="","",MONTH(A1984))</f>
        <v/>
      </c>
      <c r="N1984" s="14">
        <f>IF(A1984="","",YEAR(A1984))</f>
        <v/>
      </c>
    </row>
    <row r="1985">
      <c r="A1985" s="15" t="n"/>
      <c r="B1985" s="10" t="n"/>
      <c r="C1985" s="10" t="n"/>
      <c r="D1985" s="10" t="n"/>
      <c r="E1985" s="14">
        <f>IF(D1985="","",IFERROR(INDEX('Sản phẩm'!$B$5:$B$304,MATCH(D1985,'Sản phẩm'!$A$5:$A$304,0)),""))</f>
        <v/>
      </c>
      <c r="F1985" s="12" t="n"/>
      <c r="G1985" s="11" t="n"/>
      <c r="H1985" s="11" t="n"/>
      <c r="I1985" s="16">
        <f>IF(D1985="","",IF(G1985&lt;&gt;"",G1985,IFERROR(INDEX('Sản phẩm'!$E$5:$E$304,MATCH(D1985,'Sản phẩm'!$A$5:$A$304,0)),"")))</f>
        <v/>
      </c>
      <c r="J1985" s="16">
        <f>IF(OR(D1985="",F1985=""),"",F1985*I1985-N(H1985))</f>
        <v/>
      </c>
      <c r="K1985" s="16">
        <f>IF(OR(D1985="",F1985=""),"",F1985*IFERROR(INDEX('Sản phẩm'!$D$5:$D$304,MATCH(D1985,'Sản phẩm'!$A$5:$A$304,0)),""))</f>
        <v/>
      </c>
      <c r="L1985" s="16">
        <f>IF(J1985="","",J1985-K1985)</f>
        <v/>
      </c>
      <c r="M1985" s="14">
        <f>IF(A1985="","",MONTH(A1985))</f>
        <v/>
      </c>
      <c r="N1985" s="14">
        <f>IF(A1985="","",YEAR(A1985))</f>
        <v/>
      </c>
    </row>
    <row r="1986">
      <c r="A1986" s="15" t="n"/>
      <c r="B1986" s="10" t="n"/>
      <c r="C1986" s="10" t="n"/>
      <c r="D1986" s="10" t="n"/>
      <c r="E1986" s="14">
        <f>IF(D1986="","",IFERROR(INDEX('Sản phẩm'!$B$5:$B$304,MATCH(D1986,'Sản phẩm'!$A$5:$A$304,0)),""))</f>
        <v/>
      </c>
      <c r="F1986" s="12" t="n"/>
      <c r="G1986" s="11" t="n"/>
      <c r="H1986" s="11" t="n"/>
      <c r="I1986" s="16">
        <f>IF(D1986="","",IF(G1986&lt;&gt;"",G1986,IFERROR(INDEX('Sản phẩm'!$E$5:$E$304,MATCH(D1986,'Sản phẩm'!$A$5:$A$304,0)),"")))</f>
        <v/>
      </c>
      <c r="J1986" s="16">
        <f>IF(OR(D1986="",F1986=""),"",F1986*I1986-N(H1986))</f>
        <v/>
      </c>
      <c r="K1986" s="16">
        <f>IF(OR(D1986="",F1986=""),"",F1986*IFERROR(INDEX('Sản phẩm'!$D$5:$D$304,MATCH(D1986,'Sản phẩm'!$A$5:$A$304,0)),""))</f>
        <v/>
      </c>
      <c r="L1986" s="16">
        <f>IF(J1986="","",J1986-K1986)</f>
        <v/>
      </c>
      <c r="M1986" s="14">
        <f>IF(A1986="","",MONTH(A1986))</f>
        <v/>
      </c>
      <c r="N1986" s="14">
        <f>IF(A1986="","",YEAR(A1986))</f>
        <v/>
      </c>
    </row>
    <row r="1987">
      <c r="A1987" s="15" t="n"/>
      <c r="B1987" s="10" t="n"/>
      <c r="C1987" s="10" t="n"/>
      <c r="D1987" s="10" t="n"/>
      <c r="E1987" s="14">
        <f>IF(D1987="","",IFERROR(INDEX('Sản phẩm'!$B$5:$B$304,MATCH(D1987,'Sản phẩm'!$A$5:$A$304,0)),""))</f>
        <v/>
      </c>
      <c r="F1987" s="12" t="n"/>
      <c r="G1987" s="11" t="n"/>
      <c r="H1987" s="11" t="n"/>
      <c r="I1987" s="16">
        <f>IF(D1987="","",IF(G1987&lt;&gt;"",G1987,IFERROR(INDEX('Sản phẩm'!$E$5:$E$304,MATCH(D1987,'Sản phẩm'!$A$5:$A$304,0)),"")))</f>
        <v/>
      </c>
      <c r="J1987" s="16">
        <f>IF(OR(D1987="",F1987=""),"",F1987*I1987-N(H1987))</f>
        <v/>
      </c>
      <c r="K1987" s="16">
        <f>IF(OR(D1987="",F1987=""),"",F1987*IFERROR(INDEX('Sản phẩm'!$D$5:$D$304,MATCH(D1987,'Sản phẩm'!$A$5:$A$304,0)),""))</f>
        <v/>
      </c>
      <c r="L1987" s="16">
        <f>IF(J1987="","",J1987-K1987)</f>
        <v/>
      </c>
      <c r="M1987" s="14">
        <f>IF(A1987="","",MONTH(A1987))</f>
        <v/>
      </c>
      <c r="N1987" s="14">
        <f>IF(A1987="","",YEAR(A1987))</f>
        <v/>
      </c>
    </row>
    <row r="1988">
      <c r="A1988" s="15" t="n"/>
      <c r="B1988" s="10" t="n"/>
      <c r="C1988" s="10" t="n"/>
      <c r="D1988" s="10" t="n"/>
      <c r="E1988" s="14">
        <f>IF(D1988="","",IFERROR(INDEX('Sản phẩm'!$B$5:$B$304,MATCH(D1988,'Sản phẩm'!$A$5:$A$304,0)),""))</f>
        <v/>
      </c>
      <c r="F1988" s="12" t="n"/>
      <c r="G1988" s="11" t="n"/>
      <c r="H1988" s="11" t="n"/>
      <c r="I1988" s="16">
        <f>IF(D1988="","",IF(G1988&lt;&gt;"",G1988,IFERROR(INDEX('Sản phẩm'!$E$5:$E$304,MATCH(D1988,'Sản phẩm'!$A$5:$A$304,0)),"")))</f>
        <v/>
      </c>
      <c r="J1988" s="16">
        <f>IF(OR(D1988="",F1988=""),"",F1988*I1988-N(H1988))</f>
        <v/>
      </c>
      <c r="K1988" s="16">
        <f>IF(OR(D1988="",F1988=""),"",F1988*IFERROR(INDEX('Sản phẩm'!$D$5:$D$304,MATCH(D1988,'Sản phẩm'!$A$5:$A$304,0)),""))</f>
        <v/>
      </c>
      <c r="L1988" s="16">
        <f>IF(J1988="","",J1988-K1988)</f>
        <v/>
      </c>
      <c r="M1988" s="14">
        <f>IF(A1988="","",MONTH(A1988))</f>
        <v/>
      </c>
      <c r="N1988" s="14">
        <f>IF(A1988="","",YEAR(A1988))</f>
        <v/>
      </c>
    </row>
    <row r="1989">
      <c r="A1989" s="15" t="n"/>
      <c r="B1989" s="10" t="n"/>
      <c r="C1989" s="10" t="n"/>
      <c r="D1989" s="10" t="n"/>
      <c r="E1989" s="14">
        <f>IF(D1989="","",IFERROR(INDEX('Sản phẩm'!$B$5:$B$304,MATCH(D1989,'Sản phẩm'!$A$5:$A$304,0)),""))</f>
        <v/>
      </c>
      <c r="F1989" s="12" t="n"/>
      <c r="G1989" s="11" t="n"/>
      <c r="H1989" s="11" t="n"/>
      <c r="I1989" s="16">
        <f>IF(D1989="","",IF(G1989&lt;&gt;"",G1989,IFERROR(INDEX('Sản phẩm'!$E$5:$E$304,MATCH(D1989,'Sản phẩm'!$A$5:$A$304,0)),"")))</f>
        <v/>
      </c>
      <c r="J1989" s="16">
        <f>IF(OR(D1989="",F1989=""),"",F1989*I1989-N(H1989))</f>
        <v/>
      </c>
      <c r="K1989" s="16">
        <f>IF(OR(D1989="",F1989=""),"",F1989*IFERROR(INDEX('Sản phẩm'!$D$5:$D$304,MATCH(D1989,'Sản phẩm'!$A$5:$A$304,0)),""))</f>
        <v/>
      </c>
      <c r="L1989" s="16">
        <f>IF(J1989="","",J1989-K1989)</f>
        <v/>
      </c>
      <c r="M1989" s="14">
        <f>IF(A1989="","",MONTH(A1989))</f>
        <v/>
      </c>
      <c r="N1989" s="14">
        <f>IF(A1989="","",YEAR(A1989))</f>
        <v/>
      </c>
    </row>
    <row r="1990">
      <c r="A1990" s="15" t="n"/>
      <c r="B1990" s="10" t="n"/>
      <c r="C1990" s="10" t="n"/>
      <c r="D1990" s="10" t="n"/>
      <c r="E1990" s="14">
        <f>IF(D1990="","",IFERROR(INDEX('Sản phẩm'!$B$5:$B$304,MATCH(D1990,'Sản phẩm'!$A$5:$A$304,0)),""))</f>
        <v/>
      </c>
      <c r="F1990" s="12" t="n"/>
      <c r="G1990" s="11" t="n"/>
      <c r="H1990" s="11" t="n"/>
      <c r="I1990" s="16">
        <f>IF(D1990="","",IF(G1990&lt;&gt;"",G1990,IFERROR(INDEX('Sản phẩm'!$E$5:$E$304,MATCH(D1990,'Sản phẩm'!$A$5:$A$304,0)),"")))</f>
        <v/>
      </c>
      <c r="J1990" s="16">
        <f>IF(OR(D1990="",F1990=""),"",F1990*I1990-N(H1990))</f>
        <v/>
      </c>
      <c r="K1990" s="16">
        <f>IF(OR(D1990="",F1990=""),"",F1990*IFERROR(INDEX('Sản phẩm'!$D$5:$D$304,MATCH(D1990,'Sản phẩm'!$A$5:$A$304,0)),""))</f>
        <v/>
      </c>
      <c r="L1990" s="16">
        <f>IF(J1990="","",J1990-K1990)</f>
        <v/>
      </c>
      <c r="M1990" s="14">
        <f>IF(A1990="","",MONTH(A1990))</f>
        <v/>
      </c>
      <c r="N1990" s="14">
        <f>IF(A1990="","",YEAR(A1990))</f>
        <v/>
      </c>
    </row>
    <row r="1991">
      <c r="A1991" s="15" t="n"/>
      <c r="B1991" s="10" t="n"/>
      <c r="C1991" s="10" t="n"/>
      <c r="D1991" s="10" t="n"/>
      <c r="E1991" s="14">
        <f>IF(D1991="","",IFERROR(INDEX('Sản phẩm'!$B$5:$B$304,MATCH(D1991,'Sản phẩm'!$A$5:$A$304,0)),""))</f>
        <v/>
      </c>
      <c r="F1991" s="12" t="n"/>
      <c r="G1991" s="11" t="n"/>
      <c r="H1991" s="11" t="n"/>
      <c r="I1991" s="16">
        <f>IF(D1991="","",IF(G1991&lt;&gt;"",G1991,IFERROR(INDEX('Sản phẩm'!$E$5:$E$304,MATCH(D1991,'Sản phẩm'!$A$5:$A$304,0)),"")))</f>
        <v/>
      </c>
      <c r="J1991" s="16">
        <f>IF(OR(D1991="",F1991=""),"",F1991*I1991-N(H1991))</f>
        <v/>
      </c>
      <c r="K1991" s="16">
        <f>IF(OR(D1991="",F1991=""),"",F1991*IFERROR(INDEX('Sản phẩm'!$D$5:$D$304,MATCH(D1991,'Sản phẩm'!$A$5:$A$304,0)),""))</f>
        <v/>
      </c>
      <c r="L1991" s="16">
        <f>IF(J1991="","",J1991-K1991)</f>
        <v/>
      </c>
      <c r="M1991" s="14">
        <f>IF(A1991="","",MONTH(A1991))</f>
        <v/>
      </c>
      <c r="N1991" s="14">
        <f>IF(A1991="","",YEAR(A1991))</f>
        <v/>
      </c>
    </row>
    <row r="1992">
      <c r="A1992" s="15" t="n"/>
      <c r="B1992" s="10" t="n"/>
      <c r="C1992" s="10" t="n"/>
      <c r="D1992" s="10" t="n"/>
      <c r="E1992" s="14">
        <f>IF(D1992="","",IFERROR(INDEX('Sản phẩm'!$B$5:$B$304,MATCH(D1992,'Sản phẩm'!$A$5:$A$304,0)),""))</f>
        <v/>
      </c>
      <c r="F1992" s="12" t="n"/>
      <c r="G1992" s="11" t="n"/>
      <c r="H1992" s="11" t="n"/>
      <c r="I1992" s="16">
        <f>IF(D1992="","",IF(G1992&lt;&gt;"",G1992,IFERROR(INDEX('Sản phẩm'!$E$5:$E$304,MATCH(D1992,'Sản phẩm'!$A$5:$A$304,0)),"")))</f>
        <v/>
      </c>
      <c r="J1992" s="16">
        <f>IF(OR(D1992="",F1992=""),"",F1992*I1992-N(H1992))</f>
        <v/>
      </c>
      <c r="K1992" s="16">
        <f>IF(OR(D1992="",F1992=""),"",F1992*IFERROR(INDEX('Sản phẩm'!$D$5:$D$304,MATCH(D1992,'Sản phẩm'!$A$5:$A$304,0)),""))</f>
        <v/>
      </c>
      <c r="L1992" s="16">
        <f>IF(J1992="","",J1992-K1992)</f>
        <v/>
      </c>
      <c r="M1992" s="14">
        <f>IF(A1992="","",MONTH(A1992))</f>
        <v/>
      </c>
      <c r="N1992" s="14">
        <f>IF(A1992="","",YEAR(A1992))</f>
        <v/>
      </c>
    </row>
    <row r="1993">
      <c r="A1993" s="15" t="n"/>
      <c r="B1993" s="10" t="n"/>
      <c r="C1993" s="10" t="n"/>
      <c r="D1993" s="10" t="n"/>
      <c r="E1993" s="14">
        <f>IF(D1993="","",IFERROR(INDEX('Sản phẩm'!$B$5:$B$304,MATCH(D1993,'Sản phẩm'!$A$5:$A$304,0)),""))</f>
        <v/>
      </c>
      <c r="F1993" s="12" t="n"/>
      <c r="G1993" s="11" t="n"/>
      <c r="H1993" s="11" t="n"/>
      <c r="I1993" s="16">
        <f>IF(D1993="","",IF(G1993&lt;&gt;"",G1993,IFERROR(INDEX('Sản phẩm'!$E$5:$E$304,MATCH(D1993,'Sản phẩm'!$A$5:$A$304,0)),"")))</f>
        <v/>
      </c>
      <c r="J1993" s="16">
        <f>IF(OR(D1993="",F1993=""),"",F1993*I1993-N(H1993))</f>
        <v/>
      </c>
      <c r="K1993" s="16">
        <f>IF(OR(D1993="",F1993=""),"",F1993*IFERROR(INDEX('Sản phẩm'!$D$5:$D$304,MATCH(D1993,'Sản phẩm'!$A$5:$A$304,0)),""))</f>
        <v/>
      </c>
      <c r="L1993" s="16">
        <f>IF(J1993="","",J1993-K1993)</f>
        <v/>
      </c>
      <c r="M1993" s="14">
        <f>IF(A1993="","",MONTH(A1993))</f>
        <v/>
      </c>
      <c r="N1993" s="14">
        <f>IF(A1993="","",YEAR(A1993))</f>
        <v/>
      </c>
    </row>
    <row r="1994">
      <c r="A1994" s="15" t="n"/>
      <c r="B1994" s="10" t="n"/>
      <c r="C1994" s="10" t="n"/>
      <c r="D1994" s="10" t="n"/>
      <c r="E1994" s="14">
        <f>IF(D1994="","",IFERROR(INDEX('Sản phẩm'!$B$5:$B$304,MATCH(D1994,'Sản phẩm'!$A$5:$A$304,0)),""))</f>
        <v/>
      </c>
      <c r="F1994" s="12" t="n"/>
      <c r="G1994" s="11" t="n"/>
      <c r="H1994" s="11" t="n"/>
      <c r="I1994" s="16">
        <f>IF(D1994="","",IF(G1994&lt;&gt;"",G1994,IFERROR(INDEX('Sản phẩm'!$E$5:$E$304,MATCH(D1994,'Sản phẩm'!$A$5:$A$304,0)),"")))</f>
        <v/>
      </c>
      <c r="J1994" s="16">
        <f>IF(OR(D1994="",F1994=""),"",F1994*I1994-N(H1994))</f>
        <v/>
      </c>
      <c r="K1994" s="16">
        <f>IF(OR(D1994="",F1994=""),"",F1994*IFERROR(INDEX('Sản phẩm'!$D$5:$D$304,MATCH(D1994,'Sản phẩm'!$A$5:$A$304,0)),""))</f>
        <v/>
      </c>
      <c r="L1994" s="16">
        <f>IF(J1994="","",J1994-K1994)</f>
        <v/>
      </c>
      <c r="M1994" s="14">
        <f>IF(A1994="","",MONTH(A1994))</f>
        <v/>
      </c>
      <c r="N1994" s="14">
        <f>IF(A1994="","",YEAR(A1994))</f>
        <v/>
      </c>
    </row>
    <row r="1995">
      <c r="A1995" s="15" t="n"/>
      <c r="B1995" s="10" t="n"/>
      <c r="C1995" s="10" t="n"/>
      <c r="D1995" s="10" t="n"/>
      <c r="E1995" s="14">
        <f>IF(D1995="","",IFERROR(INDEX('Sản phẩm'!$B$5:$B$304,MATCH(D1995,'Sản phẩm'!$A$5:$A$304,0)),""))</f>
        <v/>
      </c>
      <c r="F1995" s="12" t="n"/>
      <c r="G1995" s="11" t="n"/>
      <c r="H1995" s="11" t="n"/>
      <c r="I1995" s="16">
        <f>IF(D1995="","",IF(G1995&lt;&gt;"",G1995,IFERROR(INDEX('Sản phẩm'!$E$5:$E$304,MATCH(D1995,'Sản phẩm'!$A$5:$A$304,0)),"")))</f>
        <v/>
      </c>
      <c r="J1995" s="16">
        <f>IF(OR(D1995="",F1995=""),"",F1995*I1995-N(H1995))</f>
        <v/>
      </c>
      <c r="K1995" s="16">
        <f>IF(OR(D1995="",F1995=""),"",F1995*IFERROR(INDEX('Sản phẩm'!$D$5:$D$304,MATCH(D1995,'Sản phẩm'!$A$5:$A$304,0)),""))</f>
        <v/>
      </c>
      <c r="L1995" s="16">
        <f>IF(J1995="","",J1995-K1995)</f>
        <v/>
      </c>
      <c r="M1995" s="14">
        <f>IF(A1995="","",MONTH(A1995))</f>
        <v/>
      </c>
      <c r="N1995" s="14">
        <f>IF(A1995="","",YEAR(A1995))</f>
        <v/>
      </c>
    </row>
    <row r="1996">
      <c r="A1996" s="15" t="n"/>
      <c r="B1996" s="10" t="n"/>
      <c r="C1996" s="10" t="n"/>
      <c r="D1996" s="10" t="n"/>
      <c r="E1996" s="14">
        <f>IF(D1996="","",IFERROR(INDEX('Sản phẩm'!$B$5:$B$304,MATCH(D1996,'Sản phẩm'!$A$5:$A$304,0)),""))</f>
        <v/>
      </c>
      <c r="F1996" s="12" t="n"/>
      <c r="G1996" s="11" t="n"/>
      <c r="H1996" s="11" t="n"/>
      <c r="I1996" s="16">
        <f>IF(D1996="","",IF(G1996&lt;&gt;"",G1996,IFERROR(INDEX('Sản phẩm'!$E$5:$E$304,MATCH(D1996,'Sản phẩm'!$A$5:$A$304,0)),"")))</f>
        <v/>
      </c>
      <c r="J1996" s="16">
        <f>IF(OR(D1996="",F1996=""),"",F1996*I1996-N(H1996))</f>
        <v/>
      </c>
      <c r="K1996" s="16">
        <f>IF(OR(D1996="",F1996=""),"",F1996*IFERROR(INDEX('Sản phẩm'!$D$5:$D$304,MATCH(D1996,'Sản phẩm'!$A$5:$A$304,0)),""))</f>
        <v/>
      </c>
      <c r="L1996" s="16">
        <f>IF(J1996="","",J1996-K1996)</f>
        <v/>
      </c>
      <c r="M1996" s="14">
        <f>IF(A1996="","",MONTH(A1996))</f>
        <v/>
      </c>
      <c r="N1996" s="14">
        <f>IF(A1996="","",YEAR(A1996))</f>
        <v/>
      </c>
    </row>
    <row r="1997">
      <c r="A1997" s="15" t="n"/>
      <c r="B1997" s="10" t="n"/>
      <c r="C1997" s="10" t="n"/>
      <c r="D1997" s="10" t="n"/>
      <c r="E1997" s="14">
        <f>IF(D1997="","",IFERROR(INDEX('Sản phẩm'!$B$5:$B$304,MATCH(D1997,'Sản phẩm'!$A$5:$A$304,0)),""))</f>
        <v/>
      </c>
      <c r="F1997" s="12" t="n"/>
      <c r="G1997" s="11" t="n"/>
      <c r="H1997" s="11" t="n"/>
      <c r="I1997" s="16">
        <f>IF(D1997="","",IF(G1997&lt;&gt;"",G1997,IFERROR(INDEX('Sản phẩm'!$E$5:$E$304,MATCH(D1997,'Sản phẩm'!$A$5:$A$304,0)),"")))</f>
        <v/>
      </c>
      <c r="J1997" s="16">
        <f>IF(OR(D1997="",F1997=""),"",F1997*I1997-N(H1997))</f>
        <v/>
      </c>
      <c r="K1997" s="16">
        <f>IF(OR(D1997="",F1997=""),"",F1997*IFERROR(INDEX('Sản phẩm'!$D$5:$D$304,MATCH(D1997,'Sản phẩm'!$A$5:$A$304,0)),""))</f>
        <v/>
      </c>
      <c r="L1997" s="16">
        <f>IF(J1997="","",J1997-K1997)</f>
        <v/>
      </c>
      <c r="M1997" s="14">
        <f>IF(A1997="","",MONTH(A1997))</f>
        <v/>
      </c>
      <c r="N1997" s="14">
        <f>IF(A1997="","",YEAR(A1997))</f>
        <v/>
      </c>
    </row>
    <row r="1998">
      <c r="A1998" s="15" t="n"/>
      <c r="B1998" s="10" t="n"/>
      <c r="C1998" s="10" t="n"/>
      <c r="D1998" s="10" t="n"/>
      <c r="E1998" s="14">
        <f>IF(D1998="","",IFERROR(INDEX('Sản phẩm'!$B$5:$B$304,MATCH(D1998,'Sản phẩm'!$A$5:$A$304,0)),""))</f>
        <v/>
      </c>
      <c r="F1998" s="12" t="n"/>
      <c r="G1998" s="11" t="n"/>
      <c r="H1998" s="11" t="n"/>
      <c r="I1998" s="16">
        <f>IF(D1998="","",IF(G1998&lt;&gt;"",G1998,IFERROR(INDEX('Sản phẩm'!$E$5:$E$304,MATCH(D1998,'Sản phẩm'!$A$5:$A$304,0)),"")))</f>
        <v/>
      </c>
      <c r="J1998" s="16">
        <f>IF(OR(D1998="",F1998=""),"",F1998*I1998-N(H1998))</f>
        <v/>
      </c>
      <c r="K1998" s="16">
        <f>IF(OR(D1998="",F1998=""),"",F1998*IFERROR(INDEX('Sản phẩm'!$D$5:$D$304,MATCH(D1998,'Sản phẩm'!$A$5:$A$304,0)),""))</f>
        <v/>
      </c>
      <c r="L1998" s="16">
        <f>IF(J1998="","",J1998-K1998)</f>
        <v/>
      </c>
      <c r="M1998" s="14">
        <f>IF(A1998="","",MONTH(A1998))</f>
        <v/>
      </c>
      <c r="N1998" s="14">
        <f>IF(A1998="","",YEAR(A1998))</f>
        <v/>
      </c>
    </row>
    <row r="1999">
      <c r="A1999" s="15" t="n"/>
      <c r="B1999" s="10" t="n"/>
      <c r="C1999" s="10" t="n"/>
      <c r="D1999" s="10" t="n"/>
      <c r="E1999" s="14">
        <f>IF(D1999="","",IFERROR(INDEX('Sản phẩm'!$B$5:$B$304,MATCH(D1999,'Sản phẩm'!$A$5:$A$304,0)),""))</f>
        <v/>
      </c>
      <c r="F1999" s="12" t="n"/>
      <c r="G1999" s="11" t="n"/>
      <c r="H1999" s="11" t="n"/>
      <c r="I1999" s="16">
        <f>IF(D1999="","",IF(G1999&lt;&gt;"",G1999,IFERROR(INDEX('Sản phẩm'!$E$5:$E$304,MATCH(D1999,'Sản phẩm'!$A$5:$A$304,0)),"")))</f>
        <v/>
      </c>
      <c r="J1999" s="16">
        <f>IF(OR(D1999="",F1999=""),"",F1999*I1999-N(H1999))</f>
        <v/>
      </c>
      <c r="K1999" s="16">
        <f>IF(OR(D1999="",F1999=""),"",F1999*IFERROR(INDEX('Sản phẩm'!$D$5:$D$304,MATCH(D1999,'Sản phẩm'!$A$5:$A$304,0)),""))</f>
        <v/>
      </c>
      <c r="L1999" s="16">
        <f>IF(J1999="","",J1999-K1999)</f>
        <v/>
      </c>
      <c r="M1999" s="14">
        <f>IF(A1999="","",MONTH(A1999))</f>
        <v/>
      </c>
      <c r="N1999" s="14">
        <f>IF(A1999="","",YEAR(A1999))</f>
        <v/>
      </c>
    </row>
    <row r="2000">
      <c r="A2000" s="15" t="n"/>
      <c r="B2000" s="10" t="n"/>
      <c r="C2000" s="10" t="n"/>
      <c r="D2000" s="10" t="n"/>
      <c r="E2000" s="14">
        <f>IF(D2000="","",IFERROR(INDEX('Sản phẩm'!$B$5:$B$304,MATCH(D2000,'Sản phẩm'!$A$5:$A$304,0)),""))</f>
        <v/>
      </c>
      <c r="F2000" s="12" t="n"/>
      <c r="G2000" s="11" t="n"/>
      <c r="H2000" s="11" t="n"/>
      <c r="I2000" s="16">
        <f>IF(D2000="","",IF(G2000&lt;&gt;"",G2000,IFERROR(INDEX('Sản phẩm'!$E$5:$E$304,MATCH(D2000,'Sản phẩm'!$A$5:$A$304,0)),"")))</f>
        <v/>
      </c>
      <c r="J2000" s="16">
        <f>IF(OR(D2000="",F2000=""),"",F2000*I2000-N(H2000))</f>
        <v/>
      </c>
      <c r="K2000" s="16">
        <f>IF(OR(D2000="",F2000=""),"",F2000*IFERROR(INDEX('Sản phẩm'!$D$5:$D$304,MATCH(D2000,'Sản phẩm'!$A$5:$A$304,0)),""))</f>
        <v/>
      </c>
      <c r="L2000" s="16">
        <f>IF(J2000="","",J2000-K2000)</f>
        <v/>
      </c>
      <c r="M2000" s="14">
        <f>IF(A2000="","",MONTH(A2000))</f>
        <v/>
      </c>
      <c r="N2000" s="14">
        <f>IF(A2000="","",YEAR(A2000))</f>
        <v/>
      </c>
    </row>
    <row r="2001">
      <c r="A2001" s="15" t="n"/>
      <c r="B2001" s="10" t="n"/>
      <c r="C2001" s="10" t="n"/>
      <c r="D2001" s="10" t="n"/>
      <c r="E2001" s="14">
        <f>IF(D2001="","",IFERROR(INDEX('Sản phẩm'!$B$5:$B$304,MATCH(D2001,'Sản phẩm'!$A$5:$A$304,0)),""))</f>
        <v/>
      </c>
      <c r="F2001" s="12" t="n"/>
      <c r="G2001" s="11" t="n"/>
      <c r="H2001" s="11" t="n"/>
      <c r="I2001" s="16">
        <f>IF(D2001="","",IF(G2001&lt;&gt;"",G2001,IFERROR(INDEX('Sản phẩm'!$E$5:$E$304,MATCH(D2001,'Sản phẩm'!$A$5:$A$304,0)),"")))</f>
        <v/>
      </c>
      <c r="J2001" s="16">
        <f>IF(OR(D2001="",F2001=""),"",F2001*I2001-N(H2001))</f>
        <v/>
      </c>
      <c r="K2001" s="16">
        <f>IF(OR(D2001="",F2001=""),"",F2001*IFERROR(INDEX('Sản phẩm'!$D$5:$D$304,MATCH(D2001,'Sản phẩm'!$A$5:$A$304,0)),""))</f>
        <v/>
      </c>
      <c r="L2001" s="16">
        <f>IF(J2001="","",J2001-K2001)</f>
        <v/>
      </c>
      <c r="M2001" s="14">
        <f>IF(A2001="","",MONTH(A2001))</f>
        <v/>
      </c>
      <c r="N2001" s="14">
        <f>IF(A2001="","",YEAR(A2001))</f>
        <v/>
      </c>
    </row>
    <row r="2002">
      <c r="A2002" s="15" t="n"/>
      <c r="B2002" s="10" t="n"/>
      <c r="C2002" s="10" t="n"/>
      <c r="D2002" s="10" t="n"/>
      <c r="E2002" s="14">
        <f>IF(D2002="","",IFERROR(INDEX('Sản phẩm'!$B$5:$B$304,MATCH(D2002,'Sản phẩm'!$A$5:$A$304,0)),""))</f>
        <v/>
      </c>
      <c r="F2002" s="12" t="n"/>
      <c r="G2002" s="11" t="n"/>
      <c r="H2002" s="11" t="n"/>
      <c r="I2002" s="16">
        <f>IF(D2002="","",IF(G2002&lt;&gt;"",G2002,IFERROR(INDEX('Sản phẩm'!$E$5:$E$304,MATCH(D2002,'Sản phẩm'!$A$5:$A$304,0)),"")))</f>
        <v/>
      </c>
      <c r="J2002" s="16">
        <f>IF(OR(D2002="",F2002=""),"",F2002*I2002-N(H2002))</f>
        <v/>
      </c>
      <c r="K2002" s="16">
        <f>IF(OR(D2002="",F2002=""),"",F2002*IFERROR(INDEX('Sản phẩm'!$D$5:$D$304,MATCH(D2002,'Sản phẩm'!$A$5:$A$304,0)),""))</f>
        <v/>
      </c>
      <c r="L2002" s="16">
        <f>IF(J2002="","",J2002-K2002)</f>
        <v/>
      </c>
      <c r="M2002" s="14">
        <f>IF(A2002="","",MONTH(A2002))</f>
        <v/>
      </c>
      <c r="N2002" s="14">
        <f>IF(A2002="","",YEAR(A2002))</f>
        <v/>
      </c>
    </row>
    <row r="2003">
      <c r="A2003" s="15" t="n"/>
      <c r="B2003" s="10" t="n"/>
      <c r="C2003" s="10" t="n"/>
      <c r="D2003" s="10" t="n"/>
      <c r="E2003" s="14">
        <f>IF(D2003="","",IFERROR(INDEX('Sản phẩm'!$B$5:$B$304,MATCH(D2003,'Sản phẩm'!$A$5:$A$304,0)),""))</f>
        <v/>
      </c>
      <c r="F2003" s="12" t="n"/>
      <c r="G2003" s="11" t="n"/>
      <c r="H2003" s="11" t="n"/>
      <c r="I2003" s="16">
        <f>IF(D2003="","",IF(G2003&lt;&gt;"",G2003,IFERROR(INDEX('Sản phẩm'!$E$5:$E$304,MATCH(D2003,'Sản phẩm'!$A$5:$A$304,0)),"")))</f>
        <v/>
      </c>
      <c r="J2003" s="16">
        <f>IF(OR(D2003="",F2003=""),"",F2003*I2003-N(H2003))</f>
        <v/>
      </c>
      <c r="K2003" s="16">
        <f>IF(OR(D2003="",F2003=""),"",F2003*IFERROR(INDEX('Sản phẩm'!$D$5:$D$304,MATCH(D2003,'Sản phẩm'!$A$5:$A$304,0)),""))</f>
        <v/>
      </c>
      <c r="L2003" s="16">
        <f>IF(J2003="","",J2003-K2003)</f>
        <v/>
      </c>
      <c r="M2003" s="14">
        <f>IF(A2003="","",MONTH(A2003))</f>
        <v/>
      </c>
      <c r="N2003" s="14">
        <f>IF(A2003="","",YEAR(A2003))</f>
        <v/>
      </c>
    </row>
    <row r="2004">
      <c r="A2004" s="15" t="n"/>
      <c r="B2004" s="10" t="n"/>
      <c r="C2004" s="10" t="n"/>
      <c r="D2004" s="10" t="n"/>
      <c r="E2004" s="14">
        <f>IF(D2004="","",IFERROR(INDEX('Sản phẩm'!$B$5:$B$304,MATCH(D2004,'Sản phẩm'!$A$5:$A$304,0)),""))</f>
        <v/>
      </c>
      <c r="F2004" s="12" t="n"/>
      <c r="G2004" s="11" t="n"/>
      <c r="H2004" s="11" t="n"/>
      <c r="I2004" s="16">
        <f>IF(D2004="","",IF(G2004&lt;&gt;"",G2004,IFERROR(INDEX('Sản phẩm'!$E$5:$E$304,MATCH(D2004,'Sản phẩm'!$A$5:$A$304,0)),"")))</f>
        <v/>
      </c>
      <c r="J2004" s="16">
        <f>IF(OR(D2004="",F2004=""),"",F2004*I2004-N(H2004))</f>
        <v/>
      </c>
      <c r="K2004" s="16">
        <f>IF(OR(D2004="",F2004=""),"",F2004*IFERROR(INDEX('Sản phẩm'!$D$5:$D$304,MATCH(D2004,'Sản phẩm'!$A$5:$A$304,0)),""))</f>
        <v/>
      </c>
      <c r="L2004" s="16">
        <f>IF(J2004="","",J2004-K2004)</f>
        <v/>
      </c>
      <c r="M2004" s="14">
        <f>IF(A2004="","",MONTH(A2004))</f>
        <v/>
      </c>
      <c r="N2004" s="14">
        <f>IF(A2004="","",YEAR(A2004))</f>
        <v/>
      </c>
    </row>
    <row r="2005">
      <c r="A2005" s="15" t="n"/>
      <c r="B2005" s="10" t="n"/>
      <c r="C2005" s="10" t="n"/>
      <c r="D2005" s="10" t="n"/>
      <c r="E2005" s="14">
        <f>IF(D2005="","",IFERROR(INDEX('Sản phẩm'!$B$5:$B$304,MATCH(D2005,'Sản phẩm'!$A$5:$A$304,0)),""))</f>
        <v/>
      </c>
      <c r="F2005" s="12" t="n"/>
      <c r="G2005" s="11" t="n"/>
      <c r="H2005" s="11" t="n"/>
      <c r="I2005" s="16">
        <f>IF(D2005="","",IF(G2005&lt;&gt;"",G2005,IFERROR(INDEX('Sản phẩm'!$E$5:$E$304,MATCH(D2005,'Sản phẩm'!$A$5:$A$304,0)),"")))</f>
        <v/>
      </c>
      <c r="J2005" s="16">
        <f>IF(OR(D2005="",F2005=""),"",F2005*I2005-N(H2005))</f>
        <v/>
      </c>
      <c r="K2005" s="16">
        <f>IF(OR(D2005="",F2005=""),"",F2005*IFERROR(INDEX('Sản phẩm'!$D$5:$D$304,MATCH(D2005,'Sản phẩm'!$A$5:$A$304,0)),""))</f>
        <v/>
      </c>
      <c r="L2005" s="16">
        <f>IF(J2005="","",J2005-K2005)</f>
        <v/>
      </c>
      <c r="M2005" s="14">
        <f>IF(A2005="","",MONTH(A2005))</f>
        <v/>
      </c>
      <c r="N2005" s="14">
        <f>IF(A2005="","",YEAR(A2005))</f>
        <v/>
      </c>
    </row>
    <row r="2006">
      <c r="A2006" s="15" t="n"/>
      <c r="B2006" s="10" t="n"/>
      <c r="C2006" s="10" t="n"/>
      <c r="D2006" s="10" t="n"/>
      <c r="E2006" s="14">
        <f>IF(D2006="","",IFERROR(INDEX('Sản phẩm'!$B$5:$B$304,MATCH(D2006,'Sản phẩm'!$A$5:$A$304,0)),""))</f>
        <v/>
      </c>
      <c r="F2006" s="12" t="n"/>
      <c r="G2006" s="11" t="n"/>
      <c r="H2006" s="11" t="n"/>
      <c r="I2006" s="16">
        <f>IF(D2006="","",IF(G2006&lt;&gt;"",G2006,IFERROR(INDEX('Sản phẩm'!$E$5:$E$304,MATCH(D2006,'Sản phẩm'!$A$5:$A$304,0)),"")))</f>
        <v/>
      </c>
      <c r="J2006" s="16">
        <f>IF(OR(D2006="",F2006=""),"",F2006*I2006-N(H2006))</f>
        <v/>
      </c>
      <c r="K2006" s="16">
        <f>IF(OR(D2006="",F2006=""),"",F2006*IFERROR(INDEX('Sản phẩm'!$D$5:$D$304,MATCH(D2006,'Sản phẩm'!$A$5:$A$304,0)),""))</f>
        <v/>
      </c>
      <c r="L2006" s="16">
        <f>IF(J2006="","",J2006-K2006)</f>
        <v/>
      </c>
      <c r="M2006" s="14">
        <f>IF(A2006="","",MONTH(A2006))</f>
        <v/>
      </c>
      <c r="N2006" s="14">
        <f>IF(A2006="","",YEAR(A2006))</f>
        <v/>
      </c>
    </row>
    <row r="2007">
      <c r="A2007" s="15" t="n"/>
      <c r="B2007" s="10" t="n"/>
      <c r="C2007" s="10" t="n"/>
      <c r="D2007" s="10" t="n"/>
      <c r="E2007" s="14">
        <f>IF(D2007="","",IFERROR(INDEX('Sản phẩm'!$B$5:$B$304,MATCH(D2007,'Sản phẩm'!$A$5:$A$304,0)),""))</f>
        <v/>
      </c>
      <c r="F2007" s="12" t="n"/>
      <c r="G2007" s="11" t="n"/>
      <c r="H2007" s="11" t="n"/>
      <c r="I2007" s="16">
        <f>IF(D2007="","",IF(G2007&lt;&gt;"",G2007,IFERROR(INDEX('Sản phẩm'!$E$5:$E$304,MATCH(D2007,'Sản phẩm'!$A$5:$A$304,0)),"")))</f>
        <v/>
      </c>
      <c r="J2007" s="16">
        <f>IF(OR(D2007="",F2007=""),"",F2007*I2007-N(H2007))</f>
        <v/>
      </c>
      <c r="K2007" s="16">
        <f>IF(OR(D2007="",F2007=""),"",F2007*IFERROR(INDEX('Sản phẩm'!$D$5:$D$304,MATCH(D2007,'Sản phẩm'!$A$5:$A$304,0)),""))</f>
        <v/>
      </c>
      <c r="L2007" s="16">
        <f>IF(J2007="","",J2007-K2007)</f>
        <v/>
      </c>
      <c r="M2007" s="14">
        <f>IF(A2007="","",MONTH(A2007))</f>
        <v/>
      </c>
      <c r="N2007" s="14">
        <f>IF(A2007="","",YEAR(A2007))</f>
        <v/>
      </c>
    </row>
    <row r="2008">
      <c r="A2008" s="15" t="n"/>
      <c r="B2008" s="10" t="n"/>
      <c r="C2008" s="10" t="n"/>
      <c r="D2008" s="10" t="n"/>
      <c r="E2008" s="14">
        <f>IF(D2008="","",IFERROR(INDEX('Sản phẩm'!$B$5:$B$304,MATCH(D2008,'Sản phẩm'!$A$5:$A$304,0)),""))</f>
        <v/>
      </c>
      <c r="F2008" s="12" t="n"/>
      <c r="G2008" s="11" t="n"/>
      <c r="H2008" s="11" t="n"/>
      <c r="I2008" s="16">
        <f>IF(D2008="","",IF(G2008&lt;&gt;"",G2008,IFERROR(INDEX('Sản phẩm'!$E$5:$E$304,MATCH(D2008,'Sản phẩm'!$A$5:$A$304,0)),"")))</f>
        <v/>
      </c>
      <c r="J2008" s="16">
        <f>IF(OR(D2008="",F2008=""),"",F2008*I2008-N(H2008))</f>
        <v/>
      </c>
      <c r="K2008" s="16">
        <f>IF(OR(D2008="",F2008=""),"",F2008*IFERROR(INDEX('Sản phẩm'!$D$5:$D$304,MATCH(D2008,'Sản phẩm'!$A$5:$A$304,0)),""))</f>
        <v/>
      </c>
      <c r="L2008" s="16">
        <f>IF(J2008="","",J2008-K2008)</f>
        <v/>
      </c>
      <c r="M2008" s="14">
        <f>IF(A2008="","",MONTH(A2008))</f>
        <v/>
      </c>
      <c r="N2008" s="14">
        <f>IF(A2008="","",YEAR(A2008))</f>
        <v/>
      </c>
    </row>
    <row r="2009">
      <c r="A2009" s="15" t="n"/>
      <c r="B2009" s="10" t="n"/>
      <c r="C2009" s="10" t="n"/>
      <c r="D2009" s="10" t="n"/>
      <c r="E2009" s="14">
        <f>IF(D2009="","",IFERROR(INDEX('Sản phẩm'!$B$5:$B$304,MATCH(D2009,'Sản phẩm'!$A$5:$A$304,0)),""))</f>
        <v/>
      </c>
      <c r="F2009" s="12" t="n"/>
      <c r="G2009" s="11" t="n"/>
      <c r="H2009" s="11" t="n"/>
      <c r="I2009" s="16">
        <f>IF(D2009="","",IF(G2009&lt;&gt;"",G2009,IFERROR(INDEX('Sản phẩm'!$E$5:$E$304,MATCH(D2009,'Sản phẩm'!$A$5:$A$304,0)),"")))</f>
        <v/>
      </c>
      <c r="J2009" s="16">
        <f>IF(OR(D2009="",F2009=""),"",F2009*I2009-N(H2009))</f>
        <v/>
      </c>
      <c r="K2009" s="16">
        <f>IF(OR(D2009="",F2009=""),"",F2009*IFERROR(INDEX('Sản phẩm'!$D$5:$D$304,MATCH(D2009,'Sản phẩm'!$A$5:$A$304,0)),""))</f>
        <v/>
      </c>
      <c r="L2009" s="16">
        <f>IF(J2009="","",J2009-K2009)</f>
        <v/>
      </c>
      <c r="M2009" s="14">
        <f>IF(A2009="","",MONTH(A2009))</f>
        <v/>
      </c>
      <c r="N2009" s="14">
        <f>IF(A2009="","",YEAR(A2009))</f>
        <v/>
      </c>
    </row>
    <row r="2010">
      <c r="A2010" s="15" t="n"/>
      <c r="B2010" s="10" t="n"/>
      <c r="C2010" s="10" t="n"/>
      <c r="D2010" s="10" t="n"/>
      <c r="E2010" s="14">
        <f>IF(D2010="","",IFERROR(INDEX('Sản phẩm'!$B$5:$B$304,MATCH(D2010,'Sản phẩm'!$A$5:$A$304,0)),""))</f>
        <v/>
      </c>
      <c r="F2010" s="12" t="n"/>
      <c r="G2010" s="11" t="n"/>
      <c r="H2010" s="11" t="n"/>
      <c r="I2010" s="16">
        <f>IF(D2010="","",IF(G2010&lt;&gt;"",G2010,IFERROR(INDEX('Sản phẩm'!$E$5:$E$304,MATCH(D2010,'Sản phẩm'!$A$5:$A$304,0)),"")))</f>
        <v/>
      </c>
      <c r="J2010" s="16">
        <f>IF(OR(D2010="",F2010=""),"",F2010*I2010-N(H2010))</f>
        <v/>
      </c>
      <c r="K2010" s="16">
        <f>IF(OR(D2010="",F2010=""),"",F2010*IFERROR(INDEX('Sản phẩm'!$D$5:$D$304,MATCH(D2010,'Sản phẩm'!$A$5:$A$304,0)),""))</f>
        <v/>
      </c>
      <c r="L2010" s="16">
        <f>IF(J2010="","",J2010-K2010)</f>
        <v/>
      </c>
      <c r="M2010" s="14">
        <f>IF(A2010="","",MONTH(A2010))</f>
        <v/>
      </c>
      <c r="N2010" s="14">
        <f>IF(A2010="","",YEAR(A2010))</f>
        <v/>
      </c>
    </row>
    <row r="2011">
      <c r="A2011" s="15" t="n"/>
      <c r="B2011" s="10" t="n"/>
      <c r="C2011" s="10" t="n"/>
      <c r="D2011" s="10" t="n"/>
      <c r="E2011" s="14">
        <f>IF(D2011="","",IFERROR(INDEX('Sản phẩm'!$B$5:$B$304,MATCH(D2011,'Sản phẩm'!$A$5:$A$304,0)),""))</f>
        <v/>
      </c>
      <c r="F2011" s="12" t="n"/>
      <c r="G2011" s="11" t="n"/>
      <c r="H2011" s="11" t="n"/>
      <c r="I2011" s="16">
        <f>IF(D2011="","",IF(G2011&lt;&gt;"",G2011,IFERROR(INDEX('Sản phẩm'!$E$5:$E$304,MATCH(D2011,'Sản phẩm'!$A$5:$A$304,0)),"")))</f>
        <v/>
      </c>
      <c r="J2011" s="16">
        <f>IF(OR(D2011="",F2011=""),"",F2011*I2011-N(H2011))</f>
        <v/>
      </c>
      <c r="K2011" s="16">
        <f>IF(OR(D2011="",F2011=""),"",F2011*IFERROR(INDEX('Sản phẩm'!$D$5:$D$304,MATCH(D2011,'Sản phẩm'!$A$5:$A$304,0)),""))</f>
        <v/>
      </c>
      <c r="L2011" s="16">
        <f>IF(J2011="","",J2011-K2011)</f>
        <v/>
      </c>
      <c r="M2011" s="14">
        <f>IF(A2011="","",MONTH(A2011))</f>
        <v/>
      </c>
      <c r="N2011" s="14">
        <f>IF(A2011="","",YEAR(A2011))</f>
        <v/>
      </c>
    </row>
    <row r="2012">
      <c r="A2012" s="15" t="n"/>
      <c r="B2012" s="10" t="n"/>
      <c r="C2012" s="10" t="n"/>
      <c r="D2012" s="10" t="n"/>
      <c r="E2012" s="14">
        <f>IF(D2012="","",IFERROR(INDEX('Sản phẩm'!$B$5:$B$304,MATCH(D2012,'Sản phẩm'!$A$5:$A$304,0)),""))</f>
        <v/>
      </c>
      <c r="F2012" s="12" t="n"/>
      <c r="G2012" s="11" t="n"/>
      <c r="H2012" s="11" t="n"/>
      <c r="I2012" s="16">
        <f>IF(D2012="","",IF(G2012&lt;&gt;"",G2012,IFERROR(INDEX('Sản phẩm'!$E$5:$E$304,MATCH(D2012,'Sản phẩm'!$A$5:$A$304,0)),"")))</f>
        <v/>
      </c>
      <c r="J2012" s="16">
        <f>IF(OR(D2012="",F2012=""),"",F2012*I2012-N(H2012))</f>
        <v/>
      </c>
      <c r="K2012" s="16">
        <f>IF(OR(D2012="",F2012=""),"",F2012*IFERROR(INDEX('Sản phẩm'!$D$5:$D$304,MATCH(D2012,'Sản phẩm'!$A$5:$A$304,0)),""))</f>
        <v/>
      </c>
      <c r="L2012" s="16">
        <f>IF(J2012="","",J2012-K2012)</f>
        <v/>
      </c>
      <c r="M2012" s="14">
        <f>IF(A2012="","",MONTH(A2012))</f>
        <v/>
      </c>
      <c r="N2012" s="14">
        <f>IF(A2012="","",YEAR(A2012))</f>
        <v/>
      </c>
    </row>
    <row r="2013">
      <c r="A2013" s="15" t="n"/>
      <c r="B2013" s="10" t="n"/>
      <c r="C2013" s="10" t="n"/>
      <c r="D2013" s="10" t="n"/>
      <c r="E2013" s="14">
        <f>IF(D2013="","",IFERROR(INDEX('Sản phẩm'!$B$5:$B$304,MATCH(D2013,'Sản phẩm'!$A$5:$A$304,0)),""))</f>
        <v/>
      </c>
      <c r="F2013" s="12" t="n"/>
      <c r="G2013" s="11" t="n"/>
      <c r="H2013" s="11" t="n"/>
      <c r="I2013" s="16">
        <f>IF(D2013="","",IF(G2013&lt;&gt;"",G2013,IFERROR(INDEX('Sản phẩm'!$E$5:$E$304,MATCH(D2013,'Sản phẩm'!$A$5:$A$304,0)),"")))</f>
        <v/>
      </c>
      <c r="J2013" s="16">
        <f>IF(OR(D2013="",F2013=""),"",F2013*I2013-N(H2013))</f>
        <v/>
      </c>
      <c r="K2013" s="16">
        <f>IF(OR(D2013="",F2013=""),"",F2013*IFERROR(INDEX('Sản phẩm'!$D$5:$D$304,MATCH(D2013,'Sản phẩm'!$A$5:$A$304,0)),""))</f>
        <v/>
      </c>
      <c r="L2013" s="16">
        <f>IF(J2013="","",J2013-K2013)</f>
        <v/>
      </c>
      <c r="M2013" s="14">
        <f>IF(A2013="","",MONTH(A2013))</f>
        <v/>
      </c>
      <c r="N2013" s="14">
        <f>IF(A2013="","",YEAR(A2013))</f>
        <v/>
      </c>
    </row>
    <row r="2014">
      <c r="A2014" s="15" t="n"/>
      <c r="B2014" s="10" t="n"/>
      <c r="C2014" s="10" t="n"/>
      <c r="D2014" s="10" t="n"/>
      <c r="E2014" s="14">
        <f>IF(D2014="","",IFERROR(INDEX('Sản phẩm'!$B$5:$B$304,MATCH(D2014,'Sản phẩm'!$A$5:$A$304,0)),""))</f>
        <v/>
      </c>
      <c r="F2014" s="12" t="n"/>
      <c r="G2014" s="11" t="n"/>
      <c r="H2014" s="11" t="n"/>
      <c r="I2014" s="16">
        <f>IF(D2014="","",IF(G2014&lt;&gt;"",G2014,IFERROR(INDEX('Sản phẩm'!$E$5:$E$304,MATCH(D2014,'Sản phẩm'!$A$5:$A$304,0)),"")))</f>
        <v/>
      </c>
      <c r="J2014" s="16">
        <f>IF(OR(D2014="",F2014=""),"",F2014*I2014-N(H2014))</f>
        <v/>
      </c>
      <c r="K2014" s="16">
        <f>IF(OR(D2014="",F2014=""),"",F2014*IFERROR(INDEX('Sản phẩm'!$D$5:$D$304,MATCH(D2014,'Sản phẩm'!$A$5:$A$304,0)),""))</f>
        <v/>
      </c>
      <c r="L2014" s="16">
        <f>IF(J2014="","",J2014-K2014)</f>
        <v/>
      </c>
      <c r="M2014" s="14">
        <f>IF(A2014="","",MONTH(A2014))</f>
        <v/>
      </c>
      <c r="N2014" s="14">
        <f>IF(A2014="","",YEAR(A2014))</f>
        <v/>
      </c>
    </row>
    <row r="2015">
      <c r="A2015" s="15" t="n"/>
      <c r="B2015" s="10" t="n"/>
      <c r="C2015" s="10" t="n"/>
      <c r="D2015" s="10" t="n"/>
      <c r="E2015" s="14">
        <f>IF(D2015="","",IFERROR(INDEX('Sản phẩm'!$B$5:$B$304,MATCH(D2015,'Sản phẩm'!$A$5:$A$304,0)),""))</f>
        <v/>
      </c>
      <c r="F2015" s="12" t="n"/>
      <c r="G2015" s="11" t="n"/>
      <c r="H2015" s="11" t="n"/>
      <c r="I2015" s="16">
        <f>IF(D2015="","",IF(G2015&lt;&gt;"",G2015,IFERROR(INDEX('Sản phẩm'!$E$5:$E$304,MATCH(D2015,'Sản phẩm'!$A$5:$A$304,0)),"")))</f>
        <v/>
      </c>
      <c r="J2015" s="16">
        <f>IF(OR(D2015="",F2015=""),"",F2015*I2015-N(H2015))</f>
        <v/>
      </c>
      <c r="K2015" s="16">
        <f>IF(OR(D2015="",F2015=""),"",F2015*IFERROR(INDEX('Sản phẩm'!$D$5:$D$304,MATCH(D2015,'Sản phẩm'!$A$5:$A$304,0)),""))</f>
        <v/>
      </c>
      <c r="L2015" s="16">
        <f>IF(J2015="","",J2015-K2015)</f>
        <v/>
      </c>
      <c r="M2015" s="14">
        <f>IF(A2015="","",MONTH(A2015))</f>
        <v/>
      </c>
      <c r="N2015" s="14">
        <f>IF(A2015="","",YEAR(A2015))</f>
        <v/>
      </c>
    </row>
    <row r="2016">
      <c r="A2016" s="15" t="n"/>
      <c r="B2016" s="10" t="n"/>
      <c r="C2016" s="10" t="n"/>
      <c r="D2016" s="10" t="n"/>
      <c r="E2016" s="14">
        <f>IF(D2016="","",IFERROR(INDEX('Sản phẩm'!$B$5:$B$304,MATCH(D2016,'Sản phẩm'!$A$5:$A$304,0)),""))</f>
        <v/>
      </c>
      <c r="F2016" s="12" t="n"/>
      <c r="G2016" s="11" t="n"/>
      <c r="H2016" s="11" t="n"/>
      <c r="I2016" s="16">
        <f>IF(D2016="","",IF(G2016&lt;&gt;"",G2016,IFERROR(INDEX('Sản phẩm'!$E$5:$E$304,MATCH(D2016,'Sản phẩm'!$A$5:$A$304,0)),"")))</f>
        <v/>
      </c>
      <c r="J2016" s="16">
        <f>IF(OR(D2016="",F2016=""),"",F2016*I2016-N(H2016))</f>
        <v/>
      </c>
      <c r="K2016" s="16">
        <f>IF(OR(D2016="",F2016=""),"",F2016*IFERROR(INDEX('Sản phẩm'!$D$5:$D$304,MATCH(D2016,'Sản phẩm'!$A$5:$A$304,0)),""))</f>
        <v/>
      </c>
      <c r="L2016" s="16">
        <f>IF(J2016="","",J2016-K2016)</f>
        <v/>
      </c>
      <c r="M2016" s="14">
        <f>IF(A2016="","",MONTH(A2016))</f>
        <v/>
      </c>
      <c r="N2016" s="14">
        <f>IF(A2016="","",YEAR(A2016))</f>
        <v/>
      </c>
    </row>
    <row r="2017">
      <c r="A2017" s="15" t="n"/>
      <c r="B2017" s="10" t="n"/>
      <c r="C2017" s="10" t="n"/>
      <c r="D2017" s="10" t="n"/>
      <c r="E2017" s="14">
        <f>IF(D2017="","",IFERROR(INDEX('Sản phẩm'!$B$5:$B$304,MATCH(D2017,'Sản phẩm'!$A$5:$A$304,0)),""))</f>
        <v/>
      </c>
      <c r="F2017" s="12" t="n"/>
      <c r="G2017" s="11" t="n"/>
      <c r="H2017" s="11" t="n"/>
      <c r="I2017" s="16">
        <f>IF(D2017="","",IF(G2017&lt;&gt;"",G2017,IFERROR(INDEX('Sản phẩm'!$E$5:$E$304,MATCH(D2017,'Sản phẩm'!$A$5:$A$304,0)),"")))</f>
        <v/>
      </c>
      <c r="J2017" s="16">
        <f>IF(OR(D2017="",F2017=""),"",F2017*I2017-N(H2017))</f>
        <v/>
      </c>
      <c r="K2017" s="16">
        <f>IF(OR(D2017="",F2017=""),"",F2017*IFERROR(INDEX('Sản phẩm'!$D$5:$D$304,MATCH(D2017,'Sản phẩm'!$A$5:$A$304,0)),""))</f>
        <v/>
      </c>
      <c r="L2017" s="16">
        <f>IF(J2017="","",J2017-K2017)</f>
        <v/>
      </c>
      <c r="M2017" s="14">
        <f>IF(A2017="","",MONTH(A2017))</f>
        <v/>
      </c>
      <c r="N2017" s="14">
        <f>IF(A2017="","",YEAR(A2017))</f>
        <v/>
      </c>
    </row>
    <row r="2018">
      <c r="A2018" s="15" t="n"/>
      <c r="B2018" s="10" t="n"/>
      <c r="C2018" s="10" t="n"/>
      <c r="D2018" s="10" t="n"/>
      <c r="E2018" s="14">
        <f>IF(D2018="","",IFERROR(INDEX('Sản phẩm'!$B$5:$B$304,MATCH(D2018,'Sản phẩm'!$A$5:$A$304,0)),""))</f>
        <v/>
      </c>
      <c r="F2018" s="12" t="n"/>
      <c r="G2018" s="11" t="n"/>
      <c r="H2018" s="11" t="n"/>
      <c r="I2018" s="16">
        <f>IF(D2018="","",IF(G2018&lt;&gt;"",G2018,IFERROR(INDEX('Sản phẩm'!$E$5:$E$304,MATCH(D2018,'Sản phẩm'!$A$5:$A$304,0)),"")))</f>
        <v/>
      </c>
      <c r="J2018" s="16">
        <f>IF(OR(D2018="",F2018=""),"",F2018*I2018-N(H2018))</f>
        <v/>
      </c>
      <c r="K2018" s="16">
        <f>IF(OR(D2018="",F2018=""),"",F2018*IFERROR(INDEX('Sản phẩm'!$D$5:$D$304,MATCH(D2018,'Sản phẩm'!$A$5:$A$304,0)),""))</f>
        <v/>
      </c>
      <c r="L2018" s="16">
        <f>IF(J2018="","",J2018-K2018)</f>
        <v/>
      </c>
      <c r="M2018" s="14">
        <f>IF(A2018="","",MONTH(A2018))</f>
        <v/>
      </c>
      <c r="N2018" s="14">
        <f>IF(A2018="","",YEAR(A2018))</f>
        <v/>
      </c>
    </row>
    <row r="2019">
      <c r="A2019" s="15" t="n"/>
      <c r="B2019" s="10" t="n"/>
      <c r="C2019" s="10" t="n"/>
      <c r="D2019" s="10" t="n"/>
      <c r="E2019" s="14">
        <f>IF(D2019="","",IFERROR(INDEX('Sản phẩm'!$B$5:$B$304,MATCH(D2019,'Sản phẩm'!$A$5:$A$304,0)),""))</f>
        <v/>
      </c>
      <c r="F2019" s="12" t="n"/>
      <c r="G2019" s="11" t="n"/>
      <c r="H2019" s="11" t="n"/>
      <c r="I2019" s="16">
        <f>IF(D2019="","",IF(G2019&lt;&gt;"",G2019,IFERROR(INDEX('Sản phẩm'!$E$5:$E$304,MATCH(D2019,'Sản phẩm'!$A$5:$A$304,0)),"")))</f>
        <v/>
      </c>
      <c r="J2019" s="16">
        <f>IF(OR(D2019="",F2019=""),"",F2019*I2019-N(H2019))</f>
        <v/>
      </c>
      <c r="K2019" s="16">
        <f>IF(OR(D2019="",F2019=""),"",F2019*IFERROR(INDEX('Sản phẩm'!$D$5:$D$304,MATCH(D2019,'Sản phẩm'!$A$5:$A$304,0)),""))</f>
        <v/>
      </c>
      <c r="L2019" s="16">
        <f>IF(J2019="","",J2019-K2019)</f>
        <v/>
      </c>
      <c r="M2019" s="14">
        <f>IF(A2019="","",MONTH(A2019))</f>
        <v/>
      </c>
      <c r="N2019" s="14">
        <f>IF(A2019="","",YEAR(A2019))</f>
        <v/>
      </c>
    </row>
    <row r="2020">
      <c r="A2020" s="15" t="n"/>
      <c r="B2020" s="10" t="n"/>
      <c r="C2020" s="10" t="n"/>
      <c r="D2020" s="10" t="n"/>
      <c r="E2020" s="14">
        <f>IF(D2020="","",IFERROR(INDEX('Sản phẩm'!$B$5:$B$304,MATCH(D2020,'Sản phẩm'!$A$5:$A$304,0)),""))</f>
        <v/>
      </c>
      <c r="F2020" s="12" t="n"/>
      <c r="G2020" s="11" t="n"/>
      <c r="H2020" s="11" t="n"/>
      <c r="I2020" s="16">
        <f>IF(D2020="","",IF(G2020&lt;&gt;"",G2020,IFERROR(INDEX('Sản phẩm'!$E$5:$E$304,MATCH(D2020,'Sản phẩm'!$A$5:$A$304,0)),"")))</f>
        <v/>
      </c>
      <c r="J2020" s="16">
        <f>IF(OR(D2020="",F2020=""),"",F2020*I2020-N(H2020))</f>
        <v/>
      </c>
      <c r="K2020" s="16">
        <f>IF(OR(D2020="",F2020=""),"",F2020*IFERROR(INDEX('Sản phẩm'!$D$5:$D$304,MATCH(D2020,'Sản phẩm'!$A$5:$A$304,0)),""))</f>
        <v/>
      </c>
      <c r="L2020" s="16">
        <f>IF(J2020="","",J2020-K2020)</f>
        <v/>
      </c>
      <c r="M2020" s="14">
        <f>IF(A2020="","",MONTH(A2020))</f>
        <v/>
      </c>
      <c r="N2020" s="14">
        <f>IF(A2020="","",YEAR(A2020))</f>
        <v/>
      </c>
    </row>
    <row r="2021">
      <c r="A2021" s="15" t="n"/>
      <c r="B2021" s="10" t="n"/>
      <c r="C2021" s="10" t="n"/>
      <c r="D2021" s="10" t="n"/>
      <c r="E2021" s="14">
        <f>IF(D2021="","",IFERROR(INDEX('Sản phẩm'!$B$5:$B$304,MATCH(D2021,'Sản phẩm'!$A$5:$A$304,0)),""))</f>
        <v/>
      </c>
      <c r="F2021" s="12" t="n"/>
      <c r="G2021" s="11" t="n"/>
      <c r="H2021" s="11" t="n"/>
      <c r="I2021" s="16">
        <f>IF(D2021="","",IF(G2021&lt;&gt;"",G2021,IFERROR(INDEX('Sản phẩm'!$E$5:$E$304,MATCH(D2021,'Sản phẩm'!$A$5:$A$304,0)),"")))</f>
        <v/>
      </c>
      <c r="J2021" s="16">
        <f>IF(OR(D2021="",F2021=""),"",F2021*I2021-N(H2021))</f>
        <v/>
      </c>
      <c r="K2021" s="16">
        <f>IF(OR(D2021="",F2021=""),"",F2021*IFERROR(INDEX('Sản phẩm'!$D$5:$D$304,MATCH(D2021,'Sản phẩm'!$A$5:$A$304,0)),""))</f>
        <v/>
      </c>
      <c r="L2021" s="16">
        <f>IF(J2021="","",J2021-K2021)</f>
        <v/>
      </c>
      <c r="M2021" s="14">
        <f>IF(A2021="","",MONTH(A2021))</f>
        <v/>
      </c>
      <c r="N2021" s="14">
        <f>IF(A2021="","",YEAR(A2021))</f>
        <v/>
      </c>
    </row>
    <row r="2022">
      <c r="A2022" s="15" t="n"/>
      <c r="B2022" s="10" t="n"/>
      <c r="C2022" s="10" t="n"/>
      <c r="D2022" s="10" t="n"/>
      <c r="E2022" s="14">
        <f>IF(D2022="","",IFERROR(INDEX('Sản phẩm'!$B$5:$B$304,MATCH(D2022,'Sản phẩm'!$A$5:$A$304,0)),""))</f>
        <v/>
      </c>
      <c r="F2022" s="12" t="n"/>
      <c r="G2022" s="11" t="n"/>
      <c r="H2022" s="11" t="n"/>
      <c r="I2022" s="16">
        <f>IF(D2022="","",IF(G2022&lt;&gt;"",G2022,IFERROR(INDEX('Sản phẩm'!$E$5:$E$304,MATCH(D2022,'Sản phẩm'!$A$5:$A$304,0)),"")))</f>
        <v/>
      </c>
      <c r="J2022" s="16">
        <f>IF(OR(D2022="",F2022=""),"",F2022*I2022-N(H2022))</f>
        <v/>
      </c>
      <c r="K2022" s="16">
        <f>IF(OR(D2022="",F2022=""),"",F2022*IFERROR(INDEX('Sản phẩm'!$D$5:$D$304,MATCH(D2022,'Sản phẩm'!$A$5:$A$304,0)),""))</f>
        <v/>
      </c>
      <c r="L2022" s="16">
        <f>IF(J2022="","",J2022-K2022)</f>
        <v/>
      </c>
      <c r="M2022" s="14">
        <f>IF(A2022="","",MONTH(A2022))</f>
        <v/>
      </c>
      <c r="N2022" s="14">
        <f>IF(A2022="","",YEAR(A2022))</f>
        <v/>
      </c>
    </row>
    <row r="2023">
      <c r="A2023" s="15" t="n"/>
      <c r="B2023" s="10" t="n"/>
      <c r="C2023" s="10" t="n"/>
      <c r="D2023" s="10" t="n"/>
      <c r="E2023" s="14">
        <f>IF(D2023="","",IFERROR(INDEX('Sản phẩm'!$B$5:$B$304,MATCH(D2023,'Sản phẩm'!$A$5:$A$304,0)),""))</f>
        <v/>
      </c>
      <c r="F2023" s="12" t="n"/>
      <c r="G2023" s="11" t="n"/>
      <c r="H2023" s="11" t="n"/>
      <c r="I2023" s="16">
        <f>IF(D2023="","",IF(G2023&lt;&gt;"",G2023,IFERROR(INDEX('Sản phẩm'!$E$5:$E$304,MATCH(D2023,'Sản phẩm'!$A$5:$A$304,0)),"")))</f>
        <v/>
      </c>
      <c r="J2023" s="16">
        <f>IF(OR(D2023="",F2023=""),"",F2023*I2023-N(H2023))</f>
        <v/>
      </c>
      <c r="K2023" s="16">
        <f>IF(OR(D2023="",F2023=""),"",F2023*IFERROR(INDEX('Sản phẩm'!$D$5:$D$304,MATCH(D2023,'Sản phẩm'!$A$5:$A$304,0)),""))</f>
        <v/>
      </c>
      <c r="L2023" s="16">
        <f>IF(J2023="","",J2023-K2023)</f>
        <v/>
      </c>
      <c r="M2023" s="14">
        <f>IF(A2023="","",MONTH(A2023))</f>
        <v/>
      </c>
      <c r="N2023" s="14">
        <f>IF(A2023="","",YEAR(A2023))</f>
        <v/>
      </c>
    </row>
    <row r="2024">
      <c r="A2024" s="15" t="n"/>
      <c r="B2024" s="10" t="n"/>
      <c r="C2024" s="10" t="n"/>
      <c r="D2024" s="10" t="n"/>
      <c r="E2024" s="14">
        <f>IF(D2024="","",IFERROR(INDEX('Sản phẩm'!$B$5:$B$304,MATCH(D2024,'Sản phẩm'!$A$5:$A$304,0)),""))</f>
        <v/>
      </c>
      <c r="F2024" s="12" t="n"/>
      <c r="G2024" s="11" t="n"/>
      <c r="H2024" s="11" t="n"/>
      <c r="I2024" s="16">
        <f>IF(D2024="","",IF(G2024&lt;&gt;"",G2024,IFERROR(INDEX('Sản phẩm'!$E$5:$E$304,MATCH(D2024,'Sản phẩm'!$A$5:$A$304,0)),"")))</f>
        <v/>
      </c>
      <c r="J2024" s="16">
        <f>IF(OR(D2024="",F2024=""),"",F2024*I2024-N(H2024))</f>
        <v/>
      </c>
      <c r="K2024" s="16">
        <f>IF(OR(D2024="",F2024=""),"",F2024*IFERROR(INDEX('Sản phẩm'!$D$5:$D$304,MATCH(D2024,'Sản phẩm'!$A$5:$A$304,0)),""))</f>
        <v/>
      </c>
      <c r="L2024" s="16">
        <f>IF(J2024="","",J2024-K2024)</f>
        <v/>
      </c>
      <c r="M2024" s="14">
        <f>IF(A2024="","",MONTH(A2024))</f>
        <v/>
      </c>
      <c r="N2024" s="14">
        <f>IF(A2024="","",YEAR(A2024))</f>
        <v/>
      </c>
    </row>
    <row r="2025">
      <c r="A2025" s="15" t="n"/>
      <c r="B2025" s="10" t="n"/>
      <c r="C2025" s="10" t="n"/>
      <c r="D2025" s="10" t="n"/>
      <c r="E2025" s="14">
        <f>IF(D2025="","",IFERROR(INDEX('Sản phẩm'!$B$5:$B$304,MATCH(D2025,'Sản phẩm'!$A$5:$A$304,0)),""))</f>
        <v/>
      </c>
      <c r="F2025" s="12" t="n"/>
      <c r="G2025" s="11" t="n"/>
      <c r="H2025" s="11" t="n"/>
      <c r="I2025" s="16">
        <f>IF(D2025="","",IF(G2025&lt;&gt;"",G2025,IFERROR(INDEX('Sản phẩm'!$E$5:$E$304,MATCH(D2025,'Sản phẩm'!$A$5:$A$304,0)),"")))</f>
        <v/>
      </c>
      <c r="J2025" s="16">
        <f>IF(OR(D2025="",F2025=""),"",F2025*I2025-N(H2025))</f>
        <v/>
      </c>
      <c r="K2025" s="16">
        <f>IF(OR(D2025="",F2025=""),"",F2025*IFERROR(INDEX('Sản phẩm'!$D$5:$D$304,MATCH(D2025,'Sản phẩm'!$A$5:$A$304,0)),""))</f>
        <v/>
      </c>
      <c r="L2025" s="16">
        <f>IF(J2025="","",J2025-K2025)</f>
        <v/>
      </c>
      <c r="M2025" s="14">
        <f>IF(A2025="","",MONTH(A2025))</f>
        <v/>
      </c>
      <c r="N2025" s="14">
        <f>IF(A2025="","",YEAR(A2025))</f>
        <v/>
      </c>
    </row>
    <row r="2026">
      <c r="A2026" s="15" t="n"/>
      <c r="B2026" s="10" t="n"/>
      <c r="C2026" s="10" t="n"/>
      <c r="D2026" s="10" t="n"/>
      <c r="E2026" s="14">
        <f>IF(D2026="","",IFERROR(INDEX('Sản phẩm'!$B$5:$B$304,MATCH(D2026,'Sản phẩm'!$A$5:$A$304,0)),""))</f>
        <v/>
      </c>
      <c r="F2026" s="12" t="n"/>
      <c r="G2026" s="11" t="n"/>
      <c r="H2026" s="11" t="n"/>
      <c r="I2026" s="16">
        <f>IF(D2026="","",IF(G2026&lt;&gt;"",G2026,IFERROR(INDEX('Sản phẩm'!$E$5:$E$304,MATCH(D2026,'Sản phẩm'!$A$5:$A$304,0)),"")))</f>
        <v/>
      </c>
      <c r="J2026" s="16">
        <f>IF(OR(D2026="",F2026=""),"",F2026*I2026-N(H2026))</f>
        <v/>
      </c>
      <c r="K2026" s="16">
        <f>IF(OR(D2026="",F2026=""),"",F2026*IFERROR(INDEX('Sản phẩm'!$D$5:$D$304,MATCH(D2026,'Sản phẩm'!$A$5:$A$304,0)),""))</f>
        <v/>
      </c>
      <c r="L2026" s="16">
        <f>IF(J2026="","",J2026-K2026)</f>
        <v/>
      </c>
      <c r="M2026" s="14">
        <f>IF(A2026="","",MONTH(A2026))</f>
        <v/>
      </c>
      <c r="N2026" s="14">
        <f>IF(A2026="","",YEAR(A2026))</f>
        <v/>
      </c>
    </row>
    <row r="2027">
      <c r="A2027" s="15" t="n"/>
      <c r="B2027" s="10" t="n"/>
      <c r="C2027" s="10" t="n"/>
      <c r="D2027" s="10" t="n"/>
      <c r="E2027" s="14">
        <f>IF(D2027="","",IFERROR(INDEX('Sản phẩm'!$B$5:$B$304,MATCH(D2027,'Sản phẩm'!$A$5:$A$304,0)),""))</f>
        <v/>
      </c>
      <c r="F2027" s="12" t="n"/>
      <c r="G2027" s="11" t="n"/>
      <c r="H2027" s="11" t="n"/>
      <c r="I2027" s="16">
        <f>IF(D2027="","",IF(G2027&lt;&gt;"",G2027,IFERROR(INDEX('Sản phẩm'!$E$5:$E$304,MATCH(D2027,'Sản phẩm'!$A$5:$A$304,0)),"")))</f>
        <v/>
      </c>
      <c r="J2027" s="16">
        <f>IF(OR(D2027="",F2027=""),"",F2027*I2027-N(H2027))</f>
        <v/>
      </c>
      <c r="K2027" s="16">
        <f>IF(OR(D2027="",F2027=""),"",F2027*IFERROR(INDEX('Sản phẩm'!$D$5:$D$304,MATCH(D2027,'Sản phẩm'!$A$5:$A$304,0)),""))</f>
        <v/>
      </c>
      <c r="L2027" s="16">
        <f>IF(J2027="","",J2027-K2027)</f>
        <v/>
      </c>
      <c r="M2027" s="14">
        <f>IF(A2027="","",MONTH(A2027))</f>
        <v/>
      </c>
      <c r="N2027" s="14">
        <f>IF(A2027="","",YEAR(A2027))</f>
        <v/>
      </c>
    </row>
    <row r="2028">
      <c r="A2028" s="15" t="n"/>
      <c r="B2028" s="10" t="n"/>
      <c r="C2028" s="10" t="n"/>
      <c r="D2028" s="10" t="n"/>
      <c r="E2028" s="14">
        <f>IF(D2028="","",IFERROR(INDEX('Sản phẩm'!$B$5:$B$304,MATCH(D2028,'Sản phẩm'!$A$5:$A$304,0)),""))</f>
        <v/>
      </c>
      <c r="F2028" s="12" t="n"/>
      <c r="G2028" s="11" t="n"/>
      <c r="H2028" s="11" t="n"/>
      <c r="I2028" s="16">
        <f>IF(D2028="","",IF(G2028&lt;&gt;"",G2028,IFERROR(INDEX('Sản phẩm'!$E$5:$E$304,MATCH(D2028,'Sản phẩm'!$A$5:$A$304,0)),"")))</f>
        <v/>
      </c>
      <c r="J2028" s="16">
        <f>IF(OR(D2028="",F2028=""),"",F2028*I2028-N(H2028))</f>
        <v/>
      </c>
      <c r="K2028" s="16">
        <f>IF(OR(D2028="",F2028=""),"",F2028*IFERROR(INDEX('Sản phẩm'!$D$5:$D$304,MATCH(D2028,'Sản phẩm'!$A$5:$A$304,0)),""))</f>
        <v/>
      </c>
      <c r="L2028" s="16">
        <f>IF(J2028="","",J2028-K2028)</f>
        <v/>
      </c>
      <c r="M2028" s="14">
        <f>IF(A2028="","",MONTH(A2028))</f>
        <v/>
      </c>
      <c r="N2028" s="14">
        <f>IF(A2028="","",YEAR(A2028))</f>
        <v/>
      </c>
    </row>
    <row r="2029">
      <c r="A2029" s="15" t="n"/>
      <c r="B2029" s="10" t="n"/>
      <c r="C2029" s="10" t="n"/>
      <c r="D2029" s="10" t="n"/>
      <c r="E2029" s="14">
        <f>IF(D2029="","",IFERROR(INDEX('Sản phẩm'!$B$5:$B$304,MATCH(D2029,'Sản phẩm'!$A$5:$A$304,0)),""))</f>
        <v/>
      </c>
      <c r="F2029" s="12" t="n"/>
      <c r="G2029" s="11" t="n"/>
      <c r="H2029" s="11" t="n"/>
      <c r="I2029" s="16">
        <f>IF(D2029="","",IF(G2029&lt;&gt;"",G2029,IFERROR(INDEX('Sản phẩm'!$E$5:$E$304,MATCH(D2029,'Sản phẩm'!$A$5:$A$304,0)),"")))</f>
        <v/>
      </c>
      <c r="J2029" s="16">
        <f>IF(OR(D2029="",F2029=""),"",F2029*I2029-N(H2029))</f>
        <v/>
      </c>
      <c r="K2029" s="16">
        <f>IF(OR(D2029="",F2029=""),"",F2029*IFERROR(INDEX('Sản phẩm'!$D$5:$D$304,MATCH(D2029,'Sản phẩm'!$A$5:$A$304,0)),""))</f>
        <v/>
      </c>
      <c r="L2029" s="16">
        <f>IF(J2029="","",J2029-K2029)</f>
        <v/>
      </c>
      <c r="M2029" s="14">
        <f>IF(A2029="","",MONTH(A2029))</f>
        <v/>
      </c>
      <c r="N2029" s="14">
        <f>IF(A2029="","",YEAR(A2029))</f>
        <v/>
      </c>
    </row>
    <row r="2030">
      <c r="A2030" s="15" t="n"/>
      <c r="B2030" s="10" t="n"/>
      <c r="C2030" s="10" t="n"/>
      <c r="D2030" s="10" t="n"/>
      <c r="E2030" s="14">
        <f>IF(D2030="","",IFERROR(INDEX('Sản phẩm'!$B$5:$B$304,MATCH(D2030,'Sản phẩm'!$A$5:$A$304,0)),""))</f>
        <v/>
      </c>
      <c r="F2030" s="12" t="n"/>
      <c r="G2030" s="11" t="n"/>
      <c r="H2030" s="11" t="n"/>
      <c r="I2030" s="16">
        <f>IF(D2030="","",IF(G2030&lt;&gt;"",G2030,IFERROR(INDEX('Sản phẩm'!$E$5:$E$304,MATCH(D2030,'Sản phẩm'!$A$5:$A$304,0)),"")))</f>
        <v/>
      </c>
      <c r="J2030" s="16">
        <f>IF(OR(D2030="",F2030=""),"",F2030*I2030-N(H2030))</f>
        <v/>
      </c>
      <c r="K2030" s="16">
        <f>IF(OR(D2030="",F2030=""),"",F2030*IFERROR(INDEX('Sản phẩm'!$D$5:$D$304,MATCH(D2030,'Sản phẩm'!$A$5:$A$304,0)),""))</f>
        <v/>
      </c>
      <c r="L2030" s="16">
        <f>IF(J2030="","",J2030-K2030)</f>
        <v/>
      </c>
      <c r="M2030" s="14">
        <f>IF(A2030="","",MONTH(A2030))</f>
        <v/>
      </c>
      <c r="N2030" s="14">
        <f>IF(A2030="","",YEAR(A2030))</f>
        <v/>
      </c>
    </row>
    <row r="2031">
      <c r="A2031" s="15" t="n"/>
      <c r="B2031" s="10" t="n"/>
      <c r="C2031" s="10" t="n"/>
      <c r="D2031" s="10" t="n"/>
      <c r="E2031" s="14">
        <f>IF(D2031="","",IFERROR(INDEX('Sản phẩm'!$B$5:$B$304,MATCH(D2031,'Sản phẩm'!$A$5:$A$304,0)),""))</f>
        <v/>
      </c>
      <c r="F2031" s="12" t="n"/>
      <c r="G2031" s="11" t="n"/>
      <c r="H2031" s="11" t="n"/>
      <c r="I2031" s="16">
        <f>IF(D2031="","",IF(G2031&lt;&gt;"",G2031,IFERROR(INDEX('Sản phẩm'!$E$5:$E$304,MATCH(D2031,'Sản phẩm'!$A$5:$A$304,0)),"")))</f>
        <v/>
      </c>
      <c r="J2031" s="16">
        <f>IF(OR(D2031="",F2031=""),"",F2031*I2031-N(H2031))</f>
        <v/>
      </c>
      <c r="K2031" s="16">
        <f>IF(OR(D2031="",F2031=""),"",F2031*IFERROR(INDEX('Sản phẩm'!$D$5:$D$304,MATCH(D2031,'Sản phẩm'!$A$5:$A$304,0)),""))</f>
        <v/>
      </c>
      <c r="L2031" s="16">
        <f>IF(J2031="","",J2031-K2031)</f>
        <v/>
      </c>
      <c r="M2031" s="14">
        <f>IF(A2031="","",MONTH(A2031))</f>
        <v/>
      </c>
      <c r="N2031" s="14">
        <f>IF(A2031="","",YEAR(A2031))</f>
        <v/>
      </c>
    </row>
    <row r="2032">
      <c r="A2032" s="15" t="n"/>
      <c r="B2032" s="10" t="n"/>
      <c r="C2032" s="10" t="n"/>
      <c r="D2032" s="10" t="n"/>
      <c r="E2032" s="14">
        <f>IF(D2032="","",IFERROR(INDEX('Sản phẩm'!$B$5:$B$304,MATCH(D2032,'Sản phẩm'!$A$5:$A$304,0)),""))</f>
        <v/>
      </c>
      <c r="F2032" s="12" t="n"/>
      <c r="G2032" s="11" t="n"/>
      <c r="H2032" s="11" t="n"/>
      <c r="I2032" s="16">
        <f>IF(D2032="","",IF(G2032&lt;&gt;"",G2032,IFERROR(INDEX('Sản phẩm'!$E$5:$E$304,MATCH(D2032,'Sản phẩm'!$A$5:$A$304,0)),"")))</f>
        <v/>
      </c>
      <c r="J2032" s="16">
        <f>IF(OR(D2032="",F2032=""),"",F2032*I2032-N(H2032))</f>
        <v/>
      </c>
      <c r="K2032" s="16">
        <f>IF(OR(D2032="",F2032=""),"",F2032*IFERROR(INDEX('Sản phẩm'!$D$5:$D$304,MATCH(D2032,'Sản phẩm'!$A$5:$A$304,0)),""))</f>
        <v/>
      </c>
      <c r="L2032" s="16">
        <f>IF(J2032="","",J2032-K2032)</f>
        <v/>
      </c>
      <c r="M2032" s="14">
        <f>IF(A2032="","",MONTH(A2032))</f>
        <v/>
      </c>
      <c r="N2032" s="14">
        <f>IF(A2032="","",YEAR(A2032))</f>
        <v/>
      </c>
    </row>
    <row r="2033">
      <c r="A2033" s="15" t="n"/>
      <c r="B2033" s="10" t="n"/>
      <c r="C2033" s="10" t="n"/>
      <c r="D2033" s="10" t="n"/>
      <c r="E2033" s="14">
        <f>IF(D2033="","",IFERROR(INDEX('Sản phẩm'!$B$5:$B$304,MATCH(D2033,'Sản phẩm'!$A$5:$A$304,0)),""))</f>
        <v/>
      </c>
      <c r="F2033" s="12" t="n"/>
      <c r="G2033" s="11" t="n"/>
      <c r="H2033" s="11" t="n"/>
      <c r="I2033" s="16">
        <f>IF(D2033="","",IF(G2033&lt;&gt;"",G2033,IFERROR(INDEX('Sản phẩm'!$E$5:$E$304,MATCH(D2033,'Sản phẩm'!$A$5:$A$304,0)),"")))</f>
        <v/>
      </c>
      <c r="J2033" s="16">
        <f>IF(OR(D2033="",F2033=""),"",F2033*I2033-N(H2033))</f>
        <v/>
      </c>
      <c r="K2033" s="16">
        <f>IF(OR(D2033="",F2033=""),"",F2033*IFERROR(INDEX('Sản phẩm'!$D$5:$D$304,MATCH(D2033,'Sản phẩm'!$A$5:$A$304,0)),""))</f>
        <v/>
      </c>
      <c r="L2033" s="16">
        <f>IF(J2033="","",J2033-K2033)</f>
        <v/>
      </c>
      <c r="M2033" s="14">
        <f>IF(A2033="","",MONTH(A2033))</f>
        <v/>
      </c>
      <c r="N2033" s="14">
        <f>IF(A2033="","",YEAR(A2033))</f>
        <v/>
      </c>
    </row>
    <row r="2034">
      <c r="A2034" s="15" t="n"/>
      <c r="B2034" s="10" t="n"/>
      <c r="C2034" s="10" t="n"/>
      <c r="D2034" s="10" t="n"/>
      <c r="E2034" s="14">
        <f>IF(D2034="","",IFERROR(INDEX('Sản phẩm'!$B$5:$B$304,MATCH(D2034,'Sản phẩm'!$A$5:$A$304,0)),""))</f>
        <v/>
      </c>
      <c r="F2034" s="12" t="n"/>
      <c r="G2034" s="11" t="n"/>
      <c r="H2034" s="11" t="n"/>
      <c r="I2034" s="16">
        <f>IF(D2034="","",IF(G2034&lt;&gt;"",G2034,IFERROR(INDEX('Sản phẩm'!$E$5:$E$304,MATCH(D2034,'Sản phẩm'!$A$5:$A$304,0)),"")))</f>
        <v/>
      </c>
      <c r="J2034" s="16">
        <f>IF(OR(D2034="",F2034=""),"",F2034*I2034-N(H2034))</f>
        <v/>
      </c>
      <c r="K2034" s="16">
        <f>IF(OR(D2034="",F2034=""),"",F2034*IFERROR(INDEX('Sản phẩm'!$D$5:$D$304,MATCH(D2034,'Sản phẩm'!$A$5:$A$304,0)),""))</f>
        <v/>
      </c>
      <c r="L2034" s="16">
        <f>IF(J2034="","",J2034-K2034)</f>
        <v/>
      </c>
      <c r="M2034" s="14">
        <f>IF(A2034="","",MONTH(A2034))</f>
        <v/>
      </c>
      <c r="N2034" s="14">
        <f>IF(A2034="","",YEAR(A2034))</f>
        <v/>
      </c>
    </row>
    <row r="2035">
      <c r="A2035" s="15" t="n"/>
      <c r="B2035" s="10" t="n"/>
      <c r="C2035" s="10" t="n"/>
      <c r="D2035" s="10" t="n"/>
      <c r="E2035" s="14">
        <f>IF(D2035="","",IFERROR(INDEX('Sản phẩm'!$B$5:$B$304,MATCH(D2035,'Sản phẩm'!$A$5:$A$304,0)),""))</f>
        <v/>
      </c>
      <c r="F2035" s="12" t="n"/>
      <c r="G2035" s="11" t="n"/>
      <c r="H2035" s="11" t="n"/>
      <c r="I2035" s="16">
        <f>IF(D2035="","",IF(G2035&lt;&gt;"",G2035,IFERROR(INDEX('Sản phẩm'!$E$5:$E$304,MATCH(D2035,'Sản phẩm'!$A$5:$A$304,0)),"")))</f>
        <v/>
      </c>
      <c r="J2035" s="16">
        <f>IF(OR(D2035="",F2035=""),"",F2035*I2035-N(H2035))</f>
        <v/>
      </c>
      <c r="K2035" s="16">
        <f>IF(OR(D2035="",F2035=""),"",F2035*IFERROR(INDEX('Sản phẩm'!$D$5:$D$304,MATCH(D2035,'Sản phẩm'!$A$5:$A$304,0)),""))</f>
        <v/>
      </c>
      <c r="L2035" s="16">
        <f>IF(J2035="","",J2035-K2035)</f>
        <v/>
      </c>
      <c r="M2035" s="14">
        <f>IF(A2035="","",MONTH(A2035))</f>
        <v/>
      </c>
      <c r="N2035" s="14">
        <f>IF(A2035="","",YEAR(A2035))</f>
        <v/>
      </c>
    </row>
    <row r="2036">
      <c r="A2036" s="15" t="n"/>
      <c r="B2036" s="10" t="n"/>
      <c r="C2036" s="10" t="n"/>
      <c r="D2036" s="10" t="n"/>
      <c r="E2036" s="14">
        <f>IF(D2036="","",IFERROR(INDEX('Sản phẩm'!$B$5:$B$304,MATCH(D2036,'Sản phẩm'!$A$5:$A$304,0)),""))</f>
        <v/>
      </c>
      <c r="F2036" s="12" t="n"/>
      <c r="G2036" s="11" t="n"/>
      <c r="H2036" s="11" t="n"/>
      <c r="I2036" s="16">
        <f>IF(D2036="","",IF(G2036&lt;&gt;"",G2036,IFERROR(INDEX('Sản phẩm'!$E$5:$E$304,MATCH(D2036,'Sản phẩm'!$A$5:$A$304,0)),"")))</f>
        <v/>
      </c>
      <c r="J2036" s="16">
        <f>IF(OR(D2036="",F2036=""),"",F2036*I2036-N(H2036))</f>
        <v/>
      </c>
      <c r="K2036" s="16">
        <f>IF(OR(D2036="",F2036=""),"",F2036*IFERROR(INDEX('Sản phẩm'!$D$5:$D$304,MATCH(D2036,'Sản phẩm'!$A$5:$A$304,0)),""))</f>
        <v/>
      </c>
      <c r="L2036" s="16">
        <f>IF(J2036="","",J2036-K2036)</f>
        <v/>
      </c>
      <c r="M2036" s="14">
        <f>IF(A2036="","",MONTH(A2036))</f>
        <v/>
      </c>
      <c r="N2036" s="14">
        <f>IF(A2036="","",YEAR(A2036))</f>
        <v/>
      </c>
    </row>
    <row r="2037">
      <c r="A2037" s="15" t="n"/>
      <c r="B2037" s="10" t="n"/>
      <c r="C2037" s="10" t="n"/>
      <c r="D2037" s="10" t="n"/>
      <c r="E2037" s="14">
        <f>IF(D2037="","",IFERROR(INDEX('Sản phẩm'!$B$5:$B$304,MATCH(D2037,'Sản phẩm'!$A$5:$A$304,0)),""))</f>
        <v/>
      </c>
      <c r="F2037" s="12" t="n"/>
      <c r="G2037" s="11" t="n"/>
      <c r="H2037" s="11" t="n"/>
      <c r="I2037" s="16">
        <f>IF(D2037="","",IF(G2037&lt;&gt;"",G2037,IFERROR(INDEX('Sản phẩm'!$E$5:$E$304,MATCH(D2037,'Sản phẩm'!$A$5:$A$304,0)),"")))</f>
        <v/>
      </c>
      <c r="J2037" s="16">
        <f>IF(OR(D2037="",F2037=""),"",F2037*I2037-N(H2037))</f>
        <v/>
      </c>
      <c r="K2037" s="16">
        <f>IF(OR(D2037="",F2037=""),"",F2037*IFERROR(INDEX('Sản phẩm'!$D$5:$D$304,MATCH(D2037,'Sản phẩm'!$A$5:$A$304,0)),""))</f>
        <v/>
      </c>
      <c r="L2037" s="16">
        <f>IF(J2037="","",J2037-K2037)</f>
        <v/>
      </c>
      <c r="M2037" s="14">
        <f>IF(A2037="","",MONTH(A2037))</f>
        <v/>
      </c>
      <c r="N2037" s="14">
        <f>IF(A2037="","",YEAR(A2037))</f>
        <v/>
      </c>
    </row>
    <row r="2038">
      <c r="A2038" s="15" t="n"/>
      <c r="B2038" s="10" t="n"/>
      <c r="C2038" s="10" t="n"/>
      <c r="D2038" s="10" t="n"/>
      <c r="E2038" s="14">
        <f>IF(D2038="","",IFERROR(INDEX('Sản phẩm'!$B$5:$B$304,MATCH(D2038,'Sản phẩm'!$A$5:$A$304,0)),""))</f>
        <v/>
      </c>
      <c r="F2038" s="12" t="n"/>
      <c r="G2038" s="11" t="n"/>
      <c r="H2038" s="11" t="n"/>
      <c r="I2038" s="16">
        <f>IF(D2038="","",IF(G2038&lt;&gt;"",G2038,IFERROR(INDEX('Sản phẩm'!$E$5:$E$304,MATCH(D2038,'Sản phẩm'!$A$5:$A$304,0)),"")))</f>
        <v/>
      </c>
      <c r="J2038" s="16">
        <f>IF(OR(D2038="",F2038=""),"",F2038*I2038-N(H2038))</f>
        <v/>
      </c>
      <c r="K2038" s="16">
        <f>IF(OR(D2038="",F2038=""),"",F2038*IFERROR(INDEX('Sản phẩm'!$D$5:$D$304,MATCH(D2038,'Sản phẩm'!$A$5:$A$304,0)),""))</f>
        <v/>
      </c>
      <c r="L2038" s="16">
        <f>IF(J2038="","",J2038-K2038)</f>
        <v/>
      </c>
      <c r="M2038" s="14">
        <f>IF(A2038="","",MONTH(A2038))</f>
        <v/>
      </c>
      <c r="N2038" s="14">
        <f>IF(A2038="","",YEAR(A2038))</f>
        <v/>
      </c>
    </row>
    <row r="2039">
      <c r="A2039" s="15" t="n"/>
      <c r="B2039" s="10" t="n"/>
      <c r="C2039" s="10" t="n"/>
      <c r="D2039" s="10" t="n"/>
      <c r="E2039" s="14">
        <f>IF(D2039="","",IFERROR(INDEX('Sản phẩm'!$B$5:$B$304,MATCH(D2039,'Sản phẩm'!$A$5:$A$304,0)),""))</f>
        <v/>
      </c>
      <c r="F2039" s="12" t="n"/>
      <c r="G2039" s="11" t="n"/>
      <c r="H2039" s="11" t="n"/>
      <c r="I2039" s="16">
        <f>IF(D2039="","",IF(G2039&lt;&gt;"",G2039,IFERROR(INDEX('Sản phẩm'!$E$5:$E$304,MATCH(D2039,'Sản phẩm'!$A$5:$A$304,0)),"")))</f>
        <v/>
      </c>
      <c r="J2039" s="16">
        <f>IF(OR(D2039="",F2039=""),"",F2039*I2039-N(H2039))</f>
        <v/>
      </c>
      <c r="K2039" s="16">
        <f>IF(OR(D2039="",F2039=""),"",F2039*IFERROR(INDEX('Sản phẩm'!$D$5:$D$304,MATCH(D2039,'Sản phẩm'!$A$5:$A$304,0)),""))</f>
        <v/>
      </c>
      <c r="L2039" s="16">
        <f>IF(J2039="","",J2039-K2039)</f>
        <v/>
      </c>
      <c r="M2039" s="14">
        <f>IF(A2039="","",MONTH(A2039))</f>
        <v/>
      </c>
      <c r="N2039" s="14">
        <f>IF(A2039="","",YEAR(A2039))</f>
        <v/>
      </c>
    </row>
    <row r="2040">
      <c r="A2040" s="15" t="n"/>
      <c r="B2040" s="10" t="n"/>
      <c r="C2040" s="10" t="n"/>
      <c r="D2040" s="10" t="n"/>
      <c r="E2040" s="14">
        <f>IF(D2040="","",IFERROR(INDEX('Sản phẩm'!$B$5:$B$304,MATCH(D2040,'Sản phẩm'!$A$5:$A$304,0)),""))</f>
        <v/>
      </c>
      <c r="F2040" s="12" t="n"/>
      <c r="G2040" s="11" t="n"/>
      <c r="H2040" s="11" t="n"/>
      <c r="I2040" s="16">
        <f>IF(D2040="","",IF(G2040&lt;&gt;"",G2040,IFERROR(INDEX('Sản phẩm'!$E$5:$E$304,MATCH(D2040,'Sản phẩm'!$A$5:$A$304,0)),"")))</f>
        <v/>
      </c>
      <c r="J2040" s="16">
        <f>IF(OR(D2040="",F2040=""),"",F2040*I2040-N(H2040))</f>
        <v/>
      </c>
      <c r="K2040" s="16">
        <f>IF(OR(D2040="",F2040=""),"",F2040*IFERROR(INDEX('Sản phẩm'!$D$5:$D$304,MATCH(D2040,'Sản phẩm'!$A$5:$A$304,0)),""))</f>
        <v/>
      </c>
      <c r="L2040" s="16">
        <f>IF(J2040="","",J2040-K2040)</f>
        <v/>
      </c>
      <c r="M2040" s="14">
        <f>IF(A2040="","",MONTH(A2040))</f>
        <v/>
      </c>
      <c r="N2040" s="14">
        <f>IF(A2040="","",YEAR(A2040))</f>
        <v/>
      </c>
    </row>
    <row r="2041">
      <c r="A2041" s="15" t="n"/>
      <c r="B2041" s="10" t="n"/>
      <c r="C2041" s="10" t="n"/>
      <c r="D2041" s="10" t="n"/>
      <c r="E2041" s="14">
        <f>IF(D2041="","",IFERROR(INDEX('Sản phẩm'!$B$5:$B$304,MATCH(D2041,'Sản phẩm'!$A$5:$A$304,0)),""))</f>
        <v/>
      </c>
      <c r="F2041" s="12" t="n"/>
      <c r="G2041" s="11" t="n"/>
      <c r="H2041" s="11" t="n"/>
      <c r="I2041" s="16">
        <f>IF(D2041="","",IF(G2041&lt;&gt;"",G2041,IFERROR(INDEX('Sản phẩm'!$E$5:$E$304,MATCH(D2041,'Sản phẩm'!$A$5:$A$304,0)),"")))</f>
        <v/>
      </c>
      <c r="J2041" s="16">
        <f>IF(OR(D2041="",F2041=""),"",F2041*I2041-N(H2041))</f>
        <v/>
      </c>
      <c r="K2041" s="16">
        <f>IF(OR(D2041="",F2041=""),"",F2041*IFERROR(INDEX('Sản phẩm'!$D$5:$D$304,MATCH(D2041,'Sản phẩm'!$A$5:$A$304,0)),""))</f>
        <v/>
      </c>
      <c r="L2041" s="16">
        <f>IF(J2041="","",J2041-K2041)</f>
        <v/>
      </c>
      <c r="M2041" s="14">
        <f>IF(A2041="","",MONTH(A2041))</f>
        <v/>
      </c>
      <c r="N2041" s="14">
        <f>IF(A2041="","",YEAR(A2041))</f>
        <v/>
      </c>
    </row>
    <row r="2042">
      <c r="A2042" s="15" t="n"/>
      <c r="B2042" s="10" t="n"/>
      <c r="C2042" s="10" t="n"/>
      <c r="D2042" s="10" t="n"/>
      <c r="E2042" s="14">
        <f>IF(D2042="","",IFERROR(INDEX('Sản phẩm'!$B$5:$B$304,MATCH(D2042,'Sản phẩm'!$A$5:$A$304,0)),""))</f>
        <v/>
      </c>
      <c r="F2042" s="12" t="n"/>
      <c r="G2042" s="11" t="n"/>
      <c r="H2042" s="11" t="n"/>
      <c r="I2042" s="16">
        <f>IF(D2042="","",IF(G2042&lt;&gt;"",G2042,IFERROR(INDEX('Sản phẩm'!$E$5:$E$304,MATCH(D2042,'Sản phẩm'!$A$5:$A$304,0)),"")))</f>
        <v/>
      </c>
      <c r="J2042" s="16">
        <f>IF(OR(D2042="",F2042=""),"",F2042*I2042-N(H2042))</f>
        <v/>
      </c>
      <c r="K2042" s="16">
        <f>IF(OR(D2042="",F2042=""),"",F2042*IFERROR(INDEX('Sản phẩm'!$D$5:$D$304,MATCH(D2042,'Sản phẩm'!$A$5:$A$304,0)),""))</f>
        <v/>
      </c>
      <c r="L2042" s="16">
        <f>IF(J2042="","",J2042-K2042)</f>
        <v/>
      </c>
      <c r="M2042" s="14">
        <f>IF(A2042="","",MONTH(A2042))</f>
        <v/>
      </c>
      <c r="N2042" s="14">
        <f>IF(A2042="","",YEAR(A2042))</f>
        <v/>
      </c>
    </row>
    <row r="2043">
      <c r="A2043" s="15" t="n"/>
      <c r="B2043" s="10" t="n"/>
      <c r="C2043" s="10" t="n"/>
      <c r="D2043" s="10" t="n"/>
      <c r="E2043" s="14">
        <f>IF(D2043="","",IFERROR(INDEX('Sản phẩm'!$B$5:$B$304,MATCH(D2043,'Sản phẩm'!$A$5:$A$304,0)),""))</f>
        <v/>
      </c>
      <c r="F2043" s="12" t="n"/>
      <c r="G2043" s="11" t="n"/>
      <c r="H2043" s="11" t="n"/>
      <c r="I2043" s="16">
        <f>IF(D2043="","",IF(G2043&lt;&gt;"",G2043,IFERROR(INDEX('Sản phẩm'!$E$5:$E$304,MATCH(D2043,'Sản phẩm'!$A$5:$A$304,0)),"")))</f>
        <v/>
      </c>
      <c r="J2043" s="16">
        <f>IF(OR(D2043="",F2043=""),"",F2043*I2043-N(H2043))</f>
        <v/>
      </c>
      <c r="K2043" s="16">
        <f>IF(OR(D2043="",F2043=""),"",F2043*IFERROR(INDEX('Sản phẩm'!$D$5:$D$304,MATCH(D2043,'Sản phẩm'!$A$5:$A$304,0)),""))</f>
        <v/>
      </c>
      <c r="L2043" s="16">
        <f>IF(J2043="","",J2043-K2043)</f>
        <v/>
      </c>
      <c r="M2043" s="14">
        <f>IF(A2043="","",MONTH(A2043))</f>
        <v/>
      </c>
      <c r="N2043" s="14">
        <f>IF(A2043="","",YEAR(A2043))</f>
        <v/>
      </c>
    </row>
    <row r="2044">
      <c r="A2044" s="15" t="n"/>
      <c r="B2044" s="10" t="n"/>
      <c r="C2044" s="10" t="n"/>
      <c r="D2044" s="10" t="n"/>
      <c r="E2044" s="14">
        <f>IF(D2044="","",IFERROR(INDEX('Sản phẩm'!$B$5:$B$304,MATCH(D2044,'Sản phẩm'!$A$5:$A$304,0)),""))</f>
        <v/>
      </c>
      <c r="F2044" s="12" t="n"/>
      <c r="G2044" s="11" t="n"/>
      <c r="H2044" s="11" t="n"/>
      <c r="I2044" s="16">
        <f>IF(D2044="","",IF(G2044&lt;&gt;"",G2044,IFERROR(INDEX('Sản phẩm'!$E$5:$E$304,MATCH(D2044,'Sản phẩm'!$A$5:$A$304,0)),"")))</f>
        <v/>
      </c>
      <c r="J2044" s="16">
        <f>IF(OR(D2044="",F2044=""),"",F2044*I2044-N(H2044))</f>
        <v/>
      </c>
      <c r="K2044" s="16">
        <f>IF(OR(D2044="",F2044=""),"",F2044*IFERROR(INDEX('Sản phẩm'!$D$5:$D$304,MATCH(D2044,'Sản phẩm'!$A$5:$A$304,0)),""))</f>
        <v/>
      </c>
      <c r="L2044" s="16">
        <f>IF(J2044="","",J2044-K2044)</f>
        <v/>
      </c>
      <c r="M2044" s="14">
        <f>IF(A2044="","",MONTH(A2044))</f>
        <v/>
      </c>
      <c r="N2044" s="14">
        <f>IF(A2044="","",YEAR(A2044))</f>
        <v/>
      </c>
    </row>
    <row r="2045">
      <c r="A2045" s="15" t="n"/>
      <c r="B2045" s="10" t="n"/>
      <c r="C2045" s="10" t="n"/>
      <c r="D2045" s="10" t="n"/>
      <c r="E2045" s="14">
        <f>IF(D2045="","",IFERROR(INDEX('Sản phẩm'!$B$5:$B$304,MATCH(D2045,'Sản phẩm'!$A$5:$A$304,0)),""))</f>
        <v/>
      </c>
      <c r="F2045" s="12" t="n"/>
      <c r="G2045" s="11" t="n"/>
      <c r="H2045" s="11" t="n"/>
      <c r="I2045" s="16">
        <f>IF(D2045="","",IF(G2045&lt;&gt;"",G2045,IFERROR(INDEX('Sản phẩm'!$E$5:$E$304,MATCH(D2045,'Sản phẩm'!$A$5:$A$304,0)),"")))</f>
        <v/>
      </c>
      <c r="J2045" s="16">
        <f>IF(OR(D2045="",F2045=""),"",F2045*I2045-N(H2045))</f>
        <v/>
      </c>
      <c r="K2045" s="16">
        <f>IF(OR(D2045="",F2045=""),"",F2045*IFERROR(INDEX('Sản phẩm'!$D$5:$D$304,MATCH(D2045,'Sản phẩm'!$A$5:$A$304,0)),""))</f>
        <v/>
      </c>
      <c r="L2045" s="16">
        <f>IF(J2045="","",J2045-K2045)</f>
        <v/>
      </c>
      <c r="M2045" s="14">
        <f>IF(A2045="","",MONTH(A2045))</f>
        <v/>
      </c>
      <c r="N2045" s="14">
        <f>IF(A2045="","",YEAR(A2045))</f>
        <v/>
      </c>
    </row>
    <row r="2046">
      <c r="A2046" s="15" t="n"/>
      <c r="B2046" s="10" t="n"/>
      <c r="C2046" s="10" t="n"/>
      <c r="D2046" s="10" t="n"/>
      <c r="E2046" s="14">
        <f>IF(D2046="","",IFERROR(INDEX('Sản phẩm'!$B$5:$B$304,MATCH(D2046,'Sản phẩm'!$A$5:$A$304,0)),""))</f>
        <v/>
      </c>
      <c r="F2046" s="12" t="n"/>
      <c r="G2046" s="11" t="n"/>
      <c r="H2046" s="11" t="n"/>
      <c r="I2046" s="16">
        <f>IF(D2046="","",IF(G2046&lt;&gt;"",G2046,IFERROR(INDEX('Sản phẩm'!$E$5:$E$304,MATCH(D2046,'Sản phẩm'!$A$5:$A$304,0)),"")))</f>
        <v/>
      </c>
      <c r="J2046" s="16">
        <f>IF(OR(D2046="",F2046=""),"",F2046*I2046-N(H2046))</f>
        <v/>
      </c>
      <c r="K2046" s="16">
        <f>IF(OR(D2046="",F2046=""),"",F2046*IFERROR(INDEX('Sản phẩm'!$D$5:$D$304,MATCH(D2046,'Sản phẩm'!$A$5:$A$304,0)),""))</f>
        <v/>
      </c>
      <c r="L2046" s="16">
        <f>IF(J2046="","",J2046-K2046)</f>
        <v/>
      </c>
      <c r="M2046" s="14">
        <f>IF(A2046="","",MONTH(A2046))</f>
        <v/>
      </c>
      <c r="N2046" s="14">
        <f>IF(A2046="","",YEAR(A2046))</f>
        <v/>
      </c>
    </row>
    <row r="2047">
      <c r="A2047" s="15" t="n"/>
      <c r="B2047" s="10" t="n"/>
      <c r="C2047" s="10" t="n"/>
      <c r="D2047" s="10" t="n"/>
      <c r="E2047" s="14">
        <f>IF(D2047="","",IFERROR(INDEX('Sản phẩm'!$B$5:$B$304,MATCH(D2047,'Sản phẩm'!$A$5:$A$304,0)),""))</f>
        <v/>
      </c>
      <c r="F2047" s="12" t="n"/>
      <c r="G2047" s="11" t="n"/>
      <c r="H2047" s="11" t="n"/>
      <c r="I2047" s="16">
        <f>IF(D2047="","",IF(G2047&lt;&gt;"",G2047,IFERROR(INDEX('Sản phẩm'!$E$5:$E$304,MATCH(D2047,'Sản phẩm'!$A$5:$A$304,0)),"")))</f>
        <v/>
      </c>
      <c r="J2047" s="16">
        <f>IF(OR(D2047="",F2047=""),"",F2047*I2047-N(H2047))</f>
        <v/>
      </c>
      <c r="K2047" s="16">
        <f>IF(OR(D2047="",F2047=""),"",F2047*IFERROR(INDEX('Sản phẩm'!$D$5:$D$304,MATCH(D2047,'Sản phẩm'!$A$5:$A$304,0)),""))</f>
        <v/>
      </c>
      <c r="L2047" s="16">
        <f>IF(J2047="","",J2047-K2047)</f>
        <v/>
      </c>
      <c r="M2047" s="14">
        <f>IF(A2047="","",MONTH(A2047))</f>
        <v/>
      </c>
      <c r="N2047" s="14">
        <f>IF(A2047="","",YEAR(A2047))</f>
        <v/>
      </c>
    </row>
    <row r="2048">
      <c r="A2048" s="15" t="n"/>
      <c r="B2048" s="10" t="n"/>
      <c r="C2048" s="10" t="n"/>
      <c r="D2048" s="10" t="n"/>
      <c r="E2048" s="14">
        <f>IF(D2048="","",IFERROR(INDEX('Sản phẩm'!$B$5:$B$304,MATCH(D2048,'Sản phẩm'!$A$5:$A$304,0)),""))</f>
        <v/>
      </c>
      <c r="F2048" s="12" t="n"/>
      <c r="G2048" s="11" t="n"/>
      <c r="H2048" s="11" t="n"/>
      <c r="I2048" s="16">
        <f>IF(D2048="","",IF(G2048&lt;&gt;"",G2048,IFERROR(INDEX('Sản phẩm'!$E$5:$E$304,MATCH(D2048,'Sản phẩm'!$A$5:$A$304,0)),"")))</f>
        <v/>
      </c>
      <c r="J2048" s="16">
        <f>IF(OR(D2048="",F2048=""),"",F2048*I2048-N(H2048))</f>
        <v/>
      </c>
      <c r="K2048" s="16">
        <f>IF(OR(D2048="",F2048=""),"",F2048*IFERROR(INDEX('Sản phẩm'!$D$5:$D$304,MATCH(D2048,'Sản phẩm'!$A$5:$A$304,0)),""))</f>
        <v/>
      </c>
      <c r="L2048" s="16">
        <f>IF(J2048="","",J2048-K2048)</f>
        <v/>
      </c>
      <c r="M2048" s="14">
        <f>IF(A2048="","",MONTH(A2048))</f>
        <v/>
      </c>
      <c r="N2048" s="14">
        <f>IF(A2048="","",YEAR(A2048))</f>
        <v/>
      </c>
    </row>
    <row r="2049">
      <c r="A2049" s="15" t="n"/>
      <c r="B2049" s="10" t="n"/>
      <c r="C2049" s="10" t="n"/>
      <c r="D2049" s="10" t="n"/>
      <c r="E2049" s="14">
        <f>IF(D2049="","",IFERROR(INDEX('Sản phẩm'!$B$5:$B$304,MATCH(D2049,'Sản phẩm'!$A$5:$A$304,0)),""))</f>
        <v/>
      </c>
      <c r="F2049" s="12" t="n"/>
      <c r="G2049" s="11" t="n"/>
      <c r="H2049" s="11" t="n"/>
      <c r="I2049" s="16">
        <f>IF(D2049="","",IF(G2049&lt;&gt;"",G2049,IFERROR(INDEX('Sản phẩm'!$E$5:$E$304,MATCH(D2049,'Sản phẩm'!$A$5:$A$304,0)),"")))</f>
        <v/>
      </c>
      <c r="J2049" s="16">
        <f>IF(OR(D2049="",F2049=""),"",F2049*I2049-N(H2049))</f>
        <v/>
      </c>
      <c r="K2049" s="16">
        <f>IF(OR(D2049="",F2049=""),"",F2049*IFERROR(INDEX('Sản phẩm'!$D$5:$D$304,MATCH(D2049,'Sản phẩm'!$A$5:$A$304,0)),""))</f>
        <v/>
      </c>
      <c r="L2049" s="16">
        <f>IF(J2049="","",J2049-K2049)</f>
        <v/>
      </c>
      <c r="M2049" s="14">
        <f>IF(A2049="","",MONTH(A2049))</f>
        <v/>
      </c>
      <c r="N2049" s="14">
        <f>IF(A2049="","",YEAR(A2049))</f>
        <v/>
      </c>
    </row>
    <row r="2050">
      <c r="A2050" s="15" t="n"/>
      <c r="B2050" s="10" t="n"/>
      <c r="C2050" s="10" t="n"/>
      <c r="D2050" s="10" t="n"/>
      <c r="E2050" s="14">
        <f>IF(D2050="","",IFERROR(INDEX('Sản phẩm'!$B$5:$B$304,MATCH(D2050,'Sản phẩm'!$A$5:$A$304,0)),""))</f>
        <v/>
      </c>
      <c r="F2050" s="12" t="n"/>
      <c r="G2050" s="11" t="n"/>
      <c r="H2050" s="11" t="n"/>
      <c r="I2050" s="16">
        <f>IF(D2050="","",IF(G2050&lt;&gt;"",G2050,IFERROR(INDEX('Sản phẩm'!$E$5:$E$304,MATCH(D2050,'Sản phẩm'!$A$5:$A$304,0)),"")))</f>
        <v/>
      </c>
      <c r="J2050" s="16">
        <f>IF(OR(D2050="",F2050=""),"",F2050*I2050-N(H2050))</f>
        <v/>
      </c>
      <c r="K2050" s="16">
        <f>IF(OR(D2050="",F2050=""),"",F2050*IFERROR(INDEX('Sản phẩm'!$D$5:$D$304,MATCH(D2050,'Sản phẩm'!$A$5:$A$304,0)),""))</f>
        <v/>
      </c>
      <c r="L2050" s="16">
        <f>IF(J2050="","",J2050-K2050)</f>
        <v/>
      </c>
      <c r="M2050" s="14">
        <f>IF(A2050="","",MONTH(A2050))</f>
        <v/>
      </c>
      <c r="N2050" s="14">
        <f>IF(A2050="","",YEAR(A2050))</f>
        <v/>
      </c>
    </row>
    <row r="2051">
      <c r="A2051" s="15" t="n"/>
      <c r="B2051" s="10" t="n"/>
      <c r="C2051" s="10" t="n"/>
      <c r="D2051" s="10" t="n"/>
      <c r="E2051" s="14">
        <f>IF(D2051="","",IFERROR(INDEX('Sản phẩm'!$B$5:$B$304,MATCH(D2051,'Sản phẩm'!$A$5:$A$304,0)),""))</f>
        <v/>
      </c>
      <c r="F2051" s="12" t="n"/>
      <c r="G2051" s="11" t="n"/>
      <c r="H2051" s="11" t="n"/>
      <c r="I2051" s="16">
        <f>IF(D2051="","",IF(G2051&lt;&gt;"",G2051,IFERROR(INDEX('Sản phẩm'!$E$5:$E$304,MATCH(D2051,'Sản phẩm'!$A$5:$A$304,0)),"")))</f>
        <v/>
      </c>
      <c r="J2051" s="16">
        <f>IF(OR(D2051="",F2051=""),"",F2051*I2051-N(H2051))</f>
        <v/>
      </c>
      <c r="K2051" s="16">
        <f>IF(OR(D2051="",F2051=""),"",F2051*IFERROR(INDEX('Sản phẩm'!$D$5:$D$304,MATCH(D2051,'Sản phẩm'!$A$5:$A$304,0)),""))</f>
        <v/>
      </c>
      <c r="L2051" s="16">
        <f>IF(J2051="","",J2051-K2051)</f>
        <v/>
      </c>
      <c r="M2051" s="14">
        <f>IF(A2051="","",MONTH(A2051))</f>
        <v/>
      </c>
      <c r="N2051" s="14">
        <f>IF(A2051="","",YEAR(A2051))</f>
        <v/>
      </c>
    </row>
    <row r="2052">
      <c r="A2052" s="15" t="n"/>
      <c r="B2052" s="10" t="n"/>
      <c r="C2052" s="10" t="n"/>
      <c r="D2052" s="10" t="n"/>
      <c r="E2052" s="14">
        <f>IF(D2052="","",IFERROR(INDEX('Sản phẩm'!$B$5:$B$304,MATCH(D2052,'Sản phẩm'!$A$5:$A$304,0)),""))</f>
        <v/>
      </c>
      <c r="F2052" s="12" t="n"/>
      <c r="G2052" s="11" t="n"/>
      <c r="H2052" s="11" t="n"/>
      <c r="I2052" s="16">
        <f>IF(D2052="","",IF(G2052&lt;&gt;"",G2052,IFERROR(INDEX('Sản phẩm'!$E$5:$E$304,MATCH(D2052,'Sản phẩm'!$A$5:$A$304,0)),"")))</f>
        <v/>
      </c>
      <c r="J2052" s="16">
        <f>IF(OR(D2052="",F2052=""),"",F2052*I2052-N(H2052))</f>
        <v/>
      </c>
      <c r="K2052" s="16">
        <f>IF(OR(D2052="",F2052=""),"",F2052*IFERROR(INDEX('Sản phẩm'!$D$5:$D$304,MATCH(D2052,'Sản phẩm'!$A$5:$A$304,0)),""))</f>
        <v/>
      </c>
      <c r="L2052" s="16">
        <f>IF(J2052="","",J2052-K2052)</f>
        <v/>
      </c>
      <c r="M2052" s="14">
        <f>IF(A2052="","",MONTH(A2052))</f>
        <v/>
      </c>
      <c r="N2052" s="14">
        <f>IF(A2052="","",YEAR(A2052))</f>
        <v/>
      </c>
    </row>
    <row r="2053">
      <c r="A2053" s="15" t="n"/>
      <c r="B2053" s="10" t="n"/>
      <c r="C2053" s="10" t="n"/>
      <c r="D2053" s="10" t="n"/>
      <c r="E2053" s="14">
        <f>IF(D2053="","",IFERROR(INDEX('Sản phẩm'!$B$5:$B$304,MATCH(D2053,'Sản phẩm'!$A$5:$A$304,0)),""))</f>
        <v/>
      </c>
      <c r="F2053" s="12" t="n"/>
      <c r="G2053" s="11" t="n"/>
      <c r="H2053" s="11" t="n"/>
      <c r="I2053" s="16">
        <f>IF(D2053="","",IF(G2053&lt;&gt;"",G2053,IFERROR(INDEX('Sản phẩm'!$E$5:$E$304,MATCH(D2053,'Sản phẩm'!$A$5:$A$304,0)),"")))</f>
        <v/>
      </c>
      <c r="J2053" s="16">
        <f>IF(OR(D2053="",F2053=""),"",F2053*I2053-N(H2053))</f>
        <v/>
      </c>
      <c r="K2053" s="16">
        <f>IF(OR(D2053="",F2053=""),"",F2053*IFERROR(INDEX('Sản phẩm'!$D$5:$D$304,MATCH(D2053,'Sản phẩm'!$A$5:$A$304,0)),""))</f>
        <v/>
      </c>
      <c r="L2053" s="16">
        <f>IF(J2053="","",J2053-K2053)</f>
        <v/>
      </c>
      <c r="M2053" s="14">
        <f>IF(A2053="","",MONTH(A2053))</f>
        <v/>
      </c>
      <c r="N2053" s="14">
        <f>IF(A2053="","",YEAR(A2053))</f>
        <v/>
      </c>
    </row>
    <row r="2054">
      <c r="A2054" s="15" t="n"/>
      <c r="B2054" s="10" t="n"/>
      <c r="C2054" s="10" t="n"/>
      <c r="D2054" s="10" t="n"/>
      <c r="E2054" s="14">
        <f>IF(D2054="","",IFERROR(INDEX('Sản phẩm'!$B$5:$B$304,MATCH(D2054,'Sản phẩm'!$A$5:$A$304,0)),""))</f>
        <v/>
      </c>
      <c r="F2054" s="12" t="n"/>
      <c r="G2054" s="11" t="n"/>
      <c r="H2054" s="11" t="n"/>
      <c r="I2054" s="16">
        <f>IF(D2054="","",IF(G2054&lt;&gt;"",G2054,IFERROR(INDEX('Sản phẩm'!$E$5:$E$304,MATCH(D2054,'Sản phẩm'!$A$5:$A$304,0)),"")))</f>
        <v/>
      </c>
      <c r="J2054" s="16">
        <f>IF(OR(D2054="",F2054=""),"",F2054*I2054-N(H2054))</f>
        <v/>
      </c>
      <c r="K2054" s="16">
        <f>IF(OR(D2054="",F2054=""),"",F2054*IFERROR(INDEX('Sản phẩm'!$D$5:$D$304,MATCH(D2054,'Sản phẩm'!$A$5:$A$304,0)),""))</f>
        <v/>
      </c>
      <c r="L2054" s="16">
        <f>IF(J2054="","",J2054-K2054)</f>
        <v/>
      </c>
      <c r="M2054" s="14">
        <f>IF(A2054="","",MONTH(A2054))</f>
        <v/>
      </c>
      <c r="N2054" s="14">
        <f>IF(A2054="","",YEAR(A2054))</f>
        <v/>
      </c>
    </row>
    <row r="2055">
      <c r="A2055" s="15" t="n"/>
      <c r="B2055" s="10" t="n"/>
      <c r="C2055" s="10" t="n"/>
      <c r="D2055" s="10" t="n"/>
      <c r="E2055" s="14">
        <f>IF(D2055="","",IFERROR(INDEX('Sản phẩm'!$B$5:$B$304,MATCH(D2055,'Sản phẩm'!$A$5:$A$304,0)),""))</f>
        <v/>
      </c>
      <c r="F2055" s="12" t="n"/>
      <c r="G2055" s="11" t="n"/>
      <c r="H2055" s="11" t="n"/>
      <c r="I2055" s="16">
        <f>IF(D2055="","",IF(G2055&lt;&gt;"",G2055,IFERROR(INDEX('Sản phẩm'!$E$5:$E$304,MATCH(D2055,'Sản phẩm'!$A$5:$A$304,0)),"")))</f>
        <v/>
      </c>
      <c r="J2055" s="16">
        <f>IF(OR(D2055="",F2055=""),"",F2055*I2055-N(H2055))</f>
        <v/>
      </c>
      <c r="K2055" s="16">
        <f>IF(OR(D2055="",F2055=""),"",F2055*IFERROR(INDEX('Sản phẩm'!$D$5:$D$304,MATCH(D2055,'Sản phẩm'!$A$5:$A$304,0)),""))</f>
        <v/>
      </c>
      <c r="L2055" s="16">
        <f>IF(J2055="","",J2055-K2055)</f>
        <v/>
      </c>
      <c r="M2055" s="14">
        <f>IF(A2055="","",MONTH(A2055))</f>
        <v/>
      </c>
      <c r="N2055" s="14">
        <f>IF(A2055="","",YEAR(A2055))</f>
        <v/>
      </c>
    </row>
    <row r="2056">
      <c r="A2056" s="15" t="n"/>
      <c r="B2056" s="10" t="n"/>
      <c r="C2056" s="10" t="n"/>
      <c r="D2056" s="10" t="n"/>
      <c r="E2056" s="14">
        <f>IF(D2056="","",IFERROR(INDEX('Sản phẩm'!$B$5:$B$304,MATCH(D2056,'Sản phẩm'!$A$5:$A$304,0)),""))</f>
        <v/>
      </c>
      <c r="F2056" s="12" t="n"/>
      <c r="G2056" s="11" t="n"/>
      <c r="H2056" s="11" t="n"/>
      <c r="I2056" s="16">
        <f>IF(D2056="","",IF(G2056&lt;&gt;"",G2056,IFERROR(INDEX('Sản phẩm'!$E$5:$E$304,MATCH(D2056,'Sản phẩm'!$A$5:$A$304,0)),"")))</f>
        <v/>
      </c>
      <c r="J2056" s="16">
        <f>IF(OR(D2056="",F2056=""),"",F2056*I2056-N(H2056))</f>
        <v/>
      </c>
      <c r="K2056" s="16">
        <f>IF(OR(D2056="",F2056=""),"",F2056*IFERROR(INDEX('Sản phẩm'!$D$5:$D$304,MATCH(D2056,'Sản phẩm'!$A$5:$A$304,0)),""))</f>
        <v/>
      </c>
      <c r="L2056" s="16">
        <f>IF(J2056="","",J2056-K2056)</f>
        <v/>
      </c>
      <c r="M2056" s="14">
        <f>IF(A2056="","",MONTH(A2056))</f>
        <v/>
      </c>
      <c r="N2056" s="14">
        <f>IF(A2056="","",YEAR(A2056))</f>
        <v/>
      </c>
    </row>
    <row r="2057">
      <c r="A2057" s="15" t="n"/>
      <c r="B2057" s="10" t="n"/>
      <c r="C2057" s="10" t="n"/>
      <c r="D2057" s="10" t="n"/>
      <c r="E2057" s="14">
        <f>IF(D2057="","",IFERROR(INDEX('Sản phẩm'!$B$5:$B$304,MATCH(D2057,'Sản phẩm'!$A$5:$A$304,0)),""))</f>
        <v/>
      </c>
      <c r="F2057" s="12" t="n"/>
      <c r="G2057" s="11" t="n"/>
      <c r="H2057" s="11" t="n"/>
      <c r="I2057" s="16">
        <f>IF(D2057="","",IF(G2057&lt;&gt;"",G2057,IFERROR(INDEX('Sản phẩm'!$E$5:$E$304,MATCH(D2057,'Sản phẩm'!$A$5:$A$304,0)),"")))</f>
        <v/>
      </c>
      <c r="J2057" s="16">
        <f>IF(OR(D2057="",F2057=""),"",F2057*I2057-N(H2057))</f>
        <v/>
      </c>
      <c r="K2057" s="16">
        <f>IF(OR(D2057="",F2057=""),"",F2057*IFERROR(INDEX('Sản phẩm'!$D$5:$D$304,MATCH(D2057,'Sản phẩm'!$A$5:$A$304,0)),""))</f>
        <v/>
      </c>
      <c r="L2057" s="16">
        <f>IF(J2057="","",J2057-K2057)</f>
        <v/>
      </c>
      <c r="M2057" s="14">
        <f>IF(A2057="","",MONTH(A2057))</f>
        <v/>
      </c>
      <c r="N2057" s="14">
        <f>IF(A2057="","",YEAR(A2057))</f>
        <v/>
      </c>
    </row>
    <row r="2058">
      <c r="A2058" s="15" t="n"/>
      <c r="B2058" s="10" t="n"/>
      <c r="C2058" s="10" t="n"/>
      <c r="D2058" s="10" t="n"/>
      <c r="E2058" s="14">
        <f>IF(D2058="","",IFERROR(INDEX('Sản phẩm'!$B$5:$B$304,MATCH(D2058,'Sản phẩm'!$A$5:$A$304,0)),""))</f>
        <v/>
      </c>
      <c r="F2058" s="12" t="n"/>
      <c r="G2058" s="11" t="n"/>
      <c r="H2058" s="11" t="n"/>
      <c r="I2058" s="16">
        <f>IF(D2058="","",IF(G2058&lt;&gt;"",G2058,IFERROR(INDEX('Sản phẩm'!$E$5:$E$304,MATCH(D2058,'Sản phẩm'!$A$5:$A$304,0)),"")))</f>
        <v/>
      </c>
      <c r="J2058" s="16">
        <f>IF(OR(D2058="",F2058=""),"",F2058*I2058-N(H2058))</f>
        <v/>
      </c>
      <c r="K2058" s="16">
        <f>IF(OR(D2058="",F2058=""),"",F2058*IFERROR(INDEX('Sản phẩm'!$D$5:$D$304,MATCH(D2058,'Sản phẩm'!$A$5:$A$304,0)),""))</f>
        <v/>
      </c>
      <c r="L2058" s="16">
        <f>IF(J2058="","",J2058-K2058)</f>
        <v/>
      </c>
      <c r="M2058" s="14">
        <f>IF(A2058="","",MONTH(A2058))</f>
        <v/>
      </c>
      <c r="N2058" s="14">
        <f>IF(A2058="","",YEAR(A2058))</f>
        <v/>
      </c>
    </row>
    <row r="2059">
      <c r="A2059" s="15" t="n"/>
      <c r="B2059" s="10" t="n"/>
      <c r="C2059" s="10" t="n"/>
      <c r="D2059" s="10" t="n"/>
      <c r="E2059" s="14">
        <f>IF(D2059="","",IFERROR(INDEX('Sản phẩm'!$B$5:$B$304,MATCH(D2059,'Sản phẩm'!$A$5:$A$304,0)),""))</f>
        <v/>
      </c>
      <c r="F2059" s="12" t="n"/>
      <c r="G2059" s="11" t="n"/>
      <c r="H2059" s="11" t="n"/>
      <c r="I2059" s="16">
        <f>IF(D2059="","",IF(G2059&lt;&gt;"",G2059,IFERROR(INDEX('Sản phẩm'!$E$5:$E$304,MATCH(D2059,'Sản phẩm'!$A$5:$A$304,0)),"")))</f>
        <v/>
      </c>
      <c r="J2059" s="16">
        <f>IF(OR(D2059="",F2059=""),"",F2059*I2059-N(H2059))</f>
        <v/>
      </c>
      <c r="K2059" s="16">
        <f>IF(OR(D2059="",F2059=""),"",F2059*IFERROR(INDEX('Sản phẩm'!$D$5:$D$304,MATCH(D2059,'Sản phẩm'!$A$5:$A$304,0)),""))</f>
        <v/>
      </c>
      <c r="L2059" s="16">
        <f>IF(J2059="","",J2059-K2059)</f>
        <v/>
      </c>
      <c r="M2059" s="14">
        <f>IF(A2059="","",MONTH(A2059))</f>
        <v/>
      </c>
      <c r="N2059" s="14">
        <f>IF(A2059="","",YEAR(A2059))</f>
        <v/>
      </c>
    </row>
    <row r="2060">
      <c r="A2060" s="15" t="n"/>
      <c r="B2060" s="10" t="n"/>
      <c r="C2060" s="10" t="n"/>
      <c r="D2060" s="10" t="n"/>
      <c r="E2060" s="14">
        <f>IF(D2060="","",IFERROR(INDEX('Sản phẩm'!$B$5:$B$304,MATCH(D2060,'Sản phẩm'!$A$5:$A$304,0)),""))</f>
        <v/>
      </c>
      <c r="F2060" s="12" t="n"/>
      <c r="G2060" s="11" t="n"/>
      <c r="H2060" s="11" t="n"/>
      <c r="I2060" s="16">
        <f>IF(D2060="","",IF(G2060&lt;&gt;"",G2060,IFERROR(INDEX('Sản phẩm'!$E$5:$E$304,MATCH(D2060,'Sản phẩm'!$A$5:$A$304,0)),"")))</f>
        <v/>
      </c>
      <c r="J2060" s="16">
        <f>IF(OR(D2060="",F2060=""),"",F2060*I2060-N(H2060))</f>
        <v/>
      </c>
      <c r="K2060" s="16">
        <f>IF(OR(D2060="",F2060=""),"",F2060*IFERROR(INDEX('Sản phẩm'!$D$5:$D$304,MATCH(D2060,'Sản phẩm'!$A$5:$A$304,0)),""))</f>
        <v/>
      </c>
      <c r="L2060" s="16">
        <f>IF(J2060="","",J2060-K2060)</f>
        <v/>
      </c>
      <c r="M2060" s="14">
        <f>IF(A2060="","",MONTH(A2060))</f>
        <v/>
      </c>
      <c r="N2060" s="14">
        <f>IF(A2060="","",YEAR(A2060))</f>
        <v/>
      </c>
    </row>
    <row r="2061">
      <c r="A2061" s="15" t="n"/>
      <c r="B2061" s="10" t="n"/>
      <c r="C2061" s="10" t="n"/>
      <c r="D2061" s="10" t="n"/>
      <c r="E2061" s="14">
        <f>IF(D2061="","",IFERROR(INDEX('Sản phẩm'!$B$5:$B$304,MATCH(D2061,'Sản phẩm'!$A$5:$A$304,0)),""))</f>
        <v/>
      </c>
      <c r="F2061" s="12" t="n"/>
      <c r="G2061" s="11" t="n"/>
      <c r="H2061" s="11" t="n"/>
      <c r="I2061" s="16">
        <f>IF(D2061="","",IF(G2061&lt;&gt;"",G2061,IFERROR(INDEX('Sản phẩm'!$E$5:$E$304,MATCH(D2061,'Sản phẩm'!$A$5:$A$304,0)),"")))</f>
        <v/>
      </c>
      <c r="J2061" s="16">
        <f>IF(OR(D2061="",F2061=""),"",F2061*I2061-N(H2061))</f>
        <v/>
      </c>
      <c r="K2061" s="16">
        <f>IF(OR(D2061="",F2061=""),"",F2061*IFERROR(INDEX('Sản phẩm'!$D$5:$D$304,MATCH(D2061,'Sản phẩm'!$A$5:$A$304,0)),""))</f>
        <v/>
      </c>
      <c r="L2061" s="16">
        <f>IF(J2061="","",J2061-K2061)</f>
        <v/>
      </c>
      <c r="M2061" s="14">
        <f>IF(A2061="","",MONTH(A2061))</f>
        <v/>
      </c>
      <c r="N2061" s="14">
        <f>IF(A2061="","",YEAR(A2061))</f>
        <v/>
      </c>
    </row>
    <row r="2062">
      <c r="A2062" s="15" t="n"/>
      <c r="B2062" s="10" t="n"/>
      <c r="C2062" s="10" t="n"/>
      <c r="D2062" s="10" t="n"/>
      <c r="E2062" s="14">
        <f>IF(D2062="","",IFERROR(INDEX('Sản phẩm'!$B$5:$B$304,MATCH(D2062,'Sản phẩm'!$A$5:$A$304,0)),""))</f>
        <v/>
      </c>
      <c r="F2062" s="12" t="n"/>
      <c r="G2062" s="11" t="n"/>
      <c r="H2062" s="11" t="n"/>
      <c r="I2062" s="16">
        <f>IF(D2062="","",IF(G2062&lt;&gt;"",G2062,IFERROR(INDEX('Sản phẩm'!$E$5:$E$304,MATCH(D2062,'Sản phẩm'!$A$5:$A$304,0)),"")))</f>
        <v/>
      </c>
      <c r="J2062" s="16">
        <f>IF(OR(D2062="",F2062=""),"",F2062*I2062-N(H2062))</f>
        <v/>
      </c>
      <c r="K2062" s="16">
        <f>IF(OR(D2062="",F2062=""),"",F2062*IFERROR(INDEX('Sản phẩm'!$D$5:$D$304,MATCH(D2062,'Sản phẩm'!$A$5:$A$304,0)),""))</f>
        <v/>
      </c>
      <c r="L2062" s="16">
        <f>IF(J2062="","",J2062-K2062)</f>
        <v/>
      </c>
      <c r="M2062" s="14">
        <f>IF(A2062="","",MONTH(A2062))</f>
        <v/>
      </c>
      <c r="N2062" s="14">
        <f>IF(A2062="","",YEAR(A2062))</f>
        <v/>
      </c>
    </row>
    <row r="2063">
      <c r="A2063" s="15" t="n"/>
      <c r="B2063" s="10" t="n"/>
      <c r="C2063" s="10" t="n"/>
      <c r="D2063" s="10" t="n"/>
      <c r="E2063" s="14">
        <f>IF(D2063="","",IFERROR(INDEX('Sản phẩm'!$B$5:$B$304,MATCH(D2063,'Sản phẩm'!$A$5:$A$304,0)),""))</f>
        <v/>
      </c>
      <c r="F2063" s="12" t="n"/>
      <c r="G2063" s="11" t="n"/>
      <c r="H2063" s="11" t="n"/>
      <c r="I2063" s="16">
        <f>IF(D2063="","",IF(G2063&lt;&gt;"",G2063,IFERROR(INDEX('Sản phẩm'!$E$5:$E$304,MATCH(D2063,'Sản phẩm'!$A$5:$A$304,0)),"")))</f>
        <v/>
      </c>
      <c r="J2063" s="16">
        <f>IF(OR(D2063="",F2063=""),"",F2063*I2063-N(H2063))</f>
        <v/>
      </c>
      <c r="K2063" s="16">
        <f>IF(OR(D2063="",F2063=""),"",F2063*IFERROR(INDEX('Sản phẩm'!$D$5:$D$304,MATCH(D2063,'Sản phẩm'!$A$5:$A$304,0)),""))</f>
        <v/>
      </c>
      <c r="L2063" s="16">
        <f>IF(J2063="","",J2063-K2063)</f>
        <v/>
      </c>
      <c r="M2063" s="14">
        <f>IF(A2063="","",MONTH(A2063))</f>
        <v/>
      </c>
      <c r="N2063" s="14">
        <f>IF(A2063="","",YEAR(A2063))</f>
        <v/>
      </c>
    </row>
    <row r="2064">
      <c r="A2064" s="15" t="n"/>
      <c r="B2064" s="10" t="n"/>
      <c r="C2064" s="10" t="n"/>
      <c r="D2064" s="10" t="n"/>
      <c r="E2064" s="14">
        <f>IF(D2064="","",IFERROR(INDEX('Sản phẩm'!$B$5:$B$304,MATCH(D2064,'Sản phẩm'!$A$5:$A$304,0)),""))</f>
        <v/>
      </c>
      <c r="F2064" s="12" t="n"/>
      <c r="G2064" s="11" t="n"/>
      <c r="H2064" s="11" t="n"/>
      <c r="I2064" s="16">
        <f>IF(D2064="","",IF(G2064&lt;&gt;"",G2064,IFERROR(INDEX('Sản phẩm'!$E$5:$E$304,MATCH(D2064,'Sản phẩm'!$A$5:$A$304,0)),"")))</f>
        <v/>
      </c>
      <c r="J2064" s="16">
        <f>IF(OR(D2064="",F2064=""),"",F2064*I2064-N(H2064))</f>
        <v/>
      </c>
      <c r="K2064" s="16">
        <f>IF(OR(D2064="",F2064=""),"",F2064*IFERROR(INDEX('Sản phẩm'!$D$5:$D$304,MATCH(D2064,'Sản phẩm'!$A$5:$A$304,0)),""))</f>
        <v/>
      </c>
      <c r="L2064" s="16">
        <f>IF(J2064="","",J2064-K2064)</f>
        <v/>
      </c>
      <c r="M2064" s="14">
        <f>IF(A2064="","",MONTH(A2064))</f>
        <v/>
      </c>
      <c r="N2064" s="14">
        <f>IF(A2064="","",YEAR(A2064))</f>
        <v/>
      </c>
    </row>
    <row r="2065">
      <c r="A2065" s="15" t="n"/>
      <c r="B2065" s="10" t="n"/>
      <c r="C2065" s="10" t="n"/>
      <c r="D2065" s="10" t="n"/>
      <c r="E2065" s="14">
        <f>IF(D2065="","",IFERROR(INDEX('Sản phẩm'!$B$5:$B$304,MATCH(D2065,'Sản phẩm'!$A$5:$A$304,0)),""))</f>
        <v/>
      </c>
      <c r="F2065" s="12" t="n"/>
      <c r="G2065" s="11" t="n"/>
      <c r="H2065" s="11" t="n"/>
      <c r="I2065" s="16">
        <f>IF(D2065="","",IF(G2065&lt;&gt;"",G2065,IFERROR(INDEX('Sản phẩm'!$E$5:$E$304,MATCH(D2065,'Sản phẩm'!$A$5:$A$304,0)),"")))</f>
        <v/>
      </c>
      <c r="J2065" s="16">
        <f>IF(OR(D2065="",F2065=""),"",F2065*I2065-N(H2065))</f>
        <v/>
      </c>
      <c r="K2065" s="16">
        <f>IF(OR(D2065="",F2065=""),"",F2065*IFERROR(INDEX('Sản phẩm'!$D$5:$D$304,MATCH(D2065,'Sản phẩm'!$A$5:$A$304,0)),""))</f>
        <v/>
      </c>
      <c r="L2065" s="16">
        <f>IF(J2065="","",J2065-K2065)</f>
        <v/>
      </c>
      <c r="M2065" s="14">
        <f>IF(A2065="","",MONTH(A2065))</f>
        <v/>
      </c>
      <c r="N2065" s="14">
        <f>IF(A2065="","",YEAR(A2065))</f>
        <v/>
      </c>
    </row>
    <row r="2066">
      <c r="A2066" s="15" t="n"/>
      <c r="B2066" s="10" t="n"/>
      <c r="C2066" s="10" t="n"/>
      <c r="D2066" s="10" t="n"/>
      <c r="E2066" s="14">
        <f>IF(D2066="","",IFERROR(INDEX('Sản phẩm'!$B$5:$B$304,MATCH(D2066,'Sản phẩm'!$A$5:$A$304,0)),""))</f>
        <v/>
      </c>
      <c r="F2066" s="12" t="n"/>
      <c r="G2066" s="11" t="n"/>
      <c r="H2066" s="11" t="n"/>
      <c r="I2066" s="16">
        <f>IF(D2066="","",IF(G2066&lt;&gt;"",G2066,IFERROR(INDEX('Sản phẩm'!$E$5:$E$304,MATCH(D2066,'Sản phẩm'!$A$5:$A$304,0)),"")))</f>
        <v/>
      </c>
      <c r="J2066" s="16">
        <f>IF(OR(D2066="",F2066=""),"",F2066*I2066-N(H2066))</f>
        <v/>
      </c>
      <c r="K2066" s="16">
        <f>IF(OR(D2066="",F2066=""),"",F2066*IFERROR(INDEX('Sản phẩm'!$D$5:$D$304,MATCH(D2066,'Sản phẩm'!$A$5:$A$304,0)),""))</f>
        <v/>
      </c>
      <c r="L2066" s="16">
        <f>IF(J2066="","",J2066-K2066)</f>
        <v/>
      </c>
      <c r="M2066" s="14">
        <f>IF(A2066="","",MONTH(A2066))</f>
        <v/>
      </c>
      <c r="N2066" s="14">
        <f>IF(A2066="","",YEAR(A2066))</f>
        <v/>
      </c>
    </row>
    <row r="2067">
      <c r="A2067" s="15" t="n"/>
      <c r="B2067" s="10" t="n"/>
      <c r="C2067" s="10" t="n"/>
      <c r="D2067" s="10" t="n"/>
      <c r="E2067" s="14">
        <f>IF(D2067="","",IFERROR(INDEX('Sản phẩm'!$B$5:$B$304,MATCH(D2067,'Sản phẩm'!$A$5:$A$304,0)),""))</f>
        <v/>
      </c>
      <c r="F2067" s="12" t="n"/>
      <c r="G2067" s="11" t="n"/>
      <c r="H2067" s="11" t="n"/>
      <c r="I2067" s="16">
        <f>IF(D2067="","",IF(G2067&lt;&gt;"",G2067,IFERROR(INDEX('Sản phẩm'!$E$5:$E$304,MATCH(D2067,'Sản phẩm'!$A$5:$A$304,0)),"")))</f>
        <v/>
      </c>
      <c r="J2067" s="16">
        <f>IF(OR(D2067="",F2067=""),"",F2067*I2067-N(H2067))</f>
        <v/>
      </c>
      <c r="K2067" s="16">
        <f>IF(OR(D2067="",F2067=""),"",F2067*IFERROR(INDEX('Sản phẩm'!$D$5:$D$304,MATCH(D2067,'Sản phẩm'!$A$5:$A$304,0)),""))</f>
        <v/>
      </c>
      <c r="L2067" s="16">
        <f>IF(J2067="","",J2067-K2067)</f>
        <v/>
      </c>
      <c r="M2067" s="14">
        <f>IF(A2067="","",MONTH(A2067))</f>
        <v/>
      </c>
      <c r="N2067" s="14">
        <f>IF(A2067="","",YEAR(A2067))</f>
        <v/>
      </c>
    </row>
    <row r="2068">
      <c r="A2068" s="15" t="n"/>
      <c r="B2068" s="10" t="n"/>
      <c r="C2068" s="10" t="n"/>
      <c r="D2068" s="10" t="n"/>
      <c r="E2068" s="14">
        <f>IF(D2068="","",IFERROR(INDEX('Sản phẩm'!$B$5:$B$304,MATCH(D2068,'Sản phẩm'!$A$5:$A$304,0)),""))</f>
        <v/>
      </c>
      <c r="F2068" s="12" t="n"/>
      <c r="G2068" s="11" t="n"/>
      <c r="H2068" s="11" t="n"/>
      <c r="I2068" s="16">
        <f>IF(D2068="","",IF(G2068&lt;&gt;"",G2068,IFERROR(INDEX('Sản phẩm'!$E$5:$E$304,MATCH(D2068,'Sản phẩm'!$A$5:$A$304,0)),"")))</f>
        <v/>
      </c>
      <c r="J2068" s="16">
        <f>IF(OR(D2068="",F2068=""),"",F2068*I2068-N(H2068))</f>
        <v/>
      </c>
      <c r="K2068" s="16">
        <f>IF(OR(D2068="",F2068=""),"",F2068*IFERROR(INDEX('Sản phẩm'!$D$5:$D$304,MATCH(D2068,'Sản phẩm'!$A$5:$A$304,0)),""))</f>
        <v/>
      </c>
      <c r="L2068" s="16">
        <f>IF(J2068="","",J2068-K2068)</f>
        <v/>
      </c>
      <c r="M2068" s="14">
        <f>IF(A2068="","",MONTH(A2068))</f>
        <v/>
      </c>
      <c r="N2068" s="14">
        <f>IF(A2068="","",YEAR(A2068))</f>
        <v/>
      </c>
    </row>
    <row r="2069">
      <c r="A2069" s="15" t="n"/>
      <c r="B2069" s="10" t="n"/>
      <c r="C2069" s="10" t="n"/>
      <c r="D2069" s="10" t="n"/>
      <c r="E2069" s="14">
        <f>IF(D2069="","",IFERROR(INDEX('Sản phẩm'!$B$5:$B$304,MATCH(D2069,'Sản phẩm'!$A$5:$A$304,0)),""))</f>
        <v/>
      </c>
      <c r="F2069" s="12" t="n"/>
      <c r="G2069" s="11" t="n"/>
      <c r="H2069" s="11" t="n"/>
      <c r="I2069" s="16">
        <f>IF(D2069="","",IF(G2069&lt;&gt;"",G2069,IFERROR(INDEX('Sản phẩm'!$E$5:$E$304,MATCH(D2069,'Sản phẩm'!$A$5:$A$304,0)),"")))</f>
        <v/>
      </c>
      <c r="J2069" s="16">
        <f>IF(OR(D2069="",F2069=""),"",F2069*I2069-N(H2069))</f>
        <v/>
      </c>
      <c r="K2069" s="16">
        <f>IF(OR(D2069="",F2069=""),"",F2069*IFERROR(INDEX('Sản phẩm'!$D$5:$D$304,MATCH(D2069,'Sản phẩm'!$A$5:$A$304,0)),""))</f>
        <v/>
      </c>
      <c r="L2069" s="16">
        <f>IF(J2069="","",J2069-K2069)</f>
        <v/>
      </c>
      <c r="M2069" s="14">
        <f>IF(A2069="","",MONTH(A2069))</f>
        <v/>
      </c>
      <c r="N2069" s="14">
        <f>IF(A2069="","",YEAR(A2069))</f>
        <v/>
      </c>
    </row>
    <row r="2070">
      <c r="A2070" s="15" t="n"/>
      <c r="B2070" s="10" t="n"/>
      <c r="C2070" s="10" t="n"/>
      <c r="D2070" s="10" t="n"/>
      <c r="E2070" s="14">
        <f>IF(D2070="","",IFERROR(INDEX('Sản phẩm'!$B$5:$B$304,MATCH(D2070,'Sản phẩm'!$A$5:$A$304,0)),""))</f>
        <v/>
      </c>
      <c r="F2070" s="12" t="n"/>
      <c r="G2070" s="11" t="n"/>
      <c r="H2070" s="11" t="n"/>
      <c r="I2070" s="16">
        <f>IF(D2070="","",IF(G2070&lt;&gt;"",G2070,IFERROR(INDEX('Sản phẩm'!$E$5:$E$304,MATCH(D2070,'Sản phẩm'!$A$5:$A$304,0)),"")))</f>
        <v/>
      </c>
      <c r="J2070" s="16">
        <f>IF(OR(D2070="",F2070=""),"",F2070*I2070-N(H2070))</f>
        <v/>
      </c>
      <c r="K2070" s="16">
        <f>IF(OR(D2070="",F2070=""),"",F2070*IFERROR(INDEX('Sản phẩm'!$D$5:$D$304,MATCH(D2070,'Sản phẩm'!$A$5:$A$304,0)),""))</f>
        <v/>
      </c>
      <c r="L2070" s="16">
        <f>IF(J2070="","",J2070-K2070)</f>
        <v/>
      </c>
      <c r="M2070" s="14">
        <f>IF(A2070="","",MONTH(A2070))</f>
        <v/>
      </c>
      <c r="N2070" s="14">
        <f>IF(A2070="","",YEAR(A2070))</f>
        <v/>
      </c>
    </row>
    <row r="2071">
      <c r="A2071" s="15" t="n"/>
      <c r="B2071" s="10" t="n"/>
      <c r="C2071" s="10" t="n"/>
      <c r="D2071" s="10" t="n"/>
      <c r="E2071" s="14">
        <f>IF(D2071="","",IFERROR(INDEX('Sản phẩm'!$B$5:$B$304,MATCH(D2071,'Sản phẩm'!$A$5:$A$304,0)),""))</f>
        <v/>
      </c>
      <c r="F2071" s="12" t="n"/>
      <c r="G2071" s="11" t="n"/>
      <c r="H2071" s="11" t="n"/>
      <c r="I2071" s="16">
        <f>IF(D2071="","",IF(G2071&lt;&gt;"",G2071,IFERROR(INDEX('Sản phẩm'!$E$5:$E$304,MATCH(D2071,'Sản phẩm'!$A$5:$A$304,0)),"")))</f>
        <v/>
      </c>
      <c r="J2071" s="16">
        <f>IF(OR(D2071="",F2071=""),"",F2071*I2071-N(H2071))</f>
        <v/>
      </c>
      <c r="K2071" s="16">
        <f>IF(OR(D2071="",F2071=""),"",F2071*IFERROR(INDEX('Sản phẩm'!$D$5:$D$304,MATCH(D2071,'Sản phẩm'!$A$5:$A$304,0)),""))</f>
        <v/>
      </c>
      <c r="L2071" s="16">
        <f>IF(J2071="","",J2071-K2071)</f>
        <v/>
      </c>
      <c r="M2071" s="14">
        <f>IF(A2071="","",MONTH(A2071))</f>
        <v/>
      </c>
      <c r="N2071" s="14">
        <f>IF(A2071="","",YEAR(A2071))</f>
        <v/>
      </c>
    </row>
    <row r="2072">
      <c r="A2072" s="15" t="n"/>
      <c r="B2072" s="10" t="n"/>
      <c r="C2072" s="10" t="n"/>
      <c r="D2072" s="10" t="n"/>
      <c r="E2072" s="14">
        <f>IF(D2072="","",IFERROR(INDEX('Sản phẩm'!$B$5:$B$304,MATCH(D2072,'Sản phẩm'!$A$5:$A$304,0)),""))</f>
        <v/>
      </c>
      <c r="F2072" s="12" t="n"/>
      <c r="G2072" s="11" t="n"/>
      <c r="H2072" s="11" t="n"/>
      <c r="I2072" s="16">
        <f>IF(D2072="","",IF(G2072&lt;&gt;"",G2072,IFERROR(INDEX('Sản phẩm'!$E$5:$E$304,MATCH(D2072,'Sản phẩm'!$A$5:$A$304,0)),"")))</f>
        <v/>
      </c>
      <c r="J2072" s="16">
        <f>IF(OR(D2072="",F2072=""),"",F2072*I2072-N(H2072))</f>
        <v/>
      </c>
      <c r="K2072" s="16">
        <f>IF(OR(D2072="",F2072=""),"",F2072*IFERROR(INDEX('Sản phẩm'!$D$5:$D$304,MATCH(D2072,'Sản phẩm'!$A$5:$A$304,0)),""))</f>
        <v/>
      </c>
      <c r="L2072" s="16">
        <f>IF(J2072="","",J2072-K2072)</f>
        <v/>
      </c>
      <c r="M2072" s="14">
        <f>IF(A2072="","",MONTH(A2072))</f>
        <v/>
      </c>
      <c r="N2072" s="14">
        <f>IF(A2072="","",YEAR(A2072))</f>
        <v/>
      </c>
    </row>
    <row r="2073">
      <c r="A2073" s="15" t="n"/>
      <c r="B2073" s="10" t="n"/>
      <c r="C2073" s="10" t="n"/>
      <c r="D2073" s="10" t="n"/>
      <c r="E2073" s="14">
        <f>IF(D2073="","",IFERROR(INDEX('Sản phẩm'!$B$5:$B$304,MATCH(D2073,'Sản phẩm'!$A$5:$A$304,0)),""))</f>
        <v/>
      </c>
      <c r="F2073" s="12" t="n"/>
      <c r="G2073" s="11" t="n"/>
      <c r="H2073" s="11" t="n"/>
      <c r="I2073" s="16">
        <f>IF(D2073="","",IF(G2073&lt;&gt;"",G2073,IFERROR(INDEX('Sản phẩm'!$E$5:$E$304,MATCH(D2073,'Sản phẩm'!$A$5:$A$304,0)),"")))</f>
        <v/>
      </c>
      <c r="J2073" s="16">
        <f>IF(OR(D2073="",F2073=""),"",F2073*I2073-N(H2073))</f>
        <v/>
      </c>
      <c r="K2073" s="16">
        <f>IF(OR(D2073="",F2073=""),"",F2073*IFERROR(INDEX('Sản phẩm'!$D$5:$D$304,MATCH(D2073,'Sản phẩm'!$A$5:$A$304,0)),""))</f>
        <v/>
      </c>
      <c r="L2073" s="16">
        <f>IF(J2073="","",J2073-K2073)</f>
        <v/>
      </c>
      <c r="M2073" s="14">
        <f>IF(A2073="","",MONTH(A2073))</f>
        <v/>
      </c>
      <c r="N2073" s="14">
        <f>IF(A2073="","",YEAR(A2073))</f>
        <v/>
      </c>
    </row>
    <row r="2074">
      <c r="A2074" s="15" t="n"/>
      <c r="B2074" s="10" t="n"/>
      <c r="C2074" s="10" t="n"/>
      <c r="D2074" s="10" t="n"/>
      <c r="E2074" s="14">
        <f>IF(D2074="","",IFERROR(INDEX('Sản phẩm'!$B$5:$B$304,MATCH(D2074,'Sản phẩm'!$A$5:$A$304,0)),""))</f>
        <v/>
      </c>
      <c r="F2074" s="12" t="n"/>
      <c r="G2074" s="11" t="n"/>
      <c r="H2074" s="11" t="n"/>
      <c r="I2074" s="16">
        <f>IF(D2074="","",IF(G2074&lt;&gt;"",G2074,IFERROR(INDEX('Sản phẩm'!$E$5:$E$304,MATCH(D2074,'Sản phẩm'!$A$5:$A$304,0)),"")))</f>
        <v/>
      </c>
      <c r="J2074" s="16">
        <f>IF(OR(D2074="",F2074=""),"",F2074*I2074-N(H2074))</f>
        <v/>
      </c>
      <c r="K2074" s="16">
        <f>IF(OR(D2074="",F2074=""),"",F2074*IFERROR(INDEX('Sản phẩm'!$D$5:$D$304,MATCH(D2074,'Sản phẩm'!$A$5:$A$304,0)),""))</f>
        <v/>
      </c>
      <c r="L2074" s="16">
        <f>IF(J2074="","",J2074-K2074)</f>
        <v/>
      </c>
      <c r="M2074" s="14">
        <f>IF(A2074="","",MONTH(A2074))</f>
        <v/>
      </c>
      <c r="N2074" s="14">
        <f>IF(A2074="","",YEAR(A2074))</f>
        <v/>
      </c>
    </row>
    <row r="2075">
      <c r="A2075" s="15" t="n"/>
      <c r="B2075" s="10" t="n"/>
      <c r="C2075" s="10" t="n"/>
      <c r="D2075" s="10" t="n"/>
      <c r="E2075" s="14">
        <f>IF(D2075="","",IFERROR(INDEX('Sản phẩm'!$B$5:$B$304,MATCH(D2075,'Sản phẩm'!$A$5:$A$304,0)),""))</f>
        <v/>
      </c>
      <c r="F2075" s="12" t="n"/>
      <c r="G2075" s="11" t="n"/>
      <c r="H2075" s="11" t="n"/>
      <c r="I2075" s="16">
        <f>IF(D2075="","",IF(G2075&lt;&gt;"",G2075,IFERROR(INDEX('Sản phẩm'!$E$5:$E$304,MATCH(D2075,'Sản phẩm'!$A$5:$A$304,0)),"")))</f>
        <v/>
      </c>
      <c r="J2075" s="16">
        <f>IF(OR(D2075="",F2075=""),"",F2075*I2075-N(H2075))</f>
        <v/>
      </c>
      <c r="K2075" s="16">
        <f>IF(OR(D2075="",F2075=""),"",F2075*IFERROR(INDEX('Sản phẩm'!$D$5:$D$304,MATCH(D2075,'Sản phẩm'!$A$5:$A$304,0)),""))</f>
        <v/>
      </c>
      <c r="L2075" s="16">
        <f>IF(J2075="","",J2075-K2075)</f>
        <v/>
      </c>
      <c r="M2075" s="14">
        <f>IF(A2075="","",MONTH(A2075))</f>
        <v/>
      </c>
      <c r="N2075" s="14">
        <f>IF(A2075="","",YEAR(A2075))</f>
        <v/>
      </c>
    </row>
    <row r="2076">
      <c r="A2076" s="15" t="n"/>
      <c r="B2076" s="10" t="n"/>
      <c r="C2076" s="10" t="n"/>
      <c r="D2076" s="10" t="n"/>
      <c r="E2076" s="14">
        <f>IF(D2076="","",IFERROR(INDEX('Sản phẩm'!$B$5:$B$304,MATCH(D2076,'Sản phẩm'!$A$5:$A$304,0)),""))</f>
        <v/>
      </c>
      <c r="F2076" s="12" t="n"/>
      <c r="G2076" s="11" t="n"/>
      <c r="H2076" s="11" t="n"/>
      <c r="I2076" s="16">
        <f>IF(D2076="","",IF(G2076&lt;&gt;"",G2076,IFERROR(INDEX('Sản phẩm'!$E$5:$E$304,MATCH(D2076,'Sản phẩm'!$A$5:$A$304,0)),"")))</f>
        <v/>
      </c>
      <c r="J2076" s="16">
        <f>IF(OR(D2076="",F2076=""),"",F2076*I2076-N(H2076))</f>
        <v/>
      </c>
      <c r="K2076" s="16">
        <f>IF(OR(D2076="",F2076=""),"",F2076*IFERROR(INDEX('Sản phẩm'!$D$5:$D$304,MATCH(D2076,'Sản phẩm'!$A$5:$A$304,0)),""))</f>
        <v/>
      </c>
      <c r="L2076" s="16">
        <f>IF(J2076="","",J2076-K2076)</f>
        <v/>
      </c>
      <c r="M2076" s="14">
        <f>IF(A2076="","",MONTH(A2076))</f>
        <v/>
      </c>
      <c r="N2076" s="14">
        <f>IF(A2076="","",YEAR(A2076))</f>
        <v/>
      </c>
    </row>
    <row r="2077">
      <c r="A2077" s="15" t="n"/>
      <c r="B2077" s="10" t="n"/>
      <c r="C2077" s="10" t="n"/>
      <c r="D2077" s="10" t="n"/>
      <c r="E2077" s="14">
        <f>IF(D2077="","",IFERROR(INDEX('Sản phẩm'!$B$5:$B$304,MATCH(D2077,'Sản phẩm'!$A$5:$A$304,0)),""))</f>
        <v/>
      </c>
      <c r="F2077" s="12" t="n"/>
      <c r="G2077" s="11" t="n"/>
      <c r="H2077" s="11" t="n"/>
      <c r="I2077" s="16">
        <f>IF(D2077="","",IF(G2077&lt;&gt;"",G2077,IFERROR(INDEX('Sản phẩm'!$E$5:$E$304,MATCH(D2077,'Sản phẩm'!$A$5:$A$304,0)),"")))</f>
        <v/>
      </c>
      <c r="J2077" s="16">
        <f>IF(OR(D2077="",F2077=""),"",F2077*I2077-N(H2077))</f>
        <v/>
      </c>
      <c r="K2077" s="16">
        <f>IF(OR(D2077="",F2077=""),"",F2077*IFERROR(INDEX('Sản phẩm'!$D$5:$D$304,MATCH(D2077,'Sản phẩm'!$A$5:$A$304,0)),""))</f>
        <v/>
      </c>
      <c r="L2077" s="16">
        <f>IF(J2077="","",J2077-K2077)</f>
        <v/>
      </c>
      <c r="M2077" s="14">
        <f>IF(A2077="","",MONTH(A2077))</f>
        <v/>
      </c>
      <c r="N2077" s="14">
        <f>IF(A2077="","",YEAR(A2077))</f>
        <v/>
      </c>
    </row>
    <row r="2078">
      <c r="A2078" s="15" t="n"/>
      <c r="B2078" s="10" t="n"/>
      <c r="C2078" s="10" t="n"/>
      <c r="D2078" s="10" t="n"/>
      <c r="E2078" s="14">
        <f>IF(D2078="","",IFERROR(INDEX('Sản phẩm'!$B$5:$B$304,MATCH(D2078,'Sản phẩm'!$A$5:$A$304,0)),""))</f>
        <v/>
      </c>
      <c r="F2078" s="12" t="n"/>
      <c r="G2078" s="11" t="n"/>
      <c r="H2078" s="11" t="n"/>
      <c r="I2078" s="16">
        <f>IF(D2078="","",IF(G2078&lt;&gt;"",G2078,IFERROR(INDEX('Sản phẩm'!$E$5:$E$304,MATCH(D2078,'Sản phẩm'!$A$5:$A$304,0)),"")))</f>
        <v/>
      </c>
      <c r="J2078" s="16">
        <f>IF(OR(D2078="",F2078=""),"",F2078*I2078-N(H2078))</f>
        <v/>
      </c>
      <c r="K2078" s="16">
        <f>IF(OR(D2078="",F2078=""),"",F2078*IFERROR(INDEX('Sản phẩm'!$D$5:$D$304,MATCH(D2078,'Sản phẩm'!$A$5:$A$304,0)),""))</f>
        <v/>
      </c>
      <c r="L2078" s="16">
        <f>IF(J2078="","",J2078-K2078)</f>
        <v/>
      </c>
      <c r="M2078" s="14">
        <f>IF(A2078="","",MONTH(A2078))</f>
        <v/>
      </c>
      <c r="N2078" s="14">
        <f>IF(A2078="","",YEAR(A2078))</f>
        <v/>
      </c>
    </row>
    <row r="2079">
      <c r="A2079" s="15" t="n"/>
      <c r="B2079" s="10" t="n"/>
      <c r="C2079" s="10" t="n"/>
      <c r="D2079" s="10" t="n"/>
      <c r="E2079" s="14">
        <f>IF(D2079="","",IFERROR(INDEX('Sản phẩm'!$B$5:$B$304,MATCH(D2079,'Sản phẩm'!$A$5:$A$304,0)),""))</f>
        <v/>
      </c>
      <c r="F2079" s="12" t="n"/>
      <c r="G2079" s="11" t="n"/>
      <c r="H2079" s="11" t="n"/>
      <c r="I2079" s="16">
        <f>IF(D2079="","",IF(G2079&lt;&gt;"",G2079,IFERROR(INDEX('Sản phẩm'!$E$5:$E$304,MATCH(D2079,'Sản phẩm'!$A$5:$A$304,0)),"")))</f>
        <v/>
      </c>
      <c r="J2079" s="16">
        <f>IF(OR(D2079="",F2079=""),"",F2079*I2079-N(H2079))</f>
        <v/>
      </c>
      <c r="K2079" s="16">
        <f>IF(OR(D2079="",F2079=""),"",F2079*IFERROR(INDEX('Sản phẩm'!$D$5:$D$304,MATCH(D2079,'Sản phẩm'!$A$5:$A$304,0)),""))</f>
        <v/>
      </c>
      <c r="L2079" s="16">
        <f>IF(J2079="","",J2079-K2079)</f>
        <v/>
      </c>
      <c r="M2079" s="14">
        <f>IF(A2079="","",MONTH(A2079))</f>
        <v/>
      </c>
      <c r="N2079" s="14">
        <f>IF(A2079="","",YEAR(A2079))</f>
        <v/>
      </c>
    </row>
    <row r="2080">
      <c r="A2080" s="15" t="n"/>
      <c r="B2080" s="10" t="n"/>
      <c r="C2080" s="10" t="n"/>
      <c r="D2080" s="10" t="n"/>
      <c r="E2080" s="14">
        <f>IF(D2080="","",IFERROR(INDEX('Sản phẩm'!$B$5:$B$304,MATCH(D2080,'Sản phẩm'!$A$5:$A$304,0)),""))</f>
        <v/>
      </c>
      <c r="F2080" s="12" t="n"/>
      <c r="G2080" s="11" t="n"/>
      <c r="H2080" s="11" t="n"/>
      <c r="I2080" s="16">
        <f>IF(D2080="","",IF(G2080&lt;&gt;"",G2080,IFERROR(INDEX('Sản phẩm'!$E$5:$E$304,MATCH(D2080,'Sản phẩm'!$A$5:$A$304,0)),"")))</f>
        <v/>
      </c>
      <c r="J2080" s="16">
        <f>IF(OR(D2080="",F2080=""),"",F2080*I2080-N(H2080))</f>
        <v/>
      </c>
      <c r="K2080" s="16">
        <f>IF(OR(D2080="",F2080=""),"",F2080*IFERROR(INDEX('Sản phẩm'!$D$5:$D$304,MATCH(D2080,'Sản phẩm'!$A$5:$A$304,0)),""))</f>
        <v/>
      </c>
      <c r="L2080" s="16">
        <f>IF(J2080="","",J2080-K2080)</f>
        <v/>
      </c>
      <c r="M2080" s="14">
        <f>IF(A2080="","",MONTH(A2080))</f>
        <v/>
      </c>
      <c r="N2080" s="14">
        <f>IF(A2080="","",YEAR(A2080))</f>
        <v/>
      </c>
    </row>
    <row r="2081">
      <c r="A2081" s="15" t="n"/>
      <c r="B2081" s="10" t="n"/>
      <c r="C2081" s="10" t="n"/>
      <c r="D2081" s="10" t="n"/>
      <c r="E2081" s="14">
        <f>IF(D2081="","",IFERROR(INDEX('Sản phẩm'!$B$5:$B$304,MATCH(D2081,'Sản phẩm'!$A$5:$A$304,0)),""))</f>
        <v/>
      </c>
      <c r="F2081" s="12" t="n"/>
      <c r="G2081" s="11" t="n"/>
      <c r="H2081" s="11" t="n"/>
      <c r="I2081" s="16">
        <f>IF(D2081="","",IF(G2081&lt;&gt;"",G2081,IFERROR(INDEX('Sản phẩm'!$E$5:$E$304,MATCH(D2081,'Sản phẩm'!$A$5:$A$304,0)),"")))</f>
        <v/>
      </c>
      <c r="J2081" s="16">
        <f>IF(OR(D2081="",F2081=""),"",F2081*I2081-N(H2081))</f>
        <v/>
      </c>
      <c r="K2081" s="16">
        <f>IF(OR(D2081="",F2081=""),"",F2081*IFERROR(INDEX('Sản phẩm'!$D$5:$D$304,MATCH(D2081,'Sản phẩm'!$A$5:$A$304,0)),""))</f>
        <v/>
      </c>
      <c r="L2081" s="16">
        <f>IF(J2081="","",J2081-K2081)</f>
        <v/>
      </c>
      <c r="M2081" s="14">
        <f>IF(A2081="","",MONTH(A2081))</f>
        <v/>
      </c>
      <c r="N2081" s="14">
        <f>IF(A2081="","",YEAR(A2081))</f>
        <v/>
      </c>
    </row>
    <row r="2082">
      <c r="A2082" s="15" t="n"/>
      <c r="B2082" s="10" t="n"/>
      <c r="C2082" s="10" t="n"/>
      <c r="D2082" s="10" t="n"/>
      <c r="E2082" s="14">
        <f>IF(D2082="","",IFERROR(INDEX('Sản phẩm'!$B$5:$B$304,MATCH(D2082,'Sản phẩm'!$A$5:$A$304,0)),""))</f>
        <v/>
      </c>
      <c r="F2082" s="12" t="n"/>
      <c r="G2082" s="11" t="n"/>
      <c r="H2082" s="11" t="n"/>
      <c r="I2082" s="16">
        <f>IF(D2082="","",IF(G2082&lt;&gt;"",G2082,IFERROR(INDEX('Sản phẩm'!$E$5:$E$304,MATCH(D2082,'Sản phẩm'!$A$5:$A$304,0)),"")))</f>
        <v/>
      </c>
      <c r="J2082" s="16">
        <f>IF(OR(D2082="",F2082=""),"",F2082*I2082-N(H2082))</f>
        <v/>
      </c>
      <c r="K2082" s="16">
        <f>IF(OR(D2082="",F2082=""),"",F2082*IFERROR(INDEX('Sản phẩm'!$D$5:$D$304,MATCH(D2082,'Sản phẩm'!$A$5:$A$304,0)),""))</f>
        <v/>
      </c>
      <c r="L2082" s="16">
        <f>IF(J2082="","",J2082-K2082)</f>
        <v/>
      </c>
      <c r="M2082" s="14">
        <f>IF(A2082="","",MONTH(A2082))</f>
        <v/>
      </c>
      <c r="N2082" s="14">
        <f>IF(A2082="","",YEAR(A2082))</f>
        <v/>
      </c>
    </row>
    <row r="2083">
      <c r="A2083" s="15" t="n"/>
      <c r="B2083" s="10" t="n"/>
      <c r="C2083" s="10" t="n"/>
      <c r="D2083" s="10" t="n"/>
      <c r="E2083" s="14">
        <f>IF(D2083="","",IFERROR(INDEX('Sản phẩm'!$B$5:$B$304,MATCH(D2083,'Sản phẩm'!$A$5:$A$304,0)),""))</f>
        <v/>
      </c>
      <c r="F2083" s="12" t="n"/>
      <c r="G2083" s="11" t="n"/>
      <c r="H2083" s="11" t="n"/>
      <c r="I2083" s="16">
        <f>IF(D2083="","",IF(G2083&lt;&gt;"",G2083,IFERROR(INDEX('Sản phẩm'!$E$5:$E$304,MATCH(D2083,'Sản phẩm'!$A$5:$A$304,0)),"")))</f>
        <v/>
      </c>
      <c r="J2083" s="16">
        <f>IF(OR(D2083="",F2083=""),"",F2083*I2083-N(H2083))</f>
        <v/>
      </c>
      <c r="K2083" s="16">
        <f>IF(OR(D2083="",F2083=""),"",F2083*IFERROR(INDEX('Sản phẩm'!$D$5:$D$304,MATCH(D2083,'Sản phẩm'!$A$5:$A$304,0)),""))</f>
        <v/>
      </c>
      <c r="L2083" s="16">
        <f>IF(J2083="","",J2083-K2083)</f>
        <v/>
      </c>
      <c r="M2083" s="14">
        <f>IF(A2083="","",MONTH(A2083))</f>
        <v/>
      </c>
      <c r="N2083" s="14">
        <f>IF(A2083="","",YEAR(A2083))</f>
        <v/>
      </c>
    </row>
    <row r="2084">
      <c r="A2084" s="15" t="n"/>
      <c r="B2084" s="10" t="n"/>
      <c r="C2084" s="10" t="n"/>
      <c r="D2084" s="10" t="n"/>
      <c r="E2084" s="14">
        <f>IF(D2084="","",IFERROR(INDEX('Sản phẩm'!$B$5:$B$304,MATCH(D2084,'Sản phẩm'!$A$5:$A$304,0)),""))</f>
        <v/>
      </c>
      <c r="F2084" s="12" t="n"/>
      <c r="G2084" s="11" t="n"/>
      <c r="H2084" s="11" t="n"/>
      <c r="I2084" s="16">
        <f>IF(D2084="","",IF(G2084&lt;&gt;"",G2084,IFERROR(INDEX('Sản phẩm'!$E$5:$E$304,MATCH(D2084,'Sản phẩm'!$A$5:$A$304,0)),"")))</f>
        <v/>
      </c>
      <c r="J2084" s="16">
        <f>IF(OR(D2084="",F2084=""),"",F2084*I2084-N(H2084))</f>
        <v/>
      </c>
      <c r="K2084" s="16">
        <f>IF(OR(D2084="",F2084=""),"",F2084*IFERROR(INDEX('Sản phẩm'!$D$5:$D$304,MATCH(D2084,'Sản phẩm'!$A$5:$A$304,0)),""))</f>
        <v/>
      </c>
      <c r="L2084" s="16">
        <f>IF(J2084="","",J2084-K2084)</f>
        <v/>
      </c>
      <c r="M2084" s="14">
        <f>IF(A2084="","",MONTH(A2084))</f>
        <v/>
      </c>
      <c r="N2084" s="14">
        <f>IF(A2084="","",YEAR(A2084))</f>
        <v/>
      </c>
    </row>
    <row r="2085">
      <c r="A2085" s="15" t="n"/>
      <c r="B2085" s="10" t="n"/>
      <c r="C2085" s="10" t="n"/>
      <c r="D2085" s="10" t="n"/>
      <c r="E2085" s="14">
        <f>IF(D2085="","",IFERROR(INDEX('Sản phẩm'!$B$5:$B$304,MATCH(D2085,'Sản phẩm'!$A$5:$A$304,0)),""))</f>
        <v/>
      </c>
      <c r="F2085" s="12" t="n"/>
      <c r="G2085" s="11" t="n"/>
      <c r="H2085" s="11" t="n"/>
      <c r="I2085" s="16">
        <f>IF(D2085="","",IF(G2085&lt;&gt;"",G2085,IFERROR(INDEX('Sản phẩm'!$E$5:$E$304,MATCH(D2085,'Sản phẩm'!$A$5:$A$304,0)),"")))</f>
        <v/>
      </c>
      <c r="J2085" s="16">
        <f>IF(OR(D2085="",F2085=""),"",F2085*I2085-N(H2085))</f>
        <v/>
      </c>
      <c r="K2085" s="16">
        <f>IF(OR(D2085="",F2085=""),"",F2085*IFERROR(INDEX('Sản phẩm'!$D$5:$D$304,MATCH(D2085,'Sản phẩm'!$A$5:$A$304,0)),""))</f>
        <v/>
      </c>
      <c r="L2085" s="16">
        <f>IF(J2085="","",J2085-K2085)</f>
        <v/>
      </c>
      <c r="M2085" s="14">
        <f>IF(A2085="","",MONTH(A2085))</f>
        <v/>
      </c>
      <c r="N2085" s="14">
        <f>IF(A2085="","",YEAR(A2085))</f>
        <v/>
      </c>
    </row>
    <row r="2086">
      <c r="A2086" s="15" t="n"/>
      <c r="B2086" s="10" t="n"/>
      <c r="C2086" s="10" t="n"/>
      <c r="D2086" s="10" t="n"/>
      <c r="E2086" s="14">
        <f>IF(D2086="","",IFERROR(INDEX('Sản phẩm'!$B$5:$B$304,MATCH(D2086,'Sản phẩm'!$A$5:$A$304,0)),""))</f>
        <v/>
      </c>
      <c r="F2086" s="12" t="n"/>
      <c r="G2086" s="11" t="n"/>
      <c r="H2086" s="11" t="n"/>
      <c r="I2086" s="16">
        <f>IF(D2086="","",IF(G2086&lt;&gt;"",G2086,IFERROR(INDEX('Sản phẩm'!$E$5:$E$304,MATCH(D2086,'Sản phẩm'!$A$5:$A$304,0)),"")))</f>
        <v/>
      </c>
      <c r="J2086" s="16">
        <f>IF(OR(D2086="",F2086=""),"",F2086*I2086-N(H2086))</f>
        <v/>
      </c>
      <c r="K2086" s="16">
        <f>IF(OR(D2086="",F2086=""),"",F2086*IFERROR(INDEX('Sản phẩm'!$D$5:$D$304,MATCH(D2086,'Sản phẩm'!$A$5:$A$304,0)),""))</f>
        <v/>
      </c>
      <c r="L2086" s="16">
        <f>IF(J2086="","",J2086-K2086)</f>
        <v/>
      </c>
      <c r="M2086" s="14">
        <f>IF(A2086="","",MONTH(A2086))</f>
        <v/>
      </c>
      <c r="N2086" s="14">
        <f>IF(A2086="","",YEAR(A2086))</f>
        <v/>
      </c>
    </row>
    <row r="2087">
      <c r="A2087" s="15" t="n"/>
      <c r="B2087" s="10" t="n"/>
      <c r="C2087" s="10" t="n"/>
      <c r="D2087" s="10" t="n"/>
      <c r="E2087" s="14">
        <f>IF(D2087="","",IFERROR(INDEX('Sản phẩm'!$B$5:$B$304,MATCH(D2087,'Sản phẩm'!$A$5:$A$304,0)),""))</f>
        <v/>
      </c>
      <c r="F2087" s="12" t="n"/>
      <c r="G2087" s="11" t="n"/>
      <c r="H2087" s="11" t="n"/>
      <c r="I2087" s="16">
        <f>IF(D2087="","",IF(G2087&lt;&gt;"",G2087,IFERROR(INDEX('Sản phẩm'!$E$5:$E$304,MATCH(D2087,'Sản phẩm'!$A$5:$A$304,0)),"")))</f>
        <v/>
      </c>
      <c r="J2087" s="16">
        <f>IF(OR(D2087="",F2087=""),"",F2087*I2087-N(H2087))</f>
        <v/>
      </c>
      <c r="K2087" s="16">
        <f>IF(OR(D2087="",F2087=""),"",F2087*IFERROR(INDEX('Sản phẩm'!$D$5:$D$304,MATCH(D2087,'Sản phẩm'!$A$5:$A$304,0)),""))</f>
        <v/>
      </c>
      <c r="L2087" s="16">
        <f>IF(J2087="","",J2087-K2087)</f>
        <v/>
      </c>
      <c r="M2087" s="14">
        <f>IF(A2087="","",MONTH(A2087))</f>
        <v/>
      </c>
      <c r="N2087" s="14">
        <f>IF(A2087="","",YEAR(A2087))</f>
        <v/>
      </c>
    </row>
    <row r="2088">
      <c r="A2088" s="15" t="n"/>
      <c r="B2088" s="10" t="n"/>
      <c r="C2088" s="10" t="n"/>
      <c r="D2088" s="10" t="n"/>
      <c r="E2088" s="14">
        <f>IF(D2088="","",IFERROR(INDEX('Sản phẩm'!$B$5:$B$304,MATCH(D2088,'Sản phẩm'!$A$5:$A$304,0)),""))</f>
        <v/>
      </c>
      <c r="F2088" s="12" t="n"/>
      <c r="G2088" s="11" t="n"/>
      <c r="H2088" s="11" t="n"/>
      <c r="I2088" s="16">
        <f>IF(D2088="","",IF(G2088&lt;&gt;"",G2088,IFERROR(INDEX('Sản phẩm'!$E$5:$E$304,MATCH(D2088,'Sản phẩm'!$A$5:$A$304,0)),"")))</f>
        <v/>
      </c>
      <c r="J2088" s="16">
        <f>IF(OR(D2088="",F2088=""),"",F2088*I2088-N(H2088))</f>
        <v/>
      </c>
      <c r="K2088" s="16">
        <f>IF(OR(D2088="",F2088=""),"",F2088*IFERROR(INDEX('Sản phẩm'!$D$5:$D$304,MATCH(D2088,'Sản phẩm'!$A$5:$A$304,0)),""))</f>
        <v/>
      </c>
      <c r="L2088" s="16">
        <f>IF(J2088="","",J2088-K2088)</f>
        <v/>
      </c>
      <c r="M2088" s="14">
        <f>IF(A2088="","",MONTH(A2088))</f>
        <v/>
      </c>
      <c r="N2088" s="14">
        <f>IF(A2088="","",YEAR(A2088))</f>
        <v/>
      </c>
    </row>
    <row r="2089">
      <c r="A2089" s="15" t="n"/>
      <c r="B2089" s="10" t="n"/>
      <c r="C2089" s="10" t="n"/>
      <c r="D2089" s="10" t="n"/>
      <c r="E2089" s="14">
        <f>IF(D2089="","",IFERROR(INDEX('Sản phẩm'!$B$5:$B$304,MATCH(D2089,'Sản phẩm'!$A$5:$A$304,0)),""))</f>
        <v/>
      </c>
      <c r="F2089" s="12" t="n"/>
      <c r="G2089" s="11" t="n"/>
      <c r="H2089" s="11" t="n"/>
      <c r="I2089" s="16">
        <f>IF(D2089="","",IF(G2089&lt;&gt;"",G2089,IFERROR(INDEX('Sản phẩm'!$E$5:$E$304,MATCH(D2089,'Sản phẩm'!$A$5:$A$304,0)),"")))</f>
        <v/>
      </c>
      <c r="J2089" s="16">
        <f>IF(OR(D2089="",F2089=""),"",F2089*I2089-N(H2089))</f>
        <v/>
      </c>
      <c r="K2089" s="16">
        <f>IF(OR(D2089="",F2089=""),"",F2089*IFERROR(INDEX('Sản phẩm'!$D$5:$D$304,MATCH(D2089,'Sản phẩm'!$A$5:$A$304,0)),""))</f>
        <v/>
      </c>
      <c r="L2089" s="16">
        <f>IF(J2089="","",J2089-K2089)</f>
        <v/>
      </c>
      <c r="M2089" s="14">
        <f>IF(A2089="","",MONTH(A2089))</f>
        <v/>
      </c>
      <c r="N2089" s="14">
        <f>IF(A2089="","",YEAR(A2089))</f>
        <v/>
      </c>
    </row>
    <row r="2090">
      <c r="A2090" s="15" t="n"/>
      <c r="B2090" s="10" t="n"/>
      <c r="C2090" s="10" t="n"/>
      <c r="D2090" s="10" t="n"/>
      <c r="E2090" s="14">
        <f>IF(D2090="","",IFERROR(INDEX('Sản phẩm'!$B$5:$B$304,MATCH(D2090,'Sản phẩm'!$A$5:$A$304,0)),""))</f>
        <v/>
      </c>
      <c r="F2090" s="12" t="n"/>
      <c r="G2090" s="11" t="n"/>
      <c r="H2090" s="11" t="n"/>
      <c r="I2090" s="16">
        <f>IF(D2090="","",IF(G2090&lt;&gt;"",G2090,IFERROR(INDEX('Sản phẩm'!$E$5:$E$304,MATCH(D2090,'Sản phẩm'!$A$5:$A$304,0)),"")))</f>
        <v/>
      </c>
      <c r="J2090" s="16">
        <f>IF(OR(D2090="",F2090=""),"",F2090*I2090-N(H2090))</f>
        <v/>
      </c>
      <c r="K2090" s="16">
        <f>IF(OR(D2090="",F2090=""),"",F2090*IFERROR(INDEX('Sản phẩm'!$D$5:$D$304,MATCH(D2090,'Sản phẩm'!$A$5:$A$304,0)),""))</f>
        <v/>
      </c>
      <c r="L2090" s="16">
        <f>IF(J2090="","",J2090-K2090)</f>
        <v/>
      </c>
      <c r="M2090" s="14">
        <f>IF(A2090="","",MONTH(A2090))</f>
        <v/>
      </c>
      <c r="N2090" s="14">
        <f>IF(A2090="","",YEAR(A2090))</f>
        <v/>
      </c>
    </row>
    <row r="2091">
      <c r="A2091" s="15" t="n"/>
      <c r="B2091" s="10" t="n"/>
      <c r="C2091" s="10" t="n"/>
      <c r="D2091" s="10" t="n"/>
      <c r="E2091" s="14">
        <f>IF(D2091="","",IFERROR(INDEX('Sản phẩm'!$B$5:$B$304,MATCH(D2091,'Sản phẩm'!$A$5:$A$304,0)),""))</f>
        <v/>
      </c>
      <c r="F2091" s="12" t="n"/>
      <c r="G2091" s="11" t="n"/>
      <c r="H2091" s="11" t="n"/>
      <c r="I2091" s="16">
        <f>IF(D2091="","",IF(G2091&lt;&gt;"",G2091,IFERROR(INDEX('Sản phẩm'!$E$5:$E$304,MATCH(D2091,'Sản phẩm'!$A$5:$A$304,0)),"")))</f>
        <v/>
      </c>
      <c r="J2091" s="16">
        <f>IF(OR(D2091="",F2091=""),"",F2091*I2091-N(H2091))</f>
        <v/>
      </c>
      <c r="K2091" s="16">
        <f>IF(OR(D2091="",F2091=""),"",F2091*IFERROR(INDEX('Sản phẩm'!$D$5:$D$304,MATCH(D2091,'Sản phẩm'!$A$5:$A$304,0)),""))</f>
        <v/>
      </c>
      <c r="L2091" s="16">
        <f>IF(J2091="","",J2091-K2091)</f>
        <v/>
      </c>
      <c r="M2091" s="14">
        <f>IF(A2091="","",MONTH(A2091))</f>
        <v/>
      </c>
      <c r="N2091" s="14">
        <f>IF(A2091="","",YEAR(A2091))</f>
        <v/>
      </c>
    </row>
    <row r="2092">
      <c r="A2092" s="15" t="n"/>
      <c r="B2092" s="10" t="n"/>
      <c r="C2092" s="10" t="n"/>
      <c r="D2092" s="10" t="n"/>
      <c r="E2092" s="14">
        <f>IF(D2092="","",IFERROR(INDEX('Sản phẩm'!$B$5:$B$304,MATCH(D2092,'Sản phẩm'!$A$5:$A$304,0)),""))</f>
        <v/>
      </c>
      <c r="F2092" s="12" t="n"/>
      <c r="G2092" s="11" t="n"/>
      <c r="H2092" s="11" t="n"/>
      <c r="I2092" s="16">
        <f>IF(D2092="","",IF(G2092&lt;&gt;"",G2092,IFERROR(INDEX('Sản phẩm'!$E$5:$E$304,MATCH(D2092,'Sản phẩm'!$A$5:$A$304,0)),"")))</f>
        <v/>
      </c>
      <c r="J2092" s="16">
        <f>IF(OR(D2092="",F2092=""),"",F2092*I2092-N(H2092))</f>
        <v/>
      </c>
      <c r="K2092" s="16">
        <f>IF(OR(D2092="",F2092=""),"",F2092*IFERROR(INDEX('Sản phẩm'!$D$5:$D$304,MATCH(D2092,'Sản phẩm'!$A$5:$A$304,0)),""))</f>
        <v/>
      </c>
      <c r="L2092" s="16">
        <f>IF(J2092="","",J2092-K2092)</f>
        <v/>
      </c>
      <c r="M2092" s="14">
        <f>IF(A2092="","",MONTH(A2092))</f>
        <v/>
      </c>
      <c r="N2092" s="14">
        <f>IF(A2092="","",YEAR(A2092))</f>
        <v/>
      </c>
    </row>
    <row r="2093">
      <c r="A2093" s="15" t="n"/>
      <c r="B2093" s="10" t="n"/>
      <c r="C2093" s="10" t="n"/>
      <c r="D2093" s="10" t="n"/>
      <c r="E2093" s="14">
        <f>IF(D2093="","",IFERROR(INDEX('Sản phẩm'!$B$5:$B$304,MATCH(D2093,'Sản phẩm'!$A$5:$A$304,0)),""))</f>
        <v/>
      </c>
      <c r="F2093" s="12" t="n"/>
      <c r="G2093" s="11" t="n"/>
      <c r="H2093" s="11" t="n"/>
      <c r="I2093" s="16">
        <f>IF(D2093="","",IF(G2093&lt;&gt;"",G2093,IFERROR(INDEX('Sản phẩm'!$E$5:$E$304,MATCH(D2093,'Sản phẩm'!$A$5:$A$304,0)),"")))</f>
        <v/>
      </c>
      <c r="J2093" s="16">
        <f>IF(OR(D2093="",F2093=""),"",F2093*I2093-N(H2093))</f>
        <v/>
      </c>
      <c r="K2093" s="16">
        <f>IF(OR(D2093="",F2093=""),"",F2093*IFERROR(INDEX('Sản phẩm'!$D$5:$D$304,MATCH(D2093,'Sản phẩm'!$A$5:$A$304,0)),""))</f>
        <v/>
      </c>
      <c r="L2093" s="16">
        <f>IF(J2093="","",J2093-K2093)</f>
        <v/>
      </c>
      <c r="M2093" s="14">
        <f>IF(A2093="","",MONTH(A2093))</f>
        <v/>
      </c>
      <c r="N2093" s="14">
        <f>IF(A2093="","",YEAR(A2093))</f>
        <v/>
      </c>
    </row>
    <row r="2094">
      <c r="A2094" s="15" t="n"/>
      <c r="B2094" s="10" t="n"/>
      <c r="C2094" s="10" t="n"/>
      <c r="D2094" s="10" t="n"/>
      <c r="E2094" s="14">
        <f>IF(D2094="","",IFERROR(INDEX('Sản phẩm'!$B$5:$B$304,MATCH(D2094,'Sản phẩm'!$A$5:$A$304,0)),""))</f>
        <v/>
      </c>
      <c r="F2094" s="12" t="n"/>
      <c r="G2094" s="11" t="n"/>
      <c r="H2094" s="11" t="n"/>
      <c r="I2094" s="16">
        <f>IF(D2094="","",IF(G2094&lt;&gt;"",G2094,IFERROR(INDEX('Sản phẩm'!$E$5:$E$304,MATCH(D2094,'Sản phẩm'!$A$5:$A$304,0)),"")))</f>
        <v/>
      </c>
      <c r="J2094" s="16">
        <f>IF(OR(D2094="",F2094=""),"",F2094*I2094-N(H2094))</f>
        <v/>
      </c>
      <c r="K2094" s="16">
        <f>IF(OR(D2094="",F2094=""),"",F2094*IFERROR(INDEX('Sản phẩm'!$D$5:$D$304,MATCH(D2094,'Sản phẩm'!$A$5:$A$304,0)),""))</f>
        <v/>
      </c>
      <c r="L2094" s="16">
        <f>IF(J2094="","",J2094-K2094)</f>
        <v/>
      </c>
      <c r="M2094" s="14">
        <f>IF(A2094="","",MONTH(A2094))</f>
        <v/>
      </c>
      <c r="N2094" s="14">
        <f>IF(A2094="","",YEAR(A2094))</f>
        <v/>
      </c>
    </row>
    <row r="2095">
      <c r="A2095" s="15" t="n"/>
      <c r="B2095" s="10" t="n"/>
      <c r="C2095" s="10" t="n"/>
      <c r="D2095" s="10" t="n"/>
      <c r="E2095" s="14">
        <f>IF(D2095="","",IFERROR(INDEX('Sản phẩm'!$B$5:$B$304,MATCH(D2095,'Sản phẩm'!$A$5:$A$304,0)),""))</f>
        <v/>
      </c>
      <c r="F2095" s="12" t="n"/>
      <c r="G2095" s="11" t="n"/>
      <c r="H2095" s="11" t="n"/>
      <c r="I2095" s="16">
        <f>IF(D2095="","",IF(G2095&lt;&gt;"",G2095,IFERROR(INDEX('Sản phẩm'!$E$5:$E$304,MATCH(D2095,'Sản phẩm'!$A$5:$A$304,0)),"")))</f>
        <v/>
      </c>
      <c r="J2095" s="16">
        <f>IF(OR(D2095="",F2095=""),"",F2095*I2095-N(H2095))</f>
        <v/>
      </c>
      <c r="K2095" s="16">
        <f>IF(OR(D2095="",F2095=""),"",F2095*IFERROR(INDEX('Sản phẩm'!$D$5:$D$304,MATCH(D2095,'Sản phẩm'!$A$5:$A$304,0)),""))</f>
        <v/>
      </c>
      <c r="L2095" s="16">
        <f>IF(J2095="","",J2095-K2095)</f>
        <v/>
      </c>
      <c r="M2095" s="14">
        <f>IF(A2095="","",MONTH(A2095))</f>
        <v/>
      </c>
      <c r="N2095" s="14">
        <f>IF(A2095="","",YEAR(A2095))</f>
        <v/>
      </c>
    </row>
    <row r="2096">
      <c r="A2096" s="15" t="n"/>
      <c r="B2096" s="10" t="n"/>
      <c r="C2096" s="10" t="n"/>
      <c r="D2096" s="10" t="n"/>
      <c r="E2096" s="14">
        <f>IF(D2096="","",IFERROR(INDEX('Sản phẩm'!$B$5:$B$304,MATCH(D2096,'Sản phẩm'!$A$5:$A$304,0)),""))</f>
        <v/>
      </c>
      <c r="F2096" s="12" t="n"/>
      <c r="G2096" s="11" t="n"/>
      <c r="H2096" s="11" t="n"/>
      <c r="I2096" s="16">
        <f>IF(D2096="","",IF(G2096&lt;&gt;"",G2096,IFERROR(INDEX('Sản phẩm'!$E$5:$E$304,MATCH(D2096,'Sản phẩm'!$A$5:$A$304,0)),"")))</f>
        <v/>
      </c>
      <c r="J2096" s="16">
        <f>IF(OR(D2096="",F2096=""),"",F2096*I2096-N(H2096))</f>
        <v/>
      </c>
      <c r="K2096" s="16">
        <f>IF(OR(D2096="",F2096=""),"",F2096*IFERROR(INDEX('Sản phẩm'!$D$5:$D$304,MATCH(D2096,'Sản phẩm'!$A$5:$A$304,0)),""))</f>
        <v/>
      </c>
      <c r="L2096" s="16">
        <f>IF(J2096="","",J2096-K2096)</f>
        <v/>
      </c>
      <c r="M2096" s="14">
        <f>IF(A2096="","",MONTH(A2096))</f>
        <v/>
      </c>
      <c r="N2096" s="14">
        <f>IF(A2096="","",YEAR(A2096))</f>
        <v/>
      </c>
    </row>
    <row r="2097">
      <c r="A2097" s="15" t="n"/>
      <c r="B2097" s="10" t="n"/>
      <c r="C2097" s="10" t="n"/>
      <c r="D2097" s="10" t="n"/>
      <c r="E2097" s="14">
        <f>IF(D2097="","",IFERROR(INDEX('Sản phẩm'!$B$5:$B$304,MATCH(D2097,'Sản phẩm'!$A$5:$A$304,0)),""))</f>
        <v/>
      </c>
      <c r="F2097" s="12" t="n"/>
      <c r="G2097" s="11" t="n"/>
      <c r="H2097" s="11" t="n"/>
      <c r="I2097" s="16">
        <f>IF(D2097="","",IF(G2097&lt;&gt;"",G2097,IFERROR(INDEX('Sản phẩm'!$E$5:$E$304,MATCH(D2097,'Sản phẩm'!$A$5:$A$304,0)),"")))</f>
        <v/>
      </c>
      <c r="J2097" s="16">
        <f>IF(OR(D2097="",F2097=""),"",F2097*I2097-N(H2097))</f>
        <v/>
      </c>
      <c r="K2097" s="16">
        <f>IF(OR(D2097="",F2097=""),"",F2097*IFERROR(INDEX('Sản phẩm'!$D$5:$D$304,MATCH(D2097,'Sản phẩm'!$A$5:$A$304,0)),""))</f>
        <v/>
      </c>
      <c r="L2097" s="16">
        <f>IF(J2097="","",J2097-K2097)</f>
        <v/>
      </c>
      <c r="M2097" s="14">
        <f>IF(A2097="","",MONTH(A2097))</f>
        <v/>
      </c>
      <c r="N2097" s="14">
        <f>IF(A2097="","",YEAR(A2097))</f>
        <v/>
      </c>
    </row>
    <row r="2098">
      <c r="A2098" s="15" t="n"/>
      <c r="B2098" s="10" t="n"/>
      <c r="C2098" s="10" t="n"/>
      <c r="D2098" s="10" t="n"/>
      <c r="E2098" s="14">
        <f>IF(D2098="","",IFERROR(INDEX('Sản phẩm'!$B$5:$B$304,MATCH(D2098,'Sản phẩm'!$A$5:$A$304,0)),""))</f>
        <v/>
      </c>
      <c r="F2098" s="12" t="n"/>
      <c r="G2098" s="11" t="n"/>
      <c r="H2098" s="11" t="n"/>
      <c r="I2098" s="16">
        <f>IF(D2098="","",IF(G2098&lt;&gt;"",G2098,IFERROR(INDEX('Sản phẩm'!$E$5:$E$304,MATCH(D2098,'Sản phẩm'!$A$5:$A$304,0)),"")))</f>
        <v/>
      </c>
      <c r="J2098" s="16">
        <f>IF(OR(D2098="",F2098=""),"",F2098*I2098-N(H2098))</f>
        <v/>
      </c>
      <c r="K2098" s="16">
        <f>IF(OR(D2098="",F2098=""),"",F2098*IFERROR(INDEX('Sản phẩm'!$D$5:$D$304,MATCH(D2098,'Sản phẩm'!$A$5:$A$304,0)),""))</f>
        <v/>
      </c>
      <c r="L2098" s="16">
        <f>IF(J2098="","",J2098-K2098)</f>
        <v/>
      </c>
      <c r="M2098" s="14">
        <f>IF(A2098="","",MONTH(A2098))</f>
        <v/>
      </c>
      <c r="N2098" s="14">
        <f>IF(A2098="","",YEAR(A2098))</f>
        <v/>
      </c>
    </row>
    <row r="2099">
      <c r="A2099" s="15" t="n"/>
      <c r="B2099" s="10" t="n"/>
      <c r="C2099" s="10" t="n"/>
      <c r="D2099" s="10" t="n"/>
      <c r="E2099" s="14">
        <f>IF(D2099="","",IFERROR(INDEX('Sản phẩm'!$B$5:$B$304,MATCH(D2099,'Sản phẩm'!$A$5:$A$304,0)),""))</f>
        <v/>
      </c>
      <c r="F2099" s="12" t="n"/>
      <c r="G2099" s="11" t="n"/>
      <c r="H2099" s="11" t="n"/>
      <c r="I2099" s="16">
        <f>IF(D2099="","",IF(G2099&lt;&gt;"",G2099,IFERROR(INDEX('Sản phẩm'!$E$5:$E$304,MATCH(D2099,'Sản phẩm'!$A$5:$A$304,0)),"")))</f>
        <v/>
      </c>
      <c r="J2099" s="16">
        <f>IF(OR(D2099="",F2099=""),"",F2099*I2099-N(H2099))</f>
        <v/>
      </c>
      <c r="K2099" s="16">
        <f>IF(OR(D2099="",F2099=""),"",F2099*IFERROR(INDEX('Sản phẩm'!$D$5:$D$304,MATCH(D2099,'Sản phẩm'!$A$5:$A$304,0)),""))</f>
        <v/>
      </c>
      <c r="L2099" s="16">
        <f>IF(J2099="","",J2099-K2099)</f>
        <v/>
      </c>
      <c r="M2099" s="14">
        <f>IF(A2099="","",MONTH(A2099))</f>
        <v/>
      </c>
      <c r="N2099" s="14">
        <f>IF(A2099="","",YEAR(A2099))</f>
        <v/>
      </c>
    </row>
    <row r="2100">
      <c r="A2100" s="15" t="n"/>
      <c r="B2100" s="10" t="n"/>
      <c r="C2100" s="10" t="n"/>
      <c r="D2100" s="10" t="n"/>
      <c r="E2100" s="14">
        <f>IF(D2100="","",IFERROR(INDEX('Sản phẩm'!$B$5:$B$304,MATCH(D2100,'Sản phẩm'!$A$5:$A$304,0)),""))</f>
        <v/>
      </c>
      <c r="F2100" s="12" t="n"/>
      <c r="G2100" s="11" t="n"/>
      <c r="H2100" s="11" t="n"/>
      <c r="I2100" s="16">
        <f>IF(D2100="","",IF(G2100&lt;&gt;"",G2100,IFERROR(INDEX('Sản phẩm'!$E$5:$E$304,MATCH(D2100,'Sản phẩm'!$A$5:$A$304,0)),"")))</f>
        <v/>
      </c>
      <c r="J2100" s="16">
        <f>IF(OR(D2100="",F2100=""),"",F2100*I2100-N(H2100))</f>
        <v/>
      </c>
      <c r="K2100" s="16">
        <f>IF(OR(D2100="",F2100=""),"",F2100*IFERROR(INDEX('Sản phẩm'!$D$5:$D$304,MATCH(D2100,'Sản phẩm'!$A$5:$A$304,0)),""))</f>
        <v/>
      </c>
      <c r="L2100" s="16">
        <f>IF(J2100="","",J2100-K2100)</f>
        <v/>
      </c>
      <c r="M2100" s="14">
        <f>IF(A2100="","",MONTH(A2100))</f>
        <v/>
      </c>
      <c r="N2100" s="14">
        <f>IF(A2100="","",YEAR(A2100))</f>
        <v/>
      </c>
    </row>
    <row r="2101">
      <c r="A2101" s="15" t="n"/>
      <c r="B2101" s="10" t="n"/>
      <c r="C2101" s="10" t="n"/>
      <c r="D2101" s="10" t="n"/>
      <c r="E2101" s="14">
        <f>IF(D2101="","",IFERROR(INDEX('Sản phẩm'!$B$5:$B$304,MATCH(D2101,'Sản phẩm'!$A$5:$A$304,0)),""))</f>
        <v/>
      </c>
      <c r="F2101" s="12" t="n"/>
      <c r="G2101" s="11" t="n"/>
      <c r="H2101" s="11" t="n"/>
      <c r="I2101" s="16">
        <f>IF(D2101="","",IF(G2101&lt;&gt;"",G2101,IFERROR(INDEX('Sản phẩm'!$E$5:$E$304,MATCH(D2101,'Sản phẩm'!$A$5:$A$304,0)),"")))</f>
        <v/>
      </c>
      <c r="J2101" s="16">
        <f>IF(OR(D2101="",F2101=""),"",F2101*I2101-N(H2101))</f>
        <v/>
      </c>
      <c r="K2101" s="16">
        <f>IF(OR(D2101="",F2101=""),"",F2101*IFERROR(INDEX('Sản phẩm'!$D$5:$D$304,MATCH(D2101,'Sản phẩm'!$A$5:$A$304,0)),""))</f>
        <v/>
      </c>
      <c r="L2101" s="16">
        <f>IF(J2101="","",J2101-K2101)</f>
        <v/>
      </c>
      <c r="M2101" s="14">
        <f>IF(A2101="","",MONTH(A2101))</f>
        <v/>
      </c>
      <c r="N2101" s="14">
        <f>IF(A2101="","",YEAR(A2101))</f>
        <v/>
      </c>
    </row>
    <row r="2102">
      <c r="A2102" s="15" t="n"/>
      <c r="B2102" s="10" t="n"/>
      <c r="C2102" s="10" t="n"/>
      <c r="D2102" s="10" t="n"/>
      <c r="E2102" s="14">
        <f>IF(D2102="","",IFERROR(INDEX('Sản phẩm'!$B$5:$B$304,MATCH(D2102,'Sản phẩm'!$A$5:$A$304,0)),""))</f>
        <v/>
      </c>
      <c r="F2102" s="12" t="n"/>
      <c r="G2102" s="11" t="n"/>
      <c r="H2102" s="11" t="n"/>
      <c r="I2102" s="16">
        <f>IF(D2102="","",IF(G2102&lt;&gt;"",G2102,IFERROR(INDEX('Sản phẩm'!$E$5:$E$304,MATCH(D2102,'Sản phẩm'!$A$5:$A$304,0)),"")))</f>
        <v/>
      </c>
      <c r="J2102" s="16">
        <f>IF(OR(D2102="",F2102=""),"",F2102*I2102-N(H2102))</f>
        <v/>
      </c>
      <c r="K2102" s="16">
        <f>IF(OR(D2102="",F2102=""),"",F2102*IFERROR(INDEX('Sản phẩm'!$D$5:$D$304,MATCH(D2102,'Sản phẩm'!$A$5:$A$304,0)),""))</f>
        <v/>
      </c>
      <c r="L2102" s="16">
        <f>IF(J2102="","",J2102-K2102)</f>
        <v/>
      </c>
      <c r="M2102" s="14">
        <f>IF(A2102="","",MONTH(A2102))</f>
        <v/>
      </c>
      <c r="N2102" s="14">
        <f>IF(A2102="","",YEAR(A2102))</f>
        <v/>
      </c>
    </row>
    <row r="2103">
      <c r="A2103" s="15" t="n"/>
      <c r="B2103" s="10" t="n"/>
      <c r="C2103" s="10" t="n"/>
      <c r="D2103" s="10" t="n"/>
      <c r="E2103" s="14">
        <f>IF(D2103="","",IFERROR(INDEX('Sản phẩm'!$B$5:$B$304,MATCH(D2103,'Sản phẩm'!$A$5:$A$304,0)),""))</f>
        <v/>
      </c>
      <c r="F2103" s="12" t="n"/>
      <c r="G2103" s="11" t="n"/>
      <c r="H2103" s="11" t="n"/>
      <c r="I2103" s="16">
        <f>IF(D2103="","",IF(G2103&lt;&gt;"",G2103,IFERROR(INDEX('Sản phẩm'!$E$5:$E$304,MATCH(D2103,'Sản phẩm'!$A$5:$A$304,0)),"")))</f>
        <v/>
      </c>
      <c r="J2103" s="16">
        <f>IF(OR(D2103="",F2103=""),"",F2103*I2103-N(H2103))</f>
        <v/>
      </c>
      <c r="K2103" s="16">
        <f>IF(OR(D2103="",F2103=""),"",F2103*IFERROR(INDEX('Sản phẩm'!$D$5:$D$304,MATCH(D2103,'Sản phẩm'!$A$5:$A$304,0)),""))</f>
        <v/>
      </c>
      <c r="L2103" s="16">
        <f>IF(J2103="","",J2103-K2103)</f>
        <v/>
      </c>
      <c r="M2103" s="14">
        <f>IF(A2103="","",MONTH(A2103))</f>
        <v/>
      </c>
      <c r="N2103" s="14">
        <f>IF(A2103="","",YEAR(A2103))</f>
        <v/>
      </c>
    </row>
    <row r="2104">
      <c r="A2104" s="15" t="n"/>
      <c r="B2104" s="10" t="n"/>
      <c r="C2104" s="10" t="n"/>
      <c r="D2104" s="10" t="n"/>
      <c r="E2104" s="14">
        <f>IF(D2104="","",IFERROR(INDEX('Sản phẩm'!$B$5:$B$304,MATCH(D2104,'Sản phẩm'!$A$5:$A$304,0)),""))</f>
        <v/>
      </c>
      <c r="F2104" s="12" t="n"/>
      <c r="G2104" s="11" t="n"/>
      <c r="H2104" s="11" t="n"/>
      <c r="I2104" s="16">
        <f>IF(D2104="","",IF(G2104&lt;&gt;"",G2104,IFERROR(INDEX('Sản phẩm'!$E$5:$E$304,MATCH(D2104,'Sản phẩm'!$A$5:$A$304,0)),"")))</f>
        <v/>
      </c>
      <c r="J2104" s="16">
        <f>IF(OR(D2104="",F2104=""),"",F2104*I2104-N(H2104))</f>
        <v/>
      </c>
      <c r="K2104" s="16">
        <f>IF(OR(D2104="",F2104=""),"",F2104*IFERROR(INDEX('Sản phẩm'!$D$5:$D$304,MATCH(D2104,'Sản phẩm'!$A$5:$A$304,0)),""))</f>
        <v/>
      </c>
      <c r="L2104" s="16">
        <f>IF(J2104="","",J2104-K2104)</f>
        <v/>
      </c>
      <c r="M2104" s="14">
        <f>IF(A2104="","",MONTH(A2104))</f>
        <v/>
      </c>
      <c r="N2104" s="14">
        <f>IF(A2104="","",YEAR(A2104))</f>
        <v/>
      </c>
    </row>
    <row r="2105">
      <c r="A2105" s="15" t="n"/>
      <c r="B2105" s="10" t="n"/>
      <c r="C2105" s="10" t="n"/>
      <c r="D2105" s="10" t="n"/>
      <c r="E2105" s="14">
        <f>IF(D2105="","",IFERROR(INDEX('Sản phẩm'!$B$5:$B$304,MATCH(D2105,'Sản phẩm'!$A$5:$A$304,0)),""))</f>
        <v/>
      </c>
      <c r="F2105" s="12" t="n"/>
      <c r="G2105" s="11" t="n"/>
      <c r="H2105" s="11" t="n"/>
      <c r="I2105" s="16">
        <f>IF(D2105="","",IF(G2105&lt;&gt;"",G2105,IFERROR(INDEX('Sản phẩm'!$E$5:$E$304,MATCH(D2105,'Sản phẩm'!$A$5:$A$304,0)),"")))</f>
        <v/>
      </c>
      <c r="J2105" s="16">
        <f>IF(OR(D2105="",F2105=""),"",F2105*I2105-N(H2105))</f>
        <v/>
      </c>
      <c r="K2105" s="16">
        <f>IF(OR(D2105="",F2105=""),"",F2105*IFERROR(INDEX('Sản phẩm'!$D$5:$D$304,MATCH(D2105,'Sản phẩm'!$A$5:$A$304,0)),""))</f>
        <v/>
      </c>
      <c r="L2105" s="16">
        <f>IF(J2105="","",J2105-K2105)</f>
        <v/>
      </c>
      <c r="M2105" s="14">
        <f>IF(A2105="","",MONTH(A2105))</f>
        <v/>
      </c>
      <c r="N2105" s="14">
        <f>IF(A2105="","",YEAR(A2105))</f>
        <v/>
      </c>
    </row>
    <row r="2106">
      <c r="A2106" s="15" t="n"/>
      <c r="B2106" s="10" t="n"/>
      <c r="C2106" s="10" t="n"/>
      <c r="D2106" s="10" t="n"/>
      <c r="E2106" s="14">
        <f>IF(D2106="","",IFERROR(INDEX('Sản phẩm'!$B$5:$B$304,MATCH(D2106,'Sản phẩm'!$A$5:$A$304,0)),""))</f>
        <v/>
      </c>
      <c r="F2106" s="12" t="n"/>
      <c r="G2106" s="11" t="n"/>
      <c r="H2106" s="11" t="n"/>
      <c r="I2106" s="16">
        <f>IF(D2106="","",IF(G2106&lt;&gt;"",G2106,IFERROR(INDEX('Sản phẩm'!$E$5:$E$304,MATCH(D2106,'Sản phẩm'!$A$5:$A$304,0)),"")))</f>
        <v/>
      </c>
      <c r="J2106" s="16">
        <f>IF(OR(D2106="",F2106=""),"",F2106*I2106-N(H2106))</f>
        <v/>
      </c>
      <c r="K2106" s="16">
        <f>IF(OR(D2106="",F2106=""),"",F2106*IFERROR(INDEX('Sản phẩm'!$D$5:$D$304,MATCH(D2106,'Sản phẩm'!$A$5:$A$304,0)),""))</f>
        <v/>
      </c>
      <c r="L2106" s="16">
        <f>IF(J2106="","",J2106-K2106)</f>
        <v/>
      </c>
      <c r="M2106" s="14">
        <f>IF(A2106="","",MONTH(A2106))</f>
        <v/>
      </c>
      <c r="N2106" s="14">
        <f>IF(A2106="","",YEAR(A2106))</f>
        <v/>
      </c>
    </row>
    <row r="2107">
      <c r="A2107" s="15" t="n"/>
      <c r="B2107" s="10" t="n"/>
      <c r="C2107" s="10" t="n"/>
      <c r="D2107" s="10" t="n"/>
      <c r="E2107" s="14">
        <f>IF(D2107="","",IFERROR(INDEX('Sản phẩm'!$B$5:$B$304,MATCH(D2107,'Sản phẩm'!$A$5:$A$304,0)),""))</f>
        <v/>
      </c>
      <c r="F2107" s="12" t="n"/>
      <c r="G2107" s="11" t="n"/>
      <c r="H2107" s="11" t="n"/>
      <c r="I2107" s="16">
        <f>IF(D2107="","",IF(G2107&lt;&gt;"",G2107,IFERROR(INDEX('Sản phẩm'!$E$5:$E$304,MATCH(D2107,'Sản phẩm'!$A$5:$A$304,0)),"")))</f>
        <v/>
      </c>
      <c r="J2107" s="16">
        <f>IF(OR(D2107="",F2107=""),"",F2107*I2107-N(H2107))</f>
        <v/>
      </c>
      <c r="K2107" s="16">
        <f>IF(OR(D2107="",F2107=""),"",F2107*IFERROR(INDEX('Sản phẩm'!$D$5:$D$304,MATCH(D2107,'Sản phẩm'!$A$5:$A$304,0)),""))</f>
        <v/>
      </c>
      <c r="L2107" s="16">
        <f>IF(J2107="","",J2107-K2107)</f>
        <v/>
      </c>
      <c r="M2107" s="14">
        <f>IF(A2107="","",MONTH(A2107))</f>
        <v/>
      </c>
      <c r="N2107" s="14">
        <f>IF(A2107="","",YEAR(A2107))</f>
        <v/>
      </c>
    </row>
    <row r="2108">
      <c r="A2108" s="15" t="n"/>
      <c r="B2108" s="10" t="n"/>
      <c r="C2108" s="10" t="n"/>
      <c r="D2108" s="10" t="n"/>
      <c r="E2108" s="14">
        <f>IF(D2108="","",IFERROR(INDEX('Sản phẩm'!$B$5:$B$304,MATCH(D2108,'Sản phẩm'!$A$5:$A$304,0)),""))</f>
        <v/>
      </c>
      <c r="F2108" s="12" t="n"/>
      <c r="G2108" s="11" t="n"/>
      <c r="H2108" s="11" t="n"/>
      <c r="I2108" s="16">
        <f>IF(D2108="","",IF(G2108&lt;&gt;"",G2108,IFERROR(INDEX('Sản phẩm'!$E$5:$E$304,MATCH(D2108,'Sản phẩm'!$A$5:$A$304,0)),"")))</f>
        <v/>
      </c>
      <c r="J2108" s="16">
        <f>IF(OR(D2108="",F2108=""),"",F2108*I2108-N(H2108))</f>
        <v/>
      </c>
      <c r="K2108" s="16">
        <f>IF(OR(D2108="",F2108=""),"",F2108*IFERROR(INDEX('Sản phẩm'!$D$5:$D$304,MATCH(D2108,'Sản phẩm'!$A$5:$A$304,0)),""))</f>
        <v/>
      </c>
      <c r="L2108" s="16">
        <f>IF(J2108="","",J2108-K2108)</f>
        <v/>
      </c>
      <c r="M2108" s="14">
        <f>IF(A2108="","",MONTH(A2108))</f>
        <v/>
      </c>
      <c r="N2108" s="14">
        <f>IF(A2108="","",YEAR(A2108))</f>
        <v/>
      </c>
    </row>
    <row r="2109">
      <c r="A2109" s="15" t="n"/>
      <c r="B2109" s="10" t="n"/>
      <c r="C2109" s="10" t="n"/>
      <c r="D2109" s="10" t="n"/>
      <c r="E2109" s="14">
        <f>IF(D2109="","",IFERROR(INDEX('Sản phẩm'!$B$5:$B$304,MATCH(D2109,'Sản phẩm'!$A$5:$A$304,0)),""))</f>
        <v/>
      </c>
      <c r="F2109" s="12" t="n"/>
      <c r="G2109" s="11" t="n"/>
      <c r="H2109" s="11" t="n"/>
      <c r="I2109" s="16">
        <f>IF(D2109="","",IF(G2109&lt;&gt;"",G2109,IFERROR(INDEX('Sản phẩm'!$E$5:$E$304,MATCH(D2109,'Sản phẩm'!$A$5:$A$304,0)),"")))</f>
        <v/>
      </c>
      <c r="J2109" s="16">
        <f>IF(OR(D2109="",F2109=""),"",F2109*I2109-N(H2109))</f>
        <v/>
      </c>
      <c r="K2109" s="16">
        <f>IF(OR(D2109="",F2109=""),"",F2109*IFERROR(INDEX('Sản phẩm'!$D$5:$D$304,MATCH(D2109,'Sản phẩm'!$A$5:$A$304,0)),""))</f>
        <v/>
      </c>
      <c r="L2109" s="16">
        <f>IF(J2109="","",J2109-K2109)</f>
        <v/>
      </c>
      <c r="M2109" s="14">
        <f>IF(A2109="","",MONTH(A2109))</f>
        <v/>
      </c>
      <c r="N2109" s="14">
        <f>IF(A2109="","",YEAR(A2109))</f>
        <v/>
      </c>
    </row>
    <row r="2110">
      <c r="A2110" s="15" t="n"/>
      <c r="B2110" s="10" t="n"/>
      <c r="C2110" s="10" t="n"/>
      <c r="D2110" s="10" t="n"/>
      <c r="E2110" s="14">
        <f>IF(D2110="","",IFERROR(INDEX('Sản phẩm'!$B$5:$B$304,MATCH(D2110,'Sản phẩm'!$A$5:$A$304,0)),""))</f>
        <v/>
      </c>
      <c r="F2110" s="12" t="n"/>
      <c r="G2110" s="11" t="n"/>
      <c r="H2110" s="11" t="n"/>
      <c r="I2110" s="16">
        <f>IF(D2110="","",IF(G2110&lt;&gt;"",G2110,IFERROR(INDEX('Sản phẩm'!$E$5:$E$304,MATCH(D2110,'Sản phẩm'!$A$5:$A$304,0)),"")))</f>
        <v/>
      </c>
      <c r="J2110" s="16">
        <f>IF(OR(D2110="",F2110=""),"",F2110*I2110-N(H2110))</f>
        <v/>
      </c>
      <c r="K2110" s="16">
        <f>IF(OR(D2110="",F2110=""),"",F2110*IFERROR(INDEX('Sản phẩm'!$D$5:$D$304,MATCH(D2110,'Sản phẩm'!$A$5:$A$304,0)),""))</f>
        <v/>
      </c>
      <c r="L2110" s="16">
        <f>IF(J2110="","",J2110-K2110)</f>
        <v/>
      </c>
      <c r="M2110" s="14">
        <f>IF(A2110="","",MONTH(A2110))</f>
        <v/>
      </c>
      <c r="N2110" s="14">
        <f>IF(A2110="","",YEAR(A2110))</f>
        <v/>
      </c>
    </row>
    <row r="2111">
      <c r="A2111" s="15" t="n"/>
      <c r="B2111" s="10" t="n"/>
      <c r="C2111" s="10" t="n"/>
      <c r="D2111" s="10" t="n"/>
      <c r="E2111" s="14">
        <f>IF(D2111="","",IFERROR(INDEX('Sản phẩm'!$B$5:$B$304,MATCH(D2111,'Sản phẩm'!$A$5:$A$304,0)),""))</f>
        <v/>
      </c>
      <c r="F2111" s="12" t="n"/>
      <c r="G2111" s="11" t="n"/>
      <c r="H2111" s="11" t="n"/>
      <c r="I2111" s="16">
        <f>IF(D2111="","",IF(G2111&lt;&gt;"",G2111,IFERROR(INDEX('Sản phẩm'!$E$5:$E$304,MATCH(D2111,'Sản phẩm'!$A$5:$A$304,0)),"")))</f>
        <v/>
      </c>
      <c r="J2111" s="16">
        <f>IF(OR(D2111="",F2111=""),"",F2111*I2111-N(H2111))</f>
        <v/>
      </c>
      <c r="K2111" s="16">
        <f>IF(OR(D2111="",F2111=""),"",F2111*IFERROR(INDEX('Sản phẩm'!$D$5:$D$304,MATCH(D2111,'Sản phẩm'!$A$5:$A$304,0)),""))</f>
        <v/>
      </c>
      <c r="L2111" s="16">
        <f>IF(J2111="","",J2111-K2111)</f>
        <v/>
      </c>
      <c r="M2111" s="14">
        <f>IF(A2111="","",MONTH(A2111))</f>
        <v/>
      </c>
      <c r="N2111" s="14">
        <f>IF(A2111="","",YEAR(A2111))</f>
        <v/>
      </c>
    </row>
    <row r="2112">
      <c r="A2112" s="15" t="n"/>
      <c r="B2112" s="10" t="n"/>
      <c r="C2112" s="10" t="n"/>
      <c r="D2112" s="10" t="n"/>
      <c r="E2112" s="14">
        <f>IF(D2112="","",IFERROR(INDEX('Sản phẩm'!$B$5:$B$304,MATCH(D2112,'Sản phẩm'!$A$5:$A$304,0)),""))</f>
        <v/>
      </c>
      <c r="F2112" s="12" t="n"/>
      <c r="G2112" s="11" t="n"/>
      <c r="H2112" s="11" t="n"/>
      <c r="I2112" s="16">
        <f>IF(D2112="","",IF(G2112&lt;&gt;"",G2112,IFERROR(INDEX('Sản phẩm'!$E$5:$E$304,MATCH(D2112,'Sản phẩm'!$A$5:$A$304,0)),"")))</f>
        <v/>
      </c>
      <c r="J2112" s="16">
        <f>IF(OR(D2112="",F2112=""),"",F2112*I2112-N(H2112))</f>
        <v/>
      </c>
      <c r="K2112" s="16">
        <f>IF(OR(D2112="",F2112=""),"",F2112*IFERROR(INDEX('Sản phẩm'!$D$5:$D$304,MATCH(D2112,'Sản phẩm'!$A$5:$A$304,0)),""))</f>
        <v/>
      </c>
      <c r="L2112" s="16">
        <f>IF(J2112="","",J2112-K2112)</f>
        <v/>
      </c>
      <c r="M2112" s="14">
        <f>IF(A2112="","",MONTH(A2112))</f>
        <v/>
      </c>
      <c r="N2112" s="14">
        <f>IF(A2112="","",YEAR(A2112))</f>
        <v/>
      </c>
    </row>
    <row r="2113">
      <c r="A2113" s="15" t="n"/>
      <c r="B2113" s="10" t="n"/>
      <c r="C2113" s="10" t="n"/>
      <c r="D2113" s="10" t="n"/>
      <c r="E2113" s="14">
        <f>IF(D2113="","",IFERROR(INDEX('Sản phẩm'!$B$5:$B$304,MATCH(D2113,'Sản phẩm'!$A$5:$A$304,0)),""))</f>
        <v/>
      </c>
      <c r="F2113" s="12" t="n"/>
      <c r="G2113" s="11" t="n"/>
      <c r="H2113" s="11" t="n"/>
      <c r="I2113" s="16">
        <f>IF(D2113="","",IF(G2113&lt;&gt;"",G2113,IFERROR(INDEX('Sản phẩm'!$E$5:$E$304,MATCH(D2113,'Sản phẩm'!$A$5:$A$304,0)),"")))</f>
        <v/>
      </c>
      <c r="J2113" s="16">
        <f>IF(OR(D2113="",F2113=""),"",F2113*I2113-N(H2113))</f>
        <v/>
      </c>
      <c r="K2113" s="16">
        <f>IF(OR(D2113="",F2113=""),"",F2113*IFERROR(INDEX('Sản phẩm'!$D$5:$D$304,MATCH(D2113,'Sản phẩm'!$A$5:$A$304,0)),""))</f>
        <v/>
      </c>
      <c r="L2113" s="16">
        <f>IF(J2113="","",J2113-K2113)</f>
        <v/>
      </c>
      <c r="M2113" s="14">
        <f>IF(A2113="","",MONTH(A2113))</f>
        <v/>
      </c>
      <c r="N2113" s="14">
        <f>IF(A2113="","",YEAR(A2113))</f>
        <v/>
      </c>
    </row>
    <row r="2114">
      <c r="A2114" s="15" t="n"/>
      <c r="B2114" s="10" t="n"/>
      <c r="C2114" s="10" t="n"/>
      <c r="D2114" s="10" t="n"/>
      <c r="E2114" s="14">
        <f>IF(D2114="","",IFERROR(INDEX('Sản phẩm'!$B$5:$B$304,MATCH(D2114,'Sản phẩm'!$A$5:$A$304,0)),""))</f>
        <v/>
      </c>
      <c r="F2114" s="12" t="n"/>
      <c r="G2114" s="11" t="n"/>
      <c r="H2114" s="11" t="n"/>
      <c r="I2114" s="16">
        <f>IF(D2114="","",IF(G2114&lt;&gt;"",G2114,IFERROR(INDEX('Sản phẩm'!$E$5:$E$304,MATCH(D2114,'Sản phẩm'!$A$5:$A$304,0)),"")))</f>
        <v/>
      </c>
      <c r="J2114" s="16">
        <f>IF(OR(D2114="",F2114=""),"",F2114*I2114-N(H2114))</f>
        <v/>
      </c>
      <c r="K2114" s="16">
        <f>IF(OR(D2114="",F2114=""),"",F2114*IFERROR(INDEX('Sản phẩm'!$D$5:$D$304,MATCH(D2114,'Sản phẩm'!$A$5:$A$304,0)),""))</f>
        <v/>
      </c>
      <c r="L2114" s="16">
        <f>IF(J2114="","",J2114-K2114)</f>
        <v/>
      </c>
      <c r="M2114" s="14">
        <f>IF(A2114="","",MONTH(A2114))</f>
        <v/>
      </c>
      <c r="N2114" s="14">
        <f>IF(A2114="","",YEAR(A2114))</f>
        <v/>
      </c>
    </row>
    <row r="2115">
      <c r="A2115" s="15" t="n"/>
      <c r="B2115" s="10" t="n"/>
      <c r="C2115" s="10" t="n"/>
      <c r="D2115" s="10" t="n"/>
      <c r="E2115" s="14">
        <f>IF(D2115="","",IFERROR(INDEX('Sản phẩm'!$B$5:$B$304,MATCH(D2115,'Sản phẩm'!$A$5:$A$304,0)),""))</f>
        <v/>
      </c>
      <c r="F2115" s="12" t="n"/>
      <c r="G2115" s="11" t="n"/>
      <c r="H2115" s="11" t="n"/>
      <c r="I2115" s="16">
        <f>IF(D2115="","",IF(G2115&lt;&gt;"",G2115,IFERROR(INDEX('Sản phẩm'!$E$5:$E$304,MATCH(D2115,'Sản phẩm'!$A$5:$A$304,0)),"")))</f>
        <v/>
      </c>
      <c r="J2115" s="16">
        <f>IF(OR(D2115="",F2115=""),"",F2115*I2115-N(H2115))</f>
        <v/>
      </c>
      <c r="K2115" s="16">
        <f>IF(OR(D2115="",F2115=""),"",F2115*IFERROR(INDEX('Sản phẩm'!$D$5:$D$304,MATCH(D2115,'Sản phẩm'!$A$5:$A$304,0)),""))</f>
        <v/>
      </c>
      <c r="L2115" s="16">
        <f>IF(J2115="","",J2115-K2115)</f>
        <v/>
      </c>
      <c r="M2115" s="14">
        <f>IF(A2115="","",MONTH(A2115))</f>
        <v/>
      </c>
      <c r="N2115" s="14">
        <f>IF(A2115="","",YEAR(A2115))</f>
        <v/>
      </c>
    </row>
    <row r="2116">
      <c r="A2116" s="15" t="n"/>
      <c r="B2116" s="10" t="n"/>
      <c r="C2116" s="10" t="n"/>
      <c r="D2116" s="10" t="n"/>
      <c r="E2116" s="14">
        <f>IF(D2116="","",IFERROR(INDEX('Sản phẩm'!$B$5:$B$304,MATCH(D2116,'Sản phẩm'!$A$5:$A$304,0)),""))</f>
        <v/>
      </c>
      <c r="F2116" s="12" t="n"/>
      <c r="G2116" s="11" t="n"/>
      <c r="H2116" s="11" t="n"/>
      <c r="I2116" s="16">
        <f>IF(D2116="","",IF(G2116&lt;&gt;"",G2116,IFERROR(INDEX('Sản phẩm'!$E$5:$E$304,MATCH(D2116,'Sản phẩm'!$A$5:$A$304,0)),"")))</f>
        <v/>
      </c>
      <c r="J2116" s="16">
        <f>IF(OR(D2116="",F2116=""),"",F2116*I2116-N(H2116))</f>
        <v/>
      </c>
      <c r="K2116" s="16">
        <f>IF(OR(D2116="",F2116=""),"",F2116*IFERROR(INDEX('Sản phẩm'!$D$5:$D$304,MATCH(D2116,'Sản phẩm'!$A$5:$A$304,0)),""))</f>
        <v/>
      </c>
      <c r="L2116" s="16">
        <f>IF(J2116="","",J2116-K2116)</f>
        <v/>
      </c>
      <c r="M2116" s="14">
        <f>IF(A2116="","",MONTH(A2116))</f>
        <v/>
      </c>
      <c r="N2116" s="14">
        <f>IF(A2116="","",YEAR(A2116))</f>
        <v/>
      </c>
    </row>
    <row r="2117">
      <c r="A2117" s="15" t="n"/>
      <c r="B2117" s="10" t="n"/>
      <c r="C2117" s="10" t="n"/>
      <c r="D2117" s="10" t="n"/>
      <c r="E2117" s="14">
        <f>IF(D2117="","",IFERROR(INDEX('Sản phẩm'!$B$5:$B$304,MATCH(D2117,'Sản phẩm'!$A$5:$A$304,0)),""))</f>
        <v/>
      </c>
      <c r="F2117" s="12" t="n"/>
      <c r="G2117" s="11" t="n"/>
      <c r="H2117" s="11" t="n"/>
      <c r="I2117" s="16">
        <f>IF(D2117="","",IF(G2117&lt;&gt;"",G2117,IFERROR(INDEX('Sản phẩm'!$E$5:$E$304,MATCH(D2117,'Sản phẩm'!$A$5:$A$304,0)),"")))</f>
        <v/>
      </c>
      <c r="J2117" s="16">
        <f>IF(OR(D2117="",F2117=""),"",F2117*I2117-N(H2117))</f>
        <v/>
      </c>
      <c r="K2117" s="16">
        <f>IF(OR(D2117="",F2117=""),"",F2117*IFERROR(INDEX('Sản phẩm'!$D$5:$D$304,MATCH(D2117,'Sản phẩm'!$A$5:$A$304,0)),""))</f>
        <v/>
      </c>
      <c r="L2117" s="16">
        <f>IF(J2117="","",J2117-K2117)</f>
        <v/>
      </c>
      <c r="M2117" s="14">
        <f>IF(A2117="","",MONTH(A2117))</f>
        <v/>
      </c>
      <c r="N2117" s="14">
        <f>IF(A2117="","",YEAR(A2117))</f>
        <v/>
      </c>
    </row>
    <row r="2118">
      <c r="A2118" s="15" t="n"/>
      <c r="B2118" s="10" t="n"/>
      <c r="C2118" s="10" t="n"/>
      <c r="D2118" s="10" t="n"/>
      <c r="E2118" s="14">
        <f>IF(D2118="","",IFERROR(INDEX('Sản phẩm'!$B$5:$B$304,MATCH(D2118,'Sản phẩm'!$A$5:$A$304,0)),""))</f>
        <v/>
      </c>
      <c r="F2118" s="12" t="n"/>
      <c r="G2118" s="11" t="n"/>
      <c r="H2118" s="11" t="n"/>
      <c r="I2118" s="16">
        <f>IF(D2118="","",IF(G2118&lt;&gt;"",G2118,IFERROR(INDEX('Sản phẩm'!$E$5:$E$304,MATCH(D2118,'Sản phẩm'!$A$5:$A$304,0)),"")))</f>
        <v/>
      </c>
      <c r="J2118" s="16">
        <f>IF(OR(D2118="",F2118=""),"",F2118*I2118-N(H2118))</f>
        <v/>
      </c>
      <c r="K2118" s="16">
        <f>IF(OR(D2118="",F2118=""),"",F2118*IFERROR(INDEX('Sản phẩm'!$D$5:$D$304,MATCH(D2118,'Sản phẩm'!$A$5:$A$304,0)),""))</f>
        <v/>
      </c>
      <c r="L2118" s="16">
        <f>IF(J2118="","",J2118-K2118)</f>
        <v/>
      </c>
      <c r="M2118" s="14">
        <f>IF(A2118="","",MONTH(A2118))</f>
        <v/>
      </c>
      <c r="N2118" s="14">
        <f>IF(A2118="","",YEAR(A2118))</f>
        <v/>
      </c>
    </row>
    <row r="2119">
      <c r="A2119" s="15" t="n"/>
      <c r="B2119" s="10" t="n"/>
      <c r="C2119" s="10" t="n"/>
      <c r="D2119" s="10" t="n"/>
      <c r="E2119" s="14">
        <f>IF(D2119="","",IFERROR(INDEX('Sản phẩm'!$B$5:$B$304,MATCH(D2119,'Sản phẩm'!$A$5:$A$304,0)),""))</f>
        <v/>
      </c>
      <c r="F2119" s="12" t="n"/>
      <c r="G2119" s="11" t="n"/>
      <c r="H2119" s="11" t="n"/>
      <c r="I2119" s="16">
        <f>IF(D2119="","",IF(G2119&lt;&gt;"",G2119,IFERROR(INDEX('Sản phẩm'!$E$5:$E$304,MATCH(D2119,'Sản phẩm'!$A$5:$A$304,0)),"")))</f>
        <v/>
      </c>
      <c r="J2119" s="16">
        <f>IF(OR(D2119="",F2119=""),"",F2119*I2119-N(H2119))</f>
        <v/>
      </c>
      <c r="K2119" s="16">
        <f>IF(OR(D2119="",F2119=""),"",F2119*IFERROR(INDEX('Sản phẩm'!$D$5:$D$304,MATCH(D2119,'Sản phẩm'!$A$5:$A$304,0)),""))</f>
        <v/>
      </c>
      <c r="L2119" s="16">
        <f>IF(J2119="","",J2119-K2119)</f>
        <v/>
      </c>
      <c r="M2119" s="14">
        <f>IF(A2119="","",MONTH(A2119))</f>
        <v/>
      </c>
      <c r="N2119" s="14">
        <f>IF(A2119="","",YEAR(A2119))</f>
        <v/>
      </c>
    </row>
    <row r="2120">
      <c r="A2120" s="15" t="n"/>
      <c r="B2120" s="10" t="n"/>
      <c r="C2120" s="10" t="n"/>
      <c r="D2120" s="10" t="n"/>
      <c r="E2120" s="14">
        <f>IF(D2120="","",IFERROR(INDEX('Sản phẩm'!$B$5:$B$304,MATCH(D2120,'Sản phẩm'!$A$5:$A$304,0)),""))</f>
        <v/>
      </c>
      <c r="F2120" s="12" t="n"/>
      <c r="G2120" s="11" t="n"/>
      <c r="H2120" s="11" t="n"/>
      <c r="I2120" s="16">
        <f>IF(D2120="","",IF(G2120&lt;&gt;"",G2120,IFERROR(INDEX('Sản phẩm'!$E$5:$E$304,MATCH(D2120,'Sản phẩm'!$A$5:$A$304,0)),"")))</f>
        <v/>
      </c>
      <c r="J2120" s="16">
        <f>IF(OR(D2120="",F2120=""),"",F2120*I2120-N(H2120))</f>
        <v/>
      </c>
      <c r="K2120" s="16">
        <f>IF(OR(D2120="",F2120=""),"",F2120*IFERROR(INDEX('Sản phẩm'!$D$5:$D$304,MATCH(D2120,'Sản phẩm'!$A$5:$A$304,0)),""))</f>
        <v/>
      </c>
      <c r="L2120" s="16">
        <f>IF(J2120="","",J2120-K2120)</f>
        <v/>
      </c>
      <c r="M2120" s="14">
        <f>IF(A2120="","",MONTH(A2120))</f>
        <v/>
      </c>
      <c r="N2120" s="14">
        <f>IF(A2120="","",YEAR(A2120))</f>
        <v/>
      </c>
    </row>
    <row r="2121">
      <c r="A2121" s="15" t="n"/>
      <c r="B2121" s="10" t="n"/>
      <c r="C2121" s="10" t="n"/>
      <c r="D2121" s="10" t="n"/>
      <c r="E2121" s="14">
        <f>IF(D2121="","",IFERROR(INDEX('Sản phẩm'!$B$5:$B$304,MATCH(D2121,'Sản phẩm'!$A$5:$A$304,0)),""))</f>
        <v/>
      </c>
      <c r="F2121" s="12" t="n"/>
      <c r="G2121" s="11" t="n"/>
      <c r="H2121" s="11" t="n"/>
      <c r="I2121" s="16">
        <f>IF(D2121="","",IF(G2121&lt;&gt;"",G2121,IFERROR(INDEX('Sản phẩm'!$E$5:$E$304,MATCH(D2121,'Sản phẩm'!$A$5:$A$304,0)),"")))</f>
        <v/>
      </c>
      <c r="J2121" s="16">
        <f>IF(OR(D2121="",F2121=""),"",F2121*I2121-N(H2121))</f>
        <v/>
      </c>
      <c r="K2121" s="16">
        <f>IF(OR(D2121="",F2121=""),"",F2121*IFERROR(INDEX('Sản phẩm'!$D$5:$D$304,MATCH(D2121,'Sản phẩm'!$A$5:$A$304,0)),""))</f>
        <v/>
      </c>
      <c r="L2121" s="16">
        <f>IF(J2121="","",J2121-K2121)</f>
        <v/>
      </c>
      <c r="M2121" s="14">
        <f>IF(A2121="","",MONTH(A2121))</f>
        <v/>
      </c>
      <c r="N2121" s="14">
        <f>IF(A2121="","",YEAR(A2121))</f>
        <v/>
      </c>
    </row>
    <row r="2122">
      <c r="A2122" s="15" t="n"/>
      <c r="B2122" s="10" t="n"/>
      <c r="C2122" s="10" t="n"/>
      <c r="D2122" s="10" t="n"/>
      <c r="E2122" s="14">
        <f>IF(D2122="","",IFERROR(INDEX('Sản phẩm'!$B$5:$B$304,MATCH(D2122,'Sản phẩm'!$A$5:$A$304,0)),""))</f>
        <v/>
      </c>
      <c r="F2122" s="12" t="n"/>
      <c r="G2122" s="11" t="n"/>
      <c r="H2122" s="11" t="n"/>
      <c r="I2122" s="16">
        <f>IF(D2122="","",IF(G2122&lt;&gt;"",G2122,IFERROR(INDEX('Sản phẩm'!$E$5:$E$304,MATCH(D2122,'Sản phẩm'!$A$5:$A$304,0)),"")))</f>
        <v/>
      </c>
      <c r="J2122" s="16">
        <f>IF(OR(D2122="",F2122=""),"",F2122*I2122-N(H2122))</f>
        <v/>
      </c>
      <c r="K2122" s="16">
        <f>IF(OR(D2122="",F2122=""),"",F2122*IFERROR(INDEX('Sản phẩm'!$D$5:$D$304,MATCH(D2122,'Sản phẩm'!$A$5:$A$304,0)),""))</f>
        <v/>
      </c>
      <c r="L2122" s="16">
        <f>IF(J2122="","",J2122-K2122)</f>
        <v/>
      </c>
      <c r="M2122" s="14">
        <f>IF(A2122="","",MONTH(A2122))</f>
        <v/>
      </c>
      <c r="N2122" s="14">
        <f>IF(A2122="","",YEAR(A2122))</f>
        <v/>
      </c>
    </row>
    <row r="2123">
      <c r="A2123" s="15" t="n"/>
      <c r="B2123" s="10" t="n"/>
      <c r="C2123" s="10" t="n"/>
      <c r="D2123" s="10" t="n"/>
      <c r="E2123" s="14">
        <f>IF(D2123="","",IFERROR(INDEX('Sản phẩm'!$B$5:$B$304,MATCH(D2123,'Sản phẩm'!$A$5:$A$304,0)),""))</f>
        <v/>
      </c>
      <c r="F2123" s="12" t="n"/>
      <c r="G2123" s="11" t="n"/>
      <c r="H2123" s="11" t="n"/>
      <c r="I2123" s="16">
        <f>IF(D2123="","",IF(G2123&lt;&gt;"",G2123,IFERROR(INDEX('Sản phẩm'!$E$5:$E$304,MATCH(D2123,'Sản phẩm'!$A$5:$A$304,0)),"")))</f>
        <v/>
      </c>
      <c r="J2123" s="16">
        <f>IF(OR(D2123="",F2123=""),"",F2123*I2123-N(H2123))</f>
        <v/>
      </c>
      <c r="K2123" s="16">
        <f>IF(OR(D2123="",F2123=""),"",F2123*IFERROR(INDEX('Sản phẩm'!$D$5:$D$304,MATCH(D2123,'Sản phẩm'!$A$5:$A$304,0)),""))</f>
        <v/>
      </c>
      <c r="L2123" s="16">
        <f>IF(J2123="","",J2123-K2123)</f>
        <v/>
      </c>
      <c r="M2123" s="14">
        <f>IF(A2123="","",MONTH(A2123))</f>
        <v/>
      </c>
      <c r="N2123" s="14">
        <f>IF(A2123="","",YEAR(A2123))</f>
        <v/>
      </c>
    </row>
    <row r="2124">
      <c r="A2124" s="15" t="n"/>
      <c r="B2124" s="10" t="n"/>
      <c r="C2124" s="10" t="n"/>
      <c r="D2124" s="10" t="n"/>
      <c r="E2124" s="14">
        <f>IF(D2124="","",IFERROR(INDEX('Sản phẩm'!$B$5:$B$304,MATCH(D2124,'Sản phẩm'!$A$5:$A$304,0)),""))</f>
        <v/>
      </c>
      <c r="F2124" s="12" t="n"/>
      <c r="G2124" s="11" t="n"/>
      <c r="H2124" s="11" t="n"/>
      <c r="I2124" s="16">
        <f>IF(D2124="","",IF(G2124&lt;&gt;"",G2124,IFERROR(INDEX('Sản phẩm'!$E$5:$E$304,MATCH(D2124,'Sản phẩm'!$A$5:$A$304,0)),"")))</f>
        <v/>
      </c>
      <c r="J2124" s="16">
        <f>IF(OR(D2124="",F2124=""),"",F2124*I2124-N(H2124))</f>
        <v/>
      </c>
      <c r="K2124" s="16">
        <f>IF(OR(D2124="",F2124=""),"",F2124*IFERROR(INDEX('Sản phẩm'!$D$5:$D$304,MATCH(D2124,'Sản phẩm'!$A$5:$A$304,0)),""))</f>
        <v/>
      </c>
      <c r="L2124" s="16">
        <f>IF(J2124="","",J2124-K2124)</f>
        <v/>
      </c>
      <c r="M2124" s="14">
        <f>IF(A2124="","",MONTH(A2124))</f>
        <v/>
      </c>
      <c r="N2124" s="14">
        <f>IF(A2124="","",YEAR(A2124))</f>
        <v/>
      </c>
    </row>
    <row r="2125">
      <c r="A2125" s="15" t="n"/>
      <c r="B2125" s="10" t="n"/>
      <c r="C2125" s="10" t="n"/>
      <c r="D2125" s="10" t="n"/>
      <c r="E2125" s="14">
        <f>IF(D2125="","",IFERROR(INDEX('Sản phẩm'!$B$5:$B$304,MATCH(D2125,'Sản phẩm'!$A$5:$A$304,0)),""))</f>
        <v/>
      </c>
      <c r="F2125" s="12" t="n"/>
      <c r="G2125" s="11" t="n"/>
      <c r="H2125" s="11" t="n"/>
      <c r="I2125" s="16">
        <f>IF(D2125="","",IF(G2125&lt;&gt;"",G2125,IFERROR(INDEX('Sản phẩm'!$E$5:$E$304,MATCH(D2125,'Sản phẩm'!$A$5:$A$304,0)),"")))</f>
        <v/>
      </c>
      <c r="J2125" s="16">
        <f>IF(OR(D2125="",F2125=""),"",F2125*I2125-N(H2125))</f>
        <v/>
      </c>
      <c r="K2125" s="16">
        <f>IF(OR(D2125="",F2125=""),"",F2125*IFERROR(INDEX('Sản phẩm'!$D$5:$D$304,MATCH(D2125,'Sản phẩm'!$A$5:$A$304,0)),""))</f>
        <v/>
      </c>
      <c r="L2125" s="16">
        <f>IF(J2125="","",J2125-K2125)</f>
        <v/>
      </c>
      <c r="M2125" s="14">
        <f>IF(A2125="","",MONTH(A2125))</f>
        <v/>
      </c>
      <c r="N2125" s="14">
        <f>IF(A2125="","",YEAR(A2125))</f>
        <v/>
      </c>
    </row>
    <row r="2126">
      <c r="A2126" s="15" t="n"/>
      <c r="B2126" s="10" t="n"/>
      <c r="C2126" s="10" t="n"/>
      <c r="D2126" s="10" t="n"/>
      <c r="E2126" s="14">
        <f>IF(D2126="","",IFERROR(INDEX('Sản phẩm'!$B$5:$B$304,MATCH(D2126,'Sản phẩm'!$A$5:$A$304,0)),""))</f>
        <v/>
      </c>
      <c r="F2126" s="12" t="n"/>
      <c r="G2126" s="11" t="n"/>
      <c r="H2126" s="11" t="n"/>
      <c r="I2126" s="16">
        <f>IF(D2126="","",IF(G2126&lt;&gt;"",G2126,IFERROR(INDEX('Sản phẩm'!$E$5:$E$304,MATCH(D2126,'Sản phẩm'!$A$5:$A$304,0)),"")))</f>
        <v/>
      </c>
      <c r="J2126" s="16">
        <f>IF(OR(D2126="",F2126=""),"",F2126*I2126-N(H2126))</f>
        <v/>
      </c>
      <c r="K2126" s="16">
        <f>IF(OR(D2126="",F2126=""),"",F2126*IFERROR(INDEX('Sản phẩm'!$D$5:$D$304,MATCH(D2126,'Sản phẩm'!$A$5:$A$304,0)),""))</f>
        <v/>
      </c>
      <c r="L2126" s="16">
        <f>IF(J2126="","",J2126-K2126)</f>
        <v/>
      </c>
      <c r="M2126" s="14">
        <f>IF(A2126="","",MONTH(A2126))</f>
        <v/>
      </c>
      <c r="N2126" s="14">
        <f>IF(A2126="","",YEAR(A2126))</f>
        <v/>
      </c>
    </row>
    <row r="2127">
      <c r="A2127" s="15" t="n"/>
      <c r="B2127" s="10" t="n"/>
      <c r="C2127" s="10" t="n"/>
      <c r="D2127" s="10" t="n"/>
      <c r="E2127" s="14">
        <f>IF(D2127="","",IFERROR(INDEX('Sản phẩm'!$B$5:$B$304,MATCH(D2127,'Sản phẩm'!$A$5:$A$304,0)),""))</f>
        <v/>
      </c>
      <c r="F2127" s="12" t="n"/>
      <c r="G2127" s="11" t="n"/>
      <c r="H2127" s="11" t="n"/>
      <c r="I2127" s="16">
        <f>IF(D2127="","",IF(G2127&lt;&gt;"",G2127,IFERROR(INDEX('Sản phẩm'!$E$5:$E$304,MATCH(D2127,'Sản phẩm'!$A$5:$A$304,0)),"")))</f>
        <v/>
      </c>
      <c r="J2127" s="16">
        <f>IF(OR(D2127="",F2127=""),"",F2127*I2127-N(H2127))</f>
        <v/>
      </c>
      <c r="K2127" s="16">
        <f>IF(OR(D2127="",F2127=""),"",F2127*IFERROR(INDEX('Sản phẩm'!$D$5:$D$304,MATCH(D2127,'Sản phẩm'!$A$5:$A$304,0)),""))</f>
        <v/>
      </c>
      <c r="L2127" s="16">
        <f>IF(J2127="","",J2127-K2127)</f>
        <v/>
      </c>
      <c r="M2127" s="14">
        <f>IF(A2127="","",MONTH(A2127))</f>
        <v/>
      </c>
      <c r="N2127" s="14">
        <f>IF(A2127="","",YEAR(A2127))</f>
        <v/>
      </c>
    </row>
    <row r="2128">
      <c r="A2128" s="15" t="n"/>
      <c r="B2128" s="10" t="n"/>
      <c r="C2128" s="10" t="n"/>
      <c r="D2128" s="10" t="n"/>
      <c r="E2128" s="14">
        <f>IF(D2128="","",IFERROR(INDEX('Sản phẩm'!$B$5:$B$304,MATCH(D2128,'Sản phẩm'!$A$5:$A$304,0)),""))</f>
        <v/>
      </c>
      <c r="F2128" s="12" t="n"/>
      <c r="G2128" s="11" t="n"/>
      <c r="H2128" s="11" t="n"/>
      <c r="I2128" s="16">
        <f>IF(D2128="","",IF(G2128&lt;&gt;"",G2128,IFERROR(INDEX('Sản phẩm'!$E$5:$E$304,MATCH(D2128,'Sản phẩm'!$A$5:$A$304,0)),"")))</f>
        <v/>
      </c>
      <c r="J2128" s="16">
        <f>IF(OR(D2128="",F2128=""),"",F2128*I2128-N(H2128))</f>
        <v/>
      </c>
      <c r="K2128" s="16">
        <f>IF(OR(D2128="",F2128=""),"",F2128*IFERROR(INDEX('Sản phẩm'!$D$5:$D$304,MATCH(D2128,'Sản phẩm'!$A$5:$A$304,0)),""))</f>
        <v/>
      </c>
      <c r="L2128" s="16">
        <f>IF(J2128="","",J2128-K2128)</f>
        <v/>
      </c>
      <c r="M2128" s="14">
        <f>IF(A2128="","",MONTH(A2128))</f>
        <v/>
      </c>
      <c r="N2128" s="14">
        <f>IF(A2128="","",YEAR(A2128))</f>
        <v/>
      </c>
    </row>
    <row r="2129">
      <c r="A2129" s="15" t="n"/>
      <c r="B2129" s="10" t="n"/>
      <c r="C2129" s="10" t="n"/>
      <c r="D2129" s="10" t="n"/>
      <c r="E2129" s="14">
        <f>IF(D2129="","",IFERROR(INDEX('Sản phẩm'!$B$5:$B$304,MATCH(D2129,'Sản phẩm'!$A$5:$A$304,0)),""))</f>
        <v/>
      </c>
      <c r="F2129" s="12" t="n"/>
      <c r="G2129" s="11" t="n"/>
      <c r="H2129" s="11" t="n"/>
      <c r="I2129" s="16">
        <f>IF(D2129="","",IF(G2129&lt;&gt;"",G2129,IFERROR(INDEX('Sản phẩm'!$E$5:$E$304,MATCH(D2129,'Sản phẩm'!$A$5:$A$304,0)),"")))</f>
        <v/>
      </c>
      <c r="J2129" s="16">
        <f>IF(OR(D2129="",F2129=""),"",F2129*I2129-N(H2129))</f>
        <v/>
      </c>
      <c r="K2129" s="16">
        <f>IF(OR(D2129="",F2129=""),"",F2129*IFERROR(INDEX('Sản phẩm'!$D$5:$D$304,MATCH(D2129,'Sản phẩm'!$A$5:$A$304,0)),""))</f>
        <v/>
      </c>
      <c r="L2129" s="16">
        <f>IF(J2129="","",J2129-K2129)</f>
        <v/>
      </c>
      <c r="M2129" s="14">
        <f>IF(A2129="","",MONTH(A2129))</f>
        <v/>
      </c>
      <c r="N2129" s="14">
        <f>IF(A2129="","",YEAR(A2129))</f>
        <v/>
      </c>
    </row>
    <row r="2130">
      <c r="A2130" s="15" t="n"/>
      <c r="B2130" s="10" t="n"/>
      <c r="C2130" s="10" t="n"/>
      <c r="D2130" s="10" t="n"/>
      <c r="E2130" s="14">
        <f>IF(D2130="","",IFERROR(INDEX('Sản phẩm'!$B$5:$B$304,MATCH(D2130,'Sản phẩm'!$A$5:$A$304,0)),""))</f>
        <v/>
      </c>
      <c r="F2130" s="12" t="n"/>
      <c r="G2130" s="11" t="n"/>
      <c r="H2130" s="11" t="n"/>
      <c r="I2130" s="16">
        <f>IF(D2130="","",IF(G2130&lt;&gt;"",G2130,IFERROR(INDEX('Sản phẩm'!$E$5:$E$304,MATCH(D2130,'Sản phẩm'!$A$5:$A$304,0)),"")))</f>
        <v/>
      </c>
      <c r="J2130" s="16">
        <f>IF(OR(D2130="",F2130=""),"",F2130*I2130-N(H2130))</f>
        <v/>
      </c>
      <c r="K2130" s="16">
        <f>IF(OR(D2130="",F2130=""),"",F2130*IFERROR(INDEX('Sản phẩm'!$D$5:$D$304,MATCH(D2130,'Sản phẩm'!$A$5:$A$304,0)),""))</f>
        <v/>
      </c>
      <c r="L2130" s="16">
        <f>IF(J2130="","",J2130-K2130)</f>
        <v/>
      </c>
      <c r="M2130" s="14">
        <f>IF(A2130="","",MONTH(A2130))</f>
        <v/>
      </c>
      <c r="N2130" s="14">
        <f>IF(A2130="","",YEAR(A2130))</f>
        <v/>
      </c>
    </row>
    <row r="2131">
      <c r="A2131" s="15" t="n"/>
      <c r="B2131" s="10" t="n"/>
      <c r="C2131" s="10" t="n"/>
      <c r="D2131" s="10" t="n"/>
      <c r="E2131" s="14">
        <f>IF(D2131="","",IFERROR(INDEX('Sản phẩm'!$B$5:$B$304,MATCH(D2131,'Sản phẩm'!$A$5:$A$304,0)),""))</f>
        <v/>
      </c>
      <c r="F2131" s="12" t="n"/>
      <c r="G2131" s="11" t="n"/>
      <c r="H2131" s="11" t="n"/>
      <c r="I2131" s="16">
        <f>IF(D2131="","",IF(G2131&lt;&gt;"",G2131,IFERROR(INDEX('Sản phẩm'!$E$5:$E$304,MATCH(D2131,'Sản phẩm'!$A$5:$A$304,0)),"")))</f>
        <v/>
      </c>
      <c r="J2131" s="16">
        <f>IF(OR(D2131="",F2131=""),"",F2131*I2131-N(H2131))</f>
        <v/>
      </c>
      <c r="K2131" s="16">
        <f>IF(OR(D2131="",F2131=""),"",F2131*IFERROR(INDEX('Sản phẩm'!$D$5:$D$304,MATCH(D2131,'Sản phẩm'!$A$5:$A$304,0)),""))</f>
        <v/>
      </c>
      <c r="L2131" s="16">
        <f>IF(J2131="","",J2131-K2131)</f>
        <v/>
      </c>
      <c r="M2131" s="14">
        <f>IF(A2131="","",MONTH(A2131))</f>
        <v/>
      </c>
      <c r="N2131" s="14">
        <f>IF(A2131="","",YEAR(A2131))</f>
        <v/>
      </c>
    </row>
    <row r="2132">
      <c r="A2132" s="15" t="n"/>
      <c r="B2132" s="10" t="n"/>
      <c r="C2132" s="10" t="n"/>
      <c r="D2132" s="10" t="n"/>
      <c r="E2132" s="14">
        <f>IF(D2132="","",IFERROR(INDEX('Sản phẩm'!$B$5:$B$304,MATCH(D2132,'Sản phẩm'!$A$5:$A$304,0)),""))</f>
        <v/>
      </c>
      <c r="F2132" s="12" t="n"/>
      <c r="G2132" s="11" t="n"/>
      <c r="H2132" s="11" t="n"/>
      <c r="I2132" s="16">
        <f>IF(D2132="","",IF(G2132&lt;&gt;"",G2132,IFERROR(INDEX('Sản phẩm'!$E$5:$E$304,MATCH(D2132,'Sản phẩm'!$A$5:$A$304,0)),"")))</f>
        <v/>
      </c>
      <c r="J2132" s="16">
        <f>IF(OR(D2132="",F2132=""),"",F2132*I2132-N(H2132))</f>
        <v/>
      </c>
      <c r="K2132" s="16">
        <f>IF(OR(D2132="",F2132=""),"",F2132*IFERROR(INDEX('Sản phẩm'!$D$5:$D$304,MATCH(D2132,'Sản phẩm'!$A$5:$A$304,0)),""))</f>
        <v/>
      </c>
      <c r="L2132" s="16">
        <f>IF(J2132="","",J2132-K2132)</f>
        <v/>
      </c>
      <c r="M2132" s="14">
        <f>IF(A2132="","",MONTH(A2132))</f>
        <v/>
      </c>
      <c r="N2132" s="14">
        <f>IF(A2132="","",YEAR(A2132))</f>
        <v/>
      </c>
    </row>
    <row r="2133">
      <c r="A2133" s="15" t="n"/>
      <c r="B2133" s="10" t="n"/>
      <c r="C2133" s="10" t="n"/>
      <c r="D2133" s="10" t="n"/>
      <c r="E2133" s="14">
        <f>IF(D2133="","",IFERROR(INDEX('Sản phẩm'!$B$5:$B$304,MATCH(D2133,'Sản phẩm'!$A$5:$A$304,0)),""))</f>
        <v/>
      </c>
      <c r="F2133" s="12" t="n"/>
      <c r="G2133" s="11" t="n"/>
      <c r="H2133" s="11" t="n"/>
      <c r="I2133" s="16">
        <f>IF(D2133="","",IF(G2133&lt;&gt;"",G2133,IFERROR(INDEX('Sản phẩm'!$E$5:$E$304,MATCH(D2133,'Sản phẩm'!$A$5:$A$304,0)),"")))</f>
        <v/>
      </c>
      <c r="J2133" s="16">
        <f>IF(OR(D2133="",F2133=""),"",F2133*I2133-N(H2133))</f>
        <v/>
      </c>
      <c r="K2133" s="16">
        <f>IF(OR(D2133="",F2133=""),"",F2133*IFERROR(INDEX('Sản phẩm'!$D$5:$D$304,MATCH(D2133,'Sản phẩm'!$A$5:$A$304,0)),""))</f>
        <v/>
      </c>
      <c r="L2133" s="16">
        <f>IF(J2133="","",J2133-K2133)</f>
        <v/>
      </c>
      <c r="M2133" s="14">
        <f>IF(A2133="","",MONTH(A2133))</f>
        <v/>
      </c>
      <c r="N2133" s="14">
        <f>IF(A2133="","",YEAR(A2133))</f>
        <v/>
      </c>
    </row>
    <row r="2134">
      <c r="A2134" s="15" t="n"/>
      <c r="B2134" s="10" t="n"/>
      <c r="C2134" s="10" t="n"/>
      <c r="D2134" s="10" t="n"/>
      <c r="E2134" s="14">
        <f>IF(D2134="","",IFERROR(INDEX('Sản phẩm'!$B$5:$B$304,MATCH(D2134,'Sản phẩm'!$A$5:$A$304,0)),""))</f>
        <v/>
      </c>
      <c r="F2134" s="12" t="n"/>
      <c r="G2134" s="11" t="n"/>
      <c r="H2134" s="11" t="n"/>
      <c r="I2134" s="16">
        <f>IF(D2134="","",IF(G2134&lt;&gt;"",G2134,IFERROR(INDEX('Sản phẩm'!$E$5:$E$304,MATCH(D2134,'Sản phẩm'!$A$5:$A$304,0)),"")))</f>
        <v/>
      </c>
      <c r="J2134" s="16">
        <f>IF(OR(D2134="",F2134=""),"",F2134*I2134-N(H2134))</f>
        <v/>
      </c>
      <c r="K2134" s="16">
        <f>IF(OR(D2134="",F2134=""),"",F2134*IFERROR(INDEX('Sản phẩm'!$D$5:$D$304,MATCH(D2134,'Sản phẩm'!$A$5:$A$304,0)),""))</f>
        <v/>
      </c>
      <c r="L2134" s="16">
        <f>IF(J2134="","",J2134-K2134)</f>
        <v/>
      </c>
      <c r="M2134" s="14">
        <f>IF(A2134="","",MONTH(A2134))</f>
        <v/>
      </c>
      <c r="N2134" s="14">
        <f>IF(A2134="","",YEAR(A2134))</f>
        <v/>
      </c>
    </row>
    <row r="2135">
      <c r="A2135" s="15" t="n"/>
      <c r="B2135" s="10" t="n"/>
      <c r="C2135" s="10" t="n"/>
      <c r="D2135" s="10" t="n"/>
      <c r="E2135" s="14">
        <f>IF(D2135="","",IFERROR(INDEX('Sản phẩm'!$B$5:$B$304,MATCH(D2135,'Sản phẩm'!$A$5:$A$304,0)),""))</f>
        <v/>
      </c>
      <c r="F2135" s="12" t="n"/>
      <c r="G2135" s="11" t="n"/>
      <c r="H2135" s="11" t="n"/>
      <c r="I2135" s="16">
        <f>IF(D2135="","",IF(G2135&lt;&gt;"",G2135,IFERROR(INDEX('Sản phẩm'!$E$5:$E$304,MATCH(D2135,'Sản phẩm'!$A$5:$A$304,0)),"")))</f>
        <v/>
      </c>
      <c r="J2135" s="16">
        <f>IF(OR(D2135="",F2135=""),"",F2135*I2135-N(H2135))</f>
        <v/>
      </c>
      <c r="K2135" s="16">
        <f>IF(OR(D2135="",F2135=""),"",F2135*IFERROR(INDEX('Sản phẩm'!$D$5:$D$304,MATCH(D2135,'Sản phẩm'!$A$5:$A$304,0)),""))</f>
        <v/>
      </c>
      <c r="L2135" s="16">
        <f>IF(J2135="","",J2135-K2135)</f>
        <v/>
      </c>
      <c r="M2135" s="14">
        <f>IF(A2135="","",MONTH(A2135))</f>
        <v/>
      </c>
      <c r="N2135" s="14">
        <f>IF(A2135="","",YEAR(A2135))</f>
        <v/>
      </c>
    </row>
    <row r="2136">
      <c r="A2136" s="15" t="n"/>
      <c r="B2136" s="10" t="n"/>
      <c r="C2136" s="10" t="n"/>
      <c r="D2136" s="10" t="n"/>
      <c r="E2136" s="14">
        <f>IF(D2136="","",IFERROR(INDEX('Sản phẩm'!$B$5:$B$304,MATCH(D2136,'Sản phẩm'!$A$5:$A$304,0)),""))</f>
        <v/>
      </c>
      <c r="F2136" s="12" t="n"/>
      <c r="G2136" s="11" t="n"/>
      <c r="H2136" s="11" t="n"/>
      <c r="I2136" s="16">
        <f>IF(D2136="","",IF(G2136&lt;&gt;"",G2136,IFERROR(INDEX('Sản phẩm'!$E$5:$E$304,MATCH(D2136,'Sản phẩm'!$A$5:$A$304,0)),"")))</f>
        <v/>
      </c>
      <c r="J2136" s="16">
        <f>IF(OR(D2136="",F2136=""),"",F2136*I2136-N(H2136))</f>
        <v/>
      </c>
      <c r="K2136" s="16">
        <f>IF(OR(D2136="",F2136=""),"",F2136*IFERROR(INDEX('Sản phẩm'!$D$5:$D$304,MATCH(D2136,'Sản phẩm'!$A$5:$A$304,0)),""))</f>
        <v/>
      </c>
      <c r="L2136" s="16">
        <f>IF(J2136="","",J2136-K2136)</f>
        <v/>
      </c>
      <c r="M2136" s="14">
        <f>IF(A2136="","",MONTH(A2136))</f>
        <v/>
      </c>
      <c r="N2136" s="14">
        <f>IF(A2136="","",YEAR(A2136))</f>
        <v/>
      </c>
    </row>
    <row r="2137">
      <c r="A2137" s="15" t="n"/>
      <c r="B2137" s="10" t="n"/>
      <c r="C2137" s="10" t="n"/>
      <c r="D2137" s="10" t="n"/>
      <c r="E2137" s="14">
        <f>IF(D2137="","",IFERROR(INDEX('Sản phẩm'!$B$5:$B$304,MATCH(D2137,'Sản phẩm'!$A$5:$A$304,0)),""))</f>
        <v/>
      </c>
      <c r="F2137" s="12" t="n"/>
      <c r="G2137" s="11" t="n"/>
      <c r="H2137" s="11" t="n"/>
      <c r="I2137" s="16">
        <f>IF(D2137="","",IF(G2137&lt;&gt;"",G2137,IFERROR(INDEX('Sản phẩm'!$E$5:$E$304,MATCH(D2137,'Sản phẩm'!$A$5:$A$304,0)),"")))</f>
        <v/>
      </c>
      <c r="J2137" s="16">
        <f>IF(OR(D2137="",F2137=""),"",F2137*I2137-N(H2137))</f>
        <v/>
      </c>
      <c r="K2137" s="16">
        <f>IF(OR(D2137="",F2137=""),"",F2137*IFERROR(INDEX('Sản phẩm'!$D$5:$D$304,MATCH(D2137,'Sản phẩm'!$A$5:$A$304,0)),""))</f>
        <v/>
      </c>
      <c r="L2137" s="16">
        <f>IF(J2137="","",J2137-K2137)</f>
        <v/>
      </c>
      <c r="M2137" s="14">
        <f>IF(A2137="","",MONTH(A2137))</f>
        <v/>
      </c>
      <c r="N2137" s="14">
        <f>IF(A2137="","",YEAR(A2137))</f>
        <v/>
      </c>
    </row>
    <row r="2138">
      <c r="A2138" s="15" t="n"/>
      <c r="B2138" s="10" t="n"/>
      <c r="C2138" s="10" t="n"/>
      <c r="D2138" s="10" t="n"/>
      <c r="E2138" s="14">
        <f>IF(D2138="","",IFERROR(INDEX('Sản phẩm'!$B$5:$B$304,MATCH(D2138,'Sản phẩm'!$A$5:$A$304,0)),""))</f>
        <v/>
      </c>
      <c r="F2138" s="12" t="n"/>
      <c r="G2138" s="11" t="n"/>
      <c r="H2138" s="11" t="n"/>
      <c r="I2138" s="16">
        <f>IF(D2138="","",IF(G2138&lt;&gt;"",G2138,IFERROR(INDEX('Sản phẩm'!$E$5:$E$304,MATCH(D2138,'Sản phẩm'!$A$5:$A$304,0)),"")))</f>
        <v/>
      </c>
      <c r="J2138" s="16">
        <f>IF(OR(D2138="",F2138=""),"",F2138*I2138-N(H2138))</f>
        <v/>
      </c>
      <c r="K2138" s="16">
        <f>IF(OR(D2138="",F2138=""),"",F2138*IFERROR(INDEX('Sản phẩm'!$D$5:$D$304,MATCH(D2138,'Sản phẩm'!$A$5:$A$304,0)),""))</f>
        <v/>
      </c>
      <c r="L2138" s="16">
        <f>IF(J2138="","",J2138-K2138)</f>
        <v/>
      </c>
      <c r="M2138" s="14">
        <f>IF(A2138="","",MONTH(A2138))</f>
        <v/>
      </c>
      <c r="N2138" s="14">
        <f>IF(A2138="","",YEAR(A2138))</f>
        <v/>
      </c>
    </row>
    <row r="2139">
      <c r="A2139" s="15" t="n"/>
      <c r="B2139" s="10" t="n"/>
      <c r="C2139" s="10" t="n"/>
      <c r="D2139" s="10" t="n"/>
      <c r="E2139" s="14">
        <f>IF(D2139="","",IFERROR(INDEX('Sản phẩm'!$B$5:$B$304,MATCH(D2139,'Sản phẩm'!$A$5:$A$304,0)),""))</f>
        <v/>
      </c>
      <c r="F2139" s="12" t="n"/>
      <c r="G2139" s="11" t="n"/>
      <c r="H2139" s="11" t="n"/>
      <c r="I2139" s="16">
        <f>IF(D2139="","",IF(G2139&lt;&gt;"",G2139,IFERROR(INDEX('Sản phẩm'!$E$5:$E$304,MATCH(D2139,'Sản phẩm'!$A$5:$A$304,0)),"")))</f>
        <v/>
      </c>
      <c r="J2139" s="16">
        <f>IF(OR(D2139="",F2139=""),"",F2139*I2139-N(H2139))</f>
        <v/>
      </c>
      <c r="K2139" s="16">
        <f>IF(OR(D2139="",F2139=""),"",F2139*IFERROR(INDEX('Sản phẩm'!$D$5:$D$304,MATCH(D2139,'Sản phẩm'!$A$5:$A$304,0)),""))</f>
        <v/>
      </c>
      <c r="L2139" s="16">
        <f>IF(J2139="","",J2139-K2139)</f>
        <v/>
      </c>
      <c r="M2139" s="14">
        <f>IF(A2139="","",MONTH(A2139))</f>
        <v/>
      </c>
      <c r="N2139" s="14">
        <f>IF(A2139="","",YEAR(A2139))</f>
        <v/>
      </c>
    </row>
    <row r="2140">
      <c r="A2140" s="15" t="n"/>
      <c r="B2140" s="10" t="n"/>
      <c r="C2140" s="10" t="n"/>
      <c r="D2140" s="10" t="n"/>
      <c r="E2140" s="14">
        <f>IF(D2140="","",IFERROR(INDEX('Sản phẩm'!$B$5:$B$304,MATCH(D2140,'Sản phẩm'!$A$5:$A$304,0)),""))</f>
        <v/>
      </c>
      <c r="F2140" s="12" t="n"/>
      <c r="G2140" s="11" t="n"/>
      <c r="H2140" s="11" t="n"/>
      <c r="I2140" s="16">
        <f>IF(D2140="","",IF(G2140&lt;&gt;"",G2140,IFERROR(INDEX('Sản phẩm'!$E$5:$E$304,MATCH(D2140,'Sản phẩm'!$A$5:$A$304,0)),"")))</f>
        <v/>
      </c>
      <c r="J2140" s="16">
        <f>IF(OR(D2140="",F2140=""),"",F2140*I2140-N(H2140))</f>
        <v/>
      </c>
      <c r="K2140" s="16">
        <f>IF(OR(D2140="",F2140=""),"",F2140*IFERROR(INDEX('Sản phẩm'!$D$5:$D$304,MATCH(D2140,'Sản phẩm'!$A$5:$A$304,0)),""))</f>
        <v/>
      </c>
      <c r="L2140" s="16">
        <f>IF(J2140="","",J2140-K2140)</f>
        <v/>
      </c>
      <c r="M2140" s="14">
        <f>IF(A2140="","",MONTH(A2140))</f>
        <v/>
      </c>
      <c r="N2140" s="14">
        <f>IF(A2140="","",YEAR(A2140))</f>
        <v/>
      </c>
    </row>
    <row r="2141">
      <c r="A2141" s="15" t="n"/>
      <c r="B2141" s="10" t="n"/>
      <c r="C2141" s="10" t="n"/>
      <c r="D2141" s="10" t="n"/>
      <c r="E2141" s="14">
        <f>IF(D2141="","",IFERROR(INDEX('Sản phẩm'!$B$5:$B$304,MATCH(D2141,'Sản phẩm'!$A$5:$A$304,0)),""))</f>
        <v/>
      </c>
      <c r="F2141" s="12" t="n"/>
      <c r="G2141" s="11" t="n"/>
      <c r="H2141" s="11" t="n"/>
      <c r="I2141" s="16">
        <f>IF(D2141="","",IF(G2141&lt;&gt;"",G2141,IFERROR(INDEX('Sản phẩm'!$E$5:$E$304,MATCH(D2141,'Sản phẩm'!$A$5:$A$304,0)),"")))</f>
        <v/>
      </c>
      <c r="J2141" s="16">
        <f>IF(OR(D2141="",F2141=""),"",F2141*I2141-N(H2141))</f>
        <v/>
      </c>
      <c r="K2141" s="16">
        <f>IF(OR(D2141="",F2141=""),"",F2141*IFERROR(INDEX('Sản phẩm'!$D$5:$D$304,MATCH(D2141,'Sản phẩm'!$A$5:$A$304,0)),""))</f>
        <v/>
      </c>
      <c r="L2141" s="16">
        <f>IF(J2141="","",J2141-K2141)</f>
        <v/>
      </c>
      <c r="M2141" s="14">
        <f>IF(A2141="","",MONTH(A2141))</f>
        <v/>
      </c>
      <c r="N2141" s="14">
        <f>IF(A2141="","",YEAR(A2141))</f>
        <v/>
      </c>
    </row>
    <row r="2142">
      <c r="A2142" s="15" t="n"/>
      <c r="B2142" s="10" t="n"/>
      <c r="C2142" s="10" t="n"/>
      <c r="D2142" s="10" t="n"/>
      <c r="E2142" s="14">
        <f>IF(D2142="","",IFERROR(INDEX('Sản phẩm'!$B$5:$B$304,MATCH(D2142,'Sản phẩm'!$A$5:$A$304,0)),""))</f>
        <v/>
      </c>
      <c r="F2142" s="12" t="n"/>
      <c r="G2142" s="11" t="n"/>
      <c r="H2142" s="11" t="n"/>
      <c r="I2142" s="16">
        <f>IF(D2142="","",IF(G2142&lt;&gt;"",G2142,IFERROR(INDEX('Sản phẩm'!$E$5:$E$304,MATCH(D2142,'Sản phẩm'!$A$5:$A$304,0)),"")))</f>
        <v/>
      </c>
      <c r="J2142" s="16">
        <f>IF(OR(D2142="",F2142=""),"",F2142*I2142-N(H2142))</f>
        <v/>
      </c>
      <c r="K2142" s="16">
        <f>IF(OR(D2142="",F2142=""),"",F2142*IFERROR(INDEX('Sản phẩm'!$D$5:$D$304,MATCH(D2142,'Sản phẩm'!$A$5:$A$304,0)),""))</f>
        <v/>
      </c>
      <c r="L2142" s="16">
        <f>IF(J2142="","",J2142-K2142)</f>
        <v/>
      </c>
      <c r="M2142" s="14">
        <f>IF(A2142="","",MONTH(A2142))</f>
        <v/>
      </c>
      <c r="N2142" s="14">
        <f>IF(A2142="","",YEAR(A2142))</f>
        <v/>
      </c>
    </row>
    <row r="2143">
      <c r="A2143" s="15" t="n"/>
      <c r="B2143" s="10" t="n"/>
      <c r="C2143" s="10" t="n"/>
      <c r="D2143" s="10" t="n"/>
      <c r="E2143" s="14">
        <f>IF(D2143="","",IFERROR(INDEX('Sản phẩm'!$B$5:$B$304,MATCH(D2143,'Sản phẩm'!$A$5:$A$304,0)),""))</f>
        <v/>
      </c>
      <c r="F2143" s="12" t="n"/>
      <c r="G2143" s="11" t="n"/>
      <c r="H2143" s="11" t="n"/>
      <c r="I2143" s="16">
        <f>IF(D2143="","",IF(G2143&lt;&gt;"",G2143,IFERROR(INDEX('Sản phẩm'!$E$5:$E$304,MATCH(D2143,'Sản phẩm'!$A$5:$A$304,0)),"")))</f>
        <v/>
      </c>
      <c r="J2143" s="16">
        <f>IF(OR(D2143="",F2143=""),"",F2143*I2143-N(H2143))</f>
        <v/>
      </c>
      <c r="K2143" s="16">
        <f>IF(OR(D2143="",F2143=""),"",F2143*IFERROR(INDEX('Sản phẩm'!$D$5:$D$304,MATCH(D2143,'Sản phẩm'!$A$5:$A$304,0)),""))</f>
        <v/>
      </c>
      <c r="L2143" s="16">
        <f>IF(J2143="","",J2143-K2143)</f>
        <v/>
      </c>
      <c r="M2143" s="14">
        <f>IF(A2143="","",MONTH(A2143))</f>
        <v/>
      </c>
      <c r="N2143" s="14">
        <f>IF(A2143="","",YEAR(A2143))</f>
        <v/>
      </c>
    </row>
    <row r="2144">
      <c r="A2144" s="15" t="n"/>
      <c r="B2144" s="10" t="n"/>
      <c r="C2144" s="10" t="n"/>
      <c r="D2144" s="10" t="n"/>
      <c r="E2144" s="14">
        <f>IF(D2144="","",IFERROR(INDEX('Sản phẩm'!$B$5:$B$304,MATCH(D2144,'Sản phẩm'!$A$5:$A$304,0)),""))</f>
        <v/>
      </c>
      <c r="F2144" s="12" t="n"/>
      <c r="G2144" s="11" t="n"/>
      <c r="H2144" s="11" t="n"/>
      <c r="I2144" s="16">
        <f>IF(D2144="","",IF(G2144&lt;&gt;"",G2144,IFERROR(INDEX('Sản phẩm'!$E$5:$E$304,MATCH(D2144,'Sản phẩm'!$A$5:$A$304,0)),"")))</f>
        <v/>
      </c>
      <c r="J2144" s="16">
        <f>IF(OR(D2144="",F2144=""),"",F2144*I2144-N(H2144))</f>
        <v/>
      </c>
      <c r="K2144" s="16">
        <f>IF(OR(D2144="",F2144=""),"",F2144*IFERROR(INDEX('Sản phẩm'!$D$5:$D$304,MATCH(D2144,'Sản phẩm'!$A$5:$A$304,0)),""))</f>
        <v/>
      </c>
      <c r="L2144" s="16">
        <f>IF(J2144="","",J2144-K2144)</f>
        <v/>
      </c>
      <c r="M2144" s="14">
        <f>IF(A2144="","",MONTH(A2144))</f>
        <v/>
      </c>
      <c r="N2144" s="14">
        <f>IF(A2144="","",YEAR(A2144))</f>
        <v/>
      </c>
    </row>
    <row r="2145">
      <c r="A2145" s="15" t="n"/>
      <c r="B2145" s="10" t="n"/>
      <c r="C2145" s="10" t="n"/>
      <c r="D2145" s="10" t="n"/>
      <c r="E2145" s="14">
        <f>IF(D2145="","",IFERROR(INDEX('Sản phẩm'!$B$5:$B$304,MATCH(D2145,'Sản phẩm'!$A$5:$A$304,0)),""))</f>
        <v/>
      </c>
      <c r="F2145" s="12" t="n"/>
      <c r="G2145" s="11" t="n"/>
      <c r="H2145" s="11" t="n"/>
      <c r="I2145" s="16">
        <f>IF(D2145="","",IF(G2145&lt;&gt;"",G2145,IFERROR(INDEX('Sản phẩm'!$E$5:$E$304,MATCH(D2145,'Sản phẩm'!$A$5:$A$304,0)),"")))</f>
        <v/>
      </c>
      <c r="J2145" s="16">
        <f>IF(OR(D2145="",F2145=""),"",F2145*I2145-N(H2145))</f>
        <v/>
      </c>
      <c r="K2145" s="16">
        <f>IF(OR(D2145="",F2145=""),"",F2145*IFERROR(INDEX('Sản phẩm'!$D$5:$D$304,MATCH(D2145,'Sản phẩm'!$A$5:$A$304,0)),""))</f>
        <v/>
      </c>
      <c r="L2145" s="16">
        <f>IF(J2145="","",J2145-K2145)</f>
        <v/>
      </c>
      <c r="M2145" s="14">
        <f>IF(A2145="","",MONTH(A2145))</f>
        <v/>
      </c>
      <c r="N2145" s="14">
        <f>IF(A2145="","",YEAR(A2145))</f>
        <v/>
      </c>
    </row>
    <row r="2146">
      <c r="A2146" s="15" t="n"/>
      <c r="B2146" s="10" t="n"/>
      <c r="C2146" s="10" t="n"/>
      <c r="D2146" s="10" t="n"/>
      <c r="E2146" s="14">
        <f>IF(D2146="","",IFERROR(INDEX('Sản phẩm'!$B$5:$B$304,MATCH(D2146,'Sản phẩm'!$A$5:$A$304,0)),""))</f>
        <v/>
      </c>
      <c r="F2146" s="12" t="n"/>
      <c r="G2146" s="11" t="n"/>
      <c r="H2146" s="11" t="n"/>
      <c r="I2146" s="16">
        <f>IF(D2146="","",IF(G2146&lt;&gt;"",G2146,IFERROR(INDEX('Sản phẩm'!$E$5:$E$304,MATCH(D2146,'Sản phẩm'!$A$5:$A$304,0)),"")))</f>
        <v/>
      </c>
      <c r="J2146" s="16">
        <f>IF(OR(D2146="",F2146=""),"",F2146*I2146-N(H2146))</f>
        <v/>
      </c>
      <c r="K2146" s="16">
        <f>IF(OR(D2146="",F2146=""),"",F2146*IFERROR(INDEX('Sản phẩm'!$D$5:$D$304,MATCH(D2146,'Sản phẩm'!$A$5:$A$304,0)),""))</f>
        <v/>
      </c>
      <c r="L2146" s="16">
        <f>IF(J2146="","",J2146-K2146)</f>
        <v/>
      </c>
      <c r="M2146" s="14">
        <f>IF(A2146="","",MONTH(A2146))</f>
        <v/>
      </c>
      <c r="N2146" s="14">
        <f>IF(A2146="","",YEAR(A2146))</f>
        <v/>
      </c>
    </row>
    <row r="2147">
      <c r="A2147" s="15" t="n"/>
      <c r="B2147" s="10" t="n"/>
      <c r="C2147" s="10" t="n"/>
      <c r="D2147" s="10" t="n"/>
      <c r="E2147" s="14">
        <f>IF(D2147="","",IFERROR(INDEX('Sản phẩm'!$B$5:$B$304,MATCH(D2147,'Sản phẩm'!$A$5:$A$304,0)),""))</f>
        <v/>
      </c>
      <c r="F2147" s="12" t="n"/>
      <c r="G2147" s="11" t="n"/>
      <c r="H2147" s="11" t="n"/>
      <c r="I2147" s="16">
        <f>IF(D2147="","",IF(G2147&lt;&gt;"",G2147,IFERROR(INDEX('Sản phẩm'!$E$5:$E$304,MATCH(D2147,'Sản phẩm'!$A$5:$A$304,0)),"")))</f>
        <v/>
      </c>
      <c r="J2147" s="16">
        <f>IF(OR(D2147="",F2147=""),"",F2147*I2147-N(H2147))</f>
        <v/>
      </c>
      <c r="K2147" s="16">
        <f>IF(OR(D2147="",F2147=""),"",F2147*IFERROR(INDEX('Sản phẩm'!$D$5:$D$304,MATCH(D2147,'Sản phẩm'!$A$5:$A$304,0)),""))</f>
        <v/>
      </c>
      <c r="L2147" s="16">
        <f>IF(J2147="","",J2147-K2147)</f>
        <v/>
      </c>
      <c r="M2147" s="14">
        <f>IF(A2147="","",MONTH(A2147))</f>
        <v/>
      </c>
      <c r="N2147" s="14">
        <f>IF(A2147="","",YEAR(A2147))</f>
        <v/>
      </c>
    </row>
    <row r="2148">
      <c r="A2148" s="15" t="n"/>
      <c r="B2148" s="10" t="n"/>
      <c r="C2148" s="10" t="n"/>
      <c r="D2148" s="10" t="n"/>
      <c r="E2148" s="14">
        <f>IF(D2148="","",IFERROR(INDEX('Sản phẩm'!$B$5:$B$304,MATCH(D2148,'Sản phẩm'!$A$5:$A$304,0)),""))</f>
        <v/>
      </c>
      <c r="F2148" s="12" t="n"/>
      <c r="G2148" s="11" t="n"/>
      <c r="H2148" s="11" t="n"/>
      <c r="I2148" s="16">
        <f>IF(D2148="","",IF(G2148&lt;&gt;"",G2148,IFERROR(INDEX('Sản phẩm'!$E$5:$E$304,MATCH(D2148,'Sản phẩm'!$A$5:$A$304,0)),"")))</f>
        <v/>
      </c>
      <c r="J2148" s="16">
        <f>IF(OR(D2148="",F2148=""),"",F2148*I2148-N(H2148))</f>
        <v/>
      </c>
      <c r="K2148" s="16">
        <f>IF(OR(D2148="",F2148=""),"",F2148*IFERROR(INDEX('Sản phẩm'!$D$5:$D$304,MATCH(D2148,'Sản phẩm'!$A$5:$A$304,0)),""))</f>
        <v/>
      </c>
      <c r="L2148" s="16">
        <f>IF(J2148="","",J2148-K2148)</f>
        <v/>
      </c>
      <c r="M2148" s="14">
        <f>IF(A2148="","",MONTH(A2148))</f>
        <v/>
      </c>
      <c r="N2148" s="14">
        <f>IF(A2148="","",YEAR(A2148))</f>
        <v/>
      </c>
    </row>
    <row r="2149">
      <c r="A2149" s="15" t="n"/>
      <c r="B2149" s="10" t="n"/>
      <c r="C2149" s="10" t="n"/>
      <c r="D2149" s="10" t="n"/>
      <c r="E2149" s="14">
        <f>IF(D2149="","",IFERROR(INDEX('Sản phẩm'!$B$5:$B$304,MATCH(D2149,'Sản phẩm'!$A$5:$A$304,0)),""))</f>
        <v/>
      </c>
      <c r="F2149" s="12" t="n"/>
      <c r="G2149" s="11" t="n"/>
      <c r="H2149" s="11" t="n"/>
      <c r="I2149" s="16">
        <f>IF(D2149="","",IF(G2149&lt;&gt;"",G2149,IFERROR(INDEX('Sản phẩm'!$E$5:$E$304,MATCH(D2149,'Sản phẩm'!$A$5:$A$304,0)),"")))</f>
        <v/>
      </c>
      <c r="J2149" s="16">
        <f>IF(OR(D2149="",F2149=""),"",F2149*I2149-N(H2149))</f>
        <v/>
      </c>
      <c r="K2149" s="16">
        <f>IF(OR(D2149="",F2149=""),"",F2149*IFERROR(INDEX('Sản phẩm'!$D$5:$D$304,MATCH(D2149,'Sản phẩm'!$A$5:$A$304,0)),""))</f>
        <v/>
      </c>
      <c r="L2149" s="16">
        <f>IF(J2149="","",J2149-K2149)</f>
        <v/>
      </c>
      <c r="M2149" s="14">
        <f>IF(A2149="","",MONTH(A2149))</f>
        <v/>
      </c>
      <c r="N2149" s="14">
        <f>IF(A2149="","",YEAR(A2149))</f>
        <v/>
      </c>
    </row>
    <row r="2150">
      <c r="A2150" s="15" t="n"/>
      <c r="B2150" s="10" t="n"/>
      <c r="C2150" s="10" t="n"/>
      <c r="D2150" s="10" t="n"/>
      <c r="E2150" s="14">
        <f>IF(D2150="","",IFERROR(INDEX('Sản phẩm'!$B$5:$B$304,MATCH(D2150,'Sản phẩm'!$A$5:$A$304,0)),""))</f>
        <v/>
      </c>
      <c r="F2150" s="12" t="n"/>
      <c r="G2150" s="11" t="n"/>
      <c r="H2150" s="11" t="n"/>
      <c r="I2150" s="16">
        <f>IF(D2150="","",IF(G2150&lt;&gt;"",G2150,IFERROR(INDEX('Sản phẩm'!$E$5:$E$304,MATCH(D2150,'Sản phẩm'!$A$5:$A$304,0)),"")))</f>
        <v/>
      </c>
      <c r="J2150" s="16">
        <f>IF(OR(D2150="",F2150=""),"",F2150*I2150-N(H2150))</f>
        <v/>
      </c>
      <c r="K2150" s="16">
        <f>IF(OR(D2150="",F2150=""),"",F2150*IFERROR(INDEX('Sản phẩm'!$D$5:$D$304,MATCH(D2150,'Sản phẩm'!$A$5:$A$304,0)),""))</f>
        <v/>
      </c>
      <c r="L2150" s="16">
        <f>IF(J2150="","",J2150-K2150)</f>
        <v/>
      </c>
      <c r="M2150" s="14">
        <f>IF(A2150="","",MONTH(A2150))</f>
        <v/>
      </c>
      <c r="N2150" s="14">
        <f>IF(A2150="","",YEAR(A2150))</f>
        <v/>
      </c>
    </row>
    <row r="2151">
      <c r="A2151" s="15" t="n"/>
      <c r="B2151" s="10" t="n"/>
      <c r="C2151" s="10" t="n"/>
      <c r="D2151" s="10" t="n"/>
      <c r="E2151" s="14">
        <f>IF(D2151="","",IFERROR(INDEX('Sản phẩm'!$B$5:$B$304,MATCH(D2151,'Sản phẩm'!$A$5:$A$304,0)),""))</f>
        <v/>
      </c>
      <c r="F2151" s="12" t="n"/>
      <c r="G2151" s="11" t="n"/>
      <c r="H2151" s="11" t="n"/>
      <c r="I2151" s="16">
        <f>IF(D2151="","",IF(G2151&lt;&gt;"",G2151,IFERROR(INDEX('Sản phẩm'!$E$5:$E$304,MATCH(D2151,'Sản phẩm'!$A$5:$A$304,0)),"")))</f>
        <v/>
      </c>
      <c r="J2151" s="16">
        <f>IF(OR(D2151="",F2151=""),"",F2151*I2151-N(H2151))</f>
        <v/>
      </c>
      <c r="K2151" s="16">
        <f>IF(OR(D2151="",F2151=""),"",F2151*IFERROR(INDEX('Sản phẩm'!$D$5:$D$304,MATCH(D2151,'Sản phẩm'!$A$5:$A$304,0)),""))</f>
        <v/>
      </c>
      <c r="L2151" s="16">
        <f>IF(J2151="","",J2151-K2151)</f>
        <v/>
      </c>
      <c r="M2151" s="14">
        <f>IF(A2151="","",MONTH(A2151))</f>
        <v/>
      </c>
      <c r="N2151" s="14">
        <f>IF(A2151="","",YEAR(A2151))</f>
        <v/>
      </c>
    </row>
    <row r="2152">
      <c r="A2152" s="15" t="n"/>
      <c r="B2152" s="10" t="n"/>
      <c r="C2152" s="10" t="n"/>
      <c r="D2152" s="10" t="n"/>
      <c r="E2152" s="14">
        <f>IF(D2152="","",IFERROR(INDEX('Sản phẩm'!$B$5:$B$304,MATCH(D2152,'Sản phẩm'!$A$5:$A$304,0)),""))</f>
        <v/>
      </c>
      <c r="F2152" s="12" t="n"/>
      <c r="G2152" s="11" t="n"/>
      <c r="H2152" s="11" t="n"/>
      <c r="I2152" s="16">
        <f>IF(D2152="","",IF(G2152&lt;&gt;"",G2152,IFERROR(INDEX('Sản phẩm'!$E$5:$E$304,MATCH(D2152,'Sản phẩm'!$A$5:$A$304,0)),"")))</f>
        <v/>
      </c>
      <c r="J2152" s="16">
        <f>IF(OR(D2152="",F2152=""),"",F2152*I2152-N(H2152))</f>
        <v/>
      </c>
      <c r="K2152" s="16">
        <f>IF(OR(D2152="",F2152=""),"",F2152*IFERROR(INDEX('Sản phẩm'!$D$5:$D$304,MATCH(D2152,'Sản phẩm'!$A$5:$A$304,0)),""))</f>
        <v/>
      </c>
      <c r="L2152" s="16">
        <f>IF(J2152="","",J2152-K2152)</f>
        <v/>
      </c>
      <c r="M2152" s="14">
        <f>IF(A2152="","",MONTH(A2152))</f>
        <v/>
      </c>
      <c r="N2152" s="14">
        <f>IF(A2152="","",YEAR(A2152))</f>
        <v/>
      </c>
    </row>
    <row r="2153">
      <c r="A2153" s="15" t="n"/>
      <c r="B2153" s="10" t="n"/>
      <c r="C2153" s="10" t="n"/>
      <c r="D2153" s="10" t="n"/>
      <c r="E2153" s="14">
        <f>IF(D2153="","",IFERROR(INDEX('Sản phẩm'!$B$5:$B$304,MATCH(D2153,'Sản phẩm'!$A$5:$A$304,0)),""))</f>
        <v/>
      </c>
      <c r="F2153" s="12" t="n"/>
      <c r="G2153" s="11" t="n"/>
      <c r="H2153" s="11" t="n"/>
      <c r="I2153" s="16">
        <f>IF(D2153="","",IF(G2153&lt;&gt;"",G2153,IFERROR(INDEX('Sản phẩm'!$E$5:$E$304,MATCH(D2153,'Sản phẩm'!$A$5:$A$304,0)),"")))</f>
        <v/>
      </c>
      <c r="J2153" s="16">
        <f>IF(OR(D2153="",F2153=""),"",F2153*I2153-N(H2153))</f>
        <v/>
      </c>
      <c r="K2153" s="16">
        <f>IF(OR(D2153="",F2153=""),"",F2153*IFERROR(INDEX('Sản phẩm'!$D$5:$D$304,MATCH(D2153,'Sản phẩm'!$A$5:$A$304,0)),""))</f>
        <v/>
      </c>
      <c r="L2153" s="16">
        <f>IF(J2153="","",J2153-K2153)</f>
        <v/>
      </c>
      <c r="M2153" s="14">
        <f>IF(A2153="","",MONTH(A2153))</f>
        <v/>
      </c>
      <c r="N2153" s="14">
        <f>IF(A2153="","",YEAR(A2153))</f>
        <v/>
      </c>
    </row>
    <row r="2154">
      <c r="A2154" s="15" t="n"/>
      <c r="B2154" s="10" t="n"/>
      <c r="C2154" s="10" t="n"/>
      <c r="D2154" s="10" t="n"/>
      <c r="E2154" s="14">
        <f>IF(D2154="","",IFERROR(INDEX('Sản phẩm'!$B$5:$B$304,MATCH(D2154,'Sản phẩm'!$A$5:$A$304,0)),""))</f>
        <v/>
      </c>
      <c r="F2154" s="12" t="n"/>
      <c r="G2154" s="11" t="n"/>
      <c r="H2154" s="11" t="n"/>
      <c r="I2154" s="16">
        <f>IF(D2154="","",IF(G2154&lt;&gt;"",G2154,IFERROR(INDEX('Sản phẩm'!$E$5:$E$304,MATCH(D2154,'Sản phẩm'!$A$5:$A$304,0)),"")))</f>
        <v/>
      </c>
      <c r="J2154" s="16">
        <f>IF(OR(D2154="",F2154=""),"",F2154*I2154-N(H2154))</f>
        <v/>
      </c>
      <c r="K2154" s="16">
        <f>IF(OR(D2154="",F2154=""),"",F2154*IFERROR(INDEX('Sản phẩm'!$D$5:$D$304,MATCH(D2154,'Sản phẩm'!$A$5:$A$304,0)),""))</f>
        <v/>
      </c>
      <c r="L2154" s="16">
        <f>IF(J2154="","",J2154-K2154)</f>
        <v/>
      </c>
      <c r="M2154" s="14">
        <f>IF(A2154="","",MONTH(A2154))</f>
        <v/>
      </c>
      <c r="N2154" s="14">
        <f>IF(A2154="","",YEAR(A2154))</f>
        <v/>
      </c>
    </row>
    <row r="2155">
      <c r="A2155" s="15" t="n"/>
      <c r="B2155" s="10" t="n"/>
      <c r="C2155" s="10" t="n"/>
      <c r="D2155" s="10" t="n"/>
      <c r="E2155" s="14">
        <f>IF(D2155="","",IFERROR(INDEX('Sản phẩm'!$B$5:$B$304,MATCH(D2155,'Sản phẩm'!$A$5:$A$304,0)),""))</f>
        <v/>
      </c>
      <c r="F2155" s="12" t="n"/>
      <c r="G2155" s="11" t="n"/>
      <c r="H2155" s="11" t="n"/>
      <c r="I2155" s="16">
        <f>IF(D2155="","",IF(G2155&lt;&gt;"",G2155,IFERROR(INDEX('Sản phẩm'!$E$5:$E$304,MATCH(D2155,'Sản phẩm'!$A$5:$A$304,0)),"")))</f>
        <v/>
      </c>
      <c r="J2155" s="16">
        <f>IF(OR(D2155="",F2155=""),"",F2155*I2155-N(H2155))</f>
        <v/>
      </c>
      <c r="K2155" s="16">
        <f>IF(OR(D2155="",F2155=""),"",F2155*IFERROR(INDEX('Sản phẩm'!$D$5:$D$304,MATCH(D2155,'Sản phẩm'!$A$5:$A$304,0)),""))</f>
        <v/>
      </c>
      <c r="L2155" s="16">
        <f>IF(J2155="","",J2155-K2155)</f>
        <v/>
      </c>
      <c r="M2155" s="14">
        <f>IF(A2155="","",MONTH(A2155))</f>
        <v/>
      </c>
      <c r="N2155" s="14">
        <f>IF(A2155="","",YEAR(A2155))</f>
        <v/>
      </c>
    </row>
    <row r="2156">
      <c r="A2156" s="15" t="n"/>
      <c r="B2156" s="10" t="n"/>
      <c r="C2156" s="10" t="n"/>
      <c r="D2156" s="10" t="n"/>
      <c r="E2156" s="14">
        <f>IF(D2156="","",IFERROR(INDEX('Sản phẩm'!$B$5:$B$304,MATCH(D2156,'Sản phẩm'!$A$5:$A$304,0)),""))</f>
        <v/>
      </c>
      <c r="F2156" s="12" t="n"/>
      <c r="G2156" s="11" t="n"/>
      <c r="H2156" s="11" t="n"/>
      <c r="I2156" s="16">
        <f>IF(D2156="","",IF(G2156&lt;&gt;"",G2156,IFERROR(INDEX('Sản phẩm'!$E$5:$E$304,MATCH(D2156,'Sản phẩm'!$A$5:$A$304,0)),"")))</f>
        <v/>
      </c>
      <c r="J2156" s="16">
        <f>IF(OR(D2156="",F2156=""),"",F2156*I2156-N(H2156))</f>
        <v/>
      </c>
      <c r="K2156" s="16">
        <f>IF(OR(D2156="",F2156=""),"",F2156*IFERROR(INDEX('Sản phẩm'!$D$5:$D$304,MATCH(D2156,'Sản phẩm'!$A$5:$A$304,0)),""))</f>
        <v/>
      </c>
      <c r="L2156" s="16">
        <f>IF(J2156="","",J2156-K2156)</f>
        <v/>
      </c>
      <c r="M2156" s="14">
        <f>IF(A2156="","",MONTH(A2156))</f>
        <v/>
      </c>
      <c r="N2156" s="14">
        <f>IF(A2156="","",YEAR(A2156))</f>
        <v/>
      </c>
    </row>
    <row r="2157">
      <c r="A2157" s="15" t="n"/>
      <c r="B2157" s="10" t="n"/>
      <c r="C2157" s="10" t="n"/>
      <c r="D2157" s="10" t="n"/>
      <c r="E2157" s="14">
        <f>IF(D2157="","",IFERROR(INDEX('Sản phẩm'!$B$5:$B$304,MATCH(D2157,'Sản phẩm'!$A$5:$A$304,0)),""))</f>
        <v/>
      </c>
      <c r="F2157" s="12" t="n"/>
      <c r="G2157" s="11" t="n"/>
      <c r="H2157" s="11" t="n"/>
      <c r="I2157" s="16">
        <f>IF(D2157="","",IF(G2157&lt;&gt;"",G2157,IFERROR(INDEX('Sản phẩm'!$E$5:$E$304,MATCH(D2157,'Sản phẩm'!$A$5:$A$304,0)),"")))</f>
        <v/>
      </c>
      <c r="J2157" s="16">
        <f>IF(OR(D2157="",F2157=""),"",F2157*I2157-N(H2157))</f>
        <v/>
      </c>
      <c r="K2157" s="16">
        <f>IF(OR(D2157="",F2157=""),"",F2157*IFERROR(INDEX('Sản phẩm'!$D$5:$D$304,MATCH(D2157,'Sản phẩm'!$A$5:$A$304,0)),""))</f>
        <v/>
      </c>
      <c r="L2157" s="16">
        <f>IF(J2157="","",J2157-K2157)</f>
        <v/>
      </c>
      <c r="M2157" s="14">
        <f>IF(A2157="","",MONTH(A2157))</f>
        <v/>
      </c>
      <c r="N2157" s="14">
        <f>IF(A2157="","",YEAR(A2157))</f>
        <v/>
      </c>
    </row>
    <row r="2158">
      <c r="A2158" s="15" t="n"/>
      <c r="B2158" s="10" t="n"/>
      <c r="C2158" s="10" t="n"/>
      <c r="D2158" s="10" t="n"/>
      <c r="E2158" s="14">
        <f>IF(D2158="","",IFERROR(INDEX('Sản phẩm'!$B$5:$B$304,MATCH(D2158,'Sản phẩm'!$A$5:$A$304,0)),""))</f>
        <v/>
      </c>
      <c r="F2158" s="12" t="n"/>
      <c r="G2158" s="11" t="n"/>
      <c r="H2158" s="11" t="n"/>
      <c r="I2158" s="16">
        <f>IF(D2158="","",IF(G2158&lt;&gt;"",G2158,IFERROR(INDEX('Sản phẩm'!$E$5:$E$304,MATCH(D2158,'Sản phẩm'!$A$5:$A$304,0)),"")))</f>
        <v/>
      </c>
      <c r="J2158" s="16">
        <f>IF(OR(D2158="",F2158=""),"",F2158*I2158-N(H2158))</f>
        <v/>
      </c>
      <c r="K2158" s="16">
        <f>IF(OR(D2158="",F2158=""),"",F2158*IFERROR(INDEX('Sản phẩm'!$D$5:$D$304,MATCH(D2158,'Sản phẩm'!$A$5:$A$304,0)),""))</f>
        <v/>
      </c>
      <c r="L2158" s="16">
        <f>IF(J2158="","",J2158-K2158)</f>
        <v/>
      </c>
      <c r="M2158" s="14">
        <f>IF(A2158="","",MONTH(A2158))</f>
        <v/>
      </c>
      <c r="N2158" s="14">
        <f>IF(A2158="","",YEAR(A2158))</f>
        <v/>
      </c>
    </row>
    <row r="2159">
      <c r="A2159" s="15" t="n"/>
      <c r="B2159" s="10" t="n"/>
      <c r="C2159" s="10" t="n"/>
      <c r="D2159" s="10" t="n"/>
      <c r="E2159" s="14">
        <f>IF(D2159="","",IFERROR(INDEX('Sản phẩm'!$B$5:$B$304,MATCH(D2159,'Sản phẩm'!$A$5:$A$304,0)),""))</f>
        <v/>
      </c>
      <c r="F2159" s="12" t="n"/>
      <c r="G2159" s="11" t="n"/>
      <c r="H2159" s="11" t="n"/>
      <c r="I2159" s="16">
        <f>IF(D2159="","",IF(G2159&lt;&gt;"",G2159,IFERROR(INDEX('Sản phẩm'!$E$5:$E$304,MATCH(D2159,'Sản phẩm'!$A$5:$A$304,0)),"")))</f>
        <v/>
      </c>
      <c r="J2159" s="16">
        <f>IF(OR(D2159="",F2159=""),"",F2159*I2159-N(H2159))</f>
        <v/>
      </c>
      <c r="K2159" s="16">
        <f>IF(OR(D2159="",F2159=""),"",F2159*IFERROR(INDEX('Sản phẩm'!$D$5:$D$304,MATCH(D2159,'Sản phẩm'!$A$5:$A$304,0)),""))</f>
        <v/>
      </c>
      <c r="L2159" s="16">
        <f>IF(J2159="","",J2159-K2159)</f>
        <v/>
      </c>
      <c r="M2159" s="14">
        <f>IF(A2159="","",MONTH(A2159))</f>
        <v/>
      </c>
      <c r="N2159" s="14">
        <f>IF(A2159="","",YEAR(A2159))</f>
        <v/>
      </c>
    </row>
    <row r="2160">
      <c r="A2160" s="15" t="n"/>
      <c r="B2160" s="10" t="n"/>
      <c r="C2160" s="10" t="n"/>
      <c r="D2160" s="10" t="n"/>
      <c r="E2160" s="14">
        <f>IF(D2160="","",IFERROR(INDEX('Sản phẩm'!$B$5:$B$304,MATCH(D2160,'Sản phẩm'!$A$5:$A$304,0)),""))</f>
        <v/>
      </c>
      <c r="F2160" s="12" t="n"/>
      <c r="G2160" s="11" t="n"/>
      <c r="H2160" s="11" t="n"/>
      <c r="I2160" s="16">
        <f>IF(D2160="","",IF(G2160&lt;&gt;"",G2160,IFERROR(INDEX('Sản phẩm'!$E$5:$E$304,MATCH(D2160,'Sản phẩm'!$A$5:$A$304,0)),"")))</f>
        <v/>
      </c>
      <c r="J2160" s="16">
        <f>IF(OR(D2160="",F2160=""),"",F2160*I2160-N(H2160))</f>
        <v/>
      </c>
      <c r="K2160" s="16">
        <f>IF(OR(D2160="",F2160=""),"",F2160*IFERROR(INDEX('Sản phẩm'!$D$5:$D$304,MATCH(D2160,'Sản phẩm'!$A$5:$A$304,0)),""))</f>
        <v/>
      </c>
      <c r="L2160" s="16">
        <f>IF(J2160="","",J2160-K2160)</f>
        <v/>
      </c>
      <c r="M2160" s="14">
        <f>IF(A2160="","",MONTH(A2160))</f>
        <v/>
      </c>
      <c r="N2160" s="14">
        <f>IF(A2160="","",YEAR(A2160))</f>
        <v/>
      </c>
    </row>
    <row r="2161">
      <c r="A2161" s="15" t="n"/>
      <c r="B2161" s="10" t="n"/>
      <c r="C2161" s="10" t="n"/>
      <c r="D2161" s="10" t="n"/>
      <c r="E2161" s="14">
        <f>IF(D2161="","",IFERROR(INDEX('Sản phẩm'!$B$5:$B$304,MATCH(D2161,'Sản phẩm'!$A$5:$A$304,0)),""))</f>
        <v/>
      </c>
      <c r="F2161" s="12" t="n"/>
      <c r="G2161" s="11" t="n"/>
      <c r="H2161" s="11" t="n"/>
      <c r="I2161" s="16">
        <f>IF(D2161="","",IF(G2161&lt;&gt;"",G2161,IFERROR(INDEX('Sản phẩm'!$E$5:$E$304,MATCH(D2161,'Sản phẩm'!$A$5:$A$304,0)),"")))</f>
        <v/>
      </c>
      <c r="J2161" s="16">
        <f>IF(OR(D2161="",F2161=""),"",F2161*I2161-N(H2161))</f>
        <v/>
      </c>
      <c r="K2161" s="16">
        <f>IF(OR(D2161="",F2161=""),"",F2161*IFERROR(INDEX('Sản phẩm'!$D$5:$D$304,MATCH(D2161,'Sản phẩm'!$A$5:$A$304,0)),""))</f>
        <v/>
      </c>
      <c r="L2161" s="16">
        <f>IF(J2161="","",J2161-K2161)</f>
        <v/>
      </c>
      <c r="M2161" s="14">
        <f>IF(A2161="","",MONTH(A2161))</f>
        <v/>
      </c>
      <c r="N2161" s="14">
        <f>IF(A2161="","",YEAR(A2161))</f>
        <v/>
      </c>
    </row>
    <row r="2162">
      <c r="A2162" s="15" t="n"/>
      <c r="B2162" s="10" t="n"/>
      <c r="C2162" s="10" t="n"/>
      <c r="D2162" s="10" t="n"/>
      <c r="E2162" s="14">
        <f>IF(D2162="","",IFERROR(INDEX('Sản phẩm'!$B$5:$B$304,MATCH(D2162,'Sản phẩm'!$A$5:$A$304,0)),""))</f>
        <v/>
      </c>
      <c r="F2162" s="12" t="n"/>
      <c r="G2162" s="11" t="n"/>
      <c r="H2162" s="11" t="n"/>
      <c r="I2162" s="16">
        <f>IF(D2162="","",IF(G2162&lt;&gt;"",G2162,IFERROR(INDEX('Sản phẩm'!$E$5:$E$304,MATCH(D2162,'Sản phẩm'!$A$5:$A$304,0)),"")))</f>
        <v/>
      </c>
      <c r="J2162" s="16">
        <f>IF(OR(D2162="",F2162=""),"",F2162*I2162-N(H2162))</f>
        <v/>
      </c>
      <c r="K2162" s="16">
        <f>IF(OR(D2162="",F2162=""),"",F2162*IFERROR(INDEX('Sản phẩm'!$D$5:$D$304,MATCH(D2162,'Sản phẩm'!$A$5:$A$304,0)),""))</f>
        <v/>
      </c>
      <c r="L2162" s="16">
        <f>IF(J2162="","",J2162-K2162)</f>
        <v/>
      </c>
      <c r="M2162" s="14">
        <f>IF(A2162="","",MONTH(A2162))</f>
        <v/>
      </c>
      <c r="N2162" s="14">
        <f>IF(A2162="","",YEAR(A2162))</f>
        <v/>
      </c>
    </row>
    <row r="2163">
      <c r="A2163" s="15" t="n"/>
      <c r="B2163" s="10" t="n"/>
      <c r="C2163" s="10" t="n"/>
      <c r="D2163" s="10" t="n"/>
      <c r="E2163" s="14">
        <f>IF(D2163="","",IFERROR(INDEX('Sản phẩm'!$B$5:$B$304,MATCH(D2163,'Sản phẩm'!$A$5:$A$304,0)),""))</f>
        <v/>
      </c>
      <c r="F2163" s="12" t="n"/>
      <c r="G2163" s="11" t="n"/>
      <c r="H2163" s="11" t="n"/>
      <c r="I2163" s="16">
        <f>IF(D2163="","",IF(G2163&lt;&gt;"",G2163,IFERROR(INDEX('Sản phẩm'!$E$5:$E$304,MATCH(D2163,'Sản phẩm'!$A$5:$A$304,0)),"")))</f>
        <v/>
      </c>
      <c r="J2163" s="16">
        <f>IF(OR(D2163="",F2163=""),"",F2163*I2163-N(H2163))</f>
        <v/>
      </c>
      <c r="K2163" s="16">
        <f>IF(OR(D2163="",F2163=""),"",F2163*IFERROR(INDEX('Sản phẩm'!$D$5:$D$304,MATCH(D2163,'Sản phẩm'!$A$5:$A$304,0)),""))</f>
        <v/>
      </c>
      <c r="L2163" s="16">
        <f>IF(J2163="","",J2163-K2163)</f>
        <v/>
      </c>
      <c r="M2163" s="14">
        <f>IF(A2163="","",MONTH(A2163))</f>
        <v/>
      </c>
      <c r="N2163" s="14">
        <f>IF(A2163="","",YEAR(A2163))</f>
        <v/>
      </c>
    </row>
    <row r="2164">
      <c r="A2164" s="15" t="n"/>
      <c r="B2164" s="10" t="n"/>
      <c r="C2164" s="10" t="n"/>
      <c r="D2164" s="10" t="n"/>
      <c r="E2164" s="14">
        <f>IF(D2164="","",IFERROR(INDEX('Sản phẩm'!$B$5:$B$304,MATCH(D2164,'Sản phẩm'!$A$5:$A$304,0)),""))</f>
        <v/>
      </c>
      <c r="F2164" s="12" t="n"/>
      <c r="G2164" s="11" t="n"/>
      <c r="H2164" s="11" t="n"/>
      <c r="I2164" s="16">
        <f>IF(D2164="","",IF(G2164&lt;&gt;"",G2164,IFERROR(INDEX('Sản phẩm'!$E$5:$E$304,MATCH(D2164,'Sản phẩm'!$A$5:$A$304,0)),"")))</f>
        <v/>
      </c>
      <c r="J2164" s="16">
        <f>IF(OR(D2164="",F2164=""),"",F2164*I2164-N(H2164))</f>
        <v/>
      </c>
      <c r="K2164" s="16">
        <f>IF(OR(D2164="",F2164=""),"",F2164*IFERROR(INDEX('Sản phẩm'!$D$5:$D$304,MATCH(D2164,'Sản phẩm'!$A$5:$A$304,0)),""))</f>
        <v/>
      </c>
      <c r="L2164" s="16">
        <f>IF(J2164="","",J2164-K2164)</f>
        <v/>
      </c>
      <c r="M2164" s="14">
        <f>IF(A2164="","",MONTH(A2164))</f>
        <v/>
      </c>
      <c r="N2164" s="14">
        <f>IF(A2164="","",YEAR(A2164))</f>
        <v/>
      </c>
    </row>
    <row r="2165">
      <c r="A2165" s="15" t="n"/>
      <c r="B2165" s="10" t="n"/>
      <c r="C2165" s="10" t="n"/>
      <c r="D2165" s="10" t="n"/>
      <c r="E2165" s="14">
        <f>IF(D2165="","",IFERROR(INDEX('Sản phẩm'!$B$5:$B$304,MATCH(D2165,'Sản phẩm'!$A$5:$A$304,0)),""))</f>
        <v/>
      </c>
      <c r="F2165" s="12" t="n"/>
      <c r="G2165" s="11" t="n"/>
      <c r="H2165" s="11" t="n"/>
      <c r="I2165" s="16">
        <f>IF(D2165="","",IF(G2165&lt;&gt;"",G2165,IFERROR(INDEX('Sản phẩm'!$E$5:$E$304,MATCH(D2165,'Sản phẩm'!$A$5:$A$304,0)),"")))</f>
        <v/>
      </c>
      <c r="J2165" s="16">
        <f>IF(OR(D2165="",F2165=""),"",F2165*I2165-N(H2165))</f>
        <v/>
      </c>
      <c r="K2165" s="16">
        <f>IF(OR(D2165="",F2165=""),"",F2165*IFERROR(INDEX('Sản phẩm'!$D$5:$D$304,MATCH(D2165,'Sản phẩm'!$A$5:$A$304,0)),""))</f>
        <v/>
      </c>
      <c r="L2165" s="16">
        <f>IF(J2165="","",J2165-K2165)</f>
        <v/>
      </c>
      <c r="M2165" s="14">
        <f>IF(A2165="","",MONTH(A2165))</f>
        <v/>
      </c>
      <c r="N2165" s="14">
        <f>IF(A2165="","",YEAR(A2165))</f>
        <v/>
      </c>
    </row>
    <row r="2166">
      <c r="A2166" s="15" t="n"/>
      <c r="B2166" s="10" t="n"/>
      <c r="C2166" s="10" t="n"/>
      <c r="D2166" s="10" t="n"/>
      <c r="E2166" s="14">
        <f>IF(D2166="","",IFERROR(INDEX('Sản phẩm'!$B$5:$B$304,MATCH(D2166,'Sản phẩm'!$A$5:$A$304,0)),""))</f>
        <v/>
      </c>
      <c r="F2166" s="12" t="n"/>
      <c r="G2166" s="11" t="n"/>
      <c r="H2166" s="11" t="n"/>
      <c r="I2166" s="16">
        <f>IF(D2166="","",IF(G2166&lt;&gt;"",G2166,IFERROR(INDEX('Sản phẩm'!$E$5:$E$304,MATCH(D2166,'Sản phẩm'!$A$5:$A$304,0)),"")))</f>
        <v/>
      </c>
      <c r="J2166" s="16">
        <f>IF(OR(D2166="",F2166=""),"",F2166*I2166-N(H2166))</f>
        <v/>
      </c>
      <c r="K2166" s="16">
        <f>IF(OR(D2166="",F2166=""),"",F2166*IFERROR(INDEX('Sản phẩm'!$D$5:$D$304,MATCH(D2166,'Sản phẩm'!$A$5:$A$304,0)),""))</f>
        <v/>
      </c>
      <c r="L2166" s="16">
        <f>IF(J2166="","",J2166-K2166)</f>
        <v/>
      </c>
      <c r="M2166" s="14">
        <f>IF(A2166="","",MONTH(A2166))</f>
        <v/>
      </c>
      <c r="N2166" s="14">
        <f>IF(A2166="","",YEAR(A2166))</f>
        <v/>
      </c>
    </row>
    <row r="2167">
      <c r="A2167" s="15" t="n"/>
      <c r="B2167" s="10" t="n"/>
      <c r="C2167" s="10" t="n"/>
      <c r="D2167" s="10" t="n"/>
      <c r="E2167" s="14">
        <f>IF(D2167="","",IFERROR(INDEX('Sản phẩm'!$B$5:$B$304,MATCH(D2167,'Sản phẩm'!$A$5:$A$304,0)),""))</f>
        <v/>
      </c>
      <c r="F2167" s="12" t="n"/>
      <c r="G2167" s="11" t="n"/>
      <c r="H2167" s="11" t="n"/>
      <c r="I2167" s="16">
        <f>IF(D2167="","",IF(G2167&lt;&gt;"",G2167,IFERROR(INDEX('Sản phẩm'!$E$5:$E$304,MATCH(D2167,'Sản phẩm'!$A$5:$A$304,0)),"")))</f>
        <v/>
      </c>
      <c r="J2167" s="16">
        <f>IF(OR(D2167="",F2167=""),"",F2167*I2167-N(H2167))</f>
        <v/>
      </c>
      <c r="K2167" s="16">
        <f>IF(OR(D2167="",F2167=""),"",F2167*IFERROR(INDEX('Sản phẩm'!$D$5:$D$304,MATCH(D2167,'Sản phẩm'!$A$5:$A$304,0)),""))</f>
        <v/>
      </c>
      <c r="L2167" s="16">
        <f>IF(J2167="","",J2167-K2167)</f>
        <v/>
      </c>
      <c r="M2167" s="14">
        <f>IF(A2167="","",MONTH(A2167))</f>
        <v/>
      </c>
      <c r="N2167" s="14">
        <f>IF(A2167="","",YEAR(A2167))</f>
        <v/>
      </c>
    </row>
    <row r="2168">
      <c r="A2168" s="15" t="n"/>
      <c r="B2168" s="10" t="n"/>
      <c r="C2168" s="10" t="n"/>
      <c r="D2168" s="10" t="n"/>
      <c r="E2168" s="14">
        <f>IF(D2168="","",IFERROR(INDEX('Sản phẩm'!$B$5:$B$304,MATCH(D2168,'Sản phẩm'!$A$5:$A$304,0)),""))</f>
        <v/>
      </c>
      <c r="F2168" s="12" t="n"/>
      <c r="G2168" s="11" t="n"/>
      <c r="H2168" s="11" t="n"/>
      <c r="I2168" s="16">
        <f>IF(D2168="","",IF(G2168&lt;&gt;"",G2168,IFERROR(INDEX('Sản phẩm'!$E$5:$E$304,MATCH(D2168,'Sản phẩm'!$A$5:$A$304,0)),"")))</f>
        <v/>
      </c>
      <c r="J2168" s="16">
        <f>IF(OR(D2168="",F2168=""),"",F2168*I2168-N(H2168))</f>
        <v/>
      </c>
      <c r="K2168" s="16">
        <f>IF(OR(D2168="",F2168=""),"",F2168*IFERROR(INDEX('Sản phẩm'!$D$5:$D$304,MATCH(D2168,'Sản phẩm'!$A$5:$A$304,0)),""))</f>
        <v/>
      </c>
      <c r="L2168" s="16">
        <f>IF(J2168="","",J2168-K2168)</f>
        <v/>
      </c>
      <c r="M2168" s="14">
        <f>IF(A2168="","",MONTH(A2168))</f>
        <v/>
      </c>
      <c r="N2168" s="14">
        <f>IF(A2168="","",YEAR(A2168))</f>
        <v/>
      </c>
    </row>
    <row r="2169">
      <c r="A2169" s="15" t="n"/>
      <c r="B2169" s="10" t="n"/>
      <c r="C2169" s="10" t="n"/>
      <c r="D2169" s="10" t="n"/>
      <c r="E2169" s="14">
        <f>IF(D2169="","",IFERROR(INDEX('Sản phẩm'!$B$5:$B$304,MATCH(D2169,'Sản phẩm'!$A$5:$A$304,0)),""))</f>
        <v/>
      </c>
      <c r="F2169" s="12" t="n"/>
      <c r="G2169" s="11" t="n"/>
      <c r="H2169" s="11" t="n"/>
      <c r="I2169" s="16">
        <f>IF(D2169="","",IF(G2169&lt;&gt;"",G2169,IFERROR(INDEX('Sản phẩm'!$E$5:$E$304,MATCH(D2169,'Sản phẩm'!$A$5:$A$304,0)),"")))</f>
        <v/>
      </c>
      <c r="J2169" s="16">
        <f>IF(OR(D2169="",F2169=""),"",F2169*I2169-N(H2169))</f>
        <v/>
      </c>
      <c r="K2169" s="16">
        <f>IF(OR(D2169="",F2169=""),"",F2169*IFERROR(INDEX('Sản phẩm'!$D$5:$D$304,MATCH(D2169,'Sản phẩm'!$A$5:$A$304,0)),""))</f>
        <v/>
      </c>
      <c r="L2169" s="16">
        <f>IF(J2169="","",J2169-K2169)</f>
        <v/>
      </c>
      <c r="M2169" s="14">
        <f>IF(A2169="","",MONTH(A2169))</f>
        <v/>
      </c>
      <c r="N2169" s="14">
        <f>IF(A2169="","",YEAR(A2169))</f>
        <v/>
      </c>
    </row>
    <row r="2170">
      <c r="A2170" s="15" t="n"/>
      <c r="B2170" s="10" t="n"/>
      <c r="C2170" s="10" t="n"/>
      <c r="D2170" s="10" t="n"/>
      <c r="E2170" s="14">
        <f>IF(D2170="","",IFERROR(INDEX('Sản phẩm'!$B$5:$B$304,MATCH(D2170,'Sản phẩm'!$A$5:$A$304,0)),""))</f>
        <v/>
      </c>
      <c r="F2170" s="12" t="n"/>
      <c r="G2170" s="11" t="n"/>
      <c r="H2170" s="11" t="n"/>
      <c r="I2170" s="16">
        <f>IF(D2170="","",IF(G2170&lt;&gt;"",G2170,IFERROR(INDEX('Sản phẩm'!$E$5:$E$304,MATCH(D2170,'Sản phẩm'!$A$5:$A$304,0)),"")))</f>
        <v/>
      </c>
      <c r="J2170" s="16">
        <f>IF(OR(D2170="",F2170=""),"",F2170*I2170-N(H2170))</f>
        <v/>
      </c>
      <c r="K2170" s="16">
        <f>IF(OR(D2170="",F2170=""),"",F2170*IFERROR(INDEX('Sản phẩm'!$D$5:$D$304,MATCH(D2170,'Sản phẩm'!$A$5:$A$304,0)),""))</f>
        <v/>
      </c>
      <c r="L2170" s="16">
        <f>IF(J2170="","",J2170-K2170)</f>
        <v/>
      </c>
      <c r="M2170" s="14">
        <f>IF(A2170="","",MONTH(A2170))</f>
        <v/>
      </c>
      <c r="N2170" s="14">
        <f>IF(A2170="","",YEAR(A2170))</f>
        <v/>
      </c>
    </row>
    <row r="2171">
      <c r="A2171" s="15" t="n"/>
      <c r="B2171" s="10" t="n"/>
      <c r="C2171" s="10" t="n"/>
      <c r="D2171" s="10" t="n"/>
      <c r="E2171" s="14">
        <f>IF(D2171="","",IFERROR(INDEX('Sản phẩm'!$B$5:$B$304,MATCH(D2171,'Sản phẩm'!$A$5:$A$304,0)),""))</f>
        <v/>
      </c>
      <c r="F2171" s="12" t="n"/>
      <c r="G2171" s="11" t="n"/>
      <c r="H2171" s="11" t="n"/>
      <c r="I2171" s="16">
        <f>IF(D2171="","",IF(G2171&lt;&gt;"",G2171,IFERROR(INDEX('Sản phẩm'!$E$5:$E$304,MATCH(D2171,'Sản phẩm'!$A$5:$A$304,0)),"")))</f>
        <v/>
      </c>
      <c r="J2171" s="16">
        <f>IF(OR(D2171="",F2171=""),"",F2171*I2171-N(H2171))</f>
        <v/>
      </c>
      <c r="K2171" s="16">
        <f>IF(OR(D2171="",F2171=""),"",F2171*IFERROR(INDEX('Sản phẩm'!$D$5:$D$304,MATCH(D2171,'Sản phẩm'!$A$5:$A$304,0)),""))</f>
        <v/>
      </c>
      <c r="L2171" s="16">
        <f>IF(J2171="","",J2171-K2171)</f>
        <v/>
      </c>
      <c r="M2171" s="14">
        <f>IF(A2171="","",MONTH(A2171))</f>
        <v/>
      </c>
      <c r="N2171" s="14">
        <f>IF(A2171="","",YEAR(A2171))</f>
        <v/>
      </c>
    </row>
    <row r="2172">
      <c r="A2172" s="15" t="n"/>
      <c r="B2172" s="10" t="n"/>
      <c r="C2172" s="10" t="n"/>
      <c r="D2172" s="10" t="n"/>
      <c r="E2172" s="14">
        <f>IF(D2172="","",IFERROR(INDEX('Sản phẩm'!$B$5:$B$304,MATCH(D2172,'Sản phẩm'!$A$5:$A$304,0)),""))</f>
        <v/>
      </c>
      <c r="F2172" s="12" t="n"/>
      <c r="G2172" s="11" t="n"/>
      <c r="H2172" s="11" t="n"/>
      <c r="I2172" s="16">
        <f>IF(D2172="","",IF(G2172&lt;&gt;"",G2172,IFERROR(INDEX('Sản phẩm'!$E$5:$E$304,MATCH(D2172,'Sản phẩm'!$A$5:$A$304,0)),"")))</f>
        <v/>
      </c>
      <c r="J2172" s="16">
        <f>IF(OR(D2172="",F2172=""),"",F2172*I2172-N(H2172))</f>
        <v/>
      </c>
      <c r="K2172" s="16">
        <f>IF(OR(D2172="",F2172=""),"",F2172*IFERROR(INDEX('Sản phẩm'!$D$5:$D$304,MATCH(D2172,'Sản phẩm'!$A$5:$A$304,0)),""))</f>
        <v/>
      </c>
      <c r="L2172" s="16">
        <f>IF(J2172="","",J2172-K2172)</f>
        <v/>
      </c>
      <c r="M2172" s="14">
        <f>IF(A2172="","",MONTH(A2172))</f>
        <v/>
      </c>
      <c r="N2172" s="14">
        <f>IF(A2172="","",YEAR(A2172))</f>
        <v/>
      </c>
    </row>
    <row r="2173">
      <c r="A2173" s="15" t="n"/>
      <c r="B2173" s="10" t="n"/>
      <c r="C2173" s="10" t="n"/>
      <c r="D2173" s="10" t="n"/>
      <c r="E2173" s="14">
        <f>IF(D2173="","",IFERROR(INDEX('Sản phẩm'!$B$5:$B$304,MATCH(D2173,'Sản phẩm'!$A$5:$A$304,0)),""))</f>
        <v/>
      </c>
      <c r="F2173" s="12" t="n"/>
      <c r="G2173" s="11" t="n"/>
      <c r="H2173" s="11" t="n"/>
      <c r="I2173" s="16">
        <f>IF(D2173="","",IF(G2173&lt;&gt;"",G2173,IFERROR(INDEX('Sản phẩm'!$E$5:$E$304,MATCH(D2173,'Sản phẩm'!$A$5:$A$304,0)),"")))</f>
        <v/>
      </c>
      <c r="J2173" s="16">
        <f>IF(OR(D2173="",F2173=""),"",F2173*I2173-N(H2173))</f>
        <v/>
      </c>
      <c r="K2173" s="16">
        <f>IF(OR(D2173="",F2173=""),"",F2173*IFERROR(INDEX('Sản phẩm'!$D$5:$D$304,MATCH(D2173,'Sản phẩm'!$A$5:$A$304,0)),""))</f>
        <v/>
      </c>
      <c r="L2173" s="16">
        <f>IF(J2173="","",J2173-K2173)</f>
        <v/>
      </c>
      <c r="M2173" s="14">
        <f>IF(A2173="","",MONTH(A2173))</f>
        <v/>
      </c>
      <c r="N2173" s="14">
        <f>IF(A2173="","",YEAR(A2173))</f>
        <v/>
      </c>
    </row>
    <row r="2174">
      <c r="A2174" s="15" t="n"/>
      <c r="B2174" s="10" t="n"/>
      <c r="C2174" s="10" t="n"/>
      <c r="D2174" s="10" t="n"/>
      <c r="E2174" s="14">
        <f>IF(D2174="","",IFERROR(INDEX('Sản phẩm'!$B$5:$B$304,MATCH(D2174,'Sản phẩm'!$A$5:$A$304,0)),""))</f>
        <v/>
      </c>
      <c r="F2174" s="12" t="n"/>
      <c r="G2174" s="11" t="n"/>
      <c r="H2174" s="11" t="n"/>
      <c r="I2174" s="16">
        <f>IF(D2174="","",IF(G2174&lt;&gt;"",G2174,IFERROR(INDEX('Sản phẩm'!$E$5:$E$304,MATCH(D2174,'Sản phẩm'!$A$5:$A$304,0)),"")))</f>
        <v/>
      </c>
      <c r="J2174" s="16">
        <f>IF(OR(D2174="",F2174=""),"",F2174*I2174-N(H2174))</f>
        <v/>
      </c>
      <c r="K2174" s="16">
        <f>IF(OR(D2174="",F2174=""),"",F2174*IFERROR(INDEX('Sản phẩm'!$D$5:$D$304,MATCH(D2174,'Sản phẩm'!$A$5:$A$304,0)),""))</f>
        <v/>
      </c>
      <c r="L2174" s="16">
        <f>IF(J2174="","",J2174-K2174)</f>
        <v/>
      </c>
      <c r="M2174" s="14">
        <f>IF(A2174="","",MONTH(A2174))</f>
        <v/>
      </c>
      <c r="N2174" s="14">
        <f>IF(A2174="","",YEAR(A2174))</f>
        <v/>
      </c>
    </row>
    <row r="2175">
      <c r="A2175" s="15" t="n"/>
      <c r="B2175" s="10" t="n"/>
      <c r="C2175" s="10" t="n"/>
      <c r="D2175" s="10" t="n"/>
      <c r="E2175" s="14">
        <f>IF(D2175="","",IFERROR(INDEX('Sản phẩm'!$B$5:$B$304,MATCH(D2175,'Sản phẩm'!$A$5:$A$304,0)),""))</f>
        <v/>
      </c>
      <c r="F2175" s="12" t="n"/>
      <c r="G2175" s="11" t="n"/>
      <c r="H2175" s="11" t="n"/>
      <c r="I2175" s="16">
        <f>IF(D2175="","",IF(G2175&lt;&gt;"",G2175,IFERROR(INDEX('Sản phẩm'!$E$5:$E$304,MATCH(D2175,'Sản phẩm'!$A$5:$A$304,0)),"")))</f>
        <v/>
      </c>
      <c r="J2175" s="16">
        <f>IF(OR(D2175="",F2175=""),"",F2175*I2175-N(H2175))</f>
        <v/>
      </c>
      <c r="K2175" s="16">
        <f>IF(OR(D2175="",F2175=""),"",F2175*IFERROR(INDEX('Sản phẩm'!$D$5:$D$304,MATCH(D2175,'Sản phẩm'!$A$5:$A$304,0)),""))</f>
        <v/>
      </c>
      <c r="L2175" s="16">
        <f>IF(J2175="","",J2175-K2175)</f>
        <v/>
      </c>
      <c r="M2175" s="14">
        <f>IF(A2175="","",MONTH(A2175))</f>
        <v/>
      </c>
      <c r="N2175" s="14">
        <f>IF(A2175="","",YEAR(A2175))</f>
        <v/>
      </c>
    </row>
    <row r="2176">
      <c r="A2176" s="15" t="n"/>
      <c r="B2176" s="10" t="n"/>
      <c r="C2176" s="10" t="n"/>
      <c r="D2176" s="10" t="n"/>
      <c r="E2176" s="14">
        <f>IF(D2176="","",IFERROR(INDEX('Sản phẩm'!$B$5:$B$304,MATCH(D2176,'Sản phẩm'!$A$5:$A$304,0)),""))</f>
        <v/>
      </c>
      <c r="F2176" s="12" t="n"/>
      <c r="G2176" s="11" t="n"/>
      <c r="H2176" s="11" t="n"/>
      <c r="I2176" s="16">
        <f>IF(D2176="","",IF(G2176&lt;&gt;"",G2176,IFERROR(INDEX('Sản phẩm'!$E$5:$E$304,MATCH(D2176,'Sản phẩm'!$A$5:$A$304,0)),"")))</f>
        <v/>
      </c>
      <c r="J2176" s="16">
        <f>IF(OR(D2176="",F2176=""),"",F2176*I2176-N(H2176))</f>
        <v/>
      </c>
      <c r="K2176" s="16">
        <f>IF(OR(D2176="",F2176=""),"",F2176*IFERROR(INDEX('Sản phẩm'!$D$5:$D$304,MATCH(D2176,'Sản phẩm'!$A$5:$A$304,0)),""))</f>
        <v/>
      </c>
      <c r="L2176" s="16">
        <f>IF(J2176="","",J2176-K2176)</f>
        <v/>
      </c>
      <c r="M2176" s="14">
        <f>IF(A2176="","",MONTH(A2176))</f>
        <v/>
      </c>
      <c r="N2176" s="14">
        <f>IF(A2176="","",YEAR(A2176))</f>
        <v/>
      </c>
    </row>
    <row r="2177">
      <c r="A2177" s="15" t="n"/>
      <c r="B2177" s="10" t="n"/>
      <c r="C2177" s="10" t="n"/>
      <c r="D2177" s="10" t="n"/>
      <c r="E2177" s="14">
        <f>IF(D2177="","",IFERROR(INDEX('Sản phẩm'!$B$5:$B$304,MATCH(D2177,'Sản phẩm'!$A$5:$A$304,0)),""))</f>
        <v/>
      </c>
      <c r="F2177" s="12" t="n"/>
      <c r="G2177" s="11" t="n"/>
      <c r="H2177" s="11" t="n"/>
      <c r="I2177" s="16">
        <f>IF(D2177="","",IF(G2177&lt;&gt;"",G2177,IFERROR(INDEX('Sản phẩm'!$E$5:$E$304,MATCH(D2177,'Sản phẩm'!$A$5:$A$304,0)),"")))</f>
        <v/>
      </c>
      <c r="J2177" s="16">
        <f>IF(OR(D2177="",F2177=""),"",F2177*I2177-N(H2177))</f>
        <v/>
      </c>
      <c r="K2177" s="16">
        <f>IF(OR(D2177="",F2177=""),"",F2177*IFERROR(INDEX('Sản phẩm'!$D$5:$D$304,MATCH(D2177,'Sản phẩm'!$A$5:$A$304,0)),""))</f>
        <v/>
      </c>
      <c r="L2177" s="16">
        <f>IF(J2177="","",J2177-K2177)</f>
        <v/>
      </c>
      <c r="M2177" s="14">
        <f>IF(A2177="","",MONTH(A2177))</f>
        <v/>
      </c>
      <c r="N2177" s="14">
        <f>IF(A2177="","",YEAR(A2177))</f>
        <v/>
      </c>
    </row>
    <row r="2178">
      <c r="A2178" s="15" t="n"/>
      <c r="B2178" s="10" t="n"/>
      <c r="C2178" s="10" t="n"/>
      <c r="D2178" s="10" t="n"/>
      <c r="E2178" s="14">
        <f>IF(D2178="","",IFERROR(INDEX('Sản phẩm'!$B$5:$B$304,MATCH(D2178,'Sản phẩm'!$A$5:$A$304,0)),""))</f>
        <v/>
      </c>
      <c r="F2178" s="12" t="n"/>
      <c r="G2178" s="11" t="n"/>
      <c r="H2178" s="11" t="n"/>
      <c r="I2178" s="16">
        <f>IF(D2178="","",IF(G2178&lt;&gt;"",G2178,IFERROR(INDEX('Sản phẩm'!$E$5:$E$304,MATCH(D2178,'Sản phẩm'!$A$5:$A$304,0)),"")))</f>
        <v/>
      </c>
      <c r="J2178" s="16">
        <f>IF(OR(D2178="",F2178=""),"",F2178*I2178-N(H2178))</f>
        <v/>
      </c>
      <c r="K2178" s="16">
        <f>IF(OR(D2178="",F2178=""),"",F2178*IFERROR(INDEX('Sản phẩm'!$D$5:$D$304,MATCH(D2178,'Sản phẩm'!$A$5:$A$304,0)),""))</f>
        <v/>
      </c>
      <c r="L2178" s="16">
        <f>IF(J2178="","",J2178-K2178)</f>
        <v/>
      </c>
      <c r="M2178" s="14">
        <f>IF(A2178="","",MONTH(A2178))</f>
        <v/>
      </c>
      <c r="N2178" s="14">
        <f>IF(A2178="","",YEAR(A2178))</f>
        <v/>
      </c>
    </row>
    <row r="2179">
      <c r="A2179" s="15" t="n"/>
      <c r="B2179" s="10" t="n"/>
      <c r="C2179" s="10" t="n"/>
      <c r="D2179" s="10" t="n"/>
      <c r="E2179" s="14">
        <f>IF(D2179="","",IFERROR(INDEX('Sản phẩm'!$B$5:$B$304,MATCH(D2179,'Sản phẩm'!$A$5:$A$304,0)),""))</f>
        <v/>
      </c>
      <c r="F2179" s="12" t="n"/>
      <c r="G2179" s="11" t="n"/>
      <c r="H2179" s="11" t="n"/>
      <c r="I2179" s="16">
        <f>IF(D2179="","",IF(G2179&lt;&gt;"",G2179,IFERROR(INDEX('Sản phẩm'!$E$5:$E$304,MATCH(D2179,'Sản phẩm'!$A$5:$A$304,0)),"")))</f>
        <v/>
      </c>
      <c r="J2179" s="16">
        <f>IF(OR(D2179="",F2179=""),"",F2179*I2179-N(H2179))</f>
        <v/>
      </c>
      <c r="K2179" s="16">
        <f>IF(OR(D2179="",F2179=""),"",F2179*IFERROR(INDEX('Sản phẩm'!$D$5:$D$304,MATCH(D2179,'Sản phẩm'!$A$5:$A$304,0)),""))</f>
        <v/>
      </c>
      <c r="L2179" s="16">
        <f>IF(J2179="","",J2179-K2179)</f>
        <v/>
      </c>
      <c r="M2179" s="14">
        <f>IF(A2179="","",MONTH(A2179))</f>
        <v/>
      </c>
      <c r="N2179" s="14">
        <f>IF(A2179="","",YEAR(A2179))</f>
        <v/>
      </c>
    </row>
    <row r="2180">
      <c r="A2180" s="15" t="n"/>
      <c r="B2180" s="10" t="n"/>
      <c r="C2180" s="10" t="n"/>
      <c r="D2180" s="10" t="n"/>
      <c r="E2180" s="14">
        <f>IF(D2180="","",IFERROR(INDEX('Sản phẩm'!$B$5:$B$304,MATCH(D2180,'Sản phẩm'!$A$5:$A$304,0)),""))</f>
        <v/>
      </c>
      <c r="F2180" s="12" t="n"/>
      <c r="G2180" s="11" t="n"/>
      <c r="H2180" s="11" t="n"/>
      <c r="I2180" s="16">
        <f>IF(D2180="","",IF(G2180&lt;&gt;"",G2180,IFERROR(INDEX('Sản phẩm'!$E$5:$E$304,MATCH(D2180,'Sản phẩm'!$A$5:$A$304,0)),"")))</f>
        <v/>
      </c>
      <c r="J2180" s="16">
        <f>IF(OR(D2180="",F2180=""),"",F2180*I2180-N(H2180))</f>
        <v/>
      </c>
      <c r="K2180" s="16">
        <f>IF(OR(D2180="",F2180=""),"",F2180*IFERROR(INDEX('Sản phẩm'!$D$5:$D$304,MATCH(D2180,'Sản phẩm'!$A$5:$A$304,0)),""))</f>
        <v/>
      </c>
      <c r="L2180" s="16">
        <f>IF(J2180="","",J2180-K2180)</f>
        <v/>
      </c>
      <c r="M2180" s="14">
        <f>IF(A2180="","",MONTH(A2180))</f>
        <v/>
      </c>
      <c r="N2180" s="14">
        <f>IF(A2180="","",YEAR(A2180))</f>
        <v/>
      </c>
    </row>
    <row r="2181">
      <c r="A2181" s="15" t="n"/>
      <c r="B2181" s="10" t="n"/>
      <c r="C2181" s="10" t="n"/>
      <c r="D2181" s="10" t="n"/>
      <c r="E2181" s="14">
        <f>IF(D2181="","",IFERROR(INDEX('Sản phẩm'!$B$5:$B$304,MATCH(D2181,'Sản phẩm'!$A$5:$A$304,0)),""))</f>
        <v/>
      </c>
      <c r="F2181" s="12" t="n"/>
      <c r="G2181" s="11" t="n"/>
      <c r="H2181" s="11" t="n"/>
      <c r="I2181" s="16">
        <f>IF(D2181="","",IF(G2181&lt;&gt;"",G2181,IFERROR(INDEX('Sản phẩm'!$E$5:$E$304,MATCH(D2181,'Sản phẩm'!$A$5:$A$304,0)),"")))</f>
        <v/>
      </c>
      <c r="J2181" s="16">
        <f>IF(OR(D2181="",F2181=""),"",F2181*I2181-N(H2181))</f>
        <v/>
      </c>
      <c r="K2181" s="16">
        <f>IF(OR(D2181="",F2181=""),"",F2181*IFERROR(INDEX('Sản phẩm'!$D$5:$D$304,MATCH(D2181,'Sản phẩm'!$A$5:$A$304,0)),""))</f>
        <v/>
      </c>
      <c r="L2181" s="16">
        <f>IF(J2181="","",J2181-K2181)</f>
        <v/>
      </c>
      <c r="M2181" s="14">
        <f>IF(A2181="","",MONTH(A2181))</f>
        <v/>
      </c>
      <c r="N2181" s="14">
        <f>IF(A2181="","",YEAR(A2181))</f>
        <v/>
      </c>
    </row>
    <row r="2182">
      <c r="A2182" s="15" t="n"/>
      <c r="B2182" s="10" t="n"/>
      <c r="C2182" s="10" t="n"/>
      <c r="D2182" s="10" t="n"/>
      <c r="E2182" s="14">
        <f>IF(D2182="","",IFERROR(INDEX('Sản phẩm'!$B$5:$B$304,MATCH(D2182,'Sản phẩm'!$A$5:$A$304,0)),""))</f>
        <v/>
      </c>
      <c r="F2182" s="12" t="n"/>
      <c r="G2182" s="11" t="n"/>
      <c r="H2182" s="11" t="n"/>
      <c r="I2182" s="16">
        <f>IF(D2182="","",IF(G2182&lt;&gt;"",G2182,IFERROR(INDEX('Sản phẩm'!$E$5:$E$304,MATCH(D2182,'Sản phẩm'!$A$5:$A$304,0)),"")))</f>
        <v/>
      </c>
      <c r="J2182" s="16">
        <f>IF(OR(D2182="",F2182=""),"",F2182*I2182-N(H2182))</f>
        <v/>
      </c>
      <c r="K2182" s="16">
        <f>IF(OR(D2182="",F2182=""),"",F2182*IFERROR(INDEX('Sản phẩm'!$D$5:$D$304,MATCH(D2182,'Sản phẩm'!$A$5:$A$304,0)),""))</f>
        <v/>
      </c>
      <c r="L2182" s="16">
        <f>IF(J2182="","",J2182-K2182)</f>
        <v/>
      </c>
      <c r="M2182" s="14">
        <f>IF(A2182="","",MONTH(A2182))</f>
        <v/>
      </c>
      <c r="N2182" s="14">
        <f>IF(A2182="","",YEAR(A2182))</f>
        <v/>
      </c>
    </row>
    <row r="2183">
      <c r="A2183" s="15" t="n"/>
      <c r="B2183" s="10" t="n"/>
      <c r="C2183" s="10" t="n"/>
      <c r="D2183" s="10" t="n"/>
      <c r="E2183" s="14">
        <f>IF(D2183="","",IFERROR(INDEX('Sản phẩm'!$B$5:$B$304,MATCH(D2183,'Sản phẩm'!$A$5:$A$304,0)),""))</f>
        <v/>
      </c>
      <c r="F2183" s="12" t="n"/>
      <c r="G2183" s="11" t="n"/>
      <c r="H2183" s="11" t="n"/>
      <c r="I2183" s="16">
        <f>IF(D2183="","",IF(G2183&lt;&gt;"",G2183,IFERROR(INDEX('Sản phẩm'!$E$5:$E$304,MATCH(D2183,'Sản phẩm'!$A$5:$A$304,0)),"")))</f>
        <v/>
      </c>
      <c r="J2183" s="16">
        <f>IF(OR(D2183="",F2183=""),"",F2183*I2183-N(H2183))</f>
        <v/>
      </c>
      <c r="K2183" s="16">
        <f>IF(OR(D2183="",F2183=""),"",F2183*IFERROR(INDEX('Sản phẩm'!$D$5:$D$304,MATCH(D2183,'Sản phẩm'!$A$5:$A$304,0)),""))</f>
        <v/>
      </c>
      <c r="L2183" s="16">
        <f>IF(J2183="","",J2183-K2183)</f>
        <v/>
      </c>
      <c r="M2183" s="14">
        <f>IF(A2183="","",MONTH(A2183))</f>
        <v/>
      </c>
      <c r="N2183" s="14">
        <f>IF(A2183="","",YEAR(A2183))</f>
        <v/>
      </c>
    </row>
    <row r="2184">
      <c r="A2184" s="15" t="n"/>
      <c r="B2184" s="10" t="n"/>
      <c r="C2184" s="10" t="n"/>
      <c r="D2184" s="10" t="n"/>
      <c r="E2184" s="14">
        <f>IF(D2184="","",IFERROR(INDEX('Sản phẩm'!$B$5:$B$304,MATCH(D2184,'Sản phẩm'!$A$5:$A$304,0)),""))</f>
        <v/>
      </c>
      <c r="F2184" s="12" t="n"/>
      <c r="G2184" s="11" t="n"/>
      <c r="H2184" s="11" t="n"/>
      <c r="I2184" s="16">
        <f>IF(D2184="","",IF(G2184&lt;&gt;"",G2184,IFERROR(INDEX('Sản phẩm'!$E$5:$E$304,MATCH(D2184,'Sản phẩm'!$A$5:$A$304,0)),"")))</f>
        <v/>
      </c>
      <c r="J2184" s="16">
        <f>IF(OR(D2184="",F2184=""),"",F2184*I2184-N(H2184))</f>
        <v/>
      </c>
      <c r="K2184" s="16">
        <f>IF(OR(D2184="",F2184=""),"",F2184*IFERROR(INDEX('Sản phẩm'!$D$5:$D$304,MATCH(D2184,'Sản phẩm'!$A$5:$A$304,0)),""))</f>
        <v/>
      </c>
      <c r="L2184" s="16">
        <f>IF(J2184="","",J2184-K2184)</f>
        <v/>
      </c>
      <c r="M2184" s="14">
        <f>IF(A2184="","",MONTH(A2184))</f>
        <v/>
      </c>
      <c r="N2184" s="14">
        <f>IF(A2184="","",YEAR(A2184))</f>
        <v/>
      </c>
    </row>
    <row r="2185">
      <c r="A2185" s="15" t="n"/>
      <c r="B2185" s="10" t="n"/>
      <c r="C2185" s="10" t="n"/>
      <c r="D2185" s="10" t="n"/>
      <c r="E2185" s="14">
        <f>IF(D2185="","",IFERROR(INDEX('Sản phẩm'!$B$5:$B$304,MATCH(D2185,'Sản phẩm'!$A$5:$A$304,0)),""))</f>
        <v/>
      </c>
      <c r="F2185" s="12" t="n"/>
      <c r="G2185" s="11" t="n"/>
      <c r="H2185" s="11" t="n"/>
      <c r="I2185" s="16">
        <f>IF(D2185="","",IF(G2185&lt;&gt;"",G2185,IFERROR(INDEX('Sản phẩm'!$E$5:$E$304,MATCH(D2185,'Sản phẩm'!$A$5:$A$304,0)),"")))</f>
        <v/>
      </c>
      <c r="J2185" s="16">
        <f>IF(OR(D2185="",F2185=""),"",F2185*I2185-N(H2185))</f>
        <v/>
      </c>
      <c r="K2185" s="16">
        <f>IF(OR(D2185="",F2185=""),"",F2185*IFERROR(INDEX('Sản phẩm'!$D$5:$D$304,MATCH(D2185,'Sản phẩm'!$A$5:$A$304,0)),""))</f>
        <v/>
      </c>
      <c r="L2185" s="16">
        <f>IF(J2185="","",J2185-K2185)</f>
        <v/>
      </c>
      <c r="M2185" s="14">
        <f>IF(A2185="","",MONTH(A2185))</f>
        <v/>
      </c>
      <c r="N2185" s="14">
        <f>IF(A2185="","",YEAR(A2185))</f>
        <v/>
      </c>
    </row>
    <row r="2186">
      <c r="A2186" s="15" t="n"/>
      <c r="B2186" s="10" t="n"/>
      <c r="C2186" s="10" t="n"/>
      <c r="D2186" s="10" t="n"/>
      <c r="E2186" s="14">
        <f>IF(D2186="","",IFERROR(INDEX('Sản phẩm'!$B$5:$B$304,MATCH(D2186,'Sản phẩm'!$A$5:$A$304,0)),""))</f>
        <v/>
      </c>
      <c r="F2186" s="12" t="n"/>
      <c r="G2186" s="11" t="n"/>
      <c r="H2186" s="11" t="n"/>
      <c r="I2186" s="16">
        <f>IF(D2186="","",IF(G2186&lt;&gt;"",G2186,IFERROR(INDEX('Sản phẩm'!$E$5:$E$304,MATCH(D2186,'Sản phẩm'!$A$5:$A$304,0)),"")))</f>
        <v/>
      </c>
      <c r="J2186" s="16">
        <f>IF(OR(D2186="",F2186=""),"",F2186*I2186-N(H2186))</f>
        <v/>
      </c>
      <c r="K2186" s="16">
        <f>IF(OR(D2186="",F2186=""),"",F2186*IFERROR(INDEX('Sản phẩm'!$D$5:$D$304,MATCH(D2186,'Sản phẩm'!$A$5:$A$304,0)),""))</f>
        <v/>
      </c>
      <c r="L2186" s="16">
        <f>IF(J2186="","",J2186-K2186)</f>
        <v/>
      </c>
      <c r="M2186" s="14">
        <f>IF(A2186="","",MONTH(A2186))</f>
        <v/>
      </c>
      <c r="N2186" s="14">
        <f>IF(A2186="","",YEAR(A2186))</f>
        <v/>
      </c>
    </row>
    <row r="2187">
      <c r="A2187" s="15" t="n"/>
      <c r="B2187" s="10" t="n"/>
      <c r="C2187" s="10" t="n"/>
      <c r="D2187" s="10" t="n"/>
      <c r="E2187" s="14">
        <f>IF(D2187="","",IFERROR(INDEX('Sản phẩm'!$B$5:$B$304,MATCH(D2187,'Sản phẩm'!$A$5:$A$304,0)),""))</f>
        <v/>
      </c>
      <c r="F2187" s="12" t="n"/>
      <c r="G2187" s="11" t="n"/>
      <c r="H2187" s="11" t="n"/>
      <c r="I2187" s="16">
        <f>IF(D2187="","",IF(G2187&lt;&gt;"",G2187,IFERROR(INDEX('Sản phẩm'!$E$5:$E$304,MATCH(D2187,'Sản phẩm'!$A$5:$A$304,0)),"")))</f>
        <v/>
      </c>
      <c r="J2187" s="16">
        <f>IF(OR(D2187="",F2187=""),"",F2187*I2187-N(H2187))</f>
        <v/>
      </c>
      <c r="K2187" s="16">
        <f>IF(OR(D2187="",F2187=""),"",F2187*IFERROR(INDEX('Sản phẩm'!$D$5:$D$304,MATCH(D2187,'Sản phẩm'!$A$5:$A$304,0)),""))</f>
        <v/>
      </c>
      <c r="L2187" s="16">
        <f>IF(J2187="","",J2187-K2187)</f>
        <v/>
      </c>
      <c r="M2187" s="14">
        <f>IF(A2187="","",MONTH(A2187))</f>
        <v/>
      </c>
      <c r="N2187" s="14">
        <f>IF(A2187="","",YEAR(A2187))</f>
        <v/>
      </c>
    </row>
    <row r="2188">
      <c r="A2188" s="15" t="n"/>
      <c r="B2188" s="10" t="n"/>
      <c r="C2188" s="10" t="n"/>
      <c r="D2188" s="10" t="n"/>
      <c r="E2188" s="14">
        <f>IF(D2188="","",IFERROR(INDEX('Sản phẩm'!$B$5:$B$304,MATCH(D2188,'Sản phẩm'!$A$5:$A$304,0)),""))</f>
        <v/>
      </c>
      <c r="F2188" s="12" t="n"/>
      <c r="G2188" s="11" t="n"/>
      <c r="H2188" s="11" t="n"/>
      <c r="I2188" s="16">
        <f>IF(D2188="","",IF(G2188&lt;&gt;"",G2188,IFERROR(INDEX('Sản phẩm'!$E$5:$E$304,MATCH(D2188,'Sản phẩm'!$A$5:$A$304,0)),"")))</f>
        <v/>
      </c>
      <c r="J2188" s="16">
        <f>IF(OR(D2188="",F2188=""),"",F2188*I2188-N(H2188))</f>
        <v/>
      </c>
      <c r="K2188" s="16">
        <f>IF(OR(D2188="",F2188=""),"",F2188*IFERROR(INDEX('Sản phẩm'!$D$5:$D$304,MATCH(D2188,'Sản phẩm'!$A$5:$A$304,0)),""))</f>
        <v/>
      </c>
      <c r="L2188" s="16">
        <f>IF(J2188="","",J2188-K2188)</f>
        <v/>
      </c>
      <c r="M2188" s="14">
        <f>IF(A2188="","",MONTH(A2188))</f>
        <v/>
      </c>
      <c r="N2188" s="14">
        <f>IF(A2188="","",YEAR(A2188))</f>
        <v/>
      </c>
    </row>
    <row r="2189">
      <c r="A2189" s="15" t="n"/>
      <c r="B2189" s="10" t="n"/>
      <c r="C2189" s="10" t="n"/>
      <c r="D2189" s="10" t="n"/>
      <c r="E2189" s="14">
        <f>IF(D2189="","",IFERROR(INDEX('Sản phẩm'!$B$5:$B$304,MATCH(D2189,'Sản phẩm'!$A$5:$A$304,0)),""))</f>
        <v/>
      </c>
      <c r="F2189" s="12" t="n"/>
      <c r="G2189" s="11" t="n"/>
      <c r="H2189" s="11" t="n"/>
      <c r="I2189" s="16">
        <f>IF(D2189="","",IF(G2189&lt;&gt;"",G2189,IFERROR(INDEX('Sản phẩm'!$E$5:$E$304,MATCH(D2189,'Sản phẩm'!$A$5:$A$304,0)),"")))</f>
        <v/>
      </c>
      <c r="J2189" s="16">
        <f>IF(OR(D2189="",F2189=""),"",F2189*I2189-N(H2189))</f>
        <v/>
      </c>
      <c r="K2189" s="16">
        <f>IF(OR(D2189="",F2189=""),"",F2189*IFERROR(INDEX('Sản phẩm'!$D$5:$D$304,MATCH(D2189,'Sản phẩm'!$A$5:$A$304,0)),""))</f>
        <v/>
      </c>
      <c r="L2189" s="16">
        <f>IF(J2189="","",J2189-K2189)</f>
        <v/>
      </c>
      <c r="M2189" s="14">
        <f>IF(A2189="","",MONTH(A2189))</f>
        <v/>
      </c>
      <c r="N2189" s="14">
        <f>IF(A2189="","",YEAR(A2189))</f>
        <v/>
      </c>
    </row>
    <row r="2190">
      <c r="A2190" s="15" t="n"/>
      <c r="B2190" s="10" t="n"/>
      <c r="C2190" s="10" t="n"/>
      <c r="D2190" s="10" t="n"/>
      <c r="E2190" s="14">
        <f>IF(D2190="","",IFERROR(INDEX('Sản phẩm'!$B$5:$B$304,MATCH(D2190,'Sản phẩm'!$A$5:$A$304,0)),""))</f>
        <v/>
      </c>
      <c r="F2190" s="12" t="n"/>
      <c r="G2190" s="11" t="n"/>
      <c r="H2190" s="11" t="n"/>
      <c r="I2190" s="16">
        <f>IF(D2190="","",IF(G2190&lt;&gt;"",G2190,IFERROR(INDEX('Sản phẩm'!$E$5:$E$304,MATCH(D2190,'Sản phẩm'!$A$5:$A$304,0)),"")))</f>
        <v/>
      </c>
      <c r="J2190" s="16">
        <f>IF(OR(D2190="",F2190=""),"",F2190*I2190-N(H2190))</f>
        <v/>
      </c>
      <c r="K2190" s="16">
        <f>IF(OR(D2190="",F2190=""),"",F2190*IFERROR(INDEX('Sản phẩm'!$D$5:$D$304,MATCH(D2190,'Sản phẩm'!$A$5:$A$304,0)),""))</f>
        <v/>
      </c>
      <c r="L2190" s="16">
        <f>IF(J2190="","",J2190-K2190)</f>
        <v/>
      </c>
      <c r="M2190" s="14">
        <f>IF(A2190="","",MONTH(A2190))</f>
        <v/>
      </c>
      <c r="N2190" s="14">
        <f>IF(A2190="","",YEAR(A2190))</f>
        <v/>
      </c>
    </row>
    <row r="2191">
      <c r="A2191" s="15" t="n"/>
      <c r="B2191" s="10" t="n"/>
      <c r="C2191" s="10" t="n"/>
      <c r="D2191" s="10" t="n"/>
      <c r="E2191" s="14">
        <f>IF(D2191="","",IFERROR(INDEX('Sản phẩm'!$B$5:$B$304,MATCH(D2191,'Sản phẩm'!$A$5:$A$304,0)),""))</f>
        <v/>
      </c>
      <c r="F2191" s="12" t="n"/>
      <c r="G2191" s="11" t="n"/>
      <c r="H2191" s="11" t="n"/>
      <c r="I2191" s="16">
        <f>IF(D2191="","",IF(G2191&lt;&gt;"",G2191,IFERROR(INDEX('Sản phẩm'!$E$5:$E$304,MATCH(D2191,'Sản phẩm'!$A$5:$A$304,0)),"")))</f>
        <v/>
      </c>
      <c r="J2191" s="16">
        <f>IF(OR(D2191="",F2191=""),"",F2191*I2191-N(H2191))</f>
        <v/>
      </c>
      <c r="K2191" s="16">
        <f>IF(OR(D2191="",F2191=""),"",F2191*IFERROR(INDEX('Sản phẩm'!$D$5:$D$304,MATCH(D2191,'Sản phẩm'!$A$5:$A$304,0)),""))</f>
        <v/>
      </c>
      <c r="L2191" s="16">
        <f>IF(J2191="","",J2191-K2191)</f>
        <v/>
      </c>
      <c r="M2191" s="14">
        <f>IF(A2191="","",MONTH(A2191))</f>
        <v/>
      </c>
      <c r="N2191" s="14">
        <f>IF(A2191="","",YEAR(A2191))</f>
        <v/>
      </c>
    </row>
    <row r="2192">
      <c r="A2192" s="15" t="n"/>
      <c r="B2192" s="10" t="n"/>
      <c r="C2192" s="10" t="n"/>
      <c r="D2192" s="10" t="n"/>
      <c r="E2192" s="14">
        <f>IF(D2192="","",IFERROR(INDEX('Sản phẩm'!$B$5:$B$304,MATCH(D2192,'Sản phẩm'!$A$5:$A$304,0)),""))</f>
        <v/>
      </c>
      <c r="F2192" s="12" t="n"/>
      <c r="G2192" s="11" t="n"/>
      <c r="H2192" s="11" t="n"/>
      <c r="I2192" s="16">
        <f>IF(D2192="","",IF(G2192&lt;&gt;"",G2192,IFERROR(INDEX('Sản phẩm'!$E$5:$E$304,MATCH(D2192,'Sản phẩm'!$A$5:$A$304,0)),"")))</f>
        <v/>
      </c>
      <c r="J2192" s="16">
        <f>IF(OR(D2192="",F2192=""),"",F2192*I2192-N(H2192))</f>
        <v/>
      </c>
      <c r="K2192" s="16">
        <f>IF(OR(D2192="",F2192=""),"",F2192*IFERROR(INDEX('Sản phẩm'!$D$5:$D$304,MATCH(D2192,'Sản phẩm'!$A$5:$A$304,0)),""))</f>
        <v/>
      </c>
      <c r="L2192" s="16">
        <f>IF(J2192="","",J2192-K2192)</f>
        <v/>
      </c>
      <c r="M2192" s="14">
        <f>IF(A2192="","",MONTH(A2192))</f>
        <v/>
      </c>
      <c r="N2192" s="14">
        <f>IF(A2192="","",YEAR(A2192))</f>
        <v/>
      </c>
    </row>
    <row r="2193">
      <c r="A2193" s="15" t="n"/>
      <c r="B2193" s="10" t="n"/>
      <c r="C2193" s="10" t="n"/>
      <c r="D2193" s="10" t="n"/>
      <c r="E2193" s="14">
        <f>IF(D2193="","",IFERROR(INDEX('Sản phẩm'!$B$5:$B$304,MATCH(D2193,'Sản phẩm'!$A$5:$A$304,0)),""))</f>
        <v/>
      </c>
      <c r="F2193" s="12" t="n"/>
      <c r="G2193" s="11" t="n"/>
      <c r="H2193" s="11" t="n"/>
      <c r="I2193" s="16">
        <f>IF(D2193="","",IF(G2193&lt;&gt;"",G2193,IFERROR(INDEX('Sản phẩm'!$E$5:$E$304,MATCH(D2193,'Sản phẩm'!$A$5:$A$304,0)),"")))</f>
        <v/>
      </c>
      <c r="J2193" s="16">
        <f>IF(OR(D2193="",F2193=""),"",F2193*I2193-N(H2193))</f>
        <v/>
      </c>
      <c r="K2193" s="16">
        <f>IF(OR(D2193="",F2193=""),"",F2193*IFERROR(INDEX('Sản phẩm'!$D$5:$D$304,MATCH(D2193,'Sản phẩm'!$A$5:$A$304,0)),""))</f>
        <v/>
      </c>
      <c r="L2193" s="16">
        <f>IF(J2193="","",J2193-K2193)</f>
        <v/>
      </c>
      <c r="M2193" s="14">
        <f>IF(A2193="","",MONTH(A2193))</f>
        <v/>
      </c>
      <c r="N2193" s="14">
        <f>IF(A2193="","",YEAR(A2193))</f>
        <v/>
      </c>
    </row>
    <row r="2194">
      <c r="A2194" s="15" t="n"/>
      <c r="B2194" s="10" t="n"/>
      <c r="C2194" s="10" t="n"/>
      <c r="D2194" s="10" t="n"/>
      <c r="E2194" s="14">
        <f>IF(D2194="","",IFERROR(INDEX('Sản phẩm'!$B$5:$B$304,MATCH(D2194,'Sản phẩm'!$A$5:$A$304,0)),""))</f>
        <v/>
      </c>
      <c r="F2194" s="12" t="n"/>
      <c r="G2194" s="11" t="n"/>
      <c r="H2194" s="11" t="n"/>
      <c r="I2194" s="16">
        <f>IF(D2194="","",IF(G2194&lt;&gt;"",G2194,IFERROR(INDEX('Sản phẩm'!$E$5:$E$304,MATCH(D2194,'Sản phẩm'!$A$5:$A$304,0)),"")))</f>
        <v/>
      </c>
      <c r="J2194" s="16">
        <f>IF(OR(D2194="",F2194=""),"",F2194*I2194-N(H2194))</f>
        <v/>
      </c>
      <c r="K2194" s="16">
        <f>IF(OR(D2194="",F2194=""),"",F2194*IFERROR(INDEX('Sản phẩm'!$D$5:$D$304,MATCH(D2194,'Sản phẩm'!$A$5:$A$304,0)),""))</f>
        <v/>
      </c>
      <c r="L2194" s="16">
        <f>IF(J2194="","",J2194-K2194)</f>
        <v/>
      </c>
      <c r="M2194" s="14">
        <f>IF(A2194="","",MONTH(A2194))</f>
        <v/>
      </c>
      <c r="N2194" s="14">
        <f>IF(A2194="","",YEAR(A2194))</f>
        <v/>
      </c>
    </row>
    <row r="2195">
      <c r="A2195" s="15" t="n"/>
      <c r="B2195" s="10" t="n"/>
      <c r="C2195" s="10" t="n"/>
      <c r="D2195" s="10" t="n"/>
      <c r="E2195" s="14">
        <f>IF(D2195="","",IFERROR(INDEX('Sản phẩm'!$B$5:$B$304,MATCH(D2195,'Sản phẩm'!$A$5:$A$304,0)),""))</f>
        <v/>
      </c>
      <c r="F2195" s="12" t="n"/>
      <c r="G2195" s="11" t="n"/>
      <c r="H2195" s="11" t="n"/>
      <c r="I2195" s="16">
        <f>IF(D2195="","",IF(G2195&lt;&gt;"",G2195,IFERROR(INDEX('Sản phẩm'!$E$5:$E$304,MATCH(D2195,'Sản phẩm'!$A$5:$A$304,0)),"")))</f>
        <v/>
      </c>
      <c r="J2195" s="16">
        <f>IF(OR(D2195="",F2195=""),"",F2195*I2195-N(H2195))</f>
        <v/>
      </c>
      <c r="K2195" s="16">
        <f>IF(OR(D2195="",F2195=""),"",F2195*IFERROR(INDEX('Sản phẩm'!$D$5:$D$304,MATCH(D2195,'Sản phẩm'!$A$5:$A$304,0)),""))</f>
        <v/>
      </c>
      <c r="L2195" s="16">
        <f>IF(J2195="","",J2195-K2195)</f>
        <v/>
      </c>
      <c r="M2195" s="14">
        <f>IF(A2195="","",MONTH(A2195))</f>
        <v/>
      </c>
      <c r="N2195" s="14">
        <f>IF(A2195="","",YEAR(A2195))</f>
        <v/>
      </c>
    </row>
    <row r="2196">
      <c r="A2196" s="15" t="n"/>
      <c r="B2196" s="10" t="n"/>
      <c r="C2196" s="10" t="n"/>
      <c r="D2196" s="10" t="n"/>
      <c r="E2196" s="14">
        <f>IF(D2196="","",IFERROR(INDEX('Sản phẩm'!$B$5:$B$304,MATCH(D2196,'Sản phẩm'!$A$5:$A$304,0)),""))</f>
        <v/>
      </c>
      <c r="F2196" s="12" t="n"/>
      <c r="G2196" s="11" t="n"/>
      <c r="H2196" s="11" t="n"/>
      <c r="I2196" s="16">
        <f>IF(D2196="","",IF(G2196&lt;&gt;"",G2196,IFERROR(INDEX('Sản phẩm'!$E$5:$E$304,MATCH(D2196,'Sản phẩm'!$A$5:$A$304,0)),"")))</f>
        <v/>
      </c>
      <c r="J2196" s="16">
        <f>IF(OR(D2196="",F2196=""),"",F2196*I2196-N(H2196))</f>
        <v/>
      </c>
      <c r="K2196" s="16">
        <f>IF(OR(D2196="",F2196=""),"",F2196*IFERROR(INDEX('Sản phẩm'!$D$5:$D$304,MATCH(D2196,'Sản phẩm'!$A$5:$A$304,0)),""))</f>
        <v/>
      </c>
      <c r="L2196" s="16">
        <f>IF(J2196="","",J2196-K2196)</f>
        <v/>
      </c>
      <c r="M2196" s="14">
        <f>IF(A2196="","",MONTH(A2196))</f>
        <v/>
      </c>
      <c r="N2196" s="14">
        <f>IF(A2196="","",YEAR(A2196))</f>
        <v/>
      </c>
    </row>
    <row r="2197">
      <c r="A2197" s="15" t="n"/>
      <c r="B2197" s="10" t="n"/>
      <c r="C2197" s="10" t="n"/>
      <c r="D2197" s="10" t="n"/>
      <c r="E2197" s="14">
        <f>IF(D2197="","",IFERROR(INDEX('Sản phẩm'!$B$5:$B$304,MATCH(D2197,'Sản phẩm'!$A$5:$A$304,0)),""))</f>
        <v/>
      </c>
      <c r="F2197" s="12" t="n"/>
      <c r="G2197" s="11" t="n"/>
      <c r="H2197" s="11" t="n"/>
      <c r="I2197" s="16">
        <f>IF(D2197="","",IF(G2197&lt;&gt;"",G2197,IFERROR(INDEX('Sản phẩm'!$E$5:$E$304,MATCH(D2197,'Sản phẩm'!$A$5:$A$304,0)),"")))</f>
        <v/>
      </c>
      <c r="J2197" s="16">
        <f>IF(OR(D2197="",F2197=""),"",F2197*I2197-N(H2197))</f>
        <v/>
      </c>
      <c r="K2197" s="16">
        <f>IF(OR(D2197="",F2197=""),"",F2197*IFERROR(INDEX('Sản phẩm'!$D$5:$D$304,MATCH(D2197,'Sản phẩm'!$A$5:$A$304,0)),""))</f>
        <v/>
      </c>
      <c r="L2197" s="16">
        <f>IF(J2197="","",J2197-K2197)</f>
        <v/>
      </c>
      <c r="M2197" s="14">
        <f>IF(A2197="","",MONTH(A2197))</f>
        <v/>
      </c>
      <c r="N2197" s="14">
        <f>IF(A2197="","",YEAR(A2197))</f>
        <v/>
      </c>
    </row>
    <row r="2198">
      <c r="A2198" s="15" t="n"/>
      <c r="B2198" s="10" t="n"/>
      <c r="C2198" s="10" t="n"/>
      <c r="D2198" s="10" t="n"/>
      <c r="E2198" s="14">
        <f>IF(D2198="","",IFERROR(INDEX('Sản phẩm'!$B$5:$B$304,MATCH(D2198,'Sản phẩm'!$A$5:$A$304,0)),""))</f>
        <v/>
      </c>
      <c r="F2198" s="12" t="n"/>
      <c r="G2198" s="11" t="n"/>
      <c r="H2198" s="11" t="n"/>
      <c r="I2198" s="16">
        <f>IF(D2198="","",IF(G2198&lt;&gt;"",G2198,IFERROR(INDEX('Sản phẩm'!$E$5:$E$304,MATCH(D2198,'Sản phẩm'!$A$5:$A$304,0)),"")))</f>
        <v/>
      </c>
      <c r="J2198" s="16">
        <f>IF(OR(D2198="",F2198=""),"",F2198*I2198-N(H2198))</f>
        <v/>
      </c>
      <c r="K2198" s="16">
        <f>IF(OR(D2198="",F2198=""),"",F2198*IFERROR(INDEX('Sản phẩm'!$D$5:$D$304,MATCH(D2198,'Sản phẩm'!$A$5:$A$304,0)),""))</f>
        <v/>
      </c>
      <c r="L2198" s="16">
        <f>IF(J2198="","",J2198-K2198)</f>
        <v/>
      </c>
      <c r="M2198" s="14">
        <f>IF(A2198="","",MONTH(A2198))</f>
        <v/>
      </c>
      <c r="N2198" s="14">
        <f>IF(A2198="","",YEAR(A2198))</f>
        <v/>
      </c>
    </row>
    <row r="2199">
      <c r="A2199" s="15" t="n"/>
      <c r="B2199" s="10" t="n"/>
      <c r="C2199" s="10" t="n"/>
      <c r="D2199" s="10" t="n"/>
      <c r="E2199" s="14">
        <f>IF(D2199="","",IFERROR(INDEX('Sản phẩm'!$B$5:$B$304,MATCH(D2199,'Sản phẩm'!$A$5:$A$304,0)),""))</f>
        <v/>
      </c>
      <c r="F2199" s="12" t="n"/>
      <c r="G2199" s="11" t="n"/>
      <c r="H2199" s="11" t="n"/>
      <c r="I2199" s="16">
        <f>IF(D2199="","",IF(G2199&lt;&gt;"",G2199,IFERROR(INDEX('Sản phẩm'!$E$5:$E$304,MATCH(D2199,'Sản phẩm'!$A$5:$A$304,0)),"")))</f>
        <v/>
      </c>
      <c r="J2199" s="16">
        <f>IF(OR(D2199="",F2199=""),"",F2199*I2199-N(H2199))</f>
        <v/>
      </c>
      <c r="K2199" s="16">
        <f>IF(OR(D2199="",F2199=""),"",F2199*IFERROR(INDEX('Sản phẩm'!$D$5:$D$304,MATCH(D2199,'Sản phẩm'!$A$5:$A$304,0)),""))</f>
        <v/>
      </c>
      <c r="L2199" s="16">
        <f>IF(J2199="","",J2199-K2199)</f>
        <v/>
      </c>
      <c r="M2199" s="14">
        <f>IF(A2199="","",MONTH(A2199))</f>
        <v/>
      </c>
      <c r="N2199" s="14">
        <f>IF(A2199="","",YEAR(A2199))</f>
        <v/>
      </c>
    </row>
    <row r="2200">
      <c r="A2200" s="15" t="n"/>
      <c r="B2200" s="10" t="n"/>
      <c r="C2200" s="10" t="n"/>
      <c r="D2200" s="10" t="n"/>
      <c r="E2200" s="14">
        <f>IF(D2200="","",IFERROR(INDEX('Sản phẩm'!$B$5:$B$304,MATCH(D2200,'Sản phẩm'!$A$5:$A$304,0)),""))</f>
        <v/>
      </c>
      <c r="F2200" s="12" t="n"/>
      <c r="G2200" s="11" t="n"/>
      <c r="H2200" s="11" t="n"/>
      <c r="I2200" s="16">
        <f>IF(D2200="","",IF(G2200&lt;&gt;"",G2200,IFERROR(INDEX('Sản phẩm'!$E$5:$E$304,MATCH(D2200,'Sản phẩm'!$A$5:$A$304,0)),"")))</f>
        <v/>
      </c>
      <c r="J2200" s="16">
        <f>IF(OR(D2200="",F2200=""),"",F2200*I2200-N(H2200))</f>
        <v/>
      </c>
      <c r="K2200" s="16">
        <f>IF(OR(D2200="",F2200=""),"",F2200*IFERROR(INDEX('Sản phẩm'!$D$5:$D$304,MATCH(D2200,'Sản phẩm'!$A$5:$A$304,0)),""))</f>
        <v/>
      </c>
      <c r="L2200" s="16">
        <f>IF(J2200="","",J2200-K2200)</f>
        <v/>
      </c>
      <c r="M2200" s="14">
        <f>IF(A2200="","",MONTH(A2200))</f>
        <v/>
      </c>
      <c r="N2200" s="14">
        <f>IF(A2200="","",YEAR(A2200))</f>
        <v/>
      </c>
    </row>
    <row r="2201">
      <c r="A2201" s="15" t="n"/>
      <c r="B2201" s="10" t="n"/>
      <c r="C2201" s="10" t="n"/>
      <c r="D2201" s="10" t="n"/>
      <c r="E2201" s="14">
        <f>IF(D2201="","",IFERROR(INDEX('Sản phẩm'!$B$5:$B$304,MATCH(D2201,'Sản phẩm'!$A$5:$A$304,0)),""))</f>
        <v/>
      </c>
      <c r="F2201" s="12" t="n"/>
      <c r="G2201" s="11" t="n"/>
      <c r="H2201" s="11" t="n"/>
      <c r="I2201" s="16">
        <f>IF(D2201="","",IF(G2201&lt;&gt;"",G2201,IFERROR(INDEX('Sản phẩm'!$E$5:$E$304,MATCH(D2201,'Sản phẩm'!$A$5:$A$304,0)),"")))</f>
        <v/>
      </c>
      <c r="J2201" s="16">
        <f>IF(OR(D2201="",F2201=""),"",F2201*I2201-N(H2201))</f>
        <v/>
      </c>
      <c r="K2201" s="16">
        <f>IF(OR(D2201="",F2201=""),"",F2201*IFERROR(INDEX('Sản phẩm'!$D$5:$D$304,MATCH(D2201,'Sản phẩm'!$A$5:$A$304,0)),""))</f>
        <v/>
      </c>
      <c r="L2201" s="16">
        <f>IF(J2201="","",J2201-K2201)</f>
        <v/>
      </c>
      <c r="M2201" s="14">
        <f>IF(A2201="","",MONTH(A2201))</f>
        <v/>
      </c>
      <c r="N2201" s="14">
        <f>IF(A2201="","",YEAR(A2201))</f>
        <v/>
      </c>
    </row>
    <row r="2202">
      <c r="A2202" s="15" t="n"/>
      <c r="B2202" s="10" t="n"/>
      <c r="C2202" s="10" t="n"/>
      <c r="D2202" s="10" t="n"/>
      <c r="E2202" s="14">
        <f>IF(D2202="","",IFERROR(INDEX('Sản phẩm'!$B$5:$B$304,MATCH(D2202,'Sản phẩm'!$A$5:$A$304,0)),""))</f>
        <v/>
      </c>
      <c r="F2202" s="12" t="n"/>
      <c r="G2202" s="11" t="n"/>
      <c r="H2202" s="11" t="n"/>
      <c r="I2202" s="16">
        <f>IF(D2202="","",IF(G2202&lt;&gt;"",G2202,IFERROR(INDEX('Sản phẩm'!$E$5:$E$304,MATCH(D2202,'Sản phẩm'!$A$5:$A$304,0)),"")))</f>
        <v/>
      </c>
      <c r="J2202" s="16">
        <f>IF(OR(D2202="",F2202=""),"",F2202*I2202-N(H2202))</f>
        <v/>
      </c>
      <c r="K2202" s="16">
        <f>IF(OR(D2202="",F2202=""),"",F2202*IFERROR(INDEX('Sản phẩm'!$D$5:$D$304,MATCH(D2202,'Sản phẩm'!$A$5:$A$304,0)),""))</f>
        <v/>
      </c>
      <c r="L2202" s="16">
        <f>IF(J2202="","",J2202-K2202)</f>
        <v/>
      </c>
      <c r="M2202" s="14">
        <f>IF(A2202="","",MONTH(A2202))</f>
        <v/>
      </c>
      <c r="N2202" s="14">
        <f>IF(A2202="","",YEAR(A2202))</f>
        <v/>
      </c>
    </row>
    <row r="2203">
      <c r="A2203" s="15" t="n"/>
      <c r="B2203" s="10" t="n"/>
      <c r="C2203" s="10" t="n"/>
      <c r="D2203" s="10" t="n"/>
      <c r="E2203" s="14">
        <f>IF(D2203="","",IFERROR(INDEX('Sản phẩm'!$B$5:$B$304,MATCH(D2203,'Sản phẩm'!$A$5:$A$304,0)),""))</f>
        <v/>
      </c>
      <c r="F2203" s="12" t="n"/>
      <c r="G2203" s="11" t="n"/>
      <c r="H2203" s="11" t="n"/>
      <c r="I2203" s="16">
        <f>IF(D2203="","",IF(G2203&lt;&gt;"",G2203,IFERROR(INDEX('Sản phẩm'!$E$5:$E$304,MATCH(D2203,'Sản phẩm'!$A$5:$A$304,0)),"")))</f>
        <v/>
      </c>
      <c r="J2203" s="16">
        <f>IF(OR(D2203="",F2203=""),"",F2203*I2203-N(H2203))</f>
        <v/>
      </c>
      <c r="K2203" s="16">
        <f>IF(OR(D2203="",F2203=""),"",F2203*IFERROR(INDEX('Sản phẩm'!$D$5:$D$304,MATCH(D2203,'Sản phẩm'!$A$5:$A$304,0)),""))</f>
        <v/>
      </c>
      <c r="L2203" s="16">
        <f>IF(J2203="","",J2203-K2203)</f>
        <v/>
      </c>
      <c r="M2203" s="14">
        <f>IF(A2203="","",MONTH(A2203))</f>
        <v/>
      </c>
      <c r="N2203" s="14">
        <f>IF(A2203="","",YEAR(A2203))</f>
        <v/>
      </c>
    </row>
    <row r="2204">
      <c r="A2204" s="15" t="n"/>
      <c r="B2204" s="10" t="n"/>
      <c r="C2204" s="10" t="n"/>
      <c r="D2204" s="10" t="n"/>
      <c r="E2204" s="14">
        <f>IF(D2204="","",IFERROR(INDEX('Sản phẩm'!$B$5:$B$304,MATCH(D2204,'Sản phẩm'!$A$5:$A$304,0)),""))</f>
        <v/>
      </c>
      <c r="F2204" s="12" t="n"/>
      <c r="G2204" s="11" t="n"/>
      <c r="H2204" s="11" t="n"/>
      <c r="I2204" s="16">
        <f>IF(D2204="","",IF(G2204&lt;&gt;"",G2204,IFERROR(INDEX('Sản phẩm'!$E$5:$E$304,MATCH(D2204,'Sản phẩm'!$A$5:$A$304,0)),"")))</f>
        <v/>
      </c>
      <c r="J2204" s="16">
        <f>IF(OR(D2204="",F2204=""),"",F2204*I2204-N(H2204))</f>
        <v/>
      </c>
      <c r="K2204" s="16">
        <f>IF(OR(D2204="",F2204=""),"",F2204*IFERROR(INDEX('Sản phẩm'!$D$5:$D$304,MATCH(D2204,'Sản phẩm'!$A$5:$A$304,0)),""))</f>
        <v/>
      </c>
      <c r="L2204" s="16">
        <f>IF(J2204="","",J2204-K2204)</f>
        <v/>
      </c>
      <c r="M2204" s="14">
        <f>IF(A2204="","",MONTH(A2204))</f>
        <v/>
      </c>
      <c r="N2204" s="14">
        <f>IF(A2204="","",YEAR(A2204))</f>
        <v/>
      </c>
    </row>
    <row r="2205">
      <c r="A2205" s="15" t="n"/>
      <c r="B2205" s="10" t="n"/>
      <c r="C2205" s="10" t="n"/>
      <c r="D2205" s="10" t="n"/>
      <c r="E2205" s="14">
        <f>IF(D2205="","",IFERROR(INDEX('Sản phẩm'!$B$5:$B$304,MATCH(D2205,'Sản phẩm'!$A$5:$A$304,0)),""))</f>
        <v/>
      </c>
      <c r="F2205" s="12" t="n"/>
      <c r="G2205" s="11" t="n"/>
      <c r="H2205" s="11" t="n"/>
      <c r="I2205" s="16">
        <f>IF(D2205="","",IF(G2205&lt;&gt;"",G2205,IFERROR(INDEX('Sản phẩm'!$E$5:$E$304,MATCH(D2205,'Sản phẩm'!$A$5:$A$304,0)),"")))</f>
        <v/>
      </c>
      <c r="J2205" s="16">
        <f>IF(OR(D2205="",F2205=""),"",F2205*I2205-N(H2205))</f>
        <v/>
      </c>
      <c r="K2205" s="16">
        <f>IF(OR(D2205="",F2205=""),"",F2205*IFERROR(INDEX('Sản phẩm'!$D$5:$D$304,MATCH(D2205,'Sản phẩm'!$A$5:$A$304,0)),""))</f>
        <v/>
      </c>
      <c r="L2205" s="16">
        <f>IF(J2205="","",J2205-K2205)</f>
        <v/>
      </c>
      <c r="M2205" s="14">
        <f>IF(A2205="","",MONTH(A2205))</f>
        <v/>
      </c>
      <c r="N2205" s="14">
        <f>IF(A2205="","",YEAR(A2205))</f>
        <v/>
      </c>
    </row>
    <row r="2206">
      <c r="A2206" s="15" t="n"/>
      <c r="B2206" s="10" t="n"/>
      <c r="C2206" s="10" t="n"/>
      <c r="D2206" s="10" t="n"/>
      <c r="E2206" s="14">
        <f>IF(D2206="","",IFERROR(INDEX('Sản phẩm'!$B$5:$B$304,MATCH(D2206,'Sản phẩm'!$A$5:$A$304,0)),""))</f>
        <v/>
      </c>
      <c r="F2206" s="12" t="n"/>
      <c r="G2206" s="11" t="n"/>
      <c r="H2206" s="11" t="n"/>
      <c r="I2206" s="16">
        <f>IF(D2206="","",IF(G2206&lt;&gt;"",G2206,IFERROR(INDEX('Sản phẩm'!$E$5:$E$304,MATCH(D2206,'Sản phẩm'!$A$5:$A$304,0)),"")))</f>
        <v/>
      </c>
      <c r="J2206" s="16">
        <f>IF(OR(D2206="",F2206=""),"",F2206*I2206-N(H2206))</f>
        <v/>
      </c>
      <c r="K2206" s="16">
        <f>IF(OR(D2206="",F2206=""),"",F2206*IFERROR(INDEX('Sản phẩm'!$D$5:$D$304,MATCH(D2206,'Sản phẩm'!$A$5:$A$304,0)),""))</f>
        <v/>
      </c>
      <c r="L2206" s="16">
        <f>IF(J2206="","",J2206-K2206)</f>
        <v/>
      </c>
      <c r="M2206" s="14">
        <f>IF(A2206="","",MONTH(A2206))</f>
        <v/>
      </c>
      <c r="N2206" s="14">
        <f>IF(A2206="","",YEAR(A2206))</f>
        <v/>
      </c>
    </row>
    <row r="2207">
      <c r="A2207" s="15" t="n"/>
      <c r="B2207" s="10" t="n"/>
      <c r="C2207" s="10" t="n"/>
      <c r="D2207" s="10" t="n"/>
      <c r="E2207" s="14">
        <f>IF(D2207="","",IFERROR(INDEX('Sản phẩm'!$B$5:$B$304,MATCH(D2207,'Sản phẩm'!$A$5:$A$304,0)),""))</f>
        <v/>
      </c>
      <c r="F2207" s="12" t="n"/>
      <c r="G2207" s="11" t="n"/>
      <c r="H2207" s="11" t="n"/>
      <c r="I2207" s="16">
        <f>IF(D2207="","",IF(G2207&lt;&gt;"",G2207,IFERROR(INDEX('Sản phẩm'!$E$5:$E$304,MATCH(D2207,'Sản phẩm'!$A$5:$A$304,0)),"")))</f>
        <v/>
      </c>
      <c r="J2207" s="16">
        <f>IF(OR(D2207="",F2207=""),"",F2207*I2207-N(H2207))</f>
        <v/>
      </c>
      <c r="K2207" s="16">
        <f>IF(OR(D2207="",F2207=""),"",F2207*IFERROR(INDEX('Sản phẩm'!$D$5:$D$304,MATCH(D2207,'Sản phẩm'!$A$5:$A$304,0)),""))</f>
        <v/>
      </c>
      <c r="L2207" s="16">
        <f>IF(J2207="","",J2207-K2207)</f>
        <v/>
      </c>
      <c r="M2207" s="14">
        <f>IF(A2207="","",MONTH(A2207))</f>
        <v/>
      </c>
      <c r="N2207" s="14">
        <f>IF(A2207="","",YEAR(A2207))</f>
        <v/>
      </c>
    </row>
    <row r="2208">
      <c r="A2208" s="15" t="n"/>
      <c r="B2208" s="10" t="n"/>
      <c r="C2208" s="10" t="n"/>
      <c r="D2208" s="10" t="n"/>
      <c r="E2208" s="14">
        <f>IF(D2208="","",IFERROR(INDEX('Sản phẩm'!$B$5:$B$304,MATCH(D2208,'Sản phẩm'!$A$5:$A$304,0)),""))</f>
        <v/>
      </c>
      <c r="F2208" s="12" t="n"/>
      <c r="G2208" s="11" t="n"/>
      <c r="H2208" s="11" t="n"/>
      <c r="I2208" s="16">
        <f>IF(D2208="","",IF(G2208&lt;&gt;"",G2208,IFERROR(INDEX('Sản phẩm'!$E$5:$E$304,MATCH(D2208,'Sản phẩm'!$A$5:$A$304,0)),"")))</f>
        <v/>
      </c>
      <c r="J2208" s="16">
        <f>IF(OR(D2208="",F2208=""),"",F2208*I2208-N(H2208))</f>
        <v/>
      </c>
      <c r="K2208" s="16">
        <f>IF(OR(D2208="",F2208=""),"",F2208*IFERROR(INDEX('Sản phẩm'!$D$5:$D$304,MATCH(D2208,'Sản phẩm'!$A$5:$A$304,0)),""))</f>
        <v/>
      </c>
      <c r="L2208" s="16">
        <f>IF(J2208="","",J2208-K2208)</f>
        <v/>
      </c>
      <c r="M2208" s="14">
        <f>IF(A2208="","",MONTH(A2208))</f>
        <v/>
      </c>
      <c r="N2208" s="14">
        <f>IF(A2208="","",YEAR(A2208))</f>
        <v/>
      </c>
    </row>
    <row r="2209">
      <c r="A2209" s="15" t="n"/>
      <c r="B2209" s="10" t="n"/>
      <c r="C2209" s="10" t="n"/>
      <c r="D2209" s="10" t="n"/>
      <c r="E2209" s="14">
        <f>IF(D2209="","",IFERROR(INDEX('Sản phẩm'!$B$5:$B$304,MATCH(D2209,'Sản phẩm'!$A$5:$A$304,0)),""))</f>
        <v/>
      </c>
      <c r="F2209" s="12" t="n"/>
      <c r="G2209" s="11" t="n"/>
      <c r="H2209" s="11" t="n"/>
      <c r="I2209" s="16">
        <f>IF(D2209="","",IF(G2209&lt;&gt;"",G2209,IFERROR(INDEX('Sản phẩm'!$E$5:$E$304,MATCH(D2209,'Sản phẩm'!$A$5:$A$304,0)),"")))</f>
        <v/>
      </c>
      <c r="J2209" s="16">
        <f>IF(OR(D2209="",F2209=""),"",F2209*I2209-N(H2209))</f>
        <v/>
      </c>
      <c r="K2209" s="16">
        <f>IF(OR(D2209="",F2209=""),"",F2209*IFERROR(INDEX('Sản phẩm'!$D$5:$D$304,MATCH(D2209,'Sản phẩm'!$A$5:$A$304,0)),""))</f>
        <v/>
      </c>
      <c r="L2209" s="16">
        <f>IF(J2209="","",J2209-K2209)</f>
        <v/>
      </c>
      <c r="M2209" s="14">
        <f>IF(A2209="","",MONTH(A2209))</f>
        <v/>
      </c>
      <c r="N2209" s="14">
        <f>IF(A2209="","",YEAR(A2209))</f>
        <v/>
      </c>
    </row>
    <row r="2210">
      <c r="A2210" s="15" t="n"/>
      <c r="B2210" s="10" t="n"/>
      <c r="C2210" s="10" t="n"/>
      <c r="D2210" s="10" t="n"/>
      <c r="E2210" s="14">
        <f>IF(D2210="","",IFERROR(INDEX('Sản phẩm'!$B$5:$B$304,MATCH(D2210,'Sản phẩm'!$A$5:$A$304,0)),""))</f>
        <v/>
      </c>
      <c r="F2210" s="12" t="n"/>
      <c r="G2210" s="11" t="n"/>
      <c r="H2210" s="11" t="n"/>
      <c r="I2210" s="16">
        <f>IF(D2210="","",IF(G2210&lt;&gt;"",G2210,IFERROR(INDEX('Sản phẩm'!$E$5:$E$304,MATCH(D2210,'Sản phẩm'!$A$5:$A$304,0)),"")))</f>
        <v/>
      </c>
      <c r="J2210" s="16">
        <f>IF(OR(D2210="",F2210=""),"",F2210*I2210-N(H2210))</f>
        <v/>
      </c>
      <c r="K2210" s="16">
        <f>IF(OR(D2210="",F2210=""),"",F2210*IFERROR(INDEX('Sản phẩm'!$D$5:$D$304,MATCH(D2210,'Sản phẩm'!$A$5:$A$304,0)),""))</f>
        <v/>
      </c>
      <c r="L2210" s="16">
        <f>IF(J2210="","",J2210-K2210)</f>
        <v/>
      </c>
      <c r="M2210" s="14">
        <f>IF(A2210="","",MONTH(A2210))</f>
        <v/>
      </c>
      <c r="N2210" s="14">
        <f>IF(A2210="","",YEAR(A2210))</f>
        <v/>
      </c>
    </row>
    <row r="2211">
      <c r="A2211" s="15" t="n"/>
      <c r="B2211" s="10" t="n"/>
      <c r="C2211" s="10" t="n"/>
      <c r="D2211" s="10" t="n"/>
      <c r="E2211" s="14">
        <f>IF(D2211="","",IFERROR(INDEX('Sản phẩm'!$B$5:$B$304,MATCH(D2211,'Sản phẩm'!$A$5:$A$304,0)),""))</f>
        <v/>
      </c>
      <c r="F2211" s="12" t="n"/>
      <c r="G2211" s="11" t="n"/>
      <c r="H2211" s="11" t="n"/>
      <c r="I2211" s="16">
        <f>IF(D2211="","",IF(G2211&lt;&gt;"",G2211,IFERROR(INDEX('Sản phẩm'!$E$5:$E$304,MATCH(D2211,'Sản phẩm'!$A$5:$A$304,0)),"")))</f>
        <v/>
      </c>
      <c r="J2211" s="16">
        <f>IF(OR(D2211="",F2211=""),"",F2211*I2211-N(H2211))</f>
        <v/>
      </c>
      <c r="K2211" s="16">
        <f>IF(OR(D2211="",F2211=""),"",F2211*IFERROR(INDEX('Sản phẩm'!$D$5:$D$304,MATCH(D2211,'Sản phẩm'!$A$5:$A$304,0)),""))</f>
        <v/>
      </c>
      <c r="L2211" s="16">
        <f>IF(J2211="","",J2211-K2211)</f>
        <v/>
      </c>
      <c r="M2211" s="14">
        <f>IF(A2211="","",MONTH(A2211))</f>
        <v/>
      </c>
      <c r="N2211" s="14">
        <f>IF(A2211="","",YEAR(A2211))</f>
        <v/>
      </c>
    </row>
    <row r="2212">
      <c r="A2212" s="15" t="n"/>
      <c r="B2212" s="10" t="n"/>
      <c r="C2212" s="10" t="n"/>
      <c r="D2212" s="10" t="n"/>
      <c r="E2212" s="14">
        <f>IF(D2212="","",IFERROR(INDEX('Sản phẩm'!$B$5:$B$304,MATCH(D2212,'Sản phẩm'!$A$5:$A$304,0)),""))</f>
        <v/>
      </c>
      <c r="F2212" s="12" t="n"/>
      <c r="G2212" s="11" t="n"/>
      <c r="H2212" s="11" t="n"/>
      <c r="I2212" s="16">
        <f>IF(D2212="","",IF(G2212&lt;&gt;"",G2212,IFERROR(INDEX('Sản phẩm'!$E$5:$E$304,MATCH(D2212,'Sản phẩm'!$A$5:$A$304,0)),"")))</f>
        <v/>
      </c>
      <c r="J2212" s="16">
        <f>IF(OR(D2212="",F2212=""),"",F2212*I2212-N(H2212))</f>
        <v/>
      </c>
      <c r="K2212" s="16">
        <f>IF(OR(D2212="",F2212=""),"",F2212*IFERROR(INDEX('Sản phẩm'!$D$5:$D$304,MATCH(D2212,'Sản phẩm'!$A$5:$A$304,0)),""))</f>
        <v/>
      </c>
      <c r="L2212" s="16">
        <f>IF(J2212="","",J2212-K2212)</f>
        <v/>
      </c>
      <c r="M2212" s="14">
        <f>IF(A2212="","",MONTH(A2212))</f>
        <v/>
      </c>
      <c r="N2212" s="14">
        <f>IF(A2212="","",YEAR(A2212))</f>
        <v/>
      </c>
    </row>
    <row r="2213">
      <c r="A2213" s="15" t="n"/>
      <c r="B2213" s="10" t="n"/>
      <c r="C2213" s="10" t="n"/>
      <c r="D2213" s="10" t="n"/>
      <c r="E2213" s="14">
        <f>IF(D2213="","",IFERROR(INDEX('Sản phẩm'!$B$5:$B$304,MATCH(D2213,'Sản phẩm'!$A$5:$A$304,0)),""))</f>
        <v/>
      </c>
      <c r="F2213" s="12" t="n"/>
      <c r="G2213" s="11" t="n"/>
      <c r="H2213" s="11" t="n"/>
      <c r="I2213" s="16">
        <f>IF(D2213="","",IF(G2213&lt;&gt;"",G2213,IFERROR(INDEX('Sản phẩm'!$E$5:$E$304,MATCH(D2213,'Sản phẩm'!$A$5:$A$304,0)),"")))</f>
        <v/>
      </c>
      <c r="J2213" s="16">
        <f>IF(OR(D2213="",F2213=""),"",F2213*I2213-N(H2213))</f>
        <v/>
      </c>
      <c r="K2213" s="16">
        <f>IF(OR(D2213="",F2213=""),"",F2213*IFERROR(INDEX('Sản phẩm'!$D$5:$D$304,MATCH(D2213,'Sản phẩm'!$A$5:$A$304,0)),""))</f>
        <v/>
      </c>
      <c r="L2213" s="16">
        <f>IF(J2213="","",J2213-K2213)</f>
        <v/>
      </c>
      <c r="M2213" s="14">
        <f>IF(A2213="","",MONTH(A2213))</f>
        <v/>
      </c>
      <c r="N2213" s="14">
        <f>IF(A2213="","",YEAR(A2213))</f>
        <v/>
      </c>
    </row>
    <row r="2214">
      <c r="A2214" s="15" t="n"/>
      <c r="B2214" s="10" t="n"/>
      <c r="C2214" s="10" t="n"/>
      <c r="D2214" s="10" t="n"/>
      <c r="E2214" s="14">
        <f>IF(D2214="","",IFERROR(INDEX('Sản phẩm'!$B$5:$B$304,MATCH(D2214,'Sản phẩm'!$A$5:$A$304,0)),""))</f>
        <v/>
      </c>
      <c r="F2214" s="12" t="n"/>
      <c r="G2214" s="11" t="n"/>
      <c r="H2214" s="11" t="n"/>
      <c r="I2214" s="16">
        <f>IF(D2214="","",IF(G2214&lt;&gt;"",G2214,IFERROR(INDEX('Sản phẩm'!$E$5:$E$304,MATCH(D2214,'Sản phẩm'!$A$5:$A$304,0)),"")))</f>
        <v/>
      </c>
      <c r="J2214" s="16">
        <f>IF(OR(D2214="",F2214=""),"",F2214*I2214-N(H2214))</f>
        <v/>
      </c>
      <c r="K2214" s="16">
        <f>IF(OR(D2214="",F2214=""),"",F2214*IFERROR(INDEX('Sản phẩm'!$D$5:$D$304,MATCH(D2214,'Sản phẩm'!$A$5:$A$304,0)),""))</f>
        <v/>
      </c>
      <c r="L2214" s="16">
        <f>IF(J2214="","",J2214-K2214)</f>
        <v/>
      </c>
      <c r="M2214" s="14">
        <f>IF(A2214="","",MONTH(A2214))</f>
        <v/>
      </c>
      <c r="N2214" s="14">
        <f>IF(A2214="","",YEAR(A2214))</f>
        <v/>
      </c>
    </row>
    <row r="2215">
      <c r="A2215" s="15" t="n"/>
      <c r="B2215" s="10" t="n"/>
      <c r="C2215" s="10" t="n"/>
      <c r="D2215" s="10" t="n"/>
      <c r="E2215" s="14">
        <f>IF(D2215="","",IFERROR(INDEX('Sản phẩm'!$B$5:$B$304,MATCH(D2215,'Sản phẩm'!$A$5:$A$304,0)),""))</f>
        <v/>
      </c>
      <c r="F2215" s="12" t="n"/>
      <c r="G2215" s="11" t="n"/>
      <c r="H2215" s="11" t="n"/>
      <c r="I2215" s="16">
        <f>IF(D2215="","",IF(G2215&lt;&gt;"",G2215,IFERROR(INDEX('Sản phẩm'!$E$5:$E$304,MATCH(D2215,'Sản phẩm'!$A$5:$A$304,0)),"")))</f>
        <v/>
      </c>
      <c r="J2215" s="16">
        <f>IF(OR(D2215="",F2215=""),"",F2215*I2215-N(H2215))</f>
        <v/>
      </c>
      <c r="K2215" s="16">
        <f>IF(OR(D2215="",F2215=""),"",F2215*IFERROR(INDEX('Sản phẩm'!$D$5:$D$304,MATCH(D2215,'Sản phẩm'!$A$5:$A$304,0)),""))</f>
        <v/>
      </c>
      <c r="L2215" s="16">
        <f>IF(J2215="","",J2215-K2215)</f>
        <v/>
      </c>
      <c r="M2215" s="14">
        <f>IF(A2215="","",MONTH(A2215))</f>
        <v/>
      </c>
      <c r="N2215" s="14">
        <f>IF(A2215="","",YEAR(A2215))</f>
        <v/>
      </c>
    </row>
    <row r="2216">
      <c r="A2216" s="15" t="n"/>
      <c r="B2216" s="10" t="n"/>
      <c r="C2216" s="10" t="n"/>
      <c r="D2216" s="10" t="n"/>
      <c r="E2216" s="14">
        <f>IF(D2216="","",IFERROR(INDEX('Sản phẩm'!$B$5:$B$304,MATCH(D2216,'Sản phẩm'!$A$5:$A$304,0)),""))</f>
        <v/>
      </c>
      <c r="F2216" s="12" t="n"/>
      <c r="G2216" s="11" t="n"/>
      <c r="H2216" s="11" t="n"/>
      <c r="I2216" s="16">
        <f>IF(D2216="","",IF(G2216&lt;&gt;"",G2216,IFERROR(INDEX('Sản phẩm'!$E$5:$E$304,MATCH(D2216,'Sản phẩm'!$A$5:$A$304,0)),"")))</f>
        <v/>
      </c>
      <c r="J2216" s="16">
        <f>IF(OR(D2216="",F2216=""),"",F2216*I2216-N(H2216))</f>
        <v/>
      </c>
      <c r="K2216" s="16">
        <f>IF(OR(D2216="",F2216=""),"",F2216*IFERROR(INDEX('Sản phẩm'!$D$5:$D$304,MATCH(D2216,'Sản phẩm'!$A$5:$A$304,0)),""))</f>
        <v/>
      </c>
      <c r="L2216" s="16">
        <f>IF(J2216="","",J2216-K2216)</f>
        <v/>
      </c>
      <c r="M2216" s="14">
        <f>IF(A2216="","",MONTH(A2216))</f>
        <v/>
      </c>
      <c r="N2216" s="14">
        <f>IF(A2216="","",YEAR(A2216))</f>
        <v/>
      </c>
    </row>
    <row r="2217">
      <c r="A2217" s="15" t="n"/>
      <c r="B2217" s="10" t="n"/>
      <c r="C2217" s="10" t="n"/>
      <c r="D2217" s="10" t="n"/>
      <c r="E2217" s="14">
        <f>IF(D2217="","",IFERROR(INDEX('Sản phẩm'!$B$5:$B$304,MATCH(D2217,'Sản phẩm'!$A$5:$A$304,0)),""))</f>
        <v/>
      </c>
      <c r="F2217" s="12" t="n"/>
      <c r="G2217" s="11" t="n"/>
      <c r="H2217" s="11" t="n"/>
      <c r="I2217" s="16">
        <f>IF(D2217="","",IF(G2217&lt;&gt;"",G2217,IFERROR(INDEX('Sản phẩm'!$E$5:$E$304,MATCH(D2217,'Sản phẩm'!$A$5:$A$304,0)),"")))</f>
        <v/>
      </c>
      <c r="J2217" s="16">
        <f>IF(OR(D2217="",F2217=""),"",F2217*I2217-N(H2217))</f>
        <v/>
      </c>
      <c r="K2217" s="16">
        <f>IF(OR(D2217="",F2217=""),"",F2217*IFERROR(INDEX('Sản phẩm'!$D$5:$D$304,MATCH(D2217,'Sản phẩm'!$A$5:$A$304,0)),""))</f>
        <v/>
      </c>
      <c r="L2217" s="16">
        <f>IF(J2217="","",J2217-K2217)</f>
        <v/>
      </c>
      <c r="M2217" s="14">
        <f>IF(A2217="","",MONTH(A2217))</f>
        <v/>
      </c>
      <c r="N2217" s="14">
        <f>IF(A2217="","",YEAR(A2217))</f>
        <v/>
      </c>
    </row>
    <row r="2218">
      <c r="A2218" s="15" t="n"/>
      <c r="B2218" s="10" t="n"/>
      <c r="C2218" s="10" t="n"/>
      <c r="D2218" s="10" t="n"/>
      <c r="E2218" s="14">
        <f>IF(D2218="","",IFERROR(INDEX('Sản phẩm'!$B$5:$B$304,MATCH(D2218,'Sản phẩm'!$A$5:$A$304,0)),""))</f>
        <v/>
      </c>
      <c r="F2218" s="12" t="n"/>
      <c r="G2218" s="11" t="n"/>
      <c r="H2218" s="11" t="n"/>
      <c r="I2218" s="16">
        <f>IF(D2218="","",IF(G2218&lt;&gt;"",G2218,IFERROR(INDEX('Sản phẩm'!$E$5:$E$304,MATCH(D2218,'Sản phẩm'!$A$5:$A$304,0)),"")))</f>
        <v/>
      </c>
      <c r="J2218" s="16">
        <f>IF(OR(D2218="",F2218=""),"",F2218*I2218-N(H2218))</f>
        <v/>
      </c>
      <c r="K2218" s="16">
        <f>IF(OR(D2218="",F2218=""),"",F2218*IFERROR(INDEX('Sản phẩm'!$D$5:$D$304,MATCH(D2218,'Sản phẩm'!$A$5:$A$304,0)),""))</f>
        <v/>
      </c>
      <c r="L2218" s="16">
        <f>IF(J2218="","",J2218-K2218)</f>
        <v/>
      </c>
      <c r="M2218" s="14">
        <f>IF(A2218="","",MONTH(A2218))</f>
        <v/>
      </c>
      <c r="N2218" s="14">
        <f>IF(A2218="","",YEAR(A2218))</f>
        <v/>
      </c>
    </row>
    <row r="2219">
      <c r="A2219" s="15" t="n"/>
      <c r="B2219" s="10" t="n"/>
      <c r="C2219" s="10" t="n"/>
      <c r="D2219" s="10" t="n"/>
      <c r="E2219" s="14">
        <f>IF(D2219="","",IFERROR(INDEX('Sản phẩm'!$B$5:$B$304,MATCH(D2219,'Sản phẩm'!$A$5:$A$304,0)),""))</f>
        <v/>
      </c>
      <c r="F2219" s="12" t="n"/>
      <c r="G2219" s="11" t="n"/>
      <c r="H2219" s="11" t="n"/>
      <c r="I2219" s="16">
        <f>IF(D2219="","",IF(G2219&lt;&gt;"",G2219,IFERROR(INDEX('Sản phẩm'!$E$5:$E$304,MATCH(D2219,'Sản phẩm'!$A$5:$A$304,0)),"")))</f>
        <v/>
      </c>
      <c r="J2219" s="16">
        <f>IF(OR(D2219="",F2219=""),"",F2219*I2219-N(H2219))</f>
        <v/>
      </c>
      <c r="K2219" s="16">
        <f>IF(OR(D2219="",F2219=""),"",F2219*IFERROR(INDEX('Sản phẩm'!$D$5:$D$304,MATCH(D2219,'Sản phẩm'!$A$5:$A$304,0)),""))</f>
        <v/>
      </c>
      <c r="L2219" s="16">
        <f>IF(J2219="","",J2219-K2219)</f>
        <v/>
      </c>
      <c r="M2219" s="14">
        <f>IF(A2219="","",MONTH(A2219))</f>
        <v/>
      </c>
      <c r="N2219" s="14">
        <f>IF(A2219="","",YEAR(A2219))</f>
        <v/>
      </c>
    </row>
    <row r="2220">
      <c r="A2220" s="15" t="n"/>
      <c r="B2220" s="10" t="n"/>
      <c r="C2220" s="10" t="n"/>
      <c r="D2220" s="10" t="n"/>
      <c r="E2220" s="14">
        <f>IF(D2220="","",IFERROR(INDEX('Sản phẩm'!$B$5:$B$304,MATCH(D2220,'Sản phẩm'!$A$5:$A$304,0)),""))</f>
        <v/>
      </c>
      <c r="F2220" s="12" t="n"/>
      <c r="G2220" s="11" t="n"/>
      <c r="H2220" s="11" t="n"/>
      <c r="I2220" s="16">
        <f>IF(D2220="","",IF(G2220&lt;&gt;"",G2220,IFERROR(INDEX('Sản phẩm'!$E$5:$E$304,MATCH(D2220,'Sản phẩm'!$A$5:$A$304,0)),"")))</f>
        <v/>
      </c>
      <c r="J2220" s="16">
        <f>IF(OR(D2220="",F2220=""),"",F2220*I2220-N(H2220))</f>
        <v/>
      </c>
      <c r="K2220" s="16">
        <f>IF(OR(D2220="",F2220=""),"",F2220*IFERROR(INDEX('Sản phẩm'!$D$5:$D$304,MATCH(D2220,'Sản phẩm'!$A$5:$A$304,0)),""))</f>
        <v/>
      </c>
      <c r="L2220" s="16">
        <f>IF(J2220="","",J2220-K2220)</f>
        <v/>
      </c>
      <c r="M2220" s="14">
        <f>IF(A2220="","",MONTH(A2220))</f>
        <v/>
      </c>
      <c r="N2220" s="14">
        <f>IF(A2220="","",YEAR(A2220))</f>
        <v/>
      </c>
    </row>
    <row r="2221">
      <c r="A2221" s="15" t="n"/>
      <c r="B2221" s="10" t="n"/>
      <c r="C2221" s="10" t="n"/>
      <c r="D2221" s="10" t="n"/>
      <c r="E2221" s="14">
        <f>IF(D2221="","",IFERROR(INDEX('Sản phẩm'!$B$5:$B$304,MATCH(D2221,'Sản phẩm'!$A$5:$A$304,0)),""))</f>
        <v/>
      </c>
      <c r="F2221" s="12" t="n"/>
      <c r="G2221" s="11" t="n"/>
      <c r="H2221" s="11" t="n"/>
      <c r="I2221" s="16">
        <f>IF(D2221="","",IF(G2221&lt;&gt;"",G2221,IFERROR(INDEX('Sản phẩm'!$E$5:$E$304,MATCH(D2221,'Sản phẩm'!$A$5:$A$304,0)),"")))</f>
        <v/>
      </c>
      <c r="J2221" s="16">
        <f>IF(OR(D2221="",F2221=""),"",F2221*I2221-N(H2221))</f>
        <v/>
      </c>
      <c r="K2221" s="16">
        <f>IF(OR(D2221="",F2221=""),"",F2221*IFERROR(INDEX('Sản phẩm'!$D$5:$D$304,MATCH(D2221,'Sản phẩm'!$A$5:$A$304,0)),""))</f>
        <v/>
      </c>
      <c r="L2221" s="16">
        <f>IF(J2221="","",J2221-K2221)</f>
        <v/>
      </c>
      <c r="M2221" s="14">
        <f>IF(A2221="","",MONTH(A2221))</f>
        <v/>
      </c>
      <c r="N2221" s="14">
        <f>IF(A2221="","",YEAR(A2221))</f>
        <v/>
      </c>
    </row>
    <row r="2222">
      <c r="A2222" s="15" t="n"/>
      <c r="B2222" s="10" t="n"/>
      <c r="C2222" s="10" t="n"/>
      <c r="D2222" s="10" t="n"/>
      <c r="E2222" s="14">
        <f>IF(D2222="","",IFERROR(INDEX('Sản phẩm'!$B$5:$B$304,MATCH(D2222,'Sản phẩm'!$A$5:$A$304,0)),""))</f>
        <v/>
      </c>
      <c r="F2222" s="12" t="n"/>
      <c r="G2222" s="11" t="n"/>
      <c r="H2222" s="11" t="n"/>
      <c r="I2222" s="16">
        <f>IF(D2222="","",IF(G2222&lt;&gt;"",G2222,IFERROR(INDEX('Sản phẩm'!$E$5:$E$304,MATCH(D2222,'Sản phẩm'!$A$5:$A$304,0)),"")))</f>
        <v/>
      </c>
      <c r="J2222" s="16">
        <f>IF(OR(D2222="",F2222=""),"",F2222*I2222-N(H2222))</f>
        <v/>
      </c>
      <c r="K2222" s="16">
        <f>IF(OR(D2222="",F2222=""),"",F2222*IFERROR(INDEX('Sản phẩm'!$D$5:$D$304,MATCH(D2222,'Sản phẩm'!$A$5:$A$304,0)),""))</f>
        <v/>
      </c>
      <c r="L2222" s="16">
        <f>IF(J2222="","",J2222-K2222)</f>
        <v/>
      </c>
      <c r="M2222" s="14">
        <f>IF(A2222="","",MONTH(A2222))</f>
        <v/>
      </c>
      <c r="N2222" s="14">
        <f>IF(A2222="","",YEAR(A2222))</f>
        <v/>
      </c>
    </row>
    <row r="2223">
      <c r="A2223" s="15" t="n"/>
      <c r="B2223" s="10" t="n"/>
      <c r="C2223" s="10" t="n"/>
      <c r="D2223" s="10" t="n"/>
      <c r="E2223" s="14">
        <f>IF(D2223="","",IFERROR(INDEX('Sản phẩm'!$B$5:$B$304,MATCH(D2223,'Sản phẩm'!$A$5:$A$304,0)),""))</f>
        <v/>
      </c>
      <c r="F2223" s="12" t="n"/>
      <c r="G2223" s="11" t="n"/>
      <c r="H2223" s="11" t="n"/>
      <c r="I2223" s="16">
        <f>IF(D2223="","",IF(G2223&lt;&gt;"",G2223,IFERROR(INDEX('Sản phẩm'!$E$5:$E$304,MATCH(D2223,'Sản phẩm'!$A$5:$A$304,0)),"")))</f>
        <v/>
      </c>
      <c r="J2223" s="16">
        <f>IF(OR(D2223="",F2223=""),"",F2223*I2223-N(H2223))</f>
        <v/>
      </c>
      <c r="K2223" s="16">
        <f>IF(OR(D2223="",F2223=""),"",F2223*IFERROR(INDEX('Sản phẩm'!$D$5:$D$304,MATCH(D2223,'Sản phẩm'!$A$5:$A$304,0)),""))</f>
        <v/>
      </c>
      <c r="L2223" s="16">
        <f>IF(J2223="","",J2223-K2223)</f>
        <v/>
      </c>
      <c r="M2223" s="14">
        <f>IF(A2223="","",MONTH(A2223))</f>
        <v/>
      </c>
      <c r="N2223" s="14">
        <f>IF(A2223="","",YEAR(A2223))</f>
        <v/>
      </c>
    </row>
    <row r="2224">
      <c r="A2224" s="15" t="n"/>
      <c r="B2224" s="10" t="n"/>
      <c r="C2224" s="10" t="n"/>
      <c r="D2224" s="10" t="n"/>
      <c r="E2224" s="14">
        <f>IF(D2224="","",IFERROR(INDEX('Sản phẩm'!$B$5:$B$304,MATCH(D2224,'Sản phẩm'!$A$5:$A$304,0)),""))</f>
        <v/>
      </c>
      <c r="F2224" s="12" t="n"/>
      <c r="G2224" s="11" t="n"/>
      <c r="H2224" s="11" t="n"/>
      <c r="I2224" s="16">
        <f>IF(D2224="","",IF(G2224&lt;&gt;"",G2224,IFERROR(INDEX('Sản phẩm'!$E$5:$E$304,MATCH(D2224,'Sản phẩm'!$A$5:$A$304,0)),"")))</f>
        <v/>
      </c>
      <c r="J2224" s="16">
        <f>IF(OR(D2224="",F2224=""),"",F2224*I2224-N(H2224))</f>
        <v/>
      </c>
      <c r="K2224" s="16">
        <f>IF(OR(D2224="",F2224=""),"",F2224*IFERROR(INDEX('Sản phẩm'!$D$5:$D$304,MATCH(D2224,'Sản phẩm'!$A$5:$A$304,0)),""))</f>
        <v/>
      </c>
      <c r="L2224" s="16">
        <f>IF(J2224="","",J2224-K2224)</f>
        <v/>
      </c>
      <c r="M2224" s="14">
        <f>IF(A2224="","",MONTH(A2224))</f>
        <v/>
      </c>
      <c r="N2224" s="14">
        <f>IF(A2224="","",YEAR(A2224))</f>
        <v/>
      </c>
    </row>
    <row r="2225">
      <c r="A2225" s="15" t="n"/>
      <c r="B2225" s="10" t="n"/>
      <c r="C2225" s="10" t="n"/>
      <c r="D2225" s="10" t="n"/>
      <c r="E2225" s="14">
        <f>IF(D2225="","",IFERROR(INDEX('Sản phẩm'!$B$5:$B$304,MATCH(D2225,'Sản phẩm'!$A$5:$A$304,0)),""))</f>
        <v/>
      </c>
      <c r="F2225" s="12" t="n"/>
      <c r="G2225" s="11" t="n"/>
      <c r="H2225" s="11" t="n"/>
      <c r="I2225" s="16">
        <f>IF(D2225="","",IF(G2225&lt;&gt;"",G2225,IFERROR(INDEX('Sản phẩm'!$E$5:$E$304,MATCH(D2225,'Sản phẩm'!$A$5:$A$304,0)),"")))</f>
        <v/>
      </c>
      <c r="J2225" s="16">
        <f>IF(OR(D2225="",F2225=""),"",F2225*I2225-N(H2225))</f>
        <v/>
      </c>
      <c r="K2225" s="16">
        <f>IF(OR(D2225="",F2225=""),"",F2225*IFERROR(INDEX('Sản phẩm'!$D$5:$D$304,MATCH(D2225,'Sản phẩm'!$A$5:$A$304,0)),""))</f>
        <v/>
      </c>
      <c r="L2225" s="16">
        <f>IF(J2225="","",J2225-K2225)</f>
        <v/>
      </c>
      <c r="M2225" s="14">
        <f>IF(A2225="","",MONTH(A2225))</f>
        <v/>
      </c>
      <c r="N2225" s="14">
        <f>IF(A2225="","",YEAR(A2225))</f>
        <v/>
      </c>
    </row>
    <row r="2226">
      <c r="A2226" s="15" t="n"/>
      <c r="B2226" s="10" t="n"/>
      <c r="C2226" s="10" t="n"/>
      <c r="D2226" s="10" t="n"/>
      <c r="E2226" s="14">
        <f>IF(D2226="","",IFERROR(INDEX('Sản phẩm'!$B$5:$B$304,MATCH(D2226,'Sản phẩm'!$A$5:$A$304,0)),""))</f>
        <v/>
      </c>
      <c r="F2226" s="12" t="n"/>
      <c r="G2226" s="11" t="n"/>
      <c r="H2226" s="11" t="n"/>
      <c r="I2226" s="16">
        <f>IF(D2226="","",IF(G2226&lt;&gt;"",G2226,IFERROR(INDEX('Sản phẩm'!$E$5:$E$304,MATCH(D2226,'Sản phẩm'!$A$5:$A$304,0)),"")))</f>
        <v/>
      </c>
      <c r="J2226" s="16">
        <f>IF(OR(D2226="",F2226=""),"",F2226*I2226-N(H2226))</f>
        <v/>
      </c>
      <c r="K2226" s="16">
        <f>IF(OR(D2226="",F2226=""),"",F2226*IFERROR(INDEX('Sản phẩm'!$D$5:$D$304,MATCH(D2226,'Sản phẩm'!$A$5:$A$304,0)),""))</f>
        <v/>
      </c>
      <c r="L2226" s="16">
        <f>IF(J2226="","",J2226-K2226)</f>
        <v/>
      </c>
      <c r="M2226" s="14">
        <f>IF(A2226="","",MONTH(A2226))</f>
        <v/>
      </c>
      <c r="N2226" s="14">
        <f>IF(A2226="","",YEAR(A2226))</f>
        <v/>
      </c>
    </row>
    <row r="2227">
      <c r="A2227" s="15" t="n"/>
      <c r="B2227" s="10" t="n"/>
      <c r="C2227" s="10" t="n"/>
      <c r="D2227" s="10" t="n"/>
      <c r="E2227" s="14">
        <f>IF(D2227="","",IFERROR(INDEX('Sản phẩm'!$B$5:$B$304,MATCH(D2227,'Sản phẩm'!$A$5:$A$304,0)),""))</f>
        <v/>
      </c>
      <c r="F2227" s="12" t="n"/>
      <c r="G2227" s="11" t="n"/>
      <c r="H2227" s="11" t="n"/>
      <c r="I2227" s="16">
        <f>IF(D2227="","",IF(G2227&lt;&gt;"",G2227,IFERROR(INDEX('Sản phẩm'!$E$5:$E$304,MATCH(D2227,'Sản phẩm'!$A$5:$A$304,0)),"")))</f>
        <v/>
      </c>
      <c r="J2227" s="16">
        <f>IF(OR(D2227="",F2227=""),"",F2227*I2227-N(H2227))</f>
        <v/>
      </c>
      <c r="K2227" s="16">
        <f>IF(OR(D2227="",F2227=""),"",F2227*IFERROR(INDEX('Sản phẩm'!$D$5:$D$304,MATCH(D2227,'Sản phẩm'!$A$5:$A$304,0)),""))</f>
        <v/>
      </c>
      <c r="L2227" s="16">
        <f>IF(J2227="","",J2227-K2227)</f>
        <v/>
      </c>
      <c r="M2227" s="14">
        <f>IF(A2227="","",MONTH(A2227))</f>
        <v/>
      </c>
      <c r="N2227" s="14">
        <f>IF(A2227="","",YEAR(A2227))</f>
        <v/>
      </c>
    </row>
    <row r="2228">
      <c r="A2228" s="15" t="n"/>
      <c r="B2228" s="10" t="n"/>
      <c r="C2228" s="10" t="n"/>
      <c r="D2228" s="10" t="n"/>
      <c r="E2228" s="14">
        <f>IF(D2228="","",IFERROR(INDEX('Sản phẩm'!$B$5:$B$304,MATCH(D2228,'Sản phẩm'!$A$5:$A$304,0)),""))</f>
        <v/>
      </c>
      <c r="F2228" s="12" t="n"/>
      <c r="G2228" s="11" t="n"/>
      <c r="H2228" s="11" t="n"/>
      <c r="I2228" s="16">
        <f>IF(D2228="","",IF(G2228&lt;&gt;"",G2228,IFERROR(INDEX('Sản phẩm'!$E$5:$E$304,MATCH(D2228,'Sản phẩm'!$A$5:$A$304,0)),"")))</f>
        <v/>
      </c>
      <c r="J2228" s="16">
        <f>IF(OR(D2228="",F2228=""),"",F2228*I2228-N(H2228))</f>
        <v/>
      </c>
      <c r="K2228" s="16">
        <f>IF(OR(D2228="",F2228=""),"",F2228*IFERROR(INDEX('Sản phẩm'!$D$5:$D$304,MATCH(D2228,'Sản phẩm'!$A$5:$A$304,0)),""))</f>
        <v/>
      </c>
      <c r="L2228" s="16">
        <f>IF(J2228="","",J2228-K2228)</f>
        <v/>
      </c>
      <c r="M2228" s="14">
        <f>IF(A2228="","",MONTH(A2228))</f>
        <v/>
      </c>
      <c r="N2228" s="14">
        <f>IF(A2228="","",YEAR(A2228))</f>
        <v/>
      </c>
    </row>
    <row r="2229">
      <c r="A2229" s="15" t="n"/>
      <c r="B2229" s="10" t="n"/>
      <c r="C2229" s="10" t="n"/>
      <c r="D2229" s="10" t="n"/>
      <c r="E2229" s="14">
        <f>IF(D2229="","",IFERROR(INDEX('Sản phẩm'!$B$5:$B$304,MATCH(D2229,'Sản phẩm'!$A$5:$A$304,0)),""))</f>
        <v/>
      </c>
      <c r="F2229" s="12" t="n"/>
      <c r="G2229" s="11" t="n"/>
      <c r="H2229" s="11" t="n"/>
      <c r="I2229" s="16">
        <f>IF(D2229="","",IF(G2229&lt;&gt;"",G2229,IFERROR(INDEX('Sản phẩm'!$E$5:$E$304,MATCH(D2229,'Sản phẩm'!$A$5:$A$304,0)),"")))</f>
        <v/>
      </c>
      <c r="J2229" s="16">
        <f>IF(OR(D2229="",F2229=""),"",F2229*I2229-N(H2229))</f>
        <v/>
      </c>
      <c r="K2229" s="16">
        <f>IF(OR(D2229="",F2229=""),"",F2229*IFERROR(INDEX('Sản phẩm'!$D$5:$D$304,MATCH(D2229,'Sản phẩm'!$A$5:$A$304,0)),""))</f>
        <v/>
      </c>
      <c r="L2229" s="16">
        <f>IF(J2229="","",J2229-K2229)</f>
        <v/>
      </c>
      <c r="M2229" s="14">
        <f>IF(A2229="","",MONTH(A2229))</f>
        <v/>
      </c>
      <c r="N2229" s="14">
        <f>IF(A2229="","",YEAR(A2229))</f>
        <v/>
      </c>
    </row>
    <row r="2230">
      <c r="A2230" s="15" t="n"/>
      <c r="B2230" s="10" t="n"/>
      <c r="C2230" s="10" t="n"/>
      <c r="D2230" s="10" t="n"/>
      <c r="E2230" s="14">
        <f>IF(D2230="","",IFERROR(INDEX('Sản phẩm'!$B$5:$B$304,MATCH(D2230,'Sản phẩm'!$A$5:$A$304,0)),""))</f>
        <v/>
      </c>
      <c r="F2230" s="12" t="n"/>
      <c r="G2230" s="11" t="n"/>
      <c r="H2230" s="11" t="n"/>
      <c r="I2230" s="16">
        <f>IF(D2230="","",IF(G2230&lt;&gt;"",G2230,IFERROR(INDEX('Sản phẩm'!$E$5:$E$304,MATCH(D2230,'Sản phẩm'!$A$5:$A$304,0)),"")))</f>
        <v/>
      </c>
      <c r="J2230" s="16">
        <f>IF(OR(D2230="",F2230=""),"",F2230*I2230-N(H2230))</f>
        <v/>
      </c>
      <c r="K2230" s="16">
        <f>IF(OR(D2230="",F2230=""),"",F2230*IFERROR(INDEX('Sản phẩm'!$D$5:$D$304,MATCH(D2230,'Sản phẩm'!$A$5:$A$304,0)),""))</f>
        <v/>
      </c>
      <c r="L2230" s="16">
        <f>IF(J2230="","",J2230-K2230)</f>
        <v/>
      </c>
      <c r="M2230" s="14">
        <f>IF(A2230="","",MONTH(A2230))</f>
        <v/>
      </c>
      <c r="N2230" s="14">
        <f>IF(A2230="","",YEAR(A2230))</f>
        <v/>
      </c>
    </row>
    <row r="2231">
      <c r="A2231" s="15" t="n"/>
      <c r="B2231" s="10" t="n"/>
      <c r="C2231" s="10" t="n"/>
      <c r="D2231" s="10" t="n"/>
      <c r="E2231" s="14">
        <f>IF(D2231="","",IFERROR(INDEX('Sản phẩm'!$B$5:$B$304,MATCH(D2231,'Sản phẩm'!$A$5:$A$304,0)),""))</f>
        <v/>
      </c>
      <c r="F2231" s="12" t="n"/>
      <c r="G2231" s="11" t="n"/>
      <c r="H2231" s="11" t="n"/>
      <c r="I2231" s="16">
        <f>IF(D2231="","",IF(G2231&lt;&gt;"",G2231,IFERROR(INDEX('Sản phẩm'!$E$5:$E$304,MATCH(D2231,'Sản phẩm'!$A$5:$A$304,0)),"")))</f>
        <v/>
      </c>
      <c r="J2231" s="16">
        <f>IF(OR(D2231="",F2231=""),"",F2231*I2231-N(H2231))</f>
        <v/>
      </c>
      <c r="K2231" s="16">
        <f>IF(OR(D2231="",F2231=""),"",F2231*IFERROR(INDEX('Sản phẩm'!$D$5:$D$304,MATCH(D2231,'Sản phẩm'!$A$5:$A$304,0)),""))</f>
        <v/>
      </c>
      <c r="L2231" s="16">
        <f>IF(J2231="","",J2231-K2231)</f>
        <v/>
      </c>
      <c r="M2231" s="14">
        <f>IF(A2231="","",MONTH(A2231))</f>
        <v/>
      </c>
      <c r="N2231" s="14">
        <f>IF(A2231="","",YEAR(A2231))</f>
        <v/>
      </c>
    </row>
    <row r="2232">
      <c r="A2232" s="15" t="n"/>
      <c r="B2232" s="10" t="n"/>
      <c r="C2232" s="10" t="n"/>
      <c r="D2232" s="10" t="n"/>
      <c r="E2232" s="14">
        <f>IF(D2232="","",IFERROR(INDEX('Sản phẩm'!$B$5:$B$304,MATCH(D2232,'Sản phẩm'!$A$5:$A$304,0)),""))</f>
        <v/>
      </c>
      <c r="F2232" s="12" t="n"/>
      <c r="G2232" s="11" t="n"/>
      <c r="H2232" s="11" t="n"/>
      <c r="I2232" s="16">
        <f>IF(D2232="","",IF(G2232&lt;&gt;"",G2232,IFERROR(INDEX('Sản phẩm'!$E$5:$E$304,MATCH(D2232,'Sản phẩm'!$A$5:$A$304,0)),"")))</f>
        <v/>
      </c>
      <c r="J2232" s="16">
        <f>IF(OR(D2232="",F2232=""),"",F2232*I2232-N(H2232))</f>
        <v/>
      </c>
      <c r="K2232" s="16">
        <f>IF(OR(D2232="",F2232=""),"",F2232*IFERROR(INDEX('Sản phẩm'!$D$5:$D$304,MATCH(D2232,'Sản phẩm'!$A$5:$A$304,0)),""))</f>
        <v/>
      </c>
      <c r="L2232" s="16">
        <f>IF(J2232="","",J2232-K2232)</f>
        <v/>
      </c>
      <c r="M2232" s="14">
        <f>IF(A2232="","",MONTH(A2232))</f>
        <v/>
      </c>
      <c r="N2232" s="14">
        <f>IF(A2232="","",YEAR(A2232))</f>
        <v/>
      </c>
    </row>
    <row r="2233">
      <c r="A2233" s="15" t="n"/>
      <c r="B2233" s="10" t="n"/>
      <c r="C2233" s="10" t="n"/>
      <c r="D2233" s="10" t="n"/>
      <c r="E2233" s="14">
        <f>IF(D2233="","",IFERROR(INDEX('Sản phẩm'!$B$5:$B$304,MATCH(D2233,'Sản phẩm'!$A$5:$A$304,0)),""))</f>
        <v/>
      </c>
      <c r="F2233" s="12" t="n"/>
      <c r="G2233" s="11" t="n"/>
      <c r="H2233" s="11" t="n"/>
      <c r="I2233" s="16">
        <f>IF(D2233="","",IF(G2233&lt;&gt;"",G2233,IFERROR(INDEX('Sản phẩm'!$E$5:$E$304,MATCH(D2233,'Sản phẩm'!$A$5:$A$304,0)),"")))</f>
        <v/>
      </c>
      <c r="J2233" s="16">
        <f>IF(OR(D2233="",F2233=""),"",F2233*I2233-N(H2233))</f>
        <v/>
      </c>
      <c r="K2233" s="16">
        <f>IF(OR(D2233="",F2233=""),"",F2233*IFERROR(INDEX('Sản phẩm'!$D$5:$D$304,MATCH(D2233,'Sản phẩm'!$A$5:$A$304,0)),""))</f>
        <v/>
      </c>
      <c r="L2233" s="16">
        <f>IF(J2233="","",J2233-K2233)</f>
        <v/>
      </c>
      <c r="M2233" s="14">
        <f>IF(A2233="","",MONTH(A2233))</f>
        <v/>
      </c>
      <c r="N2233" s="14">
        <f>IF(A2233="","",YEAR(A2233))</f>
        <v/>
      </c>
    </row>
    <row r="2234">
      <c r="A2234" s="15" t="n"/>
      <c r="B2234" s="10" t="n"/>
      <c r="C2234" s="10" t="n"/>
      <c r="D2234" s="10" t="n"/>
      <c r="E2234" s="14">
        <f>IF(D2234="","",IFERROR(INDEX('Sản phẩm'!$B$5:$B$304,MATCH(D2234,'Sản phẩm'!$A$5:$A$304,0)),""))</f>
        <v/>
      </c>
      <c r="F2234" s="12" t="n"/>
      <c r="G2234" s="11" t="n"/>
      <c r="H2234" s="11" t="n"/>
      <c r="I2234" s="16">
        <f>IF(D2234="","",IF(G2234&lt;&gt;"",G2234,IFERROR(INDEX('Sản phẩm'!$E$5:$E$304,MATCH(D2234,'Sản phẩm'!$A$5:$A$304,0)),"")))</f>
        <v/>
      </c>
      <c r="J2234" s="16">
        <f>IF(OR(D2234="",F2234=""),"",F2234*I2234-N(H2234))</f>
        <v/>
      </c>
      <c r="K2234" s="16">
        <f>IF(OR(D2234="",F2234=""),"",F2234*IFERROR(INDEX('Sản phẩm'!$D$5:$D$304,MATCH(D2234,'Sản phẩm'!$A$5:$A$304,0)),""))</f>
        <v/>
      </c>
      <c r="L2234" s="16">
        <f>IF(J2234="","",J2234-K2234)</f>
        <v/>
      </c>
      <c r="M2234" s="14">
        <f>IF(A2234="","",MONTH(A2234))</f>
        <v/>
      </c>
      <c r="N2234" s="14">
        <f>IF(A2234="","",YEAR(A2234))</f>
        <v/>
      </c>
    </row>
    <row r="2235">
      <c r="A2235" s="15" t="n"/>
      <c r="B2235" s="10" t="n"/>
      <c r="C2235" s="10" t="n"/>
      <c r="D2235" s="10" t="n"/>
      <c r="E2235" s="14">
        <f>IF(D2235="","",IFERROR(INDEX('Sản phẩm'!$B$5:$B$304,MATCH(D2235,'Sản phẩm'!$A$5:$A$304,0)),""))</f>
        <v/>
      </c>
      <c r="F2235" s="12" t="n"/>
      <c r="G2235" s="11" t="n"/>
      <c r="H2235" s="11" t="n"/>
      <c r="I2235" s="16">
        <f>IF(D2235="","",IF(G2235&lt;&gt;"",G2235,IFERROR(INDEX('Sản phẩm'!$E$5:$E$304,MATCH(D2235,'Sản phẩm'!$A$5:$A$304,0)),"")))</f>
        <v/>
      </c>
      <c r="J2235" s="16">
        <f>IF(OR(D2235="",F2235=""),"",F2235*I2235-N(H2235))</f>
        <v/>
      </c>
      <c r="K2235" s="16">
        <f>IF(OR(D2235="",F2235=""),"",F2235*IFERROR(INDEX('Sản phẩm'!$D$5:$D$304,MATCH(D2235,'Sản phẩm'!$A$5:$A$304,0)),""))</f>
        <v/>
      </c>
      <c r="L2235" s="16">
        <f>IF(J2235="","",J2235-K2235)</f>
        <v/>
      </c>
      <c r="M2235" s="14">
        <f>IF(A2235="","",MONTH(A2235))</f>
        <v/>
      </c>
      <c r="N2235" s="14">
        <f>IF(A2235="","",YEAR(A2235))</f>
        <v/>
      </c>
    </row>
    <row r="2236">
      <c r="A2236" s="15" t="n"/>
      <c r="B2236" s="10" t="n"/>
      <c r="C2236" s="10" t="n"/>
      <c r="D2236" s="10" t="n"/>
      <c r="E2236" s="14">
        <f>IF(D2236="","",IFERROR(INDEX('Sản phẩm'!$B$5:$B$304,MATCH(D2236,'Sản phẩm'!$A$5:$A$304,0)),""))</f>
        <v/>
      </c>
      <c r="F2236" s="12" t="n"/>
      <c r="G2236" s="11" t="n"/>
      <c r="H2236" s="11" t="n"/>
      <c r="I2236" s="16">
        <f>IF(D2236="","",IF(G2236&lt;&gt;"",G2236,IFERROR(INDEX('Sản phẩm'!$E$5:$E$304,MATCH(D2236,'Sản phẩm'!$A$5:$A$304,0)),"")))</f>
        <v/>
      </c>
      <c r="J2236" s="16">
        <f>IF(OR(D2236="",F2236=""),"",F2236*I2236-N(H2236))</f>
        <v/>
      </c>
      <c r="K2236" s="16">
        <f>IF(OR(D2236="",F2236=""),"",F2236*IFERROR(INDEX('Sản phẩm'!$D$5:$D$304,MATCH(D2236,'Sản phẩm'!$A$5:$A$304,0)),""))</f>
        <v/>
      </c>
      <c r="L2236" s="16">
        <f>IF(J2236="","",J2236-K2236)</f>
        <v/>
      </c>
      <c r="M2236" s="14">
        <f>IF(A2236="","",MONTH(A2236))</f>
        <v/>
      </c>
      <c r="N2236" s="14">
        <f>IF(A2236="","",YEAR(A2236))</f>
        <v/>
      </c>
    </row>
    <row r="2237">
      <c r="A2237" s="15" t="n"/>
      <c r="B2237" s="10" t="n"/>
      <c r="C2237" s="10" t="n"/>
      <c r="D2237" s="10" t="n"/>
      <c r="E2237" s="14">
        <f>IF(D2237="","",IFERROR(INDEX('Sản phẩm'!$B$5:$B$304,MATCH(D2237,'Sản phẩm'!$A$5:$A$304,0)),""))</f>
        <v/>
      </c>
      <c r="F2237" s="12" t="n"/>
      <c r="G2237" s="11" t="n"/>
      <c r="H2237" s="11" t="n"/>
      <c r="I2237" s="16">
        <f>IF(D2237="","",IF(G2237&lt;&gt;"",G2237,IFERROR(INDEX('Sản phẩm'!$E$5:$E$304,MATCH(D2237,'Sản phẩm'!$A$5:$A$304,0)),"")))</f>
        <v/>
      </c>
      <c r="J2237" s="16">
        <f>IF(OR(D2237="",F2237=""),"",F2237*I2237-N(H2237))</f>
        <v/>
      </c>
      <c r="K2237" s="16">
        <f>IF(OR(D2237="",F2237=""),"",F2237*IFERROR(INDEX('Sản phẩm'!$D$5:$D$304,MATCH(D2237,'Sản phẩm'!$A$5:$A$304,0)),""))</f>
        <v/>
      </c>
      <c r="L2237" s="16">
        <f>IF(J2237="","",J2237-K2237)</f>
        <v/>
      </c>
      <c r="M2237" s="14">
        <f>IF(A2237="","",MONTH(A2237))</f>
        <v/>
      </c>
      <c r="N2237" s="14">
        <f>IF(A2237="","",YEAR(A2237))</f>
        <v/>
      </c>
    </row>
    <row r="2238">
      <c r="A2238" s="15" t="n"/>
      <c r="B2238" s="10" t="n"/>
      <c r="C2238" s="10" t="n"/>
      <c r="D2238" s="10" t="n"/>
      <c r="E2238" s="14">
        <f>IF(D2238="","",IFERROR(INDEX('Sản phẩm'!$B$5:$B$304,MATCH(D2238,'Sản phẩm'!$A$5:$A$304,0)),""))</f>
        <v/>
      </c>
      <c r="F2238" s="12" t="n"/>
      <c r="G2238" s="11" t="n"/>
      <c r="H2238" s="11" t="n"/>
      <c r="I2238" s="16">
        <f>IF(D2238="","",IF(G2238&lt;&gt;"",G2238,IFERROR(INDEX('Sản phẩm'!$E$5:$E$304,MATCH(D2238,'Sản phẩm'!$A$5:$A$304,0)),"")))</f>
        <v/>
      </c>
      <c r="J2238" s="16">
        <f>IF(OR(D2238="",F2238=""),"",F2238*I2238-N(H2238))</f>
        <v/>
      </c>
      <c r="K2238" s="16">
        <f>IF(OR(D2238="",F2238=""),"",F2238*IFERROR(INDEX('Sản phẩm'!$D$5:$D$304,MATCH(D2238,'Sản phẩm'!$A$5:$A$304,0)),""))</f>
        <v/>
      </c>
      <c r="L2238" s="16">
        <f>IF(J2238="","",J2238-K2238)</f>
        <v/>
      </c>
      <c r="M2238" s="14">
        <f>IF(A2238="","",MONTH(A2238))</f>
        <v/>
      </c>
      <c r="N2238" s="14">
        <f>IF(A2238="","",YEAR(A2238))</f>
        <v/>
      </c>
    </row>
    <row r="2239">
      <c r="A2239" s="15" t="n"/>
      <c r="B2239" s="10" t="n"/>
      <c r="C2239" s="10" t="n"/>
      <c r="D2239" s="10" t="n"/>
      <c r="E2239" s="14">
        <f>IF(D2239="","",IFERROR(INDEX('Sản phẩm'!$B$5:$B$304,MATCH(D2239,'Sản phẩm'!$A$5:$A$304,0)),""))</f>
        <v/>
      </c>
      <c r="F2239" s="12" t="n"/>
      <c r="G2239" s="11" t="n"/>
      <c r="H2239" s="11" t="n"/>
      <c r="I2239" s="16">
        <f>IF(D2239="","",IF(G2239&lt;&gt;"",G2239,IFERROR(INDEX('Sản phẩm'!$E$5:$E$304,MATCH(D2239,'Sản phẩm'!$A$5:$A$304,0)),"")))</f>
        <v/>
      </c>
      <c r="J2239" s="16">
        <f>IF(OR(D2239="",F2239=""),"",F2239*I2239-N(H2239))</f>
        <v/>
      </c>
      <c r="K2239" s="16">
        <f>IF(OR(D2239="",F2239=""),"",F2239*IFERROR(INDEX('Sản phẩm'!$D$5:$D$304,MATCH(D2239,'Sản phẩm'!$A$5:$A$304,0)),""))</f>
        <v/>
      </c>
      <c r="L2239" s="16">
        <f>IF(J2239="","",J2239-K2239)</f>
        <v/>
      </c>
      <c r="M2239" s="14">
        <f>IF(A2239="","",MONTH(A2239))</f>
        <v/>
      </c>
      <c r="N2239" s="14">
        <f>IF(A2239="","",YEAR(A2239))</f>
        <v/>
      </c>
    </row>
    <row r="2240">
      <c r="A2240" s="15" t="n"/>
      <c r="B2240" s="10" t="n"/>
      <c r="C2240" s="10" t="n"/>
      <c r="D2240" s="10" t="n"/>
      <c r="E2240" s="14">
        <f>IF(D2240="","",IFERROR(INDEX('Sản phẩm'!$B$5:$B$304,MATCH(D2240,'Sản phẩm'!$A$5:$A$304,0)),""))</f>
        <v/>
      </c>
      <c r="F2240" s="12" t="n"/>
      <c r="G2240" s="11" t="n"/>
      <c r="H2240" s="11" t="n"/>
      <c r="I2240" s="16">
        <f>IF(D2240="","",IF(G2240&lt;&gt;"",G2240,IFERROR(INDEX('Sản phẩm'!$E$5:$E$304,MATCH(D2240,'Sản phẩm'!$A$5:$A$304,0)),"")))</f>
        <v/>
      </c>
      <c r="J2240" s="16">
        <f>IF(OR(D2240="",F2240=""),"",F2240*I2240-N(H2240))</f>
        <v/>
      </c>
      <c r="K2240" s="16">
        <f>IF(OR(D2240="",F2240=""),"",F2240*IFERROR(INDEX('Sản phẩm'!$D$5:$D$304,MATCH(D2240,'Sản phẩm'!$A$5:$A$304,0)),""))</f>
        <v/>
      </c>
      <c r="L2240" s="16">
        <f>IF(J2240="","",J2240-K2240)</f>
        <v/>
      </c>
      <c r="M2240" s="14">
        <f>IF(A2240="","",MONTH(A2240))</f>
        <v/>
      </c>
      <c r="N2240" s="14">
        <f>IF(A2240="","",YEAR(A2240))</f>
        <v/>
      </c>
    </row>
    <row r="2241">
      <c r="A2241" s="15" t="n"/>
      <c r="B2241" s="10" t="n"/>
      <c r="C2241" s="10" t="n"/>
      <c r="D2241" s="10" t="n"/>
      <c r="E2241" s="14">
        <f>IF(D2241="","",IFERROR(INDEX('Sản phẩm'!$B$5:$B$304,MATCH(D2241,'Sản phẩm'!$A$5:$A$304,0)),""))</f>
        <v/>
      </c>
      <c r="F2241" s="12" t="n"/>
      <c r="G2241" s="11" t="n"/>
      <c r="H2241" s="11" t="n"/>
      <c r="I2241" s="16">
        <f>IF(D2241="","",IF(G2241&lt;&gt;"",G2241,IFERROR(INDEX('Sản phẩm'!$E$5:$E$304,MATCH(D2241,'Sản phẩm'!$A$5:$A$304,0)),"")))</f>
        <v/>
      </c>
      <c r="J2241" s="16">
        <f>IF(OR(D2241="",F2241=""),"",F2241*I2241-N(H2241))</f>
        <v/>
      </c>
      <c r="K2241" s="16">
        <f>IF(OR(D2241="",F2241=""),"",F2241*IFERROR(INDEX('Sản phẩm'!$D$5:$D$304,MATCH(D2241,'Sản phẩm'!$A$5:$A$304,0)),""))</f>
        <v/>
      </c>
      <c r="L2241" s="16">
        <f>IF(J2241="","",J2241-K2241)</f>
        <v/>
      </c>
      <c r="M2241" s="14">
        <f>IF(A2241="","",MONTH(A2241))</f>
        <v/>
      </c>
      <c r="N2241" s="14">
        <f>IF(A2241="","",YEAR(A2241))</f>
        <v/>
      </c>
    </row>
    <row r="2242">
      <c r="A2242" s="15" t="n"/>
      <c r="B2242" s="10" t="n"/>
      <c r="C2242" s="10" t="n"/>
      <c r="D2242" s="10" t="n"/>
      <c r="E2242" s="14">
        <f>IF(D2242="","",IFERROR(INDEX('Sản phẩm'!$B$5:$B$304,MATCH(D2242,'Sản phẩm'!$A$5:$A$304,0)),""))</f>
        <v/>
      </c>
      <c r="F2242" s="12" t="n"/>
      <c r="G2242" s="11" t="n"/>
      <c r="H2242" s="11" t="n"/>
      <c r="I2242" s="16">
        <f>IF(D2242="","",IF(G2242&lt;&gt;"",G2242,IFERROR(INDEX('Sản phẩm'!$E$5:$E$304,MATCH(D2242,'Sản phẩm'!$A$5:$A$304,0)),"")))</f>
        <v/>
      </c>
      <c r="J2242" s="16">
        <f>IF(OR(D2242="",F2242=""),"",F2242*I2242-N(H2242))</f>
        <v/>
      </c>
      <c r="K2242" s="16">
        <f>IF(OR(D2242="",F2242=""),"",F2242*IFERROR(INDEX('Sản phẩm'!$D$5:$D$304,MATCH(D2242,'Sản phẩm'!$A$5:$A$304,0)),""))</f>
        <v/>
      </c>
      <c r="L2242" s="16">
        <f>IF(J2242="","",J2242-K2242)</f>
        <v/>
      </c>
      <c r="M2242" s="14">
        <f>IF(A2242="","",MONTH(A2242))</f>
        <v/>
      </c>
      <c r="N2242" s="14">
        <f>IF(A2242="","",YEAR(A2242))</f>
        <v/>
      </c>
    </row>
    <row r="2243">
      <c r="A2243" s="15" t="n"/>
      <c r="B2243" s="10" t="n"/>
      <c r="C2243" s="10" t="n"/>
      <c r="D2243" s="10" t="n"/>
      <c r="E2243" s="14">
        <f>IF(D2243="","",IFERROR(INDEX('Sản phẩm'!$B$5:$B$304,MATCH(D2243,'Sản phẩm'!$A$5:$A$304,0)),""))</f>
        <v/>
      </c>
      <c r="F2243" s="12" t="n"/>
      <c r="G2243" s="11" t="n"/>
      <c r="H2243" s="11" t="n"/>
      <c r="I2243" s="16">
        <f>IF(D2243="","",IF(G2243&lt;&gt;"",G2243,IFERROR(INDEX('Sản phẩm'!$E$5:$E$304,MATCH(D2243,'Sản phẩm'!$A$5:$A$304,0)),"")))</f>
        <v/>
      </c>
      <c r="J2243" s="16">
        <f>IF(OR(D2243="",F2243=""),"",F2243*I2243-N(H2243))</f>
        <v/>
      </c>
      <c r="K2243" s="16">
        <f>IF(OR(D2243="",F2243=""),"",F2243*IFERROR(INDEX('Sản phẩm'!$D$5:$D$304,MATCH(D2243,'Sản phẩm'!$A$5:$A$304,0)),""))</f>
        <v/>
      </c>
      <c r="L2243" s="16">
        <f>IF(J2243="","",J2243-K2243)</f>
        <v/>
      </c>
      <c r="M2243" s="14">
        <f>IF(A2243="","",MONTH(A2243))</f>
        <v/>
      </c>
      <c r="N2243" s="14">
        <f>IF(A2243="","",YEAR(A2243))</f>
        <v/>
      </c>
    </row>
    <row r="2244">
      <c r="A2244" s="15" t="n"/>
      <c r="B2244" s="10" t="n"/>
      <c r="C2244" s="10" t="n"/>
      <c r="D2244" s="10" t="n"/>
      <c r="E2244" s="14">
        <f>IF(D2244="","",IFERROR(INDEX('Sản phẩm'!$B$5:$B$304,MATCH(D2244,'Sản phẩm'!$A$5:$A$304,0)),""))</f>
        <v/>
      </c>
      <c r="F2244" s="12" t="n"/>
      <c r="G2244" s="11" t="n"/>
      <c r="H2244" s="11" t="n"/>
      <c r="I2244" s="16">
        <f>IF(D2244="","",IF(G2244&lt;&gt;"",G2244,IFERROR(INDEX('Sản phẩm'!$E$5:$E$304,MATCH(D2244,'Sản phẩm'!$A$5:$A$304,0)),"")))</f>
        <v/>
      </c>
      <c r="J2244" s="16">
        <f>IF(OR(D2244="",F2244=""),"",F2244*I2244-N(H2244))</f>
        <v/>
      </c>
      <c r="K2244" s="16">
        <f>IF(OR(D2244="",F2244=""),"",F2244*IFERROR(INDEX('Sản phẩm'!$D$5:$D$304,MATCH(D2244,'Sản phẩm'!$A$5:$A$304,0)),""))</f>
        <v/>
      </c>
      <c r="L2244" s="16">
        <f>IF(J2244="","",J2244-K2244)</f>
        <v/>
      </c>
      <c r="M2244" s="14">
        <f>IF(A2244="","",MONTH(A2244))</f>
        <v/>
      </c>
      <c r="N2244" s="14">
        <f>IF(A2244="","",YEAR(A2244))</f>
        <v/>
      </c>
    </row>
    <row r="2245">
      <c r="A2245" s="15" t="n"/>
      <c r="B2245" s="10" t="n"/>
      <c r="C2245" s="10" t="n"/>
      <c r="D2245" s="10" t="n"/>
      <c r="E2245" s="14">
        <f>IF(D2245="","",IFERROR(INDEX('Sản phẩm'!$B$5:$B$304,MATCH(D2245,'Sản phẩm'!$A$5:$A$304,0)),""))</f>
        <v/>
      </c>
      <c r="F2245" s="12" t="n"/>
      <c r="G2245" s="11" t="n"/>
      <c r="H2245" s="11" t="n"/>
      <c r="I2245" s="16">
        <f>IF(D2245="","",IF(G2245&lt;&gt;"",G2245,IFERROR(INDEX('Sản phẩm'!$E$5:$E$304,MATCH(D2245,'Sản phẩm'!$A$5:$A$304,0)),"")))</f>
        <v/>
      </c>
      <c r="J2245" s="16">
        <f>IF(OR(D2245="",F2245=""),"",F2245*I2245-N(H2245))</f>
        <v/>
      </c>
      <c r="K2245" s="16">
        <f>IF(OR(D2245="",F2245=""),"",F2245*IFERROR(INDEX('Sản phẩm'!$D$5:$D$304,MATCH(D2245,'Sản phẩm'!$A$5:$A$304,0)),""))</f>
        <v/>
      </c>
      <c r="L2245" s="16">
        <f>IF(J2245="","",J2245-K2245)</f>
        <v/>
      </c>
      <c r="M2245" s="14">
        <f>IF(A2245="","",MONTH(A2245))</f>
        <v/>
      </c>
      <c r="N2245" s="14">
        <f>IF(A2245="","",YEAR(A2245))</f>
        <v/>
      </c>
    </row>
    <row r="2246">
      <c r="A2246" s="15" t="n"/>
      <c r="B2246" s="10" t="n"/>
      <c r="C2246" s="10" t="n"/>
      <c r="D2246" s="10" t="n"/>
      <c r="E2246" s="14">
        <f>IF(D2246="","",IFERROR(INDEX('Sản phẩm'!$B$5:$B$304,MATCH(D2246,'Sản phẩm'!$A$5:$A$304,0)),""))</f>
        <v/>
      </c>
      <c r="F2246" s="12" t="n"/>
      <c r="G2246" s="11" t="n"/>
      <c r="H2246" s="11" t="n"/>
      <c r="I2246" s="16">
        <f>IF(D2246="","",IF(G2246&lt;&gt;"",G2246,IFERROR(INDEX('Sản phẩm'!$E$5:$E$304,MATCH(D2246,'Sản phẩm'!$A$5:$A$304,0)),"")))</f>
        <v/>
      </c>
      <c r="J2246" s="16">
        <f>IF(OR(D2246="",F2246=""),"",F2246*I2246-N(H2246))</f>
        <v/>
      </c>
      <c r="K2246" s="16">
        <f>IF(OR(D2246="",F2246=""),"",F2246*IFERROR(INDEX('Sản phẩm'!$D$5:$D$304,MATCH(D2246,'Sản phẩm'!$A$5:$A$304,0)),""))</f>
        <v/>
      </c>
      <c r="L2246" s="16">
        <f>IF(J2246="","",J2246-K2246)</f>
        <v/>
      </c>
      <c r="M2246" s="14">
        <f>IF(A2246="","",MONTH(A2246))</f>
        <v/>
      </c>
      <c r="N2246" s="14">
        <f>IF(A2246="","",YEAR(A2246))</f>
        <v/>
      </c>
    </row>
    <row r="2247">
      <c r="A2247" s="15" t="n"/>
      <c r="B2247" s="10" t="n"/>
      <c r="C2247" s="10" t="n"/>
      <c r="D2247" s="10" t="n"/>
      <c r="E2247" s="14">
        <f>IF(D2247="","",IFERROR(INDEX('Sản phẩm'!$B$5:$B$304,MATCH(D2247,'Sản phẩm'!$A$5:$A$304,0)),""))</f>
        <v/>
      </c>
      <c r="F2247" s="12" t="n"/>
      <c r="G2247" s="11" t="n"/>
      <c r="H2247" s="11" t="n"/>
      <c r="I2247" s="16">
        <f>IF(D2247="","",IF(G2247&lt;&gt;"",G2247,IFERROR(INDEX('Sản phẩm'!$E$5:$E$304,MATCH(D2247,'Sản phẩm'!$A$5:$A$304,0)),"")))</f>
        <v/>
      </c>
      <c r="J2247" s="16">
        <f>IF(OR(D2247="",F2247=""),"",F2247*I2247-N(H2247))</f>
        <v/>
      </c>
      <c r="K2247" s="16">
        <f>IF(OR(D2247="",F2247=""),"",F2247*IFERROR(INDEX('Sản phẩm'!$D$5:$D$304,MATCH(D2247,'Sản phẩm'!$A$5:$A$304,0)),""))</f>
        <v/>
      </c>
      <c r="L2247" s="16">
        <f>IF(J2247="","",J2247-K2247)</f>
        <v/>
      </c>
      <c r="M2247" s="14">
        <f>IF(A2247="","",MONTH(A2247))</f>
        <v/>
      </c>
      <c r="N2247" s="14">
        <f>IF(A2247="","",YEAR(A2247))</f>
        <v/>
      </c>
    </row>
    <row r="2248">
      <c r="A2248" s="15" t="n"/>
      <c r="B2248" s="10" t="n"/>
      <c r="C2248" s="10" t="n"/>
      <c r="D2248" s="10" t="n"/>
      <c r="E2248" s="14">
        <f>IF(D2248="","",IFERROR(INDEX('Sản phẩm'!$B$5:$B$304,MATCH(D2248,'Sản phẩm'!$A$5:$A$304,0)),""))</f>
        <v/>
      </c>
      <c r="F2248" s="12" t="n"/>
      <c r="G2248" s="11" t="n"/>
      <c r="H2248" s="11" t="n"/>
      <c r="I2248" s="16">
        <f>IF(D2248="","",IF(G2248&lt;&gt;"",G2248,IFERROR(INDEX('Sản phẩm'!$E$5:$E$304,MATCH(D2248,'Sản phẩm'!$A$5:$A$304,0)),"")))</f>
        <v/>
      </c>
      <c r="J2248" s="16">
        <f>IF(OR(D2248="",F2248=""),"",F2248*I2248-N(H2248))</f>
        <v/>
      </c>
      <c r="K2248" s="16">
        <f>IF(OR(D2248="",F2248=""),"",F2248*IFERROR(INDEX('Sản phẩm'!$D$5:$D$304,MATCH(D2248,'Sản phẩm'!$A$5:$A$304,0)),""))</f>
        <v/>
      </c>
      <c r="L2248" s="16">
        <f>IF(J2248="","",J2248-K2248)</f>
        <v/>
      </c>
      <c r="M2248" s="14">
        <f>IF(A2248="","",MONTH(A2248))</f>
        <v/>
      </c>
      <c r="N2248" s="14">
        <f>IF(A2248="","",YEAR(A2248))</f>
        <v/>
      </c>
    </row>
    <row r="2249">
      <c r="A2249" s="15" t="n"/>
      <c r="B2249" s="10" t="n"/>
      <c r="C2249" s="10" t="n"/>
      <c r="D2249" s="10" t="n"/>
      <c r="E2249" s="14">
        <f>IF(D2249="","",IFERROR(INDEX('Sản phẩm'!$B$5:$B$304,MATCH(D2249,'Sản phẩm'!$A$5:$A$304,0)),""))</f>
        <v/>
      </c>
      <c r="F2249" s="12" t="n"/>
      <c r="G2249" s="11" t="n"/>
      <c r="H2249" s="11" t="n"/>
      <c r="I2249" s="16">
        <f>IF(D2249="","",IF(G2249&lt;&gt;"",G2249,IFERROR(INDEX('Sản phẩm'!$E$5:$E$304,MATCH(D2249,'Sản phẩm'!$A$5:$A$304,0)),"")))</f>
        <v/>
      </c>
      <c r="J2249" s="16">
        <f>IF(OR(D2249="",F2249=""),"",F2249*I2249-N(H2249))</f>
        <v/>
      </c>
      <c r="K2249" s="16">
        <f>IF(OR(D2249="",F2249=""),"",F2249*IFERROR(INDEX('Sản phẩm'!$D$5:$D$304,MATCH(D2249,'Sản phẩm'!$A$5:$A$304,0)),""))</f>
        <v/>
      </c>
      <c r="L2249" s="16">
        <f>IF(J2249="","",J2249-K2249)</f>
        <v/>
      </c>
      <c r="M2249" s="14">
        <f>IF(A2249="","",MONTH(A2249))</f>
        <v/>
      </c>
      <c r="N2249" s="14">
        <f>IF(A2249="","",YEAR(A2249))</f>
        <v/>
      </c>
    </row>
    <row r="2250">
      <c r="A2250" s="15" t="n"/>
      <c r="B2250" s="10" t="n"/>
      <c r="C2250" s="10" t="n"/>
      <c r="D2250" s="10" t="n"/>
      <c r="E2250" s="14">
        <f>IF(D2250="","",IFERROR(INDEX('Sản phẩm'!$B$5:$B$304,MATCH(D2250,'Sản phẩm'!$A$5:$A$304,0)),""))</f>
        <v/>
      </c>
      <c r="F2250" s="12" t="n"/>
      <c r="G2250" s="11" t="n"/>
      <c r="H2250" s="11" t="n"/>
      <c r="I2250" s="16">
        <f>IF(D2250="","",IF(G2250&lt;&gt;"",G2250,IFERROR(INDEX('Sản phẩm'!$E$5:$E$304,MATCH(D2250,'Sản phẩm'!$A$5:$A$304,0)),"")))</f>
        <v/>
      </c>
      <c r="J2250" s="16">
        <f>IF(OR(D2250="",F2250=""),"",F2250*I2250-N(H2250))</f>
        <v/>
      </c>
      <c r="K2250" s="16">
        <f>IF(OR(D2250="",F2250=""),"",F2250*IFERROR(INDEX('Sản phẩm'!$D$5:$D$304,MATCH(D2250,'Sản phẩm'!$A$5:$A$304,0)),""))</f>
        <v/>
      </c>
      <c r="L2250" s="16">
        <f>IF(J2250="","",J2250-K2250)</f>
        <v/>
      </c>
      <c r="M2250" s="14">
        <f>IF(A2250="","",MONTH(A2250))</f>
        <v/>
      </c>
      <c r="N2250" s="14">
        <f>IF(A2250="","",YEAR(A2250))</f>
        <v/>
      </c>
    </row>
    <row r="2251">
      <c r="A2251" s="15" t="n"/>
      <c r="B2251" s="10" t="n"/>
      <c r="C2251" s="10" t="n"/>
      <c r="D2251" s="10" t="n"/>
      <c r="E2251" s="14">
        <f>IF(D2251="","",IFERROR(INDEX('Sản phẩm'!$B$5:$B$304,MATCH(D2251,'Sản phẩm'!$A$5:$A$304,0)),""))</f>
        <v/>
      </c>
      <c r="F2251" s="12" t="n"/>
      <c r="G2251" s="11" t="n"/>
      <c r="H2251" s="11" t="n"/>
      <c r="I2251" s="16">
        <f>IF(D2251="","",IF(G2251&lt;&gt;"",G2251,IFERROR(INDEX('Sản phẩm'!$E$5:$E$304,MATCH(D2251,'Sản phẩm'!$A$5:$A$304,0)),"")))</f>
        <v/>
      </c>
      <c r="J2251" s="16">
        <f>IF(OR(D2251="",F2251=""),"",F2251*I2251-N(H2251))</f>
        <v/>
      </c>
      <c r="K2251" s="16">
        <f>IF(OR(D2251="",F2251=""),"",F2251*IFERROR(INDEX('Sản phẩm'!$D$5:$D$304,MATCH(D2251,'Sản phẩm'!$A$5:$A$304,0)),""))</f>
        <v/>
      </c>
      <c r="L2251" s="16">
        <f>IF(J2251="","",J2251-K2251)</f>
        <v/>
      </c>
      <c r="M2251" s="14">
        <f>IF(A2251="","",MONTH(A2251))</f>
        <v/>
      </c>
      <c r="N2251" s="14">
        <f>IF(A2251="","",YEAR(A2251))</f>
        <v/>
      </c>
    </row>
    <row r="2252">
      <c r="A2252" s="15" t="n"/>
      <c r="B2252" s="10" t="n"/>
      <c r="C2252" s="10" t="n"/>
      <c r="D2252" s="10" t="n"/>
      <c r="E2252" s="14">
        <f>IF(D2252="","",IFERROR(INDEX('Sản phẩm'!$B$5:$B$304,MATCH(D2252,'Sản phẩm'!$A$5:$A$304,0)),""))</f>
        <v/>
      </c>
      <c r="F2252" s="12" t="n"/>
      <c r="G2252" s="11" t="n"/>
      <c r="H2252" s="11" t="n"/>
      <c r="I2252" s="16">
        <f>IF(D2252="","",IF(G2252&lt;&gt;"",G2252,IFERROR(INDEX('Sản phẩm'!$E$5:$E$304,MATCH(D2252,'Sản phẩm'!$A$5:$A$304,0)),"")))</f>
        <v/>
      </c>
      <c r="J2252" s="16">
        <f>IF(OR(D2252="",F2252=""),"",F2252*I2252-N(H2252))</f>
        <v/>
      </c>
      <c r="K2252" s="16">
        <f>IF(OR(D2252="",F2252=""),"",F2252*IFERROR(INDEX('Sản phẩm'!$D$5:$D$304,MATCH(D2252,'Sản phẩm'!$A$5:$A$304,0)),""))</f>
        <v/>
      </c>
      <c r="L2252" s="16">
        <f>IF(J2252="","",J2252-K2252)</f>
        <v/>
      </c>
      <c r="M2252" s="14">
        <f>IF(A2252="","",MONTH(A2252))</f>
        <v/>
      </c>
      <c r="N2252" s="14">
        <f>IF(A2252="","",YEAR(A2252))</f>
        <v/>
      </c>
    </row>
    <row r="2253">
      <c r="A2253" s="15" t="n"/>
      <c r="B2253" s="10" t="n"/>
      <c r="C2253" s="10" t="n"/>
      <c r="D2253" s="10" t="n"/>
      <c r="E2253" s="14">
        <f>IF(D2253="","",IFERROR(INDEX('Sản phẩm'!$B$5:$B$304,MATCH(D2253,'Sản phẩm'!$A$5:$A$304,0)),""))</f>
        <v/>
      </c>
      <c r="F2253" s="12" t="n"/>
      <c r="G2253" s="11" t="n"/>
      <c r="H2253" s="11" t="n"/>
      <c r="I2253" s="16">
        <f>IF(D2253="","",IF(G2253&lt;&gt;"",G2253,IFERROR(INDEX('Sản phẩm'!$E$5:$E$304,MATCH(D2253,'Sản phẩm'!$A$5:$A$304,0)),"")))</f>
        <v/>
      </c>
      <c r="J2253" s="16">
        <f>IF(OR(D2253="",F2253=""),"",F2253*I2253-N(H2253))</f>
        <v/>
      </c>
      <c r="K2253" s="16">
        <f>IF(OR(D2253="",F2253=""),"",F2253*IFERROR(INDEX('Sản phẩm'!$D$5:$D$304,MATCH(D2253,'Sản phẩm'!$A$5:$A$304,0)),""))</f>
        <v/>
      </c>
      <c r="L2253" s="16">
        <f>IF(J2253="","",J2253-K2253)</f>
        <v/>
      </c>
      <c r="M2253" s="14">
        <f>IF(A2253="","",MONTH(A2253))</f>
        <v/>
      </c>
      <c r="N2253" s="14">
        <f>IF(A2253="","",YEAR(A2253))</f>
        <v/>
      </c>
    </row>
    <row r="2254">
      <c r="A2254" s="15" t="n"/>
      <c r="B2254" s="10" t="n"/>
      <c r="C2254" s="10" t="n"/>
      <c r="D2254" s="10" t="n"/>
      <c r="E2254" s="14">
        <f>IF(D2254="","",IFERROR(INDEX('Sản phẩm'!$B$5:$B$304,MATCH(D2254,'Sản phẩm'!$A$5:$A$304,0)),""))</f>
        <v/>
      </c>
      <c r="F2254" s="12" t="n"/>
      <c r="G2254" s="11" t="n"/>
      <c r="H2254" s="11" t="n"/>
      <c r="I2254" s="16">
        <f>IF(D2254="","",IF(G2254&lt;&gt;"",G2254,IFERROR(INDEX('Sản phẩm'!$E$5:$E$304,MATCH(D2254,'Sản phẩm'!$A$5:$A$304,0)),"")))</f>
        <v/>
      </c>
      <c r="J2254" s="16">
        <f>IF(OR(D2254="",F2254=""),"",F2254*I2254-N(H2254))</f>
        <v/>
      </c>
      <c r="K2254" s="16">
        <f>IF(OR(D2254="",F2254=""),"",F2254*IFERROR(INDEX('Sản phẩm'!$D$5:$D$304,MATCH(D2254,'Sản phẩm'!$A$5:$A$304,0)),""))</f>
        <v/>
      </c>
      <c r="L2254" s="16">
        <f>IF(J2254="","",J2254-K2254)</f>
        <v/>
      </c>
      <c r="M2254" s="14">
        <f>IF(A2254="","",MONTH(A2254))</f>
        <v/>
      </c>
      <c r="N2254" s="14">
        <f>IF(A2254="","",YEAR(A2254))</f>
        <v/>
      </c>
    </row>
    <row r="2255">
      <c r="A2255" s="15" t="n"/>
      <c r="B2255" s="10" t="n"/>
      <c r="C2255" s="10" t="n"/>
      <c r="D2255" s="10" t="n"/>
      <c r="E2255" s="14">
        <f>IF(D2255="","",IFERROR(INDEX('Sản phẩm'!$B$5:$B$304,MATCH(D2255,'Sản phẩm'!$A$5:$A$304,0)),""))</f>
        <v/>
      </c>
      <c r="F2255" s="12" t="n"/>
      <c r="G2255" s="11" t="n"/>
      <c r="H2255" s="11" t="n"/>
      <c r="I2255" s="16">
        <f>IF(D2255="","",IF(G2255&lt;&gt;"",G2255,IFERROR(INDEX('Sản phẩm'!$E$5:$E$304,MATCH(D2255,'Sản phẩm'!$A$5:$A$304,0)),"")))</f>
        <v/>
      </c>
      <c r="J2255" s="16">
        <f>IF(OR(D2255="",F2255=""),"",F2255*I2255-N(H2255))</f>
        <v/>
      </c>
      <c r="K2255" s="16">
        <f>IF(OR(D2255="",F2255=""),"",F2255*IFERROR(INDEX('Sản phẩm'!$D$5:$D$304,MATCH(D2255,'Sản phẩm'!$A$5:$A$304,0)),""))</f>
        <v/>
      </c>
      <c r="L2255" s="16">
        <f>IF(J2255="","",J2255-K2255)</f>
        <v/>
      </c>
      <c r="M2255" s="14">
        <f>IF(A2255="","",MONTH(A2255))</f>
        <v/>
      </c>
      <c r="N2255" s="14">
        <f>IF(A2255="","",YEAR(A2255))</f>
        <v/>
      </c>
    </row>
    <row r="2256">
      <c r="A2256" s="15" t="n"/>
      <c r="B2256" s="10" t="n"/>
      <c r="C2256" s="10" t="n"/>
      <c r="D2256" s="10" t="n"/>
      <c r="E2256" s="14">
        <f>IF(D2256="","",IFERROR(INDEX('Sản phẩm'!$B$5:$B$304,MATCH(D2256,'Sản phẩm'!$A$5:$A$304,0)),""))</f>
        <v/>
      </c>
      <c r="F2256" s="12" t="n"/>
      <c r="G2256" s="11" t="n"/>
      <c r="H2256" s="11" t="n"/>
      <c r="I2256" s="16">
        <f>IF(D2256="","",IF(G2256&lt;&gt;"",G2256,IFERROR(INDEX('Sản phẩm'!$E$5:$E$304,MATCH(D2256,'Sản phẩm'!$A$5:$A$304,0)),"")))</f>
        <v/>
      </c>
      <c r="J2256" s="16">
        <f>IF(OR(D2256="",F2256=""),"",F2256*I2256-N(H2256))</f>
        <v/>
      </c>
      <c r="K2256" s="16">
        <f>IF(OR(D2256="",F2256=""),"",F2256*IFERROR(INDEX('Sản phẩm'!$D$5:$D$304,MATCH(D2256,'Sản phẩm'!$A$5:$A$304,0)),""))</f>
        <v/>
      </c>
      <c r="L2256" s="16">
        <f>IF(J2256="","",J2256-K2256)</f>
        <v/>
      </c>
      <c r="M2256" s="14">
        <f>IF(A2256="","",MONTH(A2256))</f>
        <v/>
      </c>
      <c r="N2256" s="14">
        <f>IF(A2256="","",YEAR(A2256))</f>
        <v/>
      </c>
    </row>
    <row r="2257">
      <c r="A2257" s="15" t="n"/>
      <c r="B2257" s="10" t="n"/>
      <c r="C2257" s="10" t="n"/>
      <c r="D2257" s="10" t="n"/>
      <c r="E2257" s="14">
        <f>IF(D2257="","",IFERROR(INDEX('Sản phẩm'!$B$5:$B$304,MATCH(D2257,'Sản phẩm'!$A$5:$A$304,0)),""))</f>
        <v/>
      </c>
      <c r="F2257" s="12" t="n"/>
      <c r="G2257" s="11" t="n"/>
      <c r="H2257" s="11" t="n"/>
      <c r="I2257" s="16">
        <f>IF(D2257="","",IF(G2257&lt;&gt;"",G2257,IFERROR(INDEX('Sản phẩm'!$E$5:$E$304,MATCH(D2257,'Sản phẩm'!$A$5:$A$304,0)),"")))</f>
        <v/>
      </c>
      <c r="J2257" s="16">
        <f>IF(OR(D2257="",F2257=""),"",F2257*I2257-N(H2257))</f>
        <v/>
      </c>
      <c r="K2257" s="16">
        <f>IF(OR(D2257="",F2257=""),"",F2257*IFERROR(INDEX('Sản phẩm'!$D$5:$D$304,MATCH(D2257,'Sản phẩm'!$A$5:$A$304,0)),""))</f>
        <v/>
      </c>
      <c r="L2257" s="16">
        <f>IF(J2257="","",J2257-K2257)</f>
        <v/>
      </c>
      <c r="M2257" s="14">
        <f>IF(A2257="","",MONTH(A2257))</f>
        <v/>
      </c>
      <c r="N2257" s="14">
        <f>IF(A2257="","",YEAR(A2257))</f>
        <v/>
      </c>
    </row>
    <row r="2258">
      <c r="A2258" s="15" t="n"/>
      <c r="B2258" s="10" t="n"/>
      <c r="C2258" s="10" t="n"/>
      <c r="D2258" s="10" t="n"/>
      <c r="E2258" s="14">
        <f>IF(D2258="","",IFERROR(INDEX('Sản phẩm'!$B$5:$B$304,MATCH(D2258,'Sản phẩm'!$A$5:$A$304,0)),""))</f>
        <v/>
      </c>
      <c r="F2258" s="12" t="n"/>
      <c r="G2258" s="11" t="n"/>
      <c r="H2258" s="11" t="n"/>
      <c r="I2258" s="16">
        <f>IF(D2258="","",IF(G2258&lt;&gt;"",G2258,IFERROR(INDEX('Sản phẩm'!$E$5:$E$304,MATCH(D2258,'Sản phẩm'!$A$5:$A$304,0)),"")))</f>
        <v/>
      </c>
      <c r="J2258" s="16">
        <f>IF(OR(D2258="",F2258=""),"",F2258*I2258-N(H2258))</f>
        <v/>
      </c>
      <c r="K2258" s="16">
        <f>IF(OR(D2258="",F2258=""),"",F2258*IFERROR(INDEX('Sản phẩm'!$D$5:$D$304,MATCH(D2258,'Sản phẩm'!$A$5:$A$304,0)),""))</f>
        <v/>
      </c>
      <c r="L2258" s="16">
        <f>IF(J2258="","",J2258-K2258)</f>
        <v/>
      </c>
      <c r="M2258" s="14">
        <f>IF(A2258="","",MONTH(A2258))</f>
        <v/>
      </c>
      <c r="N2258" s="14">
        <f>IF(A2258="","",YEAR(A2258))</f>
        <v/>
      </c>
    </row>
    <row r="2259">
      <c r="A2259" s="15" t="n"/>
      <c r="B2259" s="10" t="n"/>
      <c r="C2259" s="10" t="n"/>
      <c r="D2259" s="10" t="n"/>
      <c r="E2259" s="14">
        <f>IF(D2259="","",IFERROR(INDEX('Sản phẩm'!$B$5:$B$304,MATCH(D2259,'Sản phẩm'!$A$5:$A$304,0)),""))</f>
        <v/>
      </c>
      <c r="F2259" s="12" t="n"/>
      <c r="G2259" s="11" t="n"/>
      <c r="H2259" s="11" t="n"/>
      <c r="I2259" s="16">
        <f>IF(D2259="","",IF(G2259&lt;&gt;"",G2259,IFERROR(INDEX('Sản phẩm'!$E$5:$E$304,MATCH(D2259,'Sản phẩm'!$A$5:$A$304,0)),"")))</f>
        <v/>
      </c>
      <c r="J2259" s="16">
        <f>IF(OR(D2259="",F2259=""),"",F2259*I2259-N(H2259))</f>
        <v/>
      </c>
      <c r="K2259" s="16">
        <f>IF(OR(D2259="",F2259=""),"",F2259*IFERROR(INDEX('Sản phẩm'!$D$5:$D$304,MATCH(D2259,'Sản phẩm'!$A$5:$A$304,0)),""))</f>
        <v/>
      </c>
      <c r="L2259" s="16">
        <f>IF(J2259="","",J2259-K2259)</f>
        <v/>
      </c>
      <c r="M2259" s="14">
        <f>IF(A2259="","",MONTH(A2259))</f>
        <v/>
      </c>
      <c r="N2259" s="14">
        <f>IF(A2259="","",YEAR(A2259))</f>
        <v/>
      </c>
    </row>
    <row r="2260">
      <c r="A2260" s="15" t="n"/>
      <c r="B2260" s="10" t="n"/>
      <c r="C2260" s="10" t="n"/>
      <c r="D2260" s="10" t="n"/>
      <c r="E2260" s="14">
        <f>IF(D2260="","",IFERROR(INDEX('Sản phẩm'!$B$5:$B$304,MATCH(D2260,'Sản phẩm'!$A$5:$A$304,0)),""))</f>
        <v/>
      </c>
      <c r="F2260" s="12" t="n"/>
      <c r="G2260" s="11" t="n"/>
      <c r="H2260" s="11" t="n"/>
      <c r="I2260" s="16">
        <f>IF(D2260="","",IF(G2260&lt;&gt;"",G2260,IFERROR(INDEX('Sản phẩm'!$E$5:$E$304,MATCH(D2260,'Sản phẩm'!$A$5:$A$304,0)),"")))</f>
        <v/>
      </c>
      <c r="J2260" s="16">
        <f>IF(OR(D2260="",F2260=""),"",F2260*I2260-N(H2260))</f>
        <v/>
      </c>
      <c r="K2260" s="16">
        <f>IF(OR(D2260="",F2260=""),"",F2260*IFERROR(INDEX('Sản phẩm'!$D$5:$D$304,MATCH(D2260,'Sản phẩm'!$A$5:$A$304,0)),""))</f>
        <v/>
      </c>
      <c r="L2260" s="16">
        <f>IF(J2260="","",J2260-K2260)</f>
        <v/>
      </c>
      <c r="M2260" s="14">
        <f>IF(A2260="","",MONTH(A2260))</f>
        <v/>
      </c>
      <c r="N2260" s="14">
        <f>IF(A2260="","",YEAR(A2260))</f>
        <v/>
      </c>
    </row>
    <row r="2261">
      <c r="A2261" s="15" t="n"/>
      <c r="B2261" s="10" t="n"/>
      <c r="C2261" s="10" t="n"/>
      <c r="D2261" s="10" t="n"/>
      <c r="E2261" s="14">
        <f>IF(D2261="","",IFERROR(INDEX('Sản phẩm'!$B$5:$B$304,MATCH(D2261,'Sản phẩm'!$A$5:$A$304,0)),""))</f>
        <v/>
      </c>
      <c r="F2261" s="12" t="n"/>
      <c r="G2261" s="11" t="n"/>
      <c r="H2261" s="11" t="n"/>
      <c r="I2261" s="16">
        <f>IF(D2261="","",IF(G2261&lt;&gt;"",G2261,IFERROR(INDEX('Sản phẩm'!$E$5:$E$304,MATCH(D2261,'Sản phẩm'!$A$5:$A$304,0)),"")))</f>
        <v/>
      </c>
      <c r="J2261" s="16">
        <f>IF(OR(D2261="",F2261=""),"",F2261*I2261-N(H2261))</f>
        <v/>
      </c>
      <c r="K2261" s="16">
        <f>IF(OR(D2261="",F2261=""),"",F2261*IFERROR(INDEX('Sản phẩm'!$D$5:$D$304,MATCH(D2261,'Sản phẩm'!$A$5:$A$304,0)),""))</f>
        <v/>
      </c>
      <c r="L2261" s="16">
        <f>IF(J2261="","",J2261-K2261)</f>
        <v/>
      </c>
      <c r="M2261" s="14">
        <f>IF(A2261="","",MONTH(A2261))</f>
        <v/>
      </c>
      <c r="N2261" s="14">
        <f>IF(A2261="","",YEAR(A2261))</f>
        <v/>
      </c>
    </row>
    <row r="2262">
      <c r="A2262" s="15" t="n"/>
      <c r="B2262" s="10" t="n"/>
      <c r="C2262" s="10" t="n"/>
      <c r="D2262" s="10" t="n"/>
      <c r="E2262" s="14">
        <f>IF(D2262="","",IFERROR(INDEX('Sản phẩm'!$B$5:$B$304,MATCH(D2262,'Sản phẩm'!$A$5:$A$304,0)),""))</f>
        <v/>
      </c>
      <c r="F2262" s="12" t="n"/>
      <c r="G2262" s="11" t="n"/>
      <c r="H2262" s="11" t="n"/>
      <c r="I2262" s="16">
        <f>IF(D2262="","",IF(G2262&lt;&gt;"",G2262,IFERROR(INDEX('Sản phẩm'!$E$5:$E$304,MATCH(D2262,'Sản phẩm'!$A$5:$A$304,0)),"")))</f>
        <v/>
      </c>
      <c r="J2262" s="16">
        <f>IF(OR(D2262="",F2262=""),"",F2262*I2262-N(H2262))</f>
        <v/>
      </c>
      <c r="K2262" s="16">
        <f>IF(OR(D2262="",F2262=""),"",F2262*IFERROR(INDEX('Sản phẩm'!$D$5:$D$304,MATCH(D2262,'Sản phẩm'!$A$5:$A$304,0)),""))</f>
        <v/>
      </c>
      <c r="L2262" s="16">
        <f>IF(J2262="","",J2262-K2262)</f>
        <v/>
      </c>
      <c r="M2262" s="14">
        <f>IF(A2262="","",MONTH(A2262))</f>
        <v/>
      </c>
      <c r="N2262" s="14">
        <f>IF(A2262="","",YEAR(A2262))</f>
        <v/>
      </c>
    </row>
    <row r="2263">
      <c r="A2263" s="15" t="n"/>
      <c r="B2263" s="10" t="n"/>
      <c r="C2263" s="10" t="n"/>
      <c r="D2263" s="10" t="n"/>
      <c r="E2263" s="14">
        <f>IF(D2263="","",IFERROR(INDEX('Sản phẩm'!$B$5:$B$304,MATCH(D2263,'Sản phẩm'!$A$5:$A$304,0)),""))</f>
        <v/>
      </c>
      <c r="F2263" s="12" t="n"/>
      <c r="G2263" s="11" t="n"/>
      <c r="H2263" s="11" t="n"/>
      <c r="I2263" s="16">
        <f>IF(D2263="","",IF(G2263&lt;&gt;"",G2263,IFERROR(INDEX('Sản phẩm'!$E$5:$E$304,MATCH(D2263,'Sản phẩm'!$A$5:$A$304,0)),"")))</f>
        <v/>
      </c>
      <c r="J2263" s="16">
        <f>IF(OR(D2263="",F2263=""),"",F2263*I2263-N(H2263))</f>
        <v/>
      </c>
      <c r="K2263" s="16">
        <f>IF(OR(D2263="",F2263=""),"",F2263*IFERROR(INDEX('Sản phẩm'!$D$5:$D$304,MATCH(D2263,'Sản phẩm'!$A$5:$A$304,0)),""))</f>
        <v/>
      </c>
      <c r="L2263" s="16">
        <f>IF(J2263="","",J2263-K2263)</f>
        <v/>
      </c>
      <c r="M2263" s="14">
        <f>IF(A2263="","",MONTH(A2263))</f>
        <v/>
      </c>
      <c r="N2263" s="14">
        <f>IF(A2263="","",YEAR(A2263))</f>
        <v/>
      </c>
    </row>
    <row r="2264">
      <c r="A2264" s="15" t="n"/>
      <c r="B2264" s="10" t="n"/>
      <c r="C2264" s="10" t="n"/>
      <c r="D2264" s="10" t="n"/>
      <c r="E2264" s="14">
        <f>IF(D2264="","",IFERROR(INDEX('Sản phẩm'!$B$5:$B$304,MATCH(D2264,'Sản phẩm'!$A$5:$A$304,0)),""))</f>
        <v/>
      </c>
      <c r="F2264" s="12" t="n"/>
      <c r="G2264" s="11" t="n"/>
      <c r="H2264" s="11" t="n"/>
      <c r="I2264" s="16">
        <f>IF(D2264="","",IF(G2264&lt;&gt;"",G2264,IFERROR(INDEX('Sản phẩm'!$E$5:$E$304,MATCH(D2264,'Sản phẩm'!$A$5:$A$304,0)),"")))</f>
        <v/>
      </c>
      <c r="J2264" s="16">
        <f>IF(OR(D2264="",F2264=""),"",F2264*I2264-N(H2264))</f>
        <v/>
      </c>
      <c r="K2264" s="16">
        <f>IF(OR(D2264="",F2264=""),"",F2264*IFERROR(INDEX('Sản phẩm'!$D$5:$D$304,MATCH(D2264,'Sản phẩm'!$A$5:$A$304,0)),""))</f>
        <v/>
      </c>
      <c r="L2264" s="16">
        <f>IF(J2264="","",J2264-K2264)</f>
        <v/>
      </c>
      <c r="M2264" s="14">
        <f>IF(A2264="","",MONTH(A2264))</f>
        <v/>
      </c>
      <c r="N2264" s="14">
        <f>IF(A2264="","",YEAR(A2264))</f>
        <v/>
      </c>
    </row>
    <row r="2265">
      <c r="A2265" s="15" t="n"/>
      <c r="B2265" s="10" t="n"/>
      <c r="C2265" s="10" t="n"/>
      <c r="D2265" s="10" t="n"/>
      <c r="E2265" s="14">
        <f>IF(D2265="","",IFERROR(INDEX('Sản phẩm'!$B$5:$B$304,MATCH(D2265,'Sản phẩm'!$A$5:$A$304,0)),""))</f>
        <v/>
      </c>
      <c r="F2265" s="12" t="n"/>
      <c r="G2265" s="11" t="n"/>
      <c r="H2265" s="11" t="n"/>
      <c r="I2265" s="16">
        <f>IF(D2265="","",IF(G2265&lt;&gt;"",G2265,IFERROR(INDEX('Sản phẩm'!$E$5:$E$304,MATCH(D2265,'Sản phẩm'!$A$5:$A$304,0)),"")))</f>
        <v/>
      </c>
      <c r="J2265" s="16">
        <f>IF(OR(D2265="",F2265=""),"",F2265*I2265-N(H2265))</f>
        <v/>
      </c>
      <c r="K2265" s="16">
        <f>IF(OR(D2265="",F2265=""),"",F2265*IFERROR(INDEX('Sản phẩm'!$D$5:$D$304,MATCH(D2265,'Sản phẩm'!$A$5:$A$304,0)),""))</f>
        <v/>
      </c>
      <c r="L2265" s="16">
        <f>IF(J2265="","",J2265-K2265)</f>
        <v/>
      </c>
      <c r="M2265" s="14">
        <f>IF(A2265="","",MONTH(A2265))</f>
        <v/>
      </c>
      <c r="N2265" s="14">
        <f>IF(A2265="","",YEAR(A2265))</f>
        <v/>
      </c>
    </row>
    <row r="2266">
      <c r="A2266" s="15" t="n"/>
      <c r="B2266" s="10" t="n"/>
      <c r="C2266" s="10" t="n"/>
      <c r="D2266" s="10" t="n"/>
      <c r="E2266" s="14">
        <f>IF(D2266="","",IFERROR(INDEX('Sản phẩm'!$B$5:$B$304,MATCH(D2266,'Sản phẩm'!$A$5:$A$304,0)),""))</f>
        <v/>
      </c>
      <c r="F2266" s="12" t="n"/>
      <c r="G2266" s="11" t="n"/>
      <c r="H2266" s="11" t="n"/>
      <c r="I2266" s="16">
        <f>IF(D2266="","",IF(G2266&lt;&gt;"",G2266,IFERROR(INDEX('Sản phẩm'!$E$5:$E$304,MATCH(D2266,'Sản phẩm'!$A$5:$A$304,0)),"")))</f>
        <v/>
      </c>
      <c r="J2266" s="16">
        <f>IF(OR(D2266="",F2266=""),"",F2266*I2266-N(H2266))</f>
        <v/>
      </c>
      <c r="K2266" s="16">
        <f>IF(OR(D2266="",F2266=""),"",F2266*IFERROR(INDEX('Sản phẩm'!$D$5:$D$304,MATCH(D2266,'Sản phẩm'!$A$5:$A$304,0)),""))</f>
        <v/>
      </c>
      <c r="L2266" s="16">
        <f>IF(J2266="","",J2266-K2266)</f>
        <v/>
      </c>
      <c r="M2266" s="14">
        <f>IF(A2266="","",MONTH(A2266))</f>
        <v/>
      </c>
      <c r="N2266" s="14">
        <f>IF(A2266="","",YEAR(A2266))</f>
        <v/>
      </c>
    </row>
    <row r="2267">
      <c r="A2267" s="15" t="n"/>
      <c r="B2267" s="10" t="n"/>
      <c r="C2267" s="10" t="n"/>
      <c r="D2267" s="10" t="n"/>
      <c r="E2267" s="14">
        <f>IF(D2267="","",IFERROR(INDEX('Sản phẩm'!$B$5:$B$304,MATCH(D2267,'Sản phẩm'!$A$5:$A$304,0)),""))</f>
        <v/>
      </c>
      <c r="F2267" s="12" t="n"/>
      <c r="G2267" s="11" t="n"/>
      <c r="H2267" s="11" t="n"/>
      <c r="I2267" s="16">
        <f>IF(D2267="","",IF(G2267&lt;&gt;"",G2267,IFERROR(INDEX('Sản phẩm'!$E$5:$E$304,MATCH(D2267,'Sản phẩm'!$A$5:$A$304,0)),"")))</f>
        <v/>
      </c>
      <c r="J2267" s="16">
        <f>IF(OR(D2267="",F2267=""),"",F2267*I2267-N(H2267))</f>
        <v/>
      </c>
      <c r="K2267" s="16">
        <f>IF(OR(D2267="",F2267=""),"",F2267*IFERROR(INDEX('Sản phẩm'!$D$5:$D$304,MATCH(D2267,'Sản phẩm'!$A$5:$A$304,0)),""))</f>
        <v/>
      </c>
      <c r="L2267" s="16">
        <f>IF(J2267="","",J2267-K2267)</f>
        <v/>
      </c>
      <c r="M2267" s="14">
        <f>IF(A2267="","",MONTH(A2267))</f>
        <v/>
      </c>
      <c r="N2267" s="14">
        <f>IF(A2267="","",YEAR(A2267))</f>
        <v/>
      </c>
    </row>
    <row r="2268">
      <c r="A2268" s="15" t="n"/>
      <c r="B2268" s="10" t="n"/>
      <c r="C2268" s="10" t="n"/>
      <c r="D2268" s="10" t="n"/>
      <c r="E2268" s="14">
        <f>IF(D2268="","",IFERROR(INDEX('Sản phẩm'!$B$5:$B$304,MATCH(D2268,'Sản phẩm'!$A$5:$A$304,0)),""))</f>
        <v/>
      </c>
      <c r="F2268" s="12" t="n"/>
      <c r="G2268" s="11" t="n"/>
      <c r="H2268" s="11" t="n"/>
      <c r="I2268" s="16">
        <f>IF(D2268="","",IF(G2268&lt;&gt;"",G2268,IFERROR(INDEX('Sản phẩm'!$E$5:$E$304,MATCH(D2268,'Sản phẩm'!$A$5:$A$304,0)),"")))</f>
        <v/>
      </c>
      <c r="J2268" s="16">
        <f>IF(OR(D2268="",F2268=""),"",F2268*I2268-N(H2268))</f>
        <v/>
      </c>
      <c r="K2268" s="16">
        <f>IF(OR(D2268="",F2268=""),"",F2268*IFERROR(INDEX('Sản phẩm'!$D$5:$D$304,MATCH(D2268,'Sản phẩm'!$A$5:$A$304,0)),""))</f>
        <v/>
      </c>
      <c r="L2268" s="16">
        <f>IF(J2268="","",J2268-K2268)</f>
        <v/>
      </c>
      <c r="M2268" s="14">
        <f>IF(A2268="","",MONTH(A2268))</f>
        <v/>
      </c>
      <c r="N2268" s="14">
        <f>IF(A2268="","",YEAR(A2268))</f>
        <v/>
      </c>
    </row>
    <row r="2269">
      <c r="A2269" s="15" t="n"/>
      <c r="B2269" s="10" t="n"/>
      <c r="C2269" s="10" t="n"/>
      <c r="D2269" s="10" t="n"/>
      <c r="E2269" s="14">
        <f>IF(D2269="","",IFERROR(INDEX('Sản phẩm'!$B$5:$B$304,MATCH(D2269,'Sản phẩm'!$A$5:$A$304,0)),""))</f>
        <v/>
      </c>
      <c r="F2269" s="12" t="n"/>
      <c r="G2269" s="11" t="n"/>
      <c r="H2269" s="11" t="n"/>
      <c r="I2269" s="16">
        <f>IF(D2269="","",IF(G2269&lt;&gt;"",G2269,IFERROR(INDEX('Sản phẩm'!$E$5:$E$304,MATCH(D2269,'Sản phẩm'!$A$5:$A$304,0)),"")))</f>
        <v/>
      </c>
      <c r="J2269" s="16">
        <f>IF(OR(D2269="",F2269=""),"",F2269*I2269-N(H2269))</f>
        <v/>
      </c>
      <c r="K2269" s="16">
        <f>IF(OR(D2269="",F2269=""),"",F2269*IFERROR(INDEX('Sản phẩm'!$D$5:$D$304,MATCH(D2269,'Sản phẩm'!$A$5:$A$304,0)),""))</f>
        <v/>
      </c>
      <c r="L2269" s="16">
        <f>IF(J2269="","",J2269-K2269)</f>
        <v/>
      </c>
      <c r="M2269" s="14">
        <f>IF(A2269="","",MONTH(A2269))</f>
        <v/>
      </c>
      <c r="N2269" s="14">
        <f>IF(A2269="","",YEAR(A2269))</f>
        <v/>
      </c>
    </row>
    <row r="2270">
      <c r="A2270" s="15" t="n"/>
      <c r="B2270" s="10" t="n"/>
      <c r="C2270" s="10" t="n"/>
      <c r="D2270" s="10" t="n"/>
      <c r="E2270" s="14">
        <f>IF(D2270="","",IFERROR(INDEX('Sản phẩm'!$B$5:$B$304,MATCH(D2270,'Sản phẩm'!$A$5:$A$304,0)),""))</f>
        <v/>
      </c>
      <c r="F2270" s="12" t="n"/>
      <c r="G2270" s="11" t="n"/>
      <c r="H2270" s="11" t="n"/>
      <c r="I2270" s="16">
        <f>IF(D2270="","",IF(G2270&lt;&gt;"",G2270,IFERROR(INDEX('Sản phẩm'!$E$5:$E$304,MATCH(D2270,'Sản phẩm'!$A$5:$A$304,0)),"")))</f>
        <v/>
      </c>
      <c r="J2270" s="16">
        <f>IF(OR(D2270="",F2270=""),"",F2270*I2270-N(H2270))</f>
        <v/>
      </c>
      <c r="K2270" s="16">
        <f>IF(OR(D2270="",F2270=""),"",F2270*IFERROR(INDEX('Sản phẩm'!$D$5:$D$304,MATCH(D2270,'Sản phẩm'!$A$5:$A$304,0)),""))</f>
        <v/>
      </c>
      <c r="L2270" s="16">
        <f>IF(J2270="","",J2270-K2270)</f>
        <v/>
      </c>
      <c r="M2270" s="14">
        <f>IF(A2270="","",MONTH(A2270))</f>
        <v/>
      </c>
      <c r="N2270" s="14">
        <f>IF(A2270="","",YEAR(A2270))</f>
        <v/>
      </c>
    </row>
    <row r="2271">
      <c r="A2271" s="15" t="n"/>
      <c r="B2271" s="10" t="n"/>
      <c r="C2271" s="10" t="n"/>
      <c r="D2271" s="10" t="n"/>
      <c r="E2271" s="14">
        <f>IF(D2271="","",IFERROR(INDEX('Sản phẩm'!$B$5:$B$304,MATCH(D2271,'Sản phẩm'!$A$5:$A$304,0)),""))</f>
        <v/>
      </c>
      <c r="F2271" s="12" t="n"/>
      <c r="G2271" s="11" t="n"/>
      <c r="H2271" s="11" t="n"/>
      <c r="I2271" s="16">
        <f>IF(D2271="","",IF(G2271&lt;&gt;"",G2271,IFERROR(INDEX('Sản phẩm'!$E$5:$E$304,MATCH(D2271,'Sản phẩm'!$A$5:$A$304,0)),"")))</f>
        <v/>
      </c>
      <c r="J2271" s="16">
        <f>IF(OR(D2271="",F2271=""),"",F2271*I2271-N(H2271))</f>
        <v/>
      </c>
      <c r="K2271" s="16">
        <f>IF(OR(D2271="",F2271=""),"",F2271*IFERROR(INDEX('Sản phẩm'!$D$5:$D$304,MATCH(D2271,'Sản phẩm'!$A$5:$A$304,0)),""))</f>
        <v/>
      </c>
      <c r="L2271" s="16">
        <f>IF(J2271="","",J2271-K2271)</f>
        <v/>
      </c>
      <c r="M2271" s="14">
        <f>IF(A2271="","",MONTH(A2271))</f>
        <v/>
      </c>
      <c r="N2271" s="14">
        <f>IF(A2271="","",YEAR(A2271))</f>
        <v/>
      </c>
    </row>
    <row r="2272">
      <c r="A2272" s="15" t="n"/>
      <c r="B2272" s="10" t="n"/>
      <c r="C2272" s="10" t="n"/>
      <c r="D2272" s="10" t="n"/>
      <c r="E2272" s="14">
        <f>IF(D2272="","",IFERROR(INDEX('Sản phẩm'!$B$5:$B$304,MATCH(D2272,'Sản phẩm'!$A$5:$A$304,0)),""))</f>
        <v/>
      </c>
      <c r="F2272" s="12" t="n"/>
      <c r="G2272" s="11" t="n"/>
      <c r="H2272" s="11" t="n"/>
      <c r="I2272" s="16">
        <f>IF(D2272="","",IF(G2272&lt;&gt;"",G2272,IFERROR(INDEX('Sản phẩm'!$E$5:$E$304,MATCH(D2272,'Sản phẩm'!$A$5:$A$304,0)),"")))</f>
        <v/>
      </c>
      <c r="J2272" s="16">
        <f>IF(OR(D2272="",F2272=""),"",F2272*I2272-N(H2272))</f>
        <v/>
      </c>
      <c r="K2272" s="16">
        <f>IF(OR(D2272="",F2272=""),"",F2272*IFERROR(INDEX('Sản phẩm'!$D$5:$D$304,MATCH(D2272,'Sản phẩm'!$A$5:$A$304,0)),""))</f>
        <v/>
      </c>
      <c r="L2272" s="16">
        <f>IF(J2272="","",J2272-K2272)</f>
        <v/>
      </c>
      <c r="M2272" s="14">
        <f>IF(A2272="","",MONTH(A2272))</f>
        <v/>
      </c>
      <c r="N2272" s="14">
        <f>IF(A2272="","",YEAR(A2272))</f>
        <v/>
      </c>
    </row>
    <row r="2273">
      <c r="A2273" s="15" t="n"/>
      <c r="B2273" s="10" t="n"/>
      <c r="C2273" s="10" t="n"/>
      <c r="D2273" s="10" t="n"/>
      <c r="E2273" s="14">
        <f>IF(D2273="","",IFERROR(INDEX('Sản phẩm'!$B$5:$B$304,MATCH(D2273,'Sản phẩm'!$A$5:$A$304,0)),""))</f>
        <v/>
      </c>
      <c r="F2273" s="12" t="n"/>
      <c r="G2273" s="11" t="n"/>
      <c r="H2273" s="11" t="n"/>
      <c r="I2273" s="16">
        <f>IF(D2273="","",IF(G2273&lt;&gt;"",G2273,IFERROR(INDEX('Sản phẩm'!$E$5:$E$304,MATCH(D2273,'Sản phẩm'!$A$5:$A$304,0)),"")))</f>
        <v/>
      </c>
      <c r="J2273" s="16">
        <f>IF(OR(D2273="",F2273=""),"",F2273*I2273-N(H2273))</f>
        <v/>
      </c>
      <c r="K2273" s="16">
        <f>IF(OR(D2273="",F2273=""),"",F2273*IFERROR(INDEX('Sản phẩm'!$D$5:$D$304,MATCH(D2273,'Sản phẩm'!$A$5:$A$304,0)),""))</f>
        <v/>
      </c>
      <c r="L2273" s="16">
        <f>IF(J2273="","",J2273-K2273)</f>
        <v/>
      </c>
      <c r="M2273" s="14">
        <f>IF(A2273="","",MONTH(A2273))</f>
        <v/>
      </c>
      <c r="N2273" s="14">
        <f>IF(A2273="","",YEAR(A2273))</f>
        <v/>
      </c>
    </row>
    <row r="2274">
      <c r="A2274" s="15" t="n"/>
      <c r="B2274" s="10" t="n"/>
      <c r="C2274" s="10" t="n"/>
      <c r="D2274" s="10" t="n"/>
      <c r="E2274" s="14">
        <f>IF(D2274="","",IFERROR(INDEX('Sản phẩm'!$B$5:$B$304,MATCH(D2274,'Sản phẩm'!$A$5:$A$304,0)),""))</f>
        <v/>
      </c>
      <c r="F2274" s="12" t="n"/>
      <c r="G2274" s="11" t="n"/>
      <c r="H2274" s="11" t="n"/>
      <c r="I2274" s="16">
        <f>IF(D2274="","",IF(G2274&lt;&gt;"",G2274,IFERROR(INDEX('Sản phẩm'!$E$5:$E$304,MATCH(D2274,'Sản phẩm'!$A$5:$A$304,0)),"")))</f>
        <v/>
      </c>
      <c r="J2274" s="16">
        <f>IF(OR(D2274="",F2274=""),"",F2274*I2274-N(H2274))</f>
        <v/>
      </c>
      <c r="K2274" s="16">
        <f>IF(OR(D2274="",F2274=""),"",F2274*IFERROR(INDEX('Sản phẩm'!$D$5:$D$304,MATCH(D2274,'Sản phẩm'!$A$5:$A$304,0)),""))</f>
        <v/>
      </c>
      <c r="L2274" s="16">
        <f>IF(J2274="","",J2274-K2274)</f>
        <v/>
      </c>
      <c r="M2274" s="14">
        <f>IF(A2274="","",MONTH(A2274))</f>
        <v/>
      </c>
      <c r="N2274" s="14">
        <f>IF(A2274="","",YEAR(A2274))</f>
        <v/>
      </c>
    </row>
    <row r="2275">
      <c r="A2275" s="15" t="n"/>
      <c r="B2275" s="10" t="n"/>
      <c r="C2275" s="10" t="n"/>
      <c r="D2275" s="10" t="n"/>
      <c r="E2275" s="14">
        <f>IF(D2275="","",IFERROR(INDEX('Sản phẩm'!$B$5:$B$304,MATCH(D2275,'Sản phẩm'!$A$5:$A$304,0)),""))</f>
        <v/>
      </c>
      <c r="F2275" s="12" t="n"/>
      <c r="G2275" s="11" t="n"/>
      <c r="H2275" s="11" t="n"/>
      <c r="I2275" s="16">
        <f>IF(D2275="","",IF(G2275&lt;&gt;"",G2275,IFERROR(INDEX('Sản phẩm'!$E$5:$E$304,MATCH(D2275,'Sản phẩm'!$A$5:$A$304,0)),"")))</f>
        <v/>
      </c>
      <c r="J2275" s="16">
        <f>IF(OR(D2275="",F2275=""),"",F2275*I2275-N(H2275))</f>
        <v/>
      </c>
      <c r="K2275" s="16">
        <f>IF(OR(D2275="",F2275=""),"",F2275*IFERROR(INDEX('Sản phẩm'!$D$5:$D$304,MATCH(D2275,'Sản phẩm'!$A$5:$A$304,0)),""))</f>
        <v/>
      </c>
      <c r="L2275" s="16">
        <f>IF(J2275="","",J2275-K2275)</f>
        <v/>
      </c>
      <c r="M2275" s="14">
        <f>IF(A2275="","",MONTH(A2275))</f>
        <v/>
      </c>
      <c r="N2275" s="14">
        <f>IF(A2275="","",YEAR(A2275))</f>
        <v/>
      </c>
    </row>
    <row r="2276">
      <c r="A2276" s="15" t="n"/>
      <c r="B2276" s="10" t="n"/>
      <c r="C2276" s="10" t="n"/>
      <c r="D2276" s="10" t="n"/>
      <c r="E2276" s="14">
        <f>IF(D2276="","",IFERROR(INDEX('Sản phẩm'!$B$5:$B$304,MATCH(D2276,'Sản phẩm'!$A$5:$A$304,0)),""))</f>
        <v/>
      </c>
      <c r="F2276" s="12" t="n"/>
      <c r="G2276" s="11" t="n"/>
      <c r="H2276" s="11" t="n"/>
      <c r="I2276" s="16">
        <f>IF(D2276="","",IF(G2276&lt;&gt;"",G2276,IFERROR(INDEX('Sản phẩm'!$E$5:$E$304,MATCH(D2276,'Sản phẩm'!$A$5:$A$304,0)),"")))</f>
        <v/>
      </c>
      <c r="J2276" s="16">
        <f>IF(OR(D2276="",F2276=""),"",F2276*I2276-N(H2276))</f>
        <v/>
      </c>
      <c r="K2276" s="16">
        <f>IF(OR(D2276="",F2276=""),"",F2276*IFERROR(INDEX('Sản phẩm'!$D$5:$D$304,MATCH(D2276,'Sản phẩm'!$A$5:$A$304,0)),""))</f>
        <v/>
      </c>
      <c r="L2276" s="16">
        <f>IF(J2276="","",J2276-K2276)</f>
        <v/>
      </c>
      <c r="M2276" s="14">
        <f>IF(A2276="","",MONTH(A2276))</f>
        <v/>
      </c>
      <c r="N2276" s="14">
        <f>IF(A2276="","",YEAR(A2276))</f>
        <v/>
      </c>
    </row>
    <row r="2277">
      <c r="A2277" s="15" t="n"/>
      <c r="B2277" s="10" t="n"/>
      <c r="C2277" s="10" t="n"/>
      <c r="D2277" s="10" t="n"/>
      <c r="E2277" s="14">
        <f>IF(D2277="","",IFERROR(INDEX('Sản phẩm'!$B$5:$B$304,MATCH(D2277,'Sản phẩm'!$A$5:$A$304,0)),""))</f>
        <v/>
      </c>
      <c r="F2277" s="12" t="n"/>
      <c r="G2277" s="11" t="n"/>
      <c r="H2277" s="11" t="n"/>
      <c r="I2277" s="16">
        <f>IF(D2277="","",IF(G2277&lt;&gt;"",G2277,IFERROR(INDEX('Sản phẩm'!$E$5:$E$304,MATCH(D2277,'Sản phẩm'!$A$5:$A$304,0)),"")))</f>
        <v/>
      </c>
      <c r="J2277" s="16">
        <f>IF(OR(D2277="",F2277=""),"",F2277*I2277-N(H2277))</f>
        <v/>
      </c>
      <c r="K2277" s="16">
        <f>IF(OR(D2277="",F2277=""),"",F2277*IFERROR(INDEX('Sản phẩm'!$D$5:$D$304,MATCH(D2277,'Sản phẩm'!$A$5:$A$304,0)),""))</f>
        <v/>
      </c>
      <c r="L2277" s="16">
        <f>IF(J2277="","",J2277-K2277)</f>
        <v/>
      </c>
      <c r="M2277" s="14">
        <f>IF(A2277="","",MONTH(A2277))</f>
        <v/>
      </c>
      <c r="N2277" s="14">
        <f>IF(A2277="","",YEAR(A2277))</f>
        <v/>
      </c>
    </row>
    <row r="2278">
      <c r="A2278" s="15" t="n"/>
      <c r="B2278" s="10" t="n"/>
      <c r="C2278" s="10" t="n"/>
      <c r="D2278" s="10" t="n"/>
      <c r="E2278" s="14">
        <f>IF(D2278="","",IFERROR(INDEX('Sản phẩm'!$B$5:$B$304,MATCH(D2278,'Sản phẩm'!$A$5:$A$304,0)),""))</f>
        <v/>
      </c>
      <c r="F2278" s="12" t="n"/>
      <c r="G2278" s="11" t="n"/>
      <c r="H2278" s="11" t="n"/>
      <c r="I2278" s="16">
        <f>IF(D2278="","",IF(G2278&lt;&gt;"",G2278,IFERROR(INDEX('Sản phẩm'!$E$5:$E$304,MATCH(D2278,'Sản phẩm'!$A$5:$A$304,0)),"")))</f>
        <v/>
      </c>
      <c r="J2278" s="16">
        <f>IF(OR(D2278="",F2278=""),"",F2278*I2278-N(H2278))</f>
        <v/>
      </c>
      <c r="K2278" s="16">
        <f>IF(OR(D2278="",F2278=""),"",F2278*IFERROR(INDEX('Sản phẩm'!$D$5:$D$304,MATCH(D2278,'Sản phẩm'!$A$5:$A$304,0)),""))</f>
        <v/>
      </c>
      <c r="L2278" s="16">
        <f>IF(J2278="","",J2278-K2278)</f>
        <v/>
      </c>
      <c r="M2278" s="14">
        <f>IF(A2278="","",MONTH(A2278))</f>
        <v/>
      </c>
      <c r="N2278" s="14">
        <f>IF(A2278="","",YEAR(A2278))</f>
        <v/>
      </c>
    </row>
    <row r="2279">
      <c r="A2279" s="15" t="n"/>
      <c r="B2279" s="10" t="n"/>
      <c r="C2279" s="10" t="n"/>
      <c r="D2279" s="10" t="n"/>
      <c r="E2279" s="14">
        <f>IF(D2279="","",IFERROR(INDEX('Sản phẩm'!$B$5:$B$304,MATCH(D2279,'Sản phẩm'!$A$5:$A$304,0)),""))</f>
        <v/>
      </c>
      <c r="F2279" s="12" t="n"/>
      <c r="G2279" s="11" t="n"/>
      <c r="H2279" s="11" t="n"/>
      <c r="I2279" s="16">
        <f>IF(D2279="","",IF(G2279&lt;&gt;"",G2279,IFERROR(INDEX('Sản phẩm'!$E$5:$E$304,MATCH(D2279,'Sản phẩm'!$A$5:$A$304,0)),"")))</f>
        <v/>
      </c>
      <c r="J2279" s="16">
        <f>IF(OR(D2279="",F2279=""),"",F2279*I2279-N(H2279))</f>
        <v/>
      </c>
      <c r="K2279" s="16">
        <f>IF(OR(D2279="",F2279=""),"",F2279*IFERROR(INDEX('Sản phẩm'!$D$5:$D$304,MATCH(D2279,'Sản phẩm'!$A$5:$A$304,0)),""))</f>
        <v/>
      </c>
      <c r="L2279" s="16">
        <f>IF(J2279="","",J2279-K2279)</f>
        <v/>
      </c>
      <c r="M2279" s="14">
        <f>IF(A2279="","",MONTH(A2279))</f>
        <v/>
      </c>
      <c r="N2279" s="14">
        <f>IF(A2279="","",YEAR(A2279))</f>
        <v/>
      </c>
    </row>
    <row r="2280">
      <c r="A2280" s="15" t="n"/>
      <c r="B2280" s="10" t="n"/>
      <c r="C2280" s="10" t="n"/>
      <c r="D2280" s="10" t="n"/>
      <c r="E2280" s="14">
        <f>IF(D2280="","",IFERROR(INDEX('Sản phẩm'!$B$5:$B$304,MATCH(D2280,'Sản phẩm'!$A$5:$A$304,0)),""))</f>
        <v/>
      </c>
      <c r="F2280" s="12" t="n"/>
      <c r="G2280" s="11" t="n"/>
      <c r="H2280" s="11" t="n"/>
      <c r="I2280" s="16">
        <f>IF(D2280="","",IF(G2280&lt;&gt;"",G2280,IFERROR(INDEX('Sản phẩm'!$E$5:$E$304,MATCH(D2280,'Sản phẩm'!$A$5:$A$304,0)),"")))</f>
        <v/>
      </c>
      <c r="J2280" s="16">
        <f>IF(OR(D2280="",F2280=""),"",F2280*I2280-N(H2280))</f>
        <v/>
      </c>
      <c r="K2280" s="16">
        <f>IF(OR(D2280="",F2280=""),"",F2280*IFERROR(INDEX('Sản phẩm'!$D$5:$D$304,MATCH(D2280,'Sản phẩm'!$A$5:$A$304,0)),""))</f>
        <v/>
      </c>
      <c r="L2280" s="16">
        <f>IF(J2280="","",J2280-K2280)</f>
        <v/>
      </c>
      <c r="M2280" s="14">
        <f>IF(A2280="","",MONTH(A2280))</f>
        <v/>
      </c>
      <c r="N2280" s="14">
        <f>IF(A2280="","",YEAR(A2280))</f>
        <v/>
      </c>
    </row>
    <row r="2281">
      <c r="A2281" s="15" t="n"/>
      <c r="B2281" s="10" t="n"/>
      <c r="C2281" s="10" t="n"/>
      <c r="D2281" s="10" t="n"/>
      <c r="E2281" s="14">
        <f>IF(D2281="","",IFERROR(INDEX('Sản phẩm'!$B$5:$B$304,MATCH(D2281,'Sản phẩm'!$A$5:$A$304,0)),""))</f>
        <v/>
      </c>
      <c r="F2281" s="12" t="n"/>
      <c r="G2281" s="11" t="n"/>
      <c r="H2281" s="11" t="n"/>
      <c r="I2281" s="16">
        <f>IF(D2281="","",IF(G2281&lt;&gt;"",G2281,IFERROR(INDEX('Sản phẩm'!$E$5:$E$304,MATCH(D2281,'Sản phẩm'!$A$5:$A$304,0)),"")))</f>
        <v/>
      </c>
      <c r="J2281" s="16">
        <f>IF(OR(D2281="",F2281=""),"",F2281*I2281-N(H2281))</f>
        <v/>
      </c>
      <c r="K2281" s="16">
        <f>IF(OR(D2281="",F2281=""),"",F2281*IFERROR(INDEX('Sản phẩm'!$D$5:$D$304,MATCH(D2281,'Sản phẩm'!$A$5:$A$304,0)),""))</f>
        <v/>
      </c>
      <c r="L2281" s="16">
        <f>IF(J2281="","",J2281-K2281)</f>
        <v/>
      </c>
      <c r="M2281" s="14">
        <f>IF(A2281="","",MONTH(A2281))</f>
        <v/>
      </c>
      <c r="N2281" s="14">
        <f>IF(A2281="","",YEAR(A2281))</f>
        <v/>
      </c>
    </row>
    <row r="2282">
      <c r="A2282" s="15" t="n"/>
      <c r="B2282" s="10" t="n"/>
      <c r="C2282" s="10" t="n"/>
      <c r="D2282" s="10" t="n"/>
      <c r="E2282" s="14">
        <f>IF(D2282="","",IFERROR(INDEX('Sản phẩm'!$B$5:$B$304,MATCH(D2282,'Sản phẩm'!$A$5:$A$304,0)),""))</f>
        <v/>
      </c>
      <c r="F2282" s="12" t="n"/>
      <c r="G2282" s="11" t="n"/>
      <c r="H2282" s="11" t="n"/>
      <c r="I2282" s="16">
        <f>IF(D2282="","",IF(G2282&lt;&gt;"",G2282,IFERROR(INDEX('Sản phẩm'!$E$5:$E$304,MATCH(D2282,'Sản phẩm'!$A$5:$A$304,0)),"")))</f>
        <v/>
      </c>
      <c r="J2282" s="16">
        <f>IF(OR(D2282="",F2282=""),"",F2282*I2282-N(H2282))</f>
        <v/>
      </c>
      <c r="K2282" s="16">
        <f>IF(OR(D2282="",F2282=""),"",F2282*IFERROR(INDEX('Sản phẩm'!$D$5:$D$304,MATCH(D2282,'Sản phẩm'!$A$5:$A$304,0)),""))</f>
        <v/>
      </c>
      <c r="L2282" s="16">
        <f>IF(J2282="","",J2282-K2282)</f>
        <v/>
      </c>
      <c r="M2282" s="14">
        <f>IF(A2282="","",MONTH(A2282))</f>
        <v/>
      </c>
      <c r="N2282" s="14">
        <f>IF(A2282="","",YEAR(A2282))</f>
        <v/>
      </c>
    </row>
    <row r="2283">
      <c r="A2283" s="15" t="n"/>
      <c r="B2283" s="10" t="n"/>
      <c r="C2283" s="10" t="n"/>
      <c r="D2283" s="10" t="n"/>
      <c r="E2283" s="14">
        <f>IF(D2283="","",IFERROR(INDEX('Sản phẩm'!$B$5:$B$304,MATCH(D2283,'Sản phẩm'!$A$5:$A$304,0)),""))</f>
        <v/>
      </c>
      <c r="F2283" s="12" t="n"/>
      <c r="G2283" s="11" t="n"/>
      <c r="H2283" s="11" t="n"/>
      <c r="I2283" s="16">
        <f>IF(D2283="","",IF(G2283&lt;&gt;"",G2283,IFERROR(INDEX('Sản phẩm'!$E$5:$E$304,MATCH(D2283,'Sản phẩm'!$A$5:$A$304,0)),"")))</f>
        <v/>
      </c>
      <c r="J2283" s="16">
        <f>IF(OR(D2283="",F2283=""),"",F2283*I2283-N(H2283))</f>
        <v/>
      </c>
      <c r="K2283" s="16">
        <f>IF(OR(D2283="",F2283=""),"",F2283*IFERROR(INDEX('Sản phẩm'!$D$5:$D$304,MATCH(D2283,'Sản phẩm'!$A$5:$A$304,0)),""))</f>
        <v/>
      </c>
      <c r="L2283" s="16">
        <f>IF(J2283="","",J2283-K2283)</f>
        <v/>
      </c>
      <c r="M2283" s="14">
        <f>IF(A2283="","",MONTH(A2283))</f>
        <v/>
      </c>
      <c r="N2283" s="14">
        <f>IF(A2283="","",YEAR(A2283))</f>
        <v/>
      </c>
    </row>
    <row r="2284">
      <c r="A2284" s="15" t="n"/>
      <c r="B2284" s="10" t="n"/>
      <c r="C2284" s="10" t="n"/>
      <c r="D2284" s="10" t="n"/>
      <c r="E2284" s="14">
        <f>IF(D2284="","",IFERROR(INDEX('Sản phẩm'!$B$5:$B$304,MATCH(D2284,'Sản phẩm'!$A$5:$A$304,0)),""))</f>
        <v/>
      </c>
      <c r="F2284" s="12" t="n"/>
      <c r="G2284" s="11" t="n"/>
      <c r="H2284" s="11" t="n"/>
      <c r="I2284" s="16">
        <f>IF(D2284="","",IF(G2284&lt;&gt;"",G2284,IFERROR(INDEX('Sản phẩm'!$E$5:$E$304,MATCH(D2284,'Sản phẩm'!$A$5:$A$304,0)),"")))</f>
        <v/>
      </c>
      <c r="J2284" s="16">
        <f>IF(OR(D2284="",F2284=""),"",F2284*I2284-N(H2284))</f>
        <v/>
      </c>
      <c r="K2284" s="16">
        <f>IF(OR(D2284="",F2284=""),"",F2284*IFERROR(INDEX('Sản phẩm'!$D$5:$D$304,MATCH(D2284,'Sản phẩm'!$A$5:$A$304,0)),""))</f>
        <v/>
      </c>
      <c r="L2284" s="16">
        <f>IF(J2284="","",J2284-K2284)</f>
        <v/>
      </c>
      <c r="M2284" s="14">
        <f>IF(A2284="","",MONTH(A2284))</f>
        <v/>
      </c>
      <c r="N2284" s="14">
        <f>IF(A2284="","",YEAR(A2284))</f>
        <v/>
      </c>
    </row>
    <row r="2285">
      <c r="A2285" s="15" t="n"/>
      <c r="B2285" s="10" t="n"/>
      <c r="C2285" s="10" t="n"/>
      <c r="D2285" s="10" t="n"/>
      <c r="E2285" s="14">
        <f>IF(D2285="","",IFERROR(INDEX('Sản phẩm'!$B$5:$B$304,MATCH(D2285,'Sản phẩm'!$A$5:$A$304,0)),""))</f>
        <v/>
      </c>
      <c r="F2285" s="12" t="n"/>
      <c r="G2285" s="11" t="n"/>
      <c r="H2285" s="11" t="n"/>
      <c r="I2285" s="16">
        <f>IF(D2285="","",IF(G2285&lt;&gt;"",G2285,IFERROR(INDEX('Sản phẩm'!$E$5:$E$304,MATCH(D2285,'Sản phẩm'!$A$5:$A$304,0)),"")))</f>
        <v/>
      </c>
      <c r="J2285" s="16">
        <f>IF(OR(D2285="",F2285=""),"",F2285*I2285-N(H2285))</f>
        <v/>
      </c>
      <c r="K2285" s="16">
        <f>IF(OR(D2285="",F2285=""),"",F2285*IFERROR(INDEX('Sản phẩm'!$D$5:$D$304,MATCH(D2285,'Sản phẩm'!$A$5:$A$304,0)),""))</f>
        <v/>
      </c>
      <c r="L2285" s="16">
        <f>IF(J2285="","",J2285-K2285)</f>
        <v/>
      </c>
      <c r="M2285" s="14">
        <f>IF(A2285="","",MONTH(A2285))</f>
        <v/>
      </c>
      <c r="N2285" s="14">
        <f>IF(A2285="","",YEAR(A2285))</f>
        <v/>
      </c>
    </row>
    <row r="2286">
      <c r="A2286" s="15" t="n"/>
      <c r="B2286" s="10" t="n"/>
      <c r="C2286" s="10" t="n"/>
      <c r="D2286" s="10" t="n"/>
      <c r="E2286" s="14">
        <f>IF(D2286="","",IFERROR(INDEX('Sản phẩm'!$B$5:$B$304,MATCH(D2286,'Sản phẩm'!$A$5:$A$304,0)),""))</f>
        <v/>
      </c>
      <c r="F2286" s="12" t="n"/>
      <c r="G2286" s="11" t="n"/>
      <c r="H2286" s="11" t="n"/>
      <c r="I2286" s="16">
        <f>IF(D2286="","",IF(G2286&lt;&gt;"",G2286,IFERROR(INDEX('Sản phẩm'!$E$5:$E$304,MATCH(D2286,'Sản phẩm'!$A$5:$A$304,0)),"")))</f>
        <v/>
      </c>
      <c r="J2286" s="16">
        <f>IF(OR(D2286="",F2286=""),"",F2286*I2286-N(H2286))</f>
        <v/>
      </c>
      <c r="K2286" s="16">
        <f>IF(OR(D2286="",F2286=""),"",F2286*IFERROR(INDEX('Sản phẩm'!$D$5:$D$304,MATCH(D2286,'Sản phẩm'!$A$5:$A$304,0)),""))</f>
        <v/>
      </c>
      <c r="L2286" s="16">
        <f>IF(J2286="","",J2286-K2286)</f>
        <v/>
      </c>
      <c r="M2286" s="14">
        <f>IF(A2286="","",MONTH(A2286))</f>
        <v/>
      </c>
      <c r="N2286" s="14">
        <f>IF(A2286="","",YEAR(A2286))</f>
        <v/>
      </c>
    </row>
    <row r="2287">
      <c r="A2287" s="15" t="n"/>
      <c r="B2287" s="10" t="n"/>
      <c r="C2287" s="10" t="n"/>
      <c r="D2287" s="10" t="n"/>
      <c r="E2287" s="14">
        <f>IF(D2287="","",IFERROR(INDEX('Sản phẩm'!$B$5:$B$304,MATCH(D2287,'Sản phẩm'!$A$5:$A$304,0)),""))</f>
        <v/>
      </c>
      <c r="F2287" s="12" t="n"/>
      <c r="G2287" s="11" t="n"/>
      <c r="H2287" s="11" t="n"/>
      <c r="I2287" s="16">
        <f>IF(D2287="","",IF(G2287&lt;&gt;"",G2287,IFERROR(INDEX('Sản phẩm'!$E$5:$E$304,MATCH(D2287,'Sản phẩm'!$A$5:$A$304,0)),"")))</f>
        <v/>
      </c>
      <c r="J2287" s="16">
        <f>IF(OR(D2287="",F2287=""),"",F2287*I2287-N(H2287))</f>
        <v/>
      </c>
      <c r="K2287" s="16">
        <f>IF(OR(D2287="",F2287=""),"",F2287*IFERROR(INDEX('Sản phẩm'!$D$5:$D$304,MATCH(D2287,'Sản phẩm'!$A$5:$A$304,0)),""))</f>
        <v/>
      </c>
      <c r="L2287" s="16">
        <f>IF(J2287="","",J2287-K2287)</f>
        <v/>
      </c>
      <c r="M2287" s="14">
        <f>IF(A2287="","",MONTH(A2287))</f>
        <v/>
      </c>
      <c r="N2287" s="14">
        <f>IF(A2287="","",YEAR(A2287))</f>
        <v/>
      </c>
    </row>
    <row r="2288">
      <c r="A2288" s="15" t="n"/>
      <c r="B2288" s="10" t="n"/>
      <c r="C2288" s="10" t="n"/>
      <c r="D2288" s="10" t="n"/>
      <c r="E2288" s="14">
        <f>IF(D2288="","",IFERROR(INDEX('Sản phẩm'!$B$5:$B$304,MATCH(D2288,'Sản phẩm'!$A$5:$A$304,0)),""))</f>
        <v/>
      </c>
      <c r="F2288" s="12" t="n"/>
      <c r="G2288" s="11" t="n"/>
      <c r="H2288" s="11" t="n"/>
      <c r="I2288" s="16">
        <f>IF(D2288="","",IF(G2288&lt;&gt;"",G2288,IFERROR(INDEX('Sản phẩm'!$E$5:$E$304,MATCH(D2288,'Sản phẩm'!$A$5:$A$304,0)),"")))</f>
        <v/>
      </c>
      <c r="J2288" s="16">
        <f>IF(OR(D2288="",F2288=""),"",F2288*I2288-N(H2288))</f>
        <v/>
      </c>
      <c r="K2288" s="16">
        <f>IF(OR(D2288="",F2288=""),"",F2288*IFERROR(INDEX('Sản phẩm'!$D$5:$D$304,MATCH(D2288,'Sản phẩm'!$A$5:$A$304,0)),""))</f>
        <v/>
      </c>
      <c r="L2288" s="16">
        <f>IF(J2288="","",J2288-K2288)</f>
        <v/>
      </c>
      <c r="M2288" s="14">
        <f>IF(A2288="","",MONTH(A2288))</f>
        <v/>
      </c>
      <c r="N2288" s="14">
        <f>IF(A2288="","",YEAR(A2288))</f>
        <v/>
      </c>
    </row>
    <row r="2289">
      <c r="A2289" s="15" t="n"/>
      <c r="B2289" s="10" t="n"/>
      <c r="C2289" s="10" t="n"/>
      <c r="D2289" s="10" t="n"/>
      <c r="E2289" s="14">
        <f>IF(D2289="","",IFERROR(INDEX('Sản phẩm'!$B$5:$B$304,MATCH(D2289,'Sản phẩm'!$A$5:$A$304,0)),""))</f>
        <v/>
      </c>
      <c r="F2289" s="12" t="n"/>
      <c r="G2289" s="11" t="n"/>
      <c r="H2289" s="11" t="n"/>
      <c r="I2289" s="16">
        <f>IF(D2289="","",IF(G2289&lt;&gt;"",G2289,IFERROR(INDEX('Sản phẩm'!$E$5:$E$304,MATCH(D2289,'Sản phẩm'!$A$5:$A$304,0)),"")))</f>
        <v/>
      </c>
      <c r="J2289" s="16">
        <f>IF(OR(D2289="",F2289=""),"",F2289*I2289-N(H2289))</f>
        <v/>
      </c>
      <c r="K2289" s="16">
        <f>IF(OR(D2289="",F2289=""),"",F2289*IFERROR(INDEX('Sản phẩm'!$D$5:$D$304,MATCH(D2289,'Sản phẩm'!$A$5:$A$304,0)),""))</f>
        <v/>
      </c>
      <c r="L2289" s="16">
        <f>IF(J2289="","",J2289-K2289)</f>
        <v/>
      </c>
      <c r="M2289" s="14">
        <f>IF(A2289="","",MONTH(A2289))</f>
        <v/>
      </c>
      <c r="N2289" s="14">
        <f>IF(A2289="","",YEAR(A2289))</f>
        <v/>
      </c>
    </row>
    <row r="2290">
      <c r="A2290" s="15" t="n"/>
      <c r="B2290" s="10" t="n"/>
      <c r="C2290" s="10" t="n"/>
      <c r="D2290" s="10" t="n"/>
      <c r="E2290" s="14">
        <f>IF(D2290="","",IFERROR(INDEX('Sản phẩm'!$B$5:$B$304,MATCH(D2290,'Sản phẩm'!$A$5:$A$304,0)),""))</f>
        <v/>
      </c>
      <c r="F2290" s="12" t="n"/>
      <c r="G2290" s="11" t="n"/>
      <c r="H2290" s="11" t="n"/>
      <c r="I2290" s="16">
        <f>IF(D2290="","",IF(G2290&lt;&gt;"",G2290,IFERROR(INDEX('Sản phẩm'!$E$5:$E$304,MATCH(D2290,'Sản phẩm'!$A$5:$A$304,0)),"")))</f>
        <v/>
      </c>
      <c r="J2290" s="16">
        <f>IF(OR(D2290="",F2290=""),"",F2290*I2290-N(H2290))</f>
        <v/>
      </c>
      <c r="K2290" s="16">
        <f>IF(OR(D2290="",F2290=""),"",F2290*IFERROR(INDEX('Sản phẩm'!$D$5:$D$304,MATCH(D2290,'Sản phẩm'!$A$5:$A$304,0)),""))</f>
        <v/>
      </c>
      <c r="L2290" s="16">
        <f>IF(J2290="","",J2290-K2290)</f>
        <v/>
      </c>
      <c r="M2290" s="14">
        <f>IF(A2290="","",MONTH(A2290))</f>
        <v/>
      </c>
      <c r="N2290" s="14">
        <f>IF(A2290="","",YEAR(A2290))</f>
        <v/>
      </c>
    </row>
    <row r="2291">
      <c r="A2291" s="15" t="n"/>
      <c r="B2291" s="10" t="n"/>
      <c r="C2291" s="10" t="n"/>
      <c r="D2291" s="10" t="n"/>
      <c r="E2291" s="14">
        <f>IF(D2291="","",IFERROR(INDEX('Sản phẩm'!$B$5:$B$304,MATCH(D2291,'Sản phẩm'!$A$5:$A$304,0)),""))</f>
        <v/>
      </c>
      <c r="F2291" s="12" t="n"/>
      <c r="G2291" s="11" t="n"/>
      <c r="H2291" s="11" t="n"/>
      <c r="I2291" s="16">
        <f>IF(D2291="","",IF(G2291&lt;&gt;"",G2291,IFERROR(INDEX('Sản phẩm'!$E$5:$E$304,MATCH(D2291,'Sản phẩm'!$A$5:$A$304,0)),"")))</f>
        <v/>
      </c>
      <c r="J2291" s="16">
        <f>IF(OR(D2291="",F2291=""),"",F2291*I2291-N(H2291))</f>
        <v/>
      </c>
      <c r="K2291" s="16">
        <f>IF(OR(D2291="",F2291=""),"",F2291*IFERROR(INDEX('Sản phẩm'!$D$5:$D$304,MATCH(D2291,'Sản phẩm'!$A$5:$A$304,0)),""))</f>
        <v/>
      </c>
      <c r="L2291" s="16">
        <f>IF(J2291="","",J2291-K2291)</f>
        <v/>
      </c>
      <c r="M2291" s="14">
        <f>IF(A2291="","",MONTH(A2291))</f>
        <v/>
      </c>
      <c r="N2291" s="14">
        <f>IF(A2291="","",YEAR(A2291))</f>
        <v/>
      </c>
    </row>
    <row r="2292">
      <c r="A2292" s="15" t="n"/>
      <c r="B2292" s="10" t="n"/>
      <c r="C2292" s="10" t="n"/>
      <c r="D2292" s="10" t="n"/>
      <c r="E2292" s="14">
        <f>IF(D2292="","",IFERROR(INDEX('Sản phẩm'!$B$5:$B$304,MATCH(D2292,'Sản phẩm'!$A$5:$A$304,0)),""))</f>
        <v/>
      </c>
      <c r="F2292" s="12" t="n"/>
      <c r="G2292" s="11" t="n"/>
      <c r="H2292" s="11" t="n"/>
      <c r="I2292" s="16">
        <f>IF(D2292="","",IF(G2292&lt;&gt;"",G2292,IFERROR(INDEX('Sản phẩm'!$E$5:$E$304,MATCH(D2292,'Sản phẩm'!$A$5:$A$304,0)),"")))</f>
        <v/>
      </c>
      <c r="J2292" s="16">
        <f>IF(OR(D2292="",F2292=""),"",F2292*I2292-N(H2292))</f>
        <v/>
      </c>
      <c r="K2292" s="16">
        <f>IF(OR(D2292="",F2292=""),"",F2292*IFERROR(INDEX('Sản phẩm'!$D$5:$D$304,MATCH(D2292,'Sản phẩm'!$A$5:$A$304,0)),""))</f>
        <v/>
      </c>
      <c r="L2292" s="16">
        <f>IF(J2292="","",J2292-K2292)</f>
        <v/>
      </c>
      <c r="M2292" s="14">
        <f>IF(A2292="","",MONTH(A2292))</f>
        <v/>
      </c>
      <c r="N2292" s="14">
        <f>IF(A2292="","",YEAR(A2292))</f>
        <v/>
      </c>
    </row>
    <row r="2293">
      <c r="A2293" s="15" t="n"/>
      <c r="B2293" s="10" t="n"/>
      <c r="C2293" s="10" t="n"/>
      <c r="D2293" s="10" t="n"/>
      <c r="E2293" s="14">
        <f>IF(D2293="","",IFERROR(INDEX('Sản phẩm'!$B$5:$B$304,MATCH(D2293,'Sản phẩm'!$A$5:$A$304,0)),""))</f>
        <v/>
      </c>
      <c r="F2293" s="12" t="n"/>
      <c r="G2293" s="11" t="n"/>
      <c r="H2293" s="11" t="n"/>
      <c r="I2293" s="16">
        <f>IF(D2293="","",IF(G2293&lt;&gt;"",G2293,IFERROR(INDEX('Sản phẩm'!$E$5:$E$304,MATCH(D2293,'Sản phẩm'!$A$5:$A$304,0)),"")))</f>
        <v/>
      </c>
      <c r="J2293" s="16">
        <f>IF(OR(D2293="",F2293=""),"",F2293*I2293-N(H2293))</f>
        <v/>
      </c>
      <c r="K2293" s="16">
        <f>IF(OR(D2293="",F2293=""),"",F2293*IFERROR(INDEX('Sản phẩm'!$D$5:$D$304,MATCH(D2293,'Sản phẩm'!$A$5:$A$304,0)),""))</f>
        <v/>
      </c>
      <c r="L2293" s="16">
        <f>IF(J2293="","",J2293-K2293)</f>
        <v/>
      </c>
      <c r="M2293" s="14">
        <f>IF(A2293="","",MONTH(A2293))</f>
        <v/>
      </c>
      <c r="N2293" s="14">
        <f>IF(A2293="","",YEAR(A2293))</f>
        <v/>
      </c>
    </row>
    <row r="2294">
      <c r="A2294" s="15" t="n"/>
      <c r="B2294" s="10" t="n"/>
      <c r="C2294" s="10" t="n"/>
      <c r="D2294" s="10" t="n"/>
      <c r="E2294" s="14">
        <f>IF(D2294="","",IFERROR(INDEX('Sản phẩm'!$B$5:$B$304,MATCH(D2294,'Sản phẩm'!$A$5:$A$304,0)),""))</f>
        <v/>
      </c>
      <c r="F2294" s="12" t="n"/>
      <c r="G2294" s="11" t="n"/>
      <c r="H2294" s="11" t="n"/>
      <c r="I2294" s="16">
        <f>IF(D2294="","",IF(G2294&lt;&gt;"",G2294,IFERROR(INDEX('Sản phẩm'!$E$5:$E$304,MATCH(D2294,'Sản phẩm'!$A$5:$A$304,0)),"")))</f>
        <v/>
      </c>
      <c r="J2294" s="16">
        <f>IF(OR(D2294="",F2294=""),"",F2294*I2294-N(H2294))</f>
        <v/>
      </c>
      <c r="K2294" s="16">
        <f>IF(OR(D2294="",F2294=""),"",F2294*IFERROR(INDEX('Sản phẩm'!$D$5:$D$304,MATCH(D2294,'Sản phẩm'!$A$5:$A$304,0)),""))</f>
        <v/>
      </c>
      <c r="L2294" s="16">
        <f>IF(J2294="","",J2294-K2294)</f>
        <v/>
      </c>
      <c r="M2294" s="14">
        <f>IF(A2294="","",MONTH(A2294))</f>
        <v/>
      </c>
      <c r="N2294" s="14">
        <f>IF(A2294="","",YEAR(A2294))</f>
        <v/>
      </c>
    </row>
    <row r="2295">
      <c r="A2295" s="15" t="n"/>
      <c r="B2295" s="10" t="n"/>
      <c r="C2295" s="10" t="n"/>
      <c r="D2295" s="10" t="n"/>
      <c r="E2295" s="14">
        <f>IF(D2295="","",IFERROR(INDEX('Sản phẩm'!$B$5:$B$304,MATCH(D2295,'Sản phẩm'!$A$5:$A$304,0)),""))</f>
        <v/>
      </c>
      <c r="F2295" s="12" t="n"/>
      <c r="G2295" s="11" t="n"/>
      <c r="H2295" s="11" t="n"/>
      <c r="I2295" s="16">
        <f>IF(D2295="","",IF(G2295&lt;&gt;"",G2295,IFERROR(INDEX('Sản phẩm'!$E$5:$E$304,MATCH(D2295,'Sản phẩm'!$A$5:$A$304,0)),"")))</f>
        <v/>
      </c>
      <c r="J2295" s="16">
        <f>IF(OR(D2295="",F2295=""),"",F2295*I2295-N(H2295))</f>
        <v/>
      </c>
      <c r="K2295" s="16">
        <f>IF(OR(D2295="",F2295=""),"",F2295*IFERROR(INDEX('Sản phẩm'!$D$5:$D$304,MATCH(D2295,'Sản phẩm'!$A$5:$A$304,0)),""))</f>
        <v/>
      </c>
      <c r="L2295" s="16">
        <f>IF(J2295="","",J2295-K2295)</f>
        <v/>
      </c>
      <c r="M2295" s="14">
        <f>IF(A2295="","",MONTH(A2295))</f>
        <v/>
      </c>
      <c r="N2295" s="14">
        <f>IF(A2295="","",YEAR(A2295))</f>
        <v/>
      </c>
    </row>
    <row r="2296">
      <c r="A2296" s="15" t="n"/>
      <c r="B2296" s="10" t="n"/>
      <c r="C2296" s="10" t="n"/>
      <c r="D2296" s="10" t="n"/>
      <c r="E2296" s="14">
        <f>IF(D2296="","",IFERROR(INDEX('Sản phẩm'!$B$5:$B$304,MATCH(D2296,'Sản phẩm'!$A$5:$A$304,0)),""))</f>
        <v/>
      </c>
      <c r="F2296" s="12" t="n"/>
      <c r="G2296" s="11" t="n"/>
      <c r="H2296" s="11" t="n"/>
      <c r="I2296" s="16">
        <f>IF(D2296="","",IF(G2296&lt;&gt;"",G2296,IFERROR(INDEX('Sản phẩm'!$E$5:$E$304,MATCH(D2296,'Sản phẩm'!$A$5:$A$304,0)),"")))</f>
        <v/>
      </c>
      <c r="J2296" s="16">
        <f>IF(OR(D2296="",F2296=""),"",F2296*I2296-N(H2296))</f>
        <v/>
      </c>
      <c r="K2296" s="16">
        <f>IF(OR(D2296="",F2296=""),"",F2296*IFERROR(INDEX('Sản phẩm'!$D$5:$D$304,MATCH(D2296,'Sản phẩm'!$A$5:$A$304,0)),""))</f>
        <v/>
      </c>
      <c r="L2296" s="16">
        <f>IF(J2296="","",J2296-K2296)</f>
        <v/>
      </c>
      <c r="M2296" s="14">
        <f>IF(A2296="","",MONTH(A2296))</f>
        <v/>
      </c>
      <c r="N2296" s="14">
        <f>IF(A2296="","",YEAR(A2296))</f>
        <v/>
      </c>
    </row>
    <row r="2297">
      <c r="A2297" s="15" t="n"/>
      <c r="B2297" s="10" t="n"/>
      <c r="C2297" s="10" t="n"/>
      <c r="D2297" s="10" t="n"/>
      <c r="E2297" s="14">
        <f>IF(D2297="","",IFERROR(INDEX('Sản phẩm'!$B$5:$B$304,MATCH(D2297,'Sản phẩm'!$A$5:$A$304,0)),""))</f>
        <v/>
      </c>
      <c r="F2297" s="12" t="n"/>
      <c r="G2297" s="11" t="n"/>
      <c r="H2297" s="11" t="n"/>
      <c r="I2297" s="16">
        <f>IF(D2297="","",IF(G2297&lt;&gt;"",G2297,IFERROR(INDEX('Sản phẩm'!$E$5:$E$304,MATCH(D2297,'Sản phẩm'!$A$5:$A$304,0)),"")))</f>
        <v/>
      </c>
      <c r="J2297" s="16">
        <f>IF(OR(D2297="",F2297=""),"",F2297*I2297-N(H2297))</f>
        <v/>
      </c>
      <c r="K2297" s="16">
        <f>IF(OR(D2297="",F2297=""),"",F2297*IFERROR(INDEX('Sản phẩm'!$D$5:$D$304,MATCH(D2297,'Sản phẩm'!$A$5:$A$304,0)),""))</f>
        <v/>
      </c>
      <c r="L2297" s="16">
        <f>IF(J2297="","",J2297-K2297)</f>
        <v/>
      </c>
      <c r="M2297" s="14">
        <f>IF(A2297="","",MONTH(A2297))</f>
        <v/>
      </c>
      <c r="N2297" s="14">
        <f>IF(A2297="","",YEAR(A2297))</f>
        <v/>
      </c>
    </row>
    <row r="2298">
      <c r="A2298" s="15" t="n"/>
      <c r="B2298" s="10" t="n"/>
      <c r="C2298" s="10" t="n"/>
      <c r="D2298" s="10" t="n"/>
      <c r="E2298" s="14">
        <f>IF(D2298="","",IFERROR(INDEX('Sản phẩm'!$B$5:$B$304,MATCH(D2298,'Sản phẩm'!$A$5:$A$304,0)),""))</f>
        <v/>
      </c>
      <c r="F2298" s="12" t="n"/>
      <c r="G2298" s="11" t="n"/>
      <c r="H2298" s="11" t="n"/>
      <c r="I2298" s="16">
        <f>IF(D2298="","",IF(G2298&lt;&gt;"",G2298,IFERROR(INDEX('Sản phẩm'!$E$5:$E$304,MATCH(D2298,'Sản phẩm'!$A$5:$A$304,0)),"")))</f>
        <v/>
      </c>
      <c r="J2298" s="16">
        <f>IF(OR(D2298="",F2298=""),"",F2298*I2298-N(H2298))</f>
        <v/>
      </c>
      <c r="K2298" s="16">
        <f>IF(OR(D2298="",F2298=""),"",F2298*IFERROR(INDEX('Sản phẩm'!$D$5:$D$304,MATCH(D2298,'Sản phẩm'!$A$5:$A$304,0)),""))</f>
        <v/>
      </c>
      <c r="L2298" s="16">
        <f>IF(J2298="","",J2298-K2298)</f>
        <v/>
      </c>
      <c r="M2298" s="14">
        <f>IF(A2298="","",MONTH(A2298))</f>
        <v/>
      </c>
      <c r="N2298" s="14">
        <f>IF(A2298="","",YEAR(A2298))</f>
        <v/>
      </c>
    </row>
    <row r="2299">
      <c r="A2299" s="15" t="n"/>
      <c r="B2299" s="10" t="n"/>
      <c r="C2299" s="10" t="n"/>
      <c r="D2299" s="10" t="n"/>
      <c r="E2299" s="14">
        <f>IF(D2299="","",IFERROR(INDEX('Sản phẩm'!$B$5:$B$304,MATCH(D2299,'Sản phẩm'!$A$5:$A$304,0)),""))</f>
        <v/>
      </c>
      <c r="F2299" s="12" t="n"/>
      <c r="G2299" s="11" t="n"/>
      <c r="H2299" s="11" t="n"/>
      <c r="I2299" s="16">
        <f>IF(D2299="","",IF(G2299&lt;&gt;"",G2299,IFERROR(INDEX('Sản phẩm'!$E$5:$E$304,MATCH(D2299,'Sản phẩm'!$A$5:$A$304,0)),"")))</f>
        <v/>
      </c>
      <c r="J2299" s="16">
        <f>IF(OR(D2299="",F2299=""),"",F2299*I2299-N(H2299))</f>
        <v/>
      </c>
      <c r="K2299" s="16">
        <f>IF(OR(D2299="",F2299=""),"",F2299*IFERROR(INDEX('Sản phẩm'!$D$5:$D$304,MATCH(D2299,'Sản phẩm'!$A$5:$A$304,0)),""))</f>
        <v/>
      </c>
      <c r="L2299" s="16">
        <f>IF(J2299="","",J2299-K2299)</f>
        <v/>
      </c>
      <c r="M2299" s="14">
        <f>IF(A2299="","",MONTH(A2299))</f>
        <v/>
      </c>
      <c r="N2299" s="14">
        <f>IF(A2299="","",YEAR(A2299))</f>
        <v/>
      </c>
    </row>
    <row r="2300">
      <c r="A2300" s="15" t="n"/>
      <c r="B2300" s="10" t="n"/>
      <c r="C2300" s="10" t="n"/>
      <c r="D2300" s="10" t="n"/>
      <c r="E2300" s="14">
        <f>IF(D2300="","",IFERROR(INDEX('Sản phẩm'!$B$5:$B$304,MATCH(D2300,'Sản phẩm'!$A$5:$A$304,0)),""))</f>
        <v/>
      </c>
      <c r="F2300" s="12" t="n"/>
      <c r="G2300" s="11" t="n"/>
      <c r="H2300" s="11" t="n"/>
      <c r="I2300" s="16">
        <f>IF(D2300="","",IF(G2300&lt;&gt;"",G2300,IFERROR(INDEX('Sản phẩm'!$E$5:$E$304,MATCH(D2300,'Sản phẩm'!$A$5:$A$304,0)),"")))</f>
        <v/>
      </c>
      <c r="J2300" s="16">
        <f>IF(OR(D2300="",F2300=""),"",F2300*I2300-N(H2300))</f>
        <v/>
      </c>
      <c r="K2300" s="16">
        <f>IF(OR(D2300="",F2300=""),"",F2300*IFERROR(INDEX('Sản phẩm'!$D$5:$D$304,MATCH(D2300,'Sản phẩm'!$A$5:$A$304,0)),""))</f>
        <v/>
      </c>
      <c r="L2300" s="16">
        <f>IF(J2300="","",J2300-K2300)</f>
        <v/>
      </c>
      <c r="M2300" s="14">
        <f>IF(A2300="","",MONTH(A2300))</f>
        <v/>
      </c>
      <c r="N2300" s="14">
        <f>IF(A2300="","",YEAR(A2300))</f>
        <v/>
      </c>
    </row>
    <row r="2301">
      <c r="A2301" s="15" t="n"/>
      <c r="B2301" s="10" t="n"/>
      <c r="C2301" s="10" t="n"/>
      <c r="D2301" s="10" t="n"/>
      <c r="E2301" s="14">
        <f>IF(D2301="","",IFERROR(INDEX('Sản phẩm'!$B$5:$B$304,MATCH(D2301,'Sản phẩm'!$A$5:$A$304,0)),""))</f>
        <v/>
      </c>
      <c r="F2301" s="12" t="n"/>
      <c r="G2301" s="11" t="n"/>
      <c r="H2301" s="11" t="n"/>
      <c r="I2301" s="16">
        <f>IF(D2301="","",IF(G2301&lt;&gt;"",G2301,IFERROR(INDEX('Sản phẩm'!$E$5:$E$304,MATCH(D2301,'Sản phẩm'!$A$5:$A$304,0)),"")))</f>
        <v/>
      </c>
      <c r="J2301" s="16">
        <f>IF(OR(D2301="",F2301=""),"",F2301*I2301-N(H2301))</f>
        <v/>
      </c>
      <c r="K2301" s="16">
        <f>IF(OR(D2301="",F2301=""),"",F2301*IFERROR(INDEX('Sản phẩm'!$D$5:$D$304,MATCH(D2301,'Sản phẩm'!$A$5:$A$304,0)),""))</f>
        <v/>
      </c>
      <c r="L2301" s="16">
        <f>IF(J2301="","",J2301-K2301)</f>
        <v/>
      </c>
      <c r="M2301" s="14">
        <f>IF(A2301="","",MONTH(A2301))</f>
        <v/>
      </c>
      <c r="N2301" s="14">
        <f>IF(A2301="","",YEAR(A2301))</f>
        <v/>
      </c>
    </row>
    <row r="2302">
      <c r="A2302" s="15" t="n"/>
      <c r="B2302" s="10" t="n"/>
      <c r="C2302" s="10" t="n"/>
      <c r="D2302" s="10" t="n"/>
      <c r="E2302" s="14">
        <f>IF(D2302="","",IFERROR(INDEX('Sản phẩm'!$B$5:$B$304,MATCH(D2302,'Sản phẩm'!$A$5:$A$304,0)),""))</f>
        <v/>
      </c>
      <c r="F2302" s="12" t="n"/>
      <c r="G2302" s="11" t="n"/>
      <c r="H2302" s="11" t="n"/>
      <c r="I2302" s="16">
        <f>IF(D2302="","",IF(G2302&lt;&gt;"",G2302,IFERROR(INDEX('Sản phẩm'!$E$5:$E$304,MATCH(D2302,'Sản phẩm'!$A$5:$A$304,0)),"")))</f>
        <v/>
      </c>
      <c r="J2302" s="16">
        <f>IF(OR(D2302="",F2302=""),"",F2302*I2302-N(H2302))</f>
        <v/>
      </c>
      <c r="K2302" s="16">
        <f>IF(OR(D2302="",F2302=""),"",F2302*IFERROR(INDEX('Sản phẩm'!$D$5:$D$304,MATCH(D2302,'Sản phẩm'!$A$5:$A$304,0)),""))</f>
        <v/>
      </c>
      <c r="L2302" s="16">
        <f>IF(J2302="","",J2302-K2302)</f>
        <v/>
      </c>
      <c r="M2302" s="14">
        <f>IF(A2302="","",MONTH(A2302))</f>
        <v/>
      </c>
      <c r="N2302" s="14">
        <f>IF(A2302="","",YEAR(A2302))</f>
        <v/>
      </c>
    </row>
    <row r="2303">
      <c r="A2303" s="15" t="n"/>
      <c r="B2303" s="10" t="n"/>
      <c r="C2303" s="10" t="n"/>
      <c r="D2303" s="10" t="n"/>
      <c r="E2303" s="14">
        <f>IF(D2303="","",IFERROR(INDEX('Sản phẩm'!$B$5:$B$304,MATCH(D2303,'Sản phẩm'!$A$5:$A$304,0)),""))</f>
        <v/>
      </c>
      <c r="F2303" s="12" t="n"/>
      <c r="G2303" s="11" t="n"/>
      <c r="H2303" s="11" t="n"/>
      <c r="I2303" s="16">
        <f>IF(D2303="","",IF(G2303&lt;&gt;"",G2303,IFERROR(INDEX('Sản phẩm'!$E$5:$E$304,MATCH(D2303,'Sản phẩm'!$A$5:$A$304,0)),"")))</f>
        <v/>
      </c>
      <c r="J2303" s="16">
        <f>IF(OR(D2303="",F2303=""),"",F2303*I2303-N(H2303))</f>
        <v/>
      </c>
      <c r="K2303" s="16">
        <f>IF(OR(D2303="",F2303=""),"",F2303*IFERROR(INDEX('Sản phẩm'!$D$5:$D$304,MATCH(D2303,'Sản phẩm'!$A$5:$A$304,0)),""))</f>
        <v/>
      </c>
      <c r="L2303" s="16">
        <f>IF(J2303="","",J2303-K2303)</f>
        <v/>
      </c>
      <c r="M2303" s="14">
        <f>IF(A2303="","",MONTH(A2303))</f>
        <v/>
      </c>
      <c r="N2303" s="14">
        <f>IF(A2303="","",YEAR(A2303))</f>
        <v/>
      </c>
    </row>
    <row r="2304">
      <c r="A2304" s="15" t="n"/>
      <c r="B2304" s="10" t="n"/>
      <c r="C2304" s="10" t="n"/>
      <c r="D2304" s="10" t="n"/>
      <c r="E2304" s="14">
        <f>IF(D2304="","",IFERROR(INDEX('Sản phẩm'!$B$5:$B$304,MATCH(D2304,'Sản phẩm'!$A$5:$A$304,0)),""))</f>
        <v/>
      </c>
      <c r="F2304" s="12" t="n"/>
      <c r="G2304" s="11" t="n"/>
      <c r="H2304" s="11" t="n"/>
      <c r="I2304" s="16">
        <f>IF(D2304="","",IF(G2304&lt;&gt;"",G2304,IFERROR(INDEX('Sản phẩm'!$E$5:$E$304,MATCH(D2304,'Sản phẩm'!$A$5:$A$304,0)),"")))</f>
        <v/>
      </c>
      <c r="J2304" s="16">
        <f>IF(OR(D2304="",F2304=""),"",F2304*I2304-N(H2304))</f>
        <v/>
      </c>
      <c r="K2304" s="16">
        <f>IF(OR(D2304="",F2304=""),"",F2304*IFERROR(INDEX('Sản phẩm'!$D$5:$D$304,MATCH(D2304,'Sản phẩm'!$A$5:$A$304,0)),""))</f>
        <v/>
      </c>
      <c r="L2304" s="16">
        <f>IF(J2304="","",J2304-K2304)</f>
        <v/>
      </c>
      <c r="M2304" s="14">
        <f>IF(A2304="","",MONTH(A2304))</f>
        <v/>
      </c>
      <c r="N2304" s="14">
        <f>IF(A2304="","",YEAR(A2304))</f>
        <v/>
      </c>
    </row>
    <row r="2305">
      <c r="A2305" s="15" t="n"/>
      <c r="B2305" s="10" t="n"/>
      <c r="C2305" s="10" t="n"/>
      <c r="D2305" s="10" t="n"/>
      <c r="E2305" s="14">
        <f>IF(D2305="","",IFERROR(INDEX('Sản phẩm'!$B$5:$B$304,MATCH(D2305,'Sản phẩm'!$A$5:$A$304,0)),""))</f>
        <v/>
      </c>
      <c r="F2305" s="12" t="n"/>
      <c r="G2305" s="11" t="n"/>
      <c r="H2305" s="11" t="n"/>
      <c r="I2305" s="16">
        <f>IF(D2305="","",IF(G2305&lt;&gt;"",G2305,IFERROR(INDEX('Sản phẩm'!$E$5:$E$304,MATCH(D2305,'Sản phẩm'!$A$5:$A$304,0)),"")))</f>
        <v/>
      </c>
      <c r="J2305" s="16">
        <f>IF(OR(D2305="",F2305=""),"",F2305*I2305-N(H2305))</f>
        <v/>
      </c>
      <c r="K2305" s="16">
        <f>IF(OR(D2305="",F2305=""),"",F2305*IFERROR(INDEX('Sản phẩm'!$D$5:$D$304,MATCH(D2305,'Sản phẩm'!$A$5:$A$304,0)),""))</f>
        <v/>
      </c>
      <c r="L2305" s="16">
        <f>IF(J2305="","",J2305-K2305)</f>
        <v/>
      </c>
      <c r="M2305" s="14">
        <f>IF(A2305="","",MONTH(A2305))</f>
        <v/>
      </c>
      <c r="N2305" s="14">
        <f>IF(A2305="","",YEAR(A2305))</f>
        <v/>
      </c>
    </row>
    <row r="2306">
      <c r="A2306" s="15" t="n"/>
      <c r="B2306" s="10" t="n"/>
      <c r="C2306" s="10" t="n"/>
      <c r="D2306" s="10" t="n"/>
      <c r="E2306" s="14">
        <f>IF(D2306="","",IFERROR(INDEX('Sản phẩm'!$B$5:$B$304,MATCH(D2306,'Sản phẩm'!$A$5:$A$304,0)),""))</f>
        <v/>
      </c>
      <c r="F2306" s="12" t="n"/>
      <c r="G2306" s="11" t="n"/>
      <c r="H2306" s="11" t="n"/>
      <c r="I2306" s="16">
        <f>IF(D2306="","",IF(G2306&lt;&gt;"",G2306,IFERROR(INDEX('Sản phẩm'!$E$5:$E$304,MATCH(D2306,'Sản phẩm'!$A$5:$A$304,0)),"")))</f>
        <v/>
      </c>
      <c r="J2306" s="16">
        <f>IF(OR(D2306="",F2306=""),"",F2306*I2306-N(H2306))</f>
        <v/>
      </c>
      <c r="K2306" s="16">
        <f>IF(OR(D2306="",F2306=""),"",F2306*IFERROR(INDEX('Sản phẩm'!$D$5:$D$304,MATCH(D2306,'Sản phẩm'!$A$5:$A$304,0)),""))</f>
        <v/>
      </c>
      <c r="L2306" s="16">
        <f>IF(J2306="","",J2306-K2306)</f>
        <v/>
      </c>
      <c r="M2306" s="14">
        <f>IF(A2306="","",MONTH(A2306))</f>
        <v/>
      </c>
      <c r="N2306" s="14">
        <f>IF(A2306="","",YEAR(A2306))</f>
        <v/>
      </c>
    </row>
    <row r="2307">
      <c r="A2307" s="15" t="n"/>
      <c r="B2307" s="10" t="n"/>
      <c r="C2307" s="10" t="n"/>
      <c r="D2307" s="10" t="n"/>
      <c r="E2307" s="14">
        <f>IF(D2307="","",IFERROR(INDEX('Sản phẩm'!$B$5:$B$304,MATCH(D2307,'Sản phẩm'!$A$5:$A$304,0)),""))</f>
        <v/>
      </c>
      <c r="F2307" s="12" t="n"/>
      <c r="G2307" s="11" t="n"/>
      <c r="H2307" s="11" t="n"/>
      <c r="I2307" s="16">
        <f>IF(D2307="","",IF(G2307&lt;&gt;"",G2307,IFERROR(INDEX('Sản phẩm'!$E$5:$E$304,MATCH(D2307,'Sản phẩm'!$A$5:$A$304,0)),"")))</f>
        <v/>
      </c>
      <c r="J2307" s="16">
        <f>IF(OR(D2307="",F2307=""),"",F2307*I2307-N(H2307))</f>
        <v/>
      </c>
      <c r="K2307" s="16">
        <f>IF(OR(D2307="",F2307=""),"",F2307*IFERROR(INDEX('Sản phẩm'!$D$5:$D$304,MATCH(D2307,'Sản phẩm'!$A$5:$A$304,0)),""))</f>
        <v/>
      </c>
      <c r="L2307" s="16">
        <f>IF(J2307="","",J2307-K2307)</f>
        <v/>
      </c>
      <c r="M2307" s="14">
        <f>IF(A2307="","",MONTH(A2307))</f>
        <v/>
      </c>
      <c r="N2307" s="14">
        <f>IF(A2307="","",YEAR(A2307))</f>
        <v/>
      </c>
    </row>
    <row r="2308">
      <c r="A2308" s="15" t="n"/>
      <c r="B2308" s="10" t="n"/>
      <c r="C2308" s="10" t="n"/>
      <c r="D2308" s="10" t="n"/>
      <c r="E2308" s="14">
        <f>IF(D2308="","",IFERROR(INDEX('Sản phẩm'!$B$5:$B$304,MATCH(D2308,'Sản phẩm'!$A$5:$A$304,0)),""))</f>
        <v/>
      </c>
      <c r="F2308" s="12" t="n"/>
      <c r="G2308" s="11" t="n"/>
      <c r="H2308" s="11" t="n"/>
      <c r="I2308" s="16">
        <f>IF(D2308="","",IF(G2308&lt;&gt;"",G2308,IFERROR(INDEX('Sản phẩm'!$E$5:$E$304,MATCH(D2308,'Sản phẩm'!$A$5:$A$304,0)),"")))</f>
        <v/>
      </c>
      <c r="J2308" s="16">
        <f>IF(OR(D2308="",F2308=""),"",F2308*I2308-N(H2308))</f>
        <v/>
      </c>
      <c r="K2308" s="16">
        <f>IF(OR(D2308="",F2308=""),"",F2308*IFERROR(INDEX('Sản phẩm'!$D$5:$D$304,MATCH(D2308,'Sản phẩm'!$A$5:$A$304,0)),""))</f>
        <v/>
      </c>
      <c r="L2308" s="16">
        <f>IF(J2308="","",J2308-K2308)</f>
        <v/>
      </c>
      <c r="M2308" s="14">
        <f>IF(A2308="","",MONTH(A2308))</f>
        <v/>
      </c>
      <c r="N2308" s="14">
        <f>IF(A2308="","",YEAR(A2308))</f>
        <v/>
      </c>
    </row>
    <row r="2309">
      <c r="A2309" s="15" t="n"/>
      <c r="B2309" s="10" t="n"/>
      <c r="C2309" s="10" t="n"/>
      <c r="D2309" s="10" t="n"/>
      <c r="E2309" s="14">
        <f>IF(D2309="","",IFERROR(INDEX('Sản phẩm'!$B$5:$B$304,MATCH(D2309,'Sản phẩm'!$A$5:$A$304,0)),""))</f>
        <v/>
      </c>
      <c r="F2309" s="12" t="n"/>
      <c r="G2309" s="11" t="n"/>
      <c r="H2309" s="11" t="n"/>
      <c r="I2309" s="16">
        <f>IF(D2309="","",IF(G2309&lt;&gt;"",G2309,IFERROR(INDEX('Sản phẩm'!$E$5:$E$304,MATCH(D2309,'Sản phẩm'!$A$5:$A$304,0)),"")))</f>
        <v/>
      </c>
      <c r="J2309" s="16">
        <f>IF(OR(D2309="",F2309=""),"",F2309*I2309-N(H2309))</f>
        <v/>
      </c>
      <c r="K2309" s="16">
        <f>IF(OR(D2309="",F2309=""),"",F2309*IFERROR(INDEX('Sản phẩm'!$D$5:$D$304,MATCH(D2309,'Sản phẩm'!$A$5:$A$304,0)),""))</f>
        <v/>
      </c>
      <c r="L2309" s="16">
        <f>IF(J2309="","",J2309-K2309)</f>
        <v/>
      </c>
      <c r="M2309" s="14">
        <f>IF(A2309="","",MONTH(A2309))</f>
        <v/>
      </c>
      <c r="N2309" s="14">
        <f>IF(A2309="","",YEAR(A2309))</f>
        <v/>
      </c>
    </row>
    <row r="2310">
      <c r="A2310" s="15" t="n"/>
      <c r="B2310" s="10" t="n"/>
      <c r="C2310" s="10" t="n"/>
      <c r="D2310" s="10" t="n"/>
      <c r="E2310" s="14">
        <f>IF(D2310="","",IFERROR(INDEX('Sản phẩm'!$B$5:$B$304,MATCH(D2310,'Sản phẩm'!$A$5:$A$304,0)),""))</f>
        <v/>
      </c>
      <c r="F2310" s="12" t="n"/>
      <c r="G2310" s="11" t="n"/>
      <c r="H2310" s="11" t="n"/>
      <c r="I2310" s="16">
        <f>IF(D2310="","",IF(G2310&lt;&gt;"",G2310,IFERROR(INDEX('Sản phẩm'!$E$5:$E$304,MATCH(D2310,'Sản phẩm'!$A$5:$A$304,0)),"")))</f>
        <v/>
      </c>
      <c r="J2310" s="16">
        <f>IF(OR(D2310="",F2310=""),"",F2310*I2310-N(H2310))</f>
        <v/>
      </c>
      <c r="K2310" s="16">
        <f>IF(OR(D2310="",F2310=""),"",F2310*IFERROR(INDEX('Sản phẩm'!$D$5:$D$304,MATCH(D2310,'Sản phẩm'!$A$5:$A$304,0)),""))</f>
        <v/>
      </c>
      <c r="L2310" s="16">
        <f>IF(J2310="","",J2310-K2310)</f>
        <v/>
      </c>
      <c r="M2310" s="14">
        <f>IF(A2310="","",MONTH(A2310))</f>
        <v/>
      </c>
      <c r="N2310" s="14">
        <f>IF(A2310="","",YEAR(A2310))</f>
        <v/>
      </c>
    </row>
    <row r="2311">
      <c r="A2311" s="15" t="n"/>
      <c r="B2311" s="10" t="n"/>
      <c r="C2311" s="10" t="n"/>
      <c r="D2311" s="10" t="n"/>
      <c r="E2311" s="14">
        <f>IF(D2311="","",IFERROR(INDEX('Sản phẩm'!$B$5:$B$304,MATCH(D2311,'Sản phẩm'!$A$5:$A$304,0)),""))</f>
        <v/>
      </c>
      <c r="F2311" s="12" t="n"/>
      <c r="G2311" s="11" t="n"/>
      <c r="H2311" s="11" t="n"/>
      <c r="I2311" s="16">
        <f>IF(D2311="","",IF(G2311&lt;&gt;"",G2311,IFERROR(INDEX('Sản phẩm'!$E$5:$E$304,MATCH(D2311,'Sản phẩm'!$A$5:$A$304,0)),"")))</f>
        <v/>
      </c>
      <c r="J2311" s="16">
        <f>IF(OR(D2311="",F2311=""),"",F2311*I2311-N(H2311))</f>
        <v/>
      </c>
      <c r="K2311" s="16">
        <f>IF(OR(D2311="",F2311=""),"",F2311*IFERROR(INDEX('Sản phẩm'!$D$5:$D$304,MATCH(D2311,'Sản phẩm'!$A$5:$A$304,0)),""))</f>
        <v/>
      </c>
      <c r="L2311" s="16">
        <f>IF(J2311="","",J2311-K2311)</f>
        <v/>
      </c>
      <c r="M2311" s="14">
        <f>IF(A2311="","",MONTH(A2311))</f>
        <v/>
      </c>
      <c r="N2311" s="14">
        <f>IF(A2311="","",YEAR(A2311))</f>
        <v/>
      </c>
    </row>
    <row r="2312">
      <c r="A2312" s="15" t="n"/>
      <c r="B2312" s="10" t="n"/>
      <c r="C2312" s="10" t="n"/>
      <c r="D2312" s="10" t="n"/>
      <c r="E2312" s="14">
        <f>IF(D2312="","",IFERROR(INDEX('Sản phẩm'!$B$5:$B$304,MATCH(D2312,'Sản phẩm'!$A$5:$A$304,0)),""))</f>
        <v/>
      </c>
      <c r="F2312" s="12" t="n"/>
      <c r="G2312" s="11" t="n"/>
      <c r="H2312" s="11" t="n"/>
      <c r="I2312" s="16">
        <f>IF(D2312="","",IF(G2312&lt;&gt;"",G2312,IFERROR(INDEX('Sản phẩm'!$E$5:$E$304,MATCH(D2312,'Sản phẩm'!$A$5:$A$304,0)),"")))</f>
        <v/>
      </c>
      <c r="J2312" s="16">
        <f>IF(OR(D2312="",F2312=""),"",F2312*I2312-N(H2312))</f>
        <v/>
      </c>
      <c r="K2312" s="16">
        <f>IF(OR(D2312="",F2312=""),"",F2312*IFERROR(INDEX('Sản phẩm'!$D$5:$D$304,MATCH(D2312,'Sản phẩm'!$A$5:$A$304,0)),""))</f>
        <v/>
      </c>
      <c r="L2312" s="16">
        <f>IF(J2312="","",J2312-K2312)</f>
        <v/>
      </c>
      <c r="M2312" s="14">
        <f>IF(A2312="","",MONTH(A2312))</f>
        <v/>
      </c>
      <c r="N2312" s="14">
        <f>IF(A2312="","",YEAR(A2312))</f>
        <v/>
      </c>
    </row>
    <row r="2313">
      <c r="A2313" s="15" t="n"/>
      <c r="B2313" s="10" t="n"/>
      <c r="C2313" s="10" t="n"/>
      <c r="D2313" s="10" t="n"/>
      <c r="E2313" s="14">
        <f>IF(D2313="","",IFERROR(INDEX('Sản phẩm'!$B$5:$B$304,MATCH(D2313,'Sản phẩm'!$A$5:$A$304,0)),""))</f>
        <v/>
      </c>
      <c r="F2313" s="12" t="n"/>
      <c r="G2313" s="11" t="n"/>
      <c r="H2313" s="11" t="n"/>
      <c r="I2313" s="16">
        <f>IF(D2313="","",IF(G2313&lt;&gt;"",G2313,IFERROR(INDEX('Sản phẩm'!$E$5:$E$304,MATCH(D2313,'Sản phẩm'!$A$5:$A$304,0)),"")))</f>
        <v/>
      </c>
      <c r="J2313" s="16">
        <f>IF(OR(D2313="",F2313=""),"",F2313*I2313-N(H2313))</f>
        <v/>
      </c>
      <c r="K2313" s="16">
        <f>IF(OR(D2313="",F2313=""),"",F2313*IFERROR(INDEX('Sản phẩm'!$D$5:$D$304,MATCH(D2313,'Sản phẩm'!$A$5:$A$304,0)),""))</f>
        <v/>
      </c>
      <c r="L2313" s="16">
        <f>IF(J2313="","",J2313-K2313)</f>
        <v/>
      </c>
      <c r="M2313" s="14">
        <f>IF(A2313="","",MONTH(A2313))</f>
        <v/>
      </c>
      <c r="N2313" s="14">
        <f>IF(A2313="","",YEAR(A2313))</f>
        <v/>
      </c>
    </row>
    <row r="2314">
      <c r="A2314" s="15" t="n"/>
      <c r="B2314" s="10" t="n"/>
      <c r="C2314" s="10" t="n"/>
      <c r="D2314" s="10" t="n"/>
      <c r="E2314" s="14">
        <f>IF(D2314="","",IFERROR(INDEX('Sản phẩm'!$B$5:$B$304,MATCH(D2314,'Sản phẩm'!$A$5:$A$304,0)),""))</f>
        <v/>
      </c>
      <c r="F2314" s="12" t="n"/>
      <c r="G2314" s="11" t="n"/>
      <c r="H2314" s="11" t="n"/>
      <c r="I2314" s="16">
        <f>IF(D2314="","",IF(G2314&lt;&gt;"",G2314,IFERROR(INDEX('Sản phẩm'!$E$5:$E$304,MATCH(D2314,'Sản phẩm'!$A$5:$A$304,0)),"")))</f>
        <v/>
      </c>
      <c r="J2314" s="16">
        <f>IF(OR(D2314="",F2314=""),"",F2314*I2314-N(H2314))</f>
        <v/>
      </c>
      <c r="K2314" s="16">
        <f>IF(OR(D2314="",F2314=""),"",F2314*IFERROR(INDEX('Sản phẩm'!$D$5:$D$304,MATCH(D2314,'Sản phẩm'!$A$5:$A$304,0)),""))</f>
        <v/>
      </c>
      <c r="L2314" s="16">
        <f>IF(J2314="","",J2314-K2314)</f>
        <v/>
      </c>
      <c r="M2314" s="14">
        <f>IF(A2314="","",MONTH(A2314))</f>
        <v/>
      </c>
      <c r="N2314" s="14">
        <f>IF(A2314="","",YEAR(A2314))</f>
        <v/>
      </c>
    </row>
    <row r="2315">
      <c r="A2315" s="15" t="n"/>
      <c r="B2315" s="10" t="n"/>
      <c r="C2315" s="10" t="n"/>
      <c r="D2315" s="10" t="n"/>
      <c r="E2315" s="14">
        <f>IF(D2315="","",IFERROR(INDEX('Sản phẩm'!$B$5:$B$304,MATCH(D2315,'Sản phẩm'!$A$5:$A$304,0)),""))</f>
        <v/>
      </c>
      <c r="F2315" s="12" t="n"/>
      <c r="G2315" s="11" t="n"/>
      <c r="H2315" s="11" t="n"/>
      <c r="I2315" s="16">
        <f>IF(D2315="","",IF(G2315&lt;&gt;"",G2315,IFERROR(INDEX('Sản phẩm'!$E$5:$E$304,MATCH(D2315,'Sản phẩm'!$A$5:$A$304,0)),"")))</f>
        <v/>
      </c>
      <c r="J2315" s="16">
        <f>IF(OR(D2315="",F2315=""),"",F2315*I2315-N(H2315))</f>
        <v/>
      </c>
      <c r="K2315" s="16">
        <f>IF(OR(D2315="",F2315=""),"",F2315*IFERROR(INDEX('Sản phẩm'!$D$5:$D$304,MATCH(D2315,'Sản phẩm'!$A$5:$A$304,0)),""))</f>
        <v/>
      </c>
      <c r="L2315" s="16">
        <f>IF(J2315="","",J2315-K2315)</f>
        <v/>
      </c>
      <c r="M2315" s="14">
        <f>IF(A2315="","",MONTH(A2315))</f>
        <v/>
      </c>
      <c r="N2315" s="14">
        <f>IF(A2315="","",YEAR(A2315))</f>
        <v/>
      </c>
    </row>
    <row r="2316">
      <c r="A2316" s="15" t="n"/>
      <c r="B2316" s="10" t="n"/>
      <c r="C2316" s="10" t="n"/>
      <c r="D2316" s="10" t="n"/>
      <c r="E2316" s="14">
        <f>IF(D2316="","",IFERROR(INDEX('Sản phẩm'!$B$5:$B$304,MATCH(D2316,'Sản phẩm'!$A$5:$A$304,0)),""))</f>
        <v/>
      </c>
      <c r="F2316" s="12" t="n"/>
      <c r="G2316" s="11" t="n"/>
      <c r="H2316" s="11" t="n"/>
      <c r="I2316" s="16">
        <f>IF(D2316="","",IF(G2316&lt;&gt;"",G2316,IFERROR(INDEX('Sản phẩm'!$E$5:$E$304,MATCH(D2316,'Sản phẩm'!$A$5:$A$304,0)),"")))</f>
        <v/>
      </c>
      <c r="J2316" s="16">
        <f>IF(OR(D2316="",F2316=""),"",F2316*I2316-N(H2316))</f>
        <v/>
      </c>
      <c r="K2316" s="16">
        <f>IF(OR(D2316="",F2316=""),"",F2316*IFERROR(INDEX('Sản phẩm'!$D$5:$D$304,MATCH(D2316,'Sản phẩm'!$A$5:$A$304,0)),""))</f>
        <v/>
      </c>
      <c r="L2316" s="16">
        <f>IF(J2316="","",J2316-K2316)</f>
        <v/>
      </c>
      <c r="M2316" s="14">
        <f>IF(A2316="","",MONTH(A2316))</f>
        <v/>
      </c>
      <c r="N2316" s="14">
        <f>IF(A2316="","",YEAR(A2316))</f>
        <v/>
      </c>
    </row>
    <row r="2317">
      <c r="A2317" s="15" t="n"/>
      <c r="B2317" s="10" t="n"/>
      <c r="C2317" s="10" t="n"/>
      <c r="D2317" s="10" t="n"/>
      <c r="E2317" s="14">
        <f>IF(D2317="","",IFERROR(INDEX('Sản phẩm'!$B$5:$B$304,MATCH(D2317,'Sản phẩm'!$A$5:$A$304,0)),""))</f>
        <v/>
      </c>
      <c r="F2317" s="12" t="n"/>
      <c r="G2317" s="11" t="n"/>
      <c r="H2317" s="11" t="n"/>
      <c r="I2317" s="16">
        <f>IF(D2317="","",IF(G2317&lt;&gt;"",G2317,IFERROR(INDEX('Sản phẩm'!$E$5:$E$304,MATCH(D2317,'Sản phẩm'!$A$5:$A$304,0)),"")))</f>
        <v/>
      </c>
      <c r="J2317" s="16">
        <f>IF(OR(D2317="",F2317=""),"",F2317*I2317-N(H2317))</f>
        <v/>
      </c>
      <c r="K2317" s="16">
        <f>IF(OR(D2317="",F2317=""),"",F2317*IFERROR(INDEX('Sản phẩm'!$D$5:$D$304,MATCH(D2317,'Sản phẩm'!$A$5:$A$304,0)),""))</f>
        <v/>
      </c>
      <c r="L2317" s="16">
        <f>IF(J2317="","",J2317-K2317)</f>
        <v/>
      </c>
      <c r="M2317" s="14">
        <f>IF(A2317="","",MONTH(A2317))</f>
        <v/>
      </c>
      <c r="N2317" s="14">
        <f>IF(A2317="","",YEAR(A2317))</f>
        <v/>
      </c>
    </row>
    <row r="2318">
      <c r="A2318" s="15" t="n"/>
      <c r="B2318" s="10" t="n"/>
      <c r="C2318" s="10" t="n"/>
      <c r="D2318" s="10" t="n"/>
      <c r="E2318" s="14">
        <f>IF(D2318="","",IFERROR(INDEX('Sản phẩm'!$B$5:$B$304,MATCH(D2318,'Sản phẩm'!$A$5:$A$304,0)),""))</f>
        <v/>
      </c>
      <c r="F2318" s="12" t="n"/>
      <c r="G2318" s="11" t="n"/>
      <c r="H2318" s="11" t="n"/>
      <c r="I2318" s="16">
        <f>IF(D2318="","",IF(G2318&lt;&gt;"",G2318,IFERROR(INDEX('Sản phẩm'!$E$5:$E$304,MATCH(D2318,'Sản phẩm'!$A$5:$A$304,0)),"")))</f>
        <v/>
      </c>
      <c r="J2318" s="16">
        <f>IF(OR(D2318="",F2318=""),"",F2318*I2318-N(H2318))</f>
        <v/>
      </c>
      <c r="K2318" s="16">
        <f>IF(OR(D2318="",F2318=""),"",F2318*IFERROR(INDEX('Sản phẩm'!$D$5:$D$304,MATCH(D2318,'Sản phẩm'!$A$5:$A$304,0)),""))</f>
        <v/>
      </c>
      <c r="L2318" s="16">
        <f>IF(J2318="","",J2318-K2318)</f>
        <v/>
      </c>
      <c r="M2318" s="14">
        <f>IF(A2318="","",MONTH(A2318))</f>
        <v/>
      </c>
      <c r="N2318" s="14">
        <f>IF(A2318="","",YEAR(A2318))</f>
        <v/>
      </c>
    </row>
    <row r="2319">
      <c r="A2319" s="15" t="n"/>
      <c r="B2319" s="10" t="n"/>
      <c r="C2319" s="10" t="n"/>
      <c r="D2319" s="10" t="n"/>
      <c r="E2319" s="14">
        <f>IF(D2319="","",IFERROR(INDEX('Sản phẩm'!$B$5:$B$304,MATCH(D2319,'Sản phẩm'!$A$5:$A$304,0)),""))</f>
        <v/>
      </c>
      <c r="F2319" s="12" t="n"/>
      <c r="G2319" s="11" t="n"/>
      <c r="H2319" s="11" t="n"/>
      <c r="I2319" s="16">
        <f>IF(D2319="","",IF(G2319&lt;&gt;"",G2319,IFERROR(INDEX('Sản phẩm'!$E$5:$E$304,MATCH(D2319,'Sản phẩm'!$A$5:$A$304,0)),"")))</f>
        <v/>
      </c>
      <c r="J2319" s="16">
        <f>IF(OR(D2319="",F2319=""),"",F2319*I2319-N(H2319))</f>
        <v/>
      </c>
      <c r="K2319" s="16">
        <f>IF(OR(D2319="",F2319=""),"",F2319*IFERROR(INDEX('Sản phẩm'!$D$5:$D$304,MATCH(D2319,'Sản phẩm'!$A$5:$A$304,0)),""))</f>
        <v/>
      </c>
      <c r="L2319" s="16">
        <f>IF(J2319="","",J2319-K2319)</f>
        <v/>
      </c>
      <c r="M2319" s="14">
        <f>IF(A2319="","",MONTH(A2319))</f>
        <v/>
      </c>
      <c r="N2319" s="14">
        <f>IF(A2319="","",YEAR(A2319))</f>
        <v/>
      </c>
    </row>
    <row r="2320">
      <c r="A2320" s="15" t="n"/>
      <c r="B2320" s="10" t="n"/>
      <c r="C2320" s="10" t="n"/>
      <c r="D2320" s="10" t="n"/>
      <c r="E2320" s="14">
        <f>IF(D2320="","",IFERROR(INDEX('Sản phẩm'!$B$5:$B$304,MATCH(D2320,'Sản phẩm'!$A$5:$A$304,0)),""))</f>
        <v/>
      </c>
      <c r="F2320" s="12" t="n"/>
      <c r="G2320" s="11" t="n"/>
      <c r="H2320" s="11" t="n"/>
      <c r="I2320" s="16">
        <f>IF(D2320="","",IF(G2320&lt;&gt;"",G2320,IFERROR(INDEX('Sản phẩm'!$E$5:$E$304,MATCH(D2320,'Sản phẩm'!$A$5:$A$304,0)),"")))</f>
        <v/>
      </c>
      <c r="J2320" s="16">
        <f>IF(OR(D2320="",F2320=""),"",F2320*I2320-N(H2320))</f>
        <v/>
      </c>
      <c r="K2320" s="16">
        <f>IF(OR(D2320="",F2320=""),"",F2320*IFERROR(INDEX('Sản phẩm'!$D$5:$D$304,MATCH(D2320,'Sản phẩm'!$A$5:$A$304,0)),""))</f>
        <v/>
      </c>
      <c r="L2320" s="16">
        <f>IF(J2320="","",J2320-K2320)</f>
        <v/>
      </c>
      <c r="M2320" s="14">
        <f>IF(A2320="","",MONTH(A2320))</f>
        <v/>
      </c>
      <c r="N2320" s="14">
        <f>IF(A2320="","",YEAR(A2320))</f>
        <v/>
      </c>
    </row>
    <row r="2321">
      <c r="A2321" s="15" t="n"/>
      <c r="B2321" s="10" t="n"/>
      <c r="C2321" s="10" t="n"/>
      <c r="D2321" s="10" t="n"/>
      <c r="E2321" s="14">
        <f>IF(D2321="","",IFERROR(INDEX('Sản phẩm'!$B$5:$B$304,MATCH(D2321,'Sản phẩm'!$A$5:$A$304,0)),""))</f>
        <v/>
      </c>
      <c r="F2321" s="12" t="n"/>
      <c r="G2321" s="11" t="n"/>
      <c r="H2321" s="11" t="n"/>
      <c r="I2321" s="16">
        <f>IF(D2321="","",IF(G2321&lt;&gt;"",G2321,IFERROR(INDEX('Sản phẩm'!$E$5:$E$304,MATCH(D2321,'Sản phẩm'!$A$5:$A$304,0)),"")))</f>
        <v/>
      </c>
      <c r="J2321" s="16">
        <f>IF(OR(D2321="",F2321=""),"",F2321*I2321-N(H2321))</f>
        <v/>
      </c>
      <c r="K2321" s="16">
        <f>IF(OR(D2321="",F2321=""),"",F2321*IFERROR(INDEX('Sản phẩm'!$D$5:$D$304,MATCH(D2321,'Sản phẩm'!$A$5:$A$304,0)),""))</f>
        <v/>
      </c>
      <c r="L2321" s="16">
        <f>IF(J2321="","",J2321-K2321)</f>
        <v/>
      </c>
      <c r="M2321" s="14">
        <f>IF(A2321="","",MONTH(A2321))</f>
        <v/>
      </c>
      <c r="N2321" s="14">
        <f>IF(A2321="","",YEAR(A2321))</f>
        <v/>
      </c>
    </row>
    <row r="2322">
      <c r="A2322" s="15" t="n"/>
      <c r="B2322" s="10" t="n"/>
      <c r="C2322" s="10" t="n"/>
      <c r="D2322" s="10" t="n"/>
      <c r="E2322" s="14">
        <f>IF(D2322="","",IFERROR(INDEX('Sản phẩm'!$B$5:$B$304,MATCH(D2322,'Sản phẩm'!$A$5:$A$304,0)),""))</f>
        <v/>
      </c>
      <c r="F2322" s="12" t="n"/>
      <c r="G2322" s="11" t="n"/>
      <c r="H2322" s="11" t="n"/>
      <c r="I2322" s="16">
        <f>IF(D2322="","",IF(G2322&lt;&gt;"",G2322,IFERROR(INDEX('Sản phẩm'!$E$5:$E$304,MATCH(D2322,'Sản phẩm'!$A$5:$A$304,0)),"")))</f>
        <v/>
      </c>
      <c r="J2322" s="16">
        <f>IF(OR(D2322="",F2322=""),"",F2322*I2322-N(H2322))</f>
        <v/>
      </c>
      <c r="K2322" s="16">
        <f>IF(OR(D2322="",F2322=""),"",F2322*IFERROR(INDEX('Sản phẩm'!$D$5:$D$304,MATCH(D2322,'Sản phẩm'!$A$5:$A$304,0)),""))</f>
        <v/>
      </c>
      <c r="L2322" s="16">
        <f>IF(J2322="","",J2322-K2322)</f>
        <v/>
      </c>
      <c r="M2322" s="14">
        <f>IF(A2322="","",MONTH(A2322))</f>
        <v/>
      </c>
      <c r="N2322" s="14">
        <f>IF(A2322="","",YEAR(A2322))</f>
        <v/>
      </c>
    </row>
    <row r="2323">
      <c r="A2323" s="15" t="n"/>
      <c r="B2323" s="10" t="n"/>
      <c r="C2323" s="10" t="n"/>
      <c r="D2323" s="10" t="n"/>
      <c r="E2323" s="14">
        <f>IF(D2323="","",IFERROR(INDEX('Sản phẩm'!$B$5:$B$304,MATCH(D2323,'Sản phẩm'!$A$5:$A$304,0)),""))</f>
        <v/>
      </c>
      <c r="F2323" s="12" t="n"/>
      <c r="G2323" s="11" t="n"/>
      <c r="H2323" s="11" t="n"/>
      <c r="I2323" s="16">
        <f>IF(D2323="","",IF(G2323&lt;&gt;"",G2323,IFERROR(INDEX('Sản phẩm'!$E$5:$E$304,MATCH(D2323,'Sản phẩm'!$A$5:$A$304,0)),"")))</f>
        <v/>
      </c>
      <c r="J2323" s="16">
        <f>IF(OR(D2323="",F2323=""),"",F2323*I2323-N(H2323))</f>
        <v/>
      </c>
      <c r="K2323" s="16">
        <f>IF(OR(D2323="",F2323=""),"",F2323*IFERROR(INDEX('Sản phẩm'!$D$5:$D$304,MATCH(D2323,'Sản phẩm'!$A$5:$A$304,0)),""))</f>
        <v/>
      </c>
      <c r="L2323" s="16">
        <f>IF(J2323="","",J2323-K2323)</f>
        <v/>
      </c>
      <c r="M2323" s="14">
        <f>IF(A2323="","",MONTH(A2323))</f>
        <v/>
      </c>
      <c r="N2323" s="14">
        <f>IF(A2323="","",YEAR(A2323))</f>
        <v/>
      </c>
    </row>
    <row r="2324">
      <c r="A2324" s="15" t="n"/>
      <c r="B2324" s="10" t="n"/>
      <c r="C2324" s="10" t="n"/>
      <c r="D2324" s="10" t="n"/>
      <c r="E2324" s="14">
        <f>IF(D2324="","",IFERROR(INDEX('Sản phẩm'!$B$5:$B$304,MATCH(D2324,'Sản phẩm'!$A$5:$A$304,0)),""))</f>
        <v/>
      </c>
      <c r="F2324" s="12" t="n"/>
      <c r="G2324" s="11" t="n"/>
      <c r="H2324" s="11" t="n"/>
      <c r="I2324" s="16">
        <f>IF(D2324="","",IF(G2324&lt;&gt;"",G2324,IFERROR(INDEX('Sản phẩm'!$E$5:$E$304,MATCH(D2324,'Sản phẩm'!$A$5:$A$304,0)),"")))</f>
        <v/>
      </c>
      <c r="J2324" s="16">
        <f>IF(OR(D2324="",F2324=""),"",F2324*I2324-N(H2324))</f>
        <v/>
      </c>
      <c r="K2324" s="16">
        <f>IF(OR(D2324="",F2324=""),"",F2324*IFERROR(INDEX('Sản phẩm'!$D$5:$D$304,MATCH(D2324,'Sản phẩm'!$A$5:$A$304,0)),""))</f>
        <v/>
      </c>
      <c r="L2324" s="16">
        <f>IF(J2324="","",J2324-K2324)</f>
        <v/>
      </c>
      <c r="M2324" s="14">
        <f>IF(A2324="","",MONTH(A2324))</f>
        <v/>
      </c>
      <c r="N2324" s="14">
        <f>IF(A2324="","",YEAR(A2324))</f>
        <v/>
      </c>
    </row>
    <row r="2325">
      <c r="A2325" s="15" t="n"/>
      <c r="B2325" s="10" t="n"/>
      <c r="C2325" s="10" t="n"/>
      <c r="D2325" s="10" t="n"/>
      <c r="E2325" s="14">
        <f>IF(D2325="","",IFERROR(INDEX('Sản phẩm'!$B$5:$B$304,MATCH(D2325,'Sản phẩm'!$A$5:$A$304,0)),""))</f>
        <v/>
      </c>
      <c r="F2325" s="12" t="n"/>
      <c r="G2325" s="11" t="n"/>
      <c r="H2325" s="11" t="n"/>
      <c r="I2325" s="16">
        <f>IF(D2325="","",IF(G2325&lt;&gt;"",G2325,IFERROR(INDEX('Sản phẩm'!$E$5:$E$304,MATCH(D2325,'Sản phẩm'!$A$5:$A$304,0)),"")))</f>
        <v/>
      </c>
      <c r="J2325" s="16">
        <f>IF(OR(D2325="",F2325=""),"",F2325*I2325-N(H2325))</f>
        <v/>
      </c>
      <c r="K2325" s="16">
        <f>IF(OR(D2325="",F2325=""),"",F2325*IFERROR(INDEX('Sản phẩm'!$D$5:$D$304,MATCH(D2325,'Sản phẩm'!$A$5:$A$304,0)),""))</f>
        <v/>
      </c>
      <c r="L2325" s="16">
        <f>IF(J2325="","",J2325-K2325)</f>
        <v/>
      </c>
      <c r="M2325" s="14">
        <f>IF(A2325="","",MONTH(A2325))</f>
        <v/>
      </c>
      <c r="N2325" s="14">
        <f>IF(A2325="","",YEAR(A2325))</f>
        <v/>
      </c>
    </row>
    <row r="2326">
      <c r="A2326" s="15" t="n"/>
      <c r="B2326" s="10" t="n"/>
      <c r="C2326" s="10" t="n"/>
      <c r="D2326" s="10" t="n"/>
      <c r="E2326" s="14">
        <f>IF(D2326="","",IFERROR(INDEX('Sản phẩm'!$B$5:$B$304,MATCH(D2326,'Sản phẩm'!$A$5:$A$304,0)),""))</f>
        <v/>
      </c>
      <c r="F2326" s="12" t="n"/>
      <c r="G2326" s="11" t="n"/>
      <c r="H2326" s="11" t="n"/>
      <c r="I2326" s="16">
        <f>IF(D2326="","",IF(G2326&lt;&gt;"",G2326,IFERROR(INDEX('Sản phẩm'!$E$5:$E$304,MATCH(D2326,'Sản phẩm'!$A$5:$A$304,0)),"")))</f>
        <v/>
      </c>
      <c r="J2326" s="16">
        <f>IF(OR(D2326="",F2326=""),"",F2326*I2326-N(H2326))</f>
        <v/>
      </c>
      <c r="K2326" s="16">
        <f>IF(OR(D2326="",F2326=""),"",F2326*IFERROR(INDEX('Sản phẩm'!$D$5:$D$304,MATCH(D2326,'Sản phẩm'!$A$5:$A$304,0)),""))</f>
        <v/>
      </c>
      <c r="L2326" s="16">
        <f>IF(J2326="","",J2326-K2326)</f>
        <v/>
      </c>
      <c r="M2326" s="14">
        <f>IF(A2326="","",MONTH(A2326))</f>
        <v/>
      </c>
      <c r="N2326" s="14">
        <f>IF(A2326="","",YEAR(A2326))</f>
        <v/>
      </c>
    </row>
    <row r="2327">
      <c r="A2327" s="15" t="n"/>
      <c r="B2327" s="10" t="n"/>
      <c r="C2327" s="10" t="n"/>
      <c r="D2327" s="10" t="n"/>
      <c r="E2327" s="14">
        <f>IF(D2327="","",IFERROR(INDEX('Sản phẩm'!$B$5:$B$304,MATCH(D2327,'Sản phẩm'!$A$5:$A$304,0)),""))</f>
        <v/>
      </c>
      <c r="F2327" s="12" t="n"/>
      <c r="G2327" s="11" t="n"/>
      <c r="H2327" s="11" t="n"/>
      <c r="I2327" s="16">
        <f>IF(D2327="","",IF(G2327&lt;&gt;"",G2327,IFERROR(INDEX('Sản phẩm'!$E$5:$E$304,MATCH(D2327,'Sản phẩm'!$A$5:$A$304,0)),"")))</f>
        <v/>
      </c>
      <c r="J2327" s="16">
        <f>IF(OR(D2327="",F2327=""),"",F2327*I2327-N(H2327))</f>
        <v/>
      </c>
      <c r="K2327" s="16">
        <f>IF(OR(D2327="",F2327=""),"",F2327*IFERROR(INDEX('Sản phẩm'!$D$5:$D$304,MATCH(D2327,'Sản phẩm'!$A$5:$A$304,0)),""))</f>
        <v/>
      </c>
      <c r="L2327" s="16">
        <f>IF(J2327="","",J2327-K2327)</f>
        <v/>
      </c>
      <c r="M2327" s="14">
        <f>IF(A2327="","",MONTH(A2327))</f>
        <v/>
      </c>
      <c r="N2327" s="14">
        <f>IF(A2327="","",YEAR(A2327))</f>
        <v/>
      </c>
    </row>
    <row r="2328">
      <c r="A2328" s="15" t="n"/>
      <c r="B2328" s="10" t="n"/>
      <c r="C2328" s="10" t="n"/>
      <c r="D2328" s="10" t="n"/>
      <c r="E2328" s="14">
        <f>IF(D2328="","",IFERROR(INDEX('Sản phẩm'!$B$5:$B$304,MATCH(D2328,'Sản phẩm'!$A$5:$A$304,0)),""))</f>
        <v/>
      </c>
      <c r="F2328" s="12" t="n"/>
      <c r="G2328" s="11" t="n"/>
      <c r="H2328" s="11" t="n"/>
      <c r="I2328" s="16">
        <f>IF(D2328="","",IF(G2328&lt;&gt;"",G2328,IFERROR(INDEX('Sản phẩm'!$E$5:$E$304,MATCH(D2328,'Sản phẩm'!$A$5:$A$304,0)),"")))</f>
        <v/>
      </c>
      <c r="J2328" s="16">
        <f>IF(OR(D2328="",F2328=""),"",F2328*I2328-N(H2328))</f>
        <v/>
      </c>
      <c r="K2328" s="16">
        <f>IF(OR(D2328="",F2328=""),"",F2328*IFERROR(INDEX('Sản phẩm'!$D$5:$D$304,MATCH(D2328,'Sản phẩm'!$A$5:$A$304,0)),""))</f>
        <v/>
      </c>
      <c r="L2328" s="16">
        <f>IF(J2328="","",J2328-K2328)</f>
        <v/>
      </c>
      <c r="M2328" s="14">
        <f>IF(A2328="","",MONTH(A2328))</f>
        <v/>
      </c>
      <c r="N2328" s="14">
        <f>IF(A2328="","",YEAR(A2328))</f>
        <v/>
      </c>
    </row>
    <row r="2329">
      <c r="A2329" s="15" t="n"/>
      <c r="B2329" s="10" t="n"/>
      <c r="C2329" s="10" t="n"/>
      <c r="D2329" s="10" t="n"/>
      <c r="E2329" s="14">
        <f>IF(D2329="","",IFERROR(INDEX('Sản phẩm'!$B$5:$B$304,MATCH(D2329,'Sản phẩm'!$A$5:$A$304,0)),""))</f>
        <v/>
      </c>
      <c r="F2329" s="12" t="n"/>
      <c r="G2329" s="11" t="n"/>
      <c r="H2329" s="11" t="n"/>
      <c r="I2329" s="16">
        <f>IF(D2329="","",IF(G2329&lt;&gt;"",G2329,IFERROR(INDEX('Sản phẩm'!$E$5:$E$304,MATCH(D2329,'Sản phẩm'!$A$5:$A$304,0)),"")))</f>
        <v/>
      </c>
      <c r="J2329" s="16">
        <f>IF(OR(D2329="",F2329=""),"",F2329*I2329-N(H2329))</f>
        <v/>
      </c>
      <c r="K2329" s="16">
        <f>IF(OR(D2329="",F2329=""),"",F2329*IFERROR(INDEX('Sản phẩm'!$D$5:$D$304,MATCH(D2329,'Sản phẩm'!$A$5:$A$304,0)),""))</f>
        <v/>
      </c>
      <c r="L2329" s="16">
        <f>IF(J2329="","",J2329-K2329)</f>
        <v/>
      </c>
      <c r="M2329" s="14">
        <f>IF(A2329="","",MONTH(A2329))</f>
        <v/>
      </c>
      <c r="N2329" s="14">
        <f>IF(A2329="","",YEAR(A2329))</f>
        <v/>
      </c>
    </row>
    <row r="2330">
      <c r="A2330" s="15" t="n"/>
      <c r="B2330" s="10" t="n"/>
      <c r="C2330" s="10" t="n"/>
      <c r="D2330" s="10" t="n"/>
      <c r="E2330" s="14">
        <f>IF(D2330="","",IFERROR(INDEX('Sản phẩm'!$B$5:$B$304,MATCH(D2330,'Sản phẩm'!$A$5:$A$304,0)),""))</f>
        <v/>
      </c>
      <c r="F2330" s="12" t="n"/>
      <c r="G2330" s="11" t="n"/>
      <c r="H2330" s="11" t="n"/>
      <c r="I2330" s="16">
        <f>IF(D2330="","",IF(G2330&lt;&gt;"",G2330,IFERROR(INDEX('Sản phẩm'!$E$5:$E$304,MATCH(D2330,'Sản phẩm'!$A$5:$A$304,0)),"")))</f>
        <v/>
      </c>
      <c r="J2330" s="16">
        <f>IF(OR(D2330="",F2330=""),"",F2330*I2330-N(H2330))</f>
        <v/>
      </c>
      <c r="K2330" s="16">
        <f>IF(OR(D2330="",F2330=""),"",F2330*IFERROR(INDEX('Sản phẩm'!$D$5:$D$304,MATCH(D2330,'Sản phẩm'!$A$5:$A$304,0)),""))</f>
        <v/>
      </c>
      <c r="L2330" s="16">
        <f>IF(J2330="","",J2330-K2330)</f>
        <v/>
      </c>
      <c r="M2330" s="14">
        <f>IF(A2330="","",MONTH(A2330))</f>
        <v/>
      </c>
      <c r="N2330" s="14">
        <f>IF(A2330="","",YEAR(A2330))</f>
        <v/>
      </c>
    </row>
    <row r="2331">
      <c r="A2331" s="15" t="n"/>
      <c r="B2331" s="10" t="n"/>
      <c r="C2331" s="10" t="n"/>
      <c r="D2331" s="10" t="n"/>
      <c r="E2331" s="14">
        <f>IF(D2331="","",IFERROR(INDEX('Sản phẩm'!$B$5:$B$304,MATCH(D2331,'Sản phẩm'!$A$5:$A$304,0)),""))</f>
        <v/>
      </c>
      <c r="F2331" s="12" t="n"/>
      <c r="G2331" s="11" t="n"/>
      <c r="H2331" s="11" t="n"/>
      <c r="I2331" s="16">
        <f>IF(D2331="","",IF(G2331&lt;&gt;"",G2331,IFERROR(INDEX('Sản phẩm'!$E$5:$E$304,MATCH(D2331,'Sản phẩm'!$A$5:$A$304,0)),"")))</f>
        <v/>
      </c>
      <c r="J2331" s="16">
        <f>IF(OR(D2331="",F2331=""),"",F2331*I2331-N(H2331))</f>
        <v/>
      </c>
      <c r="K2331" s="16">
        <f>IF(OR(D2331="",F2331=""),"",F2331*IFERROR(INDEX('Sản phẩm'!$D$5:$D$304,MATCH(D2331,'Sản phẩm'!$A$5:$A$304,0)),""))</f>
        <v/>
      </c>
      <c r="L2331" s="16">
        <f>IF(J2331="","",J2331-K2331)</f>
        <v/>
      </c>
      <c r="M2331" s="14">
        <f>IF(A2331="","",MONTH(A2331))</f>
        <v/>
      </c>
      <c r="N2331" s="14">
        <f>IF(A2331="","",YEAR(A2331))</f>
        <v/>
      </c>
    </row>
    <row r="2332">
      <c r="A2332" s="15" t="n"/>
      <c r="B2332" s="10" t="n"/>
      <c r="C2332" s="10" t="n"/>
      <c r="D2332" s="10" t="n"/>
      <c r="E2332" s="14">
        <f>IF(D2332="","",IFERROR(INDEX('Sản phẩm'!$B$5:$B$304,MATCH(D2332,'Sản phẩm'!$A$5:$A$304,0)),""))</f>
        <v/>
      </c>
      <c r="F2332" s="12" t="n"/>
      <c r="G2332" s="11" t="n"/>
      <c r="H2332" s="11" t="n"/>
      <c r="I2332" s="16">
        <f>IF(D2332="","",IF(G2332&lt;&gt;"",G2332,IFERROR(INDEX('Sản phẩm'!$E$5:$E$304,MATCH(D2332,'Sản phẩm'!$A$5:$A$304,0)),"")))</f>
        <v/>
      </c>
      <c r="J2332" s="16">
        <f>IF(OR(D2332="",F2332=""),"",F2332*I2332-N(H2332))</f>
        <v/>
      </c>
      <c r="K2332" s="16">
        <f>IF(OR(D2332="",F2332=""),"",F2332*IFERROR(INDEX('Sản phẩm'!$D$5:$D$304,MATCH(D2332,'Sản phẩm'!$A$5:$A$304,0)),""))</f>
        <v/>
      </c>
      <c r="L2332" s="16">
        <f>IF(J2332="","",J2332-K2332)</f>
        <v/>
      </c>
      <c r="M2332" s="14">
        <f>IF(A2332="","",MONTH(A2332))</f>
        <v/>
      </c>
      <c r="N2332" s="14">
        <f>IF(A2332="","",YEAR(A2332))</f>
        <v/>
      </c>
    </row>
    <row r="2333">
      <c r="A2333" s="15" t="n"/>
      <c r="B2333" s="10" t="n"/>
      <c r="C2333" s="10" t="n"/>
      <c r="D2333" s="10" t="n"/>
      <c r="E2333" s="14">
        <f>IF(D2333="","",IFERROR(INDEX('Sản phẩm'!$B$5:$B$304,MATCH(D2333,'Sản phẩm'!$A$5:$A$304,0)),""))</f>
        <v/>
      </c>
      <c r="F2333" s="12" t="n"/>
      <c r="G2333" s="11" t="n"/>
      <c r="H2333" s="11" t="n"/>
      <c r="I2333" s="16">
        <f>IF(D2333="","",IF(G2333&lt;&gt;"",G2333,IFERROR(INDEX('Sản phẩm'!$E$5:$E$304,MATCH(D2333,'Sản phẩm'!$A$5:$A$304,0)),"")))</f>
        <v/>
      </c>
      <c r="J2333" s="16">
        <f>IF(OR(D2333="",F2333=""),"",F2333*I2333-N(H2333))</f>
        <v/>
      </c>
      <c r="K2333" s="16">
        <f>IF(OR(D2333="",F2333=""),"",F2333*IFERROR(INDEX('Sản phẩm'!$D$5:$D$304,MATCH(D2333,'Sản phẩm'!$A$5:$A$304,0)),""))</f>
        <v/>
      </c>
      <c r="L2333" s="16">
        <f>IF(J2333="","",J2333-K2333)</f>
        <v/>
      </c>
      <c r="M2333" s="14">
        <f>IF(A2333="","",MONTH(A2333))</f>
        <v/>
      </c>
      <c r="N2333" s="14">
        <f>IF(A2333="","",YEAR(A2333))</f>
        <v/>
      </c>
    </row>
    <row r="2334">
      <c r="A2334" s="15" t="n"/>
      <c r="B2334" s="10" t="n"/>
      <c r="C2334" s="10" t="n"/>
      <c r="D2334" s="10" t="n"/>
      <c r="E2334" s="14">
        <f>IF(D2334="","",IFERROR(INDEX('Sản phẩm'!$B$5:$B$304,MATCH(D2334,'Sản phẩm'!$A$5:$A$304,0)),""))</f>
        <v/>
      </c>
      <c r="F2334" s="12" t="n"/>
      <c r="G2334" s="11" t="n"/>
      <c r="H2334" s="11" t="n"/>
      <c r="I2334" s="16">
        <f>IF(D2334="","",IF(G2334&lt;&gt;"",G2334,IFERROR(INDEX('Sản phẩm'!$E$5:$E$304,MATCH(D2334,'Sản phẩm'!$A$5:$A$304,0)),"")))</f>
        <v/>
      </c>
      <c r="J2334" s="16">
        <f>IF(OR(D2334="",F2334=""),"",F2334*I2334-N(H2334))</f>
        <v/>
      </c>
      <c r="K2334" s="16">
        <f>IF(OR(D2334="",F2334=""),"",F2334*IFERROR(INDEX('Sản phẩm'!$D$5:$D$304,MATCH(D2334,'Sản phẩm'!$A$5:$A$304,0)),""))</f>
        <v/>
      </c>
      <c r="L2334" s="16">
        <f>IF(J2334="","",J2334-K2334)</f>
        <v/>
      </c>
      <c r="M2334" s="14">
        <f>IF(A2334="","",MONTH(A2334))</f>
        <v/>
      </c>
      <c r="N2334" s="14">
        <f>IF(A2334="","",YEAR(A2334))</f>
        <v/>
      </c>
    </row>
    <row r="2335">
      <c r="A2335" s="15" t="n"/>
      <c r="B2335" s="10" t="n"/>
      <c r="C2335" s="10" t="n"/>
      <c r="D2335" s="10" t="n"/>
      <c r="E2335" s="14">
        <f>IF(D2335="","",IFERROR(INDEX('Sản phẩm'!$B$5:$B$304,MATCH(D2335,'Sản phẩm'!$A$5:$A$304,0)),""))</f>
        <v/>
      </c>
      <c r="F2335" s="12" t="n"/>
      <c r="G2335" s="11" t="n"/>
      <c r="H2335" s="11" t="n"/>
      <c r="I2335" s="16">
        <f>IF(D2335="","",IF(G2335&lt;&gt;"",G2335,IFERROR(INDEX('Sản phẩm'!$E$5:$E$304,MATCH(D2335,'Sản phẩm'!$A$5:$A$304,0)),"")))</f>
        <v/>
      </c>
      <c r="J2335" s="16">
        <f>IF(OR(D2335="",F2335=""),"",F2335*I2335-N(H2335))</f>
        <v/>
      </c>
      <c r="K2335" s="16">
        <f>IF(OR(D2335="",F2335=""),"",F2335*IFERROR(INDEX('Sản phẩm'!$D$5:$D$304,MATCH(D2335,'Sản phẩm'!$A$5:$A$304,0)),""))</f>
        <v/>
      </c>
      <c r="L2335" s="16">
        <f>IF(J2335="","",J2335-K2335)</f>
        <v/>
      </c>
      <c r="M2335" s="14">
        <f>IF(A2335="","",MONTH(A2335))</f>
        <v/>
      </c>
      <c r="N2335" s="14">
        <f>IF(A2335="","",YEAR(A2335))</f>
        <v/>
      </c>
    </row>
    <row r="2336">
      <c r="A2336" s="15" t="n"/>
      <c r="B2336" s="10" t="n"/>
      <c r="C2336" s="10" t="n"/>
      <c r="D2336" s="10" t="n"/>
      <c r="E2336" s="14">
        <f>IF(D2336="","",IFERROR(INDEX('Sản phẩm'!$B$5:$B$304,MATCH(D2336,'Sản phẩm'!$A$5:$A$304,0)),""))</f>
        <v/>
      </c>
      <c r="F2336" s="12" t="n"/>
      <c r="G2336" s="11" t="n"/>
      <c r="H2336" s="11" t="n"/>
      <c r="I2336" s="16">
        <f>IF(D2336="","",IF(G2336&lt;&gt;"",G2336,IFERROR(INDEX('Sản phẩm'!$E$5:$E$304,MATCH(D2336,'Sản phẩm'!$A$5:$A$304,0)),"")))</f>
        <v/>
      </c>
      <c r="J2336" s="16">
        <f>IF(OR(D2336="",F2336=""),"",F2336*I2336-N(H2336))</f>
        <v/>
      </c>
      <c r="K2336" s="16">
        <f>IF(OR(D2336="",F2336=""),"",F2336*IFERROR(INDEX('Sản phẩm'!$D$5:$D$304,MATCH(D2336,'Sản phẩm'!$A$5:$A$304,0)),""))</f>
        <v/>
      </c>
      <c r="L2336" s="16">
        <f>IF(J2336="","",J2336-K2336)</f>
        <v/>
      </c>
      <c r="M2336" s="14">
        <f>IF(A2336="","",MONTH(A2336))</f>
        <v/>
      </c>
      <c r="N2336" s="14">
        <f>IF(A2336="","",YEAR(A2336))</f>
        <v/>
      </c>
    </row>
    <row r="2337">
      <c r="A2337" s="15" t="n"/>
      <c r="B2337" s="10" t="n"/>
      <c r="C2337" s="10" t="n"/>
      <c r="D2337" s="10" t="n"/>
      <c r="E2337" s="14">
        <f>IF(D2337="","",IFERROR(INDEX('Sản phẩm'!$B$5:$B$304,MATCH(D2337,'Sản phẩm'!$A$5:$A$304,0)),""))</f>
        <v/>
      </c>
      <c r="F2337" s="12" t="n"/>
      <c r="G2337" s="11" t="n"/>
      <c r="H2337" s="11" t="n"/>
      <c r="I2337" s="16">
        <f>IF(D2337="","",IF(G2337&lt;&gt;"",G2337,IFERROR(INDEX('Sản phẩm'!$E$5:$E$304,MATCH(D2337,'Sản phẩm'!$A$5:$A$304,0)),"")))</f>
        <v/>
      </c>
      <c r="J2337" s="16">
        <f>IF(OR(D2337="",F2337=""),"",F2337*I2337-N(H2337))</f>
        <v/>
      </c>
      <c r="K2337" s="16">
        <f>IF(OR(D2337="",F2337=""),"",F2337*IFERROR(INDEX('Sản phẩm'!$D$5:$D$304,MATCH(D2337,'Sản phẩm'!$A$5:$A$304,0)),""))</f>
        <v/>
      </c>
      <c r="L2337" s="16">
        <f>IF(J2337="","",J2337-K2337)</f>
        <v/>
      </c>
      <c r="M2337" s="14">
        <f>IF(A2337="","",MONTH(A2337))</f>
        <v/>
      </c>
      <c r="N2337" s="14">
        <f>IF(A2337="","",YEAR(A2337))</f>
        <v/>
      </c>
    </row>
    <row r="2338">
      <c r="A2338" s="15" t="n"/>
      <c r="B2338" s="10" t="n"/>
      <c r="C2338" s="10" t="n"/>
      <c r="D2338" s="10" t="n"/>
      <c r="E2338" s="14">
        <f>IF(D2338="","",IFERROR(INDEX('Sản phẩm'!$B$5:$B$304,MATCH(D2338,'Sản phẩm'!$A$5:$A$304,0)),""))</f>
        <v/>
      </c>
      <c r="F2338" s="12" t="n"/>
      <c r="G2338" s="11" t="n"/>
      <c r="H2338" s="11" t="n"/>
      <c r="I2338" s="16">
        <f>IF(D2338="","",IF(G2338&lt;&gt;"",G2338,IFERROR(INDEX('Sản phẩm'!$E$5:$E$304,MATCH(D2338,'Sản phẩm'!$A$5:$A$304,0)),"")))</f>
        <v/>
      </c>
      <c r="J2338" s="16">
        <f>IF(OR(D2338="",F2338=""),"",F2338*I2338-N(H2338))</f>
        <v/>
      </c>
      <c r="K2338" s="16">
        <f>IF(OR(D2338="",F2338=""),"",F2338*IFERROR(INDEX('Sản phẩm'!$D$5:$D$304,MATCH(D2338,'Sản phẩm'!$A$5:$A$304,0)),""))</f>
        <v/>
      </c>
      <c r="L2338" s="16">
        <f>IF(J2338="","",J2338-K2338)</f>
        <v/>
      </c>
      <c r="M2338" s="14">
        <f>IF(A2338="","",MONTH(A2338))</f>
        <v/>
      </c>
      <c r="N2338" s="14">
        <f>IF(A2338="","",YEAR(A2338))</f>
        <v/>
      </c>
    </row>
    <row r="2339">
      <c r="A2339" s="15" t="n"/>
      <c r="B2339" s="10" t="n"/>
      <c r="C2339" s="10" t="n"/>
      <c r="D2339" s="10" t="n"/>
      <c r="E2339" s="14">
        <f>IF(D2339="","",IFERROR(INDEX('Sản phẩm'!$B$5:$B$304,MATCH(D2339,'Sản phẩm'!$A$5:$A$304,0)),""))</f>
        <v/>
      </c>
      <c r="F2339" s="12" t="n"/>
      <c r="G2339" s="11" t="n"/>
      <c r="H2339" s="11" t="n"/>
      <c r="I2339" s="16">
        <f>IF(D2339="","",IF(G2339&lt;&gt;"",G2339,IFERROR(INDEX('Sản phẩm'!$E$5:$E$304,MATCH(D2339,'Sản phẩm'!$A$5:$A$304,0)),"")))</f>
        <v/>
      </c>
      <c r="J2339" s="16">
        <f>IF(OR(D2339="",F2339=""),"",F2339*I2339-N(H2339))</f>
        <v/>
      </c>
      <c r="K2339" s="16">
        <f>IF(OR(D2339="",F2339=""),"",F2339*IFERROR(INDEX('Sản phẩm'!$D$5:$D$304,MATCH(D2339,'Sản phẩm'!$A$5:$A$304,0)),""))</f>
        <v/>
      </c>
      <c r="L2339" s="16">
        <f>IF(J2339="","",J2339-K2339)</f>
        <v/>
      </c>
      <c r="M2339" s="14">
        <f>IF(A2339="","",MONTH(A2339))</f>
        <v/>
      </c>
      <c r="N2339" s="14">
        <f>IF(A2339="","",YEAR(A2339))</f>
        <v/>
      </c>
    </row>
    <row r="2340">
      <c r="A2340" s="15" t="n"/>
      <c r="B2340" s="10" t="n"/>
      <c r="C2340" s="10" t="n"/>
      <c r="D2340" s="10" t="n"/>
      <c r="E2340" s="14">
        <f>IF(D2340="","",IFERROR(INDEX('Sản phẩm'!$B$5:$B$304,MATCH(D2340,'Sản phẩm'!$A$5:$A$304,0)),""))</f>
        <v/>
      </c>
      <c r="F2340" s="12" t="n"/>
      <c r="G2340" s="11" t="n"/>
      <c r="H2340" s="11" t="n"/>
      <c r="I2340" s="16">
        <f>IF(D2340="","",IF(G2340&lt;&gt;"",G2340,IFERROR(INDEX('Sản phẩm'!$E$5:$E$304,MATCH(D2340,'Sản phẩm'!$A$5:$A$304,0)),"")))</f>
        <v/>
      </c>
      <c r="J2340" s="16">
        <f>IF(OR(D2340="",F2340=""),"",F2340*I2340-N(H2340))</f>
        <v/>
      </c>
      <c r="K2340" s="16">
        <f>IF(OR(D2340="",F2340=""),"",F2340*IFERROR(INDEX('Sản phẩm'!$D$5:$D$304,MATCH(D2340,'Sản phẩm'!$A$5:$A$304,0)),""))</f>
        <v/>
      </c>
      <c r="L2340" s="16">
        <f>IF(J2340="","",J2340-K2340)</f>
        <v/>
      </c>
      <c r="M2340" s="14">
        <f>IF(A2340="","",MONTH(A2340))</f>
        <v/>
      </c>
      <c r="N2340" s="14">
        <f>IF(A2340="","",YEAR(A2340))</f>
        <v/>
      </c>
    </row>
    <row r="2341">
      <c r="A2341" s="15" t="n"/>
      <c r="B2341" s="10" t="n"/>
      <c r="C2341" s="10" t="n"/>
      <c r="D2341" s="10" t="n"/>
      <c r="E2341" s="14">
        <f>IF(D2341="","",IFERROR(INDEX('Sản phẩm'!$B$5:$B$304,MATCH(D2341,'Sản phẩm'!$A$5:$A$304,0)),""))</f>
        <v/>
      </c>
      <c r="F2341" s="12" t="n"/>
      <c r="G2341" s="11" t="n"/>
      <c r="H2341" s="11" t="n"/>
      <c r="I2341" s="16">
        <f>IF(D2341="","",IF(G2341&lt;&gt;"",G2341,IFERROR(INDEX('Sản phẩm'!$E$5:$E$304,MATCH(D2341,'Sản phẩm'!$A$5:$A$304,0)),"")))</f>
        <v/>
      </c>
      <c r="J2341" s="16">
        <f>IF(OR(D2341="",F2341=""),"",F2341*I2341-N(H2341))</f>
        <v/>
      </c>
      <c r="K2341" s="16">
        <f>IF(OR(D2341="",F2341=""),"",F2341*IFERROR(INDEX('Sản phẩm'!$D$5:$D$304,MATCH(D2341,'Sản phẩm'!$A$5:$A$304,0)),""))</f>
        <v/>
      </c>
      <c r="L2341" s="16">
        <f>IF(J2341="","",J2341-K2341)</f>
        <v/>
      </c>
      <c r="M2341" s="14">
        <f>IF(A2341="","",MONTH(A2341))</f>
        <v/>
      </c>
      <c r="N2341" s="14">
        <f>IF(A2341="","",YEAR(A2341))</f>
        <v/>
      </c>
    </row>
    <row r="2342">
      <c r="A2342" s="15" t="n"/>
      <c r="B2342" s="10" t="n"/>
      <c r="C2342" s="10" t="n"/>
      <c r="D2342" s="10" t="n"/>
      <c r="E2342" s="14">
        <f>IF(D2342="","",IFERROR(INDEX('Sản phẩm'!$B$5:$B$304,MATCH(D2342,'Sản phẩm'!$A$5:$A$304,0)),""))</f>
        <v/>
      </c>
      <c r="F2342" s="12" t="n"/>
      <c r="G2342" s="11" t="n"/>
      <c r="H2342" s="11" t="n"/>
      <c r="I2342" s="16">
        <f>IF(D2342="","",IF(G2342&lt;&gt;"",G2342,IFERROR(INDEX('Sản phẩm'!$E$5:$E$304,MATCH(D2342,'Sản phẩm'!$A$5:$A$304,0)),"")))</f>
        <v/>
      </c>
      <c r="J2342" s="16">
        <f>IF(OR(D2342="",F2342=""),"",F2342*I2342-N(H2342))</f>
        <v/>
      </c>
      <c r="K2342" s="16">
        <f>IF(OR(D2342="",F2342=""),"",F2342*IFERROR(INDEX('Sản phẩm'!$D$5:$D$304,MATCH(D2342,'Sản phẩm'!$A$5:$A$304,0)),""))</f>
        <v/>
      </c>
      <c r="L2342" s="16">
        <f>IF(J2342="","",J2342-K2342)</f>
        <v/>
      </c>
      <c r="M2342" s="14">
        <f>IF(A2342="","",MONTH(A2342))</f>
        <v/>
      </c>
      <c r="N2342" s="14">
        <f>IF(A2342="","",YEAR(A2342))</f>
        <v/>
      </c>
    </row>
    <row r="2343">
      <c r="A2343" s="15" t="n"/>
      <c r="B2343" s="10" t="n"/>
      <c r="C2343" s="10" t="n"/>
      <c r="D2343" s="10" t="n"/>
      <c r="E2343" s="14">
        <f>IF(D2343="","",IFERROR(INDEX('Sản phẩm'!$B$5:$B$304,MATCH(D2343,'Sản phẩm'!$A$5:$A$304,0)),""))</f>
        <v/>
      </c>
      <c r="F2343" s="12" t="n"/>
      <c r="G2343" s="11" t="n"/>
      <c r="H2343" s="11" t="n"/>
      <c r="I2343" s="16">
        <f>IF(D2343="","",IF(G2343&lt;&gt;"",G2343,IFERROR(INDEX('Sản phẩm'!$E$5:$E$304,MATCH(D2343,'Sản phẩm'!$A$5:$A$304,0)),"")))</f>
        <v/>
      </c>
      <c r="J2343" s="16">
        <f>IF(OR(D2343="",F2343=""),"",F2343*I2343-N(H2343))</f>
        <v/>
      </c>
      <c r="K2343" s="16">
        <f>IF(OR(D2343="",F2343=""),"",F2343*IFERROR(INDEX('Sản phẩm'!$D$5:$D$304,MATCH(D2343,'Sản phẩm'!$A$5:$A$304,0)),""))</f>
        <v/>
      </c>
      <c r="L2343" s="16">
        <f>IF(J2343="","",J2343-K2343)</f>
        <v/>
      </c>
      <c r="M2343" s="14">
        <f>IF(A2343="","",MONTH(A2343))</f>
        <v/>
      </c>
      <c r="N2343" s="14">
        <f>IF(A2343="","",YEAR(A2343))</f>
        <v/>
      </c>
    </row>
    <row r="2344">
      <c r="A2344" s="15" t="n"/>
      <c r="B2344" s="10" t="n"/>
      <c r="C2344" s="10" t="n"/>
      <c r="D2344" s="10" t="n"/>
      <c r="E2344" s="14">
        <f>IF(D2344="","",IFERROR(INDEX('Sản phẩm'!$B$5:$B$304,MATCH(D2344,'Sản phẩm'!$A$5:$A$304,0)),""))</f>
        <v/>
      </c>
      <c r="F2344" s="12" t="n"/>
      <c r="G2344" s="11" t="n"/>
      <c r="H2344" s="11" t="n"/>
      <c r="I2344" s="16">
        <f>IF(D2344="","",IF(G2344&lt;&gt;"",G2344,IFERROR(INDEX('Sản phẩm'!$E$5:$E$304,MATCH(D2344,'Sản phẩm'!$A$5:$A$304,0)),"")))</f>
        <v/>
      </c>
      <c r="J2344" s="16">
        <f>IF(OR(D2344="",F2344=""),"",F2344*I2344-N(H2344))</f>
        <v/>
      </c>
      <c r="K2344" s="16">
        <f>IF(OR(D2344="",F2344=""),"",F2344*IFERROR(INDEX('Sản phẩm'!$D$5:$D$304,MATCH(D2344,'Sản phẩm'!$A$5:$A$304,0)),""))</f>
        <v/>
      </c>
      <c r="L2344" s="16">
        <f>IF(J2344="","",J2344-K2344)</f>
        <v/>
      </c>
      <c r="M2344" s="14">
        <f>IF(A2344="","",MONTH(A2344))</f>
        <v/>
      </c>
      <c r="N2344" s="14">
        <f>IF(A2344="","",YEAR(A2344))</f>
        <v/>
      </c>
    </row>
    <row r="2345">
      <c r="A2345" s="15" t="n"/>
      <c r="B2345" s="10" t="n"/>
      <c r="C2345" s="10" t="n"/>
      <c r="D2345" s="10" t="n"/>
      <c r="E2345" s="14">
        <f>IF(D2345="","",IFERROR(INDEX('Sản phẩm'!$B$5:$B$304,MATCH(D2345,'Sản phẩm'!$A$5:$A$304,0)),""))</f>
        <v/>
      </c>
      <c r="F2345" s="12" t="n"/>
      <c r="G2345" s="11" t="n"/>
      <c r="H2345" s="11" t="n"/>
      <c r="I2345" s="16">
        <f>IF(D2345="","",IF(G2345&lt;&gt;"",G2345,IFERROR(INDEX('Sản phẩm'!$E$5:$E$304,MATCH(D2345,'Sản phẩm'!$A$5:$A$304,0)),"")))</f>
        <v/>
      </c>
      <c r="J2345" s="16">
        <f>IF(OR(D2345="",F2345=""),"",F2345*I2345-N(H2345))</f>
        <v/>
      </c>
      <c r="K2345" s="16">
        <f>IF(OR(D2345="",F2345=""),"",F2345*IFERROR(INDEX('Sản phẩm'!$D$5:$D$304,MATCH(D2345,'Sản phẩm'!$A$5:$A$304,0)),""))</f>
        <v/>
      </c>
      <c r="L2345" s="16">
        <f>IF(J2345="","",J2345-K2345)</f>
        <v/>
      </c>
      <c r="M2345" s="14">
        <f>IF(A2345="","",MONTH(A2345))</f>
        <v/>
      </c>
      <c r="N2345" s="14">
        <f>IF(A2345="","",YEAR(A2345))</f>
        <v/>
      </c>
    </row>
    <row r="2346">
      <c r="A2346" s="15" t="n"/>
      <c r="B2346" s="10" t="n"/>
      <c r="C2346" s="10" t="n"/>
      <c r="D2346" s="10" t="n"/>
      <c r="E2346" s="14">
        <f>IF(D2346="","",IFERROR(INDEX('Sản phẩm'!$B$5:$B$304,MATCH(D2346,'Sản phẩm'!$A$5:$A$304,0)),""))</f>
        <v/>
      </c>
      <c r="F2346" s="12" t="n"/>
      <c r="G2346" s="11" t="n"/>
      <c r="H2346" s="11" t="n"/>
      <c r="I2346" s="16">
        <f>IF(D2346="","",IF(G2346&lt;&gt;"",G2346,IFERROR(INDEX('Sản phẩm'!$E$5:$E$304,MATCH(D2346,'Sản phẩm'!$A$5:$A$304,0)),"")))</f>
        <v/>
      </c>
      <c r="J2346" s="16">
        <f>IF(OR(D2346="",F2346=""),"",F2346*I2346-N(H2346))</f>
        <v/>
      </c>
      <c r="K2346" s="16">
        <f>IF(OR(D2346="",F2346=""),"",F2346*IFERROR(INDEX('Sản phẩm'!$D$5:$D$304,MATCH(D2346,'Sản phẩm'!$A$5:$A$304,0)),""))</f>
        <v/>
      </c>
      <c r="L2346" s="16">
        <f>IF(J2346="","",J2346-K2346)</f>
        <v/>
      </c>
      <c r="M2346" s="14">
        <f>IF(A2346="","",MONTH(A2346))</f>
        <v/>
      </c>
      <c r="N2346" s="14">
        <f>IF(A2346="","",YEAR(A2346))</f>
        <v/>
      </c>
    </row>
    <row r="2347">
      <c r="A2347" s="15" t="n"/>
      <c r="B2347" s="10" t="n"/>
      <c r="C2347" s="10" t="n"/>
      <c r="D2347" s="10" t="n"/>
      <c r="E2347" s="14">
        <f>IF(D2347="","",IFERROR(INDEX('Sản phẩm'!$B$5:$B$304,MATCH(D2347,'Sản phẩm'!$A$5:$A$304,0)),""))</f>
        <v/>
      </c>
      <c r="F2347" s="12" t="n"/>
      <c r="G2347" s="11" t="n"/>
      <c r="H2347" s="11" t="n"/>
      <c r="I2347" s="16">
        <f>IF(D2347="","",IF(G2347&lt;&gt;"",G2347,IFERROR(INDEX('Sản phẩm'!$E$5:$E$304,MATCH(D2347,'Sản phẩm'!$A$5:$A$304,0)),"")))</f>
        <v/>
      </c>
      <c r="J2347" s="16">
        <f>IF(OR(D2347="",F2347=""),"",F2347*I2347-N(H2347))</f>
        <v/>
      </c>
      <c r="K2347" s="16">
        <f>IF(OR(D2347="",F2347=""),"",F2347*IFERROR(INDEX('Sản phẩm'!$D$5:$D$304,MATCH(D2347,'Sản phẩm'!$A$5:$A$304,0)),""))</f>
        <v/>
      </c>
      <c r="L2347" s="16">
        <f>IF(J2347="","",J2347-K2347)</f>
        <v/>
      </c>
      <c r="M2347" s="14">
        <f>IF(A2347="","",MONTH(A2347))</f>
        <v/>
      </c>
      <c r="N2347" s="14">
        <f>IF(A2347="","",YEAR(A2347))</f>
        <v/>
      </c>
    </row>
    <row r="2348">
      <c r="A2348" s="15" t="n"/>
      <c r="B2348" s="10" t="n"/>
      <c r="C2348" s="10" t="n"/>
      <c r="D2348" s="10" t="n"/>
      <c r="E2348" s="14">
        <f>IF(D2348="","",IFERROR(INDEX('Sản phẩm'!$B$5:$B$304,MATCH(D2348,'Sản phẩm'!$A$5:$A$304,0)),""))</f>
        <v/>
      </c>
      <c r="F2348" s="12" t="n"/>
      <c r="G2348" s="11" t="n"/>
      <c r="H2348" s="11" t="n"/>
      <c r="I2348" s="16">
        <f>IF(D2348="","",IF(G2348&lt;&gt;"",G2348,IFERROR(INDEX('Sản phẩm'!$E$5:$E$304,MATCH(D2348,'Sản phẩm'!$A$5:$A$304,0)),"")))</f>
        <v/>
      </c>
      <c r="J2348" s="16">
        <f>IF(OR(D2348="",F2348=""),"",F2348*I2348-N(H2348))</f>
        <v/>
      </c>
      <c r="K2348" s="16">
        <f>IF(OR(D2348="",F2348=""),"",F2348*IFERROR(INDEX('Sản phẩm'!$D$5:$D$304,MATCH(D2348,'Sản phẩm'!$A$5:$A$304,0)),""))</f>
        <v/>
      </c>
      <c r="L2348" s="16">
        <f>IF(J2348="","",J2348-K2348)</f>
        <v/>
      </c>
      <c r="M2348" s="14">
        <f>IF(A2348="","",MONTH(A2348))</f>
        <v/>
      </c>
      <c r="N2348" s="14">
        <f>IF(A2348="","",YEAR(A2348))</f>
        <v/>
      </c>
    </row>
    <row r="2349">
      <c r="A2349" s="15" t="n"/>
      <c r="B2349" s="10" t="n"/>
      <c r="C2349" s="10" t="n"/>
      <c r="D2349" s="10" t="n"/>
      <c r="E2349" s="14">
        <f>IF(D2349="","",IFERROR(INDEX('Sản phẩm'!$B$5:$B$304,MATCH(D2349,'Sản phẩm'!$A$5:$A$304,0)),""))</f>
        <v/>
      </c>
      <c r="F2349" s="12" t="n"/>
      <c r="G2349" s="11" t="n"/>
      <c r="H2349" s="11" t="n"/>
      <c r="I2349" s="16">
        <f>IF(D2349="","",IF(G2349&lt;&gt;"",G2349,IFERROR(INDEX('Sản phẩm'!$E$5:$E$304,MATCH(D2349,'Sản phẩm'!$A$5:$A$304,0)),"")))</f>
        <v/>
      </c>
      <c r="J2349" s="16">
        <f>IF(OR(D2349="",F2349=""),"",F2349*I2349-N(H2349))</f>
        <v/>
      </c>
      <c r="K2349" s="16">
        <f>IF(OR(D2349="",F2349=""),"",F2349*IFERROR(INDEX('Sản phẩm'!$D$5:$D$304,MATCH(D2349,'Sản phẩm'!$A$5:$A$304,0)),""))</f>
        <v/>
      </c>
      <c r="L2349" s="16">
        <f>IF(J2349="","",J2349-K2349)</f>
        <v/>
      </c>
      <c r="M2349" s="14">
        <f>IF(A2349="","",MONTH(A2349))</f>
        <v/>
      </c>
      <c r="N2349" s="14">
        <f>IF(A2349="","",YEAR(A2349))</f>
        <v/>
      </c>
    </row>
    <row r="2350">
      <c r="A2350" s="15" t="n"/>
      <c r="B2350" s="10" t="n"/>
      <c r="C2350" s="10" t="n"/>
      <c r="D2350" s="10" t="n"/>
      <c r="E2350" s="14">
        <f>IF(D2350="","",IFERROR(INDEX('Sản phẩm'!$B$5:$B$304,MATCH(D2350,'Sản phẩm'!$A$5:$A$304,0)),""))</f>
        <v/>
      </c>
      <c r="F2350" s="12" t="n"/>
      <c r="G2350" s="11" t="n"/>
      <c r="H2350" s="11" t="n"/>
      <c r="I2350" s="16">
        <f>IF(D2350="","",IF(G2350&lt;&gt;"",G2350,IFERROR(INDEX('Sản phẩm'!$E$5:$E$304,MATCH(D2350,'Sản phẩm'!$A$5:$A$304,0)),"")))</f>
        <v/>
      </c>
      <c r="J2350" s="16">
        <f>IF(OR(D2350="",F2350=""),"",F2350*I2350-N(H2350))</f>
        <v/>
      </c>
      <c r="K2350" s="16">
        <f>IF(OR(D2350="",F2350=""),"",F2350*IFERROR(INDEX('Sản phẩm'!$D$5:$D$304,MATCH(D2350,'Sản phẩm'!$A$5:$A$304,0)),""))</f>
        <v/>
      </c>
      <c r="L2350" s="16">
        <f>IF(J2350="","",J2350-K2350)</f>
        <v/>
      </c>
      <c r="M2350" s="14">
        <f>IF(A2350="","",MONTH(A2350))</f>
        <v/>
      </c>
      <c r="N2350" s="14">
        <f>IF(A2350="","",YEAR(A2350))</f>
        <v/>
      </c>
    </row>
    <row r="2351">
      <c r="A2351" s="15" t="n"/>
      <c r="B2351" s="10" t="n"/>
      <c r="C2351" s="10" t="n"/>
      <c r="D2351" s="10" t="n"/>
      <c r="E2351" s="14">
        <f>IF(D2351="","",IFERROR(INDEX('Sản phẩm'!$B$5:$B$304,MATCH(D2351,'Sản phẩm'!$A$5:$A$304,0)),""))</f>
        <v/>
      </c>
      <c r="F2351" s="12" t="n"/>
      <c r="G2351" s="11" t="n"/>
      <c r="H2351" s="11" t="n"/>
      <c r="I2351" s="16">
        <f>IF(D2351="","",IF(G2351&lt;&gt;"",G2351,IFERROR(INDEX('Sản phẩm'!$E$5:$E$304,MATCH(D2351,'Sản phẩm'!$A$5:$A$304,0)),"")))</f>
        <v/>
      </c>
      <c r="J2351" s="16">
        <f>IF(OR(D2351="",F2351=""),"",F2351*I2351-N(H2351))</f>
        <v/>
      </c>
      <c r="K2351" s="16">
        <f>IF(OR(D2351="",F2351=""),"",F2351*IFERROR(INDEX('Sản phẩm'!$D$5:$D$304,MATCH(D2351,'Sản phẩm'!$A$5:$A$304,0)),""))</f>
        <v/>
      </c>
      <c r="L2351" s="16">
        <f>IF(J2351="","",J2351-K2351)</f>
        <v/>
      </c>
      <c r="M2351" s="14">
        <f>IF(A2351="","",MONTH(A2351))</f>
        <v/>
      </c>
      <c r="N2351" s="14">
        <f>IF(A2351="","",YEAR(A2351))</f>
        <v/>
      </c>
    </row>
    <row r="2352">
      <c r="A2352" s="15" t="n"/>
      <c r="B2352" s="10" t="n"/>
      <c r="C2352" s="10" t="n"/>
      <c r="D2352" s="10" t="n"/>
      <c r="E2352" s="14">
        <f>IF(D2352="","",IFERROR(INDEX('Sản phẩm'!$B$5:$B$304,MATCH(D2352,'Sản phẩm'!$A$5:$A$304,0)),""))</f>
        <v/>
      </c>
      <c r="F2352" s="12" t="n"/>
      <c r="G2352" s="11" t="n"/>
      <c r="H2352" s="11" t="n"/>
      <c r="I2352" s="16">
        <f>IF(D2352="","",IF(G2352&lt;&gt;"",G2352,IFERROR(INDEX('Sản phẩm'!$E$5:$E$304,MATCH(D2352,'Sản phẩm'!$A$5:$A$304,0)),"")))</f>
        <v/>
      </c>
      <c r="J2352" s="16">
        <f>IF(OR(D2352="",F2352=""),"",F2352*I2352-N(H2352))</f>
        <v/>
      </c>
      <c r="K2352" s="16">
        <f>IF(OR(D2352="",F2352=""),"",F2352*IFERROR(INDEX('Sản phẩm'!$D$5:$D$304,MATCH(D2352,'Sản phẩm'!$A$5:$A$304,0)),""))</f>
        <v/>
      </c>
      <c r="L2352" s="16">
        <f>IF(J2352="","",J2352-K2352)</f>
        <v/>
      </c>
      <c r="M2352" s="14">
        <f>IF(A2352="","",MONTH(A2352))</f>
        <v/>
      </c>
      <c r="N2352" s="14">
        <f>IF(A2352="","",YEAR(A2352))</f>
        <v/>
      </c>
    </row>
    <row r="2353">
      <c r="A2353" s="15" t="n"/>
      <c r="B2353" s="10" t="n"/>
      <c r="C2353" s="10" t="n"/>
      <c r="D2353" s="10" t="n"/>
      <c r="E2353" s="14">
        <f>IF(D2353="","",IFERROR(INDEX('Sản phẩm'!$B$5:$B$304,MATCH(D2353,'Sản phẩm'!$A$5:$A$304,0)),""))</f>
        <v/>
      </c>
      <c r="F2353" s="12" t="n"/>
      <c r="G2353" s="11" t="n"/>
      <c r="H2353" s="11" t="n"/>
      <c r="I2353" s="16">
        <f>IF(D2353="","",IF(G2353&lt;&gt;"",G2353,IFERROR(INDEX('Sản phẩm'!$E$5:$E$304,MATCH(D2353,'Sản phẩm'!$A$5:$A$304,0)),"")))</f>
        <v/>
      </c>
      <c r="J2353" s="16">
        <f>IF(OR(D2353="",F2353=""),"",F2353*I2353-N(H2353))</f>
        <v/>
      </c>
      <c r="K2353" s="16">
        <f>IF(OR(D2353="",F2353=""),"",F2353*IFERROR(INDEX('Sản phẩm'!$D$5:$D$304,MATCH(D2353,'Sản phẩm'!$A$5:$A$304,0)),""))</f>
        <v/>
      </c>
      <c r="L2353" s="16">
        <f>IF(J2353="","",J2353-K2353)</f>
        <v/>
      </c>
      <c r="M2353" s="14">
        <f>IF(A2353="","",MONTH(A2353))</f>
        <v/>
      </c>
      <c r="N2353" s="14">
        <f>IF(A2353="","",YEAR(A2353))</f>
        <v/>
      </c>
    </row>
    <row r="2354">
      <c r="A2354" s="15" t="n"/>
      <c r="B2354" s="10" t="n"/>
      <c r="C2354" s="10" t="n"/>
      <c r="D2354" s="10" t="n"/>
      <c r="E2354" s="14">
        <f>IF(D2354="","",IFERROR(INDEX('Sản phẩm'!$B$5:$B$304,MATCH(D2354,'Sản phẩm'!$A$5:$A$304,0)),""))</f>
        <v/>
      </c>
      <c r="F2354" s="12" t="n"/>
      <c r="G2354" s="11" t="n"/>
      <c r="H2354" s="11" t="n"/>
      <c r="I2354" s="16">
        <f>IF(D2354="","",IF(G2354&lt;&gt;"",G2354,IFERROR(INDEX('Sản phẩm'!$E$5:$E$304,MATCH(D2354,'Sản phẩm'!$A$5:$A$304,0)),"")))</f>
        <v/>
      </c>
      <c r="J2354" s="16">
        <f>IF(OR(D2354="",F2354=""),"",F2354*I2354-N(H2354))</f>
        <v/>
      </c>
      <c r="K2354" s="16">
        <f>IF(OR(D2354="",F2354=""),"",F2354*IFERROR(INDEX('Sản phẩm'!$D$5:$D$304,MATCH(D2354,'Sản phẩm'!$A$5:$A$304,0)),""))</f>
        <v/>
      </c>
      <c r="L2354" s="16">
        <f>IF(J2354="","",J2354-K2354)</f>
        <v/>
      </c>
      <c r="M2354" s="14">
        <f>IF(A2354="","",MONTH(A2354))</f>
        <v/>
      </c>
      <c r="N2354" s="14">
        <f>IF(A2354="","",YEAR(A2354))</f>
        <v/>
      </c>
    </row>
    <row r="2355">
      <c r="A2355" s="15" t="n"/>
      <c r="B2355" s="10" t="n"/>
      <c r="C2355" s="10" t="n"/>
      <c r="D2355" s="10" t="n"/>
      <c r="E2355" s="14">
        <f>IF(D2355="","",IFERROR(INDEX('Sản phẩm'!$B$5:$B$304,MATCH(D2355,'Sản phẩm'!$A$5:$A$304,0)),""))</f>
        <v/>
      </c>
      <c r="F2355" s="12" t="n"/>
      <c r="G2355" s="11" t="n"/>
      <c r="H2355" s="11" t="n"/>
      <c r="I2355" s="16">
        <f>IF(D2355="","",IF(G2355&lt;&gt;"",G2355,IFERROR(INDEX('Sản phẩm'!$E$5:$E$304,MATCH(D2355,'Sản phẩm'!$A$5:$A$304,0)),"")))</f>
        <v/>
      </c>
      <c r="J2355" s="16">
        <f>IF(OR(D2355="",F2355=""),"",F2355*I2355-N(H2355))</f>
        <v/>
      </c>
      <c r="K2355" s="16">
        <f>IF(OR(D2355="",F2355=""),"",F2355*IFERROR(INDEX('Sản phẩm'!$D$5:$D$304,MATCH(D2355,'Sản phẩm'!$A$5:$A$304,0)),""))</f>
        <v/>
      </c>
      <c r="L2355" s="16">
        <f>IF(J2355="","",J2355-K2355)</f>
        <v/>
      </c>
      <c r="M2355" s="14">
        <f>IF(A2355="","",MONTH(A2355))</f>
        <v/>
      </c>
      <c r="N2355" s="14">
        <f>IF(A2355="","",YEAR(A2355))</f>
        <v/>
      </c>
    </row>
    <row r="2356">
      <c r="A2356" s="15" t="n"/>
      <c r="B2356" s="10" t="n"/>
      <c r="C2356" s="10" t="n"/>
      <c r="D2356" s="10" t="n"/>
      <c r="E2356" s="14">
        <f>IF(D2356="","",IFERROR(INDEX('Sản phẩm'!$B$5:$B$304,MATCH(D2356,'Sản phẩm'!$A$5:$A$304,0)),""))</f>
        <v/>
      </c>
      <c r="F2356" s="12" t="n"/>
      <c r="G2356" s="11" t="n"/>
      <c r="H2356" s="11" t="n"/>
      <c r="I2356" s="16">
        <f>IF(D2356="","",IF(G2356&lt;&gt;"",G2356,IFERROR(INDEX('Sản phẩm'!$E$5:$E$304,MATCH(D2356,'Sản phẩm'!$A$5:$A$304,0)),"")))</f>
        <v/>
      </c>
      <c r="J2356" s="16">
        <f>IF(OR(D2356="",F2356=""),"",F2356*I2356-N(H2356))</f>
        <v/>
      </c>
      <c r="K2356" s="16">
        <f>IF(OR(D2356="",F2356=""),"",F2356*IFERROR(INDEX('Sản phẩm'!$D$5:$D$304,MATCH(D2356,'Sản phẩm'!$A$5:$A$304,0)),""))</f>
        <v/>
      </c>
      <c r="L2356" s="16">
        <f>IF(J2356="","",J2356-K2356)</f>
        <v/>
      </c>
      <c r="M2356" s="14">
        <f>IF(A2356="","",MONTH(A2356))</f>
        <v/>
      </c>
      <c r="N2356" s="14">
        <f>IF(A2356="","",YEAR(A2356))</f>
        <v/>
      </c>
    </row>
    <row r="2357">
      <c r="A2357" s="15" t="n"/>
      <c r="B2357" s="10" t="n"/>
      <c r="C2357" s="10" t="n"/>
      <c r="D2357" s="10" t="n"/>
      <c r="E2357" s="14">
        <f>IF(D2357="","",IFERROR(INDEX('Sản phẩm'!$B$5:$B$304,MATCH(D2357,'Sản phẩm'!$A$5:$A$304,0)),""))</f>
        <v/>
      </c>
      <c r="F2357" s="12" t="n"/>
      <c r="G2357" s="11" t="n"/>
      <c r="H2357" s="11" t="n"/>
      <c r="I2357" s="16">
        <f>IF(D2357="","",IF(G2357&lt;&gt;"",G2357,IFERROR(INDEX('Sản phẩm'!$E$5:$E$304,MATCH(D2357,'Sản phẩm'!$A$5:$A$304,0)),"")))</f>
        <v/>
      </c>
      <c r="J2357" s="16">
        <f>IF(OR(D2357="",F2357=""),"",F2357*I2357-N(H2357))</f>
        <v/>
      </c>
      <c r="K2357" s="16">
        <f>IF(OR(D2357="",F2357=""),"",F2357*IFERROR(INDEX('Sản phẩm'!$D$5:$D$304,MATCH(D2357,'Sản phẩm'!$A$5:$A$304,0)),""))</f>
        <v/>
      </c>
      <c r="L2357" s="16">
        <f>IF(J2357="","",J2357-K2357)</f>
        <v/>
      </c>
      <c r="M2357" s="14">
        <f>IF(A2357="","",MONTH(A2357))</f>
        <v/>
      </c>
      <c r="N2357" s="14">
        <f>IF(A2357="","",YEAR(A2357))</f>
        <v/>
      </c>
    </row>
    <row r="2358">
      <c r="A2358" s="15" t="n"/>
      <c r="B2358" s="10" t="n"/>
      <c r="C2358" s="10" t="n"/>
      <c r="D2358" s="10" t="n"/>
      <c r="E2358" s="14">
        <f>IF(D2358="","",IFERROR(INDEX('Sản phẩm'!$B$5:$B$304,MATCH(D2358,'Sản phẩm'!$A$5:$A$304,0)),""))</f>
        <v/>
      </c>
      <c r="F2358" s="12" t="n"/>
      <c r="G2358" s="11" t="n"/>
      <c r="H2358" s="11" t="n"/>
      <c r="I2358" s="16">
        <f>IF(D2358="","",IF(G2358&lt;&gt;"",G2358,IFERROR(INDEX('Sản phẩm'!$E$5:$E$304,MATCH(D2358,'Sản phẩm'!$A$5:$A$304,0)),"")))</f>
        <v/>
      </c>
      <c r="J2358" s="16">
        <f>IF(OR(D2358="",F2358=""),"",F2358*I2358-N(H2358))</f>
        <v/>
      </c>
      <c r="K2358" s="16">
        <f>IF(OR(D2358="",F2358=""),"",F2358*IFERROR(INDEX('Sản phẩm'!$D$5:$D$304,MATCH(D2358,'Sản phẩm'!$A$5:$A$304,0)),""))</f>
        <v/>
      </c>
      <c r="L2358" s="16">
        <f>IF(J2358="","",J2358-K2358)</f>
        <v/>
      </c>
      <c r="M2358" s="14">
        <f>IF(A2358="","",MONTH(A2358))</f>
        <v/>
      </c>
      <c r="N2358" s="14">
        <f>IF(A2358="","",YEAR(A2358))</f>
        <v/>
      </c>
    </row>
    <row r="2359">
      <c r="A2359" s="15" t="n"/>
      <c r="B2359" s="10" t="n"/>
      <c r="C2359" s="10" t="n"/>
      <c r="D2359" s="10" t="n"/>
      <c r="E2359" s="14">
        <f>IF(D2359="","",IFERROR(INDEX('Sản phẩm'!$B$5:$B$304,MATCH(D2359,'Sản phẩm'!$A$5:$A$304,0)),""))</f>
        <v/>
      </c>
      <c r="F2359" s="12" t="n"/>
      <c r="G2359" s="11" t="n"/>
      <c r="H2359" s="11" t="n"/>
      <c r="I2359" s="16">
        <f>IF(D2359="","",IF(G2359&lt;&gt;"",G2359,IFERROR(INDEX('Sản phẩm'!$E$5:$E$304,MATCH(D2359,'Sản phẩm'!$A$5:$A$304,0)),"")))</f>
        <v/>
      </c>
      <c r="J2359" s="16">
        <f>IF(OR(D2359="",F2359=""),"",F2359*I2359-N(H2359))</f>
        <v/>
      </c>
      <c r="K2359" s="16">
        <f>IF(OR(D2359="",F2359=""),"",F2359*IFERROR(INDEX('Sản phẩm'!$D$5:$D$304,MATCH(D2359,'Sản phẩm'!$A$5:$A$304,0)),""))</f>
        <v/>
      </c>
      <c r="L2359" s="16">
        <f>IF(J2359="","",J2359-K2359)</f>
        <v/>
      </c>
      <c r="M2359" s="14">
        <f>IF(A2359="","",MONTH(A2359))</f>
        <v/>
      </c>
      <c r="N2359" s="14">
        <f>IF(A2359="","",YEAR(A2359))</f>
        <v/>
      </c>
    </row>
    <row r="2360">
      <c r="A2360" s="15" t="n"/>
      <c r="B2360" s="10" t="n"/>
      <c r="C2360" s="10" t="n"/>
      <c r="D2360" s="10" t="n"/>
      <c r="E2360" s="14">
        <f>IF(D2360="","",IFERROR(INDEX('Sản phẩm'!$B$5:$B$304,MATCH(D2360,'Sản phẩm'!$A$5:$A$304,0)),""))</f>
        <v/>
      </c>
      <c r="F2360" s="12" t="n"/>
      <c r="G2360" s="11" t="n"/>
      <c r="H2360" s="11" t="n"/>
      <c r="I2360" s="16">
        <f>IF(D2360="","",IF(G2360&lt;&gt;"",G2360,IFERROR(INDEX('Sản phẩm'!$E$5:$E$304,MATCH(D2360,'Sản phẩm'!$A$5:$A$304,0)),"")))</f>
        <v/>
      </c>
      <c r="J2360" s="16">
        <f>IF(OR(D2360="",F2360=""),"",F2360*I2360-N(H2360))</f>
        <v/>
      </c>
      <c r="K2360" s="16">
        <f>IF(OR(D2360="",F2360=""),"",F2360*IFERROR(INDEX('Sản phẩm'!$D$5:$D$304,MATCH(D2360,'Sản phẩm'!$A$5:$A$304,0)),""))</f>
        <v/>
      </c>
      <c r="L2360" s="16">
        <f>IF(J2360="","",J2360-K2360)</f>
        <v/>
      </c>
      <c r="M2360" s="14">
        <f>IF(A2360="","",MONTH(A2360))</f>
        <v/>
      </c>
      <c r="N2360" s="14">
        <f>IF(A2360="","",YEAR(A2360))</f>
        <v/>
      </c>
    </row>
    <row r="2361">
      <c r="A2361" s="15" t="n"/>
      <c r="B2361" s="10" t="n"/>
      <c r="C2361" s="10" t="n"/>
      <c r="D2361" s="10" t="n"/>
      <c r="E2361" s="14">
        <f>IF(D2361="","",IFERROR(INDEX('Sản phẩm'!$B$5:$B$304,MATCH(D2361,'Sản phẩm'!$A$5:$A$304,0)),""))</f>
        <v/>
      </c>
      <c r="F2361" s="12" t="n"/>
      <c r="G2361" s="11" t="n"/>
      <c r="H2361" s="11" t="n"/>
      <c r="I2361" s="16">
        <f>IF(D2361="","",IF(G2361&lt;&gt;"",G2361,IFERROR(INDEX('Sản phẩm'!$E$5:$E$304,MATCH(D2361,'Sản phẩm'!$A$5:$A$304,0)),"")))</f>
        <v/>
      </c>
      <c r="J2361" s="16">
        <f>IF(OR(D2361="",F2361=""),"",F2361*I2361-N(H2361))</f>
        <v/>
      </c>
      <c r="K2361" s="16">
        <f>IF(OR(D2361="",F2361=""),"",F2361*IFERROR(INDEX('Sản phẩm'!$D$5:$D$304,MATCH(D2361,'Sản phẩm'!$A$5:$A$304,0)),""))</f>
        <v/>
      </c>
      <c r="L2361" s="16">
        <f>IF(J2361="","",J2361-K2361)</f>
        <v/>
      </c>
      <c r="M2361" s="14">
        <f>IF(A2361="","",MONTH(A2361))</f>
        <v/>
      </c>
      <c r="N2361" s="14">
        <f>IF(A2361="","",YEAR(A2361))</f>
        <v/>
      </c>
    </row>
    <row r="2362">
      <c r="A2362" s="15" t="n"/>
      <c r="B2362" s="10" t="n"/>
      <c r="C2362" s="10" t="n"/>
      <c r="D2362" s="10" t="n"/>
      <c r="E2362" s="14">
        <f>IF(D2362="","",IFERROR(INDEX('Sản phẩm'!$B$5:$B$304,MATCH(D2362,'Sản phẩm'!$A$5:$A$304,0)),""))</f>
        <v/>
      </c>
      <c r="F2362" s="12" t="n"/>
      <c r="G2362" s="11" t="n"/>
      <c r="H2362" s="11" t="n"/>
      <c r="I2362" s="16">
        <f>IF(D2362="","",IF(G2362&lt;&gt;"",G2362,IFERROR(INDEX('Sản phẩm'!$E$5:$E$304,MATCH(D2362,'Sản phẩm'!$A$5:$A$304,0)),"")))</f>
        <v/>
      </c>
      <c r="J2362" s="16">
        <f>IF(OR(D2362="",F2362=""),"",F2362*I2362-N(H2362))</f>
        <v/>
      </c>
      <c r="K2362" s="16">
        <f>IF(OR(D2362="",F2362=""),"",F2362*IFERROR(INDEX('Sản phẩm'!$D$5:$D$304,MATCH(D2362,'Sản phẩm'!$A$5:$A$304,0)),""))</f>
        <v/>
      </c>
      <c r="L2362" s="16">
        <f>IF(J2362="","",J2362-K2362)</f>
        <v/>
      </c>
      <c r="M2362" s="14">
        <f>IF(A2362="","",MONTH(A2362))</f>
        <v/>
      </c>
      <c r="N2362" s="14">
        <f>IF(A2362="","",YEAR(A2362))</f>
        <v/>
      </c>
    </row>
    <row r="2363">
      <c r="A2363" s="15" t="n"/>
      <c r="B2363" s="10" t="n"/>
      <c r="C2363" s="10" t="n"/>
      <c r="D2363" s="10" t="n"/>
      <c r="E2363" s="14">
        <f>IF(D2363="","",IFERROR(INDEX('Sản phẩm'!$B$5:$B$304,MATCH(D2363,'Sản phẩm'!$A$5:$A$304,0)),""))</f>
        <v/>
      </c>
      <c r="F2363" s="12" t="n"/>
      <c r="G2363" s="11" t="n"/>
      <c r="H2363" s="11" t="n"/>
      <c r="I2363" s="16">
        <f>IF(D2363="","",IF(G2363&lt;&gt;"",G2363,IFERROR(INDEX('Sản phẩm'!$E$5:$E$304,MATCH(D2363,'Sản phẩm'!$A$5:$A$304,0)),"")))</f>
        <v/>
      </c>
      <c r="J2363" s="16">
        <f>IF(OR(D2363="",F2363=""),"",F2363*I2363-N(H2363))</f>
        <v/>
      </c>
      <c r="K2363" s="16">
        <f>IF(OR(D2363="",F2363=""),"",F2363*IFERROR(INDEX('Sản phẩm'!$D$5:$D$304,MATCH(D2363,'Sản phẩm'!$A$5:$A$304,0)),""))</f>
        <v/>
      </c>
      <c r="L2363" s="16">
        <f>IF(J2363="","",J2363-K2363)</f>
        <v/>
      </c>
      <c r="M2363" s="14">
        <f>IF(A2363="","",MONTH(A2363))</f>
        <v/>
      </c>
      <c r="N2363" s="14">
        <f>IF(A2363="","",YEAR(A2363))</f>
        <v/>
      </c>
    </row>
    <row r="2364">
      <c r="A2364" s="15" t="n"/>
      <c r="B2364" s="10" t="n"/>
      <c r="C2364" s="10" t="n"/>
      <c r="D2364" s="10" t="n"/>
      <c r="E2364" s="14">
        <f>IF(D2364="","",IFERROR(INDEX('Sản phẩm'!$B$5:$B$304,MATCH(D2364,'Sản phẩm'!$A$5:$A$304,0)),""))</f>
        <v/>
      </c>
      <c r="F2364" s="12" t="n"/>
      <c r="G2364" s="11" t="n"/>
      <c r="H2364" s="11" t="n"/>
      <c r="I2364" s="16">
        <f>IF(D2364="","",IF(G2364&lt;&gt;"",G2364,IFERROR(INDEX('Sản phẩm'!$E$5:$E$304,MATCH(D2364,'Sản phẩm'!$A$5:$A$304,0)),"")))</f>
        <v/>
      </c>
      <c r="J2364" s="16">
        <f>IF(OR(D2364="",F2364=""),"",F2364*I2364-N(H2364))</f>
        <v/>
      </c>
      <c r="K2364" s="16">
        <f>IF(OR(D2364="",F2364=""),"",F2364*IFERROR(INDEX('Sản phẩm'!$D$5:$D$304,MATCH(D2364,'Sản phẩm'!$A$5:$A$304,0)),""))</f>
        <v/>
      </c>
      <c r="L2364" s="16">
        <f>IF(J2364="","",J2364-K2364)</f>
        <v/>
      </c>
      <c r="M2364" s="14">
        <f>IF(A2364="","",MONTH(A2364))</f>
        <v/>
      </c>
      <c r="N2364" s="14">
        <f>IF(A2364="","",YEAR(A2364))</f>
        <v/>
      </c>
    </row>
    <row r="2365">
      <c r="A2365" s="15" t="n"/>
      <c r="B2365" s="10" t="n"/>
      <c r="C2365" s="10" t="n"/>
      <c r="D2365" s="10" t="n"/>
      <c r="E2365" s="14">
        <f>IF(D2365="","",IFERROR(INDEX('Sản phẩm'!$B$5:$B$304,MATCH(D2365,'Sản phẩm'!$A$5:$A$304,0)),""))</f>
        <v/>
      </c>
      <c r="F2365" s="12" t="n"/>
      <c r="G2365" s="11" t="n"/>
      <c r="H2365" s="11" t="n"/>
      <c r="I2365" s="16">
        <f>IF(D2365="","",IF(G2365&lt;&gt;"",G2365,IFERROR(INDEX('Sản phẩm'!$E$5:$E$304,MATCH(D2365,'Sản phẩm'!$A$5:$A$304,0)),"")))</f>
        <v/>
      </c>
      <c r="J2365" s="16">
        <f>IF(OR(D2365="",F2365=""),"",F2365*I2365-N(H2365))</f>
        <v/>
      </c>
      <c r="K2365" s="16">
        <f>IF(OR(D2365="",F2365=""),"",F2365*IFERROR(INDEX('Sản phẩm'!$D$5:$D$304,MATCH(D2365,'Sản phẩm'!$A$5:$A$304,0)),""))</f>
        <v/>
      </c>
      <c r="L2365" s="16">
        <f>IF(J2365="","",J2365-K2365)</f>
        <v/>
      </c>
      <c r="M2365" s="14">
        <f>IF(A2365="","",MONTH(A2365))</f>
        <v/>
      </c>
      <c r="N2365" s="14">
        <f>IF(A2365="","",YEAR(A2365))</f>
        <v/>
      </c>
    </row>
    <row r="2366">
      <c r="A2366" s="15" t="n"/>
      <c r="B2366" s="10" t="n"/>
      <c r="C2366" s="10" t="n"/>
      <c r="D2366" s="10" t="n"/>
      <c r="E2366" s="14">
        <f>IF(D2366="","",IFERROR(INDEX('Sản phẩm'!$B$5:$B$304,MATCH(D2366,'Sản phẩm'!$A$5:$A$304,0)),""))</f>
        <v/>
      </c>
      <c r="F2366" s="12" t="n"/>
      <c r="G2366" s="11" t="n"/>
      <c r="H2366" s="11" t="n"/>
      <c r="I2366" s="16">
        <f>IF(D2366="","",IF(G2366&lt;&gt;"",G2366,IFERROR(INDEX('Sản phẩm'!$E$5:$E$304,MATCH(D2366,'Sản phẩm'!$A$5:$A$304,0)),"")))</f>
        <v/>
      </c>
      <c r="J2366" s="16">
        <f>IF(OR(D2366="",F2366=""),"",F2366*I2366-N(H2366))</f>
        <v/>
      </c>
      <c r="K2366" s="16">
        <f>IF(OR(D2366="",F2366=""),"",F2366*IFERROR(INDEX('Sản phẩm'!$D$5:$D$304,MATCH(D2366,'Sản phẩm'!$A$5:$A$304,0)),""))</f>
        <v/>
      </c>
      <c r="L2366" s="16">
        <f>IF(J2366="","",J2366-K2366)</f>
        <v/>
      </c>
      <c r="M2366" s="14">
        <f>IF(A2366="","",MONTH(A2366))</f>
        <v/>
      </c>
      <c r="N2366" s="14">
        <f>IF(A2366="","",YEAR(A2366))</f>
        <v/>
      </c>
    </row>
    <row r="2367">
      <c r="A2367" s="15" t="n"/>
      <c r="B2367" s="10" t="n"/>
      <c r="C2367" s="10" t="n"/>
      <c r="D2367" s="10" t="n"/>
      <c r="E2367" s="14">
        <f>IF(D2367="","",IFERROR(INDEX('Sản phẩm'!$B$5:$B$304,MATCH(D2367,'Sản phẩm'!$A$5:$A$304,0)),""))</f>
        <v/>
      </c>
      <c r="F2367" s="12" t="n"/>
      <c r="G2367" s="11" t="n"/>
      <c r="H2367" s="11" t="n"/>
      <c r="I2367" s="16">
        <f>IF(D2367="","",IF(G2367&lt;&gt;"",G2367,IFERROR(INDEX('Sản phẩm'!$E$5:$E$304,MATCH(D2367,'Sản phẩm'!$A$5:$A$304,0)),"")))</f>
        <v/>
      </c>
      <c r="J2367" s="16">
        <f>IF(OR(D2367="",F2367=""),"",F2367*I2367-N(H2367))</f>
        <v/>
      </c>
      <c r="K2367" s="16">
        <f>IF(OR(D2367="",F2367=""),"",F2367*IFERROR(INDEX('Sản phẩm'!$D$5:$D$304,MATCH(D2367,'Sản phẩm'!$A$5:$A$304,0)),""))</f>
        <v/>
      </c>
      <c r="L2367" s="16">
        <f>IF(J2367="","",J2367-K2367)</f>
        <v/>
      </c>
      <c r="M2367" s="14">
        <f>IF(A2367="","",MONTH(A2367))</f>
        <v/>
      </c>
      <c r="N2367" s="14">
        <f>IF(A2367="","",YEAR(A2367))</f>
        <v/>
      </c>
    </row>
    <row r="2368">
      <c r="A2368" s="15" t="n"/>
      <c r="B2368" s="10" t="n"/>
      <c r="C2368" s="10" t="n"/>
      <c r="D2368" s="10" t="n"/>
      <c r="E2368" s="14">
        <f>IF(D2368="","",IFERROR(INDEX('Sản phẩm'!$B$5:$B$304,MATCH(D2368,'Sản phẩm'!$A$5:$A$304,0)),""))</f>
        <v/>
      </c>
      <c r="F2368" s="12" t="n"/>
      <c r="G2368" s="11" t="n"/>
      <c r="H2368" s="11" t="n"/>
      <c r="I2368" s="16">
        <f>IF(D2368="","",IF(G2368&lt;&gt;"",G2368,IFERROR(INDEX('Sản phẩm'!$E$5:$E$304,MATCH(D2368,'Sản phẩm'!$A$5:$A$304,0)),"")))</f>
        <v/>
      </c>
      <c r="J2368" s="16">
        <f>IF(OR(D2368="",F2368=""),"",F2368*I2368-N(H2368))</f>
        <v/>
      </c>
      <c r="K2368" s="16">
        <f>IF(OR(D2368="",F2368=""),"",F2368*IFERROR(INDEX('Sản phẩm'!$D$5:$D$304,MATCH(D2368,'Sản phẩm'!$A$5:$A$304,0)),""))</f>
        <v/>
      </c>
      <c r="L2368" s="16">
        <f>IF(J2368="","",J2368-K2368)</f>
        <v/>
      </c>
      <c r="M2368" s="14">
        <f>IF(A2368="","",MONTH(A2368))</f>
        <v/>
      </c>
      <c r="N2368" s="14">
        <f>IF(A2368="","",YEAR(A2368))</f>
        <v/>
      </c>
    </row>
    <row r="2369">
      <c r="A2369" s="15" t="n"/>
      <c r="B2369" s="10" t="n"/>
      <c r="C2369" s="10" t="n"/>
      <c r="D2369" s="10" t="n"/>
      <c r="E2369" s="14">
        <f>IF(D2369="","",IFERROR(INDEX('Sản phẩm'!$B$5:$B$304,MATCH(D2369,'Sản phẩm'!$A$5:$A$304,0)),""))</f>
        <v/>
      </c>
      <c r="F2369" s="12" t="n"/>
      <c r="G2369" s="11" t="n"/>
      <c r="H2369" s="11" t="n"/>
      <c r="I2369" s="16">
        <f>IF(D2369="","",IF(G2369&lt;&gt;"",G2369,IFERROR(INDEX('Sản phẩm'!$E$5:$E$304,MATCH(D2369,'Sản phẩm'!$A$5:$A$304,0)),"")))</f>
        <v/>
      </c>
      <c r="J2369" s="16">
        <f>IF(OR(D2369="",F2369=""),"",F2369*I2369-N(H2369))</f>
        <v/>
      </c>
      <c r="K2369" s="16">
        <f>IF(OR(D2369="",F2369=""),"",F2369*IFERROR(INDEX('Sản phẩm'!$D$5:$D$304,MATCH(D2369,'Sản phẩm'!$A$5:$A$304,0)),""))</f>
        <v/>
      </c>
      <c r="L2369" s="16">
        <f>IF(J2369="","",J2369-K2369)</f>
        <v/>
      </c>
      <c r="M2369" s="14">
        <f>IF(A2369="","",MONTH(A2369))</f>
        <v/>
      </c>
      <c r="N2369" s="14">
        <f>IF(A2369="","",YEAR(A2369))</f>
        <v/>
      </c>
    </row>
    <row r="2370">
      <c r="A2370" s="15" t="n"/>
      <c r="B2370" s="10" t="n"/>
      <c r="C2370" s="10" t="n"/>
      <c r="D2370" s="10" t="n"/>
      <c r="E2370" s="14">
        <f>IF(D2370="","",IFERROR(INDEX('Sản phẩm'!$B$5:$B$304,MATCH(D2370,'Sản phẩm'!$A$5:$A$304,0)),""))</f>
        <v/>
      </c>
      <c r="F2370" s="12" t="n"/>
      <c r="G2370" s="11" t="n"/>
      <c r="H2370" s="11" t="n"/>
      <c r="I2370" s="16">
        <f>IF(D2370="","",IF(G2370&lt;&gt;"",G2370,IFERROR(INDEX('Sản phẩm'!$E$5:$E$304,MATCH(D2370,'Sản phẩm'!$A$5:$A$304,0)),"")))</f>
        <v/>
      </c>
      <c r="J2370" s="16">
        <f>IF(OR(D2370="",F2370=""),"",F2370*I2370-N(H2370))</f>
        <v/>
      </c>
      <c r="K2370" s="16">
        <f>IF(OR(D2370="",F2370=""),"",F2370*IFERROR(INDEX('Sản phẩm'!$D$5:$D$304,MATCH(D2370,'Sản phẩm'!$A$5:$A$304,0)),""))</f>
        <v/>
      </c>
      <c r="L2370" s="16">
        <f>IF(J2370="","",J2370-K2370)</f>
        <v/>
      </c>
      <c r="M2370" s="14">
        <f>IF(A2370="","",MONTH(A2370))</f>
        <v/>
      </c>
      <c r="N2370" s="14">
        <f>IF(A2370="","",YEAR(A2370))</f>
        <v/>
      </c>
    </row>
    <row r="2371">
      <c r="A2371" s="15" t="n"/>
      <c r="B2371" s="10" t="n"/>
      <c r="C2371" s="10" t="n"/>
      <c r="D2371" s="10" t="n"/>
      <c r="E2371" s="14">
        <f>IF(D2371="","",IFERROR(INDEX('Sản phẩm'!$B$5:$B$304,MATCH(D2371,'Sản phẩm'!$A$5:$A$304,0)),""))</f>
        <v/>
      </c>
      <c r="F2371" s="12" t="n"/>
      <c r="G2371" s="11" t="n"/>
      <c r="H2371" s="11" t="n"/>
      <c r="I2371" s="16">
        <f>IF(D2371="","",IF(G2371&lt;&gt;"",G2371,IFERROR(INDEX('Sản phẩm'!$E$5:$E$304,MATCH(D2371,'Sản phẩm'!$A$5:$A$304,0)),"")))</f>
        <v/>
      </c>
      <c r="J2371" s="16">
        <f>IF(OR(D2371="",F2371=""),"",F2371*I2371-N(H2371))</f>
        <v/>
      </c>
      <c r="K2371" s="16">
        <f>IF(OR(D2371="",F2371=""),"",F2371*IFERROR(INDEX('Sản phẩm'!$D$5:$D$304,MATCH(D2371,'Sản phẩm'!$A$5:$A$304,0)),""))</f>
        <v/>
      </c>
      <c r="L2371" s="16">
        <f>IF(J2371="","",J2371-K2371)</f>
        <v/>
      </c>
      <c r="M2371" s="14">
        <f>IF(A2371="","",MONTH(A2371))</f>
        <v/>
      </c>
      <c r="N2371" s="14">
        <f>IF(A2371="","",YEAR(A2371))</f>
        <v/>
      </c>
    </row>
    <row r="2372">
      <c r="A2372" s="15" t="n"/>
      <c r="B2372" s="10" t="n"/>
      <c r="C2372" s="10" t="n"/>
      <c r="D2372" s="10" t="n"/>
      <c r="E2372" s="14">
        <f>IF(D2372="","",IFERROR(INDEX('Sản phẩm'!$B$5:$B$304,MATCH(D2372,'Sản phẩm'!$A$5:$A$304,0)),""))</f>
        <v/>
      </c>
      <c r="F2372" s="12" t="n"/>
      <c r="G2372" s="11" t="n"/>
      <c r="H2372" s="11" t="n"/>
      <c r="I2372" s="16">
        <f>IF(D2372="","",IF(G2372&lt;&gt;"",G2372,IFERROR(INDEX('Sản phẩm'!$E$5:$E$304,MATCH(D2372,'Sản phẩm'!$A$5:$A$304,0)),"")))</f>
        <v/>
      </c>
      <c r="J2372" s="16">
        <f>IF(OR(D2372="",F2372=""),"",F2372*I2372-N(H2372))</f>
        <v/>
      </c>
      <c r="K2372" s="16">
        <f>IF(OR(D2372="",F2372=""),"",F2372*IFERROR(INDEX('Sản phẩm'!$D$5:$D$304,MATCH(D2372,'Sản phẩm'!$A$5:$A$304,0)),""))</f>
        <v/>
      </c>
      <c r="L2372" s="16">
        <f>IF(J2372="","",J2372-K2372)</f>
        <v/>
      </c>
      <c r="M2372" s="14">
        <f>IF(A2372="","",MONTH(A2372))</f>
        <v/>
      </c>
      <c r="N2372" s="14">
        <f>IF(A2372="","",YEAR(A2372))</f>
        <v/>
      </c>
    </row>
    <row r="2373">
      <c r="A2373" s="15" t="n"/>
      <c r="B2373" s="10" t="n"/>
      <c r="C2373" s="10" t="n"/>
      <c r="D2373" s="10" t="n"/>
      <c r="E2373" s="14">
        <f>IF(D2373="","",IFERROR(INDEX('Sản phẩm'!$B$5:$B$304,MATCH(D2373,'Sản phẩm'!$A$5:$A$304,0)),""))</f>
        <v/>
      </c>
      <c r="F2373" s="12" t="n"/>
      <c r="G2373" s="11" t="n"/>
      <c r="H2373" s="11" t="n"/>
      <c r="I2373" s="16">
        <f>IF(D2373="","",IF(G2373&lt;&gt;"",G2373,IFERROR(INDEX('Sản phẩm'!$E$5:$E$304,MATCH(D2373,'Sản phẩm'!$A$5:$A$304,0)),"")))</f>
        <v/>
      </c>
      <c r="J2373" s="16">
        <f>IF(OR(D2373="",F2373=""),"",F2373*I2373-N(H2373))</f>
        <v/>
      </c>
      <c r="K2373" s="16">
        <f>IF(OR(D2373="",F2373=""),"",F2373*IFERROR(INDEX('Sản phẩm'!$D$5:$D$304,MATCH(D2373,'Sản phẩm'!$A$5:$A$304,0)),""))</f>
        <v/>
      </c>
      <c r="L2373" s="16">
        <f>IF(J2373="","",J2373-K2373)</f>
        <v/>
      </c>
      <c r="M2373" s="14">
        <f>IF(A2373="","",MONTH(A2373))</f>
        <v/>
      </c>
      <c r="N2373" s="14">
        <f>IF(A2373="","",YEAR(A2373))</f>
        <v/>
      </c>
    </row>
    <row r="2374">
      <c r="A2374" s="15" t="n"/>
      <c r="B2374" s="10" t="n"/>
      <c r="C2374" s="10" t="n"/>
      <c r="D2374" s="10" t="n"/>
      <c r="E2374" s="14">
        <f>IF(D2374="","",IFERROR(INDEX('Sản phẩm'!$B$5:$B$304,MATCH(D2374,'Sản phẩm'!$A$5:$A$304,0)),""))</f>
        <v/>
      </c>
      <c r="F2374" s="12" t="n"/>
      <c r="G2374" s="11" t="n"/>
      <c r="H2374" s="11" t="n"/>
      <c r="I2374" s="16">
        <f>IF(D2374="","",IF(G2374&lt;&gt;"",G2374,IFERROR(INDEX('Sản phẩm'!$E$5:$E$304,MATCH(D2374,'Sản phẩm'!$A$5:$A$304,0)),"")))</f>
        <v/>
      </c>
      <c r="J2374" s="16">
        <f>IF(OR(D2374="",F2374=""),"",F2374*I2374-N(H2374))</f>
        <v/>
      </c>
      <c r="K2374" s="16">
        <f>IF(OR(D2374="",F2374=""),"",F2374*IFERROR(INDEX('Sản phẩm'!$D$5:$D$304,MATCH(D2374,'Sản phẩm'!$A$5:$A$304,0)),""))</f>
        <v/>
      </c>
      <c r="L2374" s="16">
        <f>IF(J2374="","",J2374-K2374)</f>
        <v/>
      </c>
      <c r="M2374" s="14">
        <f>IF(A2374="","",MONTH(A2374))</f>
        <v/>
      </c>
      <c r="N2374" s="14">
        <f>IF(A2374="","",YEAR(A2374))</f>
        <v/>
      </c>
    </row>
    <row r="2375">
      <c r="A2375" s="15" t="n"/>
      <c r="B2375" s="10" t="n"/>
      <c r="C2375" s="10" t="n"/>
      <c r="D2375" s="10" t="n"/>
      <c r="E2375" s="14">
        <f>IF(D2375="","",IFERROR(INDEX('Sản phẩm'!$B$5:$B$304,MATCH(D2375,'Sản phẩm'!$A$5:$A$304,0)),""))</f>
        <v/>
      </c>
      <c r="F2375" s="12" t="n"/>
      <c r="G2375" s="11" t="n"/>
      <c r="H2375" s="11" t="n"/>
      <c r="I2375" s="16">
        <f>IF(D2375="","",IF(G2375&lt;&gt;"",G2375,IFERROR(INDEX('Sản phẩm'!$E$5:$E$304,MATCH(D2375,'Sản phẩm'!$A$5:$A$304,0)),"")))</f>
        <v/>
      </c>
      <c r="J2375" s="16">
        <f>IF(OR(D2375="",F2375=""),"",F2375*I2375-N(H2375))</f>
        <v/>
      </c>
      <c r="K2375" s="16">
        <f>IF(OR(D2375="",F2375=""),"",F2375*IFERROR(INDEX('Sản phẩm'!$D$5:$D$304,MATCH(D2375,'Sản phẩm'!$A$5:$A$304,0)),""))</f>
        <v/>
      </c>
      <c r="L2375" s="16">
        <f>IF(J2375="","",J2375-K2375)</f>
        <v/>
      </c>
      <c r="M2375" s="14">
        <f>IF(A2375="","",MONTH(A2375))</f>
        <v/>
      </c>
      <c r="N2375" s="14">
        <f>IF(A2375="","",YEAR(A2375))</f>
        <v/>
      </c>
    </row>
    <row r="2376">
      <c r="A2376" s="15" t="n"/>
      <c r="B2376" s="10" t="n"/>
      <c r="C2376" s="10" t="n"/>
      <c r="D2376" s="10" t="n"/>
      <c r="E2376" s="14">
        <f>IF(D2376="","",IFERROR(INDEX('Sản phẩm'!$B$5:$B$304,MATCH(D2376,'Sản phẩm'!$A$5:$A$304,0)),""))</f>
        <v/>
      </c>
      <c r="F2376" s="12" t="n"/>
      <c r="G2376" s="11" t="n"/>
      <c r="H2376" s="11" t="n"/>
      <c r="I2376" s="16">
        <f>IF(D2376="","",IF(G2376&lt;&gt;"",G2376,IFERROR(INDEX('Sản phẩm'!$E$5:$E$304,MATCH(D2376,'Sản phẩm'!$A$5:$A$304,0)),"")))</f>
        <v/>
      </c>
      <c r="J2376" s="16">
        <f>IF(OR(D2376="",F2376=""),"",F2376*I2376-N(H2376))</f>
        <v/>
      </c>
      <c r="K2376" s="16">
        <f>IF(OR(D2376="",F2376=""),"",F2376*IFERROR(INDEX('Sản phẩm'!$D$5:$D$304,MATCH(D2376,'Sản phẩm'!$A$5:$A$304,0)),""))</f>
        <v/>
      </c>
      <c r="L2376" s="16">
        <f>IF(J2376="","",J2376-K2376)</f>
        <v/>
      </c>
      <c r="M2376" s="14">
        <f>IF(A2376="","",MONTH(A2376))</f>
        <v/>
      </c>
      <c r="N2376" s="14">
        <f>IF(A2376="","",YEAR(A2376))</f>
        <v/>
      </c>
    </row>
    <row r="2377">
      <c r="A2377" s="15" t="n"/>
      <c r="B2377" s="10" t="n"/>
      <c r="C2377" s="10" t="n"/>
      <c r="D2377" s="10" t="n"/>
      <c r="E2377" s="14">
        <f>IF(D2377="","",IFERROR(INDEX('Sản phẩm'!$B$5:$B$304,MATCH(D2377,'Sản phẩm'!$A$5:$A$304,0)),""))</f>
        <v/>
      </c>
      <c r="F2377" s="12" t="n"/>
      <c r="G2377" s="11" t="n"/>
      <c r="H2377" s="11" t="n"/>
      <c r="I2377" s="16">
        <f>IF(D2377="","",IF(G2377&lt;&gt;"",G2377,IFERROR(INDEX('Sản phẩm'!$E$5:$E$304,MATCH(D2377,'Sản phẩm'!$A$5:$A$304,0)),"")))</f>
        <v/>
      </c>
      <c r="J2377" s="16">
        <f>IF(OR(D2377="",F2377=""),"",F2377*I2377-N(H2377))</f>
        <v/>
      </c>
      <c r="K2377" s="16">
        <f>IF(OR(D2377="",F2377=""),"",F2377*IFERROR(INDEX('Sản phẩm'!$D$5:$D$304,MATCH(D2377,'Sản phẩm'!$A$5:$A$304,0)),""))</f>
        <v/>
      </c>
      <c r="L2377" s="16">
        <f>IF(J2377="","",J2377-K2377)</f>
        <v/>
      </c>
      <c r="M2377" s="14">
        <f>IF(A2377="","",MONTH(A2377))</f>
        <v/>
      </c>
      <c r="N2377" s="14">
        <f>IF(A2377="","",YEAR(A2377))</f>
        <v/>
      </c>
    </row>
    <row r="2378">
      <c r="A2378" s="15" t="n"/>
      <c r="B2378" s="10" t="n"/>
      <c r="C2378" s="10" t="n"/>
      <c r="D2378" s="10" t="n"/>
      <c r="E2378" s="14">
        <f>IF(D2378="","",IFERROR(INDEX('Sản phẩm'!$B$5:$B$304,MATCH(D2378,'Sản phẩm'!$A$5:$A$304,0)),""))</f>
        <v/>
      </c>
      <c r="F2378" s="12" t="n"/>
      <c r="G2378" s="11" t="n"/>
      <c r="H2378" s="11" t="n"/>
      <c r="I2378" s="16">
        <f>IF(D2378="","",IF(G2378&lt;&gt;"",G2378,IFERROR(INDEX('Sản phẩm'!$E$5:$E$304,MATCH(D2378,'Sản phẩm'!$A$5:$A$304,0)),"")))</f>
        <v/>
      </c>
      <c r="J2378" s="16">
        <f>IF(OR(D2378="",F2378=""),"",F2378*I2378-N(H2378))</f>
        <v/>
      </c>
      <c r="K2378" s="16">
        <f>IF(OR(D2378="",F2378=""),"",F2378*IFERROR(INDEX('Sản phẩm'!$D$5:$D$304,MATCH(D2378,'Sản phẩm'!$A$5:$A$304,0)),""))</f>
        <v/>
      </c>
      <c r="L2378" s="16">
        <f>IF(J2378="","",J2378-K2378)</f>
        <v/>
      </c>
      <c r="M2378" s="14">
        <f>IF(A2378="","",MONTH(A2378))</f>
        <v/>
      </c>
      <c r="N2378" s="14">
        <f>IF(A2378="","",YEAR(A2378))</f>
        <v/>
      </c>
    </row>
    <row r="2379">
      <c r="A2379" s="15" t="n"/>
      <c r="B2379" s="10" t="n"/>
      <c r="C2379" s="10" t="n"/>
      <c r="D2379" s="10" t="n"/>
      <c r="E2379" s="14">
        <f>IF(D2379="","",IFERROR(INDEX('Sản phẩm'!$B$5:$B$304,MATCH(D2379,'Sản phẩm'!$A$5:$A$304,0)),""))</f>
        <v/>
      </c>
      <c r="F2379" s="12" t="n"/>
      <c r="G2379" s="11" t="n"/>
      <c r="H2379" s="11" t="n"/>
      <c r="I2379" s="16">
        <f>IF(D2379="","",IF(G2379&lt;&gt;"",G2379,IFERROR(INDEX('Sản phẩm'!$E$5:$E$304,MATCH(D2379,'Sản phẩm'!$A$5:$A$304,0)),"")))</f>
        <v/>
      </c>
      <c r="J2379" s="16">
        <f>IF(OR(D2379="",F2379=""),"",F2379*I2379-N(H2379))</f>
        <v/>
      </c>
      <c r="K2379" s="16">
        <f>IF(OR(D2379="",F2379=""),"",F2379*IFERROR(INDEX('Sản phẩm'!$D$5:$D$304,MATCH(D2379,'Sản phẩm'!$A$5:$A$304,0)),""))</f>
        <v/>
      </c>
      <c r="L2379" s="16">
        <f>IF(J2379="","",J2379-K2379)</f>
        <v/>
      </c>
      <c r="M2379" s="14">
        <f>IF(A2379="","",MONTH(A2379))</f>
        <v/>
      </c>
      <c r="N2379" s="14">
        <f>IF(A2379="","",YEAR(A2379))</f>
        <v/>
      </c>
    </row>
    <row r="2380">
      <c r="A2380" s="15" t="n"/>
      <c r="B2380" s="10" t="n"/>
      <c r="C2380" s="10" t="n"/>
      <c r="D2380" s="10" t="n"/>
      <c r="E2380" s="14">
        <f>IF(D2380="","",IFERROR(INDEX('Sản phẩm'!$B$5:$B$304,MATCH(D2380,'Sản phẩm'!$A$5:$A$304,0)),""))</f>
        <v/>
      </c>
      <c r="F2380" s="12" t="n"/>
      <c r="G2380" s="11" t="n"/>
      <c r="H2380" s="11" t="n"/>
      <c r="I2380" s="16">
        <f>IF(D2380="","",IF(G2380&lt;&gt;"",G2380,IFERROR(INDEX('Sản phẩm'!$E$5:$E$304,MATCH(D2380,'Sản phẩm'!$A$5:$A$304,0)),"")))</f>
        <v/>
      </c>
      <c r="J2380" s="16">
        <f>IF(OR(D2380="",F2380=""),"",F2380*I2380-N(H2380))</f>
        <v/>
      </c>
      <c r="K2380" s="16">
        <f>IF(OR(D2380="",F2380=""),"",F2380*IFERROR(INDEX('Sản phẩm'!$D$5:$D$304,MATCH(D2380,'Sản phẩm'!$A$5:$A$304,0)),""))</f>
        <v/>
      </c>
      <c r="L2380" s="16">
        <f>IF(J2380="","",J2380-K2380)</f>
        <v/>
      </c>
      <c r="M2380" s="14">
        <f>IF(A2380="","",MONTH(A2380))</f>
        <v/>
      </c>
      <c r="N2380" s="14">
        <f>IF(A2380="","",YEAR(A2380))</f>
        <v/>
      </c>
    </row>
    <row r="2381">
      <c r="A2381" s="15" t="n"/>
      <c r="B2381" s="10" t="n"/>
      <c r="C2381" s="10" t="n"/>
      <c r="D2381" s="10" t="n"/>
      <c r="E2381" s="14">
        <f>IF(D2381="","",IFERROR(INDEX('Sản phẩm'!$B$5:$B$304,MATCH(D2381,'Sản phẩm'!$A$5:$A$304,0)),""))</f>
        <v/>
      </c>
      <c r="F2381" s="12" t="n"/>
      <c r="G2381" s="11" t="n"/>
      <c r="H2381" s="11" t="n"/>
      <c r="I2381" s="16">
        <f>IF(D2381="","",IF(G2381&lt;&gt;"",G2381,IFERROR(INDEX('Sản phẩm'!$E$5:$E$304,MATCH(D2381,'Sản phẩm'!$A$5:$A$304,0)),"")))</f>
        <v/>
      </c>
      <c r="J2381" s="16">
        <f>IF(OR(D2381="",F2381=""),"",F2381*I2381-N(H2381))</f>
        <v/>
      </c>
      <c r="K2381" s="16">
        <f>IF(OR(D2381="",F2381=""),"",F2381*IFERROR(INDEX('Sản phẩm'!$D$5:$D$304,MATCH(D2381,'Sản phẩm'!$A$5:$A$304,0)),""))</f>
        <v/>
      </c>
      <c r="L2381" s="16">
        <f>IF(J2381="","",J2381-K2381)</f>
        <v/>
      </c>
      <c r="M2381" s="14">
        <f>IF(A2381="","",MONTH(A2381))</f>
        <v/>
      </c>
      <c r="N2381" s="14">
        <f>IF(A2381="","",YEAR(A2381))</f>
        <v/>
      </c>
    </row>
    <row r="2382">
      <c r="A2382" s="15" t="n"/>
      <c r="B2382" s="10" t="n"/>
      <c r="C2382" s="10" t="n"/>
      <c r="D2382" s="10" t="n"/>
      <c r="E2382" s="14">
        <f>IF(D2382="","",IFERROR(INDEX('Sản phẩm'!$B$5:$B$304,MATCH(D2382,'Sản phẩm'!$A$5:$A$304,0)),""))</f>
        <v/>
      </c>
      <c r="F2382" s="12" t="n"/>
      <c r="G2382" s="11" t="n"/>
      <c r="H2382" s="11" t="n"/>
      <c r="I2382" s="16">
        <f>IF(D2382="","",IF(G2382&lt;&gt;"",G2382,IFERROR(INDEX('Sản phẩm'!$E$5:$E$304,MATCH(D2382,'Sản phẩm'!$A$5:$A$304,0)),"")))</f>
        <v/>
      </c>
      <c r="J2382" s="16">
        <f>IF(OR(D2382="",F2382=""),"",F2382*I2382-N(H2382))</f>
        <v/>
      </c>
      <c r="K2382" s="16">
        <f>IF(OR(D2382="",F2382=""),"",F2382*IFERROR(INDEX('Sản phẩm'!$D$5:$D$304,MATCH(D2382,'Sản phẩm'!$A$5:$A$304,0)),""))</f>
        <v/>
      </c>
      <c r="L2382" s="16">
        <f>IF(J2382="","",J2382-K2382)</f>
        <v/>
      </c>
      <c r="M2382" s="14">
        <f>IF(A2382="","",MONTH(A2382))</f>
        <v/>
      </c>
      <c r="N2382" s="14">
        <f>IF(A2382="","",YEAR(A2382))</f>
        <v/>
      </c>
    </row>
    <row r="2383">
      <c r="A2383" s="15" t="n"/>
      <c r="B2383" s="10" t="n"/>
      <c r="C2383" s="10" t="n"/>
      <c r="D2383" s="10" t="n"/>
      <c r="E2383" s="14">
        <f>IF(D2383="","",IFERROR(INDEX('Sản phẩm'!$B$5:$B$304,MATCH(D2383,'Sản phẩm'!$A$5:$A$304,0)),""))</f>
        <v/>
      </c>
      <c r="F2383" s="12" t="n"/>
      <c r="G2383" s="11" t="n"/>
      <c r="H2383" s="11" t="n"/>
      <c r="I2383" s="16">
        <f>IF(D2383="","",IF(G2383&lt;&gt;"",G2383,IFERROR(INDEX('Sản phẩm'!$E$5:$E$304,MATCH(D2383,'Sản phẩm'!$A$5:$A$304,0)),"")))</f>
        <v/>
      </c>
      <c r="J2383" s="16">
        <f>IF(OR(D2383="",F2383=""),"",F2383*I2383-N(H2383))</f>
        <v/>
      </c>
      <c r="K2383" s="16">
        <f>IF(OR(D2383="",F2383=""),"",F2383*IFERROR(INDEX('Sản phẩm'!$D$5:$D$304,MATCH(D2383,'Sản phẩm'!$A$5:$A$304,0)),""))</f>
        <v/>
      </c>
      <c r="L2383" s="16">
        <f>IF(J2383="","",J2383-K2383)</f>
        <v/>
      </c>
      <c r="M2383" s="14">
        <f>IF(A2383="","",MONTH(A2383))</f>
        <v/>
      </c>
      <c r="N2383" s="14">
        <f>IF(A2383="","",YEAR(A2383))</f>
        <v/>
      </c>
    </row>
    <row r="2384">
      <c r="A2384" s="15" t="n"/>
      <c r="B2384" s="10" t="n"/>
      <c r="C2384" s="10" t="n"/>
      <c r="D2384" s="10" t="n"/>
      <c r="E2384" s="14">
        <f>IF(D2384="","",IFERROR(INDEX('Sản phẩm'!$B$5:$B$304,MATCH(D2384,'Sản phẩm'!$A$5:$A$304,0)),""))</f>
        <v/>
      </c>
      <c r="F2384" s="12" t="n"/>
      <c r="G2384" s="11" t="n"/>
      <c r="H2384" s="11" t="n"/>
      <c r="I2384" s="16">
        <f>IF(D2384="","",IF(G2384&lt;&gt;"",G2384,IFERROR(INDEX('Sản phẩm'!$E$5:$E$304,MATCH(D2384,'Sản phẩm'!$A$5:$A$304,0)),"")))</f>
        <v/>
      </c>
      <c r="J2384" s="16">
        <f>IF(OR(D2384="",F2384=""),"",F2384*I2384-N(H2384))</f>
        <v/>
      </c>
      <c r="K2384" s="16">
        <f>IF(OR(D2384="",F2384=""),"",F2384*IFERROR(INDEX('Sản phẩm'!$D$5:$D$304,MATCH(D2384,'Sản phẩm'!$A$5:$A$304,0)),""))</f>
        <v/>
      </c>
      <c r="L2384" s="16">
        <f>IF(J2384="","",J2384-K2384)</f>
        <v/>
      </c>
      <c r="M2384" s="14">
        <f>IF(A2384="","",MONTH(A2384))</f>
        <v/>
      </c>
      <c r="N2384" s="14">
        <f>IF(A2384="","",YEAR(A2384))</f>
        <v/>
      </c>
    </row>
    <row r="2385">
      <c r="A2385" s="15" t="n"/>
      <c r="B2385" s="10" t="n"/>
      <c r="C2385" s="10" t="n"/>
      <c r="D2385" s="10" t="n"/>
      <c r="E2385" s="14">
        <f>IF(D2385="","",IFERROR(INDEX('Sản phẩm'!$B$5:$B$304,MATCH(D2385,'Sản phẩm'!$A$5:$A$304,0)),""))</f>
        <v/>
      </c>
      <c r="F2385" s="12" t="n"/>
      <c r="G2385" s="11" t="n"/>
      <c r="H2385" s="11" t="n"/>
      <c r="I2385" s="16">
        <f>IF(D2385="","",IF(G2385&lt;&gt;"",G2385,IFERROR(INDEX('Sản phẩm'!$E$5:$E$304,MATCH(D2385,'Sản phẩm'!$A$5:$A$304,0)),"")))</f>
        <v/>
      </c>
      <c r="J2385" s="16">
        <f>IF(OR(D2385="",F2385=""),"",F2385*I2385-N(H2385))</f>
        <v/>
      </c>
      <c r="K2385" s="16">
        <f>IF(OR(D2385="",F2385=""),"",F2385*IFERROR(INDEX('Sản phẩm'!$D$5:$D$304,MATCH(D2385,'Sản phẩm'!$A$5:$A$304,0)),""))</f>
        <v/>
      </c>
      <c r="L2385" s="16">
        <f>IF(J2385="","",J2385-K2385)</f>
        <v/>
      </c>
      <c r="M2385" s="14">
        <f>IF(A2385="","",MONTH(A2385))</f>
        <v/>
      </c>
      <c r="N2385" s="14">
        <f>IF(A2385="","",YEAR(A2385))</f>
        <v/>
      </c>
    </row>
    <row r="2386">
      <c r="A2386" s="15" t="n"/>
      <c r="B2386" s="10" t="n"/>
      <c r="C2386" s="10" t="n"/>
      <c r="D2386" s="10" t="n"/>
      <c r="E2386" s="14">
        <f>IF(D2386="","",IFERROR(INDEX('Sản phẩm'!$B$5:$B$304,MATCH(D2386,'Sản phẩm'!$A$5:$A$304,0)),""))</f>
        <v/>
      </c>
      <c r="F2386" s="12" t="n"/>
      <c r="G2386" s="11" t="n"/>
      <c r="H2386" s="11" t="n"/>
      <c r="I2386" s="16">
        <f>IF(D2386="","",IF(G2386&lt;&gt;"",G2386,IFERROR(INDEX('Sản phẩm'!$E$5:$E$304,MATCH(D2386,'Sản phẩm'!$A$5:$A$304,0)),"")))</f>
        <v/>
      </c>
      <c r="J2386" s="16">
        <f>IF(OR(D2386="",F2386=""),"",F2386*I2386-N(H2386))</f>
        <v/>
      </c>
      <c r="K2386" s="16">
        <f>IF(OR(D2386="",F2386=""),"",F2386*IFERROR(INDEX('Sản phẩm'!$D$5:$D$304,MATCH(D2386,'Sản phẩm'!$A$5:$A$304,0)),""))</f>
        <v/>
      </c>
      <c r="L2386" s="16">
        <f>IF(J2386="","",J2386-K2386)</f>
        <v/>
      </c>
      <c r="M2386" s="14">
        <f>IF(A2386="","",MONTH(A2386))</f>
        <v/>
      </c>
      <c r="N2386" s="14">
        <f>IF(A2386="","",YEAR(A2386))</f>
        <v/>
      </c>
    </row>
    <row r="2387">
      <c r="A2387" s="15" t="n"/>
      <c r="B2387" s="10" t="n"/>
      <c r="C2387" s="10" t="n"/>
      <c r="D2387" s="10" t="n"/>
      <c r="E2387" s="14">
        <f>IF(D2387="","",IFERROR(INDEX('Sản phẩm'!$B$5:$B$304,MATCH(D2387,'Sản phẩm'!$A$5:$A$304,0)),""))</f>
        <v/>
      </c>
      <c r="F2387" s="12" t="n"/>
      <c r="G2387" s="11" t="n"/>
      <c r="H2387" s="11" t="n"/>
      <c r="I2387" s="16">
        <f>IF(D2387="","",IF(G2387&lt;&gt;"",G2387,IFERROR(INDEX('Sản phẩm'!$E$5:$E$304,MATCH(D2387,'Sản phẩm'!$A$5:$A$304,0)),"")))</f>
        <v/>
      </c>
      <c r="J2387" s="16">
        <f>IF(OR(D2387="",F2387=""),"",F2387*I2387-N(H2387))</f>
        <v/>
      </c>
      <c r="K2387" s="16">
        <f>IF(OR(D2387="",F2387=""),"",F2387*IFERROR(INDEX('Sản phẩm'!$D$5:$D$304,MATCH(D2387,'Sản phẩm'!$A$5:$A$304,0)),""))</f>
        <v/>
      </c>
      <c r="L2387" s="16">
        <f>IF(J2387="","",J2387-K2387)</f>
        <v/>
      </c>
      <c r="M2387" s="14">
        <f>IF(A2387="","",MONTH(A2387))</f>
        <v/>
      </c>
      <c r="N2387" s="14">
        <f>IF(A2387="","",YEAR(A2387))</f>
        <v/>
      </c>
    </row>
    <row r="2388">
      <c r="A2388" s="15" t="n"/>
      <c r="B2388" s="10" t="n"/>
      <c r="C2388" s="10" t="n"/>
      <c r="D2388" s="10" t="n"/>
      <c r="E2388" s="14">
        <f>IF(D2388="","",IFERROR(INDEX('Sản phẩm'!$B$5:$B$304,MATCH(D2388,'Sản phẩm'!$A$5:$A$304,0)),""))</f>
        <v/>
      </c>
      <c r="F2388" s="12" t="n"/>
      <c r="G2388" s="11" t="n"/>
      <c r="H2388" s="11" t="n"/>
      <c r="I2388" s="16">
        <f>IF(D2388="","",IF(G2388&lt;&gt;"",G2388,IFERROR(INDEX('Sản phẩm'!$E$5:$E$304,MATCH(D2388,'Sản phẩm'!$A$5:$A$304,0)),"")))</f>
        <v/>
      </c>
      <c r="J2388" s="16">
        <f>IF(OR(D2388="",F2388=""),"",F2388*I2388-N(H2388))</f>
        <v/>
      </c>
      <c r="K2388" s="16">
        <f>IF(OR(D2388="",F2388=""),"",F2388*IFERROR(INDEX('Sản phẩm'!$D$5:$D$304,MATCH(D2388,'Sản phẩm'!$A$5:$A$304,0)),""))</f>
        <v/>
      </c>
      <c r="L2388" s="16">
        <f>IF(J2388="","",J2388-K2388)</f>
        <v/>
      </c>
      <c r="M2388" s="14">
        <f>IF(A2388="","",MONTH(A2388))</f>
        <v/>
      </c>
      <c r="N2388" s="14">
        <f>IF(A2388="","",YEAR(A2388))</f>
        <v/>
      </c>
    </row>
    <row r="2389">
      <c r="A2389" s="15" t="n"/>
      <c r="B2389" s="10" t="n"/>
      <c r="C2389" s="10" t="n"/>
      <c r="D2389" s="10" t="n"/>
      <c r="E2389" s="14">
        <f>IF(D2389="","",IFERROR(INDEX('Sản phẩm'!$B$5:$B$304,MATCH(D2389,'Sản phẩm'!$A$5:$A$304,0)),""))</f>
        <v/>
      </c>
      <c r="F2389" s="12" t="n"/>
      <c r="G2389" s="11" t="n"/>
      <c r="H2389" s="11" t="n"/>
      <c r="I2389" s="16">
        <f>IF(D2389="","",IF(G2389&lt;&gt;"",G2389,IFERROR(INDEX('Sản phẩm'!$E$5:$E$304,MATCH(D2389,'Sản phẩm'!$A$5:$A$304,0)),"")))</f>
        <v/>
      </c>
      <c r="J2389" s="16">
        <f>IF(OR(D2389="",F2389=""),"",F2389*I2389-N(H2389))</f>
        <v/>
      </c>
      <c r="K2389" s="16">
        <f>IF(OR(D2389="",F2389=""),"",F2389*IFERROR(INDEX('Sản phẩm'!$D$5:$D$304,MATCH(D2389,'Sản phẩm'!$A$5:$A$304,0)),""))</f>
        <v/>
      </c>
      <c r="L2389" s="16">
        <f>IF(J2389="","",J2389-K2389)</f>
        <v/>
      </c>
      <c r="M2389" s="14">
        <f>IF(A2389="","",MONTH(A2389))</f>
        <v/>
      </c>
      <c r="N2389" s="14">
        <f>IF(A2389="","",YEAR(A2389))</f>
        <v/>
      </c>
    </row>
    <row r="2390">
      <c r="A2390" s="15" t="n"/>
      <c r="B2390" s="10" t="n"/>
      <c r="C2390" s="10" t="n"/>
      <c r="D2390" s="10" t="n"/>
      <c r="E2390" s="14">
        <f>IF(D2390="","",IFERROR(INDEX('Sản phẩm'!$B$5:$B$304,MATCH(D2390,'Sản phẩm'!$A$5:$A$304,0)),""))</f>
        <v/>
      </c>
      <c r="F2390" s="12" t="n"/>
      <c r="G2390" s="11" t="n"/>
      <c r="H2390" s="11" t="n"/>
      <c r="I2390" s="16">
        <f>IF(D2390="","",IF(G2390&lt;&gt;"",G2390,IFERROR(INDEX('Sản phẩm'!$E$5:$E$304,MATCH(D2390,'Sản phẩm'!$A$5:$A$304,0)),"")))</f>
        <v/>
      </c>
      <c r="J2390" s="16">
        <f>IF(OR(D2390="",F2390=""),"",F2390*I2390-N(H2390))</f>
        <v/>
      </c>
      <c r="K2390" s="16">
        <f>IF(OR(D2390="",F2390=""),"",F2390*IFERROR(INDEX('Sản phẩm'!$D$5:$D$304,MATCH(D2390,'Sản phẩm'!$A$5:$A$304,0)),""))</f>
        <v/>
      </c>
      <c r="L2390" s="16">
        <f>IF(J2390="","",J2390-K2390)</f>
        <v/>
      </c>
      <c r="M2390" s="14">
        <f>IF(A2390="","",MONTH(A2390))</f>
        <v/>
      </c>
      <c r="N2390" s="14">
        <f>IF(A2390="","",YEAR(A2390))</f>
        <v/>
      </c>
    </row>
    <row r="2391">
      <c r="A2391" s="15" t="n"/>
      <c r="B2391" s="10" t="n"/>
      <c r="C2391" s="10" t="n"/>
      <c r="D2391" s="10" t="n"/>
      <c r="E2391" s="14">
        <f>IF(D2391="","",IFERROR(INDEX('Sản phẩm'!$B$5:$B$304,MATCH(D2391,'Sản phẩm'!$A$5:$A$304,0)),""))</f>
        <v/>
      </c>
      <c r="F2391" s="12" t="n"/>
      <c r="G2391" s="11" t="n"/>
      <c r="H2391" s="11" t="n"/>
      <c r="I2391" s="16">
        <f>IF(D2391="","",IF(G2391&lt;&gt;"",G2391,IFERROR(INDEX('Sản phẩm'!$E$5:$E$304,MATCH(D2391,'Sản phẩm'!$A$5:$A$304,0)),"")))</f>
        <v/>
      </c>
      <c r="J2391" s="16">
        <f>IF(OR(D2391="",F2391=""),"",F2391*I2391-N(H2391))</f>
        <v/>
      </c>
      <c r="K2391" s="16">
        <f>IF(OR(D2391="",F2391=""),"",F2391*IFERROR(INDEX('Sản phẩm'!$D$5:$D$304,MATCH(D2391,'Sản phẩm'!$A$5:$A$304,0)),""))</f>
        <v/>
      </c>
      <c r="L2391" s="16">
        <f>IF(J2391="","",J2391-K2391)</f>
        <v/>
      </c>
      <c r="M2391" s="14">
        <f>IF(A2391="","",MONTH(A2391))</f>
        <v/>
      </c>
      <c r="N2391" s="14">
        <f>IF(A2391="","",YEAR(A2391))</f>
        <v/>
      </c>
    </row>
    <row r="2392">
      <c r="A2392" s="15" t="n"/>
      <c r="B2392" s="10" t="n"/>
      <c r="C2392" s="10" t="n"/>
      <c r="D2392" s="10" t="n"/>
      <c r="E2392" s="14">
        <f>IF(D2392="","",IFERROR(INDEX('Sản phẩm'!$B$5:$B$304,MATCH(D2392,'Sản phẩm'!$A$5:$A$304,0)),""))</f>
        <v/>
      </c>
      <c r="F2392" s="12" t="n"/>
      <c r="G2392" s="11" t="n"/>
      <c r="H2392" s="11" t="n"/>
      <c r="I2392" s="16">
        <f>IF(D2392="","",IF(G2392&lt;&gt;"",G2392,IFERROR(INDEX('Sản phẩm'!$E$5:$E$304,MATCH(D2392,'Sản phẩm'!$A$5:$A$304,0)),"")))</f>
        <v/>
      </c>
      <c r="J2392" s="16">
        <f>IF(OR(D2392="",F2392=""),"",F2392*I2392-N(H2392))</f>
        <v/>
      </c>
      <c r="K2392" s="16">
        <f>IF(OR(D2392="",F2392=""),"",F2392*IFERROR(INDEX('Sản phẩm'!$D$5:$D$304,MATCH(D2392,'Sản phẩm'!$A$5:$A$304,0)),""))</f>
        <v/>
      </c>
      <c r="L2392" s="16">
        <f>IF(J2392="","",J2392-K2392)</f>
        <v/>
      </c>
      <c r="M2392" s="14">
        <f>IF(A2392="","",MONTH(A2392))</f>
        <v/>
      </c>
      <c r="N2392" s="14">
        <f>IF(A2392="","",YEAR(A2392))</f>
        <v/>
      </c>
    </row>
    <row r="2393">
      <c r="A2393" s="15" t="n"/>
      <c r="B2393" s="10" t="n"/>
      <c r="C2393" s="10" t="n"/>
      <c r="D2393" s="10" t="n"/>
      <c r="E2393" s="14">
        <f>IF(D2393="","",IFERROR(INDEX('Sản phẩm'!$B$5:$B$304,MATCH(D2393,'Sản phẩm'!$A$5:$A$304,0)),""))</f>
        <v/>
      </c>
      <c r="F2393" s="12" t="n"/>
      <c r="G2393" s="11" t="n"/>
      <c r="H2393" s="11" t="n"/>
      <c r="I2393" s="16">
        <f>IF(D2393="","",IF(G2393&lt;&gt;"",G2393,IFERROR(INDEX('Sản phẩm'!$E$5:$E$304,MATCH(D2393,'Sản phẩm'!$A$5:$A$304,0)),"")))</f>
        <v/>
      </c>
      <c r="J2393" s="16">
        <f>IF(OR(D2393="",F2393=""),"",F2393*I2393-N(H2393))</f>
        <v/>
      </c>
      <c r="K2393" s="16">
        <f>IF(OR(D2393="",F2393=""),"",F2393*IFERROR(INDEX('Sản phẩm'!$D$5:$D$304,MATCH(D2393,'Sản phẩm'!$A$5:$A$304,0)),""))</f>
        <v/>
      </c>
      <c r="L2393" s="16">
        <f>IF(J2393="","",J2393-K2393)</f>
        <v/>
      </c>
      <c r="M2393" s="14">
        <f>IF(A2393="","",MONTH(A2393))</f>
        <v/>
      </c>
      <c r="N2393" s="14">
        <f>IF(A2393="","",YEAR(A2393))</f>
        <v/>
      </c>
    </row>
    <row r="2394">
      <c r="A2394" s="15" t="n"/>
      <c r="B2394" s="10" t="n"/>
      <c r="C2394" s="10" t="n"/>
      <c r="D2394" s="10" t="n"/>
      <c r="E2394" s="14">
        <f>IF(D2394="","",IFERROR(INDEX('Sản phẩm'!$B$5:$B$304,MATCH(D2394,'Sản phẩm'!$A$5:$A$304,0)),""))</f>
        <v/>
      </c>
      <c r="F2394" s="12" t="n"/>
      <c r="G2394" s="11" t="n"/>
      <c r="H2394" s="11" t="n"/>
      <c r="I2394" s="16">
        <f>IF(D2394="","",IF(G2394&lt;&gt;"",G2394,IFERROR(INDEX('Sản phẩm'!$E$5:$E$304,MATCH(D2394,'Sản phẩm'!$A$5:$A$304,0)),"")))</f>
        <v/>
      </c>
      <c r="J2394" s="16">
        <f>IF(OR(D2394="",F2394=""),"",F2394*I2394-N(H2394))</f>
        <v/>
      </c>
      <c r="K2394" s="16">
        <f>IF(OR(D2394="",F2394=""),"",F2394*IFERROR(INDEX('Sản phẩm'!$D$5:$D$304,MATCH(D2394,'Sản phẩm'!$A$5:$A$304,0)),""))</f>
        <v/>
      </c>
      <c r="L2394" s="16">
        <f>IF(J2394="","",J2394-K2394)</f>
        <v/>
      </c>
      <c r="M2394" s="14">
        <f>IF(A2394="","",MONTH(A2394))</f>
        <v/>
      </c>
      <c r="N2394" s="14">
        <f>IF(A2394="","",YEAR(A2394))</f>
        <v/>
      </c>
    </row>
    <row r="2395">
      <c r="A2395" s="15" t="n"/>
      <c r="B2395" s="10" t="n"/>
      <c r="C2395" s="10" t="n"/>
      <c r="D2395" s="10" t="n"/>
      <c r="E2395" s="14">
        <f>IF(D2395="","",IFERROR(INDEX('Sản phẩm'!$B$5:$B$304,MATCH(D2395,'Sản phẩm'!$A$5:$A$304,0)),""))</f>
        <v/>
      </c>
      <c r="F2395" s="12" t="n"/>
      <c r="G2395" s="11" t="n"/>
      <c r="H2395" s="11" t="n"/>
      <c r="I2395" s="16">
        <f>IF(D2395="","",IF(G2395&lt;&gt;"",G2395,IFERROR(INDEX('Sản phẩm'!$E$5:$E$304,MATCH(D2395,'Sản phẩm'!$A$5:$A$304,0)),"")))</f>
        <v/>
      </c>
      <c r="J2395" s="16">
        <f>IF(OR(D2395="",F2395=""),"",F2395*I2395-N(H2395))</f>
        <v/>
      </c>
      <c r="K2395" s="16">
        <f>IF(OR(D2395="",F2395=""),"",F2395*IFERROR(INDEX('Sản phẩm'!$D$5:$D$304,MATCH(D2395,'Sản phẩm'!$A$5:$A$304,0)),""))</f>
        <v/>
      </c>
      <c r="L2395" s="16">
        <f>IF(J2395="","",J2395-K2395)</f>
        <v/>
      </c>
      <c r="M2395" s="14">
        <f>IF(A2395="","",MONTH(A2395))</f>
        <v/>
      </c>
      <c r="N2395" s="14">
        <f>IF(A2395="","",YEAR(A2395))</f>
        <v/>
      </c>
    </row>
    <row r="2396">
      <c r="A2396" s="15" t="n"/>
      <c r="B2396" s="10" t="n"/>
      <c r="C2396" s="10" t="n"/>
      <c r="D2396" s="10" t="n"/>
      <c r="E2396" s="14">
        <f>IF(D2396="","",IFERROR(INDEX('Sản phẩm'!$B$5:$B$304,MATCH(D2396,'Sản phẩm'!$A$5:$A$304,0)),""))</f>
        <v/>
      </c>
      <c r="F2396" s="12" t="n"/>
      <c r="G2396" s="11" t="n"/>
      <c r="H2396" s="11" t="n"/>
      <c r="I2396" s="16">
        <f>IF(D2396="","",IF(G2396&lt;&gt;"",G2396,IFERROR(INDEX('Sản phẩm'!$E$5:$E$304,MATCH(D2396,'Sản phẩm'!$A$5:$A$304,0)),"")))</f>
        <v/>
      </c>
      <c r="J2396" s="16">
        <f>IF(OR(D2396="",F2396=""),"",F2396*I2396-N(H2396))</f>
        <v/>
      </c>
      <c r="K2396" s="16">
        <f>IF(OR(D2396="",F2396=""),"",F2396*IFERROR(INDEX('Sản phẩm'!$D$5:$D$304,MATCH(D2396,'Sản phẩm'!$A$5:$A$304,0)),""))</f>
        <v/>
      </c>
      <c r="L2396" s="16">
        <f>IF(J2396="","",J2396-K2396)</f>
        <v/>
      </c>
      <c r="M2396" s="14">
        <f>IF(A2396="","",MONTH(A2396))</f>
        <v/>
      </c>
      <c r="N2396" s="14">
        <f>IF(A2396="","",YEAR(A2396))</f>
        <v/>
      </c>
    </row>
    <row r="2397">
      <c r="A2397" s="15" t="n"/>
      <c r="B2397" s="10" t="n"/>
      <c r="C2397" s="10" t="n"/>
      <c r="D2397" s="10" t="n"/>
      <c r="E2397" s="14">
        <f>IF(D2397="","",IFERROR(INDEX('Sản phẩm'!$B$5:$B$304,MATCH(D2397,'Sản phẩm'!$A$5:$A$304,0)),""))</f>
        <v/>
      </c>
      <c r="F2397" s="12" t="n"/>
      <c r="G2397" s="11" t="n"/>
      <c r="H2397" s="11" t="n"/>
      <c r="I2397" s="16">
        <f>IF(D2397="","",IF(G2397&lt;&gt;"",G2397,IFERROR(INDEX('Sản phẩm'!$E$5:$E$304,MATCH(D2397,'Sản phẩm'!$A$5:$A$304,0)),"")))</f>
        <v/>
      </c>
      <c r="J2397" s="16">
        <f>IF(OR(D2397="",F2397=""),"",F2397*I2397-N(H2397))</f>
        <v/>
      </c>
      <c r="K2397" s="16">
        <f>IF(OR(D2397="",F2397=""),"",F2397*IFERROR(INDEX('Sản phẩm'!$D$5:$D$304,MATCH(D2397,'Sản phẩm'!$A$5:$A$304,0)),""))</f>
        <v/>
      </c>
      <c r="L2397" s="16">
        <f>IF(J2397="","",J2397-K2397)</f>
        <v/>
      </c>
      <c r="M2397" s="14">
        <f>IF(A2397="","",MONTH(A2397))</f>
        <v/>
      </c>
      <c r="N2397" s="14">
        <f>IF(A2397="","",YEAR(A2397))</f>
        <v/>
      </c>
    </row>
    <row r="2398">
      <c r="A2398" s="15" t="n"/>
      <c r="B2398" s="10" t="n"/>
      <c r="C2398" s="10" t="n"/>
      <c r="D2398" s="10" t="n"/>
      <c r="E2398" s="14">
        <f>IF(D2398="","",IFERROR(INDEX('Sản phẩm'!$B$5:$B$304,MATCH(D2398,'Sản phẩm'!$A$5:$A$304,0)),""))</f>
        <v/>
      </c>
      <c r="F2398" s="12" t="n"/>
      <c r="G2398" s="11" t="n"/>
      <c r="H2398" s="11" t="n"/>
      <c r="I2398" s="16">
        <f>IF(D2398="","",IF(G2398&lt;&gt;"",G2398,IFERROR(INDEX('Sản phẩm'!$E$5:$E$304,MATCH(D2398,'Sản phẩm'!$A$5:$A$304,0)),"")))</f>
        <v/>
      </c>
      <c r="J2398" s="16">
        <f>IF(OR(D2398="",F2398=""),"",F2398*I2398-N(H2398))</f>
        <v/>
      </c>
      <c r="K2398" s="16">
        <f>IF(OR(D2398="",F2398=""),"",F2398*IFERROR(INDEX('Sản phẩm'!$D$5:$D$304,MATCH(D2398,'Sản phẩm'!$A$5:$A$304,0)),""))</f>
        <v/>
      </c>
      <c r="L2398" s="16">
        <f>IF(J2398="","",J2398-K2398)</f>
        <v/>
      </c>
      <c r="M2398" s="14">
        <f>IF(A2398="","",MONTH(A2398))</f>
        <v/>
      </c>
      <c r="N2398" s="14">
        <f>IF(A2398="","",YEAR(A2398))</f>
        <v/>
      </c>
    </row>
    <row r="2399">
      <c r="A2399" s="15" t="n"/>
      <c r="B2399" s="10" t="n"/>
      <c r="C2399" s="10" t="n"/>
      <c r="D2399" s="10" t="n"/>
      <c r="E2399" s="14">
        <f>IF(D2399="","",IFERROR(INDEX('Sản phẩm'!$B$5:$B$304,MATCH(D2399,'Sản phẩm'!$A$5:$A$304,0)),""))</f>
        <v/>
      </c>
      <c r="F2399" s="12" t="n"/>
      <c r="G2399" s="11" t="n"/>
      <c r="H2399" s="11" t="n"/>
      <c r="I2399" s="16">
        <f>IF(D2399="","",IF(G2399&lt;&gt;"",G2399,IFERROR(INDEX('Sản phẩm'!$E$5:$E$304,MATCH(D2399,'Sản phẩm'!$A$5:$A$304,0)),"")))</f>
        <v/>
      </c>
      <c r="J2399" s="16">
        <f>IF(OR(D2399="",F2399=""),"",F2399*I2399-N(H2399))</f>
        <v/>
      </c>
      <c r="K2399" s="16">
        <f>IF(OR(D2399="",F2399=""),"",F2399*IFERROR(INDEX('Sản phẩm'!$D$5:$D$304,MATCH(D2399,'Sản phẩm'!$A$5:$A$304,0)),""))</f>
        <v/>
      </c>
      <c r="L2399" s="16">
        <f>IF(J2399="","",J2399-K2399)</f>
        <v/>
      </c>
      <c r="M2399" s="14">
        <f>IF(A2399="","",MONTH(A2399))</f>
        <v/>
      </c>
      <c r="N2399" s="14">
        <f>IF(A2399="","",YEAR(A2399))</f>
        <v/>
      </c>
    </row>
    <row r="2400">
      <c r="A2400" s="15" t="n"/>
      <c r="B2400" s="10" t="n"/>
      <c r="C2400" s="10" t="n"/>
      <c r="D2400" s="10" t="n"/>
      <c r="E2400" s="14">
        <f>IF(D2400="","",IFERROR(INDEX('Sản phẩm'!$B$5:$B$304,MATCH(D2400,'Sản phẩm'!$A$5:$A$304,0)),""))</f>
        <v/>
      </c>
      <c r="F2400" s="12" t="n"/>
      <c r="G2400" s="11" t="n"/>
      <c r="H2400" s="11" t="n"/>
      <c r="I2400" s="16">
        <f>IF(D2400="","",IF(G2400&lt;&gt;"",G2400,IFERROR(INDEX('Sản phẩm'!$E$5:$E$304,MATCH(D2400,'Sản phẩm'!$A$5:$A$304,0)),"")))</f>
        <v/>
      </c>
      <c r="J2400" s="16">
        <f>IF(OR(D2400="",F2400=""),"",F2400*I2400-N(H2400))</f>
        <v/>
      </c>
      <c r="K2400" s="16">
        <f>IF(OR(D2400="",F2400=""),"",F2400*IFERROR(INDEX('Sản phẩm'!$D$5:$D$304,MATCH(D2400,'Sản phẩm'!$A$5:$A$304,0)),""))</f>
        <v/>
      </c>
      <c r="L2400" s="16">
        <f>IF(J2400="","",J2400-K2400)</f>
        <v/>
      </c>
      <c r="M2400" s="14">
        <f>IF(A2400="","",MONTH(A2400))</f>
        <v/>
      </c>
      <c r="N2400" s="14">
        <f>IF(A2400="","",YEAR(A2400))</f>
        <v/>
      </c>
    </row>
    <row r="2401">
      <c r="A2401" s="15" t="n"/>
      <c r="B2401" s="10" t="n"/>
      <c r="C2401" s="10" t="n"/>
      <c r="D2401" s="10" t="n"/>
      <c r="E2401" s="14">
        <f>IF(D2401="","",IFERROR(INDEX('Sản phẩm'!$B$5:$B$304,MATCH(D2401,'Sản phẩm'!$A$5:$A$304,0)),""))</f>
        <v/>
      </c>
      <c r="F2401" s="12" t="n"/>
      <c r="G2401" s="11" t="n"/>
      <c r="H2401" s="11" t="n"/>
      <c r="I2401" s="16">
        <f>IF(D2401="","",IF(G2401&lt;&gt;"",G2401,IFERROR(INDEX('Sản phẩm'!$E$5:$E$304,MATCH(D2401,'Sản phẩm'!$A$5:$A$304,0)),"")))</f>
        <v/>
      </c>
      <c r="J2401" s="16">
        <f>IF(OR(D2401="",F2401=""),"",F2401*I2401-N(H2401))</f>
        <v/>
      </c>
      <c r="K2401" s="16">
        <f>IF(OR(D2401="",F2401=""),"",F2401*IFERROR(INDEX('Sản phẩm'!$D$5:$D$304,MATCH(D2401,'Sản phẩm'!$A$5:$A$304,0)),""))</f>
        <v/>
      </c>
      <c r="L2401" s="16">
        <f>IF(J2401="","",J2401-K2401)</f>
        <v/>
      </c>
      <c r="M2401" s="14">
        <f>IF(A2401="","",MONTH(A2401))</f>
        <v/>
      </c>
      <c r="N2401" s="14">
        <f>IF(A2401="","",YEAR(A2401))</f>
        <v/>
      </c>
    </row>
    <row r="2402">
      <c r="A2402" s="15" t="n"/>
      <c r="B2402" s="10" t="n"/>
      <c r="C2402" s="10" t="n"/>
      <c r="D2402" s="10" t="n"/>
      <c r="E2402" s="14">
        <f>IF(D2402="","",IFERROR(INDEX('Sản phẩm'!$B$5:$B$304,MATCH(D2402,'Sản phẩm'!$A$5:$A$304,0)),""))</f>
        <v/>
      </c>
      <c r="F2402" s="12" t="n"/>
      <c r="G2402" s="11" t="n"/>
      <c r="H2402" s="11" t="n"/>
      <c r="I2402" s="16">
        <f>IF(D2402="","",IF(G2402&lt;&gt;"",G2402,IFERROR(INDEX('Sản phẩm'!$E$5:$E$304,MATCH(D2402,'Sản phẩm'!$A$5:$A$304,0)),"")))</f>
        <v/>
      </c>
      <c r="J2402" s="16">
        <f>IF(OR(D2402="",F2402=""),"",F2402*I2402-N(H2402))</f>
        <v/>
      </c>
      <c r="K2402" s="16">
        <f>IF(OR(D2402="",F2402=""),"",F2402*IFERROR(INDEX('Sản phẩm'!$D$5:$D$304,MATCH(D2402,'Sản phẩm'!$A$5:$A$304,0)),""))</f>
        <v/>
      </c>
      <c r="L2402" s="16">
        <f>IF(J2402="","",J2402-K2402)</f>
        <v/>
      </c>
      <c r="M2402" s="14">
        <f>IF(A2402="","",MONTH(A2402))</f>
        <v/>
      </c>
      <c r="N2402" s="14">
        <f>IF(A2402="","",YEAR(A2402))</f>
        <v/>
      </c>
    </row>
    <row r="2403">
      <c r="A2403" s="15" t="n"/>
      <c r="B2403" s="10" t="n"/>
      <c r="C2403" s="10" t="n"/>
      <c r="D2403" s="10" t="n"/>
      <c r="E2403" s="14">
        <f>IF(D2403="","",IFERROR(INDEX('Sản phẩm'!$B$5:$B$304,MATCH(D2403,'Sản phẩm'!$A$5:$A$304,0)),""))</f>
        <v/>
      </c>
      <c r="F2403" s="12" t="n"/>
      <c r="G2403" s="11" t="n"/>
      <c r="H2403" s="11" t="n"/>
      <c r="I2403" s="16">
        <f>IF(D2403="","",IF(G2403&lt;&gt;"",G2403,IFERROR(INDEX('Sản phẩm'!$E$5:$E$304,MATCH(D2403,'Sản phẩm'!$A$5:$A$304,0)),"")))</f>
        <v/>
      </c>
      <c r="J2403" s="16">
        <f>IF(OR(D2403="",F2403=""),"",F2403*I2403-N(H2403))</f>
        <v/>
      </c>
      <c r="K2403" s="16">
        <f>IF(OR(D2403="",F2403=""),"",F2403*IFERROR(INDEX('Sản phẩm'!$D$5:$D$304,MATCH(D2403,'Sản phẩm'!$A$5:$A$304,0)),""))</f>
        <v/>
      </c>
      <c r="L2403" s="16">
        <f>IF(J2403="","",J2403-K2403)</f>
        <v/>
      </c>
      <c r="M2403" s="14">
        <f>IF(A2403="","",MONTH(A2403))</f>
        <v/>
      </c>
      <c r="N2403" s="14">
        <f>IF(A2403="","",YEAR(A2403))</f>
        <v/>
      </c>
    </row>
    <row r="2404">
      <c r="A2404" s="15" t="n"/>
      <c r="B2404" s="10" t="n"/>
      <c r="C2404" s="10" t="n"/>
      <c r="D2404" s="10" t="n"/>
      <c r="E2404" s="14">
        <f>IF(D2404="","",IFERROR(INDEX('Sản phẩm'!$B$5:$B$304,MATCH(D2404,'Sản phẩm'!$A$5:$A$304,0)),""))</f>
        <v/>
      </c>
      <c r="F2404" s="12" t="n"/>
      <c r="G2404" s="11" t="n"/>
      <c r="H2404" s="11" t="n"/>
      <c r="I2404" s="16">
        <f>IF(D2404="","",IF(G2404&lt;&gt;"",G2404,IFERROR(INDEX('Sản phẩm'!$E$5:$E$304,MATCH(D2404,'Sản phẩm'!$A$5:$A$304,0)),"")))</f>
        <v/>
      </c>
      <c r="J2404" s="16">
        <f>IF(OR(D2404="",F2404=""),"",F2404*I2404-N(H2404))</f>
        <v/>
      </c>
      <c r="K2404" s="16">
        <f>IF(OR(D2404="",F2404=""),"",F2404*IFERROR(INDEX('Sản phẩm'!$D$5:$D$304,MATCH(D2404,'Sản phẩm'!$A$5:$A$304,0)),""))</f>
        <v/>
      </c>
      <c r="L2404" s="16">
        <f>IF(J2404="","",J2404-K2404)</f>
        <v/>
      </c>
      <c r="M2404" s="14">
        <f>IF(A2404="","",MONTH(A2404))</f>
        <v/>
      </c>
      <c r="N2404" s="14">
        <f>IF(A2404="","",YEAR(A2404))</f>
        <v/>
      </c>
    </row>
    <row r="2405">
      <c r="A2405" s="15" t="n"/>
      <c r="B2405" s="10" t="n"/>
      <c r="C2405" s="10" t="n"/>
      <c r="D2405" s="10" t="n"/>
      <c r="E2405" s="14">
        <f>IF(D2405="","",IFERROR(INDEX('Sản phẩm'!$B$5:$B$304,MATCH(D2405,'Sản phẩm'!$A$5:$A$304,0)),""))</f>
        <v/>
      </c>
      <c r="F2405" s="12" t="n"/>
      <c r="G2405" s="11" t="n"/>
      <c r="H2405" s="11" t="n"/>
      <c r="I2405" s="16">
        <f>IF(D2405="","",IF(G2405&lt;&gt;"",G2405,IFERROR(INDEX('Sản phẩm'!$E$5:$E$304,MATCH(D2405,'Sản phẩm'!$A$5:$A$304,0)),"")))</f>
        <v/>
      </c>
      <c r="J2405" s="16">
        <f>IF(OR(D2405="",F2405=""),"",F2405*I2405-N(H2405))</f>
        <v/>
      </c>
      <c r="K2405" s="16">
        <f>IF(OR(D2405="",F2405=""),"",F2405*IFERROR(INDEX('Sản phẩm'!$D$5:$D$304,MATCH(D2405,'Sản phẩm'!$A$5:$A$304,0)),""))</f>
        <v/>
      </c>
      <c r="L2405" s="16">
        <f>IF(J2405="","",J2405-K2405)</f>
        <v/>
      </c>
      <c r="M2405" s="14">
        <f>IF(A2405="","",MONTH(A2405))</f>
        <v/>
      </c>
      <c r="N2405" s="14">
        <f>IF(A2405="","",YEAR(A2405))</f>
        <v/>
      </c>
    </row>
    <row r="2406">
      <c r="A2406" s="15" t="n"/>
      <c r="B2406" s="10" t="n"/>
      <c r="C2406" s="10" t="n"/>
      <c r="D2406" s="10" t="n"/>
      <c r="E2406" s="14">
        <f>IF(D2406="","",IFERROR(INDEX('Sản phẩm'!$B$5:$B$304,MATCH(D2406,'Sản phẩm'!$A$5:$A$304,0)),""))</f>
        <v/>
      </c>
      <c r="F2406" s="12" t="n"/>
      <c r="G2406" s="11" t="n"/>
      <c r="H2406" s="11" t="n"/>
      <c r="I2406" s="16">
        <f>IF(D2406="","",IF(G2406&lt;&gt;"",G2406,IFERROR(INDEX('Sản phẩm'!$E$5:$E$304,MATCH(D2406,'Sản phẩm'!$A$5:$A$304,0)),"")))</f>
        <v/>
      </c>
      <c r="J2406" s="16">
        <f>IF(OR(D2406="",F2406=""),"",F2406*I2406-N(H2406))</f>
        <v/>
      </c>
      <c r="K2406" s="16">
        <f>IF(OR(D2406="",F2406=""),"",F2406*IFERROR(INDEX('Sản phẩm'!$D$5:$D$304,MATCH(D2406,'Sản phẩm'!$A$5:$A$304,0)),""))</f>
        <v/>
      </c>
      <c r="L2406" s="16">
        <f>IF(J2406="","",J2406-K2406)</f>
        <v/>
      </c>
      <c r="M2406" s="14">
        <f>IF(A2406="","",MONTH(A2406))</f>
        <v/>
      </c>
      <c r="N2406" s="14">
        <f>IF(A2406="","",YEAR(A2406))</f>
        <v/>
      </c>
    </row>
    <row r="2407">
      <c r="A2407" s="15" t="n"/>
      <c r="B2407" s="10" t="n"/>
      <c r="C2407" s="10" t="n"/>
      <c r="D2407" s="10" t="n"/>
      <c r="E2407" s="14">
        <f>IF(D2407="","",IFERROR(INDEX('Sản phẩm'!$B$5:$B$304,MATCH(D2407,'Sản phẩm'!$A$5:$A$304,0)),""))</f>
        <v/>
      </c>
      <c r="F2407" s="12" t="n"/>
      <c r="G2407" s="11" t="n"/>
      <c r="H2407" s="11" t="n"/>
      <c r="I2407" s="16">
        <f>IF(D2407="","",IF(G2407&lt;&gt;"",G2407,IFERROR(INDEX('Sản phẩm'!$E$5:$E$304,MATCH(D2407,'Sản phẩm'!$A$5:$A$304,0)),"")))</f>
        <v/>
      </c>
      <c r="J2407" s="16">
        <f>IF(OR(D2407="",F2407=""),"",F2407*I2407-N(H2407))</f>
        <v/>
      </c>
      <c r="K2407" s="16">
        <f>IF(OR(D2407="",F2407=""),"",F2407*IFERROR(INDEX('Sản phẩm'!$D$5:$D$304,MATCH(D2407,'Sản phẩm'!$A$5:$A$304,0)),""))</f>
        <v/>
      </c>
      <c r="L2407" s="16">
        <f>IF(J2407="","",J2407-K2407)</f>
        <v/>
      </c>
      <c r="M2407" s="14">
        <f>IF(A2407="","",MONTH(A2407))</f>
        <v/>
      </c>
      <c r="N2407" s="14">
        <f>IF(A2407="","",YEAR(A2407))</f>
        <v/>
      </c>
    </row>
    <row r="2408">
      <c r="A2408" s="15" t="n"/>
      <c r="B2408" s="10" t="n"/>
      <c r="C2408" s="10" t="n"/>
      <c r="D2408" s="10" t="n"/>
      <c r="E2408" s="14">
        <f>IF(D2408="","",IFERROR(INDEX('Sản phẩm'!$B$5:$B$304,MATCH(D2408,'Sản phẩm'!$A$5:$A$304,0)),""))</f>
        <v/>
      </c>
      <c r="F2408" s="12" t="n"/>
      <c r="G2408" s="11" t="n"/>
      <c r="H2408" s="11" t="n"/>
      <c r="I2408" s="16">
        <f>IF(D2408="","",IF(G2408&lt;&gt;"",G2408,IFERROR(INDEX('Sản phẩm'!$E$5:$E$304,MATCH(D2408,'Sản phẩm'!$A$5:$A$304,0)),"")))</f>
        <v/>
      </c>
      <c r="J2408" s="16">
        <f>IF(OR(D2408="",F2408=""),"",F2408*I2408-N(H2408))</f>
        <v/>
      </c>
      <c r="K2408" s="16">
        <f>IF(OR(D2408="",F2408=""),"",F2408*IFERROR(INDEX('Sản phẩm'!$D$5:$D$304,MATCH(D2408,'Sản phẩm'!$A$5:$A$304,0)),""))</f>
        <v/>
      </c>
      <c r="L2408" s="16">
        <f>IF(J2408="","",J2408-K2408)</f>
        <v/>
      </c>
      <c r="M2408" s="14">
        <f>IF(A2408="","",MONTH(A2408))</f>
        <v/>
      </c>
      <c r="N2408" s="14">
        <f>IF(A2408="","",YEAR(A2408))</f>
        <v/>
      </c>
    </row>
    <row r="2409">
      <c r="A2409" s="15" t="n"/>
      <c r="B2409" s="10" t="n"/>
      <c r="C2409" s="10" t="n"/>
      <c r="D2409" s="10" t="n"/>
      <c r="E2409" s="14">
        <f>IF(D2409="","",IFERROR(INDEX('Sản phẩm'!$B$5:$B$304,MATCH(D2409,'Sản phẩm'!$A$5:$A$304,0)),""))</f>
        <v/>
      </c>
      <c r="F2409" s="12" t="n"/>
      <c r="G2409" s="11" t="n"/>
      <c r="H2409" s="11" t="n"/>
      <c r="I2409" s="16">
        <f>IF(D2409="","",IF(G2409&lt;&gt;"",G2409,IFERROR(INDEX('Sản phẩm'!$E$5:$E$304,MATCH(D2409,'Sản phẩm'!$A$5:$A$304,0)),"")))</f>
        <v/>
      </c>
      <c r="J2409" s="16">
        <f>IF(OR(D2409="",F2409=""),"",F2409*I2409-N(H2409))</f>
        <v/>
      </c>
      <c r="K2409" s="16">
        <f>IF(OR(D2409="",F2409=""),"",F2409*IFERROR(INDEX('Sản phẩm'!$D$5:$D$304,MATCH(D2409,'Sản phẩm'!$A$5:$A$304,0)),""))</f>
        <v/>
      </c>
      <c r="L2409" s="16">
        <f>IF(J2409="","",J2409-K2409)</f>
        <v/>
      </c>
      <c r="M2409" s="14">
        <f>IF(A2409="","",MONTH(A2409))</f>
        <v/>
      </c>
      <c r="N2409" s="14">
        <f>IF(A2409="","",YEAR(A2409))</f>
        <v/>
      </c>
    </row>
    <row r="2410">
      <c r="A2410" s="15" t="n"/>
      <c r="B2410" s="10" t="n"/>
      <c r="C2410" s="10" t="n"/>
      <c r="D2410" s="10" t="n"/>
      <c r="E2410" s="14">
        <f>IF(D2410="","",IFERROR(INDEX('Sản phẩm'!$B$5:$B$304,MATCH(D2410,'Sản phẩm'!$A$5:$A$304,0)),""))</f>
        <v/>
      </c>
      <c r="F2410" s="12" t="n"/>
      <c r="G2410" s="11" t="n"/>
      <c r="H2410" s="11" t="n"/>
      <c r="I2410" s="16">
        <f>IF(D2410="","",IF(G2410&lt;&gt;"",G2410,IFERROR(INDEX('Sản phẩm'!$E$5:$E$304,MATCH(D2410,'Sản phẩm'!$A$5:$A$304,0)),"")))</f>
        <v/>
      </c>
      <c r="J2410" s="16">
        <f>IF(OR(D2410="",F2410=""),"",F2410*I2410-N(H2410))</f>
        <v/>
      </c>
      <c r="K2410" s="16">
        <f>IF(OR(D2410="",F2410=""),"",F2410*IFERROR(INDEX('Sản phẩm'!$D$5:$D$304,MATCH(D2410,'Sản phẩm'!$A$5:$A$304,0)),""))</f>
        <v/>
      </c>
      <c r="L2410" s="16">
        <f>IF(J2410="","",J2410-K2410)</f>
        <v/>
      </c>
      <c r="M2410" s="14">
        <f>IF(A2410="","",MONTH(A2410))</f>
        <v/>
      </c>
      <c r="N2410" s="14">
        <f>IF(A2410="","",YEAR(A2410))</f>
        <v/>
      </c>
    </row>
    <row r="2411">
      <c r="A2411" s="15" t="n"/>
      <c r="B2411" s="10" t="n"/>
      <c r="C2411" s="10" t="n"/>
      <c r="D2411" s="10" t="n"/>
      <c r="E2411" s="14">
        <f>IF(D2411="","",IFERROR(INDEX('Sản phẩm'!$B$5:$B$304,MATCH(D2411,'Sản phẩm'!$A$5:$A$304,0)),""))</f>
        <v/>
      </c>
      <c r="F2411" s="12" t="n"/>
      <c r="G2411" s="11" t="n"/>
      <c r="H2411" s="11" t="n"/>
      <c r="I2411" s="16">
        <f>IF(D2411="","",IF(G2411&lt;&gt;"",G2411,IFERROR(INDEX('Sản phẩm'!$E$5:$E$304,MATCH(D2411,'Sản phẩm'!$A$5:$A$304,0)),"")))</f>
        <v/>
      </c>
      <c r="J2411" s="16">
        <f>IF(OR(D2411="",F2411=""),"",F2411*I2411-N(H2411))</f>
        <v/>
      </c>
      <c r="K2411" s="16">
        <f>IF(OR(D2411="",F2411=""),"",F2411*IFERROR(INDEX('Sản phẩm'!$D$5:$D$304,MATCH(D2411,'Sản phẩm'!$A$5:$A$304,0)),""))</f>
        <v/>
      </c>
      <c r="L2411" s="16">
        <f>IF(J2411="","",J2411-K2411)</f>
        <v/>
      </c>
      <c r="M2411" s="14">
        <f>IF(A2411="","",MONTH(A2411))</f>
        <v/>
      </c>
      <c r="N2411" s="14">
        <f>IF(A2411="","",YEAR(A2411))</f>
        <v/>
      </c>
    </row>
    <row r="2412">
      <c r="A2412" s="15" t="n"/>
      <c r="B2412" s="10" t="n"/>
      <c r="C2412" s="10" t="n"/>
      <c r="D2412" s="10" t="n"/>
      <c r="E2412" s="14">
        <f>IF(D2412="","",IFERROR(INDEX('Sản phẩm'!$B$5:$B$304,MATCH(D2412,'Sản phẩm'!$A$5:$A$304,0)),""))</f>
        <v/>
      </c>
      <c r="F2412" s="12" t="n"/>
      <c r="G2412" s="11" t="n"/>
      <c r="H2412" s="11" t="n"/>
      <c r="I2412" s="16">
        <f>IF(D2412="","",IF(G2412&lt;&gt;"",G2412,IFERROR(INDEX('Sản phẩm'!$E$5:$E$304,MATCH(D2412,'Sản phẩm'!$A$5:$A$304,0)),"")))</f>
        <v/>
      </c>
      <c r="J2412" s="16">
        <f>IF(OR(D2412="",F2412=""),"",F2412*I2412-N(H2412))</f>
        <v/>
      </c>
      <c r="K2412" s="16">
        <f>IF(OR(D2412="",F2412=""),"",F2412*IFERROR(INDEX('Sản phẩm'!$D$5:$D$304,MATCH(D2412,'Sản phẩm'!$A$5:$A$304,0)),""))</f>
        <v/>
      </c>
      <c r="L2412" s="16">
        <f>IF(J2412="","",J2412-K2412)</f>
        <v/>
      </c>
      <c r="M2412" s="14">
        <f>IF(A2412="","",MONTH(A2412))</f>
        <v/>
      </c>
      <c r="N2412" s="14">
        <f>IF(A2412="","",YEAR(A2412))</f>
        <v/>
      </c>
    </row>
    <row r="2413">
      <c r="A2413" s="15" t="n"/>
      <c r="B2413" s="10" t="n"/>
      <c r="C2413" s="10" t="n"/>
      <c r="D2413" s="10" t="n"/>
      <c r="E2413" s="14">
        <f>IF(D2413="","",IFERROR(INDEX('Sản phẩm'!$B$5:$B$304,MATCH(D2413,'Sản phẩm'!$A$5:$A$304,0)),""))</f>
        <v/>
      </c>
      <c r="F2413" s="12" t="n"/>
      <c r="G2413" s="11" t="n"/>
      <c r="H2413" s="11" t="n"/>
      <c r="I2413" s="16">
        <f>IF(D2413="","",IF(G2413&lt;&gt;"",G2413,IFERROR(INDEX('Sản phẩm'!$E$5:$E$304,MATCH(D2413,'Sản phẩm'!$A$5:$A$304,0)),"")))</f>
        <v/>
      </c>
      <c r="J2413" s="16">
        <f>IF(OR(D2413="",F2413=""),"",F2413*I2413-N(H2413))</f>
        <v/>
      </c>
      <c r="K2413" s="16">
        <f>IF(OR(D2413="",F2413=""),"",F2413*IFERROR(INDEX('Sản phẩm'!$D$5:$D$304,MATCH(D2413,'Sản phẩm'!$A$5:$A$304,0)),""))</f>
        <v/>
      </c>
      <c r="L2413" s="16">
        <f>IF(J2413="","",J2413-K2413)</f>
        <v/>
      </c>
      <c r="M2413" s="14">
        <f>IF(A2413="","",MONTH(A2413))</f>
        <v/>
      </c>
      <c r="N2413" s="14">
        <f>IF(A2413="","",YEAR(A2413))</f>
        <v/>
      </c>
    </row>
    <row r="2414">
      <c r="A2414" s="15" t="n"/>
      <c r="B2414" s="10" t="n"/>
      <c r="C2414" s="10" t="n"/>
      <c r="D2414" s="10" t="n"/>
      <c r="E2414" s="14">
        <f>IF(D2414="","",IFERROR(INDEX('Sản phẩm'!$B$5:$B$304,MATCH(D2414,'Sản phẩm'!$A$5:$A$304,0)),""))</f>
        <v/>
      </c>
      <c r="F2414" s="12" t="n"/>
      <c r="G2414" s="11" t="n"/>
      <c r="H2414" s="11" t="n"/>
      <c r="I2414" s="16">
        <f>IF(D2414="","",IF(G2414&lt;&gt;"",G2414,IFERROR(INDEX('Sản phẩm'!$E$5:$E$304,MATCH(D2414,'Sản phẩm'!$A$5:$A$304,0)),"")))</f>
        <v/>
      </c>
      <c r="J2414" s="16">
        <f>IF(OR(D2414="",F2414=""),"",F2414*I2414-N(H2414))</f>
        <v/>
      </c>
      <c r="K2414" s="16">
        <f>IF(OR(D2414="",F2414=""),"",F2414*IFERROR(INDEX('Sản phẩm'!$D$5:$D$304,MATCH(D2414,'Sản phẩm'!$A$5:$A$304,0)),""))</f>
        <v/>
      </c>
      <c r="L2414" s="16">
        <f>IF(J2414="","",J2414-K2414)</f>
        <v/>
      </c>
      <c r="M2414" s="14">
        <f>IF(A2414="","",MONTH(A2414))</f>
        <v/>
      </c>
      <c r="N2414" s="14">
        <f>IF(A2414="","",YEAR(A2414))</f>
        <v/>
      </c>
    </row>
    <row r="2415">
      <c r="A2415" s="15" t="n"/>
      <c r="B2415" s="10" t="n"/>
      <c r="C2415" s="10" t="n"/>
      <c r="D2415" s="10" t="n"/>
      <c r="E2415" s="14">
        <f>IF(D2415="","",IFERROR(INDEX('Sản phẩm'!$B$5:$B$304,MATCH(D2415,'Sản phẩm'!$A$5:$A$304,0)),""))</f>
        <v/>
      </c>
      <c r="F2415" s="12" t="n"/>
      <c r="G2415" s="11" t="n"/>
      <c r="H2415" s="11" t="n"/>
      <c r="I2415" s="16">
        <f>IF(D2415="","",IF(G2415&lt;&gt;"",G2415,IFERROR(INDEX('Sản phẩm'!$E$5:$E$304,MATCH(D2415,'Sản phẩm'!$A$5:$A$304,0)),"")))</f>
        <v/>
      </c>
      <c r="J2415" s="16">
        <f>IF(OR(D2415="",F2415=""),"",F2415*I2415-N(H2415))</f>
        <v/>
      </c>
      <c r="K2415" s="16">
        <f>IF(OR(D2415="",F2415=""),"",F2415*IFERROR(INDEX('Sản phẩm'!$D$5:$D$304,MATCH(D2415,'Sản phẩm'!$A$5:$A$304,0)),""))</f>
        <v/>
      </c>
      <c r="L2415" s="16">
        <f>IF(J2415="","",J2415-K2415)</f>
        <v/>
      </c>
      <c r="M2415" s="14">
        <f>IF(A2415="","",MONTH(A2415))</f>
        <v/>
      </c>
      <c r="N2415" s="14">
        <f>IF(A2415="","",YEAR(A2415))</f>
        <v/>
      </c>
    </row>
    <row r="2416">
      <c r="A2416" s="15" t="n"/>
      <c r="B2416" s="10" t="n"/>
      <c r="C2416" s="10" t="n"/>
      <c r="D2416" s="10" t="n"/>
      <c r="E2416" s="14">
        <f>IF(D2416="","",IFERROR(INDEX('Sản phẩm'!$B$5:$B$304,MATCH(D2416,'Sản phẩm'!$A$5:$A$304,0)),""))</f>
        <v/>
      </c>
      <c r="F2416" s="12" t="n"/>
      <c r="G2416" s="11" t="n"/>
      <c r="H2416" s="11" t="n"/>
      <c r="I2416" s="16">
        <f>IF(D2416="","",IF(G2416&lt;&gt;"",G2416,IFERROR(INDEX('Sản phẩm'!$E$5:$E$304,MATCH(D2416,'Sản phẩm'!$A$5:$A$304,0)),"")))</f>
        <v/>
      </c>
      <c r="J2416" s="16">
        <f>IF(OR(D2416="",F2416=""),"",F2416*I2416-N(H2416))</f>
        <v/>
      </c>
      <c r="K2416" s="16">
        <f>IF(OR(D2416="",F2416=""),"",F2416*IFERROR(INDEX('Sản phẩm'!$D$5:$D$304,MATCH(D2416,'Sản phẩm'!$A$5:$A$304,0)),""))</f>
        <v/>
      </c>
      <c r="L2416" s="16">
        <f>IF(J2416="","",J2416-K2416)</f>
        <v/>
      </c>
      <c r="M2416" s="14">
        <f>IF(A2416="","",MONTH(A2416))</f>
        <v/>
      </c>
      <c r="N2416" s="14">
        <f>IF(A2416="","",YEAR(A2416))</f>
        <v/>
      </c>
    </row>
    <row r="2417">
      <c r="A2417" s="15" t="n"/>
      <c r="B2417" s="10" t="n"/>
      <c r="C2417" s="10" t="n"/>
      <c r="D2417" s="10" t="n"/>
      <c r="E2417" s="14">
        <f>IF(D2417="","",IFERROR(INDEX('Sản phẩm'!$B$5:$B$304,MATCH(D2417,'Sản phẩm'!$A$5:$A$304,0)),""))</f>
        <v/>
      </c>
      <c r="F2417" s="12" t="n"/>
      <c r="G2417" s="11" t="n"/>
      <c r="H2417" s="11" t="n"/>
      <c r="I2417" s="16">
        <f>IF(D2417="","",IF(G2417&lt;&gt;"",G2417,IFERROR(INDEX('Sản phẩm'!$E$5:$E$304,MATCH(D2417,'Sản phẩm'!$A$5:$A$304,0)),"")))</f>
        <v/>
      </c>
      <c r="J2417" s="16">
        <f>IF(OR(D2417="",F2417=""),"",F2417*I2417-N(H2417))</f>
        <v/>
      </c>
      <c r="K2417" s="16">
        <f>IF(OR(D2417="",F2417=""),"",F2417*IFERROR(INDEX('Sản phẩm'!$D$5:$D$304,MATCH(D2417,'Sản phẩm'!$A$5:$A$304,0)),""))</f>
        <v/>
      </c>
      <c r="L2417" s="16">
        <f>IF(J2417="","",J2417-K2417)</f>
        <v/>
      </c>
      <c r="M2417" s="14">
        <f>IF(A2417="","",MONTH(A2417))</f>
        <v/>
      </c>
      <c r="N2417" s="14">
        <f>IF(A2417="","",YEAR(A2417))</f>
        <v/>
      </c>
    </row>
    <row r="2418">
      <c r="A2418" s="15" t="n"/>
      <c r="B2418" s="10" t="n"/>
      <c r="C2418" s="10" t="n"/>
      <c r="D2418" s="10" t="n"/>
      <c r="E2418" s="14">
        <f>IF(D2418="","",IFERROR(INDEX('Sản phẩm'!$B$5:$B$304,MATCH(D2418,'Sản phẩm'!$A$5:$A$304,0)),""))</f>
        <v/>
      </c>
      <c r="F2418" s="12" t="n"/>
      <c r="G2418" s="11" t="n"/>
      <c r="H2418" s="11" t="n"/>
      <c r="I2418" s="16">
        <f>IF(D2418="","",IF(G2418&lt;&gt;"",G2418,IFERROR(INDEX('Sản phẩm'!$E$5:$E$304,MATCH(D2418,'Sản phẩm'!$A$5:$A$304,0)),"")))</f>
        <v/>
      </c>
      <c r="J2418" s="16">
        <f>IF(OR(D2418="",F2418=""),"",F2418*I2418-N(H2418))</f>
        <v/>
      </c>
      <c r="K2418" s="16">
        <f>IF(OR(D2418="",F2418=""),"",F2418*IFERROR(INDEX('Sản phẩm'!$D$5:$D$304,MATCH(D2418,'Sản phẩm'!$A$5:$A$304,0)),""))</f>
        <v/>
      </c>
      <c r="L2418" s="16">
        <f>IF(J2418="","",J2418-K2418)</f>
        <v/>
      </c>
      <c r="M2418" s="14">
        <f>IF(A2418="","",MONTH(A2418))</f>
        <v/>
      </c>
      <c r="N2418" s="14">
        <f>IF(A2418="","",YEAR(A2418))</f>
        <v/>
      </c>
    </row>
    <row r="2419">
      <c r="A2419" s="15" t="n"/>
      <c r="B2419" s="10" t="n"/>
      <c r="C2419" s="10" t="n"/>
      <c r="D2419" s="10" t="n"/>
      <c r="E2419" s="14">
        <f>IF(D2419="","",IFERROR(INDEX('Sản phẩm'!$B$5:$B$304,MATCH(D2419,'Sản phẩm'!$A$5:$A$304,0)),""))</f>
        <v/>
      </c>
      <c r="F2419" s="12" t="n"/>
      <c r="G2419" s="11" t="n"/>
      <c r="H2419" s="11" t="n"/>
      <c r="I2419" s="16">
        <f>IF(D2419="","",IF(G2419&lt;&gt;"",G2419,IFERROR(INDEX('Sản phẩm'!$E$5:$E$304,MATCH(D2419,'Sản phẩm'!$A$5:$A$304,0)),"")))</f>
        <v/>
      </c>
      <c r="J2419" s="16">
        <f>IF(OR(D2419="",F2419=""),"",F2419*I2419-N(H2419))</f>
        <v/>
      </c>
      <c r="K2419" s="16">
        <f>IF(OR(D2419="",F2419=""),"",F2419*IFERROR(INDEX('Sản phẩm'!$D$5:$D$304,MATCH(D2419,'Sản phẩm'!$A$5:$A$304,0)),""))</f>
        <v/>
      </c>
      <c r="L2419" s="16">
        <f>IF(J2419="","",J2419-K2419)</f>
        <v/>
      </c>
      <c r="M2419" s="14">
        <f>IF(A2419="","",MONTH(A2419))</f>
        <v/>
      </c>
      <c r="N2419" s="14">
        <f>IF(A2419="","",YEAR(A2419))</f>
        <v/>
      </c>
    </row>
    <row r="2420">
      <c r="A2420" s="15" t="n"/>
      <c r="B2420" s="10" t="n"/>
      <c r="C2420" s="10" t="n"/>
      <c r="D2420" s="10" t="n"/>
      <c r="E2420" s="14">
        <f>IF(D2420="","",IFERROR(INDEX('Sản phẩm'!$B$5:$B$304,MATCH(D2420,'Sản phẩm'!$A$5:$A$304,0)),""))</f>
        <v/>
      </c>
      <c r="F2420" s="12" t="n"/>
      <c r="G2420" s="11" t="n"/>
      <c r="H2420" s="11" t="n"/>
      <c r="I2420" s="16">
        <f>IF(D2420="","",IF(G2420&lt;&gt;"",G2420,IFERROR(INDEX('Sản phẩm'!$E$5:$E$304,MATCH(D2420,'Sản phẩm'!$A$5:$A$304,0)),"")))</f>
        <v/>
      </c>
      <c r="J2420" s="16">
        <f>IF(OR(D2420="",F2420=""),"",F2420*I2420-N(H2420))</f>
        <v/>
      </c>
      <c r="K2420" s="16">
        <f>IF(OR(D2420="",F2420=""),"",F2420*IFERROR(INDEX('Sản phẩm'!$D$5:$D$304,MATCH(D2420,'Sản phẩm'!$A$5:$A$304,0)),""))</f>
        <v/>
      </c>
      <c r="L2420" s="16">
        <f>IF(J2420="","",J2420-K2420)</f>
        <v/>
      </c>
      <c r="M2420" s="14">
        <f>IF(A2420="","",MONTH(A2420))</f>
        <v/>
      </c>
      <c r="N2420" s="14">
        <f>IF(A2420="","",YEAR(A2420))</f>
        <v/>
      </c>
    </row>
    <row r="2421">
      <c r="A2421" s="15" t="n"/>
      <c r="B2421" s="10" t="n"/>
      <c r="C2421" s="10" t="n"/>
      <c r="D2421" s="10" t="n"/>
      <c r="E2421" s="14">
        <f>IF(D2421="","",IFERROR(INDEX('Sản phẩm'!$B$5:$B$304,MATCH(D2421,'Sản phẩm'!$A$5:$A$304,0)),""))</f>
        <v/>
      </c>
      <c r="F2421" s="12" t="n"/>
      <c r="G2421" s="11" t="n"/>
      <c r="H2421" s="11" t="n"/>
      <c r="I2421" s="16">
        <f>IF(D2421="","",IF(G2421&lt;&gt;"",G2421,IFERROR(INDEX('Sản phẩm'!$E$5:$E$304,MATCH(D2421,'Sản phẩm'!$A$5:$A$304,0)),"")))</f>
        <v/>
      </c>
      <c r="J2421" s="16">
        <f>IF(OR(D2421="",F2421=""),"",F2421*I2421-N(H2421))</f>
        <v/>
      </c>
      <c r="K2421" s="16">
        <f>IF(OR(D2421="",F2421=""),"",F2421*IFERROR(INDEX('Sản phẩm'!$D$5:$D$304,MATCH(D2421,'Sản phẩm'!$A$5:$A$304,0)),""))</f>
        <v/>
      </c>
      <c r="L2421" s="16">
        <f>IF(J2421="","",J2421-K2421)</f>
        <v/>
      </c>
      <c r="M2421" s="14">
        <f>IF(A2421="","",MONTH(A2421))</f>
        <v/>
      </c>
      <c r="N2421" s="14">
        <f>IF(A2421="","",YEAR(A2421))</f>
        <v/>
      </c>
    </row>
    <row r="2422">
      <c r="A2422" s="15" t="n"/>
      <c r="B2422" s="10" t="n"/>
      <c r="C2422" s="10" t="n"/>
      <c r="D2422" s="10" t="n"/>
      <c r="E2422" s="14">
        <f>IF(D2422="","",IFERROR(INDEX('Sản phẩm'!$B$5:$B$304,MATCH(D2422,'Sản phẩm'!$A$5:$A$304,0)),""))</f>
        <v/>
      </c>
      <c r="F2422" s="12" t="n"/>
      <c r="G2422" s="11" t="n"/>
      <c r="H2422" s="11" t="n"/>
      <c r="I2422" s="16">
        <f>IF(D2422="","",IF(G2422&lt;&gt;"",G2422,IFERROR(INDEX('Sản phẩm'!$E$5:$E$304,MATCH(D2422,'Sản phẩm'!$A$5:$A$304,0)),"")))</f>
        <v/>
      </c>
      <c r="J2422" s="16">
        <f>IF(OR(D2422="",F2422=""),"",F2422*I2422-N(H2422))</f>
        <v/>
      </c>
      <c r="K2422" s="16">
        <f>IF(OR(D2422="",F2422=""),"",F2422*IFERROR(INDEX('Sản phẩm'!$D$5:$D$304,MATCH(D2422,'Sản phẩm'!$A$5:$A$304,0)),""))</f>
        <v/>
      </c>
      <c r="L2422" s="16">
        <f>IF(J2422="","",J2422-K2422)</f>
        <v/>
      </c>
      <c r="M2422" s="14">
        <f>IF(A2422="","",MONTH(A2422))</f>
        <v/>
      </c>
      <c r="N2422" s="14">
        <f>IF(A2422="","",YEAR(A2422))</f>
        <v/>
      </c>
    </row>
    <row r="2423">
      <c r="A2423" s="15" t="n"/>
      <c r="B2423" s="10" t="n"/>
      <c r="C2423" s="10" t="n"/>
      <c r="D2423" s="10" t="n"/>
      <c r="E2423" s="14">
        <f>IF(D2423="","",IFERROR(INDEX('Sản phẩm'!$B$5:$B$304,MATCH(D2423,'Sản phẩm'!$A$5:$A$304,0)),""))</f>
        <v/>
      </c>
      <c r="F2423" s="12" t="n"/>
      <c r="G2423" s="11" t="n"/>
      <c r="H2423" s="11" t="n"/>
      <c r="I2423" s="16">
        <f>IF(D2423="","",IF(G2423&lt;&gt;"",G2423,IFERROR(INDEX('Sản phẩm'!$E$5:$E$304,MATCH(D2423,'Sản phẩm'!$A$5:$A$304,0)),"")))</f>
        <v/>
      </c>
      <c r="J2423" s="16">
        <f>IF(OR(D2423="",F2423=""),"",F2423*I2423-N(H2423))</f>
        <v/>
      </c>
      <c r="K2423" s="16">
        <f>IF(OR(D2423="",F2423=""),"",F2423*IFERROR(INDEX('Sản phẩm'!$D$5:$D$304,MATCH(D2423,'Sản phẩm'!$A$5:$A$304,0)),""))</f>
        <v/>
      </c>
      <c r="L2423" s="16">
        <f>IF(J2423="","",J2423-K2423)</f>
        <v/>
      </c>
      <c r="M2423" s="14">
        <f>IF(A2423="","",MONTH(A2423))</f>
        <v/>
      </c>
      <c r="N2423" s="14">
        <f>IF(A2423="","",YEAR(A2423))</f>
        <v/>
      </c>
    </row>
    <row r="2424">
      <c r="A2424" s="15" t="n"/>
      <c r="B2424" s="10" t="n"/>
      <c r="C2424" s="10" t="n"/>
      <c r="D2424" s="10" t="n"/>
      <c r="E2424" s="14">
        <f>IF(D2424="","",IFERROR(INDEX('Sản phẩm'!$B$5:$B$304,MATCH(D2424,'Sản phẩm'!$A$5:$A$304,0)),""))</f>
        <v/>
      </c>
      <c r="F2424" s="12" t="n"/>
      <c r="G2424" s="11" t="n"/>
      <c r="H2424" s="11" t="n"/>
      <c r="I2424" s="16">
        <f>IF(D2424="","",IF(G2424&lt;&gt;"",G2424,IFERROR(INDEX('Sản phẩm'!$E$5:$E$304,MATCH(D2424,'Sản phẩm'!$A$5:$A$304,0)),"")))</f>
        <v/>
      </c>
      <c r="J2424" s="16">
        <f>IF(OR(D2424="",F2424=""),"",F2424*I2424-N(H2424))</f>
        <v/>
      </c>
      <c r="K2424" s="16">
        <f>IF(OR(D2424="",F2424=""),"",F2424*IFERROR(INDEX('Sản phẩm'!$D$5:$D$304,MATCH(D2424,'Sản phẩm'!$A$5:$A$304,0)),""))</f>
        <v/>
      </c>
      <c r="L2424" s="16">
        <f>IF(J2424="","",J2424-K2424)</f>
        <v/>
      </c>
      <c r="M2424" s="14">
        <f>IF(A2424="","",MONTH(A2424))</f>
        <v/>
      </c>
      <c r="N2424" s="14">
        <f>IF(A2424="","",YEAR(A2424))</f>
        <v/>
      </c>
    </row>
    <row r="2425">
      <c r="A2425" s="15" t="n"/>
      <c r="B2425" s="10" t="n"/>
      <c r="C2425" s="10" t="n"/>
      <c r="D2425" s="10" t="n"/>
      <c r="E2425" s="14">
        <f>IF(D2425="","",IFERROR(INDEX('Sản phẩm'!$B$5:$B$304,MATCH(D2425,'Sản phẩm'!$A$5:$A$304,0)),""))</f>
        <v/>
      </c>
      <c r="F2425" s="12" t="n"/>
      <c r="G2425" s="11" t="n"/>
      <c r="H2425" s="11" t="n"/>
      <c r="I2425" s="16">
        <f>IF(D2425="","",IF(G2425&lt;&gt;"",G2425,IFERROR(INDEX('Sản phẩm'!$E$5:$E$304,MATCH(D2425,'Sản phẩm'!$A$5:$A$304,0)),"")))</f>
        <v/>
      </c>
      <c r="J2425" s="16">
        <f>IF(OR(D2425="",F2425=""),"",F2425*I2425-N(H2425))</f>
        <v/>
      </c>
      <c r="K2425" s="16">
        <f>IF(OR(D2425="",F2425=""),"",F2425*IFERROR(INDEX('Sản phẩm'!$D$5:$D$304,MATCH(D2425,'Sản phẩm'!$A$5:$A$304,0)),""))</f>
        <v/>
      </c>
      <c r="L2425" s="16">
        <f>IF(J2425="","",J2425-K2425)</f>
        <v/>
      </c>
      <c r="M2425" s="14">
        <f>IF(A2425="","",MONTH(A2425))</f>
        <v/>
      </c>
      <c r="N2425" s="14">
        <f>IF(A2425="","",YEAR(A2425))</f>
        <v/>
      </c>
    </row>
    <row r="2426">
      <c r="A2426" s="15" t="n"/>
      <c r="B2426" s="10" t="n"/>
      <c r="C2426" s="10" t="n"/>
      <c r="D2426" s="10" t="n"/>
      <c r="E2426" s="14">
        <f>IF(D2426="","",IFERROR(INDEX('Sản phẩm'!$B$5:$B$304,MATCH(D2426,'Sản phẩm'!$A$5:$A$304,0)),""))</f>
        <v/>
      </c>
      <c r="F2426" s="12" t="n"/>
      <c r="G2426" s="11" t="n"/>
      <c r="H2426" s="11" t="n"/>
      <c r="I2426" s="16">
        <f>IF(D2426="","",IF(G2426&lt;&gt;"",G2426,IFERROR(INDEX('Sản phẩm'!$E$5:$E$304,MATCH(D2426,'Sản phẩm'!$A$5:$A$304,0)),"")))</f>
        <v/>
      </c>
      <c r="J2426" s="16">
        <f>IF(OR(D2426="",F2426=""),"",F2426*I2426-N(H2426))</f>
        <v/>
      </c>
      <c r="K2426" s="16">
        <f>IF(OR(D2426="",F2426=""),"",F2426*IFERROR(INDEX('Sản phẩm'!$D$5:$D$304,MATCH(D2426,'Sản phẩm'!$A$5:$A$304,0)),""))</f>
        <v/>
      </c>
      <c r="L2426" s="16">
        <f>IF(J2426="","",J2426-K2426)</f>
        <v/>
      </c>
      <c r="M2426" s="14">
        <f>IF(A2426="","",MONTH(A2426))</f>
        <v/>
      </c>
      <c r="N2426" s="14">
        <f>IF(A2426="","",YEAR(A2426))</f>
        <v/>
      </c>
    </row>
    <row r="2427">
      <c r="A2427" s="15" t="n"/>
      <c r="B2427" s="10" t="n"/>
      <c r="C2427" s="10" t="n"/>
      <c r="D2427" s="10" t="n"/>
      <c r="E2427" s="14">
        <f>IF(D2427="","",IFERROR(INDEX('Sản phẩm'!$B$5:$B$304,MATCH(D2427,'Sản phẩm'!$A$5:$A$304,0)),""))</f>
        <v/>
      </c>
      <c r="F2427" s="12" t="n"/>
      <c r="G2427" s="11" t="n"/>
      <c r="H2427" s="11" t="n"/>
      <c r="I2427" s="16">
        <f>IF(D2427="","",IF(G2427&lt;&gt;"",G2427,IFERROR(INDEX('Sản phẩm'!$E$5:$E$304,MATCH(D2427,'Sản phẩm'!$A$5:$A$304,0)),"")))</f>
        <v/>
      </c>
      <c r="J2427" s="16">
        <f>IF(OR(D2427="",F2427=""),"",F2427*I2427-N(H2427))</f>
        <v/>
      </c>
      <c r="K2427" s="16">
        <f>IF(OR(D2427="",F2427=""),"",F2427*IFERROR(INDEX('Sản phẩm'!$D$5:$D$304,MATCH(D2427,'Sản phẩm'!$A$5:$A$304,0)),""))</f>
        <v/>
      </c>
      <c r="L2427" s="16">
        <f>IF(J2427="","",J2427-K2427)</f>
        <v/>
      </c>
      <c r="M2427" s="14">
        <f>IF(A2427="","",MONTH(A2427))</f>
        <v/>
      </c>
      <c r="N2427" s="14">
        <f>IF(A2427="","",YEAR(A2427))</f>
        <v/>
      </c>
    </row>
    <row r="2428">
      <c r="A2428" s="15" t="n"/>
      <c r="B2428" s="10" t="n"/>
      <c r="C2428" s="10" t="n"/>
      <c r="D2428" s="10" t="n"/>
      <c r="E2428" s="14">
        <f>IF(D2428="","",IFERROR(INDEX('Sản phẩm'!$B$5:$B$304,MATCH(D2428,'Sản phẩm'!$A$5:$A$304,0)),""))</f>
        <v/>
      </c>
      <c r="F2428" s="12" t="n"/>
      <c r="G2428" s="11" t="n"/>
      <c r="H2428" s="11" t="n"/>
      <c r="I2428" s="16">
        <f>IF(D2428="","",IF(G2428&lt;&gt;"",G2428,IFERROR(INDEX('Sản phẩm'!$E$5:$E$304,MATCH(D2428,'Sản phẩm'!$A$5:$A$304,0)),"")))</f>
        <v/>
      </c>
      <c r="J2428" s="16">
        <f>IF(OR(D2428="",F2428=""),"",F2428*I2428-N(H2428))</f>
        <v/>
      </c>
      <c r="K2428" s="16">
        <f>IF(OR(D2428="",F2428=""),"",F2428*IFERROR(INDEX('Sản phẩm'!$D$5:$D$304,MATCH(D2428,'Sản phẩm'!$A$5:$A$304,0)),""))</f>
        <v/>
      </c>
      <c r="L2428" s="16">
        <f>IF(J2428="","",J2428-K2428)</f>
        <v/>
      </c>
      <c r="M2428" s="14">
        <f>IF(A2428="","",MONTH(A2428))</f>
        <v/>
      </c>
      <c r="N2428" s="14">
        <f>IF(A2428="","",YEAR(A2428))</f>
        <v/>
      </c>
    </row>
    <row r="2429">
      <c r="A2429" s="15" t="n"/>
      <c r="B2429" s="10" t="n"/>
      <c r="C2429" s="10" t="n"/>
      <c r="D2429" s="10" t="n"/>
      <c r="E2429" s="14">
        <f>IF(D2429="","",IFERROR(INDEX('Sản phẩm'!$B$5:$B$304,MATCH(D2429,'Sản phẩm'!$A$5:$A$304,0)),""))</f>
        <v/>
      </c>
      <c r="F2429" s="12" t="n"/>
      <c r="G2429" s="11" t="n"/>
      <c r="H2429" s="11" t="n"/>
      <c r="I2429" s="16">
        <f>IF(D2429="","",IF(G2429&lt;&gt;"",G2429,IFERROR(INDEX('Sản phẩm'!$E$5:$E$304,MATCH(D2429,'Sản phẩm'!$A$5:$A$304,0)),"")))</f>
        <v/>
      </c>
      <c r="J2429" s="16">
        <f>IF(OR(D2429="",F2429=""),"",F2429*I2429-N(H2429))</f>
        <v/>
      </c>
      <c r="K2429" s="16">
        <f>IF(OR(D2429="",F2429=""),"",F2429*IFERROR(INDEX('Sản phẩm'!$D$5:$D$304,MATCH(D2429,'Sản phẩm'!$A$5:$A$304,0)),""))</f>
        <v/>
      </c>
      <c r="L2429" s="16">
        <f>IF(J2429="","",J2429-K2429)</f>
        <v/>
      </c>
      <c r="M2429" s="14">
        <f>IF(A2429="","",MONTH(A2429))</f>
        <v/>
      </c>
      <c r="N2429" s="14">
        <f>IF(A2429="","",YEAR(A2429))</f>
        <v/>
      </c>
    </row>
    <row r="2430">
      <c r="A2430" s="15" t="n"/>
      <c r="B2430" s="10" t="n"/>
      <c r="C2430" s="10" t="n"/>
      <c r="D2430" s="10" t="n"/>
      <c r="E2430" s="14">
        <f>IF(D2430="","",IFERROR(INDEX('Sản phẩm'!$B$5:$B$304,MATCH(D2430,'Sản phẩm'!$A$5:$A$304,0)),""))</f>
        <v/>
      </c>
      <c r="F2430" s="12" t="n"/>
      <c r="G2430" s="11" t="n"/>
      <c r="H2430" s="11" t="n"/>
      <c r="I2430" s="16">
        <f>IF(D2430="","",IF(G2430&lt;&gt;"",G2430,IFERROR(INDEX('Sản phẩm'!$E$5:$E$304,MATCH(D2430,'Sản phẩm'!$A$5:$A$304,0)),"")))</f>
        <v/>
      </c>
      <c r="J2430" s="16">
        <f>IF(OR(D2430="",F2430=""),"",F2430*I2430-N(H2430))</f>
        <v/>
      </c>
      <c r="K2430" s="16">
        <f>IF(OR(D2430="",F2430=""),"",F2430*IFERROR(INDEX('Sản phẩm'!$D$5:$D$304,MATCH(D2430,'Sản phẩm'!$A$5:$A$304,0)),""))</f>
        <v/>
      </c>
      <c r="L2430" s="16">
        <f>IF(J2430="","",J2430-K2430)</f>
        <v/>
      </c>
      <c r="M2430" s="14">
        <f>IF(A2430="","",MONTH(A2430))</f>
        <v/>
      </c>
      <c r="N2430" s="14">
        <f>IF(A2430="","",YEAR(A2430))</f>
        <v/>
      </c>
    </row>
    <row r="2431">
      <c r="A2431" s="15" t="n"/>
      <c r="B2431" s="10" t="n"/>
      <c r="C2431" s="10" t="n"/>
      <c r="D2431" s="10" t="n"/>
      <c r="E2431" s="14">
        <f>IF(D2431="","",IFERROR(INDEX('Sản phẩm'!$B$5:$B$304,MATCH(D2431,'Sản phẩm'!$A$5:$A$304,0)),""))</f>
        <v/>
      </c>
      <c r="F2431" s="12" t="n"/>
      <c r="G2431" s="11" t="n"/>
      <c r="H2431" s="11" t="n"/>
      <c r="I2431" s="16">
        <f>IF(D2431="","",IF(G2431&lt;&gt;"",G2431,IFERROR(INDEX('Sản phẩm'!$E$5:$E$304,MATCH(D2431,'Sản phẩm'!$A$5:$A$304,0)),"")))</f>
        <v/>
      </c>
      <c r="J2431" s="16">
        <f>IF(OR(D2431="",F2431=""),"",F2431*I2431-N(H2431))</f>
        <v/>
      </c>
      <c r="K2431" s="16">
        <f>IF(OR(D2431="",F2431=""),"",F2431*IFERROR(INDEX('Sản phẩm'!$D$5:$D$304,MATCH(D2431,'Sản phẩm'!$A$5:$A$304,0)),""))</f>
        <v/>
      </c>
      <c r="L2431" s="16">
        <f>IF(J2431="","",J2431-K2431)</f>
        <v/>
      </c>
      <c r="M2431" s="14">
        <f>IF(A2431="","",MONTH(A2431))</f>
        <v/>
      </c>
      <c r="N2431" s="14">
        <f>IF(A2431="","",YEAR(A2431))</f>
        <v/>
      </c>
    </row>
    <row r="2432">
      <c r="A2432" s="15" t="n"/>
      <c r="B2432" s="10" t="n"/>
      <c r="C2432" s="10" t="n"/>
      <c r="D2432" s="10" t="n"/>
      <c r="E2432" s="14">
        <f>IF(D2432="","",IFERROR(INDEX('Sản phẩm'!$B$5:$B$304,MATCH(D2432,'Sản phẩm'!$A$5:$A$304,0)),""))</f>
        <v/>
      </c>
      <c r="F2432" s="12" t="n"/>
      <c r="G2432" s="11" t="n"/>
      <c r="H2432" s="11" t="n"/>
      <c r="I2432" s="16">
        <f>IF(D2432="","",IF(G2432&lt;&gt;"",G2432,IFERROR(INDEX('Sản phẩm'!$E$5:$E$304,MATCH(D2432,'Sản phẩm'!$A$5:$A$304,0)),"")))</f>
        <v/>
      </c>
      <c r="J2432" s="16">
        <f>IF(OR(D2432="",F2432=""),"",F2432*I2432-N(H2432))</f>
        <v/>
      </c>
      <c r="K2432" s="16">
        <f>IF(OR(D2432="",F2432=""),"",F2432*IFERROR(INDEX('Sản phẩm'!$D$5:$D$304,MATCH(D2432,'Sản phẩm'!$A$5:$A$304,0)),""))</f>
        <v/>
      </c>
      <c r="L2432" s="16">
        <f>IF(J2432="","",J2432-K2432)</f>
        <v/>
      </c>
      <c r="M2432" s="14">
        <f>IF(A2432="","",MONTH(A2432))</f>
        <v/>
      </c>
      <c r="N2432" s="14">
        <f>IF(A2432="","",YEAR(A2432))</f>
        <v/>
      </c>
    </row>
    <row r="2433">
      <c r="A2433" s="15" t="n"/>
      <c r="B2433" s="10" t="n"/>
      <c r="C2433" s="10" t="n"/>
      <c r="D2433" s="10" t="n"/>
      <c r="E2433" s="14">
        <f>IF(D2433="","",IFERROR(INDEX('Sản phẩm'!$B$5:$B$304,MATCH(D2433,'Sản phẩm'!$A$5:$A$304,0)),""))</f>
        <v/>
      </c>
      <c r="F2433" s="12" t="n"/>
      <c r="G2433" s="11" t="n"/>
      <c r="H2433" s="11" t="n"/>
      <c r="I2433" s="16">
        <f>IF(D2433="","",IF(G2433&lt;&gt;"",G2433,IFERROR(INDEX('Sản phẩm'!$E$5:$E$304,MATCH(D2433,'Sản phẩm'!$A$5:$A$304,0)),"")))</f>
        <v/>
      </c>
      <c r="J2433" s="16">
        <f>IF(OR(D2433="",F2433=""),"",F2433*I2433-N(H2433))</f>
        <v/>
      </c>
      <c r="K2433" s="16">
        <f>IF(OR(D2433="",F2433=""),"",F2433*IFERROR(INDEX('Sản phẩm'!$D$5:$D$304,MATCH(D2433,'Sản phẩm'!$A$5:$A$304,0)),""))</f>
        <v/>
      </c>
      <c r="L2433" s="16">
        <f>IF(J2433="","",J2433-K2433)</f>
        <v/>
      </c>
      <c r="M2433" s="14">
        <f>IF(A2433="","",MONTH(A2433))</f>
        <v/>
      </c>
      <c r="N2433" s="14">
        <f>IF(A2433="","",YEAR(A2433))</f>
        <v/>
      </c>
    </row>
    <row r="2434">
      <c r="A2434" s="15" t="n"/>
      <c r="B2434" s="10" t="n"/>
      <c r="C2434" s="10" t="n"/>
      <c r="D2434" s="10" t="n"/>
      <c r="E2434" s="14">
        <f>IF(D2434="","",IFERROR(INDEX('Sản phẩm'!$B$5:$B$304,MATCH(D2434,'Sản phẩm'!$A$5:$A$304,0)),""))</f>
        <v/>
      </c>
      <c r="F2434" s="12" t="n"/>
      <c r="G2434" s="11" t="n"/>
      <c r="H2434" s="11" t="n"/>
      <c r="I2434" s="16">
        <f>IF(D2434="","",IF(G2434&lt;&gt;"",G2434,IFERROR(INDEX('Sản phẩm'!$E$5:$E$304,MATCH(D2434,'Sản phẩm'!$A$5:$A$304,0)),"")))</f>
        <v/>
      </c>
      <c r="J2434" s="16">
        <f>IF(OR(D2434="",F2434=""),"",F2434*I2434-N(H2434))</f>
        <v/>
      </c>
      <c r="K2434" s="16">
        <f>IF(OR(D2434="",F2434=""),"",F2434*IFERROR(INDEX('Sản phẩm'!$D$5:$D$304,MATCH(D2434,'Sản phẩm'!$A$5:$A$304,0)),""))</f>
        <v/>
      </c>
      <c r="L2434" s="16">
        <f>IF(J2434="","",J2434-K2434)</f>
        <v/>
      </c>
      <c r="M2434" s="14">
        <f>IF(A2434="","",MONTH(A2434))</f>
        <v/>
      </c>
      <c r="N2434" s="14">
        <f>IF(A2434="","",YEAR(A2434))</f>
        <v/>
      </c>
    </row>
    <row r="2435">
      <c r="A2435" s="15" t="n"/>
      <c r="B2435" s="10" t="n"/>
      <c r="C2435" s="10" t="n"/>
      <c r="D2435" s="10" t="n"/>
      <c r="E2435" s="14">
        <f>IF(D2435="","",IFERROR(INDEX('Sản phẩm'!$B$5:$B$304,MATCH(D2435,'Sản phẩm'!$A$5:$A$304,0)),""))</f>
        <v/>
      </c>
      <c r="F2435" s="12" t="n"/>
      <c r="G2435" s="11" t="n"/>
      <c r="H2435" s="11" t="n"/>
      <c r="I2435" s="16">
        <f>IF(D2435="","",IF(G2435&lt;&gt;"",G2435,IFERROR(INDEX('Sản phẩm'!$E$5:$E$304,MATCH(D2435,'Sản phẩm'!$A$5:$A$304,0)),"")))</f>
        <v/>
      </c>
      <c r="J2435" s="16">
        <f>IF(OR(D2435="",F2435=""),"",F2435*I2435-N(H2435))</f>
        <v/>
      </c>
      <c r="K2435" s="16">
        <f>IF(OR(D2435="",F2435=""),"",F2435*IFERROR(INDEX('Sản phẩm'!$D$5:$D$304,MATCH(D2435,'Sản phẩm'!$A$5:$A$304,0)),""))</f>
        <v/>
      </c>
      <c r="L2435" s="16">
        <f>IF(J2435="","",J2435-K2435)</f>
        <v/>
      </c>
      <c r="M2435" s="14">
        <f>IF(A2435="","",MONTH(A2435))</f>
        <v/>
      </c>
      <c r="N2435" s="14">
        <f>IF(A2435="","",YEAR(A2435))</f>
        <v/>
      </c>
    </row>
    <row r="2436">
      <c r="A2436" s="15" t="n"/>
      <c r="B2436" s="10" t="n"/>
      <c r="C2436" s="10" t="n"/>
      <c r="D2436" s="10" t="n"/>
      <c r="E2436" s="14">
        <f>IF(D2436="","",IFERROR(INDEX('Sản phẩm'!$B$5:$B$304,MATCH(D2436,'Sản phẩm'!$A$5:$A$304,0)),""))</f>
        <v/>
      </c>
      <c r="F2436" s="12" t="n"/>
      <c r="G2436" s="11" t="n"/>
      <c r="H2436" s="11" t="n"/>
      <c r="I2436" s="16">
        <f>IF(D2436="","",IF(G2436&lt;&gt;"",G2436,IFERROR(INDEX('Sản phẩm'!$E$5:$E$304,MATCH(D2436,'Sản phẩm'!$A$5:$A$304,0)),"")))</f>
        <v/>
      </c>
      <c r="J2436" s="16">
        <f>IF(OR(D2436="",F2436=""),"",F2436*I2436-N(H2436))</f>
        <v/>
      </c>
      <c r="K2436" s="16">
        <f>IF(OR(D2436="",F2436=""),"",F2436*IFERROR(INDEX('Sản phẩm'!$D$5:$D$304,MATCH(D2436,'Sản phẩm'!$A$5:$A$304,0)),""))</f>
        <v/>
      </c>
      <c r="L2436" s="16">
        <f>IF(J2436="","",J2436-K2436)</f>
        <v/>
      </c>
      <c r="M2436" s="14">
        <f>IF(A2436="","",MONTH(A2436))</f>
        <v/>
      </c>
      <c r="N2436" s="14">
        <f>IF(A2436="","",YEAR(A2436))</f>
        <v/>
      </c>
    </row>
    <row r="2437">
      <c r="A2437" s="15" t="n"/>
      <c r="B2437" s="10" t="n"/>
      <c r="C2437" s="10" t="n"/>
      <c r="D2437" s="10" t="n"/>
      <c r="E2437" s="14">
        <f>IF(D2437="","",IFERROR(INDEX('Sản phẩm'!$B$5:$B$304,MATCH(D2437,'Sản phẩm'!$A$5:$A$304,0)),""))</f>
        <v/>
      </c>
      <c r="F2437" s="12" t="n"/>
      <c r="G2437" s="11" t="n"/>
      <c r="H2437" s="11" t="n"/>
      <c r="I2437" s="16">
        <f>IF(D2437="","",IF(G2437&lt;&gt;"",G2437,IFERROR(INDEX('Sản phẩm'!$E$5:$E$304,MATCH(D2437,'Sản phẩm'!$A$5:$A$304,0)),"")))</f>
        <v/>
      </c>
      <c r="J2437" s="16">
        <f>IF(OR(D2437="",F2437=""),"",F2437*I2437-N(H2437))</f>
        <v/>
      </c>
      <c r="K2437" s="16">
        <f>IF(OR(D2437="",F2437=""),"",F2437*IFERROR(INDEX('Sản phẩm'!$D$5:$D$304,MATCH(D2437,'Sản phẩm'!$A$5:$A$304,0)),""))</f>
        <v/>
      </c>
      <c r="L2437" s="16">
        <f>IF(J2437="","",J2437-K2437)</f>
        <v/>
      </c>
      <c r="M2437" s="14">
        <f>IF(A2437="","",MONTH(A2437))</f>
        <v/>
      </c>
      <c r="N2437" s="14">
        <f>IF(A2437="","",YEAR(A2437))</f>
        <v/>
      </c>
    </row>
    <row r="2438">
      <c r="A2438" s="15" t="n"/>
      <c r="B2438" s="10" t="n"/>
      <c r="C2438" s="10" t="n"/>
      <c r="D2438" s="10" t="n"/>
      <c r="E2438" s="14">
        <f>IF(D2438="","",IFERROR(INDEX('Sản phẩm'!$B$5:$B$304,MATCH(D2438,'Sản phẩm'!$A$5:$A$304,0)),""))</f>
        <v/>
      </c>
      <c r="F2438" s="12" t="n"/>
      <c r="G2438" s="11" t="n"/>
      <c r="H2438" s="11" t="n"/>
      <c r="I2438" s="16">
        <f>IF(D2438="","",IF(G2438&lt;&gt;"",G2438,IFERROR(INDEX('Sản phẩm'!$E$5:$E$304,MATCH(D2438,'Sản phẩm'!$A$5:$A$304,0)),"")))</f>
        <v/>
      </c>
      <c r="J2438" s="16">
        <f>IF(OR(D2438="",F2438=""),"",F2438*I2438-N(H2438))</f>
        <v/>
      </c>
      <c r="K2438" s="16">
        <f>IF(OR(D2438="",F2438=""),"",F2438*IFERROR(INDEX('Sản phẩm'!$D$5:$D$304,MATCH(D2438,'Sản phẩm'!$A$5:$A$304,0)),""))</f>
        <v/>
      </c>
      <c r="L2438" s="16">
        <f>IF(J2438="","",J2438-K2438)</f>
        <v/>
      </c>
      <c r="M2438" s="14">
        <f>IF(A2438="","",MONTH(A2438))</f>
        <v/>
      </c>
      <c r="N2438" s="14">
        <f>IF(A2438="","",YEAR(A2438))</f>
        <v/>
      </c>
    </row>
    <row r="2439">
      <c r="A2439" s="15" t="n"/>
      <c r="B2439" s="10" t="n"/>
      <c r="C2439" s="10" t="n"/>
      <c r="D2439" s="10" t="n"/>
      <c r="E2439" s="14">
        <f>IF(D2439="","",IFERROR(INDEX('Sản phẩm'!$B$5:$B$304,MATCH(D2439,'Sản phẩm'!$A$5:$A$304,0)),""))</f>
        <v/>
      </c>
      <c r="F2439" s="12" t="n"/>
      <c r="G2439" s="11" t="n"/>
      <c r="H2439" s="11" t="n"/>
      <c r="I2439" s="16">
        <f>IF(D2439="","",IF(G2439&lt;&gt;"",G2439,IFERROR(INDEX('Sản phẩm'!$E$5:$E$304,MATCH(D2439,'Sản phẩm'!$A$5:$A$304,0)),"")))</f>
        <v/>
      </c>
      <c r="J2439" s="16">
        <f>IF(OR(D2439="",F2439=""),"",F2439*I2439-N(H2439))</f>
        <v/>
      </c>
      <c r="K2439" s="16">
        <f>IF(OR(D2439="",F2439=""),"",F2439*IFERROR(INDEX('Sản phẩm'!$D$5:$D$304,MATCH(D2439,'Sản phẩm'!$A$5:$A$304,0)),""))</f>
        <v/>
      </c>
      <c r="L2439" s="16">
        <f>IF(J2439="","",J2439-K2439)</f>
        <v/>
      </c>
      <c r="M2439" s="14">
        <f>IF(A2439="","",MONTH(A2439))</f>
        <v/>
      </c>
      <c r="N2439" s="14">
        <f>IF(A2439="","",YEAR(A2439))</f>
        <v/>
      </c>
    </row>
    <row r="2440">
      <c r="A2440" s="15" t="n"/>
      <c r="B2440" s="10" t="n"/>
      <c r="C2440" s="10" t="n"/>
      <c r="D2440" s="10" t="n"/>
      <c r="E2440" s="14">
        <f>IF(D2440="","",IFERROR(INDEX('Sản phẩm'!$B$5:$B$304,MATCH(D2440,'Sản phẩm'!$A$5:$A$304,0)),""))</f>
        <v/>
      </c>
      <c r="F2440" s="12" t="n"/>
      <c r="G2440" s="11" t="n"/>
      <c r="H2440" s="11" t="n"/>
      <c r="I2440" s="16">
        <f>IF(D2440="","",IF(G2440&lt;&gt;"",G2440,IFERROR(INDEX('Sản phẩm'!$E$5:$E$304,MATCH(D2440,'Sản phẩm'!$A$5:$A$304,0)),"")))</f>
        <v/>
      </c>
      <c r="J2440" s="16">
        <f>IF(OR(D2440="",F2440=""),"",F2440*I2440-N(H2440))</f>
        <v/>
      </c>
      <c r="K2440" s="16">
        <f>IF(OR(D2440="",F2440=""),"",F2440*IFERROR(INDEX('Sản phẩm'!$D$5:$D$304,MATCH(D2440,'Sản phẩm'!$A$5:$A$304,0)),""))</f>
        <v/>
      </c>
      <c r="L2440" s="16">
        <f>IF(J2440="","",J2440-K2440)</f>
        <v/>
      </c>
      <c r="M2440" s="14">
        <f>IF(A2440="","",MONTH(A2440))</f>
        <v/>
      </c>
      <c r="N2440" s="14">
        <f>IF(A2440="","",YEAR(A2440))</f>
        <v/>
      </c>
    </row>
    <row r="2441">
      <c r="A2441" s="15" t="n"/>
      <c r="B2441" s="10" t="n"/>
      <c r="C2441" s="10" t="n"/>
      <c r="D2441" s="10" t="n"/>
      <c r="E2441" s="14">
        <f>IF(D2441="","",IFERROR(INDEX('Sản phẩm'!$B$5:$B$304,MATCH(D2441,'Sản phẩm'!$A$5:$A$304,0)),""))</f>
        <v/>
      </c>
      <c r="F2441" s="12" t="n"/>
      <c r="G2441" s="11" t="n"/>
      <c r="H2441" s="11" t="n"/>
      <c r="I2441" s="16">
        <f>IF(D2441="","",IF(G2441&lt;&gt;"",G2441,IFERROR(INDEX('Sản phẩm'!$E$5:$E$304,MATCH(D2441,'Sản phẩm'!$A$5:$A$304,0)),"")))</f>
        <v/>
      </c>
      <c r="J2441" s="16">
        <f>IF(OR(D2441="",F2441=""),"",F2441*I2441-N(H2441))</f>
        <v/>
      </c>
      <c r="K2441" s="16">
        <f>IF(OR(D2441="",F2441=""),"",F2441*IFERROR(INDEX('Sản phẩm'!$D$5:$D$304,MATCH(D2441,'Sản phẩm'!$A$5:$A$304,0)),""))</f>
        <v/>
      </c>
      <c r="L2441" s="16">
        <f>IF(J2441="","",J2441-K2441)</f>
        <v/>
      </c>
      <c r="M2441" s="14">
        <f>IF(A2441="","",MONTH(A2441))</f>
        <v/>
      </c>
      <c r="N2441" s="14">
        <f>IF(A2441="","",YEAR(A2441))</f>
        <v/>
      </c>
    </row>
    <row r="2442">
      <c r="A2442" s="15" t="n"/>
      <c r="B2442" s="10" t="n"/>
      <c r="C2442" s="10" t="n"/>
      <c r="D2442" s="10" t="n"/>
      <c r="E2442" s="14">
        <f>IF(D2442="","",IFERROR(INDEX('Sản phẩm'!$B$5:$B$304,MATCH(D2442,'Sản phẩm'!$A$5:$A$304,0)),""))</f>
        <v/>
      </c>
      <c r="F2442" s="12" t="n"/>
      <c r="G2442" s="11" t="n"/>
      <c r="H2442" s="11" t="n"/>
      <c r="I2442" s="16">
        <f>IF(D2442="","",IF(G2442&lt;&gt;"",G2442,IFERROR(INDEX('Sản phẩm'!$E$5:$E$304,MATCH(D2442,'Sản phẩm'!$A$5:$A$304,0)),"")))</f>
        <v/>
      </c>
      <c r="J2442" s="16">
        <f>IF(OR(D2442="",F2442=""),"",F2442*I2442-N(H2442))</f>
        <v/>
      </c>
      <c r="K2442" s="16">
        <f>IF(OR(D2442="",F2442=""),"",F2442*IFERROR(INDEX('Sản phẩm'!$D$5:$D$304,MATCH(D2442,'Sản phẩm'!$A$5:$A$304,0)),""))</f>
        <v/>
      </c>
      <c r="L2442" s="16">
        <f>IF(J2442="","",J2442-K2442)</f>
        <v/>
      </c>
      <c r="M2442" s="14">
        <f>IF(A2442="","",MONTH(A2442))</f>
        <v/>
      </c>
      <c r="N2442" s="14">
        <f>IF(A2442="","",YEAR(A2442))</f>
        <v/>
      </c>
    </row>
    <row r="2443">
      <c r="A2443" s="15" t="n"/>
      <c r="B2443" s="10" t="n"/>
      <c r="C2443" s="10" t="n"/>
      <c r="D2443" s="10" t="n"/>
      <c r="E2443" s="14">
        <f>IF(D2443="","",IFERROR(INDEX('Sản phẩm'!$B$5:$B$304,MATCH(D2443,'Sản phẩm'!$A$5:$A$304,0)),""))</f>
        <v/>
      </c>
      <c r="F2443" s="12" t="n"/>
      <c r="G2443" s="11" t="n"/>
      <c r="H2443" s="11" t="n"/>
      <c r="I2443" s="16">
        <f>IF(D2443="","",IF(G2443&lt;&gt;"",G2443,IFERROR(INDEX('Sản phẩm'!$E$5:$E$304,MATCH(D2443,'Sản phẩm'!$A$5:$A$304,0)),"")))</f>
        <v/>
      </c>
      <c r="J2443" s="16">
        <f>IF(OR(D2443="",F2443=""),"",F2443*I2443-N(H2443))</f>
        <v/>
      </c>
      <c r="K2443" s="16">
        <f>IF(OR(D2443="",F2443=""),"",F2443*IFERROR(INDEX('Sản phẩm'!$D$5:$D$304,MATCH(D2443,'Sản phẩm'!$A$5:$A$304,0)),""))</f>
        <v/>
      </c>
      <c r="L2443" s="16">
        <f>IF(J2443="","",J2443-K2443)</f>
        <v/>
      </c>
      <c r="M2443" s="14">
        <f>IF(A2443="","",MONTH(A2443))</f>
        <v/>
      </c>
      <c r="N2443" s="14">
        <f>IF(A2443="","",YEAR(A2443))</f>
        <v/>
      </c>
    </row>
    <row r="2444">
      <c r="A2444" s="15" t="n"/>
      <c r="B2444" s="10" t="n"/>
      <c r="C2444" s="10" t="n"/>
      <c r="D2444" s="10" t="n"/>
      <c r="E2444" s="14">
        <f>IF(D2444="","",IFERROR(INDEX('Sản phẩm'!$B$5:$B$304,MATCH(D2444,'Sản phẩm'!$A$5:$A$304,0)),""))</f>
        <v/>
      </c>
      <c r="F2444" s="12" t="n"/>
      <c r="G2444" s="11" t="n"/>
      <c r="H2444" s="11" t="n"/>
      <c r="I2444" s="16">
        <f>IF(D2444="","",IF(G2444&lt;&gt;"",G2444,IFERROR(INDEX('Sản phẩm'!$E$5:$E$304,MATCH(D2444,'Sản phẩm'!$A$5:$A$304,0)),"")))</f>
        <v/>
      </c>
      <c r="J2444" s="16">
        <f>IF(OR(D2444="",F2444=""),"",F2444*I2444-N(H2444))</f>
        <v/>
      </c>
      <c r="K2444" s="16">
        <f>IF(OR(D2444="",F2444=""),"",F2444*IFERROR(INDEX('Sản phẩm'!$D$5:$D$304,MATCH(D2444,'Sản phẩm'!$A$5:$A$304,0)),""))</f>
        <v/>
      </c>
      <c r="L2444" s="16">
        <f>IF(J2444="","",J2444-K2444)</f>
        <v/>
      </c>
      <c r="M2444" s="14">
        <f>IF(A2444="","",MONTH(A2444))</f>
        <v/>
      </c>
      <c r="N2444" s="14">
        <f>IF(A2444="","",YEAR(A2444))</f>
        <v/>
      </c>
    </row>
    <row r="2445">
      <c r="A2445" s="15" t="n"/>
      <c r="B2445" s="10" t="n"/>
      <c r="C2445" s="10" t="n"/>
      <c r="D2445" s="10" t="n"/>
      <c r="E2445" s="14">
        <f>IF(D2445="","",IFERROR(INDEX('Sản phẩm'!$B$5:$B$304,MATCH(D2445,'Sản phẩm'!$A$5:$A$304,0)),""))</f>
        <v/>
      </c>
      <c r="F2445" s="12" t="n"/>
      <c r="G2445" s="11" t="n"/>
      <c r="H2445" s="11" t="n"/>
      <c r="I2445" s="16">
        <f>IF(D2445="","",IF(G2445&lt;&gt;"",G2445,IFERROR(INDEX('Sản phẩm'!$E$5:$E$304,MATCH(D2445,'Sản phẩm'!$A$5:$A$304,0)),"")))</f>
        <v/>
      </c>
      <c r="J2445" s="16">
        <f>IF(OR(D2445="",F2445=""),"",F2445*I2445-N(H2445))</f>
        <v/>
      </c>
      <c r="K2445" s="16">
        <f>IF(OR(D2445="",F2445=""),"",F2445*IFERROR(INDEX('Sản phẩm'!$D$5:$D$304,MATCH(D2445,'Sản phẩm'!$A$5:$A$304,0)),""))</f>
        <v/>
      </c>
      <c r="L2445" s="16">
        <f>IF(J2445="","",J2445-K2445)</f>
        <v/>
      </c>
      <c r="M2445" s="14">
        <f>IF(A2445="","",MONTH(A2445))</f>
        <v/>
      </c>
      <c r="N2445" s="14">
        <f>IF(A2445="","",YEAR(A2445))</f>
        <v/>
      </c>
    </row>
    <row r="2446">
      <c r="A2446" s="15" t="n"/>
      <c r="B2446" s="10" t="n"/>
      <c r="C2446" s="10" t="n"/>
      <c r="D2446" s="10" t="n"/>
      <c r="E2446" s="14">
        <f>IF(D2446="","",IFERROR(INDEX('Sản phẩm'!$B$5:$B$304,MATCH(D2446,'Sản phẩm'!$A$5:$A$304,0)),""))</f>
        <v/>
      </c>
      <c r="F2446" s="12" t="n"/>
      <c r="G2446" s="11" t="n"/>
      <c r="H2446" s="11" t="n"/>
      <c r="I2446" s="16">
        <f>IF(D2446="","",IF(G2446&lt;&gt;"",G2446,IFERROR(INDEX('Sản phẩm'!$E$5:$E$304,MATCH(D2446,'Sản phẩm'!$A$5:$A$304,0)),"")))</f>
        <v/>
      </c>
      <c r="J2446" s="16">
        <f>IF(OR(D2446="",F2446=""),"",F2446*I2446-N(H2446))</f>
        <v/>
      </c>
      <c r="K2446" s="16">
        <f>IF(OR(D2446="",F2446=""),"",F2446*IFERROR(INDEX('Sản phẩm'!$D$5:$D$304,MATCH(D2446,'Sản phẩm'!$A$5:$A$304,0)),""))</f>
        <v/>
      </c>
      <c r="L2446" s="16">
        <f>IF(J2446="","",J2446-K2446)</f>
        <v/>
      </c>
      <c r="M2446" s="14">
        <f>IF(A2446="","",MONTH(A2446))</f>
        <v/>
      </c>
      <c r="N2446" s="14">
        <f>IF(A2446="","",YEAR(A2446))</f>
        <v/>
      </c>
    </row>
    <row r="2447">
      <c r="A2447" s="15" t="n"/>
      <c r="B2447" s="10" t="n"/>
      <c r="C2447" s="10" t="n"/>
      <c r="D2447" s="10" t="n"/>
      <c r="E2447" s="14">
        <f>IF(D2447="","",IFERROR(INDEX('Sản phẩm'!$B$5:$B$304,MATCH(D2447,'Sản phẩm'!$A$5:$A$304,0)),""))</f>
        <v/>
      </c>
      <c r="F2447" s="12" t="n"/>
      <c r="G2447" s="11" t="n"/>
      <c r="H2447" s="11" t="n"/>
      <c r="I2447" s="16">
        <f>IF(D2447="","",IF(G2447&lt;&gt;"",G2447,IFERROR(INDEX('Sản phẩm'!$E$5:$E$304,MATCH(D2447,'Sản phẩm'!$A$5:$A$304,0)),"")))</f>
        <v/>
      </c>
      <c r="J2447" s="16">
        <f>IF(OR(D2447="",F2447=""),"",F2447*I2447-N(H2447))</f>
        <v/>
      </c>
      <c r="K2447" s="16">
        <f>IF(OR(D2447="",F2447=""),"",F2447*IFERROR(INDEX('Sản phẩm'!$D$5:$D$304,MATCH(D2447,'Sản phẩm'!$A$5:$A$304,0)),""))</f>
        <v/>
      </c>
      <c r="L2447" s="16">
        <f>IF(J2447="","",J2447-K2447)</f>
        <v/>
      </c>
      <c r="M2447" s="14">
        <f>IF(A2447="","",MONTH(A2447))</f>
        <v/>
      </c>
      <c r="N2447" s="14">
        <f>IF(A2447="","",YEAR(A2447))</f>
        <v/>
      </c>
    </row>
    <row r="2448">
      <c r="A2448" s="15" t="n"/>
      <c r="B2448" s="10" t="n"/>
      <c r="C2448" s="10" t="n"/>
      <c r="D2448" s="10" t="n"/>
      <c r="E2448" s="14">
        <f>IF(D2448="","",IFERROR(INDEX('Sản phẩm'!$B$5:$B$304,MATCH(D2448,'Sản phẩm'!$A$5:$A$304,0)),""))</f>
        <v/>
      </c>
      <c r="F2448" s="12" t="n"/>
      <c r="G2448" s="11" t="n"/>
      <c r="H2448" s="11" t="n"/>
      <c r="I2448" s="16">
        <f>IF(D2448="","",IF(G2448&lt;&gt;"",G2448,IFERROR(INDEX('Sản phẩm'!$E$5:$E$304,MATCH(D2448,'Sản phẩm'!$A$5:$A$304,0)),"")))</f>
        <v/>
      </c>
      <c r="J2448" s="16">
        <f>IF(OR(D2448="",F2448=""),"",F2448*I2448-N(H2448))</f>
        <v/>
      </c>
      <c r="K2448" s="16">
        <f>IF(OR(D2448="",F2448=""),"",F2448*IFERROR(INDEX('Sản phẩm'!$D$5:$D$304,MATCH(D2448,'Sản phẩm'!$A$5:$A$304,0)),""))</f>
        <v/>
      </c>
      <c r="L2448" s="16">
        <f>IF(J2448="","",J2448-K2448)</f>
        <v/>
      </c>
      <c r="M2448" s="14">
        <f>IF(A2448="","",MONTH(A2448))</f>
        <v/>
      </c>
      <c r="N2448" s="14">
        <f>IF(A2448="","",YEAR(A2448))</f>
        <v/>
      </c>
    </row>
    <row r="2449">
      <c r="A2449" s="15" t="n"/>
      <c r="B2449" s="10" t="n"/>
      <c r="C2449" s="10" t="n"/>
      <c r="D2449" s="10" t="n"/>
      <c r="E2449" s="14">
        <f>IF(D2449="","",IFERROR(INDEX('Sản phẩm'!$B$5:$B$304,MATCH(D2449,'Sản phẩm'!$A$5:$A$304,0)),""))</f>
        <v/>
      </c>
      <c r="F2449" s="12" t="n"/>
      <c r="G2449" s="11" t="n"/>
      <c r="H2449" s="11" t="n"/>
      <c r="I2449" s="16">
        <f>IF(D2449="","",IF(G2449&lt;&gt;"",G2449,IFERROR(INDEX('Sản phẩm'!$E$5:$E$304,MATCH(D2449,'Sản phẩm'!$A$5:$A$304,0)),"")))</f>
        <v/>
      </c>
      <c r="J2449" s="16">
        <f>IF(OR(D2449="",F2449=""),"",F2449*I2449-N(H2449))</f>
        <v/>
      </c>
      <c r="K2449" s="16">
        <f>IF(OR(D2449="",F2449=""),"",F2449*IFERROR(INDEX('Sản phẩm'!$D$5:$D$304,MATCH(D2449,'Sản phẩm'!$A$5:$A$304,0)),""))</f>
        <v/>
      </c>
      <c r="L2449" s="16">
        <f>IF(J2449="","",J2449-K2449)</f>
        <v/>
      </c>
      <c r="M2449" s="14">
        <f>IF(A2449="","",MONTH(A2449))</f>
        <v/>
      </c>
      <c r="N2449" s="14">
        <f>IF(A2449="","",YEAR(A2449))</f>
        <v/>
      </c>
    </row>
    <row r="2450">
      <c r="A2450" s="15" t="n"/>
      <c r="B2450" s="10" t="n"/>
      <c r="C2450" s="10" t="n"/>
      <c r="D2450" s="10" t="n"/>
      <c r="E2450" s="14">
        <f>IF(D2450="","",IFERROR(INDEX('Sản phẩm'!$B$5:$B$304,MATCH(D2450,'Sản phẩm'!$A$5:$A$304,0)),""))</f>
        <v/>
      </c>
      <c r="F2450" s="12" t="n"/>
      <c r="G2450" s="11" t="n"/>
      <c r="H2450" s="11" t="n"/>
      <c r="I2450" s="16">
        <f>IF(D2450="","",IF(G2450&lt;&gt;"",G2450,IFERROR(INDEX('Sản phẩm'!$E$5:$E$304,MATCH(D2450,'Sản phẩm'!$A$5:$A$304,0)),"")))</f>
        <v/>
      </c>
      <c r="J2450" s="16">
        <f>IF(OR(D2450="",F2450=""),"",F2450*I2450-N(H2450))</f>
        <v/>
      </c>
      <c r="K2450" s="16">
        <f>IF(OR(D2450="",F2450=""),"",F2450*IFERROR(INDEX('Sản phẩm'!$D$5:$D$304,MATCH(D2450,'Sản phẩm'!$A$5:$A$304,0)),""))</f>
        <v/>
      </c>
      <c r="L2450" s="16">
        <f>IF(J2450="","",J2450-K2450)</f>
        <v/>
      </c>
      <c r="M2450" s="14">
        <f>IF(A2450="","",MONTH(A2450))</f>
        <v/>
      </c>
      <c r="N2450" s="14">
        <f>IF(A2450="","",YEAR(A2450))</f>
        <v/>
      </c>
    </row>
    <row r="2451">
      <c r="A2451" s="15" t="n"/>
      <c r="B2451" s="10" t="n"/>
      <c r="C2451" s="10" t="n"/>
      <c r="D2451" s="10" t="n"/>
      <c r="E2451" s="14">
        <f>IF(D2451="","",IFERROR(INDEX('Sản phẩm'!$B$5:$B$304,MATCH(D2451,'Sản phẩm'!$A$5:$A$304,0)),""))</f>
        <v/>
      </c>
      <c r="F2451" s="12" t="n"/>
      <c r="G2451" s="11" t="n"/>
      <c r="H2451" s="11" t="n"/>
      <c r="I2451" s="16">
        <f>IF(D2451="","",IF(G2451&lt;&gt;"",G2451,IFERROR(INDEX('Sản phẩm'!$E$5:$E$304,MATCH(D2451,'Sản phẩm'!$A$5:$A$304,0)),"")))</f>
        <v/>
      </c>
      <c r="J2451" s="16">
        <f>IF(OR(D2451="",F2451=""),"",F2451*I2451-N(H2451))</f>
        <v/>
      </c>
      <c r="K2451" s="16">
        <f>IF(OR(D2451="",F2451=""),"",F2451*IFERROR(INDEX('Sản phẩm'!$D$5:$D$304,MATCH(D2451,'Sản phẩm'!$A$5:$A$304,0)),""))</f>
        <v/>
      </c>
      <c r="L2451" s="16">
        <f>IF(J2451="","",J2451-K2451)</f>
        <v/>
      </c>
      <c r="M2451" s="14">
        <f>IF(A2451="","",MONTH(A2451))</f>
        <v/>
      </c>
      <c r="N2451" s="14">
        <f>IF(A2451="","",YEAR(A2451))</f>
        <v/>
      </c>
    </row>
    <row r="2452">
      <c r="A2452" s="15" t="n"/>
      <c r="B2452" s="10" t="n"/>
      <c r="C2452" s="10" t="n"/>
      <c r="D2452" s="10" t="n"/>
      <c r="E2452" s="14">
        <f>IF(D2452="","",IFERROR(INDEX('Sản phẩm'!$B$5:$B$304,MATCH(D2452,'Sản phẩm'!$A$5:$A$304,0)),""))</f>
        <v/>
      </c>
      <c r="F2452" s="12" t="n"/>
      <c r="G2452" s="11" t="n"/>
      <c r="H2452" s="11" t="n"/>
      <c r="I2452" s="16">
        <f>IF(D2452="","",IF(G2452&lt;&gt;"",G2452,IFERROR(INDEX('Sản phẩm'!$E$5:$E$304,MATCH(D2452,'Sản phẩm'!$A$5:$A$304,0)),"")))</f>
        <v/>
      </c>
      <c r="J2452" s="16">
        <f>IF(OR(D2452="",F2452=""),"",F2452*I2452-N(H2452))</f>
        <v/>
      </c>
      <c r="K2452" s="16">
        <f>IF(OR(D2452="",F2452=""),"",F2452*IFERROR(INDEX('Sản phẩm'!$D$5:$D$304,MATCH(D2452,'Sản phẩm'!$A$5:$A$304,0)),""))</f>
        <v/>
      </c>
      <c r="L2452" s="16">
        <f>IF(J2452="","",J2452-K2452)</f>
        <v/>
      </c>
      <c r="M2452" s="14">
        <f>IF(A2452="","",MONTH(A2452))</f>
        <v/>
      </c>
      <c r="N2452" s="14">
        <f>IF(A2452="","",YEAR(A2452))</f>
        <v/>
      </c>
    </row>
    <row r="2453">
      <c r="A2453" s="15" t="n"/>
      <c r="B2453" s="10" t="n"/>
      <c r="C2453" s="10" t="n"/>
      <c r="D2453" s="10" t="n"/>
      <c r="E2453" s="14">
        <f>IF(D2453="","",IFERROR(INDEX('Sản phẩm'!$B$5:$B$304,MATCH(D2453,'Sản phẩm'!$A$5:$A$304,0)),""))</f>
        <v/>
      </c>
      <c r="F2453" s="12" t="n"/>
      <c r="G2453" s="11" t="n"/>
      <c r="H2453" s="11" t="n"/>
      <c r="I2453" s="16">
        <f>IF(D2453="","",IF(G2453&lt;&gt;"",G2453,IFERROR(INDEX('Sản phẩm'!$E$5:$E$304,MATCH(D2453,'Sản phẩm'!$A$5:$A$304,0)),"")))</f>
        <v/>
      </c>
      <c r="J2453" s="16">
        <f>IF(OR(D2453="",F2453=""),"",F2453*I2453-N(H2453))</f>
        <v/>
      </c>
      <c r="K2453" s="16">
        <f>IF(OR(D2453="",F2453=""),"",F2453*IFERROR(INDEX('Sản phẩm'!$D$5:$D$304,MATCH(D2453,'Sản phẩm'!$A$5:$A$304,0)),""))</f>
        <v/>
      </c>
      <c r="L2453" s="16">
        <f>IF(J2453="","",J2453-K2453)</f>
        <v/>
      </c>
      <c r="M2453" s="14">
        <f>IF(A2453="","",MONTH(A2453))</f>
        <v/>
      </c>
      <c r="N2453" s="14">
        <f>IF(A2453="","",YEAR(A2453))</f>
        <v/>
      </c>
    </row>
    <row r="2454">
      <c r="A2454" s="15" t="n"/>
      <c r="B2454" s="10" t="n"/>
      <c r="C2454" s="10" t="n"/>
      <c r="D2454" s="10" t="n"/>
      <c r="E2454" s="14">
        <f>IF(D2454="","",IFERROR(INDEX('Sản phẩm'!$B$5:$B$304,MATCH(D2454,'Sản phẩm'!$A$5:$A$304,0)),""))</f>
        <v/>
      </c>
      <c r="F2454" s="12" t="n"/>
      <c r="G2454" s="11" t="n"/>
      <c r="H2454" s="11" t="n"/>
      <c r="I2454" s="16">
        <f>IF(D2454="","",IF(G2454&lt;&gt;"",G2454,IFERROR(INDEX('Sản phẩm'!$E$5:$E$304,MATCH(D2454,'Sản phẩm'!$A$5:$A$304,0)),"")))</f>
        <v/>
      </c>
      <c r="J2454" s="16">
        <f>IF(OR(D2454="",F2454=""),"",F2454*I2454-N(H2454))</f>
        <v/>
      </c>
      <c r="K2454" s="16">
        <f>IF(OR(D2454="",F2454=""),"",F2454*IFERROR(INDEX('Sản phẩm'!$D$5:$D$304,MATCH(D2454,'Sản phẩm'!$A$5:$A$304,0)),""))</f>
        <v/>
      </c>
      <c r="L2454" s="16">
        <f>IF(J2454="","",J2454-K2454)</f>
        <v/>
      </c>
      <c r="M2454" s="14">
        <f>IF(A2454="","",MONTH(A2454))</f>
        <v/>
      </c>
      <c r="N2454" s="14">
        <f>IF(A2454="","",YEAR(A2454))</f>
        <v/>
      </c>
    </row>
    <row r="2455">
      <c r="A2455" s="15" t="n"/>
      <c r="B2455" s="10" t="n"/>
      <c r="C2455" s="10" t="n"/>
      <c r="D2455" s="10" t="n"/>
      <c r="E2455" s="14">
        <f>IF(D2455="","",IFERROR(INDEX('Sản phẩm'!$B$5:$B$304,MATCH(D2455,'Sản phẩm'!$A$5:$A$304,0)),""))</f>
        <v/>
      </c>
      <c r="F2455" s="12" t="n"/>
      <c r="G2455" s="11" t="n"/>
      <c r="H2455" s="11" t="n"/>
      <c r="I2455" s="16">
        <f>IF(D2455="","",IF(G2455&lt;&gt;"",G2455,IFERROR(INDEX('Sản phẩm'!$E$5:$E$304,MATCH(D2455,'Sản phẩm'!$A$5:$A$304,0)),"")))</f>
        <v/>
      </c>
      <c r="J2455" s="16">
        <f>IF(OR(D2455="",F2455=""),"",F2455*I2455-N(H2455))</f>
        <v/>
      </c>
      <c r="K2455" s="16">
        <f>IF(OR(D2455="",F2455=""),"",F2455*IFERROR(INDEX('Sản phẩm'!$D$5:$D$304,MATCH(D2455,'Sản phẩm'!$A$5:$A$304,0)),""))</f>
        <v/>
      </c>
      <c r="L2455" s="16">
        <f>IF(J2455="","",J2455-K2455)</f>
        <v/>
      </c>
      <c r="M2455" s="14">
        <f>IF(A2455="","",MONTH(A2455))</f>
        <v/>
      </c>
      <c r="N2455" s="14">
        <f>IF(A2455="","",YEAR(A2455))</f>
        <v/>
      </c>
    </row>
    <row r="2456">
      <c r="A2456" s="15" t="n"/>
      <c r="B2456" s="10" t="n"/>
      <c r="C2456" s="10" t="n"/>
      <c r="D2456" s="10" t="n"/>
      <c r="E2456" s="14">
        <f>IF(D2456="","",IFERROR(INDEX('Sản phẩm'!$B$5:$B$304,MATCH(D2456,'Sản phẩm'!$A$5:$A$304,0)),""))</f>
        <v/>
      </c>
      <c r="F2456" s="12" t="n"/>
      <c r="G2456" s="11" t="n"/>
      <c r="H2456" s="11" t="n"/>
      <c r="I2456" s="16">
        <f>IF(D2456="","",IF(G2456&lt;&gt;"",G2456,IFERROR(INDEX('Sản phẩm'!$E$5:$E$304,MATCH(D2456,'Sản phẩm'!$A$5:$A$304,0)),"")))</f>
        <v/>
      </c>
      <c r="J2456" s="16">
        <f>IF(OR(D2456="",F2456=""),"",F2456*I2456-N(H2456))</f>
        <v/>
      </c>
      <c r="K2456" s="16">
        <f>IF(OR(D2456="",F2456=""),"",F2456*IFERROR(INDEX('Sản phẩm'!$D$5:$D$304,MATCH(D2456,'Sản phẩm'!$A$5:$A$304,0)),""))</f>
        <v/>
      </c>
      <c r="L2456" s="16">
        <f>IF(J2456="","",J2456-K2456)</f>
        <v/>
      </c>
      <c r="M2456" s="14">
        <f>IF(A2456="","",MONTH(A2456))</f>
        <v/>
      </c>
      <c r="N2456" s="14">
        <f>IF(A2456="","",YEAR(A2456))</f>
        <v/>
      </c>
    </row>
    <row r="2457">
      <c r="A2457" s="15" t="n"/>
      <c r="B2457" s="10" t="n"/>
      <c r="C2457" s="10" t="n"/>
      <c r="D2457" s="10" t="n"/>
      <c r="E2457" s="14">
        <f>IF(D2457="","",IFERROR(INDEX('Sản phẩm'!$B$5:$B$304,MATCH(D2457,'Sản phẩm'!$A$5:$A$304,0)),""))</f>
        <v/>
      </c>
      <c r="F2457" s="12" t="n"/>
      <c r="G2457" s="11" t="n"/>
      <c r="H2457" s="11" t="n"/>
      <c r="I2457" s="16">
        <f>IF(D2457="","",IF(G2457&lt;&gt;"",G2457,IFERROR(INDEX('Sản phẩm'!$E$5:$E$304,MATCH(D2457,'Sản phẩm'!$A$5:$A$304,0)),"")))</f>
        <v/>
      </c>
      <c r="J2457" s="16">
        <f>IF(OR(D2457="",F2457=""),"",F2457*I2457-N(H2457))</f>
        <v/>
      </c>
      <c r="K2457" s="16">
        <f>IF(OR(D2457="",F2457=""),"",F2457*IFERROR(INDEX('Sản phẩm'!$D$5:$D$304,MATCH(D2457,'Sản phẩm'!$A$5:$A$304,0)),""))</f>
        <v/>
      </c>
      <c r="L2457" s="16">
        <f>IF(J2457="","",J2457-K2457)</f>
        <v/>
      </c>
      <c r="M2457" s="14">
        <f>IF(A2457="","",MONTH(A2457))</f>
        <v/>
      </c>
      <c r="N2457" s="14">
        <f>IF(A2457="","",YEAR(A2457))</f>
        <v/>
      </c>
    </row>
    <row r="2458">
      <c r="A2458" s="15" t="n"/>
      <c r="B2458" s="10" t="n"/>
      <c r="C2458" s="10" t="n"/>
      <c r="D2458" s="10" t="n"/>
      <c r="E2458" s="14">
        <f>IF(D2458="","",IFERROR(INDEX('Sản phẩm'!$B$5:$B$304,MATCH(D2458,'Sản phẩm'!$A$5:$A$304,0)),""))</f>
        <v/>
      </c>
      <c r="F2458" s="12" t="n"/>
      <c r="G2458" s="11" t="n"/>
      <c r="H2458" s="11" t="n"/>
      <c r="I2458" s="16">
        <f>IF(D2458="","",IF(G2458&lt;&gt;"",G2458,IFERROR(INDEX('Sản phẩm'!$E$5:$E$304,MATCH(D2458,'Sản phẩm'!$A$5:$A$304,0)),"")))</f>
        <v/>
      </c>
      <c r="J2458" s="16">
        <f>IF(OR(D2458="",F2458=""),"",F2458*I2458-N(H2458))</f>
        <v/>
      </c>
      <c r="K2458" s="16">
        <f>IF(OR(D2458="",F2458=""),"",F2458*IFERROR(INDEX('Sản phẩm'!$D$5:$D$304,MATCH(D2458,'Sản phẩm'!$A$5:$A$304,0)),""))</f>
        <v/>
      </c>
      <c r="L2458" s="16">
        <f>IF(J2458="","",J2458-K2458)</f>
        <v/>
      </c>
      <c r="M2458" s="14">
        <f>IF(A2458="","",MONTH(A2458))</f>
        <v/>
      </c>
      <c r="N2458" s="14">
        <f>IF(A2458="","",YEAR(A2458))</f>
        <v/>
      </c>
    </row>
    <row r="2459">
      <c r="A2459" s="15" t="n"/>
      <c r="B2459" s="10" t="n"/>
      <c r="C2459" s="10" t="n"/>
      <c r="D2459" s="10" t="n"/>
      <c r="E2459" s="14">
        <f>IF(D2459="","",IFERROR(INDEX('Sản phẩm'!$B$5:$B$304,MATCH(D2459,'Sản phẩm'!$A$5:$A$304,0)),""))</f>
        <v/>
      </c>
      <c r="F2459" s="12" t="n"/>
      <c r="G2459" s="11" t="n"/>
      <c r="H2459" s="11" t="n"/>
      <c r="I2459" s="16">
        <f>IF(D2459="","",IF(G2459&lt;&gt;"",G2459,IFERROR(INDEX('Sản phẩm'!$E$5:$E$304,MATCH(D2459,'Sản phẩm'!$A$5:$A$304,0)),"")))</f>
        <v/>
      </c>
      <c r="J2459" s="16">
        <f>IF(OR(D2459="",F2459=""),"",F2459*I2459-N(H2459))</f>
        <v/>
      </c>
      <c r="K2459" s="16">
        <f>IF(OR(D2459="",F2459=""),"",F2459*IFERROR(INDEX('Sản phẩm'!$D$5:$D$304,MATCH(D2459,'Sản phẩm'!$A$5:$A$304,0)),""))</f>
        <v/>
      </c>
      <c r="L2459" s="16">
        <f>IF(J2459="","",J2459-K2459)</f>
        <v/>
      </c>
      <c r="M2459" s="14">
        <f>IF(A2459="","",MONTH(A2459))</f>
        <v/>
      </c>
      <c r="N2459" s="14">
        <f>IF(A2459="","",YEAR(A2459))</f>
        <v/>
      </c>
    </row>
    <row r="2460">
      <c r="A2460" s="15" t="n"/>
      <c r="B2460" s="10" t="n"/>
      <c r="C2460" s="10" t="n"/>
      <c r="D2460" s="10" t="n"/>
      <c r="E2460" s="14">
        <f>IF(D2460="","",IFERROR(INDEX('Sản phẩm'!$B$5:$B$304,MATCH(D2460,'Sản phẩm'!$A$5:$A$304,0)),""))</f>
        <v/>
      </c>
      <c r="F2460" s="12" t="n"/>
      <c r="G2460" s="11" t="n"/>
      <c r="H2460" s="11" t="n"/>
      <c r="I2460" s="16">
        <f>IF(D2460="","",IF(G2460&lt;&gt;"",G2460,IFERROR(INDEX('Sản phẩm'!$E$5:$E$304,MATCH(D2460,'Sản phẩm'!$A$5:$A$304,0)),"")))</f>
        <v/>
      </c>
      <c r="J2460" s="16">
        <f>IF(OR(D2460="",F2460=""),"",F2460*I2460-N(H2460))</f>
        <v/>
      </c>
      <c r="K2460" s="16">
        <f>IF(OR(D2460="",F2460=""),"",F2460*IFERROR(INDEX('Sản phẩm'!$D$5:$D$304,MATCH(D2460,'Sản phẩm'!$A$5:$A$304,0)),""))</f>
        <v/>
      </c>
      <c r="L2460" s="16">
        <f>IF(J2460="","",J2460-K2460)</f>
        <v/>
      </c>
      <c r="M2460" s="14">
        <f>IF(A2460="","",MONTH(A2460))</f>
        <v/>
      </c>
      <c r="N2460" s="14">
        <f>IF(A2460="","",YEAR(A2460))</f>
        <v/>
      </c>
    </row>
    <row r="2461">
      <c r="A2461" s="15" t="n"/>
      <c r="B2461" s="10" t="n"/>
      <c r="C2461" s="10" t="n"/>
      <c r="D2461" s="10" t="n"/>
      <c r="E2461" s="14">
        <f>IF(D2461="","",IFERROR(INDEX('Sản phẩm'!$B$5:$B$304,MATCH(D2461,'Sản phẩm'!$A$5:$A$304,0)),""))</f>
        <v/>
      </c>
      <c r="F2461" s="12" t="n"/>
      <c r="G2461" s="11" t="n"/>
      <c r="H2461" s="11" t="n"/>
      <c r="I2461" s="16">
        <f>IF(D2461="","",IF(G2461&lt;&gt;"",G2461,IFERROR(INDEX('Sản phẩm'!$E$5:$E$304,MATCH(D2461,'Sản phẩm'!$A$5:$A$304,0)),"")))</f>
        <v/>
      </c>
      <c r="J2461" s="16">
        <f>IF(OR(D2461="",F2461=""),"",F2461*I2461-N(H2461))</f>
        <v/>
      </c>
      <c r="K2461" s="16">
        <f>IF(OR(D2461="",F2461=""),"",F2461*IFERROR(INDEX('Sản phẩm'!$D$5:$D$304,MATCH(D2461,'Sản phẩm'!$A$5:$A$304,0)),""))</f>
        <v/>
      </c>
      <c r="L2461" s="16">
        <f>IF(J2461="","",J2461-K2461)</f>
        <v/>
      </c>
      <c r="M2461" s="14">
        <f>IF(A2461="","",MONTH(A2461))</f>
        <v/>
      </c>
      <c r="N2461" s="14">
        <f>IF(A2461="","",YEAR(A2461))</f>
        <v/>
      </c>
    </row>
    <row r="2462">
      <c r="A2462" s="15" t="n"/>
      <c r="B2462" s="10" t="n"/>
      <c r="C2462" s="10" t="n"/>
      <c r="D2462" s="10" t="n"/>
      <c r="E2462" s="14">
        <f>IF(D2462="","",IFERROR(INDEX('Sản phẩm'!$B$5:$B$304,MATCH(D2462,'Sản phẩm'!$A$5:$A$304,0)),""))</f>
        <v/>
      </c>
      <c r="F2462" s="12" t="n"/>
      <c r="G2462" s="11" t="n"/>
      <c r="H2462" s="11" t="n"/>
      <c r="I2462" s="16">
        <f>IF(D2462="","",IF(G2462&lt;&gt;"",G2462,IFERROR(INDEX('Sản phẩm'!$E$5:$E$304,MATCH(D2462,'Sản phẩm'!$A$5:$A$304,0)),"")))</f>
        <v/>
      </c>
      <c r="J2462" s="16">
        <f>IF(OR(D2462="",F2462=""),"",F2462*I2462-N(H2462))</f>
        <v/>
      </c>
      <c r="K2462" s="16">
        <f>IF(OR(D2462="",F2462=""),"",F2462*IFERROR(INDEX('Sản phẩm'!$D$5:$D$304,MATCH(D2462,'Sản phẩm'!$A$5:$A$304,0)),""))</f>
        <v/>
      </c>
      <c r="L2462" s="16">
        <f>IF(J2462="","",J2462-K2462)</f>
        <v/>
      </c>
      <c r="M2462" s="14">
        <f>IF(A2462="","",MONTH(A2462))</f>
        <v/>
      </c>
      <c r="N2462" s="14">
        <f>IF(A2462="","",YEAR(A2462))</f>
        <v/>
      </c>
    </row>
    <row r="2463">
      <c r="A2463" s="15" t="n"/>
      <c r="B2463" s="10" t="n"/>
      <c r="C2463" s="10" t="n"/>
      <c r="D2463" s="10" t="n"/>
      <c r="E2463" s="14">
        <f>IF(D2463="","",IFERROR(INDEX('Sản phẩm'!$B$5:$B$304,MATCH(D2463,'Sản phẩm'!$A$5:$A$304,0)),""))</f>
        <v/>
      </c>
      <c r="F2463" s="12" t="n"/>
      <c r="G2463" s="11" t="n"/>
      <c r="H2463" s="11" t="n"/>
      <c r="I2463" s="16">
        <f>IF(D2463="","",IF(G2463&lt;&gt;"",G2463,IFERROR(INDEX('Sản phẩm'!$E$5:$E$304,MATCH(D2463,'Sản phẩm'!$A$5:$A$304,0)),"")))</f>
        <v/>
      </c>
      <c r="J2463" s="16">
        <f>IF(OR(D2463="",F2463=""),"",F2463*I2463-N(H2463))</f>
        <v/>
      </c>
      <c r="K2463" s="16">
        <f>IF(OR(D2463="",F2463=""),"",F2463*IFERROR(INDEX('Sản phẩm'!$D$5:$D$304,MATCH(D2463,'Sản phẩm'!$A$5:$A$304,0)),""))</f>
        <v/>
      </c>
      <c r="L2463" s="16">
        <f>IF(J2463="","",J2463-K2463)</f>
        <v/>
      </c>
      <c r="M2463" s="14">
        <f>IF(A2463="","",MONTH(A2463))</f>
        <v/>
      </c>
      <c r="N2463" s="14">
        <f>IF(A2463="","",YEAR(A2463))</f>
        <v/>
      </c>
    </row>
    <row r="2464">
      <c r="A2464" s="15" t="n"/>
      <c r="B2464" s="10" t="n"/>
      <c r="C2464" s="10" t="n"/>
      <c r="D2464" s="10" t="n"/>
      <c r="E2464" s="14">
        <f>IF(D2464="","",IFERROR(INDEX('Sản phẩm'!$B$5:$B$304,MATCH(D2464,'Sản phẩm'!$A$5:$A$304,0)),""))</f>
        <v/>
      </c>
      <c r="F2464" s="12" t="n"/>
      <c r="G2464" s="11" t="n"/>
      <c r="H2464" s="11" t="n"/>
      <c r="I2464" s="16">
        <f>IF(D2464="","",IF(G2464&lt;&gt;"",G2464,IFERROR(INDEX('Sản phẩm'!$E$5:$E$304,MATCH(D2464,'Sản phẩm'!$A$5:$A$304,0)),"")))</f>
        <v/>
      </c>
      <c r="J2464" s="16">
        <f>IF(OR(D2464="",F2464=""),"",F2464*I2464-N(H2464))</f>
        <v/>
      </c>
      <c r="K2464" s="16">
        <f>IF(OR(D2464="",F2464=""),"",F2464*IFERROR(INDEX('Sản phẩm'!$D$5:$D$304,MATCH(D2464,'Sản phẩm'!$A$5:$A$304,0)),""))</f>
        <v/>
      </c>
      <c r="L2464" s="16">
        <f>IF(J2464="","",J2464-K2464)</f>
        <v/>
      </c>
      <c r="M2464" s="14">
        <f>IF(A2464="","",MONTH(A2464))</f>
        <v/>
      </c>
      <c r="N2464" s="14">
        <f>IF(A2464="","",YEAR(A2464))</f>
        <v/>
      </c>
    </row>
    <row r="2465">
      <c r="A2465" s="15" t="n"/>
      <c r="B2465" s="10" t="n"/>
      <c r="C2465" s="10" t="n"/>
      <c r="D2465" s="10" t="n"/>
      <c r="E2465" s="14">
        <f>IF(D2465="","",IFERROR(INDEX('Sản phẩm'!$B$5:$B$304,MATCH(D2465,'Sản phẩm'!$A$5:$A$304,0)),""))</f>
        <v/>
      </c>
      <c r="F2465" s="12" t="n"/>
      <c r="G2465" s="11" t="n"/>
      <c r="H2465" s="11" t="n"/>
      <c r="I2465" s="16">
        <f>IF(D2465="","",IF(G2465&lt;&gt;"",G2465,IFERROR(INDEX('Sản phẩm'!$E$5:$E$304,MATCH(D2465,'Sản phẩm'!$A$5:$A$304,0)),"")))</f>
        <v/>
      </c>
      <c r="J2465" s="16">
        <f>IF(OR(D2465="",F2465=""),"",F2465*I2465-N(H2465))</f>
        <v/>
      </c>
      <c r="K2465" s="16">
        <f>IF(OR(D2465="",F2465=""),"",F2465*IFERROR(INDEX('Sản phẩm'!$D$5:$D$304,MATCH(D2465,'Sản phẩm'!$A$5:$A$304,0)),""))</f>
        <v/>
      </c>
      <c r="L2465" s="16">
        <f>IF(J2465="","",J2465-K2465)</f>
        <v/>
      </c>
      <c r="M2465" s="14">
        <f>IF(A2465="","",MONTH(A2465))</f>
        <v/>
      </c>
      <c r="N2465" s="14">
        <f>IF(A2465="","",YEAR(A2465))</f>
        <v/>
      </c>
    </row>
    <row r="2466">
      <c r="A2466" s="15" t="n"/>
      <c r="B2466" s="10" t="n"/>
      <c r="C2466" s="10" t="n"/>
      <c r="D2466" s="10" t="n"/>
      <c r="E2466" s="14">
        <f>IF(D2466="","",IFERROR(INDEX('Sản phẩm'!$B$5:$B$304,MATCH(D2466,'Sản phẩm'!$A$5:$A$304,0)),""))</f>
        <v/>
      </c>
      <c r="F2466" s="12" t="n"/>
      <c r="G2466" s="11" t="n"/>
      <c r="H2466" s="11" t="n"/>
      <c r="I2466" s="16">
        <f>IF(D2466="","",IF(G2466&lt;&gt;"",G2466,IFERROR(INDEX('Sản phẩm'!$E$5:$E$304,MATCH(D2466,'Sản phẩm'!$A$5:$A$304,0)),"")))</f>
        <v/>
      </c>
      <c r="J2466" s="16">
        <f>IF(OR(D2466="",F2466=""),"",F2466*I2466-N(H2466))</f>
        <v/>
      </c>
      <c r="K2466" s="16">
        <f>IF(OR(D2466="",F2466=""),"",F2466*IFERROR(INDEX('Sản phẩm'!$D$5:$D$304,MATCH(D2466,'Sản phẩm'!$A$5:$A$304,0)),""))</f>
        <v/>
      </c>
      <c r="L2466" s="16">
        <f>IF(J2466="","",J2466-K2466)</f>
        <v/>
      </c>
      <c r="M2466" s="14">
        <f>IF(A2466="","",MONTH(A2466))</f>
        <v/>
      </c>
      <c r="N2466" s="14">
        <f>IF(A2466="","",YEAR(A2466))</f>
        <v/>
      </c>
    </row>
    <row r="2467">
      <c r="A2467" s="15" t="n"/>
      <c r="B2467" s="10" t="n"/>
      <c r="C2467" s="10" t="n"/>
      <c r="D2467" s="10" t="n"/>
      <c r="E2467" s="14">
        <f>IF(D2467="","",IFERROR(INDEX('Sản phẩm'!$B$5:$B$304,MATCH(D2467,'Sản phẩm'!$A$5:$A$304,0)),""))</f>
        <v/>
      </c>
      <c r="F2467" s="12" t="n"/>
      <c r="G2467" s="11" t="n"/>
      <c r="H2467" s="11" t="n"/>
      <c r="I2467" s="16">
        <f>IF(D2467="","",IF(G2467&lt;&gt;"",G2467,IFERROR(INDEX('Sản phẩm'!$E$5:$E$304,MATCH(D2467,'Sản phẩm'!$A$5:$A$304,0)),"")))</f>
        <v/>
      </c>
      <c r="J2467" s="16">
        <f>IF(OR(D2467="",F2467=""),"",F2467*I2467-N(H2467))</f>
        <v/>
      </c>
      <c r="K2467" s="16">
        <f>IF(OR(D2467="",F2467=""),"",F2467*IFERROR(INDEX('Sản phẩm'!$D$5:$D$304,MATCH(D2467,'Sản phẩm'!$A$5:$A$304,0)),""))</f>
        <v/>
      </c>
      <c r="L2467" s="16">
        <f>IF(J2467="","",J2467-K2467)</f>
        <v/>
      </c>
      <c r="M2467" s="14">
        <f>IF(A2467="","",MONTH(A2467))</f>
        <v/>
      </c>
      <c r="N2467" s="14">
        <f>IF(A2467="","",YEAR(A2467))</f>
        <v/>
      </c>
    </row>
    <row r="2468">
      <c r="A2468" s="15" t="n"/>
      <c r="B2468" s="10" t="n"/>
      <c r="C2468" s="10" t="n"/>
      <c r="D2468" s="10" t="n"/>
      <c r="E2468" s="14">
        <f>IF(D2468="","",IFERROR(INDEX('Sản phẩm'!$B$5:$B$304,MATCH(D2468,'Sản phẩm'!$A$5:$A$304,0)),""))</f>
        <v/>
      </c>
      <c r="F2468" s="12" t="n"/>
      <c r="G2468" s="11" t="n"/>
      <c r="H2468" s="11" t="n"/>
      <c r="I2468" s="16">
        <f>IF(D2468="","",IF(G2468&lt;&gt;"",G2468,IFERROR(INDEX('Sản phẩm'!$E$5:$E$304,MATCH(D2468,'Sản phẩm'!$A$5:$A$304,0)),"")))</f>
        <v/>
      </c>
      <c r="J2468" s="16">
        <f>IF(OR(D2468="",F2468=""),"",F2468*I2468-N(H2468))</f>
        <v/>
      </c>
      <c r="K2468" s="16">
        <f>IF(OR(D2468="",F2468=""),"",F2468*IFERROR(INDEX('Sản phẩm'!$D$5:$D$304,MATCH(D2468,'Sản phẩm'!$A$5:$A$304,0)),""))</f>
        <v/>
      </c>
      <c r="L2468" s="16">
        <f>IF(J2468="","",J2468-K2468)</f>
        <v/>
      </c>
      <c r="M2468" s="14">
        <f>IF(A2468="","",MONTH(A2468))</f>
        <v/>
      </c>
      <c r="N2468" s="14">
        <f>IF(A2468="","",YEAR(A2468))</f>
        <v/>
      </c>
    </row>
    <row r="2469">
      <c r="A2469" s="15" t="n"/>
      <c r="B2469" s="10" t="n"/>
      <c r="C2469" s="10" t="n"/>
      <c r="D2469" s="10" t="n"/>
      <c r="E2469" s="14">
        <f>IF(D2469="","",IFERROR(INDEX('Sản phẩm'!$B$5:$B$304,MATCH(D2469,'Sản phẩm'!$A$5:$A$304,0)),""))</f>
        <v/>
      </c>
      <c r="F2469" s="12" t="n"/>
      <c r="G2469" s="11" t="n"/>
      <c r="H2469" s="11" t="n"/>
      <c r="I2469" s="16">
        <f>IF(D2469="","",IF(G2469&lt;&gt;"",G2469,IFERROR(INDEX('Sản phẩm'!$E$5:$E$304,MATCH(D2469,'Sản phẩm'!$A$5:$A$304,0)),"")))</f>
        <v/>
      </c>
      <c r="J2469" s="16">
        <f>IF(OR(D2469="",F2469=""),"",F2469*I2469-N(H2469))</f>
        <v/>
      </c>
      <c r="K2469" s="16">
        <f>IF(OR(D2469="",F2469=""),"",F2469*IFERROR(INDEX('Sản phẩm'!$D$5:$D$304,MATCH(D2469,'Sản phẩm'!$A$5:$A$304,0)),""))</f>
        <v/>
      </c>
      <c r="L2469" s="16">
        <f>IF(J2469="","",J2469-K2469)</f>
        <v/>
      </c>
      <c r="M2469" s="14">
        <f>IF(A2469="","",MONTH(A2469))</f>
        <v/>
      </c>
      <c r="N2469" s="14">
        <f>IF(A2469="","",YEAR(A2469))</f>
        <v/>
      </c>
    </row>
    <row r="2470">
      <c r="A2470" s="15" t="n"/>
      <c r="B2470" s="10" t="n"/>
      <c r="C2470" s="10" t="n"/>
      <c r="D2470" s="10" t="n"/>
      <c r="E2470" s="14">
        <f>IF(D2470="","",IFERROR(INDEX('Sản phẩm'!$B$5:$B$304,MATCH(D2470,'Sản phẩm'!$A$5:$A$304,0)),""))</f>
        <v/>
      </c>
      <c r="F2470" s="12" t="n"/>
      <c r="G2470" s="11" t="n"/>
      <c r="H2470" s="11" t="n"/>
      <c r="I2470" s="16">
        <f>IF(D2470="","",IF(G2470&lt;&gt;"",G2470,IFERROR(INDEX('Sản phẩm'!$E$5:$E$304,MATCH(D2470,'Sản phẩm'!$A$5:$A$304,0)),"")))</f>
        <v/>
      </c>
      <c r="J2470" s="16">
        <f>IF(OR(D2470="",F2470=""),"",F2470*I2470-N(H2470))</f>
        <v/>
      </c>
      <c r="K2470" s="16">
        <f>IF(OR(D2470="",F2470=""),"",F2470*IFERROR(INDEX('Sản phẩm'!$D$5:$D$304,MATCH(D2470,'Sản phẩm'!$A$5:$A$304,0)),""))</f>
        <v/>
      </c>
      <c r="L2470" s="16">
        <f>IF(J2470="","",J2470-K2470)</f>
        <v/>
      </c>
      <c r="M2470" s="14">
        <f>IF(A2470="","",MONTH(A2470))</f>
        <v/>
      </c>
      <c r="N2470" s="14">
        <f>IF(A2470="","",YEAR(A2470))</f>
        <v/>
      </c>
    </row>
    <row r="2471">
      <c r="A2471" s="15" t="n"/>
      <c r="B2471" s="10" t="n"/>
      <c r="C2471" s="10" t="n"/>
      <c r="D2471" s="10" t="n"/>
      <c r="E2471" s="14">
        <f>IF(D2471="","",IFERROR(INDEX('Sản phẩm'!$B$5:$B$304,MATCH(D2471,'Sản phẩm'!$A$5:$A$304,0)),""))</f>
        <v/>
      </c>
      <c r="F2471" s="12" t="n"/>
      <c r="G2471" s="11" t="n"/>
      <c r="H2471" s="11" t="n"/>
      <c r="I2471" s="16">
        <f>IF(D2471="","",IF(G2471&lt;&gt;"",G2471,IFERROR(INDEX('Sản phẩm'!$E$5:$E$304,MATCH(D2471,'Sản phẩm'!$A$5:$A$304,0)),"")))</f>
        <v/>
      </c>
      <c r="J2471" s="16">
        <f>IF(OR(D2471="",F2471=""),"",F2471*I2471-N(H2471))</f>
        <v/>
      </c>
      <c r="K2471" s="16">
        <f>IF(OR(D2471="",F2471=""),"",F2471*IFERROR(INDEX('Sản phẩm'!$D$5:$D$304,MATCH(D2471,'Sản phẩm'!$A$5:$A$304,0)),""))</f>
        <v/>
      </c>
      <c r="L2471" s="16">
        <f>IF(J2471="","",J2471-K2471)</f>
        <v/>
      </c>
      <c r="M2471" s="14">
        <f>IF(A2471="","",MONTH(A2471))</f>
        <v/>
      </c>
      <c r="N2471" s="14">
        <f>IF(A2471="","",YEAR(A2471))</f>
        <v/>
      </c>
    </row>
    <row r="2472">
      <c r="A2472" s="15" t="n"/>
      <c r="B2472" s="10" t="n"/>
      <c r="C2472" s="10" t="n"/>
      <c r="D2472" s="10" t="n"/>
      <c r="E2472" s="14">
        <f>IF(D2472="","",IFERROR(INDEX('Sản phẩm'!$B$5:$B$304,MATCH(D2472,'Sản phẩm'!$A$5:$A$304,0)),""))</f>
        <v/>
      </c>
      <c r="F2472" s="12" t="n"/>
      <c r="G2472" s="11" t="n"/>
      <c r="H2472" s="11" t="n"/>
      <c r="I2472" s="16">
        <f>IF(D2472="","",IF(G2472&lt;&gt;"",G2472,IFERROR(INDEX('Sản phẩm'!$E$5:$E$304,MATCH(D2472,'Sản phẩm'!$A$5:$A$304,0)),"")))</f>
        <v/>
      </c>
      <c r="J2472" s="16">
        <f>IF(OR(D2472="",F2472=""),"",F2472*I2472-N(H2472))</f>
        <v/>
      </c>
      <c r="K2472" s="16">
        <f>IF(OR(D2472="",F2472=""),"",F2472*IFERROR(INDEX('Sản phẩm'!$D$5:$D$304,MATCH(D2472,'Sản phẩm'!$A$5:$A$304,0)),""))</f>
        <v/>
      </c>
      <c r="L2472" s="16">
        <f>IF(J2472="","",J2472-K2472)</f>
        <v/>
      </c>
      <c r="M2472" s="14">
        <f>IF(A2472="","",MONTH(A2472))</f>
        <v/>
      </c>
      <c r="N2472" s="14">
        <f>IF(A2472="","",YEAR(A2472))</f>
        <v/>
      </c>
    </row>
    <row r="2473">
      <c r="A2473" s="15" t="n"/>
      <c r="B2473" s="10" t="n"/>
      <c r="C2473" s="10" t="n"/>
      <c r="D2473" s="10" t="n"/>
      <c r="E2473" s="14">
        <f>IF(D2473="","",IFERROR(INDEX('Sản phẩm'!$B$5:$B$304,MATCH(D2473,'Sản phẩm'!$A$5:$A$304,0)),""))</f>
        <v/>
      </c>
      <c r="F2473" s="12" t="n"/>
      <c r="G2473" s="11" t="n"/>
      <c r="H2473" s="11" t="n"/>
      <c r="I2473" s="16">
        <f>IF(D2473="","",IF(G2473&lt;&gt;"",G2473,IFERROR(INDEX('Sản phẩm'!$E$5:$E$304,MATCH(D2473,'Sản phẩm'!$A$5:$A$304,0)),"")))</f>
        <v/>
      </c>
      <c r="J2473" s="16">
        <f>IF(OR(D2473="",F2473=""),"",F2473*I2473-N(H2473))</f>
        <v/>
      </c>
      <c r="K2473" s="16">
        <f>IF(OR(D2473="",F2473=""),"",F2473*IFERROR(INDEX('Sản phẩm'!$D$5:$D$304,MATCH(D2473,'Sản phẩm'!$A$5:$A$304,0)),""))</f>
        <v/>
      </c>
      <c r="L2473" s="16">
        <f>IF(J2473="","",J2473-K2473)</f>
        <v/>
      </c>
      <c r="M2473" s="14">
        <f>IF(A2473="","",MONTH(A2473))</f>
        <v/>
      </c>
      <c r="N2473" s="14">
        <f>IF(A2473="","",YEAR(A2473))</f>
        <v/>
      </c>
    </row>
    <row r="2474">
      <c r="A2474" s="15" t="n"/>
      <c r="B2474" s="10" t="n"/>
      <c r="C2474" s="10" t="n"/>
      <c r="D2474" s="10" t="n"/>
      <c r="E2474" s="14">
        <f>IF(D2474="","",IFERROR(INDEX('Sản phẩm'!$B$5:$B$304,MATCH(D2474,'Sản phẩm'!$A$5:$A$304,0)),""))</f>
        <v/>
      </c>
      <c r="F2474" s="12" t="n"/>
      <c r="G2474" s="11" t="n"/>
      <c r="H2474" s="11" t="n"/>
      <c r="I2474" s="16">
        <f>IF(D2474="","",IF(G2474&lt;&gt;"",G2474,IFERROR(INDEX('Sản phẩm'!$E$5:$E$304,MATCH(D2474,'Sản phẩm'!$A$5:$A$304,0)),"")))</f>
        <v/>
      </c>
      <c r="J2474" s="16">
        <f>IF(OR(D2474="",F2474=""),"",F2474*I2474-N(H2474))</f>
        <v/>
      </c>
      <c r="K2474" s="16">
        <f>IF(OR(D2474="",F2474=""),"",F2474*IFERROR(INDEX('Sản phẩm'!$D$5:$D$304,MATCH(D2474,'Sản phẩm'!$A$5:$A$304,0)),""))</f>
        <v/>
      </c>
      <c r="L2474" s="16">
        <f>IF(J2474="","",J2474-K2474)</f>
        <v/>
      </c>
      <c r="M2474" s="14">
        <f>IF(A2474="","",MONTH(A2474))</f>
        <v/>
      </c>
      <c r="N2474" s="14">
        <f>IF(A2474="","",YEAR(A2474))</f>
        <v/>
      </c>
    </row>
    <row r="2475">
      <c r="A2475" s="15" t="n"/>
      <c r="B2475" s="10" t="n"/>
      <c r="C2475" s="10" t="n"/>
      <c r="D2475" s="10" t="n"/>
      <c r="E2475" s="14">
        <f>IF(D2475="","",IFERROR(INDEX('Sản phẩm'!$B$5:$B$304,MATCH(D2475,'Sản phẩm'!$A$5:$A$304,0)),""))</f>
        <v/>
      </c>
      <c r="F2475" s="12" t="n"/>
      <c r="G2475" s="11" t="n"/>
      <c r="H2475" s="11" t="n"/>
      <c r="I2475" s="16">
        <f>IF(D2475="","",IF(G2475&lt;&gt;"",G2475,IFERROR(INDEX('Sản phẩm'!$E$5:$E$304,MATCH(D2475,'Sản phẩm'!$A$5:$A$304,0)),"")))</f>
        <v/>
      </c>
      <c r="J2475" s="16">
        <f>IF(OR(D2475="",F2475=""),"",F2475*I2475-N(H2475))</f>
        <v/>
      </c>
      <c r="K2475" s="16">
        <f>IF(OR(D2475="",F2475=""),"",F2475*IFERROR(INDEX('Sản phẩm'!$D$5:$D$304,MATCH(D2475,'Sản phẩm'!$A$5:$A$304,0)),""))</f>
        <v/>
      </c>
      <c r="L2475" s="16">
        <f>IF(J2475="","",J2475-K2475)</f>
        <v/>
      </c>
      <c r="M2475" s="14">
        <f>IF(A2475="","",MONTH(A2475))</f>
        <v/>
      </c>
      <c r="N2475" s="14">
        <f>IF(A2475="","",YEAR(A2475))</f>
        <v/>
      </c>
    </row>
    <row r="2476">
      <c r="A2476" s="15" t="n"/>
      <c r="B2476" s="10" t="n"/>
      <c r="C2476" s="10" t="n"/>
      <c r="D2476" s="10" t="n"/>
      <c r="E2476" s="14">
        <f>IF(D2476="","",IFERROR(INDEX('Sản phẩm'!$B$5:$B$304,MATCH(D2476,'Sản phẩm'!$A$5:$A$304,0)),""))</f>
        <v/>
      </c>
      <c r="F2476" s="12" t="n"/>
      <c r="G2476" s="11" t="n"/>
      <c r="H2476" s="11" t="n"/>
      <c r="I2476" s="16">
        <f>IF(D2476="","",IF(G2476&lt;&gt;"",G2476,IFERROR(INDEX('Sản phẩm'!$E$5:$E$304,MATCH(D2476,'Sản phẩm'!$A$5:$A$304,0)),"")))</f>
        <v/>
      </c>
      <c r="J2476" s="16">
        <f>IF(OR(D2476="",F2476=""),"",F2476*I2476-N(H2476))</f>
        <v/>
      </c>
      <c r="K2476" s="16">
        <f>IF(OR(D2476="",F2476=""),"",F2476*IFERROR(INDEX('Sản phẩm'!$D$5:$D$304,MATCH(D2476,'Sản phẩm'!$A$5:$A$304,0)),""))</f>
        <v/>
      </c>
      <c r="L2476" s="16">
        <f>IF(J2476="","",J2476-K2476)</f>
        <v/>
      </c>
      <c r="M2476" s="14">
        <f>IF(A2476="","",MONTH(A2476))</f>
        <v/>
      </c>
      <c r="N2476" s="14">
        <f>IF(A2476="","",YEAR(A2476))</f>
        <v/>
      </c>
    </row>
    <row r="2477">
      <c r="A2477" s="15" t="n"/>
      <c r="B2477" s="10" t="n"/>
      <c r="C2477" s="10" t="n"/>
      <c r="D2477" s="10" t="n"/>
      <c r="E2477" s="14">
        <f>IF(D2477="","",IFERROR(INDEX('Sản phẩm'!$B$5:$B$304,MATCH(D2477,'Sản phẩm'!$A$5:$A$304,0)),""))</f>
        <v/>
      </c>
      <c r="F2477" s="12" t="n"/>
      <c r="G2477" s="11" t="n"/>
      <c r="H2477" s="11" t="n"/>
      <c r="I2477" s="16">
        <f>IF(D2477="","",IF(G2477&lt;&gt;"",G2477,IFERROR(INDEX('Sản phẩm'!$E$5:$E$304,MATCH(D2477,'Sản phẩm'!$A$5:$A$304,0)),"")))</f>
        <v/>
      </c>
      <c r="J2477" s="16">
        <f>IF(OR(D2477="",F2477=""),"",F2477*I2477-N(H2477))</f>
        <v/>
      </c>
      <c r="K2477" s="16">
        <f>IF(OR(D2477="",F2477=""),"",F2477*IFERROR(INDEX('Sản phẩm'!$D$5:$D$304,MATCH(D2477,'Sản phẩm'!$A$5:$A$304,0)),""))</f>
        <v/>
      </c>
      <c r="L2477" s="16">
        <f>IF(J2477="","",J2477-K2477)</f>
        <v/>
      </c>
      <c r="M2477" s="14">
        <f>IF(A2477="","",MONTH(A2477))</f>
        <v/>
      </c>
      <c r="N2477" s="14">
        <f>IF(A2477="","",YEAR(A2477))</f>
        <v/>
      </c>
    </row>
    <row r="2478">
      <c r="A2478" s="15" t="n"/>
      <c r="B2478" s="10" t="n"/>
      <c r="C2478" s="10" t="n"/>
      <c r="D2478" s="10" t="n"/>
      <c r="E2478" s="14">
        <f>IF(D2478="","",IFERROR(INDEX('Sản phẩm'!$B$5:$B$304,MATCH(D2478,'Sản phẩm'!$A$5:$A$304,0)),""))</f>
        <v/>
      </c>
      <c r="F2478" s="12" t="n"/>
      <c r="G2478" s="11" t="n"/>
      <c r="H2478" s="11" t="n"/>
      <c r="I2478" s="16">
        <f>IF(D2478="","",IF(G2478&lt;&gt;"",G2478,IFERROR(INDEX('Sản phẩm'!$E$5:$E$304,MATCH(D2478,'Sản phẩm'!$A$5:$A$304,0)),"")))</f>
        <v/>
      </c>
      <c r="J2478" s="16">
        <f>IF(OR(D2478="",F2478=""),"",F2478*I2478-N(H2478))</f>
        <v/>
      </c>
      <c r="K2478" s="16">
        <f>IF(OR(D2478="",F2478=""),"",F2478*IFERROR(INDEX('Sản phẩm'!$D$5:$D$304,MATCH(D2478,'Sản phẩm'!$A$5:$A$304,0)),""))</f>
        <v/>
      </c>
      <c r="L2478" s="16">
        <f>IF(J2478="","",J2478-K2478)</f>
        <v/>
      </c>
      <c r="M2478" s="14">
        <f>IF(A2478="","",MONTH(A2478))</f>
        <v/>
      </c>
      <c r="N2478" s="14">
        <f>IF(A2478="","",YEAR(A2478))</f>
        <v/>
      </c>
    </row>
    <row r="2479">
      <c r="A2479" s="15" t="n"/>
      <c r="B2479" s="10" t="n"/>
      <c r="C2479" s="10" t="n"/>
      <c r="D2479" s="10" t="n"/>
      <c r="E2479" s="14">
        <f>IF(D2479="","",IFERROR(INDEX('Sản phẩm'!$B$5:$B$304,MATCH(D2479,'Sản phẩm'!$A$5:$A$304,0)),""))</f>
        <v/>
      </c>
      <c r="F2479" s="12" t="n"/>
      <c r="G2479" s="11" t="n"/>
      <c r="H2479" s="11" t="n"/>
      <c r="I2479" s="16">
        <f>IF(D2479="","",IF(G2479&lt;&gt;"",G2479,IFERROR(INDEX('Sản phẩm'!$E$5:$E$304,MATCH(D2479,'Sản phẩm'!$A$5:$A$304,0)),"")))</f>
        <v/>
      </c>
      <c r="J2479" s="16">
        <f>IF(OR(D2479="",F2479=""),"",F2479*I2479-N(H2479))</f>
        <v/>
      </c>
      <c r="K2479" s="16">
        <f>IF(OR(D2479="",F2479=""),"",F2479*IFERROR(INDEX('Sản phẩm'!$D$5:$D$304,MATCH(D2479,'Sản phẩm'!$A$5:$A$304,0)),""))</f>
        <v/>
      </c>
      <c r="L2479" s="16">
        <f>IF(J2479="","",J2479-K2479)</f>
        <v/>
      </c>
      <c r="M2479" s="14">
        <f>IF(A2479="","",MONTH(A2479))</f>
        <v/>
      </c>
      <c r="N2479" s="14">
        <f>IF(A2479="","",YEAR(A2479))</f>
        <v/>
      </c>
    </row>
    <row r="2480">
      <c r="A2480" s="15" t="n"/>
      <c r="B2480" s="10" t="n"/>
      <c r="C2480" s="10" t="n"/>
      <c r="D2480" s="10" t="n"/>
      <c r="E2480" s="14">
        <f>IF(D2480="","",IFERROR(INDEX('Sản phẩm'!$B$5:$B$304,MATCH(D2480,'Sản phẩm'!$A$5:$A$304,0)),""))</f>
        <v/>
      </c>
      <c r="F2480" s="12" t="n"/>
      <c r="G2480" s="11" t="n"/>
      <c r="H2480" s="11" t="n"/>
      <c r="I2480" s="16">
        <f>IF(D2480="","",IF(G2480&lt;&gt;"",G2480,IFERROR(INDEX('Sản phẩm'!$E$5:$E$304,MATCH(D2480,'Sản phẩm'!$A$5:$A$304,0)),"")))</f>
        <v/>
      </c>
      <c r="J2480" s="16">
        <f>IF(OR(D2480="",F2480=""),"",F2480*I2480-N(H2480))</f>
        <v/>
      </c>
      <c r="K2480" s="16">
        <f>IF(OR(D2480="",F2480=""),"",F2480*IFERROR(INDEX('Sản phẩm'!$D$5:$D$304,MATCH(D2480,'Sản phẩm'!$A$5:$A$304,0)),""))</f>
        <v/>
      </c>
      <c r="L2480" s="16">
        <f>IF(J2480="","",J2480-K2480)</f>
        <v/>
      </c>
      <c r="M2480" s="14">
        <f>IF(A2480="","",MONTH(A2480))</f>
        <v/>
      </c>
      <c r="N2480" s="14">
        <f>IF(A2480="","",YEAR(A2480))</f>
        <v/>
      </c>
    </row>
    <row r="2481">
      <c r="A2481" s="15" t="n"/>
      <c r="B2481" s="10" t="n"/>
      <c r="C2481" s="10" t="n"/>
      <c r="D2481" s="10" t="n"/>
      <c r="E2481" s="14">
        <f>IF(D2481="","",IFERROR(INDEX('Sản phẩm'!$B$5:$B$304,MATCH(D2481,'Sản phẩm'!$A$5:$A$304,0)),""))</f>
        <v/>
      </c>
      <c r="F2481" s="12" t="n"/>
      <c r="G2481" s="11" t="n"/>
      <c r="H2481" s="11" t="n"/>
      <c r="I2481" s="16">
        <f>IF(D2481="","",IF(G2481&lt;&gt;"",G2481,IFERROR(INDEX('Sản phẩm'!$E$5:$E$304,MATCH(D2481,'Sản phẩm'!$A$5:$A$304,0)),"")))</f>
        <v/>
      </c>
      <c r="J2481" s="16">
        <f>IF(OR(D2481="",F2481=""),"",F2481*I2481-N(H2481))</f>
        <v/>
      </c>
      <c r="K2481" s="16">
        <f>IF(OR(D2481="",F2481=""),"",F2481*IFERROR(INDEX('Sản phẩm'!$D$5:$D$304,MATCH(D2481,'Sản phẩm'!$A$5:$A$304,0)),""))</f>
        <v/>
      </c>
      <c r="L2481" s="16">
        <f>IF(J2481="","",J2481-K2481)</f>
        <v/>
      </c>
      <c r="M2481" s="14">
        <f>IF(A2481="","",MONTH(A2481))</f>
        <v/>
      </c>
      <c r="N2481" s="14">
        <f>IF(A2481="","",YEAR(A2481))</f>
        <v/>
      </c>
    </row>
    <row r="2482">
      <c r="A2482" s="15" t="n"/>
      <c r="B2482" s="10" t="n"/>
      <c r="C2482" s="10" t="n"/>
      <c r="D2482" s="10" t="n"/>
      <c r="E2482" s="14">
        <f>IF(D2482="","",IFERROR(INDEX('Sản phẩm'!$B$5:$B$304,MATCH(D2482,'Sản phẩm'!$A$5:$A$304,0)),""))</f>
        <v/>
      </c>
      <c r="F2482" s="12" t="n"/>
      <c r="G2482" s="11" t="n"/>
      <c r="H2482" s="11" t="n"/>
      <c r="I2482" s="16">
        <f>IF(D2482="","",IF(G2482&lt;&gt;"",G2482,IFERROR(INDEX('Sản phẩm'!$E$5:$E$304,MATCH(D2482,'Sản phẩm'!$A$5:$A$304,0)),"")))</f>
        <v/>
      </c>
      <c r="J2482" s="16">
        <f>IF(OR(D2482="",F2482=""),"",F2482*I2482-N(H2482))</f>
        <v/>
      </c>
      <c r="K2482" s="16">
        <f>IF(OR(D2482="",F2482=""),"",F2482*IFERROR(INDEX('Sản phẩm'!$D$5:$D$304,MATCH(D2482,'Sản phẩm'!$A$5:$A$304,0)),""))</f>
        <v/>
      </c>
      <c r="L2482" s="16">
        <f>IF(J2482="","",J2482-K2482)</f>
        <v/>
      </c>
      <c r="M2482" s="14">
        <f>IF(A2482="","",MONTH(A2482))</f>
        <v/>
      </c>
      <c r="N2482" s="14">
        <f>IF(A2482="","",YEAR(A2482))</f>
        <v/>
      </c>
    </row>
    <row r="2483">
      <c r="A2483" s="15" t="n"/>
      <c r="B2483" s="10" t="n"/>
      <c r="C2483" s="10" t="n"/>
      <c r="D2483" s="10" t="n"/>
      <c r="E2483" s="14">
        <f>IF(D2483="","",IFERROR(INDEX('Sản phẩm'!$B$5:$B$304,MATCH(D2483,'Sản phẩm'!$A$5:$A$304,0)),""))</f>
        <v/>
      </c>
      <c r="F2483" s="12" t="n"/>
      <c r="G2483" s="11" t="n"/>
      <c r="H2483" s="11" t="n"/>
      <c r="I2483" s="16">
        <f>IF(D2483="","",IF(G2483&lt;&gt;"",G2483,IFERROR(INDEX('Sản phẩm'!$E$5:$E$304,MATCH(D2483,'Sản phẩm'!$A$5:$A$304,0)),"")))</f>
        <v/>
      </c>
      <c r="J2483" s="16">
        <f>IF(OR(D2483="",F2483=""),"",F2483*I2483-N(H2483))</f>
        <v/>
      </c>
      <c r="K2483" s="16">
        <f>IF(OR(D2483="",F2483=""),"",F2483*IFERROR(INDEX('Sản phẩm'!$D$5:$D$304,MATCH(D2483,'Sản phẩm'!$A$5:$A$304,0)),""))</f>
        <v/>
      </c>
      <c r="L2483" s="16">
        <f>IF(J2483="","",J2483-K2483)</f>
        <v/>
      </c>
      <c r="M2483" s="14">
        <f>IF(A2483="","",MONTH(A2483))</f>
        <v/>
      </c>
      <c r="N2483" s="14">
        <f>IF(A2483="","",YEAR(A2483))</f>
        <v/>
      </c>
    </row>
    <row r="2484">
      <c r="A2484" s="15" t="n"/>
      <c r="B2484" s="10" t="n"/>
      <c r="C2484" s="10" t="n"/>
      <c r="D2484" s="10" t="n"/>
      <c r="E2484" s="14">
        <f>IF(D2484="","",IFERROR(INDEX('Sản phẩm'!$B$5:$B$304,MATCH(D2484,'Sản phẩm'!$A$5:$A$304,0)),""))</f>
        <v/>
      </c>
      <c r="F2484" s="12" t="n"/>
      <c r="G2484" s="11" t="n"/>
      <c r="H2484" s="11" t="n"/>
      <c r="I2484" s="16">
        <f>IF(D2484="","",IF(G2484&lt;&gt;"",G2484,IFERROR(INDEX('Sản phẩm'!$E$5:$E$304,MATCH(D2484,'Sản phẩm'!$A$5:$A$304,0)),"")))</f>
        <v/>
      </c>
      <c r="J2484" s="16">
        <f>IF(OR(D2484="",F2484=""),"",F2484*I2484-N(H2484))</f>
        <v/>
      </c>
      <c r="K2484" s="16">
        <f>IF(OR(D2484="",F2484=""),"",F2484*IFERROR(INDEX('Sản phẩm'!$D$5:$D$304,MATCH(D2484,'Sản phẩm'!$A$5:$A$304,0)),""))</f>
        <v/>
      </c>
      <c r="L2484" s="16">
        <f>IF(J2484="","",J2484-K2484)</f>
        <v/>
      </c>
      <c r="M2484" s="14">
        <f>IF(A2484="","",MONTH(A2484))</f>
        <v/>
      </c>
      <c r="N2484" s="14">
        <f>IF(A2484="","",YEAR(A2484))</f>
        <v/>
      </c>
    </row>
    <row r="2485">
      <c r="A2485" s="15" t="n"/>
      <c r="B2485" s="10" t="n"/>
      <c r="C2485" s="10" t="n"/>
      <c r="D2485" s="10" t="n"/>
      <c r="E2485" s="14">
        <f>IF(D2485="","",IFERROR(INDEX('Sản phẩm'!$B$5:$B$304,MATCH(D2485,'Sản phẩm'!$A$5:$A$304,0)),""))</f>
        <v/>
      </c>
      <c r="F2485" s="12" t="n"/>
      <c r="G2485" s="11" t="n"/>
      <c r="H2485" s="11" t="n"/>
      <c r="I2485" s="16">
        <f>IF(D2485="","",IF(G2485&lt;&gt;"",G2485,IFERROR(INDEX('Sản phẩm'!$E$5:$E$304,MATCH(D2485,'Sản phẩm'!$A$5:$A$304,0)),"")))</f>
        <v/>
      </c>
      <c r="J2485" s="16">
        <f>IF(OR(D2485="",F2485=""),"",F2485*I2485-N(H2485))</f>
        <v/>
      </c>
      <c r="K2485" s="16">
        <f>IF(OR(D2485="",F2485=""),"",F2485*IFERROR(INDEX('Sản phẩm'!$D$5:$D$304,MATCH(D2485,'Sản phẩm'!$A$5:$A$304,0)),""))</f>
        <v/>
      </c>
      <c r="L2485" s="16">
        <f>IF(J2485="","",J2485-K2485)</f>
        <v/>
      </c>
      <c r="M2485" s="14">
        <f>IF(A2485="","",MONTH(A2485))</f>
        <v/>
      </c>
      <c r="N2485" s="14">
        <f>IF(A2485="","",YEAR(A2485))</f>
        <v/>
      </c>
    </row>
    <row r="2486">
      <c r="A2486" s="15" t="n"/>
      <c r="B2486" s="10" t="n"/>
      <c r="C2486" s="10" t="n"/>
      <c r="D2486" s="10" t="n"/>
      <c r="E2486" s="14">
        <f>IF(D2486="","",IFERROR(INDEX('Sản phẩm'!$B$5:$B$304,MATCH(D2486,'Sản phẩm'!$A$5:$A$304,0)),""))</f>
        <v/>
      </c>
      <c r="F2486" s="12" t="n"/>
      <c r="G2486" s="11" t="n"/>
      <c r="H2486" s="11" t="n"/>
      <c r="I2486" s="16">
        <f>IF(D2486="","",IF(G2486&lt;&gt;"",G2486,IFERROR(INDEX('Sản phẩm'!$E$5:$E$304,MATCH(D2486,'Sản phẩm'!$A$5:$A$304,0)),"")))</f>
        <v/>
      </c>
      <c r="J2486" s="16">
        <f>IF(OR(D2486="",F2486=""),"",F2486*I2486-N(H2486))</f>
        <v/>
      </c>
      <c r="K2486" s="16">
        <f>IF(OR(D2486="",F2486=""),"",F2486*IFERROR(INDEX('Sản phẩm'!$D$5:$D$304,MATCH(D2486,'Sản phẩm'!$A$5:$A$304,0)),""))</f>
        <v/>
      </c>
      <c r="L2486" s="16">
        <f>IF(J2486="","",J2486-K2486)</f>
        <v/>
      </c>
      <c r="M2486" s="14">
        <f>IF(A2486="","",MONTH(A2486))</f>
        <v/>
      </c>
      <c r="N2486" s="14">
        <f>IF(A2486="","",YEAR(A2486))</f>
        <v/>
      </c>
    </row>
    <row r="2487">
      <c r="A2487" s="15" t="n"/>
      <c r="B2487" s="10" t="n"/>
      <c r="C2487" s="10" t="n"/>
      <c r="D2487" s="10" t="n"/>
      <c r="E2487" s="14">
        <f>IF(D2487="","",IFERROR(INDEX('Sản phẩm'!$B$5:$B$304,MATCH(D2487,'Sản phẩm'!$A$5:$A$304,0)),""))</f>
        <v/>
      </c>
      <c r="F2487" s="12" t="n"/>
      <c r="G2487" s="11" t="n"/>
      <c r="H2487" s="11" t="n"/>
      <c r="I2487" s="16">
        <f>IF(D2487="","",IF(G2487&lt;&gt;"",G2487,IFERROR(INDEX('Sản phẩm'!$E$5:$E$304,MATCH(D2487,'Sản phẩm'!$A$5:$A$304,0)),"")))</f>
        <v/>
      </c>
      <c r="J2487" s="16">
        <f>IF(OR(D2487="",F2487=""),"",F2487*I2487-N(H2487))</f>
        <v/>
      </c>
      <c r="K2487" s="16">
        <f>IF(OR(D2487="",F2487=""),"",F2487*IFERROR(INDEX('Sản phẩm'!$D$5:$D$304,MATCH(D2487,'Sản phẩm'!$A$5:$A$304,0)),""))</f>
        <v/>
      </c>
      <c r="L2487" s="16">
        <f>IF(J2487="","",J2487-K2487)</f>
        <v/>
      </c>
      <c r="M2487" s="14">
        <f>IF(A2487="","",MONTH(A2487))</f>
        <v/>
      </c>
      <c r="N2487" s="14">
        <f>IF(A2487="","",YEAR(A2487))</f>
        <v/>
      </c>
    </row>
    <row r="2488">
      <c r="A2488" s="15" t="n"/>
      <c r="B2488" s="10" t="n"/>
      <c r="C2488" s="10" t="n"/>
      <c r="D2488" s="10" t="n"/>
      <c r="E2488" s="14">
        <f>IF(D2488="","",IFERROR(INDEX('Sản phẩm'!$B$5:$B$304,MATCH(D2488,'Sản phẩm'!$A$5:$A$304,0)),""))</f>
        <v/>
      </c>
      <c r="F2488" s="12" t="n"/>
      <c r="G2488" s="11" t="n"/>
      <c r="H2488" s="11" t="n"/>
      <c r="I2488" s="16">
        <f>IF(D2488="","",IF(G2488&lt;&gt;"",G2488,IFERROR(INDEX('Sản phẩm'!$E$5:$E$304,MATCH(D2488,'Sản phẩm'!$A$5:$A$304,0)),"")))</f>
        <v/>
      </c>
      <c r="J2488" s="16">
        <f>IF(OR(D2488="",F2488=""),"",F2488*I2488-N(H2488))</f>
        <v/>
      </c>
      <c r="K2488" s="16">
        <f>IF(OR(D2488="",F2488=""),"",F2488*IFERROR(INDEX('Sản phẩm'!$D$5:$D$304,MATCH(D2488,'Sản phẩm'!$A$5:$A$304,0)),""))</f>
        <v/>
      </c>
      <c r="L2488" s="16">
        <f>IF(J2488="","",J2488-K2488)</f>
        <v/>
      </c>
      <c r="M2488" s="14">
        <f>IF(A2488="","",MONTH(A2488))</f>
        <v/>
      </c>
      <c r="N2488" s="14">
        <f>IF(A2488="","",YEAR(A2488))</f>
        <v/>
      </c>
    </row>
    <row r="2489">
      <c r="A2489" s="15" t="n"/>
      <c r="B2489" s="10" t="n"/>
      <c r="C2489" s="10" t="n"/>
      <c r="D2489" s="10" t="n"/>
      <c r="E2489" s="14">
        <f>IF(D2489="","",IFERROR(INDEX('Sản phẩm'!$B$5:$B$304,MATCH(D2489,'Sản phẩm'!$A$5:$A$304,0)),""))</f>
        <v/>
      </c>
      <c r="F2489" s="12" t="n"/>
      <c r="G2489" s="11" t="n"/>
      <c r="H2489" s="11" t="n"/>
      <c r="I2489" s="16">
        <f>IF(D2489="","",IF(G2489&lt;&gt;"",G2489,IFERROR(INDEX('Sản phẩm'!$E$5:$E$304,MATCH(D2489,'Sản phẩm'!$A$5:$A$304,0)),"")))</f>
        <v/>
      </c>
      <c r="J2489" s="16">
        <f>IF(OR(D2489="",F2489=""),"",F2489*I2489-N(H2489))</f>
        <v/>
      </c>
      <c r="K2489" s="16">
        <f>IF(OR(D2489="",F2489=""),"",F2489*IFERROR(INDEX('Sản phẩm'!$D$5:$D$304,MATCH(D2489,'Sản phẩm'!$A$5:$A$304,0)),""))</f>
        <v/>
      </c>
      <c r="L2489" s="16">
        <f>IF(J2489="","",J2489-K2489)</f>
        <v/>
      </c>
      <c r="M2489" s="14">
        <f>IF(A2489="","",MONTH(A2489))</f>
        <v/>
      </c>
      <c r="N2489" s="14">
        <f>IF(A2489="","",YEAR(A2489))</f>
        <v/>
      </c>
    </row>
    <row r="2490">
      <c r="A2490" s="15" t="n"/>
      <c r="B2490" s="10" t="n"/>
      <c r="C2490" s="10" t="n"/>
      <c r="D2490" s="10" t="n"/>
      <c r="E2490" s="14">
        <f>IF(D2490="","",IFERROR(INDEX('Sản phẩm'!$B$5:$B$304,MATCH(D2490,'Sản phẩm'!$A$5:$A$304,0)),""))</f>
        <v/>
      </c>
      <c r="F2490" s="12" t="n"/>
      <c r="G2490" s="11" t="n"/>
      <c r="H2490" s="11" t="n"/>
      <c r="I2490" s="16">
        <f>IF(D2490="","",IF(G2490&lt;&gt;"",G2490,IFERROR(INDEX('Sản phẩm'!$E$5:$E$304,MATCH(D2490,'Sản phẩm'!$A$5:$A$304,0)),"")))</f>
        <v/>
      </c>
      <c r="J2490" s="16">
        <f>IF(OR(D2490="",F2490=""),"",F2490*I2490-N(H2490))</f>
        <v/>
      </c>
      <c r="K2490" s="16">
        <f>IF(OR(D2490="",F2490=""),"",F2490*IFERROR(INDEX('Sản phẩm'!$D$5:$D$304,MATCH(D2490,'Sản phẩm'!$A$5:$A$304,0)),""))</f>
        <v/>
      </c>
      <c r="L2490" s="16">
        <f>IF(J2490="","",J2490-K2490)</f>
        <v/>
      </c>
      <c r="M2490" s="14">
        <f>IF(A2490="","",MONTH(A2490))</f>
        <v/>
      </c>
      <c r="N2490" s="14">
        <f>IF(A2490="","",YEAR(A2490))</f>
        <v/>
      </c>
    </row>
    <row r="2491">
      <c r="A2491" s="15" t="n"/>
      <c r="B2491" s="10" t="n"/>
      <c r="C2491" s="10" t="n"/>
      <c r="D2491" s="10" t="n"/>
      <c r="E2491" s="14">
        <f>IF(D2491="","",IFERROR(INDEX('Sản phẩm'!$B$5:$B$304,MATCH(D2491,'Sản phẩm'!$A$5:$A$304,0)),""))</f>
        <v/>
      </c>
      <c r="F2491" s="12" t="n"/>
      <c r="G2491" s="11" t="n"/>
      <c r="H2491" s="11" t="n"/>
      <c r="I2491" s="16">
        <f>IF(D2491="","",IF(G2491&lt;&gt;"",G2491,IFERROR(INDEX('Sản phẩm'!$E$5:$E$304,MATCH(D2491,'Sản phẩm'!$A$5:$A$304,0)),"")))</f>
        <v/>
      </c>
      <c r="J2491" s="16">
        <f>IF(OR(D2491="",F2491=""),"",F2491*I2491-N(H2491))</f>
        <v/>
      </c>
      <c r="K2491" s="16">
        <f>IF(OR(D2491="",F2491=""),"",F2491*IFERROR(INDEX('Sản phẩm'!$D$5:$D$304,MATCH(D2491,'Sản phẩm'!$A$5:$A$304,0)),""))</f>
        <v/>
      </c>
      <c r="L2491" s="16">
        <f>IF(J2491="","",J2491-K2491)</f>
        <v/>
      </c>
      <c r="M2491" s="14">
        <f>IF(A2491="","",MONTH(A2491))</f>
        <v/>
      </c>
      <c r="N2491" s="14">
        <f>IF(A2491="","",YEAR(A2491))</f>
        <v/>
      </c>
    </row>
    <row r="2492">
      <c r="A2492" s="15" t="n"/>
      <c r="B2492" s="10" t="n"/>
      <c r="C2492" s="10" t="n"/>
      <c r="D2492" s="10" t="n"/>
      <c r="E2492" s="14">
        <f>IF(D2492="","",IFERROR(INDEX('Sản phẩm'!$B$5:$B$304,MATCH(D2492,'Sản phẩm'!$A$5:$A$304,0)),""))</f>
        <v/>
      </c>
      <c r="F2492" s="12" t="n"/>
      <c r="G2492" s="11" t="n"/>
      <c r="H2492" s="11" t="n"/>
      <c r="I2492" s="16">
        <f>IF(D2492="","",IF(G2492&lt;&gt;"",G2492,IFERROR(INDEX('Sản phẩm'!$E$5:$E$304,MATCH(D2492,'Sản phẩm'!$A$5:$A$304,0)),"")))</f>
        <v/>
      </c>
      <c r="J2492" s="16">
        <f>IF(OR(D2492="",F2492=""),"",F2492*I2492-N(H2492))</f>
        <v/>
      </c>
      <c r="K2492" s="16">
        <f>IF(OR(D2492="",F2492=""),"",F2492*IFERROR(INDEX('Sản phẩm'!$D$5:$D$304,MATCH(D2492,'Sản phẩm'!$A$5:$A$304,0)),""))</f>
        <v/>
      </c>
      <c r="L2492" s="16">
        <f>IF(J2492="","",J2492-K2492)</f>
        <v/>
      </c>
      <c r="M2492" s="14">
        <f>IF(A2492="","",MONTH(A2492))</f>
        <v/>
      </c>
      <c r="N2492" s="14">
        <f>IF(A2492="","",YEAR(A2492))</f>
        <v/>
      </c>
    </row>
    <row r="2493">
      <c r="A2493" s="15" t="n"/>
      <c r="B2493" s="10" t="n"/>
      <c r="C2493" s="10" t="n"/>
      <c r="D2493" s="10" t="n"/>
      <c r="E2493" s="14">
        <f>IF(D2493="","",IFERROR(INDEX('Sản phẩm'!$B$5:$B$304,MATCH(D2493,'Sản phẩm'!$A$5:$A$304,0)),""))</f>
        <v/>
      </c>
      <c r="F2493" s="12" t="n"/>
      <c r="G2493" s="11" t="n"/>
      <c r="H2493" s="11" t="n"/>
      <c r="I2493" s="16">
        <f>IF(D2493="","",IF(G2493&lt;&gt;"",G2493,IFERROR(INDEX('Sản phẩm'!$E$5:$E$304,MATCH(D2493,'Sản phẩm'!$A$5:$A$304,0)),"")))</f>
        <v/>
      </c>
      <c r="J2493" s="16">
        <f>IF(OR(D2493="",F2493=""),"",F2493*I2493-N(H2493))</f>
        <v/>
      </c>
      <c r="K2493" s="16">
        <f>IF(OR(D2493="",F2493=""),"",F2493*IFERROR(INDEX('Sản phẩm'!$D$5:$D$304,MATCH(D2493,'Sản phẩm'!$A$5:$A$304,0)),""))</f>
        <v/>
      </c>
      <c r="L2493" s="16">
        <f>IF(J2493="","",J2493-K2493)</f>
        <v/>
      </c>
      <c r="M2493" s="14">
        <f>IF(A2493="","",MONTH(A2493))</f>
        <v/>
      </c>
      <c r="N2493" s="14">
        <f>IF(A2493="","",YEAR(A2493))</f>
        <v/>
      </c>
    </row>
    <row r="2494">
      <c r="A2494" s="15" t="n"/>
      <c r="B2494" s="10" t="n"/>
      <c r="C2494" s="10" t="n"/>
      <c r="D2494" s="10" t="n"/>
      <c r="E2494" s="14">
        <f>IF(D2494="","",IFERROR(INDEX('Sản phẩm'!$B$5:$B$304,MATCH(D2494,'Sản phẩm'!$A$5:$A$304,0)),""))</f>
        <v/>
      </c>
      <c r="F2494" s="12" t="n"/>
      <c r="G2494" s="11" t="n"/>
      <c r="H2494" s="11" t="n"/>
      <c r="I2494" s="16">
        <f>IF(D2494="","",IF(G2494&lt;&gt;"",G2494,IFERROR(INDEX('Sản phẩm'!$E$5:$E$304,MATCH(D2494,'Sản phẩm'!$A$5:$A$304,0)),"")))</f>
        <v/>
      </c>
      <c r="J2494" s="16">
        <f>IF(OR(D2494="",F2494=""),"",F2494*I2494-N(H2494))</f>
        <v/>
      </c>
      <c r="K2494" s="16">
        <f>IF(OR(D2494="",F2494=""),"",F2494*IFERROR(INDEX('Sản phẩm'!$D$5:$D$304,MATCH(D2494,'Sản phẩm'!$A$5:$A$304,0)),""))</f>
        <v/>
      </c>
      <c r="L2494" s="16">
        <f>IF(J2494="","",J2494-K2494)</f>
        <v/>
      </c>
      <c r="M2494" s="14">
        <f>IF(A2494="","",MONTH(A2494))</f>
        <v/>
      </c>
      <c r="N2494" s="14">
        <f>IF(A2494="","",YEAR(A2494))</f>
        <v/>
      </c>
    </row>
    <row r="2495">
      <c r="A2495" s="15" t="n"/>
      <c r="B2495" s="10" t="n"/>
      <c r="C2495" s="10" t="n"/>
      <c r="D2495" s="10" t="n"/>
      <c r="E2495" s="14">
        <f>IF(D2495="","",IFERROR(INDEX('Sản phẩm'!$B$5:$B$304,MATCH(D2495,'Sản phẩm'!$A$5:$A$304,0)),""))</f>
        <v/>
      </c>
      <c r="F2495" s="12" t="n"/>
      <c r="G2495" s="11" t="n"/>
      <c r="H2495" s="11" t="n"/>
      <c r="I2495" s="16">
        <f>IF(D2495="","",IF(G2495&lt;&gt;"",G2495,IFERROR(INDEX('Sản phẩm'!$E$5:$E$304,MATCH(D2495,'Sản phẩm'!$A$5:$A$304,0)),"")))</f>
        <v/>
      </c>
      <c r="J2495" s="16">
        <f>IF(OR(D2495="",F2495=""),"",F2495*I2495-N(H2495))</f>
        <v/>
      </c>
      <c r="K2495" s="16">
        <f>IF(OR(D2495="",F2495=""),"",F2495*IFERROR(INDEX('Sản phẩm'!$D$5:$D$304,MATCH(D2495,'Sản phẩm'!$A$5:$A$304,0)),""))</f>
        <v/>
      </c>
      <c r="L2495" s="16">
        <f>IF(J2495="","",J2495-K2495)</f>
        <v/>
      </c>
      <c r="M2495" s="14">
        <f>IF(A2495="","",MONTH(A2495))</f>
        <v/>
      </c>
      <c r="N2495" s="14">
        <f>IF(A2495="","",YEAR(A2495))</f>
        <v/>
      </c>
    </row>
    <row r="2496">
      <c r="A2496" s="15" t="n"/>
      <c r="B2496" s="10" t="n"/>
      <c r="C2496" s="10" t="n"/>
      <c r="D2496" s="10" t="n"/>
      <c r="E2496" s="14">
        <f>IF(D2496="","",IFERROR(INDEX('Sản phẩm'!$B$5:$B$304,MATCH(D2496,'Sản phẩm'!$A$5:$A$304,0)),""))</f>
        <v/>
      </c>
      <c r="F2496" s="12" t="n"/>
      <c r="G2496" s="11" t="n"/>
      <c r="H2496" s="11" t="n"/>
      <c r="I2496" s="16">
        <f>IF(D2496="","",IF(G2496&lt;&gt;"",G2496,IFERROR(INDEX('Sản phẩm'!$E$5:$E$304,MATCH(D2496,'Sản phẩm'!$A$5:$A$304,0)),"")))</f>
        <v/>
      </c>
      <c r="J2496" s="16">
        <f>IF(OR(D2496="",F2496=""),"",F2496*I2496-N(H2496))</f>
        <v/>
      </c>
      <c r="K2496" s="16">
        <f>IF(OR(D2496="",F2496=""),"",F2496*IFERROR(INDEX('Sản phẩm'!$D$5:$D$304,MATCH(D2496,'Sản phẩm'!$A$5:$A$304,0)),""))</f>
        <v/>
      </c>
      <c r="L2496" s="16">
        <f>IF(J2496="","",J2496-K2496)</f>
        <v/>
      </c>
      <c r="M2496" s="14">
        <f>IF(A2496="","",MONTH(A2496))</f>
        <v/>
      </c>
      <c r="N2496" s="14">
        <f>IF(A2496="","",YEAR(A2496))</f>
        <v/>
      </c>
    </row>
    <row r="2497">
      <c r="A2497" s="15" t="n"/>
      <c r="B2497" s="10" t="n"/>
      <c r="C2497" s="10" t="n"/>
      <c r="D2497" s="10" t="n"/>
      <c r="E2497" s="14">
        <f>IF(D2497="","",IFERROR(INDEX('Sản phẩm'!$B$5:$B$304,MATCH(D2497,'Sản phẩm'!$A$5:$A$304,0)),""))</f>
        <v/>
      </c>
      <c r="F2497" s="12" t="n"/>
      <c r="G2497" s="11" t="n"/>
      <c r="H2497" s="11" t="n"/>
      <c r="I2497" s="16">
        <f>IF(D2497="","",IF(G2497&lt;&gt;"",G2497,IFERROR(INDEX('Sản phẩm'!$E$5:$E$304,MATCH(D2497,'Sản phẩm'!$A$5:$A$304,0)),"")))</f>
        <v/>
      </c>
      <c r="J2497" s="16">
        <f>IF(OR(D2497="",F2497=""),"",F2497*I2497-N(H2497))</f>
        <v/>
      </c>
      <c r="K2497" s="16">
        <f>IF(OR(D2497="",F2497=""),"",F2497*IFERROR(INDEX('Sản phẩm'!$D$5:$D$304,MATCH(D2497,'Sản phẩm'!$A$5:$A$304,0)),""))</f>
        <v/>
      </c>
      <c r="L2497" s="16">
        <f>IF(J2497="","",J2497-K2497)</f>
        <v/>
      </c>
      <c r="M2497" s="14">
        <f>IF(A2497="","",MONTH(A2497))</f>
        <v/>
      </c>
      <c r="N2497" s="14">
        <f>IF(A2497="","",YEAR(A2497))</f>
        <v/>
      </c>
    </row>
    <row r="2498">
      <c r="A2498" s="15" t="n"/>
      <c r="B2498" s="10" t="n"/>
      <c r="C2498" s="10" t="n"/>
      <c r="D2498" s="10" t="n"/>
      <c r="E2498" s="14">
        <f>IF(D2498="","",IFERROR(INDEX('Sản phẩm'!$B$5:$B$304,MATCH(D2498,'Sản phẩm'!$A$5:$A$304,0)),""))</f>
        <v/>
      </c>
      <c r="F2498" s="12" t="n"/>
      <c r="G2498" s="11" t="n"/>
      <c r="H2498" s="11" t="n"/>
      <c r="I2498" s="16">
        <f>IF(D2498="","",IF(G2498&lt;&gt;"",G2498,IFERROR(INDEX('Sản phẩm'!$E$5:$E$304,MATCH(D2498,'Sản phẩm'!$A$5:$A$304,0)),"")))</f>
        <v/>
      </c>
      <c r="J2498" s="16">
        <f>IF(OR(D2498="",F2498=""),"",F2498*I2498-N(H2498))</f>
        <v/>
      </c>
      <c r="K2498" s="16">
        <f>IF(OR(D2498="",F2498=""),"",F2498*IFERROR(INDEX('Sản phẩm'!$D$5:$D$304,MATCH(D2498,'Sản phẩm'!$A$5:$A$304,0)),""))</f>
        <v/>
      </c>
      <c r="L2498" s="16">
        <f>IF(J2498="","",J2498-K2498)</f>
        <v/>
      </c>
      <c r="M2498" s="14">
        <f>IF(A2498="","",MONTH(A2498))</f>
        <v/>
      </c>
      <c r="N2498" s="14">
        <f>IF(A2498="","",YEAR(A2498))</f>
        <v/>
      </c>
    </row>
    <row r="2499">
      <c r="A2499" s="15" t="n"/>
      <c r="B2499" s="10" t="n"/>
      <c r="C2499" s="10" t="n"/>
      <c r="D2499" s="10" t="n"/>
      <c r="E2499" s="14">
        <f>IF(D2499="","",IFERROR(INDEX('Sản phẩm'!$B$5:$B$304,MATCH(D2499,'Sản phẩm'!$A$5:$A$304,0)),""))</f>
        <v/>
      </c>
      <c r="F2499" s="12" t="n"/>
      <c r="G2499" s="11" t="n"/>
      <c r="H2499" s="11" t="n"/>
      <c r="I2499" s="16">
        <f>IF(D2499="","",IF(G2499&lt;&gt;"",G2499,IFERROR(INDEX('Sản phẩm'!$E$5:$E$304,MATCH(D2499,'Sản phẩm'!$A$5:$A$304,0)),"")))</f>
        <v/>
      </c>
      <c r="J2499" s="16">
        <f>IF(OR(D2499="",F2499=""),"",F2499*I2499-N(H2499))</f>
        <v/>
      </c>
      <c r="K2499" s="16">
        <f>IF(OR(D2499="",F2499=""),"",F2499*IFERROR(INDEX('Sản phẩm'!$D$5:$D$304,MATCH(D2499,'Sản phẩm'!$A$5:$A$304,0)),""))</f>
        <v/>
      </c>
      <c r="L2499" s="16">
        <f>IF(J2499="","",J2499-K2499)</f>
        <v/>
      </c>
      <c r="M2499" s="14">
        <f>IF(A2499="","",MONTH(A2499))</f>
        <v/>
      </c>
      <c r="N2499" s="14">
        <f>IF(A2499="","",YEAR(A2499))</f>
        <v/>
      </c>
    </row>
    <row r="2500">
      <c r="A2500" s="15" t="n"/>
      <c r="B2500" s="10" t="n"/>
      <c r="C2500" s="10" t="n"/>
      <c r="D2500" s="10" t="n"/>
      <c r="E2500" s="14">
        <f>IF(D2500="","",IFERROR(INDEX('Sản phẩm'!$B$5:$B$304,MATCH(D2500,'Sản phẩm'!$A$5:$A$304,0)),""))</f>
        <v/>
      </c>
      <c r="F2500" s="12" t="n"/>
      <c r="G2500" s="11" t="n"/>
      <c r="H2500" s="11" t="n"/>
      <c r="I2500" s="16">
        <f>IF(D2500="","",IF(G2500&lt;&gt;"",G2500,IFERROR(INDEX('Sản phẩm'!$E$5:$E$304,MATCH(D2500,'Sản phẩm'!$A$5:$A$304,0)),"")))</f>
        <v/>
      </c>
      <c r="J2500" s="16">
        <f>IF(OR(D2500="",F2500=""),"",F2500*I2500-N(H2500))</f>
        <v/>
      </c>
      <c r="K2500" s="16">
        <f>IF(OR(D2500="",F2500=""),"",F2500*IFERROR(INDEX('Sản phẩm'!$D$5:$D$304,MATCH(D2500,'Sản phẩm'!$A$5:$A$304,0)),""))</f>
        <v/>
      </c>
      <c r="L2500" s="16">
        <f>IF(J2500="","",J2500-K2500)</f>
        <v/>
      </c>
      <c r="M2500" s="14">
        <f>IF(A2500="","",MONTH(A2500))</f>
        <v/>
      </c>
      <c r="N2500" s="14">
        <f>IF(A2500="","",YEAR(A2500))</f>
        <v/>
      </c>
    </row>
    <row r="2501">
      <c r="A2501" s="15" t="n"/>
      <c r="B2501" s="10" t="n"/>
      <c r="C2501" s="10" t="n"/>
      <c r="D2501" s="10" t="n"/>
      <c r="E2501" s="14">
        <f>IF(D2501="","",IFERROR(INDEX('Sản phẩm'!$B$5:$B$304,MATCH(D2501,'Sản phẩm'!$A$5:$A$304,0)),""))</f>
        <v/>
      </c>
      <c r="F2501" s="12" t="n"/>
      <c r="G2501" s="11" t="n"/>
      <c r="H2501" s="11" t="n"/>
      <c r="I2501" s="16">
        <f>IF(D2501="","",IF(G2501&lt;&gt;"",G2501,IFERROR(INDEX('Sản phẩm'!$E$5:$E$304,MATCH(D2501,'Sản phẩm'!$A$5:$A$304,0)),"")))</f>
        <v/>
      </c>
      <c r="J2501" s="16">
        <f>IF(OR(D2501="",F2501=""),"",F2501*I2501-N(H2501))</f>
        <v/>
      </c>
      <c r="K2501" s="16">
        <f>IF(OR(D2501="",F2501=""),"",F2501*IFERROR(INDEX('Sản phẩm'!$D$5:$D$304,MATCH(D2501,'Sản phẩm'!$A$5:$A$304,0)),""))</f>
        <v/>
      </c>
      <c r="L2501" s="16">
        <f>IF(J2501="","",J2501-K2501)</f>
        <v/>
      </c>
      <c r="M2501" s="14">
        <f>IF(A2501="","",MONTH(A2501))</f>
        <v/>
      </c>
      <c r="N2501" s="14">
        <f>IF(A2501="","",YEAR(A2501))</f>
        <v/>
      </c>
    </row>
    <row r="2502">
      <c r="A2502" s="15" t="n"/>
      <c r="B2502" s="10" t="n"/>
      <c r="C2502" s="10" t="n"/>
      <c r="D2502" s="10" t="n"/>
      <c r="E2502" s="14">
        <f>IF(D2502="","",IFERROR(INDEX('Sản phẩm'!$B$5:$B$304,MATCH(D2502,'Sản phẩm'!$A$5:$A$304,0)),""))</f>
        <v/>
      </c>
      <c r="F2502" s="12" t="n"/>
      <c r="G2502" s="11" t="n"/>
      <c r="H2502" s="11" t="n"/>
      <c r="I2502" s="16">
        <f>IF(D2502="","",IF(G2502&lt;&gt;"",G2502,IFERROR(INDEX('Sản phẩm'!$E$5:$E$304,MATCH(D2502,'Sản phẩm'!$A$5:$A$304,0)),"")))</f>
        <v/>
      </c>
      <c r="J2502" s="16">
        <f>IF(OR(D2502="",F2502=""),"",F2502*I2502-N(H2502))</f>
        <v/>
      </c>
      <c r="K2502" s="16">
        <f>IF(OR(D2502="",F2502=""),"",F2502*IFERROR(INDEX('Sản phẩm'!$D$5:$D$304,MATCH(D2502,'Sản phẩm'!$A$5:$A$304,0)),""))</f>
        <v/>
      </c>
      <c r="L2502" s="16">
        <f>IF(J2502="","",J2502-K2502)</f>
        <v/>
      </c>
      <c r="M2502" s="14">
        <f>IF(A2502="","",MONTH(A2502))</f>
        <v/>
      </c>
      <c r="N2502" s="14">
        <f>IF(A2502="","",YEAR(A2502))</f>
        <v/>
      </c>
    </row>
    <row r="2503">
      <c r="A2503" s="15" t="n"/>
      <c r="B2503" s="10" t="n"/>
      <c r="C2503" s="10" t="n"/>
      <c r="D2503" s="10" t="n"/>
      <c r="E2503" s="14">
        <f>IF(D2503="","",IFERROR(INDEX('Sản phẩm'!$B$5:$B$304,MATCH(D2503,'Sản phẩm'!$A$5:$A$304,0)),""))</f>
        <v/>
      </c>
      <c r="F2503" s="12" t="n"/>
      <c r="G2503" s="11" t="n"/>
      <c r="H2503" s="11" t="n"/>
      <c r="I2503" s="16">
        <f>IF(D2503="","",IF(G2503&lt;&gt;"",G2503,IFERROR(INDEX('Sản phẩm'!$E$5:$E$304,MATCH(D2503,'Sản phẩm'!$A$5:$A$304,0)),"")))</f>
        <v/>
      </c>
      <c r="J2503" s="16">
        <f>IF(OR(D2503="",F2503=""),"",F2503*I2503-N(H2503))</f>
        <v/>
      </c>
      <c r="K2503" s="16">
        <f>IF(OR(D2503="",F2503=""),"",F2503*IFERROR(INDEX('Sản phẩm'!$D$5:$D$304,MATCH(D2503,'Sản phẩm'!$A$5:$A$304,0)),""))</f>
        <v/>
      </c>
      <c r="L2503" s="16">
        <f>IF(J2503="","",J2503-K2503)</f>
        <v/>
      </c>
      <c r="M2503" s="14">
        <f>IF(A2503="","",MONTH(A2503))</f>
        <v/>
      </c>
      <c r="N2503" s="14">
        <f>IF(A2503="","",YEAR(A2503))</f>
        <v/>
      </c>
    </row>
    <row r="2504">
      <c r="A2504" s="15" t="n"/>
      <c r="B2504" s="10" t="n"/>
      <c r="C2504" s="10" t="n"/>
      <c r="D2504" s="10" t="n"/>
      <c r="E2504" s="14">
        <f>IF(D2504="","",IFERROR(INDEX('Sản phẩm'!$B$5:$B$304,MATCH(D2504,'Sản phẩm'!$A$5:$A$304,0)),""))</f>
        <v/>
      </c>
      <c r="F2504" s="12" t="n"/>
      <c r="G2504" s="11" t="n"/>
      <c r="H2504" s="11" t="n"/>
      <c r="I2504" s="16">
        <f>IF(D2504="","",IF(G2504&lt;&gt;"",G2504,IFERROR(INDEX('Sản phẩm'!$E$5:$E$304,MATCH(D2504,'Sản phẩm'!$A$5:$A$304,0)),"")))</f>
        <v/>
      </c>
      <c r="J2504" s="16">
        <f>IF(OR(D2504="",F2504=""),"",F2504*I2504-N(H2504))</f>
        <v/>
      </c>
      <c r="K2504" s="16">
        <f>IF(OR(D2504="",F2504=""),"",F2504*IFERROR(INDEX('Sản phẩm'!$D$5:$D$304,MATCH(D2504,'Sản phẩm'!$A$5:$A$304,0)),""))</f>
        <v/>
      </c>
      <c r="L2504" s="16">
        <f>IF(J2504="","",J2504-K2504)</f>
        <v/>
      </c>
      <c r="M2504" s="14">
        <f>IF(A2504="","",MONTH(A2504))</f>
        <v/>
      </c>
      <c r="N2504" s="14">
        <f>IF(A2504="","",YEAR(A2504))</f>
        <v/>
      </c>
    </row>
    <row r="2505">
      <c r="A2505" s="15" t="n"/>
      <c r="B2505" s="10" t="n"/>
      <c r="C2505" s="10" t="n"/>
      <c r="D2505" s="10" t="n"/>
      <c r="E2505" s="14">
        <f>IF(D2505="","",IFERROR(INDEX('Sản phẩm'!$B$5:$B$304,MATCH(D2505,'Sản phẩm'!$A$5:$A$304,0)),""))</f>
        <v/>
      </c>
      <c r="F2505" s="12" t="n"/>
      <c r="G2505" s="11" t="n"/>
      <c r="H2505" s="11" t="n"/>
      <c r="I2505" s="16">
        <f>IF(D2505="","",IF(G2505&lt;&gt;"",G2505,IFERROR(INDEX('Sản phẩm'!$E$5:$E$304,MATCH(D2505,'Sản phẩm'!$A$5:$A$304,0)),"")))</f>
        <v/>
      </c>
      <c r="J2505" s="16">
        <f>IF(OR(D2505="",F2505=""),"",F2505*I2505-N(H2505))</f>
        <v/>
      </c>
      <c r="K2505" s="16">
        <f>IF(OR(D2505="",F2505=""),"",F2505*IFERROR(INDEX('Sản phẩm'!$D$5:$D$304,MATCH(D2505,'Sản phẩm'!$A$5:$A$304,0)),""))</f>
        <v/>
      </c>
      <c r="L2505" s="16">
        <f>IF(J2505="","",J2505-K2505)</f>
        <v/>
      </c>
      <c r="M2505" s="14">
        <f>IF(A2505="","",MONTH(A2505))</f>
        <v/>
      </c>
      <c r="N2505" s="14">
        <f>IF(A2505="","",YEAR(A2505))</f>
        <v/>
      </c>
    </row>
    <row r="2506">
      <c r="A2506" s="15" t="n"/>
      <c r="B2506" s="10" t="n"/>
      <c r="C2506" s="10" t="n"/>
      <c r="D2506" s="10" t="n"/>
      <c r="E2506" s="14">
        <f>IF(D2506="","",IFERROR(INDEX('Sản phẩm'!$B$5:$B$304,MATCH(D2506,'Sản phẩm'!$A$5:$A$304,0)),""))</f>
        <v/>
      </c>
      <c r="F2506" s="12" t="n"/>
      <c r="G2506" s="11" t="n"/>
      <c r="H2506" s="11" t="n"/>
      <c r="I2506" s="16">
        <f>IF(D2506="","",IF(G2506&lt;&gt;"",G2506,IFERROR(INDEX('Sản phẩm'!$E$5:$E$304,MATCH(D2506,'Sản phẩm'!$A$5:$A$304,0)),"")))</f>
        <v/>
      </c>
      <c r="J2506" s="16">
        <f>IF(OR(D2506="",F2506=""),"",F2506*I2506-N(H2506))</f>
        <v/>
      </c>
      <c r="K2506" s="16">
        <f>IF(OR(D2506="",F2506=""),"",F2506*IFERROR(INDEX('Sản phẩm'!$D$5:$D$304,MATCH(D2506,'Sản phẩm'!$A$5:$A$304,0)),""))</f>
        <v/>
      </c>
      <c r="L2506" s="16">
        <f>IF(J2506="","",J2506-K2506)</f>
        <v/>
      </c>
      <c r="M2506" s="14">
        <f>IF(A2506="","",MONTH(A2506))</f>
        <v/>
      </c>
      <c r="N2506" s="14">
        <f>IF(A2506="","",YEAR(A2506))</f>
        <v/>
      </c>
    </row>
    <row r="2507">
      <c r="A2507" s="15" t="n"/>
      <c r="B2507" s="10" t="n"/>
      <c r="C2507" s="10" t="n"/>
      <c r="D2507" s="10" t="n"/>
      <c r="E2507" s="14">
        <f>IF(D2507="","",IFERROR(INDEX('Sản phẩm'!$B$5:$B$304,MATCH(D2507,'Sản phẩm'!$A$5:$A$304,0)),""))</f>
        <v/>
      </c>
      <c r="F2507" s="12" t="n"/>
      <c r="G2507" s="11" t="n"/>
      <c r="H2507" s="11" t="n"/>
      <c r="I2507" s="16">
        <f>IF(D2507="","",IF(G2507&lt;&gt;"",G2507,IFERROR(INDEX('Sản phẩm'!$E$5:$E$304,MATCH(D2507,'Sản phẩm'!$A$5:$A$304,0)),"")))</f>
        <v/>
      </c>
      <c r="J2507" s="16">
        <f>IF(OR(D2507="",F2507=""),"",F2507*I2507-N(H2507))</f>
        <v/>
      </c>
      <c r="K2507" s="16">
        <f>IF(OR(D2507="",F2507=""),"",F2507*IFERROR(INDEX('Sản phẩm'!$D$5:$D$304,MATCH(D2507,'Sản phẩm'!$A$5:$A$304,0)),""))</f>
        <v/>
      </c>
      <c r="L2507" s="16">
        <f>IF(J2507="","",J2507-K2507)</f>
        <v/>
      </c>
      <c r="M2507" s="14">
        <f>IF(A2507="","",MONTH(A2507))</f>
        <v/>
      </c>
      <c r="N2507" s="14">
        <f>IF(A2507="","",YEAR(A2507))</f>
        <v/>
      </c>
    </row>
    <row r="2508">
      <c r="A2508" s="15" t="n"/>
      <c r="B2508" s="10" t="n"/>
      <c r="C2508" s="10" t="n"/>
      <c r="D2508" s="10" t="n"/>
      <c r="E2508" s="14">
        <f>IF(D2508="","",IFERROR(INDEX('Sản phẩm'!$B$5:$B$304,MATCH(D2508,'Sản phẩm'!$A$5:$A$304,0)),""))</f>
        <v/>
      </c>
      <c r="F2508" s="12" t="n"/>
      <c r="G2508" s="11" t="n"/>
      <c r="H2508" s="11" t="n"/>
      <c r="I2508" s="16">
        <f>IF(D2508="","",IF(G2508&lt;&gt;"",G2508,IFERROR(INDEX('Sản phẩm'!$E$5:$E$304,MATCH(D2508,'Sản phẩm'!$A$5:$A$304,0)),"")))</f>
        <v/>
      </c>
      <c r="J2508" s="16">
        <f>IF(OR(D2508="",F2508=""),"",F2508*I2508-N(H2508))</f>
        <v/>
      </c>
      <c r="K2508" s="16">
        <f>IF(OR(D2508="",F2508=""),"",F2508*IFERROR(INDEX('Sản phẩm'!$D$5:$D$304,MATCH(D2508,'Sản phẩm'!$A$5:$A$304,0)),""))</f>
        <v/>
      </c>
      <c r="L2508" s="16">
        <f>IF(J2508="","",J2508-K2508)</f>
        <v/>
      </c>
      <c r="M2508" s="14">
        <f>IF(A2508="","",MONTH(A2508))</f>
        <v/>
      </c>
      <c r="N2508" s="14">
        <f>IF(A2508="","",YEAR(A2508))</f>
        <v/>
      </c>
    </row>
    <row r="2509">
      <c r="A2509" s="15" t="n"/>
      <c r="B2509" s="10" t="n"/>
      <c r="C2509" s="10" t="n"/>
      <c r="D2509" s="10" t="n"/>
      <c r="E2509" s="14">
        <f>IF(D2509="","",IFERROR(INDEX('Sản phẩm'!$B$5:$B$304,MATCH(D2509,'Sản phẩm'!$A$5:$A$304,0)),""))</f>
        <v/>
      </c>
      <c r="F2509" s="12" t="n"/>
      <c r="G2509" s="11" t="n"/>
      <c r="H2509" s="11" t="n"/>
      <c r="I2509" s="16">
        <f>IF(D2509="","",IF(G2509&lt;&gt;"",G2509,IFERROR(INDEX('Sản phẩm'!$E$5:$E$304,MATCH(D2509,'Sản phẩm'!$A$5:$A$304,0)),"")))</f>
        <v/>
      </c>
      <c r="J2509" s="16">
        <f>IF(OR(D2509="",F2509=""),"",F2509*I2509-N(H2509))</f>
        <v/>
      </c>
      <c r="K2509" s="16">
        <f>IF(OR(D2509="",F2509=""),"",F2509*IFERROR(INDEX('Sản phẩm'!$D$5:$D$304,MATCH(D2509,'Sản phẩm'!$A$5:$A$304,0)),""))</f>
        <v/>
      </c>
      <c r="L2509" s="16">
        <f>IF(J2509="","",J2509-K2509)</f>
        <v/>
      </c>
      <c r="M2509" s="14">
        <f>IF(A2509="","",MONTH(A2509))</f>
        <v/>
      </c>
      <c r="N2509" s="14">
        <f>IF(A2509="","",YEAR(A2509))</f>
        <v/>
      </c>
    </row>
    <row r="2510">
      <c r="A2510" s="15" t="n"/>
      <c r="B2510" s="10" t="n"/>
      <c r="C2510" s="10" t="n"/>
      <c r="D2510" s="10" t="n"/>
      <c r="E2510" s="14">
        <f>IF(D2510="","",IFERROR(INDEX('Sản phẩm'!$B$5:$B$304,MATCH(D2510,'Sản phẩm'!$A$5:$A$304,0)),""))</f>
        <v/>
      </c>
      <c r="F2510" s="12" t="n"/>
      <c r="G2510" s="11" t="n"/>
      <c r="H2510" s="11" t="n"/>
      <c r="I2510" s="16">
        <f>IF(D2510="","",IF(G2510&lt;&gt;"",G2510,IFERROR(INDEX('Sản phẩm'!$E$5:$E$304,MATCH(D2510,'Sản phẩm'!$A$5:$A$304,0)),"")))</f>
        <v/>
      </c>
      <c r="J2510" s="16">
        <f>IF(OR(D2510="",F2510=""),"",F2510*I2510-N(H2510))</f>
        <v/>
      </c>
      <c r="K2510" s="16">
        <f>IF(OR(D2510="",F2510=""),"",F2510*IFERROR(INDEX('Sản phẩm'!$D$5:$D$304,MATCH(D2510,'Sản phẩm'!$A$5:$A$304,0)),""))</f>
        <v/>
      </c>
      <c r="L2510" s="16">
        <f>IF(J2510="","",J2510-K2510)</f>
        <v/>
      </c>
      <c r="M2510" s="14">
        <f>IF(A2510="","",MONTH(A2510))</f>
        <v/>
      </c>
      <c r="N2510" s="14">
        <f>IF(A2510="","",YEAR(A2510))</f>
        <v/>
      </c>
    </row>
    <row r="2511">
      <c r="A2511" s="15" t="n"/>
      <c r="B2511" s="10" t="n"/>
      <c r="C2511" s="10" t="n"/>
      <c r="D2511" s="10" t="n"/>
      <c r="E2511" s="14">
        <f>IF(D2511="","",IFERROR(INDEX('Sản phẩm'!$B$5:$B$304,MATCH(D2511,'Sản phẩm'!$A$5:$A$304,0)),""))</f>
        <v/>
      </c>
      <c r="F2511" s="12" t="n"/>
      <c r="G2511" s="11" t="n"/>
      <c r="H2511" s="11" t="n"/>
      <c r="I2511" s="16">
        <f>IF(D2511="","",IF(G2511&lt;&gt;"",G2511,IFERROR(INDEX('Sản phẩm'!$E$5:$E$304,MATCH(D2511,'Sản phẩm'!$A$5:$A$304,0)),"")))</f>
        <v/>
      </c>
      <c r="J2511" s="16">
        <f>IF(OR(D2511="",F2511=""),"",F2511*I2511-N(H2511))</f>
        <v/>
      </c>
      <c r="K2511" s="16">
        <f>IF(OR(D2511="",F2511=""),"",F2511*IFERROR(INDEX('Sản phẩm'!$D$5:$D$304,MATCH(D2511,'Sản phẩm'!$A$5:$A$304,0)),""))</f>
        <v/>
      </c>
      <c r="L2511" s="16">
        <f>IF(J2511="","",J2511-K2511)</f>
        <v/>
      </c>
      <c r="M2511" s="14">
        <f>IF(A2511="","",MONTH(A2511))</f>
        <v/>
      </c>
      <c r="N2511" s="14">
        <f>IF(A2511="","",YEAR(A2511))</f>
        <v/>
      </c>
    </row>
    <row r="2512">
      <c r="A2512" s="15" t="n"/>
      <c r="B2512" s="10" t="n"/>
      <c r="C2512" s="10" t="n"/>
      <c r="D2512" s="10" t="n"/>
      <c r="E2512" s="14">
        <f>IF(D2512="","",IFERROR(INDEX('Sản phẩm'!$B$5:$B$304,MATCH(D2512,'Sản phẩm'!$A$5:$A$304,0)),""))</f>
        <v/>
      </c>
      <c r="F2512" s="12" t="n"/>
      <c r="G2512" s="11" t="n"/>
      <c r="H2512" s="11" t="n"/>
      <c r="I2512" s="16">
        <f>IF(D2512="","",IF(G2512&lt;&gt;"",G2512,IFERROR(INDEX('Sản phẩm'!$E$5:$E$304,MATCH(D2512,'Sản phẩm'!$A$5:$A$304,0)),"")))</f>
        <v/>
      </c>
      <c r="J2512" s="16">
        <f>IF(OR(D2512="",F2512=""),"",F2512*I2512-N(H2512))</f>
        <v/>
      </c>
      <c r="K2512" s="16">
        <f>IF(OR(D2512="",F2512=""),"",F2512*IFERROR(INDEX('Sản phẩm'!$D$5:$D$304,MATCH(D2512,'Sản phẩm'!$A$5:$A$304,0)),""))</f>
        <v/>
      </c>
      <c r="L2512" s="16">
        <f>IF(J2512="","",J2512-K2512)</f>
        <v/>
      </c>
      <c r="M2512" s="14">
        <f>IF(A2512="","",MONTH(A2512))</f>
        <v/>
      </c>
      <c r="N2512" s="14">
        <f>IF(A2512="","",YEAR(A2512))</f>
        <v/>
      </c>
    </row>
    <row r="2513">
      <c r="A2513" s="15" t="n"/>
      <c r="B2513" s="10" t="n"/>
      <c r="C2513" s="10" t="n"/>
      <c r="D2513" s="10" t="n"/>
      <c r="E2513" s="14">
        <f>IF(D2513="","",IFERROR(INDEX('Sản phẩm'!$B$5:$B$304,MATCH(D2513,'Sản phẩm'!$A$5:$A$304,0)),""))</f>
        <v/>
      </c>
      <c r="F2513" s="12" t="n"/>
      <c r="G2513" s="11" t="n"/>
      <c r="H2513" s="11" t="n"/>
      <c r="I2513" s="16">
        <f>IF(D2513="","",IF(G2513&lt;&gt;"",G2513,IFERROR(INDEX('Sản phẩm'!$E$5:$E$304,MATCH(D2513,'Sản phẩm'!$A$5:$A$304,0)),"")))</f>
        <v/>
      </c>
      <c r="J2513" s="16">
        <f>IF(OR(D2513="",F2513=""),"",F2513*I2513-N(H2513))</f>
        <v/>
      </c>
      <c r="K2513" s="16">
        <f>IF(OR(D2513="",F2513=""),"",F2513*IFERROR(INDEX('Sản phẩm'!$D$5:$D$304,MATCH(D2513,'Sản phẩm'!$A$5:$A$304,0)),""))</f>
        <v/>
      </c>
      <c r="L2513" s="16">
        <f>IF(J2513="","",J2513-K2513)</f>
        <v/>
      </c>
      <c r="M2513" s="14">
        <f>IF(A2513="","",MONTH(A2513))</f>
        <v/>
      </c>
      <c r="N2513" s="14">
        <f>IF(A2513="","",YEAR(A2513))</f>
        <v/>
      </c>
    </row>
    <row r="2514">
      <c r="A2514" s="15" t="n"/>
      <c r="B2514" s="10" t="n"/>
      <c r="C2514" s="10" t="n"/>
      <c r="D2514" s="10" t="n"/>
      <c r="E2514" s="14">
        <f>IF(D2514="","",IFERROR(INDEX('Sản phẩm'!$B$5:$B$304,MATCH(D2514,'Sản phẩm'!$A$5:$A$304,0)),""))</f>
        <v/>
      </c>
      <c r="F2514" s="12" t="n"/>
      <c r="G2514" s="11" t="n"/>
      <c r="H2514" s="11" t="n"/>
      <c r="I2514" s="16">
        <f>IF(D2514="","",IF(G2514&lt;&gt;"",G2514,IFERROR(INDEX('Sản phẩm'!$E$5:$E$304,MATCH(D2514,'Sản phẩm'!$A$5:$A$304,0)),"")))</f>
        <v/>
      </c>
      <c r="J2514" s="16">
        <f>IF(OR(D2514="",F2514=""),"",F2514*I2514-N(H2514))</f>
        <v/>
      </c>
      <c r="K2514" s="16">
        <f>IF(OR(D2514="",F2514=""),"",F2514*IFERROR(INDEX('Sản phẩm'!$D$5:$D$304,MATCH(D2514,'Sản phẩm'!$A$5:$A$304,0)),""))</f>
        <v/>
      </c>
      <c r="L2514" s="16">
        <f>IF(J2514="","",J2514-K2514)</f>
        <v/>
      </c>
      <c r="M2514" s="14">
        <f>IF(A2514="","",MONTH(A2514))</f>
        <v/>
      </c>
      <c r="N2514" s="14">
        <f>IF(A2514="","",YEAR(A2514))</f>
        <v/>
      </c>
    </row>
    <row r="2515">
      <c r="A2515" s="15" t="n"/>
      <c r="B2515" s="10" t="n"/>
      <c r="C2515" s="10" t="n"/>
      <c r="D2515" s="10" t="n"/>
      <c r="E2515" s="14">
        <f>IF(D2515="","",IFERROR(INDEX('Sản phẩm'!$B$5:$B$304,MATCH(D2515,'Sản phẩm'!$A$5:$A$304,0)),""))</f>
        <v/>
      </c>
      <c r="F2515" s="12" t="n"/>
      <c r="G2515" s="11" t="n"/>
      <c r="H2515" s="11" t="n"/>
      <c r="I2515" s="16">
        <f>IF(D2515="","",IF(G2515&lt;&gt;"",G2515,IFERROR(INDEX('Sản phẩm'!$E$5:$E$304,MATCH(D2515,'Sản phẩm'!$A$5:$A$304,0)),"")))</f>
        <v/>
      </c>
      <c r="J2515" s="16">
        <f>IF(OR(D2515="",F2515=""),"",F2515*I2515-N(H2515))</f>
        <v/>
      </c>
      <c r="K2515" s="16">
        <f>IF(OR(D2515="",F2515=""),"",F2515*IFERROR(INDEX('Sản phẩm'!$D$5:$D$304,MATCH(D2515,'Sản phẩm'!$A$5:$A$304,0)),""))</f>
        <v/>
      </c>
      <c r="L2515" s="16">
        <f>IF(J2515="","",J2515-K2515)</f>
        <v/>
      </c>
      <c r="M2515" s="14">
        <f>IF(A2515="","",MONTH(A2515))</f>
        <v/>
      </c>
      <c r="N2515" s="14">
        <f>IF(A2515="","",YEAR(A2515))</f>
        <v/>
      </c>
    </row>
    <row r="2516">
      <c r="A2516" s="15" t="n"/>
      <c r="B2516" s="10" t="n"/>
      <c r="C2516" s="10" t="n"/>
      <c r="D2516" s="10" t="n"/>
      <c r="E2516" s="14">
        <f>IF(D2516="","",IFERROR(INDEX('Sản phẩm'!$B$5:$B$304,MATCH(D2516,'Sản phẩm'!$A$5:$A$304,0)),""))</f>
        <v/>
      </c>
      <c r="F2516" s="12" t="n"/>
      <c r="G2516" s="11" t="n"/>
      <c r="H2516" s="11" t="n"/>
      <c r="I2516" s="16">
        <f>IF(D2516="","",IF(G2516&lt;&gt;"",G2516,IFERROR(INDEX('Sản phẩm'!$E$5:$E$304,MATCH(D2516,'Sản phẩm'!$A$5:$A$304,0)),"")))</f>
        <v/>
      </c>
      <c r="J2516" s="16">
        <f>IF(OR(D2516="",F2516=""),"",F2516*I2516-N(H2516))</f>
        <v/>
      </c>
      <c r="K2516" s="16">
        <f>IF(OR(D2516="",F2516=""),"",F2516*IFERROR(INDEX('Sản phẩm'!$D$5:$D$304,MATCH(D2516,'Sản phẩm'!$A$5:$A$304,0)),""))</f>
        <v/>
      </c>
      <c r="L2516" s="16">
        <f>IF(J2516="","",J2516-K2516)</f>
        <v/>
      </c>
      <c r="M2516" s="14">
        <f>IF(A2516="","",MONTH(A2516))</f>
        <v/>
      </c>
      <c r="N2516" s="14">
        <f>IF(A2516="","",YEAR(A2516))</f>
        <v/>
      </c>
    </row>
    <row r="2517">
      <c r="A2517" s="15" t="n"/>
      <c r="B2517" s="10" t="n"/>
      <c r="C2517" s="10" t="n"/>
      <c r="D2517" s="10" t="n"/>
      <c r="E2517" s="14">
        <f>IF(D2517="","",IFERROR(INDEX('Sản phẩm'!$B$5:$B$304,MATCH(D2517,'Sản phẩm'!$A$5:$A$304,0)),""))</f>
        <v/>
      </c>
      <c r="F2517" s="12" t="n"/>
      <c r="G2517" s="11" t="n"/>
      <c r="H2517" s="11" t="n"/>
      <c r="I2517" s="16">
        <f>IF(D2517="","",IF(G2517&lt;&gt;"",G2517,IFERROR(INDEX('Sản phẩm'!$E$5:$E$304,MATCH(D2517,'Sản phẩm'!$A$5:$A$304,0)),"")))</f>
        <v/>
      </c>
      <c r="J2517" s="16">
        <f>IF(OR(D2517="",F2517=""),"",F2517*I2517-N(H2517))</f>
        <v/>
      </c>
      <c r="K2517" s="16">
        <f>IF(OR(D2517="",F2517=""),"",F2517*IFERROR(INDEX('Sản phẩm'!$D$5:$D$304,MATCH(D2517,'Sản phẩm'!$A$5:$A$304,0)),""))</f>
        <v/>
      </c>
      <c r="L2517" s="16">
        <f>IF(J2517="","",J2517-K2517)</f>
        <v/>
      </c>
      <c r="M2517" s="14">
        <f>IF(A2517="","",MONTH(A2517))</f>
        <v/>
      </c>
      <c r="N2517" s="14">
        <f>IF(A2517="","",YEAR(A2517))</f>
        <v/>
      </c>
    </row>
    <row r="2518">
      <c r="A2518" s="15" t="n"/>
      <c r="B2518" s="10" t="n"/>
      <c r="C2518" s="10" t="n"/>
      <c r="D2518" s="10" t="n"/>
      <c r="E2518" s="14">
        <f>IF(D2518="","",IFERROR(INDEX('Sản phẩm'!$B$5:$B$304,MATCH(D2518,'Sản phẩm'!$A$5:$A$304,0)),""))</f>
        <v/>
      </c>
      <c r="F2518" s="12" t="n"/>
      <c r="G2518" s="11" t="n"/>
      <c r="H2518" s="11" t="n"/>
      <c r="I2518" s="16">
        <f>IF(D2518="","",IF(G2518&lt;&gt;"",G2518,IFERROR(INDEX('Sản phẩm'!$E$5:$E$304,MATCH(D2518,'Sản phẩm'!$A$5:$A$304,0)),"")))</f>
        <v/>
      </c>
      <c r="J2518" s="16">
        <f>IF(OR(D2518="",F2518=""),"",F2518*I2518-N(H2518))</f>
        <v/>
      </c>
      <c r="K2518" s="16">
        <f>IF(OR(D2518="",F2518=""),"",F2518*IFERROR(INDEX('Sản phẩm'!$D$5:$D$304,MATCH(D2518,'Sản phẩm'!$A$5:$A$304,0)),""))</f>
        <v/>
      </c>
      <c r="L2518" s="16">
        <f>IF(J2518="","",J2518-K2518)</f>
        <v/>
      </c>
      <c r="M2518" s="14">
        <f>IF(A2518="","",MONTH(A2518))</f>
        <v/>
      </c>
      <c r="N2518" s="14">
        <f>IF(A2518="","",YEAR(A2518))</f>
        <v/>
      </c>
    </row>
    <row r="2519">
      <c r="A2519" s="15" t="n"/>
      <c r="B2519" s="10" t="n"/>
      <c r="C2519" s="10" t="n"/>
      <c r="D2519" s="10" t="n"/>
      <c r="E2519" s="14">
        <f>IF(D2519="","",IFERROR(INDEX('Sản phẩm'!$B$5:$B$304,MATCH(D2519,'Sản phẩm'!$A$5:$A$304,0)),""))</f>
        <v/>
      </c>
      <c r="F2519" s="12" t="n"/>
      <c r="G2519" s="11" t="n"/>
      <c r="H2519" s="11" t="n"/>
      <c r="I2519" s="16">
        <f>IF(D2519="","",IF(G2519&lt;&gt;"",G2519,IFERROR(INDEX('Sản phẩm'!$E$5:$E$304,MATCH(D2519,'Sản phẩm'!$A$5:$A$304,0)),"")))</f>
        <v/>
      </c>
      <c r="J2519" s="16">
        <f>IF(OR(D2519="",F2519=""),"",F2519*I2519-N(H2519))</f>
        <v/>
      </c>
      <c r="K2519" s="16">
        <f>IF(OR(D2519="",F2519=""),"",F2519*IFERROR(INDEX('Sản phẩm'!$D$5:$D$304,MATCH(D2519,'Sản phẩm'!$A$5:$A$304,0)),""))</f>
        <v/>
      </c>
      <c r="L2519" s="16">
        <f>IF(J2519="","",J2519-K2519)</f>
        <v/>
      </c>
      <c r="M2519" s="14">
        <f>IF(A2519="","",MONTH(A2519))</f>
        <v/>
      </c>
      <c r="N2519" s="14">
        <f>IF(A2519="","",YEAR(A2519))</f>
        <v/>
      </c>
    </row>
    <row r="2520">
      <c r="A2520" s="15" t="n"/>
      <c r="B2520" s="10" t="n"/>
      <c r="C2520" s="10" t="n"/>
      <c r="D2520" s="10" t="n"/>
      <c r="E2520" s="14">
        <f>IF(D2520="","",IFERROR(INDEX('Sản phẩm'!$B$5:$B$304,MATCH(D2520,'Sản phẩm'!$A$5:$A$304,0)),""))</f>
        <v/>
      </c>
      <c r="F2520" s="12" t="n"/>
      <c r="G2520" s="11" t="n"/>
      <c r="H2520" s="11" t="n"/>
      <c r="I2520" s="16">
        <f>IF(D2520="","",IF(G2520&lt;&gt;"",G2520,IFERROR(INDEX('Sản phẩm'!$E$5:$E$304,MATCH(D2520,'Sản phẩm'!$A$5:$A$304,0)),"")))</f>
        <v/>
      </c>
      <c r="J2520" s="16">
        <f>IF(OR(D2520="",F2520=""),"",F2520*I2520-N(H2520))</f>
        <v/>
      </c>
      <c r="K2520" s="16">
        <f>IF(OR(D2520="",F2520=""),"",F2520*IFERROR(INDEX('Sản phẩm'!$D$5:$D$304,MATCH(D2520,'Sản phẩm'!$A$5:$A$304,0)),""))</f>
        <v/>
      </c>
      <c r="L2520" s="16">
        <f>IF(J2520="","",J2520-K2520)</f>
        <v/>
      </c>
      <c r="M2520" s="14">
        <f>IF(A2520="","",MONTH(A2520))</f>
        <v/>
      </c>
      <c r="N2520" s="14">
        <f>IF(A2520="","",YEAR(A2520))</f>
        <v/>
      </c>
    </row>
    <row r="2521">
      <c r="A2521" s="15" t="n"/>
      <c r="B2521" s="10" t="n"/>
      <c r="C2521" s="10" t="n"/>
      <c r="D2521" s="10" t="n"/>
      <c r="E2521" s="14">
        <f>IF(D2521="","",IFERROR(INDEX('Sản phẩm'!$B$5:$B$304,MATCH(D2521,'Sản phẩm'!$A$5:$A$304,0)),""))</f>
        <v/>
      </c>
      <c r="F2521" s="12" t="n"/>
      <c r="G2521" s="11" t="n"/>
      <c r="H2521" s="11" t="n"/>
      <c r="I2521" s="16">
        <f>IF(D2521="","",IF(G2521&lt;&gt;"",G2521,IFERROR(INDEX('Sản phẩm'!$E$5:$E$304,MATCH(D2521,'Sản phẩm'!$A$5:$A$304,0)),"")))</f>
        <v/>
      </c>
      <c r="J2521" s="16">
        <f>IF(OR(D2521="",F2521=""),"",F2521*I2521-N(H2521))</f>
        <v/>
      </c>
      <c r="K2521" s="16">
        <f>IF(OR(D2521="",F2521=""),"",F2521*IFERROR(INDEX('Sản phẩm'!$D$5:$D$304,MATCH(D2521,'Sản phẩm'!$A$5:$A$304,0)),""))</f>
        <v/>
      </c>
      <c r="L2521" s="16">
        <f>IF(J2521="","",J2521-K2521)</f>
        <v/>
      </c>
      <c r="M2521" s="14">
        <f>IF(A2521="","",MONTH(A2521))</f>
        <v/>
      </c>
      <c r="N2521" s="14">
        <f>IF(A2521="","",YEAR(A2521))</f>
        <v/>
      </c>
    </row>
    <row r="2522">
      <c r="A2522" s="15" t="n"/>
      <c r="B2522" s="10" t="n"/>
      <c r="C2522" s="10" t="n"/>
      <c r="D2522" s="10" t="n"/>
      <c r="E2522" s="14">
        <f>IF(D2522="","",IFERROR(INDEX('Sản phẩm'!$B$5:$B$304,MATCH(D2522,'Sản phẩm'!$A$5:$A$304,0)),""))</f>
        <v/>
      </c>
      <c r="F2522" s="12" t="n"/>
      <c r="G2522" s="11" t="n"/>
      <c r="H2522" s="11" t="n"/>
      <c r="I2522" s="16">
        <f>IF(D2522="","",IF(G2522&lt;&gt;"",G2522,IFERROR(INDEX('Sản phẩm'!$E$5:$E$304,MATCH(D2522,'Sản phẩm'!$A$5:$A$304,0)),"")))</f>
        <v/>
      </c>
      <c r="J2522" s="16">
        <f>IF(OR(D2522="",F2522=""),"",F2522*I2522-N(H2522))</f>
        <v/>
      </c>
      <c r="K2522" s="16">
        <f>IF(OR(D2522="",F2522=""),"",F2522*IFERROR(INDEX('Sản phẩm'!$D$5:$D$304,MATCH(D2522,'Sản phẩm'!$A$5:$A$304,0)),""))</f>
        <v/>
      </c>
      <c r="L2522" s="16">
        <f>IF(J2522="","",J2522-K2522)</f>
        <v/>
      </c>
      <c r="M2522" s="14">
        <f>IF(A2522="","",MONTH(A2522))</f>
        <v/>
      </c>
      <c r="N2522" s="14">
        <f>IF(A2522="","",YEAR(A2522))</f>
        <v/>
      </c>
    </row>
    <row r="2523">
      <c r="A2523" s="15" t="n"/>
      <c r="B2523" s="10" t="n"/>
      <c r="C2523" s="10" t="n"/>
      <c r="D2523" s="10" t="n"/>
      <c r="E2523" s="14">
        <f>IF(D2523="","",IFERROR(INDEX('Sản phẩm'!$B$5:$B$304,MATCH(D2523,'Sản phẩm'!$A$5:$A$304,0)),""))</f>
        <v/>
      </c>
      <c r="F2523" s="12" t="n"/>
      <c r="G2523" s="11" t="n"/>
      <c r="H2523" s="11" t="n"/>
      <c r="I2523" s="16">
        <f>IF(D2523="","",IF(G2523&lt;&gt;"",G2523,IFERROR(INDEX('Sản phẩm'!$E$5:$E$304,MATCH(D2523,'Sản phẩm'!$A$5:$A$304,0)),"")))</f>
        <v/>
      </c>
      <c r="J2523" s="16">
        <f>IF(OR(D2523="",F2523=""),"",F2523*I2523-N(H2523))</f>
        <v/>
      </c>
      <c r="K2523" s="16">
        <f>IF(OR(D2523="",F2523=""),"",F2523*IFERROR(INDEX('Sản phẩm'!$D$5:$D$304,MATCH(D2523,'Sản phẩm'!$A$5:$A$304,0)),""))</f>
        <v/>
      </c>
      <c r="L2523" s="16">
        <f>IF(J2523="","",J2523-K2523)</f>
        <v/>
      </c>
      <c r="M2523" s="14">
        <f>IF(A2523="","",MONTH(A2523))</f>
        <v/>
      </c>
      <c r="N2523" s="14">
        <f>IF(A2523="","",YEAR(A2523))</f>
        <v/>
      </c>
    </row>
    <row r="2524">
      <c r="A2524" s="15" t="n"/>
      <c r="B2524" s="10" t="n"/>
      <c r="C2524" s="10" t="n"/>
      <c r="D2524" s="10" t="n"/>
      <c r="E2524" s="14">
        <f>IF(D2524="","",IFERROR(INDEX('Sản phẩm'!$B$5:$B$304,MATCH(D2524,'Sản phẩm'!$A$5:$A$304,0)),""))</f>
        <v/>
      </c>
      <c r="F2524" s="12" t="n"/>
      <c r="G2524" s="11" t="n"/>
      <c r="H2524" s="11" t="n"/>
      <c r="I2524" s="16">
        <f>IF(D2524="","",IF(G2524&lt;&gt;"",G2524,IFERROR(INDEX('Sản phẩm'!$E$5:$E$304,MATCH(D2524,'Sản phẩm'!$A$5:$A$304,0)),"")))</f>
        <v/>
      </c>
      <c r="J2524" s="16">
        <f>IF(OR(D2524="",F2524=""),"",F2524*I2524-N(H2524))</f>
        <v/>
      </c>
      <c r="K2524" s="16">
        <f>IF(OR(D2524="",F2524=""),"",F2524*IFERROR(INDEX('Sản phẩm'!$D$5:$D$304,MATCH(D2524,'Sản phẩm'!$A$5:$A$304,0)),""))</f>
        <v/>
      </c>
      <c r="L2524" s="16">
        <f>IF(J2524="","",J2524-K2524)</f>
        <v/>
      </c>
      <c r="M2524" s="14">
        <f>IF(A2524="","",MONTH(A2524))</f>
        <v/>
      </c>
      <c r="N2524" s="14">
        <f>IF(A2524="","",YEAR(A2524))</f>
        <v/>
      </c>
    </row>
    <row r="2525">
      <c r="A2525" s="15" t="n"/>
      <c r="B2525" s="10" t="n"/>
      <c r="C2525" s="10" t="n"/>
      <c r="D2525" s="10" t="n"/>
      <c r="E2525" s="14">
        <f>IF(D2525="","",IFERROR(INDEX('Sản phẩm'!$B$5:$B$304,MATCH(D2525,'Sản phẩm'!$A$5:$A$304,0)),""))</f>
        <v/>
      </c>
      <c r="F2525" s="12" t="n"/>
      <c r="G2525" s="11" t="n"/>
      <c r="H2525" s="11" t="n"/>
      <c r="I2525" s="16">
        <f>IF(D2525="","",IF(G2525&lt;&gt;"",G2525,IFERROR(INDEX('Sản phẩm'!$E$5:$E$304,MATCH(D2525,'Sản phẩm'!$A$5:$A$304,0)),"")))</f>
        <v/>
      </c>
      <c r="J2525" s="16">
        <f>IF(OR(D2525="",F2525=""),"",F2525*I2525-N(H2525))</f>
        <v/>
      </c>
      <c r="K2525" s="16">
        <f>IF(OR(D2525="",F2525=""),"",F2525*IFERROR(INDEX('Sản phẩm'!$D$5:$D$304,MATCH(D2525,'Sản phẩm'!$A$5:$A$304,0)),""))</f>
        <v/>
      </c>
      <c r="L2525" s="16">
        <f>IF(J2525="","",J2525-K2525)</f>
        <v/>
      </c>
      <c r="M2525" s="14">
        <f>IF(A2525="","",MONTH(A2525))</f>
        <v/>
      </c>
      <c r="N2525" s="14">
        <f>IF(A2525="","",YEAR(A2525))</f>
        <v/>
      </c>
    </row>
    <row r="2526">
      <c r="A2526" s="15" t="n"/>
      <c r="B2526" s="10" t="n"/>
      <c r="C2526" s="10" t="n"/>
      <c r="D2526" s="10" t="n"/>
      <c r="E2526" s="14">
        <f>IF(D2526="","",IFERROR(INDEX('Sản phẩm'!$B$5:$B$304,MATCH(D2526,'Sản phẩm'!$A$5:$A$304,0)),""))</f>
        <v/>
      </c>
      <c r="F2526" s="12" t="n"/>
      <c r="G2526" s="11" t="n"/>
      <c r="H2526" s="11" t="n"/>
      <c r="I2526" s="16">
        <f>IF(D2526="","",IF(G2526&lt;&gt;"",G2526,IFERROR(INDEX('Sản phẩm'!$E$5:$E$304,MATCH(D2526,'Sản phẩm'!$A$5:$A$304,0)),"")))</f>
        <v/>
      </c>
      <c r="J2526" s="16">
        <f>IF(OR(D2526="",F2526=""),"",F2526*I2526-N(H2526))</f>
        <v/>
      </c>
      <c r="K2526" s="16">
        <f>IF(OR(D2526="",F2526=""),"",F2526*IFERROR(INDEX('Sản phẩm'!$D$5:$D$304,MATCH(D2526,'Sản phẩm'!$A$5:$A$304,0)),""))</f>
        <v/>
      </c>
      <c r="L2526" s="16">
        <f>IF(J2526="","",J2526-K2526)</f>
        <v/>
      </c>
      <c r="M2526" s="14">
        <f>IF(A2526="","",MONTH(A2526))</f>
        <v/>
      </c>
      <c r="N2526" s="14">
        <f>IF(A2526="","",YEAR(A2526))</f>
        <v/>
      </c>
    </row>
    <row r="2527">
      <c r="A2527" s="15" t="n"/>
      <c r="B2527" s="10" t="n"/>
      <c r="C2527" s="10" t="n"/>
      <c r="D2527" s="10" t="n"/>
      <c r="E2527" s="14">
        <f>IF(D2527="","",IFERROR(INDEX('Sản phẩm'!$B$5:$B$304,MATCH(D2527,'Sản phẩm'!$A$5:$A$304,0)),""))</f>
        <v/>
      </c>
      <c r="F2527" s="12" t="n"/>
      <c r="G2527" s="11" t="n"/>
      <c r="H2527" s="11" t="n"/>
      <c r="I2527" s="16">
        <f>IF(D2527="","",IF(G2527&lt;&gt;"",G2527,IFERROR(INDEX('Sản phẩm'!$E$5:$E$304,MATCH(D2527,'Sản phẩm'!$A$5:$A$304,0)),"")))</f>
        <v/>
      </c>
      <c r="J2527" s="16">
        <f>IF(OR(D2527="",F2527=""),"",F2527*I2527-N(H2527))</f>
        <v/>
      </c>
      <c r="K2527" s="16">
        <f>IF(OR(D2527="",F2527=""),"",F2527*IFERROR(INDEX('Sản phẩm'!$D$5:$D$304,MATCH(D2527,'Sản phẩm'!$A$5:$A$304,0)),""))</f>
        <v/>
      </c>
      <c r="L2527" s="16">
        <f>IF(J2527="","",J2527-K2527)</f>
        <v/>
      </c>
      <c r="M2527" s="14">
        <f>IF(A2527="","",MONTH(A2527))</f>
        <v/>
      </c>
      <c r="N2527" s="14">
        <f>IF(A2527="","",YEAR(A2527))</f>
        <v/>
      </c>
    </row>
    <row r="2528">
      <c r="A2528" s="15" t="n"/>
      <c r="B2528" s="10" t="n"/>
      <c r="C2528" s="10" t="n"/>
      <c r="D2528" s="10" t="n"/>
      <c r="E2528" s="14">
        <f>IF(D2528="","",IFERROR(INDEX('Sản phẩm'!$B$5:$B$304,MATCH(D2528,'Sản phẩm'!$A$5:$A$304,0)),""))</f>
        <v/>
      </c>
      <c r="F2528" s="12" t="n"/>
      <c r="G2528" s="11" t="n"/>
      <c r="H2528" s="11" t="n"/>
      <c r="I2528" s="16">
        <f>IF(D2528="","",IF(G2528&lt;&gt;"",G2528,IFERROR(INDEX('Sản phẩm'!$E$5:$E$304,MATCH(D2528,'Sản phẩm'!$A$5:$A$304,0)),"")))</f>
        <v/>
      </c>
      <c r="J2528" s="16">
        <f>IF(OR(D2528="",F2528=""),"",F2528*I2528-N(H2528))</f>
        <v/>
      </c>
      <c r="K2528" s="16">
        <f>IF(OR(D2528="",F2528=""),"",F2528*IFERROR(INDEX('Sản phẩm'!$D$5:$D$304,MATCH(D2528,'Sản phẩm'!$A$5:$A$304,0)),""))</f>
        <v/>
      </c>
      <c r="L2528" s="16">
        <f>IF(J2528="","",J2528-K2528)</f>
        <v/>
      </c>
      <c r="M2528" s="14">
        <f>IF(A2528="","",MONTH(A2528))</f>
        <v/>
      </c>
      <c r="N2528" s="14">
        <f>IF(A2528="","",YEAR(A2528))</f>
        <v/>
      </c>
    </row>
    <row r="2529">
      <c r="A2529" s="15" t="n"/>
      <c r="B2529" s="10" t="n"/>
      <c r="C2529" s="10" t="n"/>
      <c r="D2529" s="10" t="n"/>
      <c r="E2529" s="14">
        <f>IF(D2529="","",IFERROR(INDEX('Sản phẩm'!$B$5:$B$304,MATCH(D2529,'Sản phẩm'!$A$5:$A$304,0)),""))</f>
        <v/>
      </c>
      <c r="F2529" s="12" t="n"/>
      <c r="G2529" s="11" t="n"/>
      <c r="H2529" s="11" t="n"/>
      <c r="I2529" s="16">
        <f>IF(D2529="","",IF(G2529&lt;&gt;"",G2529,IFERROR(INDEX('Sản phẩm'!$E$5:$E$304,MATCH(D2529,'Sản phẩm'!$A$5:$A$304,0)),"")))</f>
        <v/>
      </c>
      <c r="J2529" s="16">
        <f>IF(OR(D2529="",F2529=""),"",F2529*I2529-N(H2529))</f>
        <v/>
      </c>
      <c r="K2529" s="16">
        <f>IF(OR(D2529="",F2529=""),"",F2529*IFERROR(INDEX('Sản phẩm'!$D$5:$D$304,MATCH(D2529,'Sản phẩm'!$A$5:$A$304,0)),""))</f>
        <v/>
      </c>
      <c r="L2529" s="16">
        <f>IF(J2529="","",J2529-K2529)</f>
        <v/>
      </c>
      <c r="M2529" s="14">
        <f>IF(A2529="","",MONTH(A2529))</f>
        <v/>
      </c>
      <c r="N2529" s="14">
        <f>IF(A2529="","",YEAR(A2529))</f>
        <v/>
      </c>
    </row>
    <row r="2530">
      <c r="A2530" s="15" t="n"/>
      <c r="B2530" s="10" t="n"/>
      <c r="C2530" s="10" t="n"/>
      <c r="D2530" s="10" t="n"/>
      <c r="E2530" s="14">
        <f>IF(D2530="","",IFERROR(INDEX('Sản phẩm'!$B$5:$B$304,MATCH(D2530,'Sản phẩm'!$A$5:$A$304,0)),""))</f>
        <v/>
      </c>
      <c r="F2530" s="12" t="n"/>
      <c r="G2530" s="11" t="n"/>
      <c r="H2530" s="11" t="n"/>
      <c r="I2530" s="16">
        <f>IF(D2530="","",IF(G2530&lt;&gt;"",G2530,IFERROR(INDEX('Sản phẩm'!$E$5:$E$304,MATCH(D2530,'Sản phẩm'!$A$5:$A$304,0)),"")))</f>
        <v/>
      </c>
      <c r="J2530" s="16">
        <f>IF(OR(D2530="",F2530=""),"",F2530*I2530-N(H2530))</f>
        <v/>
      </c>
      <c r="K2530" s="16">
        <f>IF(OR(D2530="",F2530=""),"",F2530*IFERROR(INDEX('Sản phẩm'!$D$5:$D$304,MATCH(D2530,'Sản phẩm'!$A$5:$A$304,0)),""))</f>
        <v/>
      </c>
      <c r="L2530" s="16">
        <f>IF(J2530="","",J2530-K2530)</f>
        <v/>
      </c>
      <c r="M2530" s="14">
        <f>IF(A2530="","",MONTH(A2530))</f>
        <v/>
      </c>
      <c r="N2530" s="14">
        <f>IF(A2530="","",YEAR(A2530))</f>
        <v/>
      </c>
    </row>
    <row r="2531">
      <c r="A2531" s="15" t="n"/>
      <c r="B2531" s="10" t="n"/>
      <c r="C2531" s="10" t="n"/>
      <c r="D2531" s="10" t="n"/>
      <c r="E2531" s="14">
        <f>IF(D2531="","",IFERROR(INDEX('Sản phẩm'!$B$5:$B$304,MATCH(D2531,'Sản phẩm'!$A$5:$A$304,0)),""))</f>
        <v/>
      </c>
      <c r="F2531" s="12" t="n"/>
      <c r="G2531" s="11" t="n"/>
      <c r="H2531" s="11" t="n"/>
      <c r="I2531" s="16">
        <f>IF(D2531="","",IF(G2531&lt;&gt;"",G2531,IFERROR(INDEX('Sản phẩm'!$E$5:$E$304,MATCH(D2531,'Sản phẩm'!$A$5:$A$304,0)),"")))</f>
        <v/>
      </c>
      <c r="J2531" s="16">
        <f>IF(OR(D2531="",F2531=""),"",F2531*I2531-N(H2531))</f>
        <v/>
      </c>
      <c r="K2531" s="16">
        <f>IF(OR(D2531="",F2531=""),"",F2531*IFERROR(INDEX('Sản phẩm'!$D$5:$D$304,MATCH(D2531,'Sản phẩm'!$A$5:$A$304,0)),""))</f>
        <v/>
      </c>
      <c r="L2531" s="16">
        <f>IF(J2531="","",J2531-K2531)</f>
        <v/>
      </c>
      <c r="M2531" s="14">
        <f>IF(A2531="","",MONTH(A2531))</f>
        <v/>
      </c>
      <c r="N2531" s="14">
        <f>IF(A2531="","",YEAR(A2531))</f>
        <v/>
      </c>
    </row>
    <row r="2532">
      <c r="A2532" s="15" t="n"/>
      <c r="B2532" s="10" t="n"/>
      <c r="C2532" s="10" t="n"/>
      <c r="D2532" s="10" t="n"/>
      <c r="E2532" s="14">
        <f>IF(D2532="","",IFERROR(INDEX('Sản phẩm'!$B$5:$B$304,MATCH(D2532,'Sản phẩm'!$A$5:$A$304,0)),""))</f>
        <v/>
      </c>
      <c r="F2532" s="12" t="n"/>
      <c r="G2532" s="11" t="n"/>
      <c r="H2532" s="11" t="n"/>
      <c r="I2532" s="16">
        <f>IF(D2532="","",IF(G2532&lt;&gt;"",G2532,IFERROR(INDEX('Sản phẩm'!$E$5:$E$304,MATCH(D2532,'Sản phẩm'!$A$5:$A$304,0)),"")))</f>
        <v/>
      </c>
      <c r="J2532" s="16">
        <f>IF(OR(D2532="",F2532=""),"",F2532*I2532-N(H2532))</f>
        <v/>
      </c>
      <c r="K2532" s="16">
        <f>IF(OR(D2532="",F2532=""),"",F2532*IFERROR(INDEX('Sản phẩm'!$D$5:$D$304,MATCH(D2532,'Sản phẩm'!$A$5:$A$304,0)),""))</f>
        <v/>
      </c>
      <c r="L2532" s="16">
        <f>IF(J2532="","",J2532-K2532)</f>
        <v/>
      </c>
      <c r="M2532" s="14">
        <f>IF(A2532="","",MONTH(A2532))</f>
        <v/>
      </c>
      <c r="N2532" s="14">
        <f>IF(A2532="","",YEAR(A2532))</f>
        <v/>
      </c>
    </row>
    <row r="2533">
      <c r="A2533" s="15" t="n"/>
      <c r="B2533" s="10" t="n"/>
      <c r="C2533" s="10" t="n"/>
      <c r="D2533" s="10" t="n"/>
      <c r="E2533" s="14">
        <f>IF(D2533="","",IFERROR(INDEX('Sản phẩm'!$B$5:$B$304,MATCH(D2533,'Sản phẩm'!$A$5:$A$304,0)),""))</f>
        <v/>
      </c>
      <c r="F2533" s="12" t="n"/>
      <c r="G2533" s="11" t="n"/>
      <c r="H2533" s="11" t="n"/>
      <c r="I2533" s="16">
        <f>IF(D2533="","",IF(G2533&lt;&gt;"",G2533,IFERROR(INDEX('Sản phẩm'!$E$5:$E$304,MATCH(D2533,'Sản phẩm'!$A$5:$A$304,0)),"")))</f>
        <v/>
      </c>
      <c r="J2533" s="16">
        <f>IF(OR(D2533="",F2533=""),"",F2533*I2533-N(H2533))</f>
        <v/>
      </c>
      <c r="K2533" s="16">
        <f>IF(OR(D2533="",F2533=""),"",F2533*IFERROR(INDEX('Sản phẩm'!$D$5:$D$304,MATCH(D2533,'Sản phẩm'!$A$5:$A$304,0)),""))</f>
        <v/>
      </c>
      <c r="L2533" s="16">
        <f>IF(J2533="","",J2533-K2533)</f>
        <v/>
      </c>
      <c r="M2533" s="14">
        <f>IF(A2533="","",MONTH(A2533))</f>
        <v/>
      </c>
      <c r="N2533" s="14">
        <f>IF(A2533="","",YEAR(A2533))</f>
        <v/>
      </c>
    </row>
    <row r="2534">
      <c r="A2534" s="15" t="n"/>
      <c r="B2534" s="10" t="n"/>
      <c r="C2534" s="10" t="n"/>
      <c r="D2534" s="10" t="n"/>
      <c r="E2534" s="14">
        <f>IF(D2534="","",IFERROR(INDEX('Sản phẩm'!$B$5:$B$304,MATCH(D2534,'Sản phẩm'!$A$5:$A$304,0)),""))</f>
        <v/>
      </c>
      <c r="F2534" s="12" t="n"/>
      <c r="G2534" s="11" t="n"/>
      <c r="H2534" s="11" t="n"/>
      <c r="I2534" s="16">
        <f>IF(D2534="","",IF(G2534&lt;&gt;"",G2534,IFERROR(INDEX('Sản phẩm'!$E$5:$E$304,MATCH(D2534,'Sản phẩm'!$A$5:$A$304,0)),"")))</f>
        <v/>
      </c>
      <c r="J2534" s="16">
        <f>IF(OR(D2534="",F2534=""),"",F2534*I2534-N(H2534))</f>
        <v/>
      </c>
      <c r="K2534" s="16">
        <f>IF(OR(D2534="",F2534=""),"",F2534*IFERROR(INDEX('Sản phẩm'!$D$5:$D$304,MATCH(D2534,'Sản phẩm'!$A$5:$A$304,0)),""))</f>
        <v/>
      </c>
      <c r="L2534" s="16">
        <f>IF(J2534="","",J2534-K2534)</f>
        <v/>
      </c>
      <c r="M2534" s="14">
        <f>IF(A2534="","",MONTH(A2534))</f>
        <v/>
      </c>
      <c r="N2534" s="14">
        <f>IF(A2534="","",YEAR(A2534))</f>
        <v/>
      </c>
    </row>
    <row r="2535">
      <c r="A2535" s="15" t="n"/>
      <c r="B2535" s="10" t="n"/>
      <c r="C2535" s="10" t="n"/>
      <c r="D2535" s="10" t="n"/>
      <c r="E2535" s="14">
        <f>IF(D2535="","",IFERROR(INDEX('Sản phẩm'!$B$5:$B$304,MATCH(D2535,'Sản phẩm'!$A$5:$A$304,0)),""))</f>
        <v/>
      </c>
      <c r="F2535" s="12" t="n"/>
      <c r="G2535" s="11" t="n"/>
      <c r="H2535" s="11" t="n"/>
      <c r="I2535" s="16">
        <f>IF(D2535="","",IF(G2535&lt;&gt;"",G2535,IFERROR(INDEX('Sản phẩm'!$E$5:$E$304,MATCH(D2535,'Sản phẩm'!$A$5:$A$304,0)),"")))</f>
        <v/>
      </c>
      <c r="J2535" s="16">
        <f>IF(OR(D2535="",F2535=""),"",F2535*I2535-N(H2535))</f>
        <v/>
      </c>
      <c r="K2535" s="16">
        <f>IF(OR(D2535="",F2535=""),"",F2535*IFERROR(INDEX('Sản phẩm'!$D$5:$D$304,MATCH(D2535,'Sản phẩm'!$A$5:$A$304,0)),""))</f>
        <v/>
      </c>
      <c r="L2535" s="16">
        <f>IF(J2535="","",J2535-K2535)</f>
        <v/>
      </c>
      <c r="M2535" s="14">
        <f>IF(A2535="","",MONTH(A2535))</f>
        <v/>
      </c>
      <c r="N2535" s="14">
        <f>IF(A2535="","",YEAR(A2535))</f>
        <v/>
      </c>
    </row>
    <row r="2536">
      <c r="A2536" s="15" t="n"/>
      <c r="B2536" s="10" t="n"/>
      <c r="C2536" s="10" t="n"/>
      <c r="D2536" s="10" t="n"/>
      <c r="E2536" s="14">
        <f>IF(D2536="","",IFERROR(INDEX('Sản phẩm'!$B$5:$B$304,MATCH(D2536,'Sản phẩm'!$A$5:$A$304,0)),""))</f>
        <v/>
      </c>
      <c r="F2536" s="12" t="n"/>
      <c r="G2536" s="11" t="n"/>
      <c r="H2536" s="11" t="n"/>
      <c r="I2536" s="16">
        <f>IF(D2536="","",IF(G2536&lt;&gt;"",G2536,IFERROR(INDEX('Sản phẩm'!$E$5:$E$304,MATCH(D2536,'Sản phẩm'!$A$5:$A$304,0)),"")))</f>
        <v/>
      </c>
      <c r="J2536" s="16">
        <f>IF(OR(D2536="",F2536=""),"",F2536*I2536-N(H2536))</f>
        <v/>
      </c>
      <c r="K2536" s="16">
        <f>IF(OR(D2536="",F2536=""),"",F2536*IFERROR(INDEX('Sản phẩm'!$D$5:$D$304,MATCH(D2536,'Sản phẩm'!$A$5:$A$304,0)),""))</f>
        <v/>
      </c>
      <c r="L2536" s="16">
        <f>IF(J2536="","",J2536-K2536)</f>
        <v/>
      </c>
      <c r="M2536" s="14">
        <f>IF(A2536="","",MONTH(A2536))</f>
        <v/>
      </c>
      <c r="N2536" s="14">
        <f>IF(A2536="","",YEAR(A2536))</f>
        <v/>
      </c>
    </row>
    <row r="2537">
      <c r="A2537" s="15" t="n"/>
      <c r="B2537" s="10" t="n"/>
      <c r="C2537" s="10" t="n"/>
      <c r="D2537" s="10" t="n"/>
      <c r="E2537" s="14">
        <f>IF(D2537="","",IFERROR(INDEX('Sản phẩm'!$B$5:$B$304,MATCH(D2537,'Sản phẩm'!$A$5:$A$304,0)),""))</f>
        <v/>
      </c>
      <c r="F2537" s="12" t="n"/>
      <c r="G2537" s="11" t="n"/>
      <c r="H2537" s="11" t="n"/>
      <c r="I2537" s="16">
        <f>IF(D2537="","",IF(G2537&lt;&gt;"",G2537,IFERROR(INDEX('Sản phẩm'!$E$5:$E$304,MATCH(D2537,'Sản phẩm'!$A$5:$A$304,0)),"")))</f>
        <v/>
      </c>
      <c r="J2537" s="16">
        <f>IF(OR(D2537="",F2537=""),"",F2537*I2537-N(H2537))</f>
        <v/>
      </c>
      <c r="K2537" s="16">
        <f>IF(OR(D2537="",F2537=""),"",F2537*IFERROR(INDEX('Sản phẩm'!$D$5:$D$304,MATCH(D2537,'Sản phẩm'!$A$5:$A$304,0)),""))</f>
        <v/>
      </c>
      <c r="L2537" s="16">
        <f>IF(J2537="","",J2537-K2537)</f>
        <v/>
      </c>
      <c r="M2537" s="14">
        <f>IF(A2537="","",MONTH(A2537))</f>
        <v/>
      </c>
      <c r="N2537" s="14">
        <f>IF(A2537="","",YEAR(A2537))</f>
        <v/>
      </c>
    </row>
    <row r="2538">
      <c r="A2538" s="15" t="n"/>
      <c r="B2538" s="10" t="n"/>
      <c r="C2538" s="10" t="n"/>
      <c r="D2538" s="10" t="n"/>
      <c r="E2538" s="14">
        <f>IF(D2538="","",IFERROR(INDEX('Sản phẩm'!$B$5:$B$304,MATCH(D2538,'Sản phẩm'!$A$5:$A$304,0)),""))</f>
        <v/>
      </c>
      <c r="F2538" s="12" t="n"/>
      <c r="G2538" s="11" t="n"/>
      <c r="H2538" s="11" t="n"/>
      <c r="I2538" s="16">
        <f>IF(D2538="","",IF(G2538&lt;&gt;"",G2538,IFERROR(INDEX('Sản phẩm'!$E$5:$E$304,MATCH(D2538,'Sản phẩm'!$A$5:$A$304,0)),"")))</f>
        <v/>
      </c>
      <c r="J2538" s="16">
        <f>IF(OR(D2538="",F2538=""),"",F2538*I2538-N(H2538))</f>
        <v/>
      </c>
      <c r="K2538" s="16">
        <f>IF(OR(D2538="",F2538=""),"",F2538*IFERROR(INDEX('Sản phẩm'!$D$5:$D$304,MATCH(D2538,'Sản phẩm'!$A$5:$A$304,0)),""))</f>
        <v/>
      </c>
      <c r="L2538" s="16">
        <f>IF(J2538="","",J2538-K2538)</f>
        <v/>
      </c>
      <c r="M2538" s="14">
        <f>IF(A2538="","",MONTH(A2538))</f>
        <v/>
      </c>
      <c r="N2538" s="14">
        <f>IF(A2538="","",YEAR(A2538))</f>
        <v/>
      </c>
    </row>
    <row r="2539">
      <c r="A2539" s="15" t="n"/>
      <c r="B2539" s="10" t="n"/>
      <c r="C2539" s="10" t="n"/>
      <c r="D2539" s="10" t="n"/>
      <c r="E2539" s="14">
        <f>IF(D2539="","",IFERROR(INDEX('Sản phẩm'!$B$5:$B$304,MATCH(D2539,'Sản phẩm'!$A$5:$A$304,0)),""))</f>
        <v/>
      </c>
      <c r="F2539" s="12" t="n"/>
      <c r="G2539" s="11" t="n"/>
      <c r="H2539" s="11" t="n"/>
      <c r="I2539" s="16">
        <f>IF(D2539="","",IF(G2539&lt;&gt;"",G2539,IFERROR(INDEX('Sản phẩm'!$E$5:$E$304,MATCH(D2539,'Sản phẩm'!$A$5:$A$304,0)),"")))</f>
        <v/>
      </c>
      <c r="J2539" s="16">
        <f>IF(OR(D2539="",F2539=""),"",F2539*I2539-N(H2539))</f>
        <v/>
      </c>
      <c r="K2539" s="16">
        <f>IF(OR(D2539="",F2539=""),"",F2539*IFERROR(INDEX('Sản phẩm'!$D$5:$D$304,MATCH(D2539,'Sản phẩm'!$A$5:$A$304,0)),""))</f>
        <v/>
      </c>
      <c r="L2539" s="16">
        <f>IF(J2539="","",J2539-K2539)</f>
        <v/>
      </c>
      <c r="M2539" s="14">
        <f>IF(A2539="","",MONTH(A2539))</f>
        <v/>
      </c>
      <c r="N2539" s="14">
        <f>IF(A2539="","",YEAR(A2539))</f>
        <v/>
      </c>
    </row>
    <row r="2540">
      <c r="A2540" s="15" t="n"/>
      <c r="B2540" s="10" t="n"/>
      <c r="C2540" s="10" t="n"/>
      <c r="D2540" s="10" t="n"/>
      <c r="E2540" s="14">
        <f>IF(D2540="","",IFERROR(INDEX('Sản phẩm'!$B$5:$B$304,MATCH(D2540,'Sản phẩm'!$A$5:$A$304,0)),""))</f>
        <v/>
      </c>
      <c r="F2540" s="12" t="n"/>
      <c r="G2540" s="11" t="n"/>
      <c r="H2540" s="11" t="n"/>
      <c r="I2540" s="16">
        <f>IF(D2540="","",IF(G2540&lt;&gt;"",G2540,IFERROR(INDEX('Sản phẩm'!$E$5:$E$304,MATCH(D2540,'Sản phẩm'!$A$5:$A$304,0)),"")))</f>
        <v/>
      </c>
      <c r="J2540" s="16">
        <f>IF(OR(D2540="",F2540=""),"",F2540*I2540-N(H2540))</f>
        <v/>
      </c>
      <c r="K2540" s="16">
        <f>IF(OR(D2540="",F2540=""),"",F2540*IFERROR(INDEX('Sản phẩm'!$D$5:$D$304,MATCH(D2540,'Sản phẩm'!$A$5:$A$304,0)),""))</f>
        <v/>
      </c>
      <c r="L2540" s="16">
        <f>IF(J2540="","",J2540-K2540)</f>
        <v/>
      </c>
      <c r="M2540" s="14">
        <f>IF(A2540="","",MONTH(A2540))</f>
        <v/>
      </c>
      <c r="N2540" s="14">
        <f>IF(A2540="","",YEAR(A2540))</f>
        <v/>
      </c>
    </row>
    <row r="2541">
      <c r="A2541" s="15" t="n"/>
      <c r="B2541" s="10" t="n"/>
      <c r="C2541" s="10" t="n"/>
      <c r="D2541" s="10" t="n"/>
      <c r="E2541" s="14">
        <f>IF(D2541="","",IFERROR(INDEX('Sản phẩm'!$B$5:$B$304,MATCH(D2541,'Sản phẩm'!$A$5:$A$304,0)),""))</f>
        <v/>
      </c>
      <c r="F2541" s="12" t="n"/>
      <c r="G2541" s="11" t="n"/>
      <c r="H2541" s="11" t="n"/>
      <c r="I2541" s="16">
        <f>IF(D2541="","",IF(G2541&lt;&gt;"",G2541,IFERROR(INDEX('Sản phẩm'!$E$5:$E$304,MATCH(D2541,'Sản phẩm'!$A$5:$A$304,0)),"")))</f>
        <v/>
      </c>
      <c r="J2541" s="16">
        <f>IF(OR(D2541="",F2541=""),"",F2541*I2541-N(H2541))</f>
        <v/>
      </c>
      <c r="K2541" s="16">
        <f>IF(OR(D2541="",F2541=""),"",F2541*IFERROR(INDEX('Sản phẩm'!$D$5:$D$304,MATCH(D2541,'Sản phẩm'!$A$5:$A$304,0)),""))</f>
        <v/>
      </c>
      <c r="L2541" s="16">
        <f>IF(J2541="","",J2541-K2541)</f>
        <v/>
      </c>
      <c r="M2541" s="14">
        <f>IF(A2541="","",MONTH(A2541))</f>
        <v/>
      </c>
      <c r="N2541" s="14">
        <f>IF(A2541="","",YEAR(A2541))</f>
        <v/>
      </c>
    </row>
    <row r="2542">
      <c r="A2542" s="15" t="n"/>
      <c r="B2542" s="10" t="n"/>
      <c r="C2542" s="10" t="n"/>
      <c r="D2542" s="10" t="n"/>
      <c r="E2542" s="14">
        <f>IF(D2542="","",IFERROR(INDEX('Sản phẩm'!$B$5:$B$304,MATCH(D2542,'Sản phẩm'!$A$5:$A$304,0)),""))</f>
        <v/>
      </c>
      <c r="F2542" s="12" t="n"/>
      <c r="G2542" s="11" t="n"/>
      <c r="H2542" s="11" t="n"/>
      <c r="I2542" s="16">
        <f>IF(D2542="","",IF(G2542&lt;&gt;"",G2542,IFERROR(INDEX('Sản phẩm'!$E$5:$E$304,MATCH(D2542,'Sản phẩm'!$A$5:$A$304,0)),"")))</f>
        <v/>
      </c>
      <c r="J2542" s="16">
        <f>IF(OR(D2542="",F2542=""),"",F2542*I2542-N(H2542))</f>
        <v/>
      </c>
      <c r="K2542" s="16">
        <f>IF(OR(D2542="",F2542=""),"",F2542*IFERROR(INDEX('Sản phẩm'!$D$5:$D$304,MATCH(D2542,'Sản phẩm'!$A$5:$A$304,0)),""))</f>
        <v/>
      </c>
      <c r="L2542" s="16">
        <f>IF(J2542="","",J2542-K2542)</f>
        <v/>
      </c>
      <c r="M2542" s="14">
        <f>IF(A2542="","",MONTH(A2542))</f>
        <v/>
      </c>
      <c r="N2542" s="14">
        <f>IF(A2542="","",YEAR(A2542))</f>
        <v/>
      </c>
    </row>
    <row r="2543">
      <c r="A2543" s="15" t="n"/>
      <c r="B2543" s="10" t="n"/>
      <c r="C2543" s="10" t="n"/>
      <c r="D2543" s="10" t="n"/>
      <c r="E2543" s="14">
        <f>IF(D2543="","",IFERROR(INDEX('Sản phẩm'!$B$5:$B$304,MATCH(D2543,'Sản phẩm'!$A$5:$A$304,0)),""))</f>
        <v/>
      </c>
      <c r="F2543" s="12" t="n"/>
      <c r="G2543" s="11" t="n"/>
      <c r="H2543" s="11" t="n"/>
      <c r="I2543" s="16">
        <f>IF(D2543="","",IF(G2543&lt;&gt;"",G2543,IFERROR(INDEX('Sản phẩm'!$E$5:$E$304,MATCH(D2543,'Sản phẩm'!$A$5:$A$304,0)),"")))</f>
        <v/>
      </c>
      <c r="J2543" s="16">
        <f>IF(OR(D2543="",F2543=""),"",F2543*I2543-N(H2543))</f>
        <v/>
      </c>
      <c r="K2543" s="16">
        <f>IF(OR(D2543="",F2543=""),"",F2543*IFERROR(INDEX('Sản phẩm'!$D$5:$D$304,MATCH(D2543,'Sản phẩm'!$A$5:$A$304,0)),""))</f>
        <v/>
      </c>
      <c r="L2543" s="16">
        <f>IF(J2543="","",J2543-K2543)</f>
        <v/>
      </c>
      <c r="M2543" s="14">
        <f>IF(A2543="","",MONTH(A2543))</f>
        <v/>
      </c>
      <c r="N2543" s="14">
        <f>IF(A2543="","",YEAR(A2543))</f>
        <v/>
      </c>
    </row>
    <row r="2544">
      <c r="A2544" s="15" t="n"/>
      <c r="B2544" s="10" t="n"/>
      <c r="C2544" s="10" t="n"/>
      <c r="D2544" s="10" t="n"/>
      <c r="E2544" s="14">
        <f>IF(D2544="","",IFERROR(INDEX('Sản phẩm'!$B$5:$B$304,MATCH(D2544,'Sản phẩm'!$A$5:$A$304,0)),""))</f>
        <v/>
      </c>
      <c r="F2544" s="12" t="n"/>
      <c r="G2544" s="11" t="n"/>
      <c r="H2544" s="11" t="n"/>
      <c r="I2544" s="16">
        <f>IF(D2544="","",IF(G2544&lt;&gt;"",G2544,IFERROR(INDEX('Sản phẩm'!$E$5:$E$304,MATCH(D2544,'Sản phẩm'!$A$5:$A$304,0)),"")))</f>
        <v/>
      </c>
      <c r="J2544" s="16">
        <f>IF(OR(D2544="",F2544=""),"",F2544*I2544-N(H2544))</f>
        <v/>
      </c>
      <c r="K2544" s="16">
        <f>IF(OR(D2544="",F2544=""),"",F2544*IFERROR(INDEX('Sản phẩm'!$D$5:$D$304,MATCH(D2544,'Sản phẩm'!$A$5:$A$304,0)),""))</f>
        <v/>
      </c>
      <c r="L2544" s="16">
        <f>IF(J2544="","",J2544-K2544)</f>
        <v/>
      </c>
      <c r="M2544" s="14">
        <f>IF(A2544="","",MONTH(A2544))</f>
        <v/>
      </c>
      <c r="N2544" s="14">
        <f>IF(A2544="","",YEAR(A2544))</f>
        <v/>
      </c>
    </row>
    <row r="2545">
      <c r="A2545" s="15" t="n"/>
      <c r="B2545" s="10" t="n"/>
      <c r="C2545" s="10" t="n"/>
      <c r="D2545" s="10" t="n"/>
      <c r="E2545" s="14">
        <f>IF(D2545="","",IFERROR(INDEX('Sản phẩm'!$B$5:$B$304,MATCH(D2545,'Sản phẩm'!$A$5:$A$304,0)),""))</f>
        <v/>
      </c>
      <c r="F2545" s="12" t="n"/>
      <c r="G2545" s="11" t="n"/>
      <c r="H2545" s="11" t="n"/>
      <c r="I2545" s="16">
        <f>IF(D2545="","",IF(G2545&lt;&gt;"",G2545,IFERROR(INDEX('Sản phẩm'!$E$5:$E$304,MATCH(D2545,'Sản phẩm'!$A$5:$A$304,0)),"")))</f>
        <v/>
      </c>
      <c r="J2545" s="16">
        <f>IF(OR(D2545="",F2545=""),"",F2545*I2545-N(H2545))</f>
        <v/>
      </c>
      <c r="K2545" s="16">
        <f>IF(OR(D2545="",F2545=""),"",F2545*IFERROR(INDEX('Sản phẩm'!$D$5:$D$304,MATCH(D2545,'Sản phẩm'!$A$5:$A$304,0)),""))</f>
        <v/>
      </c>
      <c r="L2545" s="16">
        <f>IF(J2545="","",J2545-K2545)</f>
        <v/>
      </c>
      <c r="M2545" s="14">
        <f>IF(A2545="","",MONTH(A2545))</f>
        <v/>
      </c>
      <c r="N2545" s="14">
        <f>IF(A2545="","",YEAR(A2545))</f>
        <v/>
      </c>
    </row>
    <row r="2546">
      <c r="A2546" s="15" t="n"/>
      <c r="B2546" s="10" t="n"/>
      <c r="C2546" s="10" t="n"/>
      <c r="D2546" s="10" t="n"/>
      <c r="E2546" s="14">
        <f>IF(D2546="","",IFERROR(INDEX('Sản phẩm'!$B$5:$B$304,MATCH(D2546,'Sản phẩm'!$A$5:$A$304,0)),""))</f>
        <v/>
      </c>
      <c r="F2546" s="12" t="n"/>
      <c r="G2546" s="11" t="n"/>
      <c r="H2546" s="11" t="n"/>
      <c r="I2546" s="16">
        <f>IF(D2546="","",IF(G2546&lt;&gt;"",G2546,IFERROR(INDEX('Sản phẩm'!$E$5:$E$304,MATCH(D2546,'Sản phẩm'!$A$5:$A$304,0)),"")))</f>
        <v/>
      </c>
      <c r="J2546" s="16">
        <f>IF(OR(D2546="",F2546=""),"",F2546*I2546-N(H2546))</f>
        <v/>
      </c>
      <c r="K2546" s="16">
        <f>IF(OR(D2546="",F2546=""),"",F2546*IFERROR(INDEX('Sản phẩm'!$D$5:$D$304,MATCH(D2546,'Sản phẩm'!$A$5:$A$304,0)),""))</f>
        <v/>
      </c>
      <c r="L2546" s="16">
        <f>IF(J2546="","",J2546-K2546)</f>
        <v/>
      </c>
      <c r="M2546" s="14">
        <f>IF(A2546="","",MONTH(A2546))</f>
        <v/>
      </c>
      <c r="N2546" s="14">
        <f>IF(A2546="","",YEAR(A2546))</f>
        <v/>
      </c>
    </row>
    <row r="2547">
      <c r="A2547" s="15" t="n"/>
      <c r="B2547" s="10" t="n"/>
      <c r="C2547" s="10" t="n"/>
      <c r="D2547" s="10" t="n"/>
      <c r="E2547" s="14">
        <f>IF(D2547="","",IFERROR(INDEX('Sản phẩm'!$B$5:$B$304,MATCH(D2547,'Sản phẩm'!$A$5:$A$304,0)),""))</f>
        <v/>
      </c>
      <c r="F2547" s="12" t="n"/>
      <c r="G2547" s="11" t="n"/>
      <c r="H2547" s="11" t="n"/>
      <c r="I2547" s="16">
        <f>IF(D2547="","",IF(G2547&lt;&gt;"",G2547,IFERROR(INDEX('Sản phẩm'!$E$5:$E$304,MATCH(D2547,'Sản phẩm'!$A$5:$A$304,0)),"")))</f>
        <v/>
      </c>
      <c r="J2547" s="16">
        <f>IF(OR(D2547="",F2547=""),"",F2547*I2547-N(H2547))</f>
        <v/>
      </c>
      <c r="K2547" s="16">
        <f>IF(OR(D2547="",F2547=""),"",F2547*IFERROR(INDEX('Sản phẩm'!$D$5:$D$304,MATCH(D2547,'Sản phẩm'!$A$5:$A$304,0)),""))</f>
        <v/>
      </c>
      <c r="L2547" s="16">
        <f>IF(J2547="","",J2547-K2547)</f>
        <v/>
      </c>
      <c r="M2547" s="14">
        <f>IF(A2547="","",MONTH(A2547))</f>
        <v/>
      </c>
      <c r="N2547" s="14">
        <f>IF(A2547="","",YEAR(A2547))</f>
        <v/>
      </c>
    </row>
    <row r="2548">
      <c r="A2548" s="15" t="n"/>
      <c r="B2548" s="10" t="n"/>
      <c r="C2548" s="10" t="n"/>
      <c r="D2548" s="10" t="n"/>
      <c r="E2548" s="14">
        <f>IF(D2548="","",IFERROR(INDEX('Sản phẩm'!$B$5:$B$304,MATCH(D2548,'Sản phẩm'!$A$5:$A$304,0)),""))</f>
        <v/>
      </c>
      <c r="F2548" s="12" t="n"/>
      <c r="G2548" s="11" t="n"/>
      <c r="H2548" s="11" t="n"/>
      <c r="I2548" s="16">
        <f>IF(D2548="","",IF(G2548&lt;&gt;"",G2548,IFERROR(INDEX('Sản phẩm'!$E$5:$E$304,MATCH(D2548,'Sản phẩm'!$A$5:$A$304,0)),"")))</f>
        <v/>
      </c>
      <c r="J2548" s="16">
        <f>IF(OR(D2548="",F2548=""),"",F2548*I2548-N(H2548))</f>
        <v/>
      </c>
      <c r="K2548" s="16">
        <f>IF(OR(D2548="",F2548=""),"",F2548*IFERROR(INDEX('Sản phẩm'!$D$5:$D$304,MATCH(D2548,'Sản phẩm'!$A$5:$A$304,0)),""))</f>
        <v/>
      </c>
      <c r="L2548" s="16">
        <f>IF(J2548="","",J2548-K2548)</f>
        <v/>
      </c>
      <c r="M2548" s="14">
        <f>IF(A2548="","",MONTH(A2548))</f>
        <v/>
      </c>
      <c r="N2548" s="14">
        <f>IF(A2548="","",YEAR(A2548))</f>
        <v/>
      </c>
    </row>
    <row r="2549">
      <c r="A2549" s="15" t="n"/>
      <c r="B2549" s="10" t="n"/>
      <c r="C2549" s="10" t="n"/>
      <c r="D2549" s="10" t="n"/>
      <c r="E2549" s="14">
        <f>IF(D2549="","",IFERROR(INDEX('Sản phẩm'!$B$5:$B$304,MATCH(D2549,'Sản phẩm'!$A$5:$A$304,0)),""))</f>
        <v/>
      </c>
      <c r="F2549" s="12" t="n"/>
      <c r="G2549" s="11" t="n"/>
      <c r="H2549" s="11" t="n"/>
      <c r="I2549" s="16">
        <f>IF(D2549="","",IF(G2549&lt;&gt;"",G2549,IFERROR(INDEX('Sản phẩm'!$E$5:$E$304,MATCH(D2549,'Sản phẩm'!$A$5:$A$304,0)),"")))</f>
        <v/>
      </c>
      <c r="J2549" s="16">
        <f>IF(OR(D2549="",F2549=""),"",F2549*I2549-N(H2549))</f>
        <v/>
      </c>
      <c r="K2549" s="16">
        <f>IF(OR(D2549="",F2549=""),"",F2549*IFERROR(INDEX('Sản phẩm'!$D$5:$D$304,MATCH(D2549,'Sản phẩm'!$A$5:$A$304,0)),""))</f>
        <v/>
      </c>
      <c r="L2549" s="16">
        <f>IF(J2549="","",J2549-K2549)</f>
        <v/>
      </c>
      <c r="M2549" s="14">
        <f>IF(A2549="","",MONTH(A2549))</f>
        <v/>
      </c>
      <c r="N2549" s="14">
        <f>IF(A2549="","",YEAR(A2549))</f>
        <v/>
      </c>
    </row>
    <row r="2550">
      <c r="A2550" s="15" t="n"/>
      <c r="B2550" s="10" t="n"/>
      <c r="C2550" s="10" t="n"/>
      <c r="D2550" s="10" t="n"/>
      <c r="E2550" s="14">
        <f>IF(D2550="","",IFERROR(INDEX('Sản phẩm'!$B$5:$B$304,MATCH(D2550,'Sản phẩm'!$A$5:$A$304,0)),""))</f>
        <v/>
      </c>
      <c r="F2550" s="12" t="n"/>
      <c r="G2550" s="11" t="n"/>
      <c r="H2550" s="11" t="n"/>
      <c r="I2550" s="16">
        <f>IF(D2550="","",IF(G2550&lt;&gt;"",G2550,IFERROR(INDEX('Sản phẩm'!$E$5:$E$304,MATCH(D2550,'Sản phẩm'!$A$5:$A$304,0)),"")))</f>
        <v/>
      </c>
      <c r="J2550" s="16">
        <f>IF(OR(D2550="",F2550=""),"",F2550*I2550-N(H2550))</f>
        <v/>
      </c>
      <c r="K2550" s="16">
        <f>IF(OR(D2550="",F2550=""),"",F2550*IFERROR(INDEX('Sản phẩm'!$D$5:$D$304,MATCH(D2550,'Sản phẩm'!$A$5:$A$304,0)),""))</f>
        <v/>
      </c>
      <c r="L2550" s="16">
        <f>IF(J2550="","",J2550-K2550)</f>
        <v/>
      </c>
      <c r="M2550" s="14">
        <f>IF(A2550="","",MONTH(A2550))</f>
        <v/>
      </c>
      <c r="N2550" s="14">
        <f>IF(A2550="","",YEAR(A2550))</f>
        <v/>
      </c>
    </row>
    <row r="2551">
      <c r="A2551" s="15" t="n"/>
      <c r="B2551" s="10" t="n"/>
      <c r="C2551" s="10" t="n"/>
      <c r="D2551" s="10" t="n"/>
      <c r="E2551" s="14">
        <f>IF(D2551="","",IFERROR(INDEX('Sản phẩm'!$B$5:$B$304,MATCH(D2551,'Sản phẩm'!$A$5:$A$304,0)),""))</f>
        <v/>
      </c>
      <c r="F2551" s="12" t="n"/>
      <c r="G2551" s="11" t="n"/>
      <c r="H2551" s="11" t="n"/>
      <c r="I2551" s="16">
        <f>IF(D2551="","",IF(G2551&lt;&gt;"",G2551,IFERROR(INDEX('Sản phẩm'!$E$5:$E$304,MATCH(D2551,'Sản phẩm'!$A$5:$A$304,0)),"")))</f>
        <v/>
      </c>
      <c r="J2551" s="16">
        <f>IF(OR(D2551="",F2551=""),"",F2551*I2551-N(H2551))</f>
        <v/>
      </c>
      <c r="K2551" s="16">
        <f>IF(OR(D2551="",F2551=""),"",F2551*IFERROR(INDEX('Sản phẩm'!$D$5:$D$304,MATCH(D2551,'Sản phẩm'!$A$5:$A$304,0)),""))</f>
        <v/>
      </c>
      <c r="L2551" s="16">
        <f>IF(J2551="","",J2551-K2551)</f>
        <v/>
      </c>
      <c r="M2551" s="14">
        <f>IF(A2551="","",MONTH(A2551))</f>
        <v/>
      </c>
      <c r="N2551" s="14">
        <f>IF(A2551="","",YEAR(A2551))</f>
        <v/>
      </c>
    </row>
    <row r="2552">
      <c r="A2552" s="15" t="n"/>
      <c r="B2552" s="10" t="n"/>
      <c r="C2552" s="10" t="n"/>
      <c r="D2552" s="10" t="n"/>
      <c r="E2552" s="14">
        <f>IF(D2552="","",IFERROR(INDEX('Sản phẩm'!$B$5:$B$304,MATCH(D2552,'Sản phẩm'!$A$5:$A$304,0)),""))</f>
        <v/>
      </c>
      <c r="F2552" s="12" t="n"/>
      <c r="G2552" s="11" t="n"/>
      <c r="H2552" s="11" t="n"/>
      <c r="I2552" s="16">
        <f>IF(D2552="","",IF(G2552&lt;&gt;"",G2552,IFERROR(INDEX('Sản phẩm'!$E$5:$E$304,MATCH(D2552,'Sản phẩm'!$A$5:$A$304,0)),"")))</f>
        <v/>
      </c>
      <c r="J2552" s="16">
        <f>IF(OR(D2552="",F2552=""),"",F2552*I2552-N(H2552))</f>
        <v/>
      </c>
      <c r="K2552" s="16">
        <f>IF(OR(D2552="",F2552=""),"",F2552*IFERROR(INDEX('Sản phẩm'!$D$5:$D$304,MATCH(D2552,'Sản phẩm'!$A$5:$A$304,0)),""))</f>
        <v/>
      </c>
      <c r="L2552" s="16">
        <f>IF(J2552="","",J2552-K2552)</f>
        <v/>
      </c>
      <c r="M2552" s="14">
        <f>IF(A2552="","",MONTH(A2552))</f>
        <v/>
      </c>
      <c r="N2552" s="14">
        <f>IF(A2552="","",YEAR(A2552))</f>
        <v/>
      </c>
    </row>
    <row r="2553">
      <c r="A2553" s="15" t="n"/>
      <c r="B2553" s="10" t="n"/>
      <c r="C2553" s="10" t="n"/>
      <c r="D2553" s="10" t="n"/>
      <c r="E2553" s="14">
        <f>IF(D2553="","",IFERROR(INDEX('Sản phẩm'!$B$5:$B$304,MATCH(D2553,'Sản phẩm'!$A$5:$A$304,0)),""))</f>
        <v/>
      </c>
      <c r="F2553" s="12" t="n"/>
      <c r="G2553" s="11" t="n"/>
      <c r="H2553" s="11" t="n"/>
      <c r="I2553" s="16">
        <f>IF(D2553="","",IF(G2553&lt;&gt;"",G2553,IFERROR(INDEX('Sản phẩm'!$E$5:$E$304,MATCH(D2553,'Sản phẩm'!$A$5:$A$304,0)),"")))</f>
        <v/>
      </c>
      <c r="J2553" s="16">
        <f>IF(OR(D2553="",F2553=""),"",F2553*I2553-N(H2553))</f>
        <v/>
      </c>
      <c r="K2553" s="16">
        <f>IF(OR(D2553="",F2553=""),"",F2553*IFERROR(INDEX('Sản phẩm'!$D$5:$D$304,MATCH(D2553,'Sản phẩm'!$A$5:$A$304,0)),""))</f>
        <v/>
      </c>
      <c r="L2553" s="16">
        <f>IF(J2553="","",J2553-K2553)</f>
        <v/>
      </c>
      <c r="M2553" s="14">
        <f>IF(A2553="","",MONTH(A2553))</f>
        <v/>
      </c>
      <c r="N2553" s="14">
        <f>IF(A2553="","",YEAR(A2553))</f>
        <v/>
      </c>
    </row>
    <row r="2554">
      <c r="A2554" s="15" t="n"/>
      <c r="B2554" s="10" t="n"/>
      <c r="C2554" s="10" t="n"/>
      <c r="D2554" s="10" t="n"/>
      <c r="E2554" s="14">
        <f>IF(D2554="","",IFERROR(INDEX('Sản phẩm'!$B$5:$B$304,MATCH(D2554,'Sản phẩm'!$A$5:$A$304,0)),""))</f>
        <v/>
      </c>
      <c r="F2554" s="12" t="n"/>
      <c r="G2554" s="11" t="n"/>
      <c r="H2554" s="11" t="n"/>
      <c r="I2554" s="16">
        <f>IF(D2554="","",IF(G2554&lt;&gt;"",G2554,IFERROR(INDEX('Sản phẩm'!$E$5:$E$304,MATCH(D2554,'Sản phẩm'!$A$5:$A$304,0)),"")))</f>
        <v/>
      </c>
      <c r="J2554" s="16">
        <f>IF(OR(D2554="",F2554=""),"",F2554*I2554-N(H2554))</f>
        <v/>
      </c>
      <c r="K2554" s="16">
        <f>IF(OR(D2554="",F2554=""),"",F2554*IFERROR(INDEX('Sản phẩm'!$D$5:$D$304,MATCH(D2554,'Sản phẩm'!$A$5:$A$304,0)),""))</f>
        <v/>
      </c>
      <c r="L2554" s="16">
        <f>IF(J2554="","",J2554-K2554)</f>
        <v/>
      </c>
      <c r="M2554" s="14">
        <f>IF(A2554="","",MONTH(A2554))</f>
        <v/>
      </c>
      <c r="N2554" s="14">
        <f>IF(A2554="","",YEAR(A2554))</f>
        <v/>
      </c>
    </row>
    <row r="2555">
      <c r="A2555" s="15" t="n"/>
      <c r="B2555" s="10" t="n"/>
      <c r="C2555" s="10" t="n"/>
      <c r="D2555" s="10" t="n"/>
      <c r="E2555" s="14">
        <f>IF(D2555="","",IFERROR(INDEX('Sản phẩm'!$B$5:$B$304,MATCH(D2555,'Sản phẩm'!$A$5:$A$304,0)),""))</f>
        <v/>
      </c>
      <c r="F2555" s="12" t="n"/>
      <c r="G2555" s="11" t="n"/>
      <c r="H2555" s="11" t="n"/>
      <c r="I2555" s="16">
        <f>IF(D2555="","",IF(G2555&lt;&gt;"",G2555,IFERROR(INDEX('Sản phẩm'!$E$5:$E$304,MATCH(D2555,'Sản phẩm'!$A$5:$A$304,0)),"")))</f>
        <v/>
      </c>
      <c r="J2555" s="16">
        <f>IF(OR(D2555="",F2555=""),"",F2555*I2555-N(H2555))</f>
        <v/>
      </c>
      <c r="K2555" s="16">
        <f>IF(OR(D2555="",F2555=""),"",F2555*IFERROR(INDEX('Sản phẩm'!$D$5:$D$304,MATCH(D2555,'Sản phẩm'!$A$5:$A$304,0)),""))</f>
        <v/>
      </c>
      <c r="L2555" s="16">
        <f>IF(J2555="","",J2555-K2555)</f>
        <v/>
      </c>
      <c r="M2555" s="14">
        <f>IF(A2555="","",MONTH(A2555))</f>
        <v/>
      </c>
      <c r="N2555" s="14">
        <f>IF(A2555="","",YEAR(A2555))</f>
        <v/>
      </c>
    </row>
    <row r="2556">
      <c r="A2556" s="15" t="n"/>
      <c r="B2556" s="10" t="n"/>
      <c r="C2556" s="10" t="n"/>
      <c r="D2556" s="10" t="n"/>
      <c r="E2556" s="14">
        <f>IF(D2556="","",IFERROR(INDEX('Sản phẩm'!$B$5:$B$304,MATCH(D2556,'Sản phẩm'!$A$5:$A$304,0)),""))</f>
        <v/>
      </c>
      <c r="F2556" s="12" t="n"/>
      <c r="G2556" s="11" t="n"/>
      <c r="H2556" s="11" t="n"/>
      <c r="I2556" s="16">
        <f>IF(D2556="","",IF(G2556&lt;&gt;"",G2556,IFERROR(INDEX('Sản phẩm'!$E$5:$E$304,MATCH(D2556,'Sản phẩm'!$A$5:$A$304,0)),"")))</f>
        <v/>
      </c>
      <c r="J2556" s="16">
        <f>IF(OR(D2556="",F2556=""),"",F2556*I2556-N(H2556))</f>
        <v/>
      </c>
      <c r="K2556" s="16">
        <f>IF(OR(D2556="",F2556=""),"",F2556*IFERROR(INDEX('Sản phẩm'!$D$5:$D$304,MATCH(D2556,'Sản phẩm'!$A$5:$A$304,0)),""))</f>
        <v/>
      </c>
      <c r="L2556" s="16">
        <f>IF(J2556="","",J2556-K2556)</f>
        <v/>
      </c>
      <c r="M2556" s="14">
        <f>IF(A2556="","",MONTH(A2556))</f>
        <v/>
      </c>
      <c r="N2556" s="14">
        <f>IF(A2556="","",YEAR(A2556))</f>
        <v/>
      </c>
    </row>
    <row r="2557">
      <c r="A2557" s="15" t="n"/>
      <c r="B2557" s="10" t="n"/>
      <c r="C2557" s="10" t="n"/>
      <c r="D2557" s="10" t="n"/>
      <c r="E2557" s="14">
        <f>IF(D2557="","",IFERROR(INDEX('Sản phẩm'!$B$5:$B$304,MATCH(D2557,'Sản phẩm'!$A$5:$A$304,0)),""))</f>
        <v/>
      </c>
      <c r="F2557" s="12" t="n"/>
      <c r="G2557" s="11" t="n"/>
      <c r="H2557" s="11" t="n"/>
      <c r="I2557" s="16">
        <f>IF(D2557="","",IF(G2557&lt;&gt;"",G2557,IFERROR(INDEX('Sản phẩm'!$E$5:$E$304,MATCH(D2557,'Sản phẩm'!$A$5:$A$304,0)),"")))</f>
        <v/>
      </c>
      <c r="J2557" s="16">
        <f>IF(OR(D2557="",F2557=""),"",F2557*I2557-N(H2557))</f>
        <v/>
      </c>
      <c r="K2557" s="16">
        <f>IF(OR(D2557="",F2557=""),"",F2557*IFERROR(INDEX('Sản phẩm'!$D$5:$D$304,MATCH(D2557,'Sản phẩm'!$A$5:$A$304,0)),""))</f>
        <v/>
      </c>
      <c r="L2557" s="16">
        <f>IF(J2557="","",J2557-K2557)</f>
        <v/>
      </c>
      <c r="M2557" s="14">
        <f>IF(A2557="","",MONTH(A2557))</f>
        <v/>
      </c>
      <c r="N2557" s="14">
        <f>IF(A2557="","",YEAR(A2557))</f>
        <v/>
      </c>
    </row>
    <row r="2558">
      <c r="A2558" s="15" t="n"/>
      <c r="B2558" s="10" t="n"/>
      <c r="C2558" s="10" t="n"/>
      <c r="D2558" s="10" t="n"/>
      <c r="E2558" s="14">
        <f>IF(D2558="","",IFERROR(INDEX('Sản phẩm'!$B$5:$B$304,MATCH(D2558,'Sản phẩm'!$A$5:$A$304,0)),""))</f>
        <v/>
      </c>
      <c r="F2558" s="12" t="n"/>
      <c r="G2558" s="11" t="n"/>
      <c r="H2558" s="11" t="n"/>
      <c r="I2558" s="16">
        <f>IF(D2558="","",IF(G2558&lt;&gt;"",G2558,IFERROR(INDEX('Sản phẩm'!$E$5:$E$304,MATCH(D2558,'Sản phẩm'!$A$5:$A$304,0)),"")))</f>
        <v/>
      </c>
      <c r="J2558" s="16">
        <f>IF(OR(D2558="",F2558=""),"",F2558*I2558-N(H2558))</f>
        <v/>
      </c>
      <c r="K2558" s="16">
        <f>IF(OR(D2558="",F2558=""),"",F2558*IFERROR(INDEX('Sản phẩm'!$D$5:$D$304,MATCH(D2558,'Sản phẩm'!$A$5:$A$304,0)),""))</f>
        <v/>
      </c>
      <c r="L2558" s="16">
        <f>IF(J2558="","",J2558-K2558)</f>
        <v/>
      </c>
      <c r="M2558" s="14">
        <f>IF(A2558="","",MONTH(A2558))</f>
        <v/>
      </c>
      <c r="N2558" s="14">
        <f>IF(A2558="","",YEAR(A2558))</f>
        <v/>
      </c>
    </row>
    <row r="2559">
      <c r="A2559" s="15" t="n"/>
      <c r="B2559" s="10" t="n"/>
      <c r="C2559" s="10" t="n"/>
      <c r="D2559" s="10" t="n"/>
      <c r="E2559" s="14">
        <f>IF(D2559="","",IFERROR(INDEX('Sản phẩm'!$B$5:$B$304,MATCH(D2559,'Sản phẩm'!$A$5:$A$304,0)),""))</f>
        <v/>
      </c>
      <c r="F2559" s="12" t="n"/>
      <c r="G2559" s="11" t="n"/>
      <c r="H2559" s="11" t="n"/>
      <c r="I2559" s="16">
        <f>IF(D2559="","",IF(G2559&lt;&gt;"",G2559,IFERROR(INDEX('Sản phẩm'!$E$5:$E$304,MATCH(D2559,'Sản phẩm'!$A$5:$A$304,0)),"")))</f>
        <v/>
      </c>
      <c r="J2559" s="16">
        <f>IF(OR(D2559="",F2559=""),"",F2559*I2559-N(H2559))</f>
        <v/>
      </c>
      <c r="K2559" s="16">
        <f>IF(OR(D2559="",F2559=""),"",F2559*IFERROR(INDEX('Sản phẩm'!$D$5:$D$304,MATCH(D2559,'Sản phẩm'!$A$5:$A$304,0)),""))</f>
        <v/>
      </c>
      <c r="L2559" s="16">
        <f>IF(J2559="","",J2559-K2559)</f>
        <v/>
      </c>
      <c r="M2559" s="14">
        <f>IF(A2559="","",MONTH(A2559))</f>
        <v/>
      </c>
      <c r="N2559" s="14">
        <f>IF(A2559="","",YEAR(A2559))</f>
        <v/>
      </c>
    </row>
    <row r="2560">
      <c r="A2560" s="15" t="n"/>
      <c r="B2560" s="10" t="n"/>
      <c r="C2560" s="10" t="n"/>
      <c r="D2560" s="10" t="n"/>
      <c r="E2560" s="14">
        <f>IF(D2560="","",IFERROR(INDEX('Sản phẩm'!$B$5:$B$304,MATCH(D2560,'Sản phẩm'!$A$5:$A$304,0)),""))</f>
        <v/>
      </c>
      <c r="F2560" s="12" t="n"/>
      <c r="G2560" s="11" t="n"/>
      <c r="H2560" s="11" t="n"/>
      <c r="I2560" s="16">
        <f>IF(D2560="","",IF(G2560&lt;&gt;"",G2560,IFERROR(INDEX('Sản phẩm'!$E$5:$E$304,MATCH(D2560,'Sản phẩm'!$A$5:$A$304,0)),"")))</f>
        <v/>
      </c>
      <c r="J2560" s="16">
        <f>IF(OR(D2560="",F2560=""),"",F2560*I2560-N(H2560))</f>
        <v/>
      </c>
      <c r="K2560" s="16">
        <f>IF(OR(D2560="",F2560=""),"",F2560*IFERROR(INDEX('Sản phẩm'!$D$5:$D$304,MATCH(D2560,'Sản phẩm'!$A$5:$A$304,0)),""))</f>
        <v/>
      </c>
      <c r="L2560" s="16">
        <f>IF(J2560="","",J2560-K2560)</f>
        <v/>
      </c>
      <c r="M2560" s="14">
        <f>IF(A2560="","",MONTH(A2560))</f>
        <v/>
      </c>
      <c r="N2560" s="14">
        <f>IF(A2560="","",YEAR(A2560))</f>
        <v/>
      </c>
    </row>
    <row r="2561">
      <c r="A2561" s="15" t="n"/>
      <c r="B2561" s="10" t="n"/>
      <c r="C2561" s="10" t="n"/>
      <c r="D2561" s="10" t="n"/>
      <c r="E2561" s="14">
        <f>IF(D2561="","",IFERROR(INDEX('Sản phẩm'!$B$5:$B$304,MATCH(D2561,'Sản phẩm'!$A$5:$A$304,0)),""))</f>
        <v/>
      </c>
      <c r="F2561" s="12" t="n"/>
      <c r="G2561" s="11" t="n"/>
      <c r="H2561" s="11" t="n"/>
      <c r="I2561" s="16">
        <f>IF(D2561="","",IF(G2561&lt;&gt;"",G2561,IFERROR(INDEX('Sản phẩm'!$E$5:$E$304,MATCH(D2561,'Sản phẩm'!$A$5:$A$304,0)),"")))</f>
        <v/>
      </c>
      <c r="J2561" s="16">
        <f>IF(OR(D2561="",F2561=""),"",F2561*I2561-N(H2561))</f>
        <v/>
      </c>
      <c r="K2561" s="16">
        <f>IF(OR(D2561="",F2561=""),"",F2561*IFERROR(INDEX('Sản phẩm'!$D$5:$D$304,MATCH(D2561,'Sản phẩm'!$A$5:$A$304,0)),""))</f>
        <v/>
      </c>
      <c r="L2561" s="16">
        <f>IF(J2561="","",J2561-K2561)</f>
        <v/>
      </c>
      <c r="M2561" s="14">
        <f>IF(A2561="","",MONTH(A2561))</f>
        <v/>
      </c>
      <c r="N2561" s="14">
        <f>IF(A2561="","",YEAR(A2561))</f>
        <v/>
      </c>
    </row>
    <row r="2562">
      <c r="A2562" s="15" t="n"/>
      <c r="B2562" s="10" t="n"/>
      <c r="C2562" s="10" t="n"/>
      <c r="D2562" s="10" t="n"/>
      <c r="E2562" s="14">
        <f>IF(D2562="","",IFERROR(INDEX('Sản phẩm'!$B$5:$B$304,MATCH(D2562,'Sản phẩm'!$A$5:$A$304,0)),""))</f>
        <v/>
      </c>
      <c r="F2562" s="12" t="n"/>
      <c r="G2562" s="11" t="n"/>
      <c r="H2562" s="11" t="n"/>
      <c r="I2562" s="16">
        <f>IF(D2562="","",IF(G2562&lt;&gt;"",G2562,IFERROR(INDEX('Sản phẩm'!$E$5:$E$304,MATCH(D2562,'Sản phẩm'!$A$5:$A$304,0)),"")))</f>
        <v/>
      </c>
      <c r="J2562" s="16">
        <f>IF(OR(D2562="",F2562=""),"",F2562*I2562-N(H2562))</f>
        <v/>
      </c>
      <c r="K2562" s="16">
        <f>IF(OR(D2562="",F2562=""),"",F2562*IFERROR(INDEX('Sản phẩm'!$D$5:$D$304,MATCH(D2562,'Sản phẩm'!$A$5:$A$304,0)),""))</f>
        <v/>
      </c>
      <c r="L2562" s="16">
        <f>IF(J2562="","",J2562-K2562)</f>
        <v/>
      </c>
      <c r="M2562" s="14">
        <f>IF(A2562="","",MONTH(A2562))</f>
        <v/>
      </c>
      <c r="N2562" s="14">
        <f>IF(A2562="","",YEAR(A2562))</f>
        <v/>
      </c>
    </row>
    <row r="2563">
      <c r="A2563" s="15" t="n"/>
      <c r="B2563" s="10" t="n"/>
      <c r="C2563" s="10" t="n"/>
      <c r="D2563" s="10" t="n"/>
      <c r="E2563" s="14">
        <f>IF(D2563="","",IFERROR(INDEX('Sản phẩm'!$B$5:$B$304,MATCH(D2563,'Sản phẩm'!$A$5:$A$304,0)),""))</f>
        <v/>
      </c>
      <c r="F2563" s="12" t="n"/>
      <c r="G2563" s="11" t="n"/>
      <c r="H2563" s="11" t="n"/>
      <c r="I2563" s="16">
        <f>IF(D2563="","",IF(G2563&lt;&gt;"",G2563,IFERROR(INDEX('Sản phẩm'!$E$5:$E$304,MATCH(D2563,'Sản phẩm'!$A$5:$A$304,0)),"")))</f>
        <v/>
      </c>
      <c r="J2563" s="16">
        <f>IF(OR(D2563="",F2563=""),"",F2563*I2563-N(H2563))</f>
        <v/>
      </c>
      <c r="K2563" s="16">
        <f>IF(OR(D2563="",F2563=""),"",F2563*IFERROR(INDEX('Sản phẩm'!$D$5:$D$304,MATCH(D2563,'Sản phẩm'!$A$5:$A$304,0)),""))</f>
        <v/>
      </c>
      <c r="L2563" s="16">
        <f>IF(J2563="","",J2563-K2563)</f>
        <v/>
      </c>
      <c r="M2563" s="14">
        <f>IF(A2563="","",MONTH(A2563))</f>
        <v/>
      </c>
      <c r="N2563" s="14">
        <f>IF(A2563="","",YEAR(A2563))</f>
        <v/>
      </c>
    </row>
    <row r="2564">
      <c r="A2564" s="15" t="n"/>
      <c r="B2564" s="10" t="n"/>
      <c r="C2564" s="10" t="n"/>
      <c r="D2564" s="10" t="n"/>
      <c r="E2564" s="14">
        <f>IF(D2564="","",IFERROR(INDEX('Sản phẩm'!$B$5:$B$304,MATCH(D2564,'Sản phẩm'!$A$5:$A$304,0)),""))</f>
        <v/>
      </c>
      <c r="F2564" s="12" t="n"/>
      <c r="G2564" s="11" t="n"/>
      <c r="H2564" s="11" t="n"/>
      <c r="I2564" s="16">
        <f>IF(D2564="","",IF(G2564&lt;&gt;"",G2564,IFERROR(INDEX('Sản phẩm'!$E$5:$E$304,MATCH(D2564,'Sản phẩm'!$A$5:$A$304,0)),"")))</f>
        <v/>
      </c>
      <c r="J2564" s="16">
        <f>IF(OR(D2564="",F2564=""),"",F2564*I2564-N(H2564))</f>
        <v/>
      </c>
      <c r="K2564" s="16">
        <f>IF(OR(D2564="",F2564=""),"",F2564*IFERROR(INDEX('Sản phẩm'!$D$5:$D$304,MATCH(D2564,'Sản phẩm'!$A$5:$A$304,0)),""))</f>
        <v/>
      </c>
      <c r="L2564" s="16">
        <f>IF(J2564="","",J2564-K2564)</f>
        <v/>
      </c>
      <c r="M2564" s="14">
        <f>IF(A2564="","",MONTH(A2564))</f>
        <v/>
      </c>
      <c r="N2564" s="14">
        <f>IF(A2564="","",YEAR(A2564))</f>
        <v/>
      </c>
    </row>
    <row r="2565">
      <c r="A2565" s="15" t="n"/>
      <c r="B2565" s="10" t="n"/>
      <c r="C2565" s="10" t="n"/>
      <c r="D2565" s="10" t="n"/>
      <c r="E2565" s="14">
        <f>IF(D2565="","",IFERROR(INDEX('Sản phẩm'!$B$5:$B$304,MATCH(D2565,'Sản phẩm'!$A$5:$A$304,0)),""))</f>
        <v/>
      </c>
      <c r="F2565" s="12" t="n"/>
      <c r="G2565" s="11" t="n"/>
      <c r="H2565" s="11" t="n"/>
      <c r="I2565" s="16">
        <f>IF(D2565="","",IF(G2565&lt;&gt;"",G2565,IFERROR(INDEX('Sản phẩm'!$E$5:$E$304,MATCH(D2565,'Sản phẩm'!$A$5:$A$304,0)),"")))</f>
        <v/>
      </c>
      <c r="J2565" s="16">
        <f>IF(OR(D2565="",F2565=""),"",F2565*I2565-N(H2565))</f>
        <v/>
      </c>
      <c r="K2565" s="16">
        <f>IF(OR(D2565="",F2565=""),"",F2565*IFERROR(INDEX('Sản phẩm'!$D$5:$D$304,MATCH(D2565,'Sản phẩm'!$A$5:$A$304,0)),""))</f>
        <v/>
      </c>
      <c r="L2565" s="16">
        <f>IF(J2565="","",J2565-K2565)</f>
        <v/>
      </c>
      <c r="M2565" s="14">
        <f>IF(A2565="","",MONTH(A2565))</f>
        <v/>
      </c>
      <c r="N2565" s="14">
        <f>IF(A2565="","",YEAR(A2565))</f>
        <v/>
      </c>
    </row>
    <row r="2566">
      <c r="A2566" s="15" t="n"/>
      <c r="B2566" s="10" t="n"/>
      <c r="C2566" s="10" t="n"/>
      <c r="D2566" s="10" t="n"/>
      <c r="E2566" s="14">
        <f>IF(D2566="","",IFERROR(INDEX('Sản phẩm'!$B$5:$B$304,MATCH(D2566,'Sản phẩm'!$A$5:$A$304,0)),""))</f>
        <v/>
      </c>
      <c r="F2566" s="12" t="n"/>
      <c r="G2566" s="11" t="n"/>
      <c r="H2566" s="11" t="n"/>
      <c r="I2566" s="16">
        <f>IF(D2566="","",IF(G2566&lt;&gt;"",G2566,IFERROR(INDEX('Sản phẩm'!$E$5:$E$304,MATCH(D2566,'Sản phẩm'!$A$5:$A$304,0)),"")))</f>
        <v/>
      </c>
      <c r="J2566" s="16">
        <f>IF(OR(D2566="",F2566=""),"",F2566*I2566-N(H2566))</f>
        <v/>
      </c>
      <c r="K2566" s="16">
        <f>IF(OR(D2566="",F2566=""),"",F2566*IFERROR(INDEX('Sản phẩm'!$D$5:$D$304,MATCH(D2566,'Sản phẩm'!$A$5:$A$304,0)),""))</f>
        <v/>
      </c>
      <c r="L2566" s="16">
        <f>IF(J2566="","",J2566-K2566)</f>
        <v/>
      </c>
      <c r="M2566" s="14">
        <f>IF(A2566="","",MONTH(A2566))</f>
        <v/>
      </c>
      <c r="N2566" s="14">
        <f>IF(A2566="","",YEAR(A2566))</f>
        <v/>
      </c>
    </row>
    <row r="2567">
      <c r="A2567" s="15" t="n"/>
      <c r="B2567" s="10" t="n"/>
      <c r="C2567" s="10" t="n"/>
      <c r="D2567" s="10" t="n"/>
      <c r="E2567" s="14">
        <f>IF(D2567="","",IFERROR(INDEX('Sản phẩm'!$B$5:$B$304,MATCH(D2567,'Sản phẩm'!$A$5:$A$304,0)),""))</f>
        <v/>
      </c>
      <c r="F2567" s="12" t="n"/>
      <c r="G2567" s="11" t="n"/>
      <c r="H2567" s="11" t="n"/>
      <c r="I2567" s="16">
        <f>IF(D2567="","",IF(G2567&lt;&gt;"",G2567,IFERROR(INDEX('Sản phẩm'!$E$5:$E$304,MATCH(D2567,'Sản phẩm'!$A$5:$A$304,0)),"")))</f>
        <v/>
      </c>
      <c r="J2567" s="16">
        <f>IF(OR(D2567="",F2567=""),"",F2567*I2567-N(H2567))</f>
        <v/>
      </c>
      <c r="K2567" s="16">
        <f>IF(OR(D2567="",F2567=""),"",F2567*IFERROR(INDEX('Sản phẩm'!$D$5:$D$304,MATCH(D2567,'Sản phẩm'!$A$5:$A$304,0)),""))</f>
        <v/>
      </c>
      <c r="L2567" s="16">
        <f>IF(J2567="","",J2567-K2567)</f>
        <v/>
      </c>
      <c r="M2567" s="14">
        <f>IF(A2567="","",MONTH(A2567))</f>
        <v/>
      </c>
      <c r="N2567" s="14">
        <f>IF(A2567="","",YEAR(A2567))</f>
        <v/>
      </c>
    </row>
    <row r="2568">
      <c r="A2568" s="15" t="n"/>
      <c r="B2568" s="10" t="n"/>
      <c r="C2568" s="10" t="n"/>
      <c r="D2568" s="10" t="n"/>
      <c r="E2568" s="14">
        <f>IF(D2568="","",IFERROR(INDEX('Sản phẩm'!$B$5:$B$304,MATCH(D2568,'Sản phẩm'!$A$5:$A$304,0)),""))</f>
        <v/>
      </c>
      <c r="F2568" s="12" t="n"/>
      <c r="G2568" s="11" t="n"/>
      <c r="H2568" s="11" t="n"/>
      <c r="I2568" s="16">
        <f>IF(D2568="","",IF(G2568&lt;&gt;"",G2568,IFERROR(INDEX('Sản phẩm'!$E$5:$E$304,MATCH(D2568,'Sản phẩm'!$A$5:$A$304,0)),"")))</f>
        <v/>
      </c>
      <c r="J2568" s="16">
        <f>IF(OR(D2568="",F2568=""),"",F2568*I2568-N(H2568))</f>
        <v/>
      </c>
      <c r="K2568" s="16">
        <f>IF(OR(D2568="",F2568=""),"",F2568*IFERROR(INDEX('Sản phẩm'!$D$5:$D$304,MATCH(D2568,'Sản phẩm'!$A$5:$A$304,0)),""))</f>
        <v/>
      </c>
      <c r="L2568" s="16">
        <f>IF(J2568="","",J2568-K2568)</f>
        <v/>
      </c>
      <c r="M2568" s="14">
        <f>IF(A2568="","",MONTH(A2568))</f>
        <v/>
      </c>
      <c r="N2568" s="14">
        <f>IF(A2568="","",YEAR(A2568))</f>
        <v/>
      </c>
    </row>
    <row r="2569">
      <c r="A2569" s="15" t="n"/>
      <c r="B2569" s="10" t="n"/>
      <c r="C2569" s="10" t="n"/>
      <c r="D2569" s="10" t="n"/>
      <c r="E2569" s="14">
        <f>IF(D2569="","",IFERROR(INDEX('Sản phẩm'!$B$5:$B$304,MATCH(D2569,'Sản phẩm'!$A$5:$A$304,0)),""))</f>
        <v/>
      </c>
      <c r="F2569" s="12" t="n"/>
      <c r="G2569" s="11" t="n"/>
      <c r="H2569" s="11" t="n"/>
      <c r="I2569" s="16">
        <f>IF(D2569="","",IF(G2569&lt;&gt;"",G2569,IFERROR(INDEX('Sản phẩm'!$E$5:$E$304,MATCH(D2569,'Sản phẩm'!$A$5:$A$304,0)),"")))</f>
        <v/>
      </c>
      <c r="J2569" s="16">
        <f>IF(OR(D2569="",F2569=""),"",F2569*I2569-N(H2569))</f>
        <v/>
      </c>
      <c r="K2569" s="16">
        <f>IF(OR(D2569="",F2569=""),"",F2569*IFERROR(INDEX('Sản phẩm'!$D$5:$D$304,MATCH(D2569,'Sản phẩm'!$A$5:$A$304,0)),""))</f>
        <v/>
      </c>
      <c r="L2569" s="16">
        <f>IF(J2569="","",J2569-K2569)</f>
        <v/>
      </c>
      <c r="M2569" s="14">
        <f>IF(A2569="","",MONTH(A2569))</f>
        <v/>
      </c>
      <c r="N2569" s="14">
        <f>IF(A2569="","",YEAR(A2569))</f>
        <v/>
      </c>
    </row>
    <row r="2570">
      <c r="A2570" s="15" t="n"/>
      <c r="B2570" s="10" t="n"/>
      <c r="C2570" s="10" t="n"/>
      <c r="D2570" s="10" t="n"/>
      <c r="E2570" s="14">
        <f>IF(D2570="","",IFERROR(INDEX('Sản phẩm'!$B$5:$B$304,MATCH(D2570,'Sản phẩm'!$A$5:$A$304,0)),""))</f>
        <v/>
      </c>
      <c r="F2570" s="12" t="n"/>
      <c r="G2570" s="11" t="n"/>
      <c r="H2570" s="11" t="n"/>
      <c r="I2570" s="16">
        <f>IF(D2570="","",IF(G2570&lt;&gt;"",G2570,IFERROR(INDEX('Sản phẩm'!$E$5:$E$304,MATCH(D2570,'Sản phẩm'!$A$5:$A$304,0)),"")))</f>
        <v/>
      </c>
      <c r="J2570" s="16">
        <f>IF(OR(D2570="",F2570=""),"",F2570*I2570-N(H2570))</f>
        <v/>
      </c>
      <c r="K2570" s="16">
        <f>IF(OR(D2570="",F2570=""),"",F2570*IFERROR(INDEX('Sản phẩm'!$D$5:$D$304,MATCH(D2570,'Sản phẩm'!$A$5:$A$304,0)),""))</f>
        <v/>
      </c>
      <c r="L2570" s="16">
        <f>IF(J2570="","",J2570-K2570)</f>
        <v/>
      </c>
      <c r="M2570" s="14">
        <f>IF(A2570="","",MONTH(A2570))</f>
        <v/>
      </c>
      <c r="N2570" s="14">
        <f>IF(A2570="","",YEAR(A2570))</f>
        <v/>
      </c>
    </row>
    <row r="2571">
      <c r="A2571" s="15" t="n"/>
      <c r="B2571" s="10" t="n"/>
      <c r="C2571" s="10" t="n"/>
      <c r="D2571" s="10" t="n"/>
      <c r="E2571" s="14">
        <f>IF(D2571="","",IFERROR(INDEX('Sản phẩm'!$B$5:$B$304,MATCH(D2571,'Sản phẩm'!$A$5:$A$304,0)),""))</f>
        <v/>
      </c>
      <c r="F2571" s="12" t="n"/>
      <c r="G2571" s="11" t="n"/>
      <c r="H2571" s="11" t="n"/>
      <c r="I2571" s="16">
        <f>IF(D2571="","",IF(G2571&lt;&gt;"",G2571,IFERROR(INDEX('Sản phẩm'!$E$5:$E$304,MATCH(D2571,'Sản phẩm'!$A$5:$A$304,0)),"")))</f>
        <v/>
      </c>
      <c r="J2571" s="16">
        <f>IF(OR(D2571="",F2571=""),"",F2571*I2571-N(H2571))</f>
        <v/>
      </c>
      <c r="K2571" s="16">
        <f>IF(OR(D2571="",F2571=""),"",F2571*IFERROR(INDEX('Sản phẩm'!$D$5:$D$304,MATCH(D2571,'Sản phẩm'!$A$5:$A$304,0)),""))</f>
        <v/>
      </c>
      <c r="L2571" s="16">
        <f>IF(J2571="","",J2571-K2571)</f>
        <v/>
      </c>
      <c r="M2571" s="14">
        <f>IF(A2571="","",MONTH(A2571))</f>
        <v/>
      </c>
      <c r="N2571" s="14">
        <f>IF(A2571="","",YEAR(A2571))</f>
        <v/>
      </c>
    </row>
    <row r="2572">
      <c r="A2572" s="15" t="n"/>
      <c r="B2572" s="10" t="n"/>
      <c r="C2572" s="10" t="n"/>
      <c r="D2572" s="10" t="n"/>
      <c r="E2572" s="14">
        <f>IF(D2572="","",IFERROR(INDEX('Sản phẩm'!$B$5:$B$304,MATCH(D2572,'Sản phẩm'!$A$5:$A$304,0)),""))</f>
        <v/>
      </c>
      <c r="F2572" s="12" t="n"/>
      <c r="G2572" s="11" t="n"/>
      <c r="H2572" s="11" t="n"/>
      <c r="I2572" s="16">
        <f>IF(D2572="","",IF(G2572&lt;&gt;"",G2572,IFERROR(INDEX('Sản phẩm'!$E$5:$E$304,MATCH(D2572,'Sản phẩm'!$A$5:$A$304,0)),"")))</f>
        <v/>
      </c>
      <c r="J2572" s="16">
        <f>IF(OR(D2572="",F2572=""),"",F2572*I2572-N(H2572))</f>
        <v/>
      </c>
      <c r="K2572" s="16">
        <f>IF(OR(D2572="",F2572=""),"",F2572*IFERROR(INDEX('Sản phẩm'!$D$5:$D$304,MATCH(D2572,'Sản phẩm'!$A$5:$A$304,0)),""))</f>
        <v/>
      </c>
      <c r="L2572" s="16">
        <f>IF(J2572="","",J2572-K2572)</f>
        <v/>
      </c>
      <c r="M2572" s="14">
        <f>IF(A2572="","",MONTH(A2572))</f>
        <v/>
      </c>
      <c r="N2572" s="14">
        <f>IF(A2572="","",YEAR(A2572))</f>
        <v/>
      </c>
    </row>
    <row r="2573">
      <c r="A2573" s="15" t="n"/>
      <c r="B2573" s="10" t="n"/>
      <c r="C2573" s="10" t="n"/>
      <c r="D2573" s="10" t="n"/>
      <c r="E2573" s="14">
        <f>IF(D2573="","",IFERROR(INDEX('Sản phẩm'!$B$5:$B$304,MATCH(D2573,'Sản phẩm'!$A$5:$A$304,0)),""))</f>
        <v/>
      </c>
      <c r="F2573" s="12" t="n"/>
      <c r="G2573" s="11" t="n"/>
      <c r="H2573" s="11" t="n"/>
      <c r="I2573" s="16">
        <f>IF(D2573="","",IF(G2573&lt;&gt;"",G2573,IFERROR(INDEX('Sản phẩm'!$E$5:$E$304,MATCH(D2573,'Sản phẩm'!$A$5:$A$304,0)),"")))</f>
        <v/>
      </c>
      <c r="J2573" s="16">
        <f>IF(OR(D2573="",F2573=""),"",F2573*I2573-N(H2573))</f>
        <v/>
      </c>
      <c r="K2573" s="16">
        <f>IF(OR(D2573="",F2573=""),"",F2573*IFERROR(INDEX('Sản phẩm'!$D$5:$D$304,MATCH(D2573,'Sản phẩm'!$A$5:$A$304,0)),""))</f>
        <v/>
      </c>
      <c r="L2573" s="16">
        <f>IF(J2573="","",J2573-K2573)</f>
        <v/>
      </c>
      <c r="M2573" s="14">
        <f>IF(A2573="","",MONTH(A2573))</f>
        <v/>
      </c>
      <c r="N2573" s="14">
        <f>IF(A2573="","",YEAR(A2573))</f>
        <v/>
      </c>
    </row>
    <row r="2574">
      <c r="A2574" s="15" t="n"/>
      <c r="B2574" s="10" t="n"/>
      <c r="C2574" s="10" t="n"/>
      <c r="D2574" s="10" t="n"/>
      <c r="E2574" s="14">
        <f>IF(D2574="","",IFERROR(INDEX('Sản phẩm'!$B$5:$B$304,MATCH(D2574,'Sản phẩm'!$A$5:$A$304,0)),""))</f>
        <v/>
      </c>
      <c r="F2574" s="12" t="n"/>
      <c r="G2574" s="11" t="n"/>
      <c r="H2574" s="11" t="n"/>
      <c r="I2574" s="16">
        <f>IF(D2574="","",IF(G2574&lt;&gt;"",G2574,IFERROR(INDEX('Sản phẩm'!$E$5:$E$304,MATCH(D2574,'Sản phẩm'!$A$5:$A$304,0)),"")))</f>
        <v/>
      </c>
      <c r="J2574" s="16">
        <f>IF(OR(D2574="",F2574=""),"",F2574*I2574-N(H2574))</f>
        <v/>
      </c>
      <c r="K2574" s="16">
        <f>IF(OR(D2574="",F2574=""),"",F2574*IFERROR(INDEX('Sản phẩm'!$D$5:$D$304,MATCH(D2574,'Sản phẩm'!$A$5:$A$304,0)),""))</f>
        <v/>
      </c>
      <c r="L2574" s="16">
        <f>IF(J2574="","",J2574-K2574)</f>
        <v/>
      </c>
      <c r="M2574" s="14">
        <f>IF(A2574="","",MONTH(A2574))</f>
        <v/>
      </c>
      <c r="N2574" s="14">
        <f>IF(A2574="","",YEAR(A2574))</f>
        <v/>
      </c>
    </row>
    <row r="2575">
      <c r="A2575" s="15" t="n"/>
      <c r="B2575" s="10" t="n"/>
      <c r="C2575" s="10" t="n"/>
      <c r="D2575" s="10" t="n"/>
      <c r="E2575" s="14">
        <f>IF(D2575="","",IFERROR(INDEX('Sản phẩm'!$B$5:$B$304,MATCH(D2575,'Sản phẩm'!$A$5:$A$304,0)),""))</f>
        <v/>
      </c>
      <c r="F2575" s="12" t="n"/>
      <c r="G2575" s="11" t="n"/>
      <c r="H2575" s="11" t="n"/>
      <c r="I2575" s="16">
        <f>IF(D2575="","",IF(G2575&lt;&gt;"",G2575,IFERROR(INDEX('Sản phẩm'!$E$5:$E$304,MATCH(D2575,'Sản phẩm'!$A$5:$A$304,0)),"")))</f>
        <v/>
      </c>
      <c r="J2575" s="16">
        <f>IF(OR(D2575="",F2575=""),"",F2575*I2575-N(H2575))</f>
        <v/>
      </c>
      <c r="K2575" s="16">
        <f>IF(OR(D2575="",F2575=""),"",F2575*IFERROR(INDEX('Sản phẩm'!$D$5:$D$304,MATCH(D2575,'Sản phẩm'!$A$5:$A$304,0)),""))</f>
        <v/>
      </c>
      <c r="L2575" s="16">
        <f>IF(J2575="","",J2575-K2575)</f>
        <v/>
      </c>
      <c r="M2575" s="14">
        <f>IF(A2575="","",MONTH(A2575))</f>
        <v/>
      </c>
      <c r="N2575" s="14">
        <f>IF(A2575="","",YEAR(A2575))</f>
        <v/>
      </c>
    </row>
    <row r="2576">
      <c r="A2576" s="15" t="n"/>
      <c r="B2576" s="10" t="n"/>
      <c r="C2576" s="10" t="n"/>
      <c r="D2576" s="10" t="n"/>
      <c r="E2576" s="14">
        <f>IF(D2576="","",IFERROR(INDEX('Sản phẩm'!$B$5:$B$304,MATCH(D2576,'Sản phẩm'!$A$5:$A$304,0)),""))</f>
        <v/>
      </c>
      <c r="F2576" s="12" t="n"/>
      <c r="G2576" s="11" t="n"/>
      <c r="H2576" s="11" t="n"/>
      <c r="I2576" s="16">
        <f>IF(D2576="","",IF(G2576&lt;&gt;"",G2576,IFERROR(INDEX('Sản phẩm'!$E$5:$E$304,MATCH(D2576,'Sản phẩm'!$A$5:$A$304,0)),"")))</f>
        <v/>
      </c>
      <c r="J2576" s="16">
        <f>IF(OR(D2576="",F2576=""),"",F2576*I2576-N(H2576))</f>
        <v/>
      </c>
      <c r="K2576" s="16">
        <f>IF(OR(D2576="",F2576=""),"",F2576*IFERROR(INDEX('Sản phẩm'!$D$5:$D$304,MATCH(D2576,'Sản phẩm'!$A$5:$A$304,0)),""))</f>
        <v/>
      </c>
      <c r="L2576" s="16">
        <f>IF(J2576="","",J2576-K2576)</f>
        <v/>
      </c>
      <c r="M2576" s="14">
        <f>IF(A2576="","",MONTH(A2576))</f>
        <v/>
      </c>
      <c r="N2576" s="14">
        <f>IF(A2576="","",YEAR(A2576))</f>
        <v/>
      </c>
    </row>
    <row r="2577">
      <c r="A2577" s="15" t="n"/>
      <c r="B2577" s="10" t="n"/>
      <c r="C2577" s="10" t="n"/>
      <c r="D2577" s="10" t="n"/>
      <c r="E2577" s="14">
        <f>IF(D2577="","",IFERROR(INDEX('Sản phẩm'!$B$5:$B$304,MATCH(D2577,'Sản phẩm'!$A$5:$A$304,0)),""))</f>
        <v/>
      </c>
      <c r="F2577" s="12" t="n"/>
      <c r="G2577" s="11" t="n"/>
      <c r="H2577" s="11" t="n"/>
      <c r="I2577" s="16">
        <f>IF(D2577="","",IF(G2577&lt;&gt;"",G2577,IFERROR(INDEX('Sản phẩm'!$E$5:$E$304,MATCH(D2577,'Sản phẩm'!$A$5:$A$304,0)),"")))</f>
        <v/>
      </c>
      <c r="J2577" s="16">
        <f>IF(OR(D2577="",F2577=""),"",F2577*I2577-N(H2577))</f>
        <v/>
      </c>
      <c r="K2577" s="16">
        <f>IF(OR(D2577="",F2577=""),"",F2577*IFERROR(INDEX('Sản phẩm'!$D$5:$D$304,MATCH(D2577,'Sản phẩm'!$A$5:$A$304,0)),""))</f>
        <v/>
      </c>
      <c r="L2577" s="16">
        <f>IF(J2577="","",J2577-K2577)</f>
        <v/>
      </c>
      <c r="M2577" s="14">
        <f>IF(A2577="","",MONTH(A2577))</f>
        <v/>
      </c>
      <c r="N2577" s="14">
        <f>IF(A2577="","",YEAR(A2577))</f>
        <v/>
      </c>
    </row>
    <row r="2578">
      <c r="A2578" s="15" t="n"/>
      <c r="B2578" s="10" t="n"/>
      <c r="C2578" s="10" t="n"/>
      <c r="D2578" s="10" t="n"/>
      <c r="E2578" s="14">
        <f>IF(D2578="","",IFERROR(INDEX('Sản phẩm'!$B$5:$B$304,MATCH(D2578,'Sản phẩm'!$A$5:$A$304,0)),""))</f>
        <v/>
      </c>
      <c r="F2578" s="12" t="n"/>
      <c r="G2578" s="11" t="n"/>
      <c r="H2578" s="11" t="n"/>
      <c r="I2578" s="16">
        <f>IF(D2578="","",IF(G2578&lt;&gt;"",G2578,IFERROR(INDEX('Sản phẩm'!$E$5:$E$304,MATCH(D2578,'Sản phẩm'!$A$5:$A$304,0)),"")))</f>
        <v/>
      </c>
      <c r="J2578" s="16">
        <f>IF(OR(D2578="",F2578=""),"",F2578*I2578-N(H2578))</f>
        <v/>
      </c>
      <c r="K2578" s="16">
        <f>IF(OR(D2578="",F2578=""),"",F2578*IFERROR(INDEX('Sản phẩm'!$D$5:$D$304,MATCH(D2578,'Sản phẩm'!$A$5:$A$304,0)),""))</f>
        <v/>
      </c>
      <c r="L2578" s="16">
        <f>IF(J2578="","",J2578-K2578)</f>
        <v/>
      </c>
      <c r="M2578" s="14">
        <f>IF(A2578="","",MONTH(A2578))</f>
        <v/>
      </c>
      <c r="N2578" s="14">
        <f>IF(A2578="","",YEAR(A2578))</f>
        <v/>
      </c>
    </row>
    <row r="2579">
      <c r="A2579" s="15" t="n"/>
      <c r="B2579" s="10" t="n"/>
      <c r="C2579" s="10" t="n"/>
      <c r="D2579" s="10" t="n"/>
      <c r="E2579" s="14">
        <f>IF(D2579="","",IFERROR(INDEX('Sản phẩm'!$B$5:$B$304,MATCH(D2579,'Sản phẩm'!$A$5:$A$304,0)),""))</f>
        <v/>
      </c>
      <c r="F2579" s="12" t="n"/>
      <c r="G2579" s="11" t="n"/>
      <c r="H2579" s="11" t="n"/>
      <c r="I2579" s="16">
        <f>IF(D2579="","",IF(G2579&lt;&gt;"",G2579,IFERROR(INDEX('Sản phẩm'!$E$5:$E$304,MATCH(D2579,'Sản phẩm'!$A$5:$A$304,0)),"")))</f>
        <v/>
      </c>
      <c r="J2579" s="16">
        <f>IF(OR(D2579="",F2579=""),"",F2579*I2579-N(H2579))</f>
        <v/>
      </c>
      <c r="K2579" s="16">
        <f>IF(OR(D2579="",F2579=""),"",F2579*IFERROR(INDEX('Sản phẩm'!$D$5:$D$304,MATCH(D2579,'Sản phẩm'!$A$5:$A$304,0)),""))</f>
        <v/>
      </c>
      <c r="L2579" s="16">
        <f>IF(J2579="","",J2579-K2579)</f>
        <v/>
      </c>
      <c r="M2579" s="14">
        <f>IF(A2579="","",MONTH(A2579))</f>
        <v/>
      </c>
      <c r="N2579" s="14">
        <f>IF(A2579="","",YEAR(A2579))</f>
        <v/>
      </c>
    </row>
    <row r="2580">
      <c r="A2580" s="15" t="n"/>
      <c r="B2580" s="10" t="n"/>
      <c r="C2580" s="10" t="n"/>
      <c r="D2580" s="10" t="n"/>
      <c r="E2580" s="14">
        <f>IF(D2580="","",IFERROR(INDEX('Sản phẩm'!$B$5:$B$304,MATCH(D2580,'Sản phẩm'!$A$5:$A$304,0)),""))</f>
        <v/>
      </c>
      <c r="F2580" s="12" t="n"/>
      <c r="G2580" s="11" t="n"/>
      <c r="H2580" s="11" t="n"/>
      <c r="I2580" s="16">
        <f>IF(D2580="","",IF(G2580&lt;&gt;"",G2580,IFERROR(INDEX('Sản phẩm'!$E$5:$E$304,MATCH(D2580,'Sản phẩm'!$A$5:$A$304,0)),"")))</f>
        <v/>
      </c>
      <c r="J2580" s="16">
        <f>IF(OR(D2580="",F2580=""),"",F2580*I2580-N(H2580))</f>
        <v/>
      </c>
      <c r="K2580" s="16">
        <f>IF(OR(D2580="",F2580=""),"",F2580*IFERROR(INDEX('Sản phẩm'!$D$5:$D$304,MATCH(D2580,'Sản phẩm'!$A$5:$A$304,0)),""))</f>
        <v/>
      </c>
      <c r="L2580" s="16">
        <f>IF(J2580="","",J2580-K2580)</f>
        <v/>
      </c>
      <c r="M2580" s="14">
        <f>IF(A2580="","",MONTH(A2580))</f>
        <v/>
      </c>
      <c r="N2580" s="14">
        <f>IF(A2580="","",YEAR(A2580))</f>
        <v/>
      </c>
    </row>
    <row r="2581">
      <c r="A2581" s="15" t="n"/>
      <c r="B2581" s="10" t="n"/>
      <c r="C2581" s="10" t="n"/>
      <c r="D2581" s="10" t="n"/>
      <c r="E2581" s="14">
        <f>IF(D2581="","",IFERROR(INDEX('Sản phẩm'!$B$5:$B$304,MATCH(D2581,'Sản phẩm'!$A$5:$A$304,0)),""))</f>
        <v/>
      </c>
      <c r="F2581" s="12" t="n"/>
      <c r="G2581" s="11" t="n"/>
      <c r="H2581" s="11" t="n"/>
      <c r="I2581" s="16">
        <f>IF(D2581="","",IF(G2581&lt;&gt;"",G2581,IFERROR(INDEX('Sản phẩm'!$E$5:$E$304,MATCH(D2581,'Sản phẩm'!$A$5:$A$304,0)),"")))</f>
        <v/>
      </c>
      <c r="J2581" s="16">
        <f>IF(OR(D2581="",F2581=""),"",F2581*I2581-N(H2581))</f>
        <v/>
      </c>
      <c r="K2581" s="16">
        <f>IF(OR(D2581="",F2581=""),"",F2581*IFERROR(INDEX('Sản phẩm'!$D$5:$D$304,MATCH(D2581,'Sản phẩm'!$A$5:$A$304,0)),""))</f>
        <v/>
      </c>
      <c r="L2581" s="16">
        <f>IF(J2581="","",J2581-K2581)</f>
        <v/>
      </c>
      <c r="M2581" s="14">
        <f>IF(A2581="","",MONTH(A2581))</f>
        <v/>
      </c>
      <c r="N2581" s="14">
        <f>IF(A2581="","",YEAR(A2581))</f>
        <v/>
      </c>
    </row>
    <row r="2582">
      <c r="A2582" s="15" t="n"/>
      <c r="B2582" s="10" t="n"/>
      <c r="C2582" s="10" t="n"/>
      <c r="D2582" s="10" t="n"/>
      <c r="E2582" s="14">
        <f>IF(D2582="","",IFERROR(INDEX('Sản phẩm'!$B$5:$B$304,MATCH(D2582,'Sản phẩm'!$A$5:$A$304,0)),""))</f>
        <v/>
      </c>
      <c r="F2582" s="12" t="n"/>
      <c r="G2582" s="11" t="n"/>
      <c r="H2582" s="11" t="n"/>
      <c r="I2582" s="16">
        <f>IF(D2582="","",IF(G2582&lt;&gt;"",G2582,IFERROR(INDEX('Sản phẩm'!$E$5:$E$304,MATCH(D2582,'Sản phẩm'!$A$5:$A$304,0)),"")))</f>
        <v/>
      </c>
      <c r="J2582" s="16">
        <f>IF(OR(D2582="",F2582=""),"",F2582*I2582-N(H2582))</f>
        <v/>
      </c>
      <c r="K2582" s="16">
        <f>IF(OR(D2582="",F2582=""),"",F2582*IFERROR(INDEX('Sản phẩm'!$D$5:$D$304,MATCH(D2582,'Sản phẩm'!$A$5:$A$304,0)),""))</f>
        <v/>
      </c>
      <c r="L2582" s="16">
        <f>IF(J2582="","",J2582-K2582)</f>
        <v/>
      </c>
      <c r="M2582" s="14">
        <f>IF(A2582="","",MONTH(A2582))</f>
        <v/>
      </c>
      <c r="N2582" s="14">
        <f>IF(A2582="","",YEAR(A2582))</f>
        <v/>
      </c>
    </row>
    <row r="2583">
      <c r="A2583" s="15" t="n"/>
      <c r="B2583" s="10" t="n"/>
      <c r="C2583" s="10" t="n"/>
      <c r="D2583" s="10" t="n"/>
      <c r="E2583" s="14">
        <f>IF(D2583="","",IFERROR(INDEX('Sản phẩm'!$B$5:$B$304,MATCH(D2583,'Sản phẩm'!$A$5:$A$304,0)),""))</f>
        <v/>
      </c>
      <c r="F2583" s="12" t="n"/>
      <c r="G2583" s="11" t="n"/>
      <c r="H2583" s="11" t="n"/>
      <c r="I2583" s="16">
        <f>IF(D2583="","",IF(G2583&lt;&gt;"",G2583,IFERROR(INDEX('Sản phẩm'!$E$5:$E$304,MATCH(D2583,'Sản phẩm'!$A$5:$A$304,0)),"")))</f>
        <v/>
      </c>
      <c r="J2583" s="16">
        <f>IF(OR(D2583="",F2583=""),"",F2583*I2583-N(H2583))</f>
        <v/>
      </c>
      <c r="K2583" s="16">
        <f>IF(OR(D2583="",F2583=""),"",F2583*IFERROR(INDEX('Sản phẩm'!$D$5:$D$304,MATCH(D2583,'Sản phẩm'!$A$5:$A$304,0)),""))</f>
        <v/>
      </c>
      <c r="L2583" s="16">
        <f>IF(J2583="","",J2583-K2583)</f>
        <v/>
      </c>
      <c r="M2583" s="14">
        <f>IF(A2583="","",MONTH(A2583))</f>
        <v/>
      </c>
      <c r="N2583" s="14">
        <f>IF(A2583="","",YEAR(A2583))</f>
        <v/>
      </c>
    </row>
    <row r="2584">
      <c r="A2584" s="15" t="n"/>
      <c r="B2584" s="10" t="n"/>
      <c r="C2584" s="10" t="n"/>
      <c r="D2584" s="10" t="n"/>
      <c r="E2584" s="14">
        <f>IF(D2584="","",IFERROR(INDEX('Sản phẩm'!$B$5:$B$304,MATCH(D2584,'Sản phẩm'!$A$5:$A$304,0)),""))</f>
        <v/>
      </c>
      <c r="F2584" s="12" t="n"/>
      <c r="G2584" s="11" t="n"/>
      <c r="H2584" s="11" t="n"/>
      <c r="I2584" s="16">
        <f>IF(D2584="","",IF(G2584&lt;&gt;"",G2584,IFERROR(INDEX('Sản phẩm'!$E$5:$E$304,MATCH(D2584,'Sản phẩm'!$A$5:$A$304,0)),"")))</f>
        <v/>
      </c>
      <c r="J2584" s="16">
        <f>IF(OR(D2584="",F2584=""),"",F2584*I2584-N(H2584))</f>
        <v/>
      </c>
      <c r="K2584" s="16">
        <f>IF(OR(D2584="",F2584=""),"",F2584*IFERROR(INDEX('Sản phẩm'!$D$5:$D$304,MATCH(D2584,'Sản phẩm'!$A$5:$A$304,0)),""))</f>
        <v/>
      </c>
      <c r="L2584" s="16">
        <f>IF(J2584="","",J2584-K2584)</f>
        <v/>
      </c>
      <c r="M2584" s="14">
        <f>IF(A2584="","",MONTH(A2584))</f>
        <v/>
      </c>
      <c r="N2584" s="14">
        <f>IF(A2584="","",YEAR(A2584))</f>
        <v/>
      </c>
    </row>
    <row r="2585">
      <c r="A2585" s="15" t="n"/>
      <c r="B2585" s="10" t="n"/>
      <c r="C2585" s="10" t="n"/>
      <c r="D2585" s="10" t="n"/>
      <c r="E2585" s="14">
        <f>IF(D2585="","",IFERROR(INDEX('Sản phẩm'!$B$5:$B$304,MATCH(D2585,'Sản phẩm'!$A$5:$A$304,0)),""))</f>
        <v/>
      </c>
      <c r="F2585" s="12" t="n"/>
      <c r="G2585" s="11" t="n"/>
      <c r="H2585" s="11" t="n"/>
      <c r="I2585" s="16">
        <f>IF(D2585="","",IF(G2585&lt;&gt;"",G2585,IFERROR(INDEX('Sản phẩm'!$E$5:$E$304,MATCH(D2585,'Sản phẩm'!$A$5:$A$304,0)),"")))</f>
        <v/>
      </c>
      <c r="J2585" s="16">
        <f>IF(OR(D2585="",F2585=""),"",F2585*I2585-N(H2585))</f>
        <v/>
      </c>
      <c r="K2585" s="16">
        <f>IF(OR(D2585="",F2585=""),"",F2585*IFERROR(INDEX('Sản phẩm'!$D$5:$D$304,MATCH(D2585,'Sản phẩm'!$A$5:$A$304,0)),""))</f>
        <v/>
      </c>
      <c r="L2585" s="16">
        <f>IF(J2585="","",J2585-K2585)</f>
        <v/>
      </c>
      <c r="M2585" s="14">
        <f>IF(A2585="","",MONTH(A2585))</f>
        <v/>
      </c>
      <c r="N2585" s="14">
        <f>IF(A2585="","",YEAR(A2585))</f>
        <v/>
      </c>
    </row>
    <row r="2586">
      <c r="A2586" s="15" t="n"/>
      <c r="B2586" s="10" t="n"/>
      <c r="C2586" s="10" t="n"/>
      <c r="D2586" s="10" t="n"/>
      <c r="E2586" s="14">
        <f>IF(D2586="","",IFERROR(INDEX('Sản phẩm'!$B$5:$B$304,MATCH(D2586,'Sản phẩm'!$A$5:$A$304,0)),""))</f>
        <v/>
      </c>
      <c r="F2586" s="12" t="n"/>
      <c r="G2586" s="11" t="n"/>
      <c r="H2586" s="11" t="n"/>
      <c r="I2586" s="16">
        <f>IF(D2586="","",IF(G2586&lt;&gt;"",G2586,IFERROR(INDEX('Sản phẩm'!$E$5:$E$304,MATCH(D2586,'Sản phẩm'!$A$5:$A$304,0)),"")))</f>
        <v/>
      </c>
      <c r="J2586" s="16">
        <f>IF(OR(D2586="",F2586=""),"",F2586*I2586-N(H2586))</f>
        <v/>
      </c>
      <c r="K2586" s="16">
        <f>IF(OR(D2586="",F2586=""),"",F2586*IFERROR(INDEX('Sản phẩm'!$D$5:$D$304,MATCH(D2586,'Sản phẩm'!$A$5:$A$304,0)),""))</f>
        <v/>
      </c>
      <c r="L2586" s="16">
        <f>IF(J2586="","",J2586-K2586)</f>
        <v/>
      </c>
      <c r="M2586" s="14">
        <f>IF(A2586="","",MONTH(A2586))</f>
        <v/>
      </c>
      <c r="N2586" s="14">
        <f>IF(A2586="","",YEAR(A2586))</f>
        <v/>
      </c>
    </row>
    <row r="2587">
      <c r="A2587" s="15" t="n"/>
      <c r="B2587" s="10" t="n"/>
      <c r="C2587" s="10" t="n"/>
      <c r="D2587" s="10" t="n"/>
      <c r="E2587" s="14">
        <f>IF(D2587="","",IFERROR(INDEX('Sản phẩm'!$B$5:$B$304,MATCH(D2587,'Sản phẩm'!$A$5:$A$304,0)),""))</f>
        <v/>
      </c>
      <c r="F2587" s="12" t="n"/>
      <c r="G2587" s="11" t="n"/>
      <c r="H2587" s="11" t="n"/>
      <c r="I2587" s="16">
        <f>IF(D2587="","",IF(G2587&lt;&gt;"",G2587,IFERROR(INDEX('Sản phẩm'!$E$5:$E$304,MATCH(D2587,'Sản phẩm'!$A$5:$A$304,0)),"")))</f>
        <v/>
      </c>
      <c r="J2587" s="16">
        <f>IF(OR(D2587="",F2587=""),"",F2587*I2587-N(H2587))</f>
        <v/>
      </c>
      <c r="K2587" s="16">
        <f>IF(OR(D2587="",F2587=""),"",F2587*IFERROR(INDEX('Sản phẩm'!$D$5:$D$304,MATCH(D2587,'Sản phẩm'!$A$5:$A$304,0)),""))</f>
        <v/>
      </c>
      <c r="L2587" s="16">
        <f>IF(J2587="","",J2587-K2587)</f>
        <v/>
      </c>
      <c r="M2587" s="14">
        <f>IF(A2587="","",MONTH(A2587))</f>
        <v/>
      </c>
      <c r="N2587" s="14">
        <f>IF(A2587="","",YEAR(A2587))</f>
        <v/>
      </c>
    </row>
    <row r="2588">
      <c r="A2588" s="15" t="n"/>
      <c r="B2588" s="10" t="n"/>
      <c r="C2588" s="10" t="n"/>
      <c r="D2588" s="10" t="n"/>
      <c r="E2588" s="14">
        <f>IF(D2588="","",IFERROR(INDEX('Sản phẩm'!$B$5:$B$304,MATCH(D2588,'Sản phẩm'!$A$5:$A$304,0)),""))</f>
        <v/>
      </c>
      <c r="F2588" s="12" t="n"/>
      <c r="G2588" s="11" t="n"/>
      <c r="H2588" s="11" t="n"/>
      <c r="I2588" s="16">
        <f>IF(D2588="","",IF(G2588&lt;&gt;"",G2588,IFERROR(INDEX('Sản phẩm'!$E$5:$E$304,MATCH(D2588,'Sản phẩm'!$A$5:$A$304,0)),"")))</f>
        <v/>
      </c>
      <c r="J2588" s="16">
        <f>IF(OR(D2588="",F2588=""),"",F2588*I2588-N(H2588))</f>
        <v/>
      </c>
      <c r="K2588" s="16">
        <f>IF(OR(D2588="",F2588=""),"",F2588*IFERROR(INDEX('Sản phẩm'!$D$5:$D$304,MATCH(D2588,'Sản phẩm'!$A$5:$A$304,0)),""))</f>
        <v/>
      </c>
      <c r="L2588" s="16">
        <f>IF(J2588="","",J2588-K2588)</f>
        <v/>
      </c>
      <c r="M2588" s="14">
        <f>IF(A2588="","",MONTH(A2588))</f>
        <v/>
      </c>
      <c r="N2588" s="14">
        <f>IF(A2588="","",YEAR(A2588))</f>
        <v/>
      </c>
    </row>
    <row r="2589">
      <c r="A2589" s="15" t="n"/>
      <c r="B2589" s="10" t="n"/>
      <c r="C2589" s="10" t="n"/>
      <c r="D2589" s="10" t="n"/>
      <c r="E2589" s="14">
        <f>IF(D2589="","",IFERROR(INDEX('Sản phẩm'!$B$5:$B$304,MATCH(D2589,'Sản phẩm'!$A$5:$A$304,0)),""))</f>
        <v/>
      </c>
      <c r="F2589" s="12" t="n"/>
      <c r="G2589" s="11" t="n"/>
      <c r="H2589" s="11" t="n"/>
      <c r="I2589" s="16">
        <f>IF(D2589="","",IF(G2589&lt;&gt;"",G2589,IFERROR(INDEX('Sản phẩm'!$E$5:$E$304,MATCH(D2589,'Sản phẩm'!$A$5:$A$304,0)),"")))</f>
        <v/>
      </c>
      <c r="J2589" s="16">
        <f>IF(OR(D2589="",F2589=""),"",F2589*I2589-N(H2589))</f>
        <v/>
      </c>
      <c r="K2589" s="16">
        <f>IF(OR(D2589="",F2589=""),"",F2589*IFERROR(INDEX('Sản phẩm'!$D$5:$D$304,MATCH(D2589,'Sản phẩm'!$A$5:$A$304,0)),""))</f>
        <v/>
      </c>
      <c r="L2589" s="16">
        <f>IF(J2589="","",J2589-K2589)</f>
        <v/>
      </c>
      <c r="M2589" s="14">
        <f>IF(A2589="","",MONTH(A2589))</f>
        <v/>
      </c>
      <c r="N2589" s="14">
        <f>IF(A2589="","",YEAR(A2589))</f>
        <v/>
      </c>
    </row>
    <row r="2590">
      <c r="A2590" s="15" t="n"/>
      <c r="B2590" s="10" t="n"/>
      <c r="C2590" s="10" t="n"/>
      <c r="D2590" s="10" t="n"/>
      <c r="E2590" s="14">
        <f>IF(D2590="","",IFERROR(INDEX('Sản phẩm'!$B$5:$B$304,MATCH(D2590,'Sản phẩm'!$A$5:$A$304,0)),""))</f>
        <v/>
      </c>
      <c r="F2590" s="12" t="n"/>
      <c r="G2590" s="11" t="n"/>
      <c r="H2590" s="11" t="n"/>
      <c r="I2590" s="16">
        <f>IF(D2590="","",IF(G2590&lt;&gt;"",G2590,IFERROR(INDEX('Sản phẩm'!$E$5:$E$304,MATCH(D2590,'Sản phẩm'!$A$5:$A$304,0)),"")))</f>
        <v/>
      </c>
      <c r="J2590" s="16">
        <f>IF(OR(D2590="",F2590=""),"",F2590*I2590-N(H2590))</f>
        <v/>
      </c>
      <c r="K2590" s="16">
        <f>IF(OR(D2590="",F2590=""),"",F2590*IFERROR(INDEX('Sản phẩm'!$D$5:$D$304,MATCH(D2590,'Sản phẩm'!$A$5:$A$304,0)),""))</f>
        <v/>
      </c>
      <c r="L2590" s="16">
        <f>IF(J2590="","",J2590-K2590)</f>
        <v/>
      </c>
      <c r="M2590" s="14">
        <f>IF(A2590="","",MONTH(A2590))</f>
        <v/>
      </c>
      <c r="N2590" s="14">
        <f>IF(A2590="","",YEAR(A2590))</f>
        <v/>
      </c>
    </row>
    <row r="2591">
      <c r="A2591" s="15" t="n"/>
      <c r="B2591" s="10" t="n"/>
      <c r="C2591" s="10" t="n"/>
      <c r="D2591" s="10" t="n"/>
      <c r="E2591" s="14">
        <f>IF(D2591="","",IFERROR(INDEX('Sản phẩm'!$B$5:$B$304,MATCH(D2591,'Sản phẩm'!$A$5:$A$304,0)),""))</f>
        <v/>
      </c>
      <c r="F2591" s="12" t="n"/>
      <c r="G2591" s="11" t="n"/>
      <c r="H2591" s="11" t="n"/>
      <c r="I2591" s="16">
        <f>IF(D2591="","",IF(G2591&lt;&gt;"",G2591,IFERROR(INDEX('Sản phẩm'!$E$5:$E$304,MATCH(D2591,'Sản phẩm'!$A$5:$A$304,0)),"")))</f>
        <v/>
      </c>
      <c r="J2591" s="16">
        <f>IF(OR(D2591="",F2591=""),"",F2591*I2591-N(H2591))</f>
        <v/>
      </c>
      <c r="K2591" s="16">
        <f>IF(OR(D2591="",F2591=""),"",F2591*IFERROR(INDEX('Sản phẩm'!$D$5:$D$304,MATCH(D2591,'Sản phẩm'!$A$5:$A$304,0)),""))</f>
        <v/>
      </c>
      <c r="L2591" s="16">
        <f>IF(J2591="","",J2591-K2591)</f>
        <v/>
      </c>
      <c r="M2591" s="14">
        <f>IF(A2591="","",MONTH(A2591))</f>
        <v/>
      </c>
      <c r="N2591" s="14">
        <f>IF(A2591="","",YEAR(A2591))</f>
        <v/>
      </c>
    </row>
    <row r="2592">
      <c r="A2592" s="15" t="n"/>
      <c r="B2592" s="10" t="n"/>
      <c r="C2592" s="10" t="n"/>
      <c r="D2592" s="10" t="n"/>
      <c r="E2592" s="14">
        <f>IF(D2592="","",IFERROR(INDEX('Sản phẩm'!$B$5:$B$304,MATCH(D2592,'Sản phẩm'!$A$5:$A$304,0)),""))</f>
        <v/>
      </c>
      <c r="F2592" s="12" t="n"/>
      <c r="G2592" s="11" t="n"/>
      <c r="H2592" s="11" t="n"/>
      <c r="I2592" s="16">
        <f>IF(D2592="","",IF(G2592&lt;&gt;"",G2592,IFERROR(INDEX('Sản phẩm'!$E$5:$E$304,MATCH(D2592,'Sản phẩm'!$A$5:$A$304,0)),"")))</f>
        <v/>
      </c>
      <c r="J2592" s="16">
        <f>IF(OR(D2592="",F2592=""),"",F2592*I2592-N(H2592))</f>
        <v/>
      </c>
      <c r="K2592" s="16">
        <f>IF(OR(D2592="",F2592=""),"",F2592*IFERROR(INDEX('Sản phẩm'!$D$5:$D$304,MATCH(D2592,'Sản phẩm'!$A$5:$A$304,0)),""))</f>
        <v/>
      </c>
      <c r="L2592" s="16">
        <f>IF(J2592="","",J2592-K2592)</f>
        <v/>
      </c>
      <c r="M2592" s="14">
        <f>IF(A2592="","",MONTH(A2592))</f>
        <v/>
      </c>
      <c r="N2592" s="14">
        <f>IF(A2592="","",YEAR(A2592))</f>
        <v/>
      </c>
    </row>
    <row r="2593">
      <c r="A2593" s="15" t="n"/>
      <c r="B2593" s="10" t="n"/>
      <c r="C2593" s="10" t="n"/>
      <c r="D2593" s="10" t="n"/>
      <c r="E2593" s="14">
        <f>IF(D2593="","",IFERROR(INDEX('Sản phẩm'!$B$5:$B$304,MATCH(D2593,'Sản phẩm'!$A$5:$A$304,0)),""))</f>
        <v/>
      </c>
      <c r="F2593" s="12" t="n"/>
      <c r="G2593" s="11" t="n"/>
      <c r="H2593" s="11" t="n"/>
      <c r="I2593" s="16">
        <f>IF(D2593="","",IF(G2593&lt;&gt;"",G2593,IFERROR(INDEX('Sản phẩm'!$E$5:$E$304,MATCH(D2593,'Sản phẩm'!$A$5:$A$304,0)),"")))</f>
        <v/>
      </c>
      <c r="J2593" s="16">
        <f>IF(OR(D2593="",F2593=""),"",F2593*I2593-N(H2593))</f>
        <v/>
      </c>
      <c r="K2593" s="16">
        <f>IF(OR(D2593="",F2593=""),"",F2593*IFERROR(INDEX('Sản phẩm'!$D$5:$D$304,MATCH(D2593,'Sản phẩm'!$A$5:$A$304,0)),""))</f>
        <v/>
      </c>
      <c r="L2593" s="16">
        <f>IF(J2593="","",J2593-K2593)</f>
        <v/>
      </c>
      <c r="M2593" s="14">
        <f>IF(A2593="","",MONTH(A2593))</f>
        <v/>
      </c>
      <c r="N2593" s="14">
        <f>IF(A2593="","",YEAR(A2593))</f>
        <v/>
      </c>
    </row>
    <row r="2594">
      <c r="A2594" s="15" t="n"/>
      <c r="B2594" s="10" t="n"/>
      <c r="C2594" s="10" t="n"/>
      <c r="D2594" s="10" t="n"/>
      <c r="E2594" s="14">
        <f>IF(D2594="","",IFERROR(INDEX('Sản phẩm'!$B$5:$B$304,MATCH(D2594,'Sản phẩm'!$A$5:$A$304,0)),""))</f>
        <v/>
      </c>
      <c r="F2594" s="12" t="n"/>
      <c r="G2594" s="11" t="n"/>
      <c r="H2594" s="11" t="n"/>
      <c r="I2594" s="16">
        <f>IF(D2594="","",IF(G2594&lt;&gt;"",G2594,IFERROR(INDEX('Sản phẩm'!$E$5:$E$304,MATCH(D2594,'Sản phẩm'!$A$5:$A$304,0)),"")))</f>
        <v/>
      </c>
      <c r="J2594" s="16">
        <f>IF(OR(D2594="",F2594=""),"",F2594*I2594-N(H2594))</f>
        <v/>
      </c>
      <c r="K2594" s="16">
        <f>IF(OR(D2594="",F2594=""),"",F2594*IFERROR(INDEX('Sản phẩm'!$D$5:$D$304,MATCH(D2594,'Sản phẩm'!$A$5:$A$304,0)),""))</f>
        <v/>
      </c>
      <c r="L2594" s="16">
        <f>IF(J2594="","",J2594-K2594)</f>
        <v/>
      </c>
      <c r="M2594" s="14">
        <f>IF(A2594="","",MONTH(A2594))</f>
        <v/>
      </c>
      <c r="N2594" s="14">
        <f>IF(A2594="","",YEAR(A2594))</f>
        <v/>
      </c>
    </row>
    <row r="2595">
      <c r="A2595" s="15" t="n"/>
      <c r="B2595" s="10" t="n"/>
      <c r="C2595" s="10" t="n"/>
      <c r="D2595" s="10" t="n"/>
      <c r="E2595" s="14">
        <f>IF(D2595="","",IFERROR(INDEX('Sản phẩm'!$B$5:$B$304,MATCH(D2595,'Sản phẩm'!$A$5:$A$304,0)),""))</f>
        <v/>
      </c>
      <c r="F2595" s="12" t="n"/>
      <c r="G2595" s="11" t="n"/>
      <c r="H2595" s="11" t="n"/>
      <c r="I2595" s="16">
        <f>IF(D2595="","",IF(G2595&lt;&gt;"",G2595,IFERROR(INDEX('Sản phẩm'!$E$5:$E$304,MATCH(D2595,'Sản phẩm'!$A$5:$A$304,0)),"")))</f>
        <v/>
      </c>
      <c r="J2595" s="16">
        <f>IF(OR(D2595="",F2595=""),"",F2595*I2595-N(H2595))</f>
        <v/>
      </c>
      <c r="K2595" s="16">
        <f>IF(OR(D2595="",F2595=""),"",F2595*IFERROR(INDEX('Sản phẩm'!$D$5:$D$304,MATCH(D2595,'Sản phẩm'!$A$5:$A$304,0)),""))</f>
        <v/>
      </c>
      <c r="L2595" s="16">
        <f>IF(J2595="","",J2595-K2595)</f>
        <v/>
      </c>
      <c r="M2595" s="14">
        <f>IF(A2595="","",MONTH(A2595))</f>
        <v/>
      </c>
      <c r="N2595" s="14">
        <f>IF(A2595="","",YEAR(A2595))</f>
        <v/>
      </c>
    </row>
    <row r="2596">
      <c r="A2596" s="15" t="n"/>
      <c r="B2596" s="10" t="n"/>
      <c r="C2596" s="10" t="n"/>
      <c r="D2596" s="10" t="n"/>
      <c r="E2596" s="14">
        <f>IF(D2596="","",IFERROR(INDEX('Sản phẩm'!$B$5:$B$304,MATCH(D2596,'Sản phẩm'!$A$5:$A$304,0)),""))</f>
        <v/>
      </c>
      <c r="F2596" s="12" t="n"/>
      <c r="G2596" s="11" t="n"/>
      <c r="H2596" s="11" t="n"/>
      <c r="I2596" s="16">
        <f>IF(D2596="","",IF(G2596&lt;&gt;"",G2596,IFERROR(INDEX('Sản phẩm'!$E$5:$E$304,MATCH(D2596,'Sản phẩm'!$A$5:$A$304,0)),"")))</f>
        <v/>
      </c>
      <c r="J2596" s="16">
        <f>IF(OR(D2596="",F2596=""),"",F2596*I2596-N(H2596))</f>
        <v/>
      </c>
      <c r="K2596" s="16">
        <f>IF(OR(D2596="",F2596=""),"",F2596*IFERROR(INDEX('Sản phẩm'!$D$5:$D$304,MATCH(D2596,'Sản phẩm'!$A$5:$A$304,0)),""))</f>
        <v/>
      </c>
      <c r="L2596" s="16">
        <f>IF(J2596="","",J2596-K2596)</f>
        <v/>
      </c>
      <c r="M2596" s="14">
        <f>IF(A2596="","",MONTH(A2596))</f>
        <v/>
      </c>
      <c r="N2596" s="14">
        <f>IF(A2596="","",YEAR(A2596))</f>
        <v/>
      </c>
    </row>
    <row r="2597">
      <c r="A2597" s="15" t="n"/>
      <c r="B2597" s="10" t="n"/>
      <c r="C2597" s="10" t="n"/>
      <c r="D2597" s="10" t="n"/>
      <c r="E2597" s="14">
        <f>IF(D2597="","",IFERROR(INDEX('Sản phẩm'!$B$5:$B$304,MATCH(D2597,'Sản phẩm'!$A$5:$A$304,0)),""))</f>
        <v/>
      </c>
      <c r="F2597" s="12" t="n"/>
      <c r="G2597" s="11" t="n"/>
      <c r="H2597" s="11" t="n"/>
      <c r="I2597" s="16">
        <f>IF(D2597="","",IF(G2597&lt;&gt;"",G2597,IFERROR(INDEX('Sản phẩm'!$E$5:$E$304,MATCH(D2597,'Sản phẩm'!$A$5:$A$304,0)),"")))</f>
        <v/>
      </c>
      <c r="J2597" s="16">
        <f>IF(OR(D2597="",F2597=""),"",F2597*I2597-N(H2597))</f>
        <v/>
      </c>
      <c r="K2597" s="16">
        <f>IF(OR(D2597="",F2597=""),"",F2597*IFERROR(INDEX('Sản phẩm'!$D$5:$D$304,MATCH(D2597,'Sản phẩm'!$A$5:$A$304,0)),""))</f>
        <v/>
      </c>
      <c r="L2597" s="16">
        <f>IF(J2597="","",J2597-K2597)</f>
        <v/>
      </c>
      <c r="M2597" s="14">
        <f>IF(A2597="","",MONTH(A2597))</f>
        <v/>
      </c>
      <c r="N2597" s="14">
        <f>IF(A2597="","",YEAR(A2597))</f>
        <v/>
      </c>
    </row>
    <row r="2598">
      <c r="A2598" s="15" t="n"/>
      <c r="B2598" s="10" t="n"/>
      <c r="C2598" s="10" t="n"/>
      <c r="D2598" s="10" t="n"/>
      <c r="E2598" s="14">
        <f>IF(D2598="","",IFERROR(INDEX('Sản phẩm'!$B$5:$B$304,MATCH(D2598,'Sản phẩm'!$A$5:$A$304,0)),""))</f>
        <v/>
      </c>
      <c r="F2598" s="12" t="n"/>
      <c r="G2598" s="11" t="n"/>
      <c r="H2598" s="11" t="n"/>
      <c r="I2598" s="16">
        <f>IF(D2598="","",IF(G2598&lt;&gt;"",G2598,IFERROR(INDEX('Sản phẩm'!$E$5:$E$304,MATCH(D2598,'Sản phẩm'!$A$5:$A$304,0)),"")))</f>
        <v/>
      </c>
      <c r="J2598" s="16">
        <f>IF(OR(D2598="",F2598=""),"",F2598*I2598-N(H2598))</f>
        <v/>
      </c>
      <c r="K2598" s="16">
        <f>IF(OR(D2598="",F2598=""),"",F2598*IFERROR(INDEX('Sản phẩm'!$D$5:$D$304,MATCH(D2598,'Sản phẩm'!$A$5:$A$304,0)),""))</f>
        <v/>
      </c>
      <c r="L2598" s="16">
        <f>IF(J2598="","",J2598-K2598)</f>
        <v/>
      </c>
      <c r="M2598" s="14">
        <f>IF(A2598="","",MONTH(A2598))</f>
        <v/>
      </c>
      <c r="N2598" s="14">
        <f>IF(A2598="","",YEAR(A2598))</f>
        <v/>
      </c>
    </row>
    <row r="2599">
      <c r="A2599" s="15" t="n"/>
      <c r="B2599" s="10" t="n"/>
      <c r="C2599" s="10" t="n"/>
      <c r="D2599" s="10" t="n"/>
      <c r="E2599" s="14">
        <f>IF(D2599="","",IFERROR(INDEX('Sản phẩm'!$B$5:$B$304,MATCH(D2599,'Sản phẩm'!$A$5:$A$304,0)),""))</f>
        <v/>
      </c>
      <c r="F2599" s="12" t="n"/>
      <c r="G2599" s="11" t="n"/>
      <c r="H2599" s="11" t="n"/>
      <c r="I2599" s="16">
        <f>IF(D2599="","",IF(G2599&lt;&gt;"",G2599,IFERROR(INDEX('Sản phẩm'!$E$5:$E$304,MATCH(D2599,'Sản phẩm'!$A$5:$A$304,0)),"")))</f>
        <v/>
      </c>
      <c r="J2599" s="16">
        <f>IF(OR(D2599="",F2599=""),"",F2599*I2599-N(H2599))</f>
        <v/>
      </c>
      <c r="K2599" s="16">
        <f>IF(OR(D2599="",F2599=""),"",F2599*IFERROR(INDEX('Sản phẩm'!$D$5:$D$304,MATCH(D2599,'Sản phẩm'!$A$5:$A$304,0)),""))</f>
        <v/>
      </c>
      <c r="L2599" s="16">
        <f>IF(J2599="","",J2599-K2599)</f>
        <v/>
      </c>
      <c r="M2599" s="14">
        <f>IF(A2599="","",MONTH(A2599))</f>
        <v/>
      </c>
      <c r="N2599" s="14">
        <f>IF(A2599="","",YEAR(A2599))</f>
        <v/>
      </c>
    </row>
    <row r="2600">
      <c r="A2600" s="15" t="n"/>
      <c r="B2600" s="10" t="n"/>
      <c r="C2600" s="10" t="n"/>
      <c r="D2600" s="10" t="n"/>
      <c r="E2600" s="14">
        <f>IF(D2600="","",IFERROR(INDEX('Sản phẩm'!$B$5:$B$304,MATCH(D2600,'Sản phẩm'!$A$5:$A$304,0)),""))</f>
        <v/>
      </c>
      <c r="F2600" s="12" t="n"/>
      <c r="G2600" s="11" t="n"/>
      <c r="H2600" s="11" t="n"/>
      <c r="I2600" s="16">
        <f>IF(D2600="","",IF(G2600&lt;&gt;"",G2600,IFERROR(INDEX('Sản phẩm'!$E$5:$E$304,MATCH(D2600,'Sản phẩm'!$A$5:$A$304,0)),"")))</f>
        <v/>
      </c>
      <c r="J2600" s="16">
        <f>IF(OR(D2600="",F2600=""),"",F2600*I2600-N(H2600))</f>
        <v/>
      </c>
      <c r="K2600" s="16">
        <f>IF(OR(D2600="",F2600=""),"",F2600*IFERROR(INDEX('Sản phẩm'!$D$5:$D$304,MATCH(D2600,'Sản phẩm'!$A$5:$A$304,0)),""))</f>
        <v/>
      </c>
      <c r="L2600" s="16">
        <f>IF(J2600="","",J2600-K2600)</f>
        <v/>
      </c>
      <c r="M2600" s="14">
        <f>IF(A2600="","",MONTH(A2600))</f>
        <v/>
      </c>
      <c r="N2600" s="14">
        <f>IF(A2600="","",YEAR(A2600))</f>
        <v/>
      </c>
    </row>
    <row r="2601">
      <c r="A2601" s="15" t="n"/>
      <c r="B2601" s="10" t="n"/>
      <c r="C2601" s="10" t="n"/>
      <c r="D2601" s="10" t="n"/>
      <c r="E2601" s="14">
        <f>IF(D2601="","",IFERROR(INDEX('Sản phẩm'!$B$5:$B$304,MATCH(D2601,'Sản phẩm'!$A$5:$A$304,0)),""))</f>
        <v/>
      </c>
      <c r="F2601" s="12" t="n"/>
      <c r="G2601" s="11" t="n"/>
      <c r="H2601" s="11" t="n"/>
      <c r="I2601" s="16">
        <f>IF(D2601="","",IF(G2601&lt;&gt;"",G2601,IFERROR(INDEX('Sản phẩm'!$E$5:$E$304,MATCH(D2601,'Sản phẩm'!$A$5:$A$304,0)),"")))</f>
        <v/>
      </c>
      <c r="J2601" s="16">
        <f>IF(OR(D2601="",F2601=""),"",F2601*I2601-N(H2601))</f>
        <v/>
      </c>
      <c r="K2601" s="16">
        <f>IF(OR(D2601="",F2601=""),"",F2601*IFERROR(INDEX('Sản phẩm'!$D$5:$D$304,MATCH(D2601,'Sản phẩm'!$A$5:$A$304,0)),""))</f>
        <v/>
      </c>
      <c r="L2601" s="16">
        <f>IF(J2601="","",J2601-K2601)</f>
        <v/>
      </c>
      <c r="M2601" s="14">
        <f>IF(A2601="","",MONTH(A2601))</f>
        <v/>
      </c>
      <c r="N2601" s="14">
        <f>IF(A2601="","",YEAR(A2601))</f>
        <v/>
      </c>
    </row>
    <row r="2602">
      <c r="A2602" s="15" t="n"/>
      <c r="B2602" s="10" t="n"/>
      <c r="C2602" s="10" t="n"/>
      <c r="D2602" s="10" t="n"/>
      <c r="E2602" s="14">
        <f>IF(D2602="","",IFERROR(INDEX('Sản phẩm'!$B$5:$B$304,MATCH(D2602,'Sản phẩm'!$A$5:$A$304,0)),""))</f>
        <v/>
      </c>
      <c r="F2602" s="12" t="n"/>
      <c r="G2602" s="11" t="n"/>
      <c r="H2602" s="11" t="n"/>
      <c r="I2602" s="16">
        <f>IF(D2602="","",IF(G2602&lt;&gt;"",G2602,IFERROR(INDEX('Sản phẩm'!$E$5:$E$304,MATCH(D2602,'Sản phẩm'!$A$5:$A$304,0)),"")))</f>
        <v/>
      </c>
      <c r="J2602" s="16">
        <f>IF(OR(D2602="",F2602=""),"",F2602*I2602-N(H2602))</f>
        <v/>
      </c>
      <c r="K2602" s="16">
        <f>IF(OR(D2602="",F2602=""),"",F2602*IFERROR(INDEX('Sản phẩm'!$D$5:$D$304,MATCH(D2602,'Sản phẩm'!$A$5:$A$304,0)),""))</f>
        <v/>
      </c>
      <c r="L2602" s="16">
        <f>IF(J2602="","",J2602-K2602)</f>
        <v/>
      </c>
      <c r="M2602" s="14">
        <f>IF(A2602="","",MONTH(A2602))</f>
        <v/>
      </c>
      <c r="N2602" s="14">
        <f>IF(A2602="","",YEAR(A2602))</f>
        <v/>
      </c>
    </row>
    <row r="2603">
      <c r="A2603" s="15" t="n"/>
      <c r="B2603" s="10" t="n"/>
      <c r="C2603" s="10" t="n"/>
      <c r="D2603" s="10" t="n"/>
      <c r="E2603" s="14">
        <f>IF(D2603="","",IFERROR(INDEX('Sản phẩm'!$B$5:$B$304,MATCH(D2603,'Sản phẩm'!$A$5:$A$304,0)),""))</f>
        <v/>
      </c>
      <c r="F2603" s="12" t="n"/>
      <c r="G2603" s="11" t="n"/>
      <c r="H2603" s="11" t="n"/>
      <c r="I2603" s="16">
        <f>IF(D2603="","",IF(G2603&lt;&gt;"",G2603,IFERROR(INDEX('Sản phẩm'!$E$5:$E$304,MATCH(D2603,'Sản phẩm'!$A$5:$A$304,0)),"")))</f>
        <v/>
      </c>
      <c r="J2603" s="16">
        <f>IF(OR(D2603="",F2603=""),"",F2603*I2603-N(H2603))</f>
        <v/>
      </c>
      <c r="K2603" s="16">
        <f>IF(OR(D2603="",F2603=""),"",F2603*IFERROR(INDEX('Sản phẩm'!$D$5:$D$304,MATCH(D2603,'Sản phẩm'!$A$5:$A$304,0)),""))</f>
        <v/>
      </c>
      <c r="L2603" s="16">
        <f>IF(J2603="","",J2603-K2603)</f>
        <v/>
      </c>
      <c r="M2603" s="14">
        <f>IF(A2603="","",MONTH(A2603))</f>
        <v/>
      </c>
      <c r="N2603" s="14">
        <f>IF(A2603="","",YEAR(A2603))</f>
        <v/>
      </c>
    </row>
    <row r="2604">
      <c r="A2604" s="15" t="n"/>
      <c r="B2604" s="10" t="n"/>
      <c r="C2604" s="10" t="n"/>
      <c r="D2604" s="10" t="n"/>
      <c r="E2604" s="14">
        <f>IF(D2604="","",IFERROR(INDEX('Sản phẩm'!$B$5:$B$304,MATCH(D2604,'Sản phẩm'!$A$5:$A$304,0)),""))</f>
        <v/>
      </c>
      <c r="F2604" s="12" t="n"/>
      <c r="G2604" s="11" t="n"/>
      <c r="H2604" s="11" t="n"/>
      <c r="I2604" s="16">
        <f>IF(D2604="","",IF(G2604&lt;&gt;"",G2604,IFERROR(INDEX('Sản phẩm'!$E$5:$E$304,MATCH(D2604,'Sản phẩm'!$A$5:$A$304,0)),"")))</f>
        <v/>
      </c>
      <c r="J2604" s="16">
        <f>IF(OR(D2604="",F2604=""),"",F2604*I2604-N(H2604))</f>
        <v/>
      </c>
      <c r="K2604" s="16">
        <f>IF(OR(D2604="",F2604=""),"",F2604*IFERROR(INDEX('Sản phẩm'!$D$5:$D$304,MATCH(D2604,'Sản phẩm'!$A$5:$A$304,0)),""))</f>
        <v/>
      </c>
      <c r="L2604" s="16">
        <f>IF(J2604="","",J2604-K2604)</f>
        <v/>
      </c>
      <c r="M2604" s="14">
        <f>IF(A2604="","",MONTH(A2604))</f>
        <v/>
      </c>
      <c r="N2604" s="14">
        <f>IF(A2604="","",YEAR(A2604))</f>
        <v/>
      </c>
    </row>
    <row r="2605">
      <c r="A2605" s="15" t="n"/>
      <c r="B2605" s="10" t="n"/>
      <c r="C2605" s="10" t="n"/>
      <c r="D2605" s="10" t="n"/>
      <c r="E2605" s="14">
        <f>IF(D2605="","",IFERROR(INDEX('Sản phẩm'!$B$5:$B$304,MATCH(D2605,'Sản phẩm'!$A$5:$A$304,0)),""))</f>
        <v/>
      </c>
      <c r="F2605" s="12" t="n"/>
      <c r="G2605" s="11" t="n"/>
      <c r="H2605" s="11" t="n"/>
      <c r="I2605" s="16">
        <f>IF(D2605="","",IF(G2605&lt;&gt;"",G2605,IFERROR(INDEX('Sản phẩm'!$E$5:$E$304,MATCH(D2605,'Sản phẩm'!$A$5:$A$304,0)),"")))</f>
        <v/>
      </c>
      <c r="J2605" s="16">
        <f>IF(OR(D2605="",F2605=""),"",F2605*I2605-N(H2605))</f>
        <v/>
      </c>
      <c r="K2605" s="16">
        <f>IF(OR(D2605="",F2605=""),"",F2605*IFERROR(INDEX('Sản phẩm'!$D$5:$D$304,MATCH(D2605,'Sản phẩm'!$A$5:$A$304,0)),""))</f>
        <v/>
      </c>
      <c r="L2605" s="16">
        <f>IF(J2605="","",J2605-K2605)</f>
        <v/>
      </c>
      <c r="M2605" s="14">
        <f>IF(A2605="","",MONTH(A2605))</f>
        <v/>
      </c>
      <c r="N2605" s="14">
        <f>IF(A2605="","",YEAR(A2605))</f>
        <v/>
      </c>
    </row>
    <row r="2606">
      <c r="A2606" s="15" t="n"/>
      <c r="B2606" s="10" t="n"/>
      <c r="C2606" s="10" t="n"/>
      <c r="D2606" s="10" t="n"/>
      <c r="E2606" s="14">
        <f>IF(D2606="","",IFERROR(INDEX('Sản phẩm'!$B$5:$B$304,MATCH(D2606,'Sản phẩm'!$A$5:$A$304,0)),""))</f>
        <v/>
      </c>
      <c r="F2606" s="12" t="n"/>
      <c r="G2606" s="11" t="n"/>
      <c r="H2606" s="11" t="n"/>
      <c r="I2606" s="16">
        <f>IF(D2606="","",IF(G2606&lt;&gt;"",G2606,IFERROR(INDEX('Sản phẩm'!$E$5:$E$304,MATCH(D2606,'Sản phẩm'!$A$5:$A$304,0)),"")))</f>
        <v/>
      </c>
      <c r="J2606" s="16">
        <f>IF(OR(D2606="",F2606=""),"",F2606*I2606-N(H2606))</f>
        <v/>
      </c>
      <c r="K2606" s="16">
        <f>IF(OR(D2606="",F2606=""),"",F2606*IFERROR(INDEX('Sản phẩm'!$D$5:$D$304,MATCH(D2606,'Sản phẩm'!$A$5:$A$304,0)),""))</f>
        <v/>
      </c>
      <c r="L2606" s="16">
        <f>IF(J2606="","",J2606-K2606)</f>
        <v/>
      </c>
      <c r="M2606" s="14">
        <f>IF(A2606="","",MONTH(A2606))</f>
        <v/>
      </c>
      <c r="N2606" s="14">
        <f>IF(A2606="","",YEAR(A2606))</f>
        <v/>
      </c>
    </row>
    <row r="2607">
      <c r="A2607" s="15" t="n"/>
      <c r="B2607" s="10" t="n"/>
      <c r="C2607" s="10" t="n"/>
      <c r="D2607" s="10" t="n"/>
      <c r="E2607" s="14">
        <f>IF(D2607="","",IFERROR(INDEX('Sản phẩm'!$B$5:$B$304,MATCH(D2607,'Sản phẩm'!$A$5:$A$304,0)),""))</f>
        <v/>
      </c>
      <c r="F2607" s="12" t="n"/>
      <c r="G2607" s="11" t="n"/>
      <c r="H2607" s="11" t="n"/>
      <c r="I2607" s="16">
        <f>IF(D2607="","",IF(G2607&lt;&gt;"",G2607,IFERROR(INDEX('Sản phẩm'!$E$5:$E$304,MATCH(D2607,'Sản phẩm'!$A$5:$A$304,0)),"")))</f>
        <v/>
      </c>
      <c r="J2607" s="16">
        <f>IF(OR(D2607="",F2607=""),"",F2607*I2607-N(H2607))</f>
        <v/>
      </c>
      <c r="K2607" s="16">
        <f>IF(OR(D2607="",F2607=""),"",F2607*IFERROR(INDEX('Sản phẩm'!$D$5:$D$304,MATCH(D2607,'Sản phẩm'!$A$5:$A$304,0)),""))</f>
        <v/>
      </c>
      <c r="L2607" s="16">
        <f>IF(J2607="","",J2607-K2607)</f>
        <v/>
      </c>
      <c r="M2607" s="14">
        <f>IF(A2607="","",MONTH(A2607))</f>
        <v/>
      </c>
      <c r="N2607" s="14">
        <f>IF(A2607="","",YEAR(A2607))</f>
        <v/>
      </c>
    </row>
    <row r="2608">
      <c r="A2608" s="15" t="n"/>
      <c r="B2608" s="10" t="n"/>
      <c r="C2608" s="10" t="n"/>
      <c r="D2608" s="10" t="n"/>
      <c r="E2608" s="14">
        <f>IF(D2608="","",IFERROR(INDEX('Sản phẩm'!$B$5:$B$304,MATCH(D2608,'Sản phẩm'!$A$5:$A$304,0)),""))</f>
        <v/>
      </c>
      <c r="F2608" s="12" t="n"/>
      <c r="G2608" s="11" t="n"/>
      <c r="H2608" s="11" t="n"/>
      <c r="I2608" s="16">
        <f>IF(D2608="","",IF(G2608&lt;&gt;"",G2608,IFERROR(INDEX('Sản phẩm'!$E$5:$E$304,MATCH(D2608,'Sản phẩm'!$A$5:$A$304,0)),"")))</f>
        <v/>
      </c>
      <c r="J2608" s="16">
        <f>IF(OR(D2608="",F2608=""),"",F2608*I2608-N(H2608))</f>
        <v/>
      </c>
      <c r="K2608" s="16">
        <f>IF(OR(D2608="",F2608=""),"",F2608*IFERROR(INDEX('Sản phẩm'!$D$5:$D$304,MATCH(D2608,'Sản phẩm'!$A$5:$A$304,0)),""))</f>
        <v/>
      </c>
      <c r="L2608" s="16">
        <f>IF(J2608="","",J2608-K2608)</f>
        <v/>
      </c>
      <c r="M2608" s="14">
        <f>IF(A2608="","",MONTH(A2608))</f>
        <v/>
      </c>
      <c r="N2608" s="14">
        <f>IF(A2608="","",YEAR(A2608))</f>
        <v/>
      </c>
    </row>
    <row r="2609">
      <c r="A2609" s="15" t="n"/>
      <c r="B2609" s="10" t="n"/>
      <c r="C2609" s="10" t="n"/>
      <c r="D2609" s="10" t="n"/>
      <c r="E2609" s="14">
        <f>IF(D2609="","",IFERROR(INDEX('Sản phẩm'!$B$5:$B$304,MATCH(D2609,'Sản phẩm'!$A$5:$A$304,0)),""))</f>
        <v/>
      </c>
      <c r="F2609" s="12" t="n"/>
      <c r="G2609" s="11" t="n"/>
      <c r="H2609" s="11" t="n"/>
      <c r="I2609" s="16">
        <f>IF(D2609="","",IF(G2609&lt;&gt;"",G2609,IFERROR(INDEX('Sản phẩm'!$E$5:$E$304,MATCH(D2609,'Sản phẩm'!$A$5:$A$304,0)),"")))</f>
        <v/>
      </c>
      <c r="J2609" s="16">
        <f>IF(OR(D2609="",F2609=""),"",F2609*I2609-N(H2609))</f>
        <v/>
      </c>
      <c r="K2609" s="16">
        <f>IF(OR(D2609="",F2609=""),"",F2609*IFERROR(INDEX('Sản phẩm'!$D$5:$D$304,MATCH(D2609,'Sản phẩm'!$A$5:$A$304,0)),""))</f>
        <v/>
      </c>
      <c r="L2609" s="16">
        <f>IF(J2609="","",J2609-K2609)</f>
        <v/>
      </c>
      <c r="M2609" s="14">
        <f>IF(A2609="","",MONTH(A2609))</f>
        <v/>
      </c>
      <c r="N2609" s="14">
        <f>IF(A2609="","",YEAR(A2609))</f>
        <v/>
      </c>
    </row>
    <row r="2610">
      <c r="A2610" s="15" t="n"/>
      <c r="B2610" s="10" t="n"/>
      <c r="C2610" s="10" t="n"/>
      <c r="D2610" s="10" t="n"/>
      <c r="E2610" s="14">
        <f>IF(D2610="","",IFERROR(INDEX('Sản phẩm'!$B$5:$B$304,MATCH(D2610,'Sản phẩm'!$A$5:$A$304,0)),""))</f>
        <v/>
      </c>
      <c r="F2610" s="12" t="n"/>
      <c r="G2610" s="11" t="n"/>
      <c r="H2610" s="11" t="n"/>
      <c r="I2610" s="16">
        <f>IF(D2610="","",IF(G2610&lt;&gt;"",G2610,IFERROR(INDEX('Sản phẩm'!$E$5:$E$304,MATCH(D2610,'Sản phẩm'!$A$5:$A$304,0)),"")))</f>
        <v/>
      </c>
      <c r="J2610" s="16">
        <f>IF(OR(D2610="",F2610=""),"",F2610*I2610-N(H2610))</f>
        <v/>
      </c>
      <c r="K2610" s="16">
        <f>IF(OR(D2610="",F2610=""),"",F2610*IFERROR(INDEX('Sản phẩm'!$D$5:$D$304,MATCH(D2610,'Sản phẩm'!$A$5:$A$304,0)),""))</f>
        <v/>
      </c>
      <c r="L2610" s="16">
        <f>IF(J2610="","",J2610-K2610)</f>
        <v/>
      </c>
      <c r="M2610" s="14">
        <f>IF(A2610="","",MONTH(A2610))</f>
        <v/>
      </c>
      <c r="N2610" s="14">
        <f>IF(A2610="","",YEAR(A2610))</f>
        <v/>
      </c>
    </row>
    <row r="2611">
      <c r="A2611" s="15" t="n"/>
      <c r="B2611" s="10" t="n"/>
      <c r="C2611" s="10" t="n"/>
      <c r="D2611" s="10" t="n"/>
      <c r="E2611" s="14">
        <f>IF(D2611="","",IFERROR(INDEX('Sản phẩm'!$B$5:$B$304,MATCH(D2611,'Sản phẩm'!$A$5:$A$304,0)),""))</f>
        <v/>
      </c>
      <c r="F2611" s="12" t="n"/>
      <c r="G2611" s="11" t="n"/>
      <c r="H2611" s="11" t="n"/>
      <c r="I2611" s="16">
        <f>IF(D2611="","",IF(G2611&lt;&gt;"",G2611,IFERROR(INDEX('Sản phẩm'!$E$5:$E$304,MATCH(D2611,'Sản phẩm'!$A$5:$A$304,0)),"")))</f>
        <v/>
      </c>
      <c r="J2611" s="16">
        <f>IF(OR(D2611="",F2611=""),"",F2611*I2611-N(H2611))</f>
        <v/>
      </c>
      <c r="K2611" s="16">
        <f>IF(OR(D2611="",F2611=""),"",F2611*IFERROR(INDEX('Sản phẩm'!$D$5:$D$304,MATCH(D2611,'Sản phẩm'!$A$5:$A$304,0)),""))</f>
        <v/>
      </c>
      <c r="L2611" s="16">
        <f>IF(J2611="","",J2611-K2611)</f>
        <v/>
      </c>
      <c r="M2611" s="14">
        <f>IF(A2611="","",MONTH(A2611))</f>
        <v/>
      </c>
      <c r="N2611" s="14">
        <f>IF(A2611="","",YEAR(A2611))</f>
        <v/>
      </c>
    </row>
    <row r="2612">
      <c r="A2612" s="15" t="n"/>
      <c r="B2612" s="10" t="n"/>
      <c r="C2612" s="10" t="n"/>
      <c r="D2612" s="10" t="n"/>
      <c r="E2612" s="14">
        <f>IF(D2612="","",IFERROR(INDEX('Sản phẩm'!$B$5:$B$304,MATCH(D2612,'Sản phẩm'!$A$5:$A$304,0)),""))</f>
        <v/>
      </c>
      <c r="F2612" s="12" t="n"/>
      <c r="G2612" s="11" t="n"/>
      <c r="H2612" s="11" t="n"/>
      <c r="I2612" s="16">
        <f>IF(D2612="","",IF(G2612&lt;&gt;"",G2612,IFERROR(INDEX('Sản phẩm'!$E$5:$E$304,MATCH(D2612,'Sản phẩm'!$A$5:$A$304,0)),"")))</f>
        <v/>
      </c>
      <c r="J2612" s="16">
        <f>IF(OR(D2612="",F2612=""),"",F2612*I2612-N(H2612))</f>
        <v/>
      </c>
      <c r="K2612" s="16">
        <f>IF(OR(D2612="",F2612=""),"",F2612*IFERROR(INDEX('Sản phẩm'!$D$5:$D$304,MATCH(D2612,'Sản phẩm'!$A$5:$A$304,0)),""))</f>
        <v/>
      </c>
      <c r="L2612" s="16">
        <f>IF(J2612="","",J2612-K2612)</f>
        <v/>
      </c>
      <c r="M2612" s="14">
        <f>IF(A2612="","",MONTH(A2612))</f>
        <v/>
      </c>
      <c r="N2612" s="14">
        <f>IF(A2612="","",YEAR(A2612))</f>
        <v/>
      </c>
    </row>
    <row r="2613">
      <c r="A2613" s="15" t="n"/>
      <c r="B2613" s="10" t="n"/>
      <c r="C2613" s="10" t="n"/>
      <c r="D2613" s="10" t="n"/>
      <c r="E2613" s="14">
        <f>IF(D2613="","",IFERROR(INDEX('Sản phẩm'!$B$5:$B$304,MATCH(D2613,'Sản phẩm'!$A$5:$A$304,0)),""))</f>
        <v/>
      </c>
      <c r="F2613" s="12" t="n"/>
      <c r="G2613" s="11" t="n"/>
      <c r="H2613" s="11" t="n"/>
      <c r="I2613" s="16">
        <f>IF(D2613="","",IF(G2613&lt;&gt;"",G2613,IFERROR(INDEX('Sản phẩm'!$E$5:$E$304,MATCH(D2613,'Sản phẩm'!$A$5:$A$304,0)),"")))</f>
        <v/>
      </c>
      <c r="J2613" s="16">
        <f>IF(OR(D2613="",F2613=""),"",F2613*I2613-N(H2613))</f>
        <v/>
      </c>
      <c r="K2613" s="16">
        <f>IF(OR(D2613="",F2613=""),"",F2613*IFERROR(INDEX('Sản phẩm'!$D$5:$D$304,MATCH(D2613,'Sản phẩm'!$A$5:$A$304,0)),""))</f>
        <v/>
      </c>
      <c r="L2613" s="16">
        <f>IF(J2613="","",J2613-K2613)</f>
        <v/>
      </c>
      <c r="M2613" s="14">
        <f>IF(A2613="","",MONTH(A2613))</f>
        <v/>
      </c>
      <c r="N2613" s="14">
        <f>IF(A2613="","",YEAR(A2613))</f>
        <v/>
      </c>
    </row>
    <row r="2614">
      <c r="A2614" s="15" t="n"/>
      <c r="B2614" s="10" t="n"/>
      <c r="C2614" s="10" t="n"/>
      <c r="D2614" s="10" t="n"/>
      <c r="E2614" s="14">
        <f>IF(D2614="","",IFERROR(INDEX('Sản phẩm'!$B$5:$B$304,MATCH(D2614,'Sản phẩm'!$A$5:$A$304,0)),""))</f>
        <v/>
      </c>
      <c r="F2614" s="12" t="n"/>
      <c r="G2614" s="11" t="n"/>
      <c r="H2614" s="11" t="n"/>
      <c r="I2614" s="16">
        <f>IF(D2614="","",IF(G2614&lt;&gt;"",G2614,IFERROR(INDEX('Sản phẩm'!$E$5:$E$304,MATCH(D2614,'Sản phẩm'!$A$5:$A$304,0)),"")))</f>
        <v/>
      </c>
      <c r="J2614" s="16">
        <f>IF(OR(D2614="",F2614=""),"",F2614*I2614-N(H2614))</f>
        <v/>
      </c>
      <c r="K2614" s="16">
        <f>IF(OR(D2614="",F2614=""),"",F2614*IFERROR(INDEX('Sản phẩm'!$D$5:$D$304,MATCH(D2614,'Sản phẩm'!$A$5:$A$304,0)),""))</f>
        <v/>
      </c>
      <c r="L2614" s="16">
        <f>IF(J2614="","",J2614-K2614)</f>
        <v/>
      </c>
      <c r="M2614" s="14">
        <f>IF(A2614="","",MONTH(A2614))</f>
        <v/>
      </c>
      <c r="N2614" s="14">
        <f>IF(A2614="","",YEAR(A2614))</f>
        <v/>
      </c>
    </row>
    <row r="2615">
      <c r="A2615" s="15" t="n"/>
      <c r="B2615" s="10" t="n"/>
      <c r="C2615" s="10" t="n"/>
      <c r="D2615" s="10" t="n"/>
      <c r="E2615" s="14">
        <f>IF(D2615="","",IFERROR(INDEX('Sản phẩm'!$B$5:$B$304,MATCH(D2615,'Sản phẩm'!$A$5:$A$304,0)),""))</f>
        <v/>
      </c>
      <c r="F2615" s="12" t="n"/>
      <c r="G2615" s="11" t="n"/>
      <c r="H2615" s="11" t="n"/>
      <c r="I2615" s="16">
        <f>IF(D2615="","",IF(G2615&lt;&gt;"",G2615,IFERROR(INDEX('Sản phẩm'!$E$5:$E$304,MATCH(D2615,'Sản phẩm'!$A$5:$A$304,0)),"")))</f>
        <v/>
      </c>
      <c r="J2615" s="16">
        <f>IF(OR(D2615="",F2615=""),"",F2615*I2615-N(H2615))</f>
        <v/>
      </c>
      <c r="K2615" s="16">
        <f>IF(OR(D2615="",F2615=""),"",F2615*IFERROR(INDEX('Sản phẩm'!$D$5:$D$304,MATCH(D2615,'Sản phẩm'!$A$5:$A$304,0)),""))</f>
        <v/>
      </c>
      <c r="L2615" s="16">
        <f>IF(J2615="","",J2615-K2615)</f>
        <v/>
      </c>
      <c r="M2615" s="14">
        <f>IF(A2615="","",MONTH(A2615))</f>
        <v/>
      </c>
      <c r="N2615" s="14">
        <f>IF(A2615="","",YEAR(A2615))</f>
        <v/>
      </c>
    </row>
    <row r="2616">
      <c r="A2616" s="15" t="n"/>
      <c r="B2616" s="10" t="n"/>
      <c r="C2616" s="10" t="n"/>
      <c r="D2616" s="10" t="n"/>
      <c r="E2616" s="14">
        <f>IF(D2616="","",IFERROR(INDEX('Sản phẩm'!$B$5:$B$304,MATCH(D2616,'Sản phẩm'!$A$5:$A$304,0)),""))</f>
        <v/>
      </c>
      <c r="F2616" s="12" t="n"/>
      <c r="G2616" s="11" t="n"/>
      <c r="H2616" s="11" t="n"/>
      <c r="I2616" s="16">
        <f>IF(D2616="","",IF(G2616&lt;&gt;"",G2616,IFERROR(INDEX('Sản phẩm'!$E$5:$E$304,MATCH(D2616,'Sản phẩm'!$A$5:$A$304,0)),"")))</f>
        <v/>
      </c>
      <c r="J2616" s="16">
        <f>IF(OR(D2616="",F2616=""),"",F2616*I2616-N(H2616))</f>
        <v/>
      </c>
      <c r="K2616" s="16">
        <f>IF(OR(D2616="",F2616=""),"",F2616*IFERROR(INDEX('Sản phẩm'!$D$5:$D$304,MATCH(D2616,'Sản phẩm'!$A$5:$A$304,0)),""))</f>
        <v/>
      </c>
      <c r="L2616" s="16">
        <f>IF(J2616="","",J2616-K2616)</f>
        <v/>
      </c>
      <c r="M2616" s="14">
        <f>IF(A2616="","",MONTH(A2616))</f>
        <v/>
      </c>
      <c r="N2616" s="14">
        <f>IF(A2616="","",YEAR(A2616))</f>
        <v/>
      </c>
    </row>
    <row r="2617">
      <c r="A2617" s="15" t="n"/>
      <c r="B2617" s="10" t="n"/>
      <c r="C2617" s="10" t="n"/>
      <c r="D2617" s="10" t="n"/>
      <c r="E2617" s="14">
        <f>IF(D2617="","",IFERROR(INDEX('Sản phẩm'!$B$5:$B$304,MATCH(D2617,'Sản phẩm'!$A$5:$A$304,0)),""))</f>
        <v/>
      </c>
      <c r="F2617" s="12" t="n"/>
      <c r="G2617" s="11" t="n"/>
      <c r="H2617" s="11" t="n"/>
      <c r="I2617" s="16">
        <f>IF(D2617="","",IF(G2617&lt;&gt;"",G2617,IFERROR(INDEX('Sản phẩm'!$E$5:$E$304,MATCH(D2617,'Sản phẩm'!$A$5:$A$304,0)),"")))</f>
        <v/>
      </c>
      <c r="J2617" s="16">
        <f>IF(OR(D2617="",F2617=""),"",F2617*I2617-N(H2617))</f>
        <v/>
      </c>
      <c r="K2617" s="16">
        <f>IF(OR(D2617="",F2617=""),"",F2617*IFERROR(INDEX('Sản phẩm'!$D$5:$D$304,MATCH(D2617,'Sản phẩm'!$A$5:$A$304,0)),""))</f>
        <v/>
      </c>
      <c r="L2617" s="16">
        <f>IF(J2617="","",J2617-K2617)</f>
        <v/>
      </c>
      <c r="M2617" s="14">
        <f>IF(A2617="","",MONTH(A2617))</f>
        <v/>
      </c>
      <c r="N2617" s="14">
        <f>IF(A2617="","",YEAR(A2617))</f>
        <v/>
      </c>
    </row>
    <row r="2618">
      <c r="A2618" s="15" t="n"/>
      <c r="B2618" s="10" t="n"/>
      <c r="C2618" s="10" t="n"/>
      <c r="D2618" s="10" t="n"/>
      <c r="E2618" s="14">
        <f>IF(D2618="","",IFERROR(INDEX('Sản phẩm'!$B$5:$B$304,MATCH(D2618,'Sản phẩm'!$A$5:$A$304,0)),""))</f>
        <v/>
      </c>
      <c r="F2618" s="12" t="n"/>
      <c r="G2618" s="11" t="n"/>
      <c r="H2618" s="11" t="n"/>
      <c r="I2618" s="16">
        <f>IF(D2618="","",IF(G2618&lt;&gt;"",G2618,IFERROR(INDEX('Sản phẩm'!$E$5:$E$304,MATCH(D2618,'Sản phẩm'!$A$5:$A$304,0)),"")))</f>
        <v/>
      </c>
      <c r="J2618" s="16">
        <f>IF(OR(D2618="",F2618=""),"",F2618*I2618-N(H2618))</f>
        <v/>
      </c>
      <c r="K2618" s="16">
        <f>IF(OR(D2618="",F2618=""),"",F2618*IFERROR(INDEX('Sản phẩm'!$D$5:$D$304,MATCH(D2618,'Sản phẩm'!$A$5:$A$304,0)),""))</f>
        <v/>
      </c>
      <c r="L2618" s="16">
        <f>IF(J2618="","",J2618-K2618)</f>
        <v/>
      </c>
      <c r="M2618" s="14">
        <f>IF(A2618="","",MONTH(A2618))</f>
        <v/>
      </c>
      <c r="N2618" s="14">
        <f>IF(A2618="","",YEAR(A2618))</f>
        <v/>
      </c>
    </row>
    <row r="2619">
      <c r="A2619" s="15" t="n"/>
      <c r="B2619" s="10" t="n"/>
      <c r="C2619" s="10" t="n"/>
      <c r="D2619" s="10" t="n"/>
      <c r="E2619" s="14">
        <f>IF(D2619="","",IFERROR(INDEX('Sản phẩm'!$B$5:$B$304,MATCH(D2619,'Sản phẩm'!$A$5:$A$304,0)),""))</f>
        <v/>
      </c>
      <c r="F2619" s="12" t="n"/>
      <c r="G2619" s="11" t="n"/>
      <c r="H2619" s="11" t="n"/>
      <c r="I2619" s="16">
        <f>IF(D2619="","",IF(G2619&lt;&gt;"",G2619,IFERROR(INDEX('Sản phẩm'!$E$5:$E$304,MATCH(D2619,'Sản phẩm'!$A$5:$A$304,0)),"")))</f>
        <v/>
      </c>
      <c r="J2619" s="16">
        <f>IF(OR(D2619="",F2619=""),"",F2619*I2619-N(H2619))</f>
        <v/>
      </c>
      <c r="K2619" s="16">
        <f>IF(OR(D2619="",F2619=""),"",F2619*IFERROR(INDEX('Sản phẩm'!$D$5:$D$304,MATCH(D2619,'Sản phẩm'!$A$5:$A$304,0)),""))</f>
        <v/>
      </c>
      <c r="L2619" s="16">
        <f>IF(J2619="","",J2619-K2619)</f>
        <v/>
      </c>
      <c r="M2619" s="14">
        <f>IF(A2619="","",MONTH(A2619))</f>
        <v/>
      </c>
      <c r="N2619" s="14">
        <f>IF(A2619="","",YEAR(A2619))</f>
        <v/>
      </c>
    </row>
    <row r="2620">
      <c r="A2620" s="15" t="n"/>
      <c r="B2620" s="10" t="n"/>
      <c r="C2620" s="10" t="n"/>
      <c r="D2620" s="10" t="n"/>
      <c r="E2620" s="14">
        <f>IF(D2620="","",IFERROR(INDEX('Sản phẩm'!$B$5:$B$304,MATCH(D2620,'Sản phẩm'!$A$5:$A$304,0)),""))</f>
        <v/>
      </c>
      <c r="F2620" s="12" t="n"/>
      <c r="G2620" s="11" t="n"/>
      <c r="H2620" s="11" t="n"/>
      <c r="I2620" s="16">
        <f>IF(D2620="","",IF(G2620&lt;&gt;"",G2620,IFERROR(INDEX('Sản phẩm'!$E$5:$E$304,MATCH(D2620,'Sản phẩm'!$A$5:$A$304,0)),"")))</f>
        <v/>
      </c>
      <c r="J2620" s="16">
        <f>IF(OR(D2620="",F2620=""),"",F2620*I2620-N(H2620))</f>
        <v/>
      </c>
      <c r="K2620" s="16">
        <f>IF(OR(D2620="",F2620=""),"",F2620*IFERROR(INDEX('Sản phẩm'!$D$5:$D$304,MATCH(D2620,'Sản phẩm'!$A$5:$A$304,0)),""))</f>
        <v/>
      </c>
      <c r="L2620" s="16">
        <f>IF(J2620="","",J2620-K2620)</f>
        <v/>
      </c>
      <c r="M2620" s="14">
        <f>IF(A2620="","",MONTH(A2620))</f>
        <v/>
      </c>
      <c r="N2620" s="14">
        <f>IF(A2620="","",YEAR(A2620))</f>
        <v/>
      </c>
    </row>
    <row r="2621">
      <c r="A2621" s="15" t="n"/>
      <c r="B2621" s="10" t="n"/>
      <c r="C2621" s="10" t="n"/>
      <c r="D2621" s="10" t="n"/>
      <c r="E2621" s="14">
        <f>IF(D2621="","",IFERROR(INDEX('Sản phẩm'!$B$5:$B$304,MATCH(D2621,'Sản phẩm'!$A$5:$A$304,0)),""))</f>
        <v/>
      </c>
      <c r="F2621" s="12" t="n"/>
      <c r="G2621" s="11" t="n"/>
      <c r="H2621" s="11" t="n"/>
      <c r="I2621" s="16">
        <f>IF(D2621="","",IF(G2621&lt;&gt;"",G2621,IFERROR(INDEX('Sản phẩm'!$E$5:$E$304,MATCH(D2621,'Sản phẩm'!$A$5:$A$304,0)),"")))</f>
        <v/>
      </c>
      <c r="J2621" s="16">
        <f>IF(OR(D2621="",F2621=""),"",F2621*I2621-N(H2621))</f>
        <v/>
      </c>
      <c r="K2621" s="16">
        <f>IF(OR(D2621="",F2621=""),"",F2621*IFERROR(INDEX('Sản phẩm'!$D$5:$D$304,MATCH(D2621,'Sản phẩm'!$A$5:$A$304,0)),""))</f>
        <v/>
      </c>
      <c r="L2621" s="16">
        <f>IF(J2621="","",J2621-K2621)</f>
        <v/>
      </c>
      <c r="M2621" s="14">
        <f>IF(A2621="","",MONTH(A2621))</f>
        <v/>
      </c>
      <c r="N2621" s="14">
        <f>IF(A2621="","",YEAR(A2621))</f>
        <v/>
      </c>
    </row>
    <row r="2622">
      <c r="A2622" s="15" t="n"/>
      <c r="B2622" s="10" t="n"/>
      <c r="C2622" s="10" t="n"/>
      <c r="D2622" s="10" t="n"/>
      <c r="E2622" s="14">
        <f>IF(D2622="","",IFERROR(INDEX('Sản phẩm'!$B$5:$B$304,MATCH(D2622,'Sản phẩm'!$A$5:$A$304,0)),""))</f>
        <v/>
      </c>
      <c r="F2622" s="12" t="n"/>
      <c r="G2622" s="11" t="n"/>
      <c r="H2622" s="11" t="n"/>
      <c r="I2622" s="16">
        <f>IF(D2622="","",IF(G2622&lt;&gt;"",G2622,IFERROR(INDEX('Sản phẩm'!$E$5:$E$304,MATCH(D2622,'Sản phẩm'!$A$5:$A$304,0)),"")))</f>
        <v/>
      </c>
      <c r="J2622" s="16">
        <f>IF(OR(D2622="",F2622=""),"",F2622*I2622-N(H2622))</f>
        <v/>
      </c>
      <c r="K2622" s="16">
        <f>IF(OR(D2622="",F2622=""),"",F2622*IFERROR(INDEX('Sản phẩm'!$D$5:$D$304,MATCH(D2622,'Sản phẩm'!$A$5:$A$304,0)),""))</f>
        <v/>
      </c>
      <c r="L2622" s="16">
        <f>IF(J2622="","",J2622-K2622)</f>
        <v/>
      </c>
      <c r="M2622" s="14">
        <f>IF(A2622="","",MONTH(A2622))</f>
        <v/>
      </c>
      <c r="N2622" s="14">
        <f>IF(A2622="","",YEAR(A2622))</f>
        <v/>
      </c>
    </row>
    <row r="2623">
      <c r="A2623" s="15" t="n"/>
      <c r="B2623" s="10" t="n"/>
      <c r="C2623" s="10" t="n"/>
      <c r="D2623" s="10" t="n"/>
      <c r="E2623" s="14">
        <f>IF(D2623="","",IFERROR(INDEX('Sản phẩm'!$B$5:$B$304,MATCH(D2623,'Sản phẩm'!$A$5:$A$304,0)),""))</f>
        <v/>
      </c>
      <c r="F2623" s="12" t="n"/>
      <c r="G2623" s="11" t="n"/>
      <c r="H2623" s="11" t="n"/>
      <c r="I2623" s="16">
        <f>IF(D2623="","",IF(G2623&lt;&gt;"",G2623,IFERROR(INDEX('Sản phẩm'!$E$5:$E$304,MATCH(D2623,'Sản phẩm'!$A$5:$A$304,0)),"")))</f>
        <v/>
      </c>
      <c r="J2623" s="16">
        <f>IF(OR(D2623="",F2623=""),"",F2623*I2623-N(H2623))</f>
        <v/>
      </c>
      <c r="K2623" s="16">
        <f>IF(OR(D2623="",F2623=""),"",F2623*IFERROR(INDEX('Sản phẩm'!$D$5:$D$304,MATCH(D2623,'Sản phẩm'!$A$5:$A$304,0)),""))</f>
        <v/>
      </c>
      <c r="L2623" s="16">
        <f>IF(J2623="","",J2623-K2623)</f>
        <v/>
      </c>
      <c r="M2623" s="14">
        <f>IF(A2623="","",MONTH(A2623))</f>
        <v/>
      </c>
      <c r="N2623" s="14">
        <f>IF(A2623="","",YEAR(A2623))</f>
        <v/>
      </c>
    </row>
    <row r="2624">
      <c r="A2624" s="15" t="n"/>
      <c r="B2624" s="10" t="n"/>
      <c r="C2624" s="10" t="n"/>
      <c r="D2624" s="10" t="n"/>
      <c r="E2624" s="14">
        <f>IF(D2624="","",IFERROR(INDEX('Sản phẩm'!$B$5:$B$304,MATCH(D2624,'Sản phẩm'!$A$5:$A$304,0)),""))</f>
        <v/>
      </c>
      <c r="F2624" s="12" t="n"/>
      <c r="G2624" s="11" t="n"/>
      <c r="H2624" s="11" t="n"/>
      <c r="I2624" s="16">
        <f>IF(D2624="","",IF(G2624&lt;&gt;"",G2624,IFERROR(INDEX('Sản phẩm'!$E$5:$E$304,MATCH(D2624,'Sản phẩm'!$A$5:$A$304,0)),"")))</f>
        <v/>
      </c>
      <c r="J2624" s="16">
        <f>IF(OR(D2624="",F2624=""),"",F2624*I2624-N(H2624))</f>
        <v/>
      </c>
      <c r="K2624" s="16">
        <f>IF(OR(D2624="",F2624=""),"",F2624*IFERROR(INDEX('Sản phẩm'!$D$5:$D$304,MATCH(D2624,'Sản phẩm'!$A$5:$A$304,0)),""))</f>
        <v/>
      </c>
      <c r="L2624" s="16">
        <f>IF(J2624="","",J2624-K2624)</f>
        <v/>
      </c>
      <c r="M2624" s="14">
        <f>IF(A2624="","",MONTH(A2624))</f>
        <v/>
      </c>
      <c r="N2624" s="14">
        <f>IF(A2624="","",YEAR(A2624))</f>
        <v/>
      </c>
    </row>
    <row r="2625">
      <c r="A2625" s="15" t="n"/>
      <c r="B2625" s="10" t="n"/>
      <c r="C2625" s="10" t="n"/>
      <c r="D2625" s="10" t="n"/>
      <c r="E2625" s="14">
        <f>IF(D2625="","",IFERROR(INDEX('Sản phẩm'!$B$5:$B$304,MATCH(D2625,'Sản phẩm'!$A$5:$A$304,0)),""))</f>
        <v/>
      </c>
      <c r="F2625" s="12" t="n"/>
      <c r="G2625" s="11" t="n"/>
      <c r="H2625" s="11" t="n"/>
      <c r="I2625" s="16">
        <f>IF(D2625="","",IF(G2625&lt;&gt;"",G2625,IFERROR(INDEX('Sản phẩm'!$E$5:$E$304,MATCH(D2625,'Sản phẩm'!$A$5:$A$304,0)),"")))</f>
        <v/>
      </c>
      <c r="J2625" s="16">
        <f>IF(OR(D2625="",F2625=""),"",F2625*I2625-N(H2625))</f>
        <v/>
      </c>
      <c r="K2625" s="16">
        <f>IF(OR(D2625="",F2625=""),"",F2625*IFERROR(INDEX('Sản phẩm'!$D$5:$D$304,MATCH(D2625,'Sản phẩm'!$A$5:$A$304,0)),""))</f>
        <v/>
      </c>
      <c r="L2625" s="16">
        <f>IF(J2625="","",J2625-K2625)</f>
        <v/>
      </c>
      <c r="M2625" s="14">
        <f>IF(A2625="","",MONTH(A2625))</f>
        <v/>
      </c>
      <c r="N2625" s="14">
        <f>IF(A2625="","",YEAR(A2625))</f>
        <v/>
      </c>
    </row>
    <row r="2626">
      <c r="A2626" s="15" t="n"/>
      <c r="B2626" s="10" t="n"/>
      <c r="C2626" s="10" t="n"/>
      <c r="D2626" s="10" t="n"/>
      <c r="E2626" s="14">
        <f>IF(D2626="","",IFERROR(INDEX('Sản phẩm'!$B$5:$B$304,MATCH(D2626,'Sản phẩm'!$A$5:$A$304,0)),""))</f>
        <v/>
      </c>
      <c r="F2626" s="12" t="n"/>
      <c r="G2626" s="11" t="n"/>
      <c r="H2626" s="11" t="n"/>
      <c r="I2626" s="16">
        <f>IF(D2626="","",IF(G2626&lt;&gt;"",G2626,IFERROR(INDEX('Sản phẩm'!$E$5:$E$304,MATCH(D2626,'Sản phẩm'!$A$5:$A$304,0)),"")))</f>
        <v/>
      </c>
      <c r="J2626" s="16">
        <f>IF(OR(D2626="",F2626=""),"",F2626*I2626-N(H2626))</f>
        <v/>
      </c>
      <c r="K2626" s="16">
        <f>IF(OR(D2626="",F2626=""),"",F2626*IFERROR(INDEX('Sản phẩm'!$D$5:$D$304,MATCH(D2626,'Sản phẩm'!$A$5:$A$304,0)),""))</f>
        <v/>
      </c>
      <c r="L2626" s="16">
        <f>IF(J2626="","",J2626-K2626)</f>
        <v/>
      </c>
      <c r="M2626" s="14">
        <f>IF(A2626="","",MONTH(A2626))</f>
        <v/>
      </c>
      <c r="N2626" s="14">
        <f>IF(A2626="","",YEAR(A2626))</f>
        <v/>
      </c>
    </row>
    <row r="2627">
      <c r="A2627" s="15" t="n"/>
      <c r="B2627" s="10" t="n"/>
      <c r="C2627" s="10" t="n"/>
      <c r="D2627" s="10" t="n"/>
      <c r="E2627" s="14">
        <f>IF(D2627="","",IFERROR(INDEX('Sản phẩm'!$B$5:$B$304,MATCH(D2627,'Sản phẩm'!$A$5:$A$304,0)),""))</f>
        <v/>
      </c>
      <c r="F2627" s="12" t="n"/>
      <c r="G2627" s="11" t="n"/>
      <c r="H2627" s="11" t="n"/>
      <c r="I2627" s="16">
        <f>IF(D2627="","",IF(G2627&lt;&gt;"",G2627,IFERROR(INDEX('Sản phẩm'!$E$5:$E$304,MATCH(D2627,'Sản phẩm'!$A$5:$A$304,0)),"")))</f>
        <v/>
      </c>
      <c r="J2627" s="16">
        <f>IF(OR(D2627="",F2627=""),"",F2627*I2627-N(H2627))</f>
        <v/>
      </c>
      <c r="K2627" s="16">
        <f>IF(OR(D2627="",F2627=""),"",F2627*IFERROR(INDEX('Sản phẩm'!$D$5:$D$304,MATCH(D2627,'Sản phẩm'!$A$5:$A$304,0)),""))</f>
        <v/>
      </c>
      <c r="L2627" s="16">
        <f>IF(J2627="","",J2627-K2627)</f>
        <v/>
      </c>
      <c r="M2627" s="14">
        <f>IF(A2627="","",MONTH(A2627))</f>
        <v/>
      </c>
      <c r="N2627" s="14">
        <f>IF(A2627="","",YEAR(A2627))</f>
        <v/>
      </c>
    </row>
    <row r="2628">
      <c r="A2628" s="15" t="n"/>
      <c r="B2628" s="10" t="n"/>
      <c r="C2628" s="10" t="n"/>
      <c r="D2628" s="10" t="n"/>
      <c r="E2628" s="14">
        <f>IF(D2628="","",IFERROR(INDEX('Sản phẩm'!$B$5:$B$304,MATCH(D2628,'Sản phẩm'!$A$5:$A$304,0)),""))</f>
        <v/>
      </c>
      <c r="F2628" s="12" t="n"/>
      <c r="G2628" s="11" t="n"/>
      <c r="H2628" s="11" t="n"/>
      <c r="I2628" s="16">
        <f>IF(D2628="","",IF(G2628&lt;&gt;"",G2628,IFERROR(INDEX('Sản phẩm'!$E$5:$E$304,MATCH(D2628,'Sản phẩm'!$A$5:$A$304,0)),"")))</f>
        <v/>
      </c>
      <c r="J2628" s="16">
        <f>IF(OR(D2628="",F2628=""),"",F2628*I2628-N(H2628))</f>
        <v/>
      </c>
      <c r="K2628" s="16">
        <f>IF(OR(D2628="",F2628=""),"",F2628*IFERROR(INDEX('Sản phẩm'!$D$5:$D$304,MATCH(D2628,'Sản phẩm'!$A$5:$A$304,0)),""))</f>
        <v/>
      </c>
      <c r="L2628" s="16">
        <f>IF(J2628="","",J2628-K2628)</f>
        <v/>
      </c>
      <c r="M2628" s="14">
        <f>IF(A2628="","",MONTH(A2628))</f>
        <v/>
      </c>
      <c r="N2628" s="14">
        <f>IF(A2628="","",YEAR(A2628))</f>
        <v/>
      </c>
    </row>
    <row r="2629">
      <c r="A2629" s="15" t="n"/>
      <c r="B2629" s="10" t="n"/>
      <c r="C2629" s="10" t="n"/>
      <c r="D2629" s="10" t="n"/>
      <c r="E2629" s="14">
        <f>IF(D2629="","",IFERROR(INDEX('Sản phẩm'!$B$5:$B$304,MATCH(D2629,'Sản phẩm'!$A$5:$A$304,0)),""))</f>
        <v/>
      </c>
      <c r="F2629" s="12" t="n"/>
      <c r="G2629" s="11" t="n"/>
      <c r="H2629" s="11" t="n"/>
      <c r="I2629" s="16">
        <f>IF(D2629="","",IF(G2629&lt;&gt;"",G2629,IFERROR(INDEX('Sản phẩm'!$E$5:$E$304,MATCH(D2629,'Sản phẩm'!$A$5:$A$304,0)),"")))</f>
        <v/>
      </c>
      <c r="J2629" s="16">
        <f>IF(OR(D2629="",F2629=""),"",F2629*I2629-N(H2629))</f>
        <v/>
      </c>
      <c r="K2629" s="16">
        <f>IF(OR(D2629="",F2629=""),"",F2629*IFERROR(INDEX('Sản phẩm'!$D$5:$D$304,MATCH(D2629,'Sản phẩm'!$A$5:$A$304,0)),""))</f>
        <v/>
      </c>
      <c r="L2629" s="16">
        <f>IF(J2629="","",J2629-K2629)</f>
        <v/>
      </c>
      <c r="M2629" s="14">
        <f>IF(A2629="","",MONTH(A2629))</f>
        <v/>
      </c>
      <c r="N2629" s="14">
        <f>IF(A2629="","",YEAR(A2629))</f>
        <v/>
      </c>
    </row>
    <row r="2630">
      <c r="A2630" s="15" t="n"/>
      <c r="B2630" s="10" t="n"/>
      <c r="C2630" s="10" t="n"/>
      <c r="D2630" s="10" t="n"/>
      <c r="E2630" s="14">
        <f>IF(D2630="","",IFERROR(INDEX('Sản phẩm'!$B$5:$B$304,MATCH(D2630,'Sản phẩm'!$A$5:$A$304,0)),""))</f>
        <v/>
      </c>
      <c r="F2630" s="12" t="n"/>
      <c r="G2630" s="11" t="n"/>
      <c r="H2630" s="11" t="n"/>
      <c r="I2630" s="16">
        <f>IF(D2630="","",IF(G2630&lt;&gt;"",G2630,IFERROR(INDEX('Sản phẩm'!$E$5:$E$304,MATCH(D2630,'Sản phẩm'!$A$5:$A$304,0)),"")))</f>
        <v/>
      </c>
      <c r="J2630" s="16">
        <f>IF(OR(D2630="",F2630=""),"",F2630*I2630-N(H2630))</f>
        <v/>
      </c>
      <c r="K2630" s="16">
        <f>IF(OR(D2630="",F2630=""),"",F2630*IFERROR(INDEX('Sản phẩm'!$D$5:$D$304,MATCH(D2630,'Sản phẩm'!$A$5:$A$304,0)),""))</f>
        <v/>
      </c>
      <c r="L2630" s="16">
        <f>IF(J2630="","",J2630-K2630)</f>
        <v/>
      </c>
      <c r="M2630" s="14">
        <f>IF(A2630="","",MONTH(A2630))</f>
        <v/>
      </c>
      <c r="N2630" s="14">
        <f>IF(A2630="","",YEAR(A2630))</f>
        <v/>
      </c>
    </row>
    <row r="2631">
      <c r="A2631" s="15" t="n"/>
      <c r="B2631" s="10" t="n"/>
      <c r="C2631" s="10" t="n"/>
      <c r="D2631" s="10" t="n"/>
      <c r="E2631" s="14">
        <f>IF(D2631="","",IFERROR(INDEX('Sản phẩm'!$B$5:$B$304,MATCH(D2631,'Sản phẩm'!$A$5:$A$304,0)),""))</f>
        <v/>
      </c>
      <c r="F2631" s="12" t="n"/>
      <c r="G2631" s="11" t="n"/>
      <c r="H2631" s="11" t="n"/>
      <c r="I2631" s="16">
        <f>IF(D2631="","",IF(G2631&lt;&gt;"",G2631,IFERROR(INDEX('Sản phẩm'!$E$5:$E$304,MATCH(D2631,'Sản phẩm'!$A$5:$A$304,0)),"")))</f>
        <v/>
      </c>
      <c r="J2631" s="16">
        <f>IF(OR(D2631="",F2631=""),"",F2631*I2631-N(H2631))</f>
        <v/>
      </c>
      <c r="K2631" s="16">
        <f>IF(OR(D2631="",F2631=""),"",F2631*IFERROR(INDEX('Sản phẩm'!$D$5:$D$304,MATCH(D2631,'Sản phẩm'!$A$5:$A$304,0)),""))</f>
        <v/>
      </c>
      <c r="L2631" s="16">
        <f>IF(J2631="","",J2631-K2631)</f>
        <v/>
      </c>
      <c r="M2631" s="14">
        <f>IF(A2631="","",MONTH(A2631))</f>
        <v/>
      </c>
      <c r="N2631" s="14">
        <f>IF(A2631="","",YEAR(A2631))</f>
        <v/>
      </c>
    </row>
    <row r="2632">
      <c r="A2632" s="15" t="n"/>
      <c r="B2632" s="10" t="n"/>
      <c r="C2632" s="10" t="n"/>
      <c r="D2632" s="10" t="n"/>
      <c r="E2632" s="14">
        <f>IF(D2632="","",IFERROR(INDEX('Sản phẩm'!$B$5:$B$304,MATCH(D2632,'Sản phẩm'!$A$5:$A$304,0)),""))</f>
        <v/>
      </c>
      <c r="F2632" s="12" t="n"/>
      <c r="G2632" s="11" t="n"/>
      <c r="H2632" s="11" t="n"/>
      <c r="I2632" s="16">
        <f>IF(D2632="","",IF(G2632&lt;&gt;"",G2632,IFERROR(INDEX('Sản phẩm'!$E$5:$E$304,MATCH(D2632,'Sản phẩm'!$A$5:$A$304,0)),"")))</f>
        <v/>
      </c>
      <c r="J2632" s="16">
        <f>IF(OR(D2632="",F2632=""),"",F2632*I2632-N(H2632))</f>
        <v/>
      </c>
      <c r="K2632" s="16">
        <f>IF(OR(D2632="",F2632=""),"",F2632*IFERROR(INDEX('Sản phẩm'!$D$5:$D$304,MATCH(D2632,'Sản phẩm'!$A$5:$A$304,0)),""))</f>
        <v/>
      </c>
      <c r="L2632" s="16">
        <f>IF(J2632="","",J2632-K2632)</f>
        <v/>
      </c>
      <c r="M2632" s="14">
        <f>IF(A2632="","",MONTH(A2632))</f>
        <v/>
      </c>
      <c r="N2632" s="14">
        <f>IF(A2632="","",YEAR(A2632))</f>
        <v/>
      </c>
    </row>
    <row r="2633">
      <c r="A2633" s="15" t="n"/>
      <c r="B2633" s="10" t="n"/>
      <c r="C2633" s="10" t="n"/>
      <c r="D2633" s="10" t="n"/>
      <c r="E2633" s="14">
        <f>IF(D2633="","",IFERROR(INDEX('Sản phẩm'!$B$5:$B$304,MATCH(D2633,'Sản phẩm'!$A$5:$A$304,0)),""))</f>
        <v/>
      </c>
      <c r="F2633" s="12" t="n"/>
      <c r="G2633" s="11" t="n"/>
      <c r="H2633" s="11" t="n"/>
      <c r="I2633" s="16">
        <f>IF(D2633="","",IF(G2633&lt;&gt;"",G2633,IFERROR(INDEX('Sản phẩm'!$E$5:$E$304,MATCH(D2633,'Sản phẩm'!$A$5:$A$304,0)),"")))</f>
        <v/>
      </c>
      <c r="J2633" s="16">
        <f>IF(OR(D2633="",F2633=""),"",F2633*I2633-N(H2633))</f>
        <v/>
      </c>
      <c r="K2633" s="16">
        <f>IF(OR(D2633="",F2633=""),"",F2633*IFERROR(INDEX('Sản phẩm'!$D$5:$D$304,MATCH(D2633,'Sản phẩm'!$A$5:$A$304,0)),""))</f>
        <v/>
      </c>
      <c r="L2633" s="16">
        <f>IF(J2633="","",J2633-K2633)</f>
        <v/>
      </c>
      <c r="M2633" s="14">
        <f>IF(A2633="","",MONTH(A2633))</f>
        <v/>
      </c>
      <c r="N2633" s="14">
        <f>IF(A2633="","",YEAR(A2633))</f>
        <v/>
      </c>
    </row>
    <row r="2634">
      <c r="A2634" s="15" t="n"/>
      <c r="B2634" s="10" t="n"/>
      <c r="C2634" s="10" t="n"/>
      <c r="D2634" s="10" t="n"/>
      <c r="E2634" s="14">
        <f>IF(D2634="","",IFERROR(INDEX('Sản phẩm'!$B$5:$B$304,MATCH(D2634,'Sản phẩm'!$A$5:$A$304,0)),""))</f>
        <v/>
      </c>
      <c r="F2634" s="12" t="n"/>
      <c r="G2634" s="11" t="n"/>
      <c r="H2634" s="11" t="n"/>
      <c r="I2634" s="16">
        <f>IF(D2634="","",IF(G2634&lt;&gt;"",G2634,IFERROR(INDEX('Sản phẩm'!$E$5:$E$304,MATCH(D2634,'Sản phẩm'!$A$5:$A$304,0)),"")))</f>
        <v/>
      </c>
      <c r="J2634" s="16">
        <f>IF(OR(D2634="",F2634=""),"",F2634*I2634-N(H2634))</f>
        <v/>
      </c>
      <c r="K2634" s="16">
        <f>IF(OR(D2634="",F2634=""),"",F2634*IFERROR(INDEX('Sản phẩm'!$D$5:$D$304,MATCH(D2634,'Sản phẩm'!$A$5:$A$304,0)),""))</f>
        <v/>
      </c>
      <c r="L2634" s="16">
        <f>IF(J2634="","",J2634-K2634)</f>
        <v/>
      </c>
      <c r="M2634" s="14">
        <f>IF(A2634="","",MONTH(A2634))</f>
        <v/>
      </c>
      <c r="N2634" s="14">
        <f>IF(A2634="","",YEAR(A2634))</f>
        <v/>
      </c>
    </row>
    <row r="2635">
      <c r="A2635" s="15" t="n"/>
      <c r="B2635" s="10" t="n"/>
      <c r="C2635" s="10" t="n"/>
      <c r="D2635" s="10" t="n"/>
      <c r="E2635" s="14">
        <f>IF(D2635="","",IFERROR(INDEX('Sản phẩm'!$B$5:$B$304,MATCH(D2635,'Sản phẩm'!$A$5:$A$304,0)),""))</f>
        <v/>
      </c>
      <c r="F2635" s="12" t="n"/>
      <c r="G2635" s="11" t="n"/>
      <c r="H2635" s="11" t="n"/>
      <c r="I2635" s="16">
        <f>IF(D2635="","",IF(G2635&lt;&gt;"",G2635,IFERROR(INDEX('Sản phẩm'!$E$5:$E$304,MATCH(D2635,'Sản phẩm'!$A$5:$A$304,0)),"")))</f>
        <v/>
      </c>
      <c r="J2635" s="16">
        <f>IF(OR(D2635="",F2635=""),"",F2635*I2635-N(H2635))</f>
        <v/>
      </c>
      <c r="K2635" s="16">
        <f>IF(OR(D2635="",F2635=""),"",F2635*IFERROR(INDEX('Sản phẩm'!$D$5:$D$304,MATCH(D2635,'Sản phẩm'!$A$5:$A$304,0)),""))</f>
        <v/>
      </c>
      <c r="L2635" s="16">
        <f>IF(J2635="","",J2635-K2635)</f>
        <v/>
      </c>
      <c r="M2635" s="14">
        <f>IF(A2635="","",MONTH(A2635))</f>
        <v/>
      </c>
      <c r="N2635" s="14">
        <f>IF(A2635="","",YEAR(A2635))</f>
        <v/>
      </c>
    </row>
    <row r="2636">
      <c r="A2636" s="15" t="n"/>
      <c r="B2636" s="10" t="n"/>
      <c r="C2636" s="10" t="n"/>
      <c r="D2636" s="10" t="n"/>
      <c r="E2636" s="14">
        <f>IF(D2636="","",IFERROR(INDEX('Sản phẩm'!$B$5:$B$304,MATCH(D2636,'Sản phẩm'!$A$5:$A$304,0)),""))</f>
        <v/>
      </c>
      <c r="F2636" s="12" t="n"/>
      <c r="G2636" s="11" t="n"/>
      <c r="H2636" s="11" t="n"/>
      <c r="I2636" s="16">
        <f>IF(D2636="","",IF(G2636&lt;&gt;"",G2636,IFERROR(INDEX('Sản phẩm'!$E$5:$E$304,MATCH(D2636,'Sản phẩm'!$A$5:$A$304,0)),"")))</f>
        <v/>
      </c>
      <c r="J2636" s="16">
        <f>IF(OR(D2636="",F2636=""),"",F2636*I2636-N(H2636))</f>
        <v/>
      </c>
      <c r="K2636" s="16">
        <f>IF(OR(D2636="",F2636=""),"",F2636*IFERROR(INDEX('Sản phẩm'!$D$5:$D$304,MATCH(D2636,'Sản phẩm'!$A$5:$A$304,0)),""))</f>
        <v/>
      </c>
      <c r="L2636" s="16">
        <f>IF(J2636="","",J2636-K2636)</f>
        <v/>
      </c>
      <c r="M2636" s="14">
        <f>IF(A2636="","",MONTH(A2636))</f>
        <v/>
      </c>
      <c r="N2636" s="14">
        <f>IF(A2636="","",YEAR(A2636))</f>
        <v/>
      </c>
    </row>
    <row r="2637">
      <c r="A2637" s="15" t="n"/>
      <c r="B2637" s="10" t="n"/>
      <c r="C2637" s="10" t="n"/>
      <c r="D2637" s="10" t="n"/>
      <c r="E2637" s="14">
        <f>IF(D2637="","",IFERROR(INDEX('Sản phẩm'!$B$5:$B$304,MATCH(D2637,'Sản phẩm'!$A$5:$A$304,0)),""))</f>
        <v/>
      </c>
      <c r="F2637" s="12" t="n"/>
      <c r="G2637" s="11" t="n"/>
      <c r="H2637" s="11" t="n"/>
      <c r="I2637" s="16">
        <f>IF(D2637="","",IF(G2637&lt;&gt;"",G2637,IFERROR(INDEX('Sản phẩm'!$E$5:$E$304,MATCH(D2637,'Sản phẩm'!$A$5:$A$304,0)),"")))</f>
        <v/>
      </c>
      <c r="J2637" s="16">
        <f>IF(OR(D2637="",F2637=""),"",F2637*I2637-N(H2637))</f>
        <v/>
      </c>
      <c r="K2637" s="16">
        <f>IF(OR(D2637="",F2637=""),"",F2637*IFERROR(INDEX('Sản phẩm'!$D$5:$D$304,MATCH(D2637,'Sản phẩm'!$A$5:$A$304,0)),""))</f>
        <v/>
      </c>
      <c r="L2637" s="16">
        <f>IF(J2637="","",J2637-K2637)</f>
        <v/>
      </c>
      <c r="M2637" s="14">
        <f>IF(A2637="","",MONTH(A2637))</f>
        <v/>
      </c>
      <c r="N2637" s="14">
        <f>IF(A2637="","",YEAR(A2637))</f>
        <v/>
      </c>
    </row>
    <row r="2638">
      <c r="A2638" s="15" t="n"/>
      <c r="B2638" s="10" t="n"/>
      <c r="C2638" s="10" t="n"/>
      <c r="D2638" s="10" t="n"/>
      <c r="E2638" s="14">
        <f>IF(D2638="","",IFERROR(INDEX('Sản phẩm'!$B$5:$B$304,MATCH(D2638,'Sản phẩm'!$A$5:$A$304,0)),""))</f>
        <v/>
      </c>
      <c r="F2638" s="12" t="n"/>
      <c r="G2638" s="11" t="n"/>
      <c r="H2638" s="11" t="n"/>
      <c r="I2638" s="16">
        <f>IF(D2638="","",IF(G2638&lt;&gt;"",G2638,IFERROR(INDEX('Sản phẩm'!$E$5:$E$304,MATCH(D2638,'Sản phẩm'!$A$5:$A$304,0)),"")))</f>
        <v/>
      </c>
      <c r="J2638" s="16">
        <f>IF(OR(D2638="",F2638=""),"",F2638*I2638-N(H2638))</f>
        <v/>
      </c>
      <c r="K2638" s="16">
        <f>IF(OR(D2638="",F2638=""),"",F2638*IFERROR(INDEX('Sản phẩm'!$D$5:$D$304,MATCH(D2638,'Sản phẩm'!$A$5:$A$304,0)),""))</f>
        <v/>
      </c>
      <c r="L2638" s="16">
        <f>IF(J2638="","",J2638-K2638)</f>
        <v/>
      </c>
      <c r="M2638" s="14">
        <f>IF(A2638="","",MONTH(A2638))</f>
        <v/>
      </c>
      <c r="N2638" s="14">
        <f>IF(A2638="","",YEAR(A2638))</f>
        <v/>
      </c>
    </row>
    <row r="2639">
      <c r="A2639" s="15" t="n"/>
      <c r="B2639" s="10" t="n"/>
      <c r="C2639" s="10" t="n"/>
      <c r="D2639" s="10" t="n"/>
      <c r="E2639" s="14">
        <f>IF(D2639="","",IFERROR(INDEX('Sản phẩm'!$B$5:$B$304,MATCH(D2639,'Sản phẩm'!$A$5:$A$304,0)),""))</f>
        <v/>
      </c>
      <c r="F2639" s="12" t="n"/>
      <c r="G2639" s="11" t="n"/>
      <c r="H2639" s="11" t="n"/>
      <c r="I2639" s="16">
        <f>IF(D2639="","",IF(G2639&lt;&gt;"",G2639,IFERROR(INDEX('Sản phẩm'!$E$5:$E$304,MATCH(D2639,'Sản phẩm'!$A$5:$A$304,0)),"")))</f>
        <v/>
      </c>
      <c r="J2639" s="16">
        <f>IF(OR(D2639="",F2639=""),"",F2639*I2639-N(H2639))</f>
        <v/>
      </c>
      <c r="K2639" s="16">
        <f>IF(OR(D2639="",F2639=""),"",F2639*IFERROR(INDEX('Sản phẩm'!$D$5:$D$304,MATCH(D2639,'Sản phẩm'!$A$5:$A$304,0)),""))</f>
        <v/>
      </c>
      <c r="L2639" s="16">
        <f>IF(J2639="","",J2639-K2639)</f>
        <v/>
      </c>
      <c r="M2639" s="14">
        <f>IF(A2639="","",MONTH(A2639))</f>
        <v/>
      </c>
      <c r="N2639" s="14">
        <f>IF(A2639="","",YEAR(A2639))</f>
        <v/>
      </c>
    </row>
    <row r="2640">
      <c r="A2640" s="15" t="n"/>
      <c r="B2640" s="10" t="n"/>
      <c r="C2640" s="10" t="n"/>
      <c r="D2640" s="10" t="n"/>
      <c r="E2640" s="14">
        <f>IF(D2640="","",IFERROR(INDEX('Sản phẩm'!$B$5:$B$304,MATCH(D2640,'Sản phẩm'!$A$5:$A$304,0)),""))</f>
        <v/>
      </c>
      <c r="F2640" s="12" t="n"/>
      <c r="G2640" s="11" t="n"/>
      <c r="H2640" s="11" t="n"/>
      <c r="I2640" s="16">
        <f>IF(D2640="","",IF(G2640&lt;&gt;"",G2640,IFERROR(INDEX('Sản phẩm'!$E$5:$E$304,MATCH(D2640,'Sản phẩm'!$A$5:$A$304,0)),"")))</f>
        <v/>
      </c>
      <c r="J2640" s="16">
        <f>IF(OR(D2640="",F2640=""),"",F2640*I2640-N(H2640))</f>
        <v/>
      </c>
      <c r="K2640" s="16">
        <f>IF(OR(D2640="",F2640=""),"",F2640*IFERROR(INDEX('Sản phẩm'!$D$5:$D$304,MATCH(D2640,'Sản phẩm'!$A$5:$A$304,0)),""))</f>
        <v/>
      </c>
      <c r="L2640" s="16">
        <f>IF(J2640="","",J2640-K2640)</f>
        <v/>
      </c>
      <c r="M2640" s="14">
        <f>IF(A2640="","",MONTH(A2640))</f>
        <v/>
      </c>
      <c r="N2640" s="14">
        <f>IF(A2640="","",YEAR(A2640))</f>
        <v/>
      </c>
    </row>
    <row r="2641">
      <c r="A2641" s="15" t="n"/>
      <c r="B2641" s="10" t="n"/>
      <c r="C2641" s="10" t="n"/>
      <c r="D2641" s="10" t="n"/>
      <c r="E2641" s="14">
        <f>IF(D2641="","",IFERROR(INDEX('Sản phẩm'!$B$5:$B$304,MATCH(D2641,'Sản phẩm'!$A$5:$A$304,0)),""))</f>
        <v/>
      </c>
      <c r="F2641" s="12" t="n"/>
      <c r="G2641" s="11" t="n"/>
      <c r="H2641" s="11" t="n"/>
      <c r="I2641" s="16">
        <f>IF(D2641="","",IF(G2641&lt;&gt;"",G2641,IFERROR(INDEX('Sản phẩm'!$E$5:$E$304,MATCH(D2641,'Sản phẩm'!$A$5:$A$304,0)),"")))</f>
        <v/>
      </c>
      <c r="J2641" s="16">
        <f>IF(OR(D2641="",F2641=""),"",F2641*I2641-N(H2641))</f>
        <v/>
      </c>
      <c r="K2641" s="16">
        <f>IF(OR(D2641="",F2641=""),"",F2641*IFERROR(INDEX('Sản phẩm'!$D$5:$D$304,MATCH(D2641,'Sản phẩm'!$A$5:$A$304,0)),""))</f>
        <v/>
      </c>
      <c r="L2641" s="16">
        <f>IF(J2641="","",J2641-K2641)</f>
        <v/>
      </c>
      <c r="M2641" s="14">
        <f>IF(A2641="","",MONTH(A2641))</f>
        <v/>
      </c>
      <c r="N2641" s="14">
        <f>IF(A2641="","",YEAR(A2641))</f>
        <v/>
      </c>
    </row>
    <row r="2642">
      <c r="A2642" s="15" t="n"/>
      <c r="B2642" s="10" t="n"/>
      <c r="C2642" s="10" t="n"/>
      <c r="D2642" s="10" t="n"/>
      <c r="E2642" s="14">
        <f>IF(D2642="","",IFERROR(INDEX('Sản phẩm'!$B$5:$B$304,MATCH(D2642,'Sản phẩm'!$A$5:$A$304,0)),""))</f>
        <v/>
      </c>
      <c r="F2642" s="12" t="n"/>
      <c r="G2642" s="11" t="n"/>
      <c r="H2642" s="11" t="n"/>
      <c r="I2642" s="16">
        <f>IF(D2642="","",IF(G2642&lt;&gt;"",G2642,IFERROR(INDEX('Sản phẩm'!$E$5:$E$304,MATCH(D2642,'Sản phẩm'!$A$5:$A$304,0)),"")))</f>
        <v/>
      </c>
      <c r="J2642" s="16">
        <f>IF(OR(D2642="",F2642=""),"",F2642*I2642-N(H2642))</f>
        <v/>
      </c>
      <c r="K2642" s="16">
        <f>IF(OR(D2642="",F2642=""),"",F2642*IFERROR(INDEX('Sản phẩm'!$D$5:$D$304,MATCH(D2642,'Sản phẩm'!$A$5:$A$304,0)),""))</f>
        <v/>
      </c>
      <c r="L2642" s="16">
        <f>IF(J2642="","",J2642-K2642)</f>
        <v/>
      </c>
      <c r="M2642" s="14">
        <f>IF(A2642="","",MONTH(A2642))</f>
        <v/>
      </c>
      <c r="N2642" s="14">
        <f>IF(A2642="","",YEAR(A2642))</f>
        <v/>
      </c>
    </row>
    <row r="2643">
      <c r="A2643" s="15" t="n"/>
      <c r="B2643" s="10" t="n"/>
      <c r="C2643" s="10" t="n"/>
      <c r="D2643" s="10" t="n"/>
      <c r="E2643" s="14">
        <f>IF(D2643="","",IFERROR(INDEX('Sản phẩm'!$B$5:$B$304,MATCH(D2643,'Sản phẩm'!$A$5:$A$304,0)),""))</f>
        <v/>
      </c>
      <c r="F2643" s="12" t="n"/>
      <c r="G2643" s="11" t="n"/>
      <c r="H2643" s="11" t="n"/>
      <c r="I2643" s="16">
        <f>IF(D2643="","",IF(G2643&lt;&gt;"",G2643,IFERROR(INDEX('Sản phẩm'!$E$5:$E$304,MATCH(D2643,'Sản phẩm'!$A$5:$A$304,0)),"")))</f>
        <v/>
      </c>
      <c r="J2643" s="16">
        <f>IF(OR(D2643="",F2643=""),"",F2643*I2643-N(H2643))</f>
        <v/>
      </c>
      <c r="K2643" s="16">
        <f>IF(OR(D2643="",F2643=""),"",F2643*IFERROR(INDEX('Sản phẩm'!$D$5:$D$304,MATCH(D2643,'Sản phẩm'!$A$5:$A$304,0)),""))</f>
        <v/>
      </c>
      <c r="L2643" s="16">
        <f>IF(J2643="","",J2643-K2643)</f>
        <v/>
      </c>
      <c r="M2643" s="14">
        <f>IF(A2643="","",MONTH(A2643))</f>
        <v/>
      </c>
      <c r="N2643" s="14">
        <f>IF(A2643="","",YEAR(A2643))</f>
        <v/>
      </c>
    </row>
    <row r="2644">
      <c r="A2644" s="15" t="n"/>
      <c r="B2644" s="10" t="n"/>
      <c r="C2644" s="10" t="n"/>
      <c r="D2644" s="10" t="n"/>
      <c r="E2644" s="14">
        <f>IF(D2644="","",IFERROR(INDEX('Sản phẩm'!$B$5:$B$304,MATCH(D2644,'Sản phẩm'!$A$5:$A$304,0)),""))</f>
        <v/>
      </c>
      <c r="F2644" s="12" t="n"/>
      <c r="G2644" s="11" t="n"/>
      <c r="H2644" s="11" t="n"/>
      <c r="I2644" s="16">
        <f>IF(D2644="","",IF(G2644&lt;&gt;"",G2644,IFERROR(INDEX('Sản phẩm'!$E$5:$E$304,MATCH(D2644,'Sản phẩm'!$A$5:$A$304,0)),"")))</f>
        <v/>
      </c>
      <c r="J2644" s="16">
        <f>IF(OR(D2644="",F2644=""),"",F2644*I2644-N(H2644))</f>
        <v/>
      </c>
      <c r="K2644" s="16">
        <f>IF(OR(D2644="",F2644=""),"",F2644*IFERROR(INDEX('Sản phẩm'!$D$5:$D$304,MATCH(D2644,'Sản phẩm'!$A$5:$A$304,0)),""))</f>
        <v/>
      </c>
      <c r="L2644" s="16">
        <f>IF(J2644="","",J2644-K2644)</f>
        <v/>
      </c>
      <c r="M2644" s="14">
        <f>IF(A2644="","",MONTH(A2644))</f>
        <v/>
      </c>
      <c r="N2644" s="14">
        <f>IF(A2644="","",YEAR(A2644))</f>
        <v/>
      </c>
    </row>
    <row r="2645">
      <c r="A2645" s="15" t="n"/>
      <c r="B2645" s="10" t="n"/>
      <c r="C2645" s="10" t="n"/>
      <c r="D2645" s="10" t="n"/>
      <c r="E2645" s="14">
        <f>IF(D2645="","",IFERROR(INDEX('Sản phẩm'!$B$5:$B$304,MATCH(D2645,'Sản phẩm'!$A$5:$A$304,0)),""))</f>
        <v/>
      </c>
      <c r="F2645" s="12" t="n"/>
      <c r="G2645" s="11" t="n"/>
      <c r="H2645" s="11" t="n"/>
      <c r="I2645" s="16">
        <f>IF(D2645="","",IF(G2645&lt;&gt;"",G2645,IFERROR(INDEX('Sản phẩm'!$E$5:$E$304,MATCH(D2645,'Sản phẩm'!$A$5:$A$304,0)),"")))</f>
        <v/>
      </c>
      <c r="J2645" s="16">
        <f>IF(OR(D2645="",F2645=""),"",F2645*I2645-N(H2645))</f>
        <v/>
      </c>
      <c r="K2645" s="16">
        <f>IF(OR(D2645="",F2645=""),"",F2645*IFERROR(INDEX('Sản phẩm'!$D$5:$D$304,MATCH(D2645,'Sản phẩm'!$A$5:$A$304,0)),""))</f>
        <v/>
      </c>
      <c r="L2645" s="16">
        <f>IF(J2645="","",J2645-K2645)</f>
        <v/>
      </c>
      <c r="M2645" s="14">
        <f>IF(A2645="","",MONTH(A2645))</f>
        <v/>
      </c>
      <c r="N2645" s="14">
        <f>IF(A2645="","",YEAR(A2645))</f>
        <v/>
      </c>
    </row>
    <row r="2646">
      <c r="A2646" s="15" t="n"/>
      <c r="B2646" s="10" t="n"/>
      <c r="C2646" s="10" t="n"/>
      <c r="D2646" s="10" t="n"/>
      <c r="E2646" s="14">
        <f>IF(D2646="","",IFERROR(INDEX('Sản phẩm'!$B$5:$B$304,MATCH(D2646,'Sản phẩm'!$A$5:$A$304,0)),""))</f>
        <v/>
      </c>
      <c r="F2646" s="12" t="n"/>
      <c r="G2646" s="11" t="n"/>
      <c r="H2646" s="11" t="n"/>
      <c r="I2646" s="16">
        <f>IF(D2646="","",IF(G2646&lt;&gt;"",G2646,IFERROR(INDEX('Sản phẩm'!$E$5:$E$304,MATCH(D2646,'Sản phẩm'!$A$5:$A$304,0)),"")))</f>
        <v/>
      </c>
      <c r="J2646" s="16">
        <f>IF(OR(D2646="",F2646=""),"",F2646*I2646-N(H2646))</f>
        <v/>
      </c>
      <c r="K2646" s="16">
        <f>IF(OR(D2646="",F2646=""),"",F2646*IFERROR(INDEX('Sản phẩm'!$D$5:$D$304,MATCH(D2646,'Sản phẩm'!$A$5:$A$304,0)),""))</f>
        <v/>
      </c>
      <c r="L2646" s="16">
        <f>IF(J2646="","",J2646-K2646)</f>
        <v/>
      </c>
      <c r="M2646" s="14">
        <f>IF(A2646="","",MONTH(A2646))</f>
        <v/>
      </c>
      <c r="N2646" s="14">
        <f>IF(A2646="","",YEAR(A2646))</f>
        <v/>
      </c>
    </row>
    <row r="2647">
      <c r="A2647" s="15" t="n"/>
      <c r="B2647" s="10" t="n"/>
      <c r="C2647" s="10" t="n"/>
      <c r="D2647" s="10" t="n"/>
      <c r="E2647" s="14">
        <f>IF(D2647="","",IFERROR(INDEX('Sản phẩm'!$B$5:$B$304,MATCH(D2647,'Sản phẩm'!$A$5:$A$304,0)),""))</f>
        <v/>
      </c>
      <c r="F2647" s="12" t="n"/>
      <c r="G2647" s="11" t="n"/>
      <c r="H2647" s="11" t="n"/>
      <c r="I2647" s="16">
        <f>IF(D2647="","",IF(G2647&lt;&gt;"",G2647,IFERROR(INDEX('Sản phẩm'!$E$5:$E$304,MATCH(D2647,'Sản phẩm'!$A$5:$A$304,0)),"")))</f>
        <v/>
      </c>
      <c r="J2647" s="16">
        <f>IF(OR(D2647="",F2647=""),"",F2647*I2647-N(H2647))</f>
        <v/>
      </c>
      <c r="K2647" s="16">
        <f>IF(OR(D2647="",F2647=""),"",F2647*IFERROR(INDEX('Sản phẩm'!$D$5:$D$304,MATCH(D2647,'Sản phẩm'!$A$5:$A$304,0)),""))</f>
        <v/>
      </c>
      <c r="L2647" s="16">
        <f>IF(J2647="","",J2647-K2647)</f>
        <v/>
      </c>
      <c r="M2647" s="14">
        <f>IF(A2647="","",MONTH(A2647))</f>
        <v/>
      </c>
      <c r="N2647" s="14">
        <f>IF(A2647="","",YEAR(A2647))</f>
        <v/>
      </c>
    </row>
    <row r="2648">
      <c r="A2648" s="15" t="n"/>
      <c r="B2648" s="10" t="n"/>
      <c r="C2648" s="10" t="n"/>
      <c r="D2648" s="10" t="n"/>
      <c r="E2648" s="14">
        <f>IF(D2648="","",IFERROR(INDEX('Sản phẩm'!$B$5:$B$304,MATCH(D2648,'Sản phẩm'!$A$5:$A$304,0)),""))</f>
        <v/>
      </c>
      <c r="F2648" s="12" t="n"/>
      <c r="G2648" s="11" t="n"/>
      <c r="H2648" s="11" t="n"/>
      <c r="I2648" s="16">
        <f>IF(D2648="","",IF(G2648&lt;&gt;"",G2648,IFERROR(INDEX('Sản phẩm'!$E$5:$E$304,MATCH(D2648,'Sản phẩm'!$A$5:$A$304,0)),"")))</f>
        <v/>
      </c>
      <c r="J2648" s="16">
        <f>IF(OR(D2648="",F2648=""),"",F2648*I2648-N(H2648))</f>
        <v/>
      </c>
      <c r="K2648" s="16">
        <f>IF(OR(D2648="",F2648=""),"",F2648*IFERROR(INDEX('Sản phẩm'!$D$5:$D$304,MATCH(D2648,'Sản phẩm'!$A$5:$A$304,0)),""))</f>
        <v/>
      </c>
      <c r="L2648" s="16">
        <f>IF(J2648="","",J2648-K2648)</f>
        <v/>
      </c>
      <c r="M2648" s="14">
        <f>IF(A2648="","",MONTH(A2648))</f>
        <v/>
      </c>
      <c r="N2648" s="14">
        <f>IF(A2648="","",YEAR(A2648))</f>
        <v/>
      </c>
    </row>
    <row r="2649">
      <c r="A2649" s="15" t="n"/>
      <c r="B2649" s="10" t="n"/>
      <c r="C2649" s="10" t="n"/>
      <c r="D2649" s="10" t="n"/>
      <c r="E2649" s="14">
        <f>IF(D2649="","",IFERROR(INDEX('Sản phẩm'!$B$5:$B$304,MATCH(D2649,'Sản phẩm'!$A$5:$A$304,0)),""))</f>
        <v/>
      </c>
      <c r="F2649" s="12" t="n"/>
      <c r="G2649" s="11" t="n"/>
      <c r="H2649" s="11" t="n"/>
      <c r="I2649" s="16">
        <f>IF(D2649="","",IF(G2649&lt;&gt;"",G2649,IFERROR(INDEX('Sản phẩm'!$E$5:$E$304,MATCH(D2649,'Sản phẩm'!$A$5:$A$304,0)),"")))</f>
        <v/>
      </c>
      <c r="J2649" s="16">
        <f>IF(OR(D2649="",F2649=""),"",F2649*I2649-N(H2649))</f>
        <v/>
      </c>
      <c r="K2649" s="16">
        <f>IF(OR(D2649="",F2649=""),"",F2649*IFERROR(INDEX('Sản phẩm'!$D$5:$D$304,MATCH(D2649,'Sản phẩm'!$A$5:$A$304,0)),""))</f>
        <v/>
      </c>
      <c r="L2649" s="16">
        <f>IF(J2649="","",J2649-K2649)</f>
        <v/>
      </c>
      <c r="M2649" s="14">
        <f>IF(A2649="","",MONTH(A2649))</f>
        <v/>
      </c>
      <c r="N2649" s="14">
        <f>IF(A2649="","",YEAR(A2649))</f>
        <v/>
      </c>
    </row>
    <row r="2650">
      <c r="A2650" s="15" t="n"/>
      <c r="B2650" s="10" t="n"/>
      <c r="C2650" s="10" t="n"/>
      <c r="D2650" s="10" t="n"/>
      <c r="E2650" s="14">
        <f>IF(D2650="","",IFERROR(INDEX('Sản phẩm'!$B$5:$B$304,MATCH(D2650,'Sản phẩm'!$A$5:$A$304,0)),""))</f>
        <v/>
      </c>
      <c r="F2650" s="12" t="n"/>
      <c r="G2650" s="11" t="n"/>
      <c r="H2650" s="11" t="n"/>
      <c r="I2650" s="16">
        <f>IF(D2650="","",IF(G2650&lt;&gt;"",G2650,IFERROR(INDEX('Sản phẩm'!$E$5:$E$304,MATCH(D2650,'Sản phẩm'!$A$5:$A$304,0)),"")))</f>
        <v/>
      </c>
      <c r="J2650" s="16">
        <f>IF(OR(D2650="",F2650=""),"",F2650*I2650-N(H2650))</f>
        <v/>
      </c>
      <c r="K2650" s="16">
        <f>IF(OR(D2650="",F2650=""),"",F2650*IFERROR(INDEX('Sản phẩm'!$D$5:$D$304,MATCH(D2650,'Sản phẩm'!$A$5:$A$304,0)),""))</f>
        <v/>
      </c>
      <c r="L2650" s="16">
        <f>IF(J2650="","",J2650-K2650)</f>
        <v/>
      </c>
      <c r="M2650" s="14">
        <f>IF(A2650="","",MONTH(A2650))</f>
        <v/>
      </c>
      <c r="N2650" s="14">
        <f>IF(A2650="","",YEAR(A2650))</f>
        <v/>
      </c>
    </row>
    <row r="2651">
      <c r="A2651" s="15" t="n"/>
      <c r="B2651" s="10" t="n"/>
      <c r="C2651" s="10" t="n"/>
      <c r="D2651" s="10" t="n"/>
      <c r="E2651" s="14">
        <f>IF(D2651="","",IFERROR(INDEX('Sản phẩm'!$B$5:$B$304,MATCH(D2651,'Sản phẩm'!$A$5:$A$304,0)),""))</f>
        <v/>
      </c>
      <c r="F2651" s="12" t="n"/>
      <c r="G2651" s="11" t="n"/>
      <c r="H2651" s="11" t="n"/>
      <c r="I2651" s="16">
        <f>IF(D2651="","",IF(G2651&lt;&gt;"",G2651,IFERROR(INDEX('Sản phẩm'!$E$5:$E$304,MATCH(D2651,'Sản phẩm'!$A$5:$A$304,0)),"")))</f>
        <v/>
      </c>
      <c r="J2651" s="16">
        <f>IF(OR(D2651="",F2651=""),"",F2651*I2651-N(H2651))</f>
        <v/>
      </c>
      <c r="K2651" s="16">
        <f>IF(OR(D2651="",F2651=""),"",F2651*IFERROR(INDEX('Sản phẩm'!$D$5:$D$304,MATCH(D2651,'Sản phẩm'!$A$5:$A$304,0)),""))</f>
        <v/>
      </c>
      <c r="L2651" s="16">
        <f>IF(J2651="","",J2651-K2651)</f>
        <v/>
      </c>
      <c r="M2651" s="14">
        <f>IF(A2651="","",MONTH(A2651))</f>
        <v/>
      </c>
      <c r="N2651" s="14">
        <f>IF(A2651="","",YEAR(A2651))</f>
        <v/>
      </c>
    </row>
    <row r="2652">
      <c r="A2652" s="15" t="n"/>
      <c r="B2652" s="10" t="n"/>
      <c r="C2652" s="10" t="n"/>
      <c r="D2652" s="10" t="n"/>
      <c r="E2652" s="14">
        <f>IF(D2652="","",IFERROR(INDEX('Sản phẩm'!$B$5:$B$304,MATCH(D2652,'Sản phẩm'!$A$5:$A$304,0)),""))</f>
        <v/>
      </c>
      <c r="F2652" s="12" t="n"/>
      <c r="G2652" s="11" t="n"/>
      <c r="H2652" s="11" t="n"/>
      <c r="I2652" s="16">
        <f>IF(D2652="","",IF(G2652&lt;&gt;"",G2652,IFERROR(INDEX('Sản phẩm'!$E$5:$E$304,MATCH(D2652,'Sản phẩm'!$A$5:$A$304,0)),"")))</f>
        <v/>
      </c>
      <c r="J2652" s="16">
        <f>IF(OR(D2652="",F2652=""),"",F2652*I2652-N(H2652))</f>
        <v/>
      </c>
      <c r="K2652" s="16">
        <f>IF(OR(D2652="",F2652=""),"",F2652*IFERROR(INDEX('Sản phẩm'!$D$5:$D$304,MATCH(D2652,'Sản phẩm'!$A$5:$A$304,0)),""))</f>
        <v/>
      </c>
      <c r="L2652" s="16">
        <f>IF(J2652="","",J2652-K2652)</f>
        <v/>
      </c>
      <c r="M2652" s="14">
        <f>IF(A2652="","",MONTH(A2652))</f>
        <v/>
      </c>
      <c r="N2652" s="14">
        <f>IF(A2652="","",YEAR(A2652))</f>
        <v/>
      </c>
    </row>
    <row r="2653">
      <c r="A2653" s="15" t="n"/>
      <c r="B2653" s="10" t="n"/>
      <c r="C2653" s="10" t="n"/>
      <c r="D2653" s="10" t="n"/>
      <c r="E2653" s="14">
        <f>IF(D2653="","",IFERROR(INDEX('Sản phẩm'!$B$5:$B$304,MATCH(D2653,'Sản phẩm'!$A$5:$A$304,0)),""))</f>
        <v/>
      </c>
      <c r="F2653" s="12" t="n"/>
      <c r="G2653" s="11" t="n"/>
      <c r="H2653" s="11" t="n"/>
      <c r="I2653" s="16">
        <f>IF(D2653="","",IF(G2653&lt;&gt;"",G2653,IFERROR(INDEX('Sản phẩm'!$E$5:$E$304,MATCH(D2653,'Sản phẩm'!$A$5:$A$304,0)),"")))</f>
        <v/>
      </c>
      <c r="J2653" s="16">
        <f>IF(OR(D2653="",F2653=""),"",F2653*I2653-N(H2653))</f>
        <v/>
      </c>
      <c r="K2653" s="16">
        <f>IF(OR(D2653="",F2653=""),"",F2653*IFERROR(INDEX('Sản phẩm'!$D$5:$D$304,MATCH(D2653,'Sản phẩm'!$A$5:$A$304,0)),""))</f>
        <v/>
      </c>
      <c r="L2653" s="16">
        <f>IF(J2653="","",J2653-K2653)</f>
        <v/>
      </c>
      <c r="M2653" s="14">
        <f>IF(A2653="","",MONTH(A2653))</f>
        <v/>
      </c>
      <c r="N2653" s="14">
        <f>IF(A2653="","",YEAR(A2653))</f>
        <v/>
      </c>
    </row>
    <row r="2654">
      <c r="A2654" s="15" t="n"/>
      <c r="B2654" s="10" t="n"/>
      <c r="C2654" s="10" t="n"/>
      <c r="D2654" s="10" t="n"/>
      <c r="E2654" s="14">
        <f>IF(D2654="","",IFERROR(INDEX('Sản phẩm'!$B$5:$B$304,MATCH(D2654,'Sản phẩm'!$A$5:$A$304,0)),""))</f>
        <v/>
      </c>
      <c r="F2654" s="12" t="n"/>
      <c r="G2654" s="11" t="n"/>
      <c r="H2654" s="11" t="n"/>
      <c r="I2654" s="16">
        <f>IF(D2654="","",IF(G2654&lt;&gt;"",G2654,IFERROR(INDEX('Sản phẩm'!$E$5:$E$304,MATCH(D2654,'Sản phẩm'!$A$5:$A$304,0)),"")))</f>
        <v/>
      </c>
      <c r="J2654" s="16">
        <f>IF(OR(D2654="",F2654=""),"",F2654*I2654-N(H2654))</f>
        <v/>
      </c>
      <c r="K2654" s="16">
        <f>IF(OR(D2654="",F2654=""),"",F2654*IFERROR(INDEX('Sản phẩm'!$D$5:$D$304,MATCH(D2654,'Sản phẩm'!$A$5:$A$304,0)),""))</f>
        <v/>
      </c>
      <c r="L2654" s="16">
        <f>IF(J2654="","",J2654-K2654)</f>
        <v/>
      </c>
      <c r="M2654" s="14">
        <f>IF(A2654="","",MONTH(A2654))</f>
        <v/>
      </c>
      <c r="N2654" s="14">
        <f>IF(A2654="","",YEAR(A2654))</f>
        <v/>
      </c>
    </row>
    <row r="2655">
      <c r="A2655" s="15" t="n"/>
      <c r="B2655" s="10" t="n"/>
      <c r="C2655" s="10" t="n"/>
      <c r="D2655" s="10" t="n"/>
      <c r="E2655" s="14">
        <f>IF(D2655="","",IFERROR(INDEX('Sản phẩm'!$B$5:$B$304,MATCH(D2655,'Sản phẩm'!$A$5:$A$304,0)),""))</f>
        <v/>
      </c>
      <c r="F2655" s="12" t="n"/>
      <c r="G2655" s="11" t="n"/>
      <c r="H2655" s="11" t="n"/>
      <c r="I2655" s="16">
        <f>IF(D2655="","",IF(G2655&lt;&gt;"",G2655,IFERROR(INDEX('Sản phẩm'!$E$5:$E$304,MATCH(D2655,'Sản phẩm'!$A$5:$A$304,0)),"")))</f>
        <v/>
      </c>
      <c r="J2655" s="16">
        <f>IF(OR(D2655="",F2655=""),"",F2655*I2655-N(H2655))</f>
        <v/>
      </c>
      <c r="K2655" s="16">
        <f>IF(OR(D2655="",F2655=""),"",F2655*IFERROR(INDEX('Sản phẩm'!$D$5:$D$304,MATCH(D2655,'Sản phẩm'!$A$5:$A$304,0)),""))</f>
        <v/>
      </c>
      <c r="L2655" s="16">
        <f>IF(J2655="","",J2655-K2655)</f>
        <v/>
      </c>
      <c r="M2655" s="14">
        <f>IF(A2655="","",MONTH(A2655))</f>
        <v/>
      </c>
      <c r="N2655" s="14">
        <f>IF(A2655="","",YEAR(A2655))</f>
        <v/>
      </c>
    </row>
    <row r="2656">
      <c r="A2656" s="15" t="n"/>
      <c r="B2656" s="10" t="n"/>
      <c r="C2656" s="10" t="n"/>
      <c r="D2656" s="10" t="n"/>
      <c r="E2656" s="14">
        <f>IF(D2656="","",IFERROR(INDEX('Sản phẩm'!$B$5:$B$304,MATCH(D2656,'Sản phẩm'!$A$5:$A$304,0)),""))</f>
        <v/>
      </c>
      <c r="F2656" s="12" t="n"/>
      <c r="G2656" s="11" t="n"/>
      <c r="H2656" s="11" t="n"/>
      <c r="I2656" s="16">
        <f>IF(D2656="","",IF(G2656&lt;&gt;"",G2656,IFERROR(INDEX('Sản phẩm'!$E$5:$E$304,MATCH(D2656,'Sản phẩm'!$A$5:$A$304,0)),"")))</f>
        <v/>
      </c>
      <c r="J2656" s="16">
        <f>IF(OR(D2656="",F2656=""),"",F2656*I2656-N(H2656))</f>
        <v/>
      </c>
      <c r="K2656" s="16">
        <f>IF(OR(D2656="",F2656=""),"",F2656*IFERROR(INDEX('Sản phẩm'!$D$5:$D$304,MATCH(D2656,'Sản phẩm'!$A$5:$A$304,0)),""))</f>
        <v/>
      </c>
      <c r="L2656" s="16">
        <f>IF(J2656="","",J2656-K2656)</f>
        <v/>
      </c>
      <c r="M2656" s="14">
        <f>IF(A2656="","",MONTH(A2656))</f>
        <v/>
      </c>
      <c r="N2656" s="14">
        <f>IF(A2656="","",YEAR(A2656))</f>
        <v/>
      </c>
    </row>
    <row r="2657">
      <c r="A2657" s="15" t="n"/>
      <c r="B2657" s="10" t="n"/>
      <c r="C2657" s="10" t="n"/>
      <c r="D2657" s="10" t="n"/>
      <c r="E2657" s="14">
        <f>IF(D2657="","",IFERROR(INDEX('Sản phẩm'!$B$5:$B$304,MATCH(D2657,'Sản phẩm'!$A$5:$A$304,0)),""))</f>
        <v/>
      </c>
      <c r="F2657" s="12" t="n"/>
      <c r="G2657" s="11" t="n"/>
      <c r="H2657" s="11" t="n"/>
      <c r="I2657" s="16">
        <f>IF(D2657="","",IF(G2657&lt;&gt;"",G2657,IFERROR(INDEX('Sản phẩm'!$E$5:$E$304,MATCH(D2657,'Sản phẩm'!$A$5:$A$304,0)),"")))</f>
        <v/>
      </c>
      <c r="J2657" s="16">
        <f>IF(OR(D2657="",F2657=""),"",F2657*I2657-N(H2657))</f>
        <v/>
      </c>
      <c r="K2657" s="16">
        <f>IF(OR(D2657="",F2657=""),"",F2657*IFERROR(INDEX('Sản phẩm'!$D$5:$D$304,MATCH(D2657,'Sản phẩm'!$A$5:$A$304,0)),""))</f>
        <v/>
      </c>
      <c r="L2657" s="16">
        <f>IF(J2657="","",J2657-K2657)</f>
        <v/>
      </c>
      <c r="M2657" s="14">
        <f>IF(A2657="","",MONTH(A2657))</f>
        <v/>
      </c>
      <c r="N2657" s="14">
        <f>IF(A2657="","",YEAR(A2657))</f>
        <v/>
      </c>
    </row>
    <row r="2658">
      <c r="A2658" s="15" t="n"/>
      <c r="B2658" s="10" t="n"/>
      <c r="C2658" s="10" t="n"/>
      <c r="D2658" s="10" t="n"/>
      <c r="E2658" s="14">
        <f>IF(D2658="","",IFERROR(INDEX('Sản phẩm'!$B$5:$B$304,MATCH(D2658,'Sản phẩm'!$A$5:$A$304,0)),""))</f>
        <v/>
      </c>
      <c r="F2658" s="12" t="n"/>
      <c r="G2658" s="11" t="n"/>
      <c r="H2658" s="11" t="n"/>
      <c r="I2658" s="16">
        <f>IF(D2658="","",IF(G2658&lt;&gt;"",G2658,IFERROR(INDEX('Sản phẩm'!$E$5:$E$304,MATCH(D2658,'Sản phẩm'!$A$5:$A$304,0)),"")))</f>
        <v/>
      </c>
      <c r="J2658" s="16">
        <f>IF(OR(D2658="",F2658=""),"",F2658*I2658-N(H2658))</f>
        <v/>
      </c>
      <c r="K2658" s="16">
        <f>IF(OR(D2658="",F2658=""),"",F2658*IFERROR(INDEX('Sản phẩm'!$D$5:$D$304,MATCH(D2658,'Sản phẩm'!$A$5:$A$304,0)),""))</f>
        <v/>
      </c>
      <c r="L2658" s="16">
        <f>IF(J2658="","",J2658-K2658)</f>
        <v/>
      </c>
      <c r="M2658" s="14">
        <f>IF(A2658="","",MONTH(A2658))</f>
        <v/>
      </c>
      <c r="N2658" s="14">
        <f>IF(A2658="","",YEAR(A2658))</f>
        <v/>
      </c>
    </row>
    <row r="2659">
      <c r="A2659" s="15" t="n"/>
      <c r="B2659" s="10" t="n"/>
      <c r="C2659" s="10" t="n"/>
      <c r="D2659" s="10" t="n"/>
      <c r="E2659" s="14">
        <f>IF(D2659="","",IFERROR(INDEX('Sản phẩm'!$B$5:$B$304,MATCH(D2659,'Sản phẩm'!$A$5:$A$304,0)),""))</f>
        <v/>
      </c>
      <c r="F2659" s="12" t="n"/>
      <c r="G2659" s="11" t="n"/>
      <c r="H2659" s="11" t="n"/>
      <c r="I2659" s="16">
        <f>IF(D2659="","",IF(G2659&lt;&gt;"",G2659,IFERROR(INDEX('Sản phẩm'!$E$5:$E$304,MATCH(D2659,'Sản phẩm'!$A$5:$A$304,0)),"")))</f>
        <v/>
      </c>
      <c r="J2659" s="16">
        <f>IF(OR(D2659="",F2659=""),"",F2659*I2659-N(H2659))</f>
        <v/>
      </c>
      <c r="K2659" s="16">
        <f>IF(OR(D2659="",F2659=""),"",F2659*IFERROR(INDEX('Sản phẩm'!$D$5:$D$304,MATCH(D2659,'Sản phẩm'!$A$5:$A$304,0)),""))</f>
        <v/>
      </c>
      <c r="L2659" s="16">
        <f>IF(J2659="","",J2659-K2659)</f>
        <v/>
      </c>
      <c r="M2659" s="14">
        <f>IF(A2659="","",MONTH(A2659))</f>
        <v/>
      </c>
      <c r="N2659" s="14">
        <f>IF(A2659="","",YEAR(A2659))</f>
        <v/>
      </c>
    </row>
    <row r="2660">
      <c r="A2660" s="15" t="n"/>
      <c r="B2660" s="10" t="n"/>
      <c r="C2660" s="10" t="n"/>
      <c r="D2660" s="10" t="n"/>
      <c r="E2660" s="14">
        <f>IF(D2660="","",IFERROR(INDEX('Sản phẩm'!$B$5:$B$304,MATCH(D2660,'Sản phẩm'!$A$5:$A$304,0)),""))</f>
        <v/>
      </c>
      <c r="F2660" s="12" t="n"/>
      <c r="G2660" s="11" t="n"/>
      <c r="H2660" s="11" t="n"/>
      <c r="I2660" s="16">
        <f>IF(D2660="","",IF(G2660&lt;&gt;"",G2660,IFERROR(INDEX('Sản phẩm'!$E$5:$E$304,MATCH(D2660,'Sản phẩm'!$A$5:$A$304,0)),"")))</f>
        <v/>
      </c>
      <c r="J2660" s="16">
        <f>IF(OR(D2660="",F2660=""),"",F2660*I2660-N(H2660))</f>
        <v/>
      </c>
      <c r="K2660" s="16">
        <f>IF(OR(D2660="",F2660=""),"",F2660*IFERROR(INDEX('Sản phẩm'!$D$5:$D$304,MATCH(D2660,'Sản phẩm'!$A$5:$A$304,0)),""))</f>
        <v/>
      </c>
      <c r="L2660" s="16">
        <f>IF(J2660="","",J2660-K2660)</f>
        <v/>
      </c>
      <c r="M2660" s="14">
        <f>IF(A2660="","",MONTH(A2660))</f>
        <v/>
      </c>
      <c r="N2660" s="14">
        <f>IF(A2660="","",YEAR(A2660))</f>
        <v/>
      </c>
    </row>
    <row r="2661">
      <c r="A2661" s="15" t="n"/>
      <c r="B2661" s="10" t="n"/>
      <c r="C2661" s="10" t="n"/>
      <c r="D2661" s="10" t="n"/>
      <c r="E2661" s="14">
        <f>IF(D2661="","",IFERROR(INDEX('Sản phẩm'!$B$5:$B$304,MATCH(D2661,'Sản phẩm'!$A$5:$A$304,0)),""))</f>
        <v/>
      </c>
      <c r="F2661" s="12" t="n"/>
      <c r="G2661" s="11" t="n"/>
      <c r="H2661" s="11" t="n"/>
      <c r="I2661" s="16">
        <f>IF(D2661="","",IF(G2661&lt;&gt;"",G2661,IFERROR(INDEX('Sản phẩm'!$E$5:$E$304,MATCH(D2661,'Sản phẩm'!$A$5:$A$304,0)),"")))</f>
        <v/>
      </c>
      <c r="J2661" s="16">
        <f>IF(OR(D2661="",F2661=""),"",F2661*I2661-N(H2661))</f>
        <v/>
      </c>
      <c r="K2661" s="16">
        <f>IF(OR(D2661="",F2661=""),"",F2661*IFERROR(INDEX('Sản phẩm'!$D$5:$D$304,MATCH(D2661,'Sản phẩm'!$A$5:$A$304,0)),""))</f>
        <v/>
      </c>
      <c r="L2661" s="16">
        <f>IF(J2661="","",J2661-K2661)</f>
        <v/>
      </c>
      <c r="M2661" s="14">
        <f>IF(A2661="","",MONTH(A2661))</f>
        <v/>
      </c>
      <c r="N2661" s="14">
        <f>IF(A2661="","",YEAR(A2661))</f>
        <v/>
      </c>
    </row>
    <row r="2662">
      <c r="A2662" s="15" t="n"/>
      <c r="B2662" s="10" t="n"/>
      <c r="C2662" s="10" t="n"/>
      <c r="D2662" s="10" t="n"/>
      <c r="E2662" s="14">
        <f>IF(D2662="","",IFERROR(INDEX('Sản phẩm'!$B$5:$B$304,MATCH(D2662,'Sản phẩm'!$A$5:$A$304,0)),""))</f>
        <v/>
      </c>
      <c r="F2662" s="12" t="n"/>
      <c r="G2662" s="11" t="n"/>
      <c r="H2662" s="11" t="n"/>
      <c r="I2662" s="16">
        <f>IF(D2662="","",IF(G2662&lt;&gt;"",G2662,IFERROR(INDEX('Sản phẩm'!$E$5:$E$304,MATCH(D2662,'Sản phẩm'!$A$5:$A$304,0)),"")))</f>
        <v/>
      </c>
      <c r="J2662" s="16">
        <f>IF(OR(D2662="",F2662=""),"",F2662*I2662-N(H2662))</f>
        <v/>
      </c>
      <c r="K2662" s="16">
        <f>IF(OR(D2662="",F2662=""),"",F2662*IFERROR(INDEX('Sản phẩm'!$D$5:$D$304,MATCH(D2662,'Sản phẩm'!$A$5:$A$304,0)),""))</f>
        <v/>
      </c>
      <c r="L2662" s="16">
        <f>IF(J2662="","",J2662-K2662)</f>
        <v/>
      </c>
      <c r="M2662" s="14">
        <f>IF(A2662="","",MONTH(A2662))</f>
        <v/>
      </c>
      <c r="N2662" s="14">
        <f>IF(A2662="","",YEAR(A2662))</f>
        <v/>
      </c>
    </row>
    <row r="2663">
      <c r="A2663" s="15" t="n"/>
      <c r="B2663" s="10" t="n"/>
      <c r="C2663" s="10" t="n"/>
      <c r="D2663" s="10" t="n"/>
      <c r="E2663" s="14">
        <f>IF(D2663="","",IFERROR(INDEX('Sản phẩm'!$B$5:$B$304,MATCH(D2663,'Sản phẩm'!$A$5:$A$304,0)),""))</f>
        <v/>
      </c>
      <c r="F2663" s="12" t="n"/>
      <c r="G2663" s="11" t="n"/>
      <c r="H2663" s="11" t="n"/>
      <c r="I2663" s="16">
        <f>IF(D2663="","",IF(G2663&lt;&gt;"",G2663,IFERROR(INDEX('Sản phẩm'!$E$5:$E$304,MATCH(D2663,'Sản phẩm'!$A$5:$A$304,0)),"")))</f>
        <v/>
      </c>
      <c r="J2663" s="16">
        <f>IF(OR(D2663="",F2663=""),"",F2663*I2663-N(H2663))</f>
        <v/>
      </c>
      <c r="K2663" s="16">
        <f>IF(OR(D2663="",F2663=""),"",F2663*IFERROR(INDEX('Sản phẩm'!$D$5:$D$304,MATCH(D2663,'Sản phẩm'!$A$5:$A$304,0)),""))</f>
        <v/>
      </c>
      <c r="L2663" s="16">
        <f>IF(J2663="","",J2663-K2663)</f>
        <v/>
      </c>
      <c r="M2663" s="14">
        <f>IF(A2663="","",MONTH(A2663))</f>
        <v/>
      </c>
      <c r="N2663" s="14">
        <f>IF(A2663="","",YEAR(A2663))</f>
        <v/>
      </c>
    </row>
    <row r="2664">
      <c r="A2664" s="15" t="n"/>
      <c r="B2664" s="10" t="n"/>
      <c r="C2664" s="10" t="n"/>
      <c r="D2664" s="10" t="n"/>
      <c r="E2664" s="14">
        <f>IF(D2664="","",IFERROR(INDEX('Sản phẩm'!$B$5:$B$304,MATCH(D2664,'Sản phẩm'!$A$5:$A$304,0)),""))</f>
        <v/>
      </c>
      <c r="F2664" s="12" t="n"/>
      <c r="G2664" s="11" t="n"/>
      <c r="H2664" s="11" t="n"/>
      <c r="I2664" s="16">
        <f>IF(D2664="","",IF(G2664&lt;&gt;"",G2664,IFERROR(INDEX('Sản phẩm'!$E$5:$E$304,MATCH(D2664,'Sản phẩm'!$A$5:$A$304,0)),"")))</f>
        <v/>
      </c>
      <c r="J2664" s="16">
        <f>IF(OR(D2664="",F2664=""),"",F2664*I2664-N(H2664))</f>
        <v/>
      </c>
      <c r="K2664" s="16">
        <f>IF(OR(D2664="",F2664=""),"",F2664*IFERROR(INDEX('Sản phẩm'!$D$5:$D$304,MATCH(D2664,'Sản phẩm'!$A$5:$A$304,0)),""))</f>
        <v/>
      </c>
      <c r="L2664" s="16">
        <f>IF(J2664="","",J2664-K2664)</f>
        <v/>
      </c>
      <c r="M2664" s="14">
        <f>IF(A2664="","",MONTH(A2664))</f>
        <v/>
      </c>
      <c r="N2664" s="14">
        <f>IF(A2664="","",YEAR(A2664))</f>
        <v/>
      </c>
    </row>
    <row r="2665">
      <c r="A2665" s="15" t="n"/>
      <c r="B2665" s="10" t="n"/>
      <c r="C2665" s="10" t="n"/>
      <c r="D2665" s="10" t="n"/>
      <c r="E2665" s="14">
        <f>IF(D2665="","",IFERROR(INDEX('Sản phẩm'!$B$5:$B$304,MATCH(D2665,'Sản phẩm'!$A$5:$A$304,0)),""))</f>
        <v/>
      </c>
      <c r="F2665" s="12" t="n"/>
      <c r="G2665" s="11" t="n"/>
      <c r="H2665" s="11" t="n"/>
      <c r="I2665" s="16">
        <f>IF(D2665="","",IF(G2665&lt;&gt;"",G2665,IFERROR(INDEX('Sản phẩm'!$E$5:$E$304,MATCH(D2665,'Sản phẩm'!$A$5:$A$304,0)),"")))</f>
        <v/>
      </c>
      <c r="J2665" s="16">
        <f>IF(OR(D2665="",F2665=""),"",F2665*I2665-N(H2665))</f>
        <v/>
      </c>
      <c r="K2665" s="16">
        <f>IF(OR(D2665="",F2665=""),"",F2665*IFERROR(INDEX('Sản phẩm'!$D$5:$D$304,MATCH(D2665,'Sản phẩm'!$A$5:$A$304,0)),""))</f>
        <v/>
      </c>
      <c r="L2665" s="16">
        <f>IF(J2665="","",J2665-K2665)</f>
        <v/>
      </c>
      <c r="M2665" s="14">
        <f>IF(A2665="","",MONTH(A2665))</f>
        <v/>
      </c>
      <c r="N2665" s="14">
        <f>IF(A2665="","",YEAR(A2665))</f>
        <v/>
      </c>
    </row>
    <row r="2666">
      <c r="A2666" s="15" t="n"/>
      <c r="B2666" s="10" t="n"/>
      <c r="C2666" s="10" t="n"/>
      <c r="D2666" s="10" t="n"/>
      <c r="E2666" s="14">
        <f>IF(D2666="","",IFERROR(INDEX('Sản phẩm'!$B$5:$B$304,MATCH(D2666,'Sản phẩm'!$A$5:$A$304,0)),""))</f>
        <v/>
      </c>
      <c r="F2666" s="12" t="n"/>
      <c r="G2666" s="11" t="n"/>
      <c r="H2666" s="11" t="n"/>
      <c r="I2666" s="16">
        <f>IF(D2666="","",IF(G2666&lt;&gt;"",G2666,IFERROR(INDEX('Sản phẩm'!$E$5:$E$304,MATCH(D2666,'Sản phẩm'!$A$5:$A$304,0)),"")))</f>
        <v/>
      </c>
      <c r="J2666" s="16">
        <f>IF(OR(D2666="",F2666=""),"",F2666*I2666-N(H2666))</f>
        <v/>
      </c>
      <c r="K2666" s="16">
        <f>IF(OR(D2666="",F2666=""),"",F2666*IFERROR(INDEX('Sản phẩm'!$D$5:$D$304,MATCH(D2666,'Sản phẩm'!$A$5:$A$304,0)),""))</f>
        <v/>
      </c>
      <c r="L2666" s="16">
        <f>IF(J2666="","",J2666-K2666)</f>
        <v/>
      </c>
      <c r="M2666" s="14">
        <f>IF(A2666="","",MONTH(A2666))</f>
        <v/>
      </c>
      <c r="N2666" s="14">
        <f>IF(A2666="","",YEAR(A2666))</f>
        <v/>
      </c>
    </row>
    <row r="2667">
      <c r="A2667" s="15" t="n"/>
      <c r="B2667" s="10" t="n"/>
      <c r="C2667" s="10" t="n"/>
      <c r="D2667" s="10" t="n"/>
      <c r="E2667" s="14">
        <f>IF(D2667="","",IFERROR(INDEX('Sản phẩm'!$B$5:$B$304,MATCH(D2667,'Sản phẩm'!$A$5:$A$304,0)),""))</f>
        <v/>
      </c>
      <c r="F2667" s="12" t="n"/>
      <c r="G2667" s="11" t="n"/>
      <c r="H2667" s="11" t="n"/>
      <c r="I2667" s="16">
        <f>IF(D2667="","",IF(G2667&lt;&gt;"",G2667,IFERROR(INDEX('Sản phẩm'!$E$5:$E$304,MATCH(D2667,'Sản phẩm'!$A$5:$A$304,0)),"")))</f>
        <v/>
      </c>
      <c r="J2667" s="16">
        <f>IF(OR(D2667="",F2667=""),"",F2667*I2667-N(H2667))</f>
        <v/>
      </c>
      <c r="K2667" s="16">
        <f>IF(OR(D2667="",F2667=""),"",F2667*IFERROR(INDEX('Sản phẩm'!$D$5:$D$304,MATCH(D2667,'Sản phẩm'!$A$5:$A$304,0)),""))</f>
        <v/>
      </c>
      <c r="L2667" s="16">
        <f>IF(J2667="","",J2667-K2667)</f>
        <v/>
      </c>
      <c r="M2667" s="14">
        <f>IF(A2667="","",MONTH(A2667))</f>
        <v/>
      </c>
      <c r="N2667" s="14">
        <f>IF(A2667="","",YEAR(A2667))</f>
        <v/>
      </c>
    </row>
    <row r="2668">
      <c r="A2668" s="15" t="n"/>
      <c r="B2668" s="10" t="n"/>
      <c r="C2668" s="10" t="n"/>
      <c r="D2668" s="10" t="n"/>
      <c r="E2668" s="14">
        <f>IF(D2668="","",IFERROR(INDEX('Sản phẩm'!$B$5:$B$304,MATCH(D2668,'Sản phẩm'!$A$5:$A$304,0)),""))</f>
        <v/>
      </c>
      <c r="F2668" s="12" t="n"/>
      <c r="G2668" s="11" t="n"/>
      <c r="H2668" s="11" t="n"/>
      <c r="I2668" s="16">
        <f>IF(D2668="","",IF(G2668&lt;&gt;"",G2668,IFERROR(INDEX('Sản phẩm'!$E$5:$E$304,MATCH(D2668,'Sản phẩm'!$A$5:$A$304,0)),"")))</f>
        <v/>
      </c>
      <c r="J2668" s="16">
        <f>IF(OR(D2668="",F2668=""),"",F2668*I2668-N(H2668))</f>
        <v/>
      </c>
      <c r="K2668" s="16">
        <f>IF(OR(D2668="",F2668=""),"",F2668*IFERROR(INDEX('Sản phẩm'!$D$5:$D$304,MATCH(D2668,'Sản phẩm'!$A$5:$A$304,0)),""))</f>
        <v/>
      </c>
      <c r="L2668" s="16">
        <f>IF(J2668="","",J2668-K2668)</f>
        <v/>
      </c>
      <c r="M2668" s="14">
        <f>IF(A2668="","",MONTH(A2668))</f>
        <v/>
      </c>
      <c r="N2668" s="14">
        <f>IF(A2668="","",YEAR(A2668))</f>
        <v/>
      </c>
    </row>
    <row r="2669">
      <c r="A2669" s="15" t="n"/>
      <c r="B2669" s="10" t="n"/>
      <c r="C2669" s="10" t="n"/>
      <c r="D2669" s="10" t="n"/>
      <c r="E2669" s="14">
        <f>IF(D2669="","",IFERROR(INDEX('Sản phẩm'!$B$5:$B$304,MATCH(D2669,'Sản phẩm'!$A$5:$A$304,0)),""))</f>
        <v/>
      </c>
      <c r="F2669" s="12" t="n"/>
      <c r="G2669" s="11" t="n"/>
      <c r="H2669" s="11" t="n"/>
      <c r="I2669" s="16">
        <f>IF(D2669="","",IF(G2669&lt;&gt;"",G2669,IFERROR(INDEX('Sản phẩm'!$E$5:$E$304,MATCH(D2669,'Sản phẩm'!$A$5:$A$304,0)),"")))</f>
        <v/>
      </c>
      <c r="J2669" s="16">
        <f>IF(OR(D2669="",F2669=""),"",F2669*I2669-N(H2669))</f>
        <v/>
      </c>
      <c r="K2669" s="16">
        <f>IF(OR(D2669="",F2669=""),"",F2669*IFERROR(INDEX('Sản phẩm'!$D$5:$D$304,MATCH(D2669,'Sản phẩm'!$A$5:$A$304,0)),""))</f>
        <v/>
      </c>
      <c r="L2669" s="16">
        <f>IF(J2669="","",J2669-K2669)</f>
        <v/>
      </c>
      <c r="M2669" s="14">
        <f>IF(A2669="","",MONTH(A2669))</f>
        <v/>
      </c>
      <c r="N2669" s="14">
        <f>IF(A2669="","",YEAR(A2669))</f>
        <v/>
      </c>
    </row>
    <row r="2670">
      <c r="A2670" s="15" t="n"/>
      <c r="B2670" s="10" t="n"/>
      <c r="C2670" s="10" t="n"/>
      <c r="D2670" s="10" t="n"/>
      <c r="E2670" s="14">
        <f>IF(D2670="","",IFERROR(INDEX('Sản phẩm'!$B$5:$B$304,MATCH(D2670,'Sản phẩm'!$A$5:$A$304,0)),""))</f>
        <v/>
      </c>
      <c r="F2670" s="12" t="n"/>
      <c r="G2670" s="11" t="n"/>
      <c r="H2670" s="11" t="n"/>
      <c r="I2670" s="16">
        <f>IF(D2670="","",IF(G2670&lt;&gt;"",G2670,IFERROR(INDEX('Sản phẩm'!$E$5:$E$304,MATCH(D2670,'Sản phẩm'!$A$5:$A$304,0)),"")))</f>
        <v/>
      </c>
      <c r="J2670" s="16">
        <f>IF(OR(D2670="",F2670=""),"",F2670*I2670-N(H2670))</f>
        <v/>
      </c>
      <c r="K2670" s="16">
        <f>IF(OR(D2670="",F2670=""),"",F2670*IFERROR(INDEX('Sản phẩm'!$D$5:$D$304,MATCH(D2670,'Sản phẩm'!$A$5:$A$304,0)),""))</f>
        <v/>
      </c>
      <c r="L2670" s="16">
        <f>IF(J2670="","",J2670-K2670)</f>
        <v/>
      </c>
      <c r="M2670" s="14">
        <f>IF(A2670="","",MONTH(A2670))</f>
        <v/>
      </c>
      <c r="N2670" s="14">
        <f>IF(A2670="","",YEAR(A2670))</f>
        <v/>
      </c>
    </row>
    <row r="2671">
      <c r="A2671" s="15" t="n"/>
      <c r="B2671" s="10" t="n"/>
      <c r="C2671" s="10" t="n"/>
      <c r="D2671" s="10" t="n"/>
      <c r="E2671" s="14">
        <f>IF(D2671="","",IFERROR(INDEX('Sản phẩm'!$B$5:$B$304,MATCH(D2671,'Sản phẩm'!$A$5:$A$304,0)),""))</f>
        <v/>
      </c>
      <c r="F2671" s="12" t="n"/>
      <c r="G2671" s="11" t="n"/>
      <c r="H2671" s="11" t="n"/>
      <c r="I2671" s="16">
        <f>IF(D2671="","",IF(G2671&lt;&gt;"",G2671,IFERROR(INDEX('Sản phẩm'!$E$5:$E$304,MATCH(D2671,'Sản phẩm'!$A$5:$A$304,0)),"")))</f>
        <v/>
      </c>
      <c r="J2671" s="16">
        <f>IF(OR(D2671="",F2671=""),"",F2671*I2671-N(H2671))</f>
        <v/>
      </c>
      <c r="K2671" s="16">
        <f>IF(OR(D2671="",F2671=""),"",F2671*IFERROR(INDEX('Sản phẩm'!$D$5:$D$304,MATCH(D2671,'Sản phẩm'!$A$5:$A$304,0)),""))</f>
        <v/>
      </c>
      <c r="L2671" s="16">
        <f>IF(J2671="","",J2671-K2671)</f>
        <v/>
      </c>
      <c r="M2671" s="14">
        <f>IF(A2671="","",MONTH(A2671))</f>
        <v/>
      </c>
      <c r="N2671" s="14">
        <f>IF(A2671="","",YEAR(A2671))</f>
        <v/>
      </c>
    </row>
    <row r="2672">
      <c r="A2672" s="15" t="n"/>
      <c r="B2672" s="10" t="n"/>
      <c r="C2672" s="10" t="n"/>
      <c r="D2672" s="10" t="n"/>
      <c r="E2672" s="14">
        <f>IF(D2672="","",IFERROR(INDEX('Sản phẩm'!$B$5:$B$304,MATCH(D2672,'Sản phẩm'!$A$5:$A$304,0)),""))</f>
        <v/>
      </c>
      <c r="F2672" s="12" t="n"/>
      <c r="G2672" s="11" t="n"/>
      <c r="H2672" s="11" t="n"/>
      <c r="I2672" s="16">
        <f>IF(D2672="","",IF(G2672&lt;&gt;"",G2672,IFERROR(INDEX('Sản phẩm'!$E$5:$E$304,MATCH(D2672,'Sản phẩm'!$A$5:$A$304,0)),"")))</f>
        <v/>
      </c>
      <c r="J2672" s="16">
        <f>IF(OR(D2672="",F2672=""),"",F2672*I2672-N(H2672))</f>
        <v/>
      </c>
      <c r="K2672" s="16">
        <f>IF(OR(D2672="",F2672=""),"",F2672*IFERROR(INDEX('Sản phẩm'!$D$5:$D$304,MATCH(D2672,'Sản phẩm'!$A$5:$A$304,0)),""))</f>
        <v/>
      </c>
      <c r="L2672" s="16">
        <f>IF(J2672="","",J2672-K2672)</f>
        <v/>
      </c>
      <c r="M2672" s="14">
        <f>IF(A2672="","",MONTH(A2672))</f>
        <v/>
      </c>
      <c r="N2672" s="14">
        <f>IF(A2672="","",YEAR(A2672))</f>
        <v/>
      </c>
    </row>
    <row r="2673">
      <c r="A2673" s="15" t="n"/>
      <c r="B2673" s="10" t="n"/>
      <c r="C2673" s="10" t="n"/>
      <c r="D2673" s="10" t="n"/>
      <c r="E2673" s="14">
        <f>IF(D2673="","",IFERROR(INDEX('Sản phẩm'!$B$5:$B$304,MATCH(D2673,'Sản phẩm'!$A$5:$A$304,0)),""))</f>
        <v/>
      </c>
      <c r="F2673" s="12" t="n"/>
      <c r="G2673" s="11" t="n"/>
      <c r="H2673" s="11" t="n"/>
      <c r="I2673" s="16">
        <f>IF(D2673="","",IF(G2673&lt;&gt;"",G2673,IFERROR(INDEX('Sản phẩm'!$E$5:$E$304,MATCH(D2673,'Sản phẩm'!$A$5:$A$304,0)),"")))</f>
        <v/>
      </c>
      <c r="J2673" s="16">
        <f>IF(OR(D2673="",F2673=""),"",F2673*I2673-N(H2673))</f>
        <v/>
      </c>
      <c r="K2673" s="16">
        <f>IF(OR(D2673="",F2673=""),"",F2673*IFERROR(INDEX('Sản phẩm'!$D$5:$D$304,MATCH(D2673,'Sản phẩm'!$A$5:$A$304,0)),""))</f>
        <v/>
      </c>
      <c r="L2673" s="16">
        <f>IF(J2673="","",J2673-K2673)</f>
        <v/>
      </c>
      <c r="M2673" s="14">
        <f>IF(A2673="","",MONTH(A2673))</f>
        <v/>
      </c>
      <c r="N2673" s="14">
        <f>IF(A2673="","",YEAR(A2673))</f>
        <v/>
      </c>
    </row>
    <row r="2674">
      <c r="A2674" s="15" t="n"/>
      <c r="B2674" s="10" t="n"/>
      <c r="C2674" s="10" t="n"/>
      <c r="D2674" s="10" t="n"/>
      <c r="E2674" s="14">
        <f>IF(D2674="","",IFERROR(INDEX('Sản phẩm'!$B$5:$B$304,MATCH(D2674,'Sản phẩm'!$A$5:$A$304,0)),""))</f>
        <v/>
      </c>
      <c r="F2674" s="12" t="n"/>
      <c r="G2674" s="11" t="n"/>
      <c r="H2674" s="11" t="n"/>
      <c r="I2674" s="16">
        <f>IF(D2674="","",IF(G2674&lt;&gt;"",G2674,IFERROR(INDEX('Sản phẩm'!$E$5:$E$304,MATCH(D2674,'Sản phẩm'!$A$5:$A$304,0)),"")))</f>
        <v/>
      </c>
      <c r="J2674" s="16">
        <f>IF(OR(D2674="",F2674=""),"",F2674*I2674-N(H2674))</f>
        <v/>
      </c>
      <c r="K2674" s="16">
        <f>IF(OR(D2674="",F2674=""),"",F2674*IFERROR(INDEX('Sản phẩm'!$D$5:$D$304,MATCH(D2674,'Sản phẩm'!$A$5:$A$304,0)),""))</f>
        <v/>
      </c>
      <c r="L2674" s="16">
        <f>IF(J2674="","",J2674-K2674)</f>
        <v/>
      </c>
      <c r="M2674" s="14">
        <f>IF(A2674="","",MONTH(A2674))</f>
        <v/>
      </c>
      <c r="N2674" s="14">
        <f>IF(A2674="","",YEAR(A2674))</f>
        <v/>
      </c>
    </row>
    <row r="2675">
      <c r="A2675" s="15" t="n"/>
      <c r="B2675" s="10" t="n"/>
      <c r="C2675" s="10" t="n"/>
      <c r="D2675" s="10" t="n"/>
      <c r="E2675" s="14">
        <f>IF(D2675="","",IFERROR(INDEX('Sản phẩm'!$B$5:$B$304,MATCH(D2675,'Sản phẩm'!$A$5:$A$304,0)),""))</f>
        <v/>
      </c>
      <c r="F2675" s="12" t="n"/>
      <c r="G2675" s="11" t="n"/>
      <c r="H2675" s="11" t="n"/>
      <c r="I2675" s="16">
        <f>IF(D2675="","",IF(G2675&lt;&gt;"",G2675,IFERROR(INDEX('Sản phẩm'!$E$5:$E$304,MATCH(D2675,'Sản phẩm'!$A$5:$A$304,0)),"")))</f>
        <v/>
      </c>
      <c r="J2675" s="16">
        <f>IF(OR(D2675="",F2675=""),"",F2675*I2675-N(H2675))</f>
        <v/>
      </c>
      <c r="K2675" s="16">
        <f>IF(OR(D2675="",F2675=""),"",F2675*IFERROR(INDEX('Sản phẩm'!$D$5:$D$304,MATCH(D2675,'Sản phẩm'!$A$5:$A$304,0)),""))</f>
        <v/>
      </c>
      <c r="L2675" s="16">
        <f>IF(J2675="","",J2675-K2675)</f>
        <v/>
      </c>
      <c r="M2675" s="14">
        <f>IF(A2675="","",MONTH(A2675))</f>
        <v/>
      </c>
      <c r="N2675" s="14">
        <f>IF(A2675="","",YEAR(A2675))</f>
        <v/>
      </c>
    </row>
    <row r="2676">
      <c r="A2676" s="15" t="n"/>
      <c r="B2676" s="10" t="n"/>
      <c r="C2676" s="10" t="n"/>
      <c r="D2676" s="10" t="n"/>
      <c r="E2676" s="14">
        <f>IF(D2676="","",IFERROR(INDEX('Sản phẩm'!$B$5:$B$304,MATCH(D2676,'Sản phẩm'!$A$5:$A$304,0)),""))</f>
        <v/>
      </c>
      <c r="F2676" s="12" t="n"/>
      <c r="G2676" s="11" t="n"/>
      <c r="H2676" s="11" t="n"/>
      <c r="I2676" s="16">
        <f>IF(D2676="","",IF(G2676&lt;&gt;"",G2676,IFERROR(INDEX('Sản phẩm'!$E$5:$E$304,MATCH(D2676,'Sản phẩm'!$A$5:$A$304,0)),"")))</f>
        <v/>
      </c>
      <c r="J2676" s="16">
        <f>IF(OR(D2676="",F2676=""),"",F2676*I2676-N(H2676))</f>
        <v/>
      </c>
      <c r="K2676" s="16">
        <f>IF(OR(D2676="",F2676=""),"",F2676*IFERROR(INDEX('Sản phẩm'!$D$5:$D$304,MATCH(D2676,'Sản phẩm'!$A$5:$A$304,0)),""))</f>
        <v/>
      </c>
      <c r="L2676" s="16">
        <f>IF(J2676="","",J2676-K2676)</f>
        <v/>
      </c>
      <c r="M2676" s="14">
        <f>IF(A2676="","",MONTH(A2676))</f>
        <v/>
      </c>
      <c r="N2676" s="14">
        <f>IF(A2676="","",YEAR(A2676))</f>
        <v/>
      </c>
    </row>
    <row r="2677">
      <c r="A2677" s="15" t="n"/>
      <c r="B2677" s="10" t="n"/>
      <c r="C2677" s="10" t="n"/>
      <c r="D2677" s="10" t="n"/>
      <c r="E2677" s="14">
        <f>IF(D2677="","",IFERROR(INDEX('Sản phẩm'!$B$5:$B$304,MATCH(D2677,'Sản phẩm'!$A$5:$A$304,0)),""))</f>
        <v/>
      </c>
      <c r="F2677" s="12" t="n"/>
      <c r="G2677" s="11" t="n"/>
      <c r="H2677" s="11" t="n"/>
      <c r="I2677" s="16">
        <f>IF(D2677="","",IF(G2677&lt;&gt;"",G2677,IFERROR(INDEX('Sản phẩm'!$E$5:$E$304,MATCH(D2677,'Sản phẩm'!$A$5:$A$304,0)),"")))</f>
        <v/>
      </c>
      <c r="J2677" s="16">
        <f>IF(OR(D2677="",F2677=""),"",F2677*I2677-N(H2677))</f>
        <v/>
      </c>
      <c r="K2677" s="16">
        <f>IF(OR(D2677="",F2677=""),"",F2677*IFERROR(INDEX('Sản phẩm'!$D$5:$D$304,MATCH(D2677,'Sản phẩm'!$A$5:$A$304,0)),""))</f>
        <v/>
      </c>
      <c r="L2677" s="16">
        <f>IF(J2677="","",J2677-K2677)</f>
        <v/>
      </c>
      <c r="M2677" s="14">
        <f>IF(A2677="","",MONTH(A2677))</f>
        <v/>
      </c>
      <c r="N2677" s="14">
        <f>IF(A2677="","",YEAR(A2677))</f>
        <v/>
      </c>
    </row>
    <row r="2678">
      <c r="A2678" s="15" t="n"/>
      <c r="B2678" s="10" t="n"/>
      <c r="C2678" s="10" t="n"/>
      <c r="D2678" s="10" t="n"/>
      <c r="E2678" s="14">
        <f>IF(D2678="","",IFERROR(INDEX('Sản phẩm'!$B$5:$B$304,MATCH(D2678,'Sản phẩm'!$A$5:$A$304,0)),""))</f>
        <v/>
      </c>
      <c r="F2678" s="12" t="n"/>
      <c r="G2678" s="11" t="n"/>
      <c r="H2678" s="11" t="n"/>
      <c r="I2678" s="16">
        <f>IF(D2678="","",IF(G2678&lt;&gt;"",G2678,IFERROR(INDEX('Sản phẩm'!$E$5:$E$304,MATCH(D2678,'Sản phẩm'!$A$5:$A$304,0)),"")))</f>
        <v/>
      </c>
      <c r="J2678" s="16">
        <f>IF(OR(D2678="",F2678=""),"",F2678*I2678-N(H2678))</f>
        <v/>
      </c>
      <c r="K2678" s="16">
        <f>IF(OR(D2678="",F2678=""),"",F2678*IFERROR(INDEX('Sản phẩm'!$D$5:$D$304,MATCH(D2678,'Sản phẩm'!$A$5:$A$304,0)),""))</f>
        <v/>
      </c>
      <c r="L2678" s="16">
        <f>IF(J2678="","",J2678-K2678)</f>
        <v/>
      </c>
      <c r="M2678" s="14">
        <f>IF(A2678="","",MONTH(A2678))</f>
        <v/>
      </c>
      <c r="N2678" s="14">
        <f>IF(A2678="","",YEAR(A2678))</f>
        <v/>
      </c>
    </row>
    <row r="2679">
      <c r="A2679" s="15" t="n"/>
      <c r="B2679" s="10" t="n"/>
      <c r="C2679" s="10" t="n"/>
      <c r="D2679" s="10" t="n"/>
      <c r="E2679" s="14">
        <f>IF(D2679="","",IFERROR(INDEX('Sản phẩm'!$B$5:$B$304,MATCH(D2679,'Sản phẩm'!$A$5:$A$304,0)),""))</f>
        <v/>
      </c>
      <c r="F2679" s="12" t="n"/>
      <c r="G2679" s="11" t="n"/>
      <c r="H2679" s="11" t="n"/>
      <c r="I2679" s="16">
        <f>IF(D2679="","",IF(G2679&lt;&gt;"",G2679,IFERROR(INDEX('Sản phẩm'!$E$5:$E$304,MATCH(D2679,'Sản phẩm'!$A$5:$A$304,0)),"")))</f>
        <v/>
      </c>
      <c r="J2679" s="16">
        <f>IF(OR(D2679="",F2679=""),"",F2679*I2679-N(H2679))</f>
        <v/>
      </c>
      <c r="K2679" s="16">
        <f>IF(OR(D2679="",F2679=""),"",F2679*IFERROR(INDEX('Sản phẩm'!$D$5:$D$304,MATCH(D2679,'Sản phẩm'!$A$5:$A$304,0)),""))</f>
        <v/>
      </c>
      <c r="L2679" s="16">
        <f>IF(J2679="","",J2679-K2679)</f>
        <v/>
      </c>
      <c r="M2679" s="14">
        <f>IF(A2679="","",MONTH(A2679))</f>
        <v/>
      </c>
      <c r="N2679" s="14">
        <f>IF(A2679="","",YEAR(A2679))</f>
        <v/>
      </c>
    </row>
    <row r="2680">
      <c r="A2680" s="15" t="n"/>
      <c r="B2680" s="10" t="n"/>
      <c r="C2680" s="10" t="n"/>
      <c r="D2680" s="10" t="n"/>
      <c r="E2680" s="14">
        <f>IF(D2680="","",IFERROR(INDEX('Sản phẩm'!$B$5:$B$304,MATCH(D2680,'Sản phẩm'!$A$5:$A$304,0)),""))</f>
        <v/>
      </c>
      <c r="F2680" s="12" t="n"/>
      <c r="G2680" s="11" t="n"/>
      <c r="H2680" s="11" t="n"/>
      <c r="I2680" s="16">
        <f>IF(D2680="","",IF(G2680&lt;&gt;"",G2680,IFERROR(INDEX('Sản phẩm'!$E$5:$E$304,MATCH(D2680,'Sản phẩm'!$A$5:$A$304,0)),"")))</f>
        <v/>
      </c>
      <c r="J2680" s="16">
        <f>IF(OR(D2680="",F2680=""),"",F2680*I2680-N(H2680))</f>
        <v/>
      </c>
      <c r="K2680" s="16">
        <f>IF(OR(D2680="",F2680=""),"",F2680*IFERROR(INDEX('Sản phẩm'!$D$5:$D$304,MATCH(D2680,'Sản phẩm'!$A$5:$A$304,0)),""))</f>
        <v/>
      </c>
      <c r="L2680" s="16">
        <f>IF(J2680="","",J2680-K2680)</f>
        <v/>
      </c>
      <c r="M2680" s="14">
        <f>IF(A2680="","",MONTH(A2680))</f>
        <v/>
      </c>
      <c r="N2680" s="14">
        <f>IF(A2680="","",YEAR(A2680))</f>
        <v/>
      </c>
    </row>
    <row r="2681">
      <c r="A2681" s="15" t="n"/>
      <c r="B2681" s="10" t="n"/>
      <c r="C2681" s="10" t="n"/>
      <c r="D2681" s="10" t="n"/>
      <c r="E2681" s="14">
        <f>IF(D2681="","",IFERROR(INDEX('Sản phẩm'!$B$5:$B$304,MATCH(D2681,'Sản phẩm'!$A$5:$A$304,0)),""))</f>
        <v/>
      </c>
      <c r="F2681" s="12" t="n"/>
      <c r="G2681" s="11" t="n"/>
      <c r="H2681" s="11" t="n"/>
      <c r="I2681" s="16">
        <f>IF(D2681="","",IF(G2681&lt;&gt;"",G2681,IFERROR(INDEX('Sản phẩm'!$E$5:$E$304,MATCH(D2681,'Sản phẩm'!$A$5:$A$304,0)),"")))</f>
        <v/>
      </c>
      <c r="J2681" s="16">
        <f>IF(OR(D2681="",F2681=""),"",F2681*I2681-N(H2681))</f>
        <v/>
      </c>
      <c r="K2681" s="16">
        <f>IF(OR(D2681="",F2681=""),"",F2681*IFERROR(INDEX('Sản phẩm'!$D$5:$D$304,MATCH(D2681,'Sản phẩm'!$A$5:$A$304,0)),""))</f>
        <v/>
      </c>
      <c r="L2681" s="16">
        <f>IF(J2681="","",J2681-K2681)</f>
        <v/>
      </c>
      <c r="M2681" s="14">
        <f>IF(A2681="","",MONTH(A2681))</f>
        <v/>
      </c>
      <c r="N2681" s="14">
        <f>IF(A2681="","",YEAR(A2681))</f>
        <v/>
      </c>
    </row>
    <row r="2682">
      <c r="A2682" s="15" t="n"/>
      <c r="B2682" s="10" t="n"/>
      <c r="C2682" s="10" t="n"/>
      <c r="D2682" s="10" t="n"/>
      <c r="E2682" s="14">
        <f>IF(D2682="","",IFERROR(INDEX('Sản phẩm'!$B$5:$B$304,MATCH(D2682,'Sản phẩm'!$A$5:$A$304,0)),""))</f>
        <v/>
      </c>
      <c r="F2682" s="12" t="n"/>
      <c r="G2682" s="11" t="n"/>
      <c r="H2682" s="11" t="n"/>
      <c r="I2682" s="16">
        <f>IF(D2682="","",IF(G2682&lt;&gt;"",G2682,IFERROR(INDEX('Sản phẩm'!$E$5:$E$304,MATCH(D2682,'Sản phẩm'!$A$5:$A$304,0)),"")))</f>
        <v/>
      </c>
      <c r="J2682" s="16">
        <f>IF(OR(D2682="",F2682=""),"",F2682*I2682-N(H2682))</f>
        <v/>
      </c>
      <c r="K2682" s="16">
        <f>IF(OR(D2682="",F2682=""),"",F2682*IFERROR(INDEX('Sản phẩm'!$D$5:$D$304,MATCH(D2682,'Sản phẩm'!$A$5:$A$304,0)),""))</f>
        <v/>
      </c>
      <c r="L2682" s="16">
        <f>IF(J2682="","",J2682-K2682)</f>
        <v/>
      </c>
      <c r="M2682" s="14">
        <f>IF(A2682="","",MONTH(A2682))</f>
        <v/>
      </c>
      <c r="N2682" s="14">
        <f>IF(A2682="","",YEAR(A2682))</f>
        <v/>
      </c>
    </row>
    <row r="2683">
      <c r="A2683" s="15" t="n"/>
      <c r="B2683" s="10" t="n"/>
      <c r="C2683" s="10" t="n"/>
      <c r="D2683" s="10" t="n"/>
      <c r="E2683" s="14">
        <f>IF(D2683="","",IFERROR(INDEX('Sản phẩm'!$B$5:$B$304,MATCH(D2683,'Sản phẩm'!$A$5:$A$304,0)),""))</f>
        <v/>
      </c>
      <c r="F2683" s="12" t="n"/>
      <c r="G2683" s="11" t="n"/>
      <c r="H2683" s="11" t="n"/>
      <c r="I2683" s="16">
        <f>IF(D2683="","",IF(G2683&lt;&gt;"",G2683,IFERROR(INDEX('Sản phẩm'!$E$5:$E$304,MATCH(D2683,'Sản phẩm'!$A$5:$A$304,0)),"")))</f>
        <v/>
      </c>
      <c r="J2683" s="16">
        <f>IF(OR(D2683="",F2683=""),"",F2683*I2683-N(H2683))</f>
        <v/>
      </c>
      <c r="K2683" s="16">
        <f>IF(OR(D2683="",F2683=""),"",F2683*IFERROR(INDEX('Sản phẩm'!$D$5:$D$304,MATCH(D2683,'Sản phẩm'!$A$5:$A$304,0)),""))</f>
        <v/>
      </c>
      <c r="L2683" s="16">
        <f>IF(J2683="","",J2683-K2683)</f>
        <v/>
      </c>
      <c r="M2683" s="14">
        <f>IF(A2683="","",MONTH(A2683))</f>
        <v/>
      </c>
      <c r="N2683" s="14">
        <f>IF(A2683="","",YEAR(A2683))</f>
        <v/>
      </c>
    </row>
    <row r="2684">
      <c r="A2684" s="15" t="n"/>
      <c r="B2684" s="10" t="n"/>
      <c r="C2684" s="10" t="n"/>
      <c r="D2684" s="10" t="n"/>
      <c r="E2684" s="14">
        <f>IF(D2684="","",IFERROR(INDEX('Sản phẩm'!$B$5:$B$304,MATCH(D2684,'Sản phẩm'!$A$5:$A$304,0)),""))</f>
        <v/>
      </c>
      <c r="F2684" s="12" t="n"/>
      <c r="G2684" s="11" t="n"/>
      <c r="H2684" s="11" t="n"/>
      <c r="I2684" s="16">
        <f>IF(D2684="","",IF(G2684&lt;&gt;"",G2684,IFERROR(INDEX('Sản phẩm'!$E$5:$E$304,MATCH(D2684,'Sản phẩm'!$A$5:$A$304,0)),"")))</f>
        <v/>
      </c>
      <c r="J2684" s="16">
        <f>IF(OR(D2684="",F2684=""),"",F2684*I2684-N(H2684))</f>
        <v/>
      </c>
      <c r="K2684" s="16">
        <f>IF(OR(D2684="",F2684=""),"",F2684*IFERROR(INDEX('Sản phẩm'!$D$5:$D$304,MATCH(D2684,'Sản phẩm'!$A$5:$A$304,0)),""))</f>
        <v/>
      </c>
      <c r="L2684" s="16">
        <f>IF(J2684="","",J2684-K2684)</f>
        <v/>
      </c>
      <c r="M2684" s="14">
        <f>IF(A2684="","",MONTH(A2684))</f>
        <v/>
      </c>
      <c r="N2684" s="14">
        <f>IF(A2684="","",YEAR(A2684))</f>
        <v/>
      </c>
    </row>
    <row r="2685">
      <c r="A2685" s="15" t="n"/>
      <c r="B2685" s="10" t="n"/>
      <c r="C2685" s="10" t="n"/>
      <c r="D2685" s="10" t="n"/>
      <c r="E2685" s="14">
        <f>IF(D2685="","",IFERROR(INDEX('Sản phẩm'!$B$5:$B$304,MATCH(D2685,'Sản phẩm'!$A$5:$A$304,0)),""))</f>
        <v/>
      </c>
      <c r="F2685" s="12" t="n"/>
      <c r="G2685" s="11" t="n"/>
      <c r="H2685" s="11" t="n"/>
      <c r="I2685" s="16">
        <f>IF(D2685="","",IF(G2685&lt;&gt;"",G2685,IFERROR(INDEX('Sản phẩm'!$E$5:$E$304,MATCH(D2685,'Sản phẩm'!$A$5:$A$304,0)),"")))</f>
        <v/>
      </c>
      <c r="J2685" s="16">
        <f>IF(OR(D2685="",F2685=""),"",F2685*I2685-N(H2685))</f>
        <v/>
      </c>
      <c r="K2685" s="16">
        <f>IF(OR(D2685="",F2685=""),"",F2685*IFERROR(INDEX('Sản phẩm'!$D$5:$D$304,MATCH(D2685,'Sản phẩm'!$A$5:$A$304,0)),""))</f>
        <v/>
      </c>
      <c r="L2685" s="16">
        <f>IF(J2685="","",J2685-K2685)</f>
        <v/>
      </c>
      <c r="M2685" s="14">
        <f>IF(A2685="","",MONTH(A2685))</f>
        <v/>
      </c>
      <c r="N2685" s="14">
        <f>IF(A2685="","",YEAR(A2685))</f>
        <v/>
      </c>
    </row>
    <row r="2686">
      <c r="A2686" s="15" t="n"/>
      <c r="B2686" s="10" t="n"/>
      <c r="C2686" s="10" t="n"/>
      <c r="D2686" s="10" t="n"/>
      <c r="E2686" s="14">
        <f>IF(D2686="","",IFERROR(INDEX('Sản phẩm'!$B$5:$B$304,MATCH(D2686,'Sản phẩm'!$A$5:$A$304,0)),""))</f>
        <v/>
      </c>
      <c r="F2686" s="12" t="n"/>
      <c r="G2686" s="11" t="n"/>
      <c r="H2686" s="11" t="n"/>
      <c r="I2686" s="16">
        <f>IF(D2686="","",IF(G2686&lt;&gt;"",G2686,IFERROR(INDEX('Sản phẩm'!$E$5:$E$304,MATCH(D2686,'Sản phẩm'!$A$5:$A$304,0)),"")))</f>
        <v/>
      </c>
      <c r="J2686" s="16">
        <f>IF(OR(D2686="",F2686=""),"",F2686*I2686-N(H2686))</f>
        <v/>
      </c>
      <c r="K2686" s="16">
        <f>IF(OR(D2686="",F2686=""),"",F2686*IFERROR(INDEX('Sản phẩm'!$D$5:$D$304,MATCH(D2686,'Sản phẩm'!$A$5:$A$304,0)),""))</f>
        <v/>
      </c>
      <c r="L2686" s="16">
        <f>IF(J2686="","",J2686-K2686)</f>
        <v/>
      </c>
      <c r="M2686" s="14">
        <f>IF(A2686="","",MONTH(A2686))</f>
        <v/>
      </c>
      <c r="N2686" s="14">
        <f>IF(A2686="","",YEAR(A2686))</f>
        <v/>
      </c>
    </row>
    <row r="2687">
      <c r="A2687" s="15" t="n"/>
      <c r="B2687" s="10" t="n"/>
      <c r="C2687" s="10" t="n"/>
      <c r="D2687" s="10" t="n"/>
      <c r="E2687" s="14">
        <f>IF(D2687="","",IFERROR(INDEX('Sản phẩm'!$B$5:$B$304,MATCH(D2687,'Sản phẩm'!$A$5:$A$304,0)),""))</f>
        <v/>
      </c>
      <c r="F2687" s="12" t="n"/>
      <c r="G2687" s="11" t="n"/>
      <c r="H2687" s="11" t="n"/>
      <c r="I2687" s="16">
        <f>IF(D2687="","",IF(G2687&lt;&gt;"",G2687,IFERROR(INDEX('Sản phẩm'!$E$5:$E$304,MATCH(D2687,'Sản phẩm'!$A$5:$A$304,0)),"")))</f>
        <v/>
      </c>
      <c r="J2687" s="16">
        <f>IF(OR(D2687="",F2687=""),"",F2687*I2687-N(H2687))</f>
        <v/>
      </c>
      <c r="K2687" s="16">
        <f>IF(OR(D2687="",F2687=""),"",F2687*IFERROR(INDEX('Sản phẩm'!$D$5:$D$304,MATCH(D2687,'Sản phẩm'!$A$5:$A$304,0)),""))</f>
        <v/>
      </c>
      <c r="L2687" s="16">
        <f>IF(J2687="","",J2687-K2687)</f>
        <v/>
      </c>
      <c r="M2687" s="14">
        <f>IF(A2687="","",MONTH(A2687))</f>
        <v/>
      </c>
      <c r="N2687" s="14">
        <f>IF(A2687="","",YEAR(A2687))</f>
        <v/>
      </c>
    </row>
    <row r="2688">
      <c r="A2688" s="15" t="n"/>
      <c r="B2688" s="10" t="n"/>
      <c r="C2688" s="10" t="n"/>
      <c r="D2688" s="10" t="n"/>
      <c r="E2688" s="14">
        <f>IF(D2688="","",IFERROR(INDEX('Sản phẩm'!$B$5:$B$304,MATCH(D2688,'Sản phẩm'!$A$5:$A$304,0)),""))</f>
        <v/>
      </c>
      <c r="F2688" s="12" t="n"/>
      <c r="G2688" s="11" t="n"/>
      <c r="H2688" s="11" t="n"/>
      <c r="I2688" s="16">
        <f>IF(D2688="","",IF(G2688&lt;&gt;"",G2688,IFERROR(INDEX('Sản phẩm'!$E$5:$E$304,MATCH(D2688,'Sản phẩm'!$A$5:$A$304,0)),"")))</f>
        <v/>
      </c>
      <c r="J2688" s="16">
        <f>IF(OR(D2688="",F2688=""),"",F2688*I2688-N(H2688))</f>
        <v/>
      </c>
      <c r="K2688" s="16">
        <f>IF(OR(D2688="",F2688=""),"",F2688*IFERROR(INDEX('Sản phẩm'!$D$5:$D$304,MATCH(D2688,'Sản phẩm'!$A$5:$A$304,0)),""))</f>
        <v/>
      </c>
      <c r="L2688" s="16">
        <f>IF(J2688="","",J2688-K2688)</f>
        <v/>
      </c>
      <c r="M2688" s="14">
        <f>IF(A2688="","",MONTH(A2688))</f>
        <v/>
      </c>
      <c r="N2688" s="14">
        <f>IF(A2688="","",YEAR(A2688))</f>
        <v/>
      </c>
    </row>
    <row r="2689">
      <c r="A2689" s="15" t="n"/>
      <c r="B2689" s="10" t="n"/>
      <c r="C2689" s="10" t="n"/>
      <c r="D2689" s="10" t="n"/>
      <c r="E2689" s="14">
        <f>IF(D2689="","",IFERROR(INDEX('Sản phẩm'!$B$5:$B$304,MATCH(D2689,'Sản phẩm'!$A$5:$A$304,0)),""))</f>
        <v/>
      </c>
      <c r="F2689" s="12" t="n"/>
      <c r="G2689" s="11" t="n"/>
      <c r="H2689" s="11" t="n"/>
      <c r="I2689" s="16">
        <f>IF(D2689="","",IF(G2689&lt;&gt;"",G2689,IFERROR(INDEX('Sản phẩm'!$E$5:$E$304,MATCH(D2689,'Sản phẩm'!$A$5:$A$304,0)),"")))</f>
        <v/>
      </c>
      <c r="J2689" s="16">
        <f>IF(OR(D2689="",F2689=""),"",F2689*I2689-N(H2689))</f>
        <v/>
      </c>
      <c r="K2689" s="16">
        <f>IF(OR(D2689="",F2689=""),"",F2689*IFERROR(INDEX('Sản phẩm'!$D$5:$D$304,MATCH(D2689,'Sản phẩm'!$A$5:$A$304,0)),""))</f>
        <v/>
      </c>
      <c r="L2689" s="16">
        <f>IF(J2689="","",J2689-K2689)</f>
        <v/>
      </c>
      <c r="M2689" s="14">
        <f>IF(A2689="","",MONTH(A2689))</f>
        <v/>
      </c>
      <c r="N2689" s="14">
        <f>IF(A2689="","",YEAR(A2689))</f>
        <v/>
      </c>
    </row>
    <row r="2690">
      <c r="A2690" s="15" t="n"/>
      <c r="B2690" s="10" t="n"/>
      <c r="C2690" s="10" t="n"/>
      <c r="D2690" s="10" t="n"/>
      <c r="E2690" s="14">
        <f>IF(D2690="","",IFERROR(INDEX('Sản phẩm'!$B$5:$B$304,MATCH(D2690,'Sản phẩm'!$A$5:$A$304,0)),""))</f>
        <v/>
      </c>
      <c r="F2690" s="12" t="n"/>
      <c r="G2690" s="11" t="n"/>
      <c r="H2690" s="11" t="n"/>
      <c r="I2690" s="16">
        <f>IF(D2690="","",IF(G2690&lt;&gt;"",G2690,IFERROR(INDEX('Sản phẩm'!$E$5:$E$304,MATCH(D2690,'Sản phẩm'!$A$5:$A$304,0)),"")))</f>
        <v/>
      </c>
      <c r="J2690" s="16">
        <f>IF(OR(D2690="",F2690=""),"",F2690*I2690-N(H2690))</f>
        <v/>
      </c>
      <c r="K2690" s="16">
        <f>IF(OR(D2690="",F2690=""),"",F2690*IFERROR(INDEX('Sản phẩm'!$D$5:$D$304,MATCH(D2690,'Sản phẩm'!$A$5:$A$304,0)),""))</f>
        <v/>
      </c>
      <c r="L2690" s="16">
        <f>IF(J2690="","",J2690-K2690)</f>
        <v/>
      </c>
      <c r="M2690" s="14">
        <f>IF(A2690="","",MONTH(A2690))</f>
        <v/>
      </c>
      <c r="N2690" s="14">
        <f>IF(A2690="","",YEAR(A2690))</f>
        <v/>
      </c>
    </row>
    <row r="2691">
      <c r="A2691" s="15" t="n"/>
      <c r="B2691" s="10" t="n"/>
      <c r="C2691" s="10" t="n"/>
      <c r="D2691" s="10" t="n"/>
      <c r="E2691" s="14">
        <f>IF(D2691="","",IFERROR(INDEX('Sản phẩm'!$B$5:$B$304,MATCH(D2691,'Sản phẩm'!$A$5:$A$304,0)),""))</f>
        <v/>
      </c>
      <c r="F2691" s="12" t="n"/>
      <c r="G2691" s="11" t="n"/>
      <c r="H2691" s="11" t="n"/>
      <c r="I2691" s="16">
        <f>IF(D2691="","",IF(G2691&lt;&gt;"",G2691,IFERROR(INDEX('Sản phẩm'!$E$5:$E$304,MATCH(D2691,'Sản phẩm'!$A$5:$A$304,0)),"")))</f>
        <v/>
      </c>
      <c r="J2691" s="16">
        <f>IF(OR(D2691="",F2691=""),"",F2691*I2691-N(H2691))</f>
        <v/>
      </c>
      <c r="K2691" s="16">
        <f>IF(OR(D2691="",F2691=""),"",F2691*IFERROR(INDEX('Sản phẩm'!$D$5:$D$304,MATCH(D2691,'Sản phẩm'!$A$5:$A$304,0)),""))</f>
        <v/>
      </c>
      <c r="L2691" s="16">
        <f>IF(J2691="","",J2691-K2691)</f>
        <v/>
      </c>
      <c r="M2691" s="14">
        <f>IF(A2691="","",MONTH(A2691))</f>
        <v/>
      </c>
      <c r="N2691" s="14">
        <f>IF(A2691="","",YEAR(A2691))</f>
        <v/>
      </c>
    </row>
    <row r="2692">
      <c r="A2692" s="15" t="n"/>
      <c r="B2692" s="10" t="n"/>
      <c r="C2692" s="10" t="n"/>
      <c r="D2692" s="10" t="n"/>
      <c r="E2692" s="14">
        <f>IF(D2692="","",IFERROR(INDEX('Sản phẩm'!$B$5:$B$304,MATCH(D2692,'Sản phẩm'!$A$5:$A$304,0)),""))</f>
        <v/>
      </c>
      <c r="F2692" s="12" t="n"/>
      <c r="G2692" s="11" t="n"/>
      <c r="H2692" s="11" t="n"/>
      <c r="I2692" s="16">
        <f>IF(D2692="","",IF(G2692&lt;&gt;"",G2692,IFERROR(INDEX('Sản phẩm'!$E$5:$E$304,MATCH(D2692,'Sản phẩm'!$A$5:$A$304,0)),"")))</f>
        <v/>
      </c>
      <c r="J2692" s="16">
        <f>IF(OR(D2692="",F2692=""),"",F2692*I2692-N(H2692))</f>
        <v/>
      </c>
      <c r="K2692" s="16">
        <f>IF(OR(D2692="",F2692=""),"",F2692*IFERROR(INDEX('Sản phẩm'!$D$5:$D$304,MATCH(D2692,'Sản phẩm'!$A$5:$A$304,0)),""))</f>
        <v/>
      </c>
      <c r="L2692" s="16">
        <f>IF(J2692="","",J2692-K2692)</f>
        <v/>
      </c>
      <c r="M2692" s="14">
        <f>IF(A2692="","",MONTH(A2692))</f>
        <v/>
      </c>
      <c r="N2692" s="14">
        <f>IF(A2692="","",YEAR(A2692))</f>
        <v/>
      </c>
    </row>
    <row r="2693">
      <c r="A2693" s="15" t="n"/>
      <c r="B2693" s="10" t="n"/>
      <c r="C2693" s="10" t="n"/>
      <c r="D2693" s="10" t="n"/>
      <c r="E2693" s="14">
        <f>IF(D2693="","",IFERROR(INDEX('Sản phẩm'!$B$5:$B$304,MATCH(D2693,'Sản phẩm'!$A$5:$A$304,0)),""))</f>
        <v/>
      </c>
      <c r="F2693" s="12" t="n"/>
      <c r="G2693" s="11" t="n"/>
      <c r="H2693" s="11" t="n"/>
      <c r="I2693" s="16">
        <f>IF(D2693="","",IF(G2693&lt;&gt;"",G2693,IFERROR(INDEX('Sản phẩm'!$E$5:$E$304,MATCH(D2693,'Sản phẩm'!$A$5:$A$304,0)),"")))</f>
        <v/>
      </c>
      <c r="J2693" s="16">
        <f>IF(OR(D2693="",F2693=""),"",F2693*I2693-N(H2693))</f>
        <v/>
      </c>
      <c r="K2693" s="16">
        <f>IF(OR(D2693="",F2693=""),"",F2693*IFERROR(INDEX('Sản phẩm'!$D$5:$D$304,MATCH(D2693,'Sản phẩm'!$A$5:$A$304,0)),""))</f>
        <v/>
      </c>
      <c r="L2693" s="16">
        <f>IF(J2693="","",J2693-K2693)</f>
        <v/>
      </c>
      <c r="M2693" s="14">
        <f>IF(A2693="","",MONTH(A2693))</f>
        <v/>
      </c>
      <c r="N2693" s="14">
        <f>IF(A2693="","",YEAR(A2693))</f>
        <v/>
      </c>
    </row>
    <row r="2694">
      <c r="A2694" s="15" t="n"/>
      <c r="B2694" s="10" t="n"/>
      <c r="C2694" s="10" t="n"/>
      <c r="D2694" s="10" t="n"/>
      <c r="E2694" s="14">
        <f>IF(D2694="","",IFERROR(INDEX('Sản phẩm'!$B$5:$B$304,MATCH(D2694,'Sản phẩm'!$A$5:$A$304,0)),""))</f>
        <v/>
      </c>
      <c r="F2694" s="12" t="n"/>
      <c r="G2694" s="11" t="n"/>
      <c r="H2694" s="11" t="n"/>
      <c r="I2694" s="16">
        <f>IF(D2694="","",IF(G2694&lt;&gt;"",G2694,IFERROR(INDEX('Sản phẩm'!$E$5:$E$304,MATCH(D2694,'Sản phẩm'!$A$5:$A$304,0)),"")))</f>
        <v/>
      </c>
      <c r="J2694" s="16">
        <f>IF(OR(D2694="",F2694=""),"",F2694*I2694-N(H2694))</f>
        <v/>
      </c>
      <c r="K2694" s="16">
        <f>IF(OR(D2694="",F2694=""),"",F2694*IFERROR(INDEX('Sản phẩm'!$D$5:$D$304,MATCH(D2694,'Sản phẩm'!$A$5:$A$304,0)),""))</f>
        <v/>
      </c>
      <c r="L2694" s="16">
        <f>IF(J2694="","",J2694-K2694)</f>
        <v/>
      </c>
      <c r="M2694" s="14">
        <f>IF(A2694="","",MONTH(A2694))</f>
        <v/>
      </c>
      <c r="N2694" s="14">
        <f>IF(A2694="","",YEAR(A2694))</f>
        <v/>
      </c>
    </row>
    <row r="2695">
      <c r="A2695" s="15" t="n"/>
      <c r="B2695" s="10" t="n"/>
      <c r="C2695" s="10" t="n"/>
      <c r="D2695" s="10" t="n"/>
      <c r="E2695" s="14">
        <f>IF(D2695="","",IFERROR(INDEX('Sản phẩm'!$B$5:$B$304,MATCH(D2695,'Sản phẩm'!$A$5:$A$304,0)),""))</f>
        <v/>
      </c>
      <c r="F2695" s="12" t="n"/>
      <c r="G2695" s="11" t="n"/>
      <c r="H2695" s="11" t="n"/>
      <c r="I2695" s="16">
        <f>IF(D2695="","",IF(G2695&lt;&gt;"",G2695,IFERROR(INDEX('Sản phẩm'!$E$5:$E$304,MATCH(D2695,'Sản phẩm'!$A$5:$A$304,0)),"")))</f>
        <v/>
      </c>
      <c r="J2695" s="16">
        <f>IF(OR(D2695="",F2695=""),"",F2695*I2695-N(H2695))</f>
        <v/>
      </c>
      <c r="K2695" s="16">
        <f>IF(OR(D2695="",F2695=""),"",F2695*IFERROR(INDEX('Sản phẩm'!$D$5:$D$304,MATCH(D2695,'Sản phẩm'!$A$5:$A$304,0)),""))</f>
        <v/>
      </c>
      <c r="L2695" s="16">
        <f>IF(J2695="","",J2695-K2695)</f>
        <v/>
      </c>
      <c r="M2695" s="14">
        <f>IF(A2695="","",MONTH(A2695))</f>
        <v/>
      </c>
      <c r="N2695" s="14">
        <f>IF(A2695="","",YEAR(A2695))</f>
        <v/>
      </c>
    </row>
    <row r="2696">
      <c r="A2696" s="15" t="n"/>
      <c r="B2696" s="10" t="n"/>
      <c r="C2696" s="10" t="n"/>
      <c r="D2696" s="10" t="n"/>
      <c r="E2696" s="14">
        <f>IF(D2696="","",IFERROR(INDEX('Sản phẩm'!$B$5:$B$304,MATCH(D2696,'Sản phẩm'!$A$5:$A$304,0)),""))</f>
        <v/>
      </c>
      <c r="F2696" s="12" t="n"/>
      <c r="G2696" s="11" t="n"/>
      <c r="H2696" s="11" t="n"/>
      <c r="I2696" s="16">
        <f>IF(D2696="","",IF(G2696&lt;&gt;"",G2696,IFERROR(INDEX('Sản phẩm'!$E$5:$E$304,MATCH(D2696,'Sản phẩm'!$A$5:$A$304,0)),"")))</f>
        <v/>
      </c>
      <c r="J2696" s="16">
        <f>IF(OR(D2696="",F2696=""),"",F2696*I2696-N(H2696))</f>
        <v/>
      </c>
      <c r="K2696" s="16">
        <f>IF(OR(D2696="",F2696=""),"",F2696*IFERROR(INDEX('Sản phẩm'!$D$5:$D$304,MATCH(D2696,'Sản phẩm'!$A$5:$A$304,0)),""))</f>
        <v/>
      </c>
      <c r="L2696" s="16">
        <f>IF(J2696="","",J2696-K2696)</f>
        <v/>
      </c>
      <c r="M2696" s="14">
        <f>IF(A2696="","",MONTH(A2696))</f>
        <v/>
      </c>
      <c r="N2696" s="14">
        <f>IF(A2696="","",YEAR(A2696))</f>
        <v/>
      </c>
    </row>
    <row r="2697">
      <c r="A2697" s="15" t="n"/>
      <c r="B2697" s="10" t="n"/>
      <c r="C2697" s="10" t="n"/>
      <c r="D2697" s="10" t="n"/>
      <c r="E2697" s="14">
        <f>IF(D2697="","",IFERROR(INDEX('Sản phẩm'!$B$5:$B$304,MATCH(D2697,'Sản phẩm'!$A$5:$A$304,0)),""))</f>
        <v/>
      </c>
      <c r="F2697" s="12" t="n"/>
      <c r="G2697" s="11" t="n"/>
      <c r="H2697" s="11" t="n"/>
      <c r="I2697" s="16">
        <f>IF(D2697="","",IF(G2697&lt;&gt;"",G2697,IFERROR(INDEX('Sản phẩm'!$E$5:$E$304,MATCH(D2697,'Sản phẩm'!$A$5:$A$304,0)),"")))</f>
        <v/>
      </c>
      <c r="J2697" s="16">
        <f>IF(OR(D2697="",F2697=""),"",F2697*I2697-N(H2697))</f>
        <v/>
      </c>
      <c r="K2697" s="16">
        <f>IF(OR(D2697="",F2697=""),"",F2697*IFERROR(INDEX('Sản phẩm'!$D$5:$D$304,MATCH(D2697,'Sản phẩm'!$A$5:$A$304,0)),""))</f>
        <v/>
      </c>
      <c r="L2697" s="16">
        <f>IF(J2697="","",J2697-K2697)</f>
        <v/>
      </c>
      <c r="M2697" s="14">
        <f>IF(A2697="","",MONTH(A2697))</f>
        <v/>
      </c>
      <c r="N2697" s="14">
        <f>IF(A2697="","",YEAR(A2697))</f>
        <v/>
      </c>
    </row>
    <row r="2698">
      <c r="A2698" s="15" t="n"/>
      <c r="B2698" s="10" t="n"/>
      <c r="C2698" s="10" t="n"/>
      <c r="D2698" s="10" t="n"/>
      <c r="E2698" s="14">
        <f>IF(D2698="","",IFERROR(INDEX('Sản phẩm'!$B$5:$B$304,MATCH(D2698,'Sản phẩm'!$A$5:$A$304,0)),""))</f>
        <v/>
      </c>
      <c r="F2698" s="12" t="n"/>
      <c r="G2698" s="11" t="n"/>
      <c r="H2698" s="11" t="n"/>
      <c r="I2698" s="16">
        <f>IF(D2698="","",IF(G2698&lt;&gt;"",G2698,IFERROR(INDEX('Sản phẩm'!$E$5:$E$304,MATCH(D2698,'Sản phẩm'!$A$5:$A$304,0)),"")))</f>
        <v/>
      </c>
      <c r="J2698" s="16">
        <f>IF(OR(D2698="",F2698=""),"",F2698*I2698-N(H2698))</f>
        <v/>
      </c>
      <c r="K2698" s="16">
        <f>IF(OR(D2698="",F2698=""),"",F2698*IFERROR(INDEX('Sản phẩm'!$D$5:$D$304,MATCH(D2698,'Sản phẩm'!$A$5:$A$304,0)),""))</f>
        <v/>
      </c>
      <c r="L2698" s="16">
        <f>IF(J2698="","",J2698-K2698)</f>
        <v/>
      </c>
      <c r="M2698" s="14">
        <f>IF(A2698="","",MONTH(A2698))</f>
        <v/>
      </c>
      <c r="N2698" s="14">
        <f>IF(A2698="","",YEAR(A2698))</f>
        <v/>
      </c>
    </row>
    <row r="2699">
      <c r="A2699" s="15" t="n"/>
      <c r="B2699" s="10" t="n"/>
      <c r="C2699" s="10" t="n"/>
      <c r="D2699" s="10" t="n"/>
      <c r="E2699" s="14">
        <f>IF(D2699="","",IFERROR(INDEX('Sản phẩm'!$B$5:$B$304,MATCH(D2699,'Sản phẩm'!$A$5:$A$304,0)),""))</f>
        <v/>
      </c>
      <c r="F2699" s="12" t="n"/>
      <c r="G2699" s="11" t="n"/>
      <c r="H2699" s="11" t="n"/>
      <c r="I2699" s="16">
        <f>IF(D2699="","",IF(G2699&lt;&gt;"",G2699,IFERROR(INDEX('Sản phẩm'!$E$5:$E$304,MATCH(D2699,'Sản phẩm'!$A$5:$A$304,0)),"")))</f>
        <v/>
      </c>
      <c r="J2699" s="16">
        <f>IF(OR(D2699="",F2699=""),"",F2699*I2699-N(H2699))</f>
        <v/>
      </c>
      <c r="K2699" s="16">
        <f>IF(OR(D2699="",F2699=""),"",F2699*IFERROR(INDEX('Sản phẩm'!$D$5:$D$304,MATCH(D2699,'Sản phẩm'!$A$5:$A$304,0)),""))</f>
        <v/>
      </c>
      <c r="L2699" s="16">
        <f>IF(J2699="","",J2699-K2699)</f>
        <v/>
      </c>
      <c r="M2699" s="14">
        <f>IF(A2699="","",MONTH(A2699))</f>
        <v/>
      </c>
      <c r="N2699" s="14">
        <f>IF(A2699="","",YEAR(A2699))</f>
        <v/>
      </c>
    </row>
    <row r="2700">
      <c r="A2700" s="15" t="n"/>
      <c r="B2700" s="10" t="n"/>
      <c r="C2700" s="10" t="n"/>
      <c r="D2700" s="10" t="n"/>
      <c r="E2700" s="14">
        <f>IF(D2700="","",IFERROR(INDEX('Sản phẩm'!$B$5:$B$304,MATCH(D2700,'Sản phẩm'!$A$5:$A$304,0)),""))</f>
        <v/>
      </c>
      <c r="F2700" s="12" t="n"/>
      <c r="G2700" s="11" t="n"/>
      <c r="H2700" s="11" t="n"/>
      <c r="I2700" s="16">
        <f>IF(D2700="","",IF(G2700&lt;&gt;"",G2700,IFERROR(INDEX('Sản phẩm'!$E$5:$E$304,MATCH(D2700,'Sản phẩm'!$A$5:$A$304,0)),"")))</f>
        <v/>
      </c>
      <c r="J2700" s="16">
        <f>IF(OR(D2700="",F2700=""),"",F2700*I2700-N(H2700))</f>
        <v/>
      </c>
      <c r="K2700" s="16">
        <f>IF(OR(D2700="",F2700=""),"",F2700*IFERROR(INDEX('Sản phẩm'!$D$5:$D$304,MATCH(D2700,'Sản phẩm'!$A$5:$A$304,0)),""))</f>
        <v/>
      </c>
      <c r="L2700" s="16">
        <f>IF(J2700="","",J2700-K2700)</f>
        <v/>
      </c>
      <c r="M2700" s="14">
        <f>IF(A2700="","",MONTH(A2700))</f>
        <v/>
      </c>
      <c r="N2700" s="14">
        <f>IF(A2700="","",YEAR(A2700))</f>
        <v/>
      </c>
    </row>
    <row r="2701">
      <c r="A2701" s="15" t="n"/>
      <c r="B2701" s="10" t="n"/>
      <c r="C2701" s="10" t="n"/>
      <c r="D2701" s="10" t="n"/>
      <c r="E2701" s="14">
        <f>IF(D2701="","",IFERROR(INDEX('Sản phẩm'!$B$5:$B$304,MATCH(D2701,'Sản phẩm'!$A$5:$A$304,0)),""))</f>
        <v/>
      </c>
      <c r="F2701" s="12" t="n"/>
      <c r="G2701" s="11" t="n"/>
      <c r="H2701" s="11" t="n"/>
      <c r="I2701" s="16">
        <f>IF(D2701="","",IF(G2701&lt;&gt;"",G2701,IFERROR(INDEX('Sản phẩm'!$E$5:$E$304,MATCH(D2701,'Sản phẩm'!$A$5:$A$304,0)),"")))</f>
        <v/>
      </c>
      <c r="J2701" s="16">
        <f>IF(OR(D2701="",F2701=""),"",F2701*I2701-N(H2701))</f>
        <v/>
      </c>
      <c r="K2701" s="16">
        <f>IF(OR(D2701="",F2701=""),"",F2701*IFERROR(INDEX('Sản phẩm'!$D$5:$D$304,MATCH(D2701,'Sản phẩm'!$A$5:$A$304,0)),""))</f>
        <v/>
      </c>
      <c r="L2701" s="16">
        <f>IF(J2701="","",J2701-K2701)</f>
        <v/>
      </c>
      <c r="M2701" s="14">
        <f>IF(A2701="","",MONTH(A2701))</f>
        <v/>
      </c>
      <c r="N2701" s="14">
        <f>IF(A2701="","",YEAR(A2701))</f>
        <v/>
      </c>
    </row>
    <row r="2702">
      <c r="A2702" s="15" t="n"/>
      <c r="B2702" s="10" t="n"/>
      <c r="C2702" s="10" t="n"/>
      <c r="D2702" s="10" t="n"/>
      <c r="E2702" s="14">
        <f>IF(D2702="","",IFERROR(INDEX('Sản phẩm'!$B$5:$B$304,MATCH(D2702,'Sản phẩm'!$A$5:$A$304,0)),""))</f>
        <v/>
      </c>
      <c r="F2702" s="12" t="n"/>
      <c r="G2702" s="11" t="n"/>
      <c r="H2702" s="11" t="n"/>
      <c r="I2702" s="16">
        <f>IF(D2702="","",IF(G2702&lt;&gt;"",G2702,IFERROR(INDEX('Sản phẩm'!$E$5:$E$304,MATCH(D2702,'Sản phẩm'!$A$5:$A$304,0)),"")))</f>
        <v/>
      </c>
      <c r="J2702" s="16">
        <f>IF(OR(D2702="",F2702=""),"",F2702*I2702-N(H2702))</f>
        <v/>
      </c>
      <c r="K2702" s="16">
        <f>IF(OR(D2702="",F2702=""),"",F2702*IFERROR(INDEX('Sản phẩm'!$D$5:$D$304,MATCH(D2702,'Sản phẩm'!$A$5:$A$304,0)),""))</f>
        <v/>
      </c>
      <c r="L2702" s="16">
        <f>IF(J2702="","",J2702-K2702)</f>
        <v/>
      </c>
      <c r="M2702" s="14">
        <f>IF(A2702="","",MONTH(A2702))</f>
        <v/>
      </c>
      <c r="N2702" s="14">
        <f>IF(A2702="","",YEAR(A2702))</f>
        <v/>
      </c>
    </row>
    <row r="2703">
      <c r="A2703" s="15" t="n"/>
      <c r="B2703" s="10" t="n"/>
      <c r="C2703" s="10" t="n"/>
      <c r="D2703" s="10" t="n"/>
      <c r="E2703" s="14">
        <f>IF(D2703="","",IFERROR(INDEX('Sản phẩm'!$B$5:$B$304,MATCH(D2703,'Sản phẩm'!$A$5:$A$304,0)),""))</f>
        <v/>
      </c>
      <c r="F2703" s="12" t="n"/>
      <c r="G2703" s="11" t="n"/>
      <c r="H2703" s="11" t="n"/>
      <c r="I2703" s="16">
        <f>IF(D2703="","",IF(G2703&lt;&gt;"",G2703,IFERROR(INDEX('Sản phẩm'!$E$5:$E$304,MATCH(D2703,'Sản phẩm'!$A$5:$A$304,0)),"")))</f>
        <v/>
      </c>
      <c r="J2703" s="16">
        <f>IF(OR(D2703="",F2703=""),"",F2703*I2703-N(H2703))</f>
        <v/>
      </c>
      <c r="K2703" s="16">
        <f>IF(OR(D2703="",F2703=""),"",F2703*IFERROR(INDEX('Sản phẩm'!$D$5:$D$304,MATCH(D2703,'Sản phẩm'!$A$5:$A$304,0)),""))</f>
        <v/>
      </c>
      <c r="L2703" s="16">
        <f>IF(J2703="","",J2703-K2703)</f>
        <v/>
      </c>
      <c r="M2703" s="14">
        <f>IF(A2703="","",MONTH(A2703))</f>
        <v/>
      </c>
      <c r="N2703" s="14">
        <f>IF(A2703="","",YEAR(A2703))</f>
        <v/>
      </c>
    </row>
    <row r="2704">
      <c r="A2704" s="15" t="n"/>
      <c r="B2704" s="10" t="n"/>
      <c r="C2704" s="10" t="n"/>
      <c r="D2704" s="10" t="n"/>
      <c r="E2704" s="14">
        <f>IF(D2704="","",IFERROR(INDEX('Sản phẩm'!$B$5:$B$304,MATCH(D2704,'Sản phẩm'!$A$5:$A$304,0)),""))</f>
        <v/>
      </c>
      <c r="F2704" s="12" t="n"/>
      <c r="G2704" s="11" t="n"/>
      <c r="H2704" s="11" t="n"/>
      <c r="I2704" s="16">
        <f>IF(D2704="","",IF(G2704&lt;&gt;"",G2704,IFERROR(INDEX('Sản phẩm'!$E$5:$E$304,MATCH(D2704,'Sản phẩm'!$A$5:$A$304,0)),"")))</f>
        <v/>
      </c>
      <c r="J2704" s="16">
        <f>IF(OR(D2704="",F2704=""),"",F2704*I2704-N(H2704))</f>
        <v/>
      </c>
      <c r="K2704" s="16">
        <f>IF(OR(D2704="",F2704=""),"",F2704*IFERROR(INDEX('Sản phẩm'!$D$5:$D$304,MATCH(D2704,'Sản phẩm'!$A$5:$A$304,0)),""))</f>
        <v/>
      </c>
      <c r="L2704" s="16">
        <f>IF(J2704="","",J2704-K2704)</f>
        <v/>
      </c>
      <c r="M2704" s="14">
        <f>IF(A2704="","",MONTH(A2704))</f>
        <v/>
      </c>
      <c r="N2704" s="14">
        <f>IF(A2704="","",YEAR(A2704))</f>
        <v/>
      </c>
    </row>
    <row r="2705">
      <c r="A2705" s="15" t="n"/>
      <c r="B2705" s="10" t="n"/>
      <c r="C2705" s="10" t="n"/>
      <c r="D2705" s="10" t="n"/>
      <c r="E2705" s="14">
        <f>IF(D2705="","",IFERROR(INDEX('Sản phẩm'!$B$5:$B$304,MATCH(D2705,'Sản phẩm'!$A$5:$A$304,0)),""))</f>
        <v/>
      </c>
      <c r="F2705" s="12" t="n"/>
      <c r="G2705" s="11" t="n"/>
      <c r="H2705" s="11" t="n"/>
      <c r="I2705" s="16">
        <f>IF(D2705="","",IF(G2705&lt;&gt;"",G2705,IFERROR(INDEX('Sản phẩm'!$E$5:$E$304,MATCH(D2705,'Sản phẩm'!$A$5:$A$304,0)),"")))</f>
        <v/>
      </c>
      <c r="J2705" s="16">
        <f>IF(OR(D2705="",F2705=""),"",F2705*I2705-N(H2705))</f>
        <v/>
      </c>
      <c r="K2705" s="16">
        <f>IF(OR(D2705="",F2705=""),"",F2705*IFERROR(INDEX('Sản phẩm'!$D$5:$D$304,MATCH(D2705,'Sản phẩm'!$A$5:$A$304,0)),""))</f>
        <v/>
      </c>
      <c r="L2705" s="16">
        <f>IF(J2705="","",J2705-K2705)</f>
        <v/>
      </c>
      <c r="M2705" s="14">
        <f>IF(A2705="","",MONTH(A2705))</f>
        <v/>
      </c>
      <c r="N2705" s="14">
        <f>IF(A2705="","",YEAR(A2705))</f>
        <v/>
      </c>
    </row>
    <row r="2706">
      <c r="A2706" s="15" t="n"/>
      <c r="B2706" s="10" t="n"/>
      <c r="C2706" s="10" t="n"/>
      <c r="D2706" s="10" t="n"/>
      <c r="E2706" s="14">
        <f>IF(D2706="","",IFERROR(INDEX('Sản phẩm'!$B$5:$B$304,MATCH(D2706,'Sản phẩm'!$A$5:$A$304,0)),""))</f>
        <v/>
      </c>
      <c r="F2706" s="12" t="n"/>
      <c r="G2706" s="11" t="n"/>
      <c r="H2706" s="11" t="n"/>
      <c r="I2706" s="16">
        <f>IF(D2706="","",IF(G2706&lt;&gt;"",G2706,IFERROR(INDEX('Sản phẩm'!$E$5:$E$304,MATCH(D2706,'Sản phẩm'!$A$5:$A$304,0)),"")))</f>
        <v/>
      </c>
      <c r="J2706" s="16">
        <f>IF(OR(D2706="",F2706=""),"",F2706*I2706-N(H2706))</f>
        <v/>
      </c>
      <c r="K2706" s="16">
        <f>IF(OR(D2706="",F2706=""),"",F2706*IFERROR(INDEX('Sản phẩm'!$D$5:$D$304,MATCH(D2706,'Sản phẩm'!$A$5:$A$304,0)),""))</f>
        <v/>
      </c>
      <c r="L2706" s="16">
        <f>IF(J2706="","",J2706-K2706)</f>
        <v/>
      </c>
      <c r="M2706" s="14">
        <f>IF(A2706="","",MONTH(A2706))</f>
        <v/>
      </c>
      <c r="N2706" s="14">
        <f>IF(A2706="","",YEAR(A2706))</f>
        <v/>
      </c>
    </row>
    <row r="2707">
      <c r="A2707" s="15" t="n"/>
      <c r="B2707" s="10" t="n"/>
      <c r="C2707" s="10" t="n"/>
      <c r="D2707" s="10" t="n"/>
      <c r="E2707" s="14">
        <f>IF(D2707="","",IFERROR(INDEX('Sản phẩm'!$B$5:$B$304,MATCH(D2707,'Sản phẩm'!$A$5:$A$304,0)),""))</f>
        <v/>
      </c>
      <c r="F2707" s="12" t="n"/>
      <c r="G2707" s="11" t="n"/>
      <c r="H2707" s="11" t="n"/>
      <c r="I2707" s="16">
        <f>IF(D2707="","",IF(G2707&lt;&gt;"",G2707,IFERROR(INDEX('Sản phẩm'!$E$5:$E$304,MATCH(D2707,'Sản phẩm'!$A$5:$A$304,0)),"")))</f>
        <v/>
      </c>
      <c r="J2707" s="16">
        <f>IF(OR(D2707="",F2707=""),"",F2707*I2707-N(H2707))</f>
        <v/>
      </c>
      <c r="K2707" s="16">
        <f>IF(OR(D2707="",F2707=""),"",F2707*IFERROR(INDEX('Sản phẩm'!$D$5:$D$304,MATCH(D2707,'Sản phẩm'!$A$5:$A$304,0)),""))</f>
        <v/>
      </c>
      <c r="L2707" s="16">
        <f>IF(J2707="","",J2707-K2707)</f>
        <v/>
      </c>
      <c r="M2707" s="14">
        <f>IF(A2707="","",MONTH(A2707))</f>
        <v/>
      </c>
      <c r="N2707" s="14">
        <f>IF(A2707="","",YEAR(A2707))</f>
        <v/>
      </c>
    </row>
    <row r="2708">
      <c r="A2708" s="15" t="n"/>
      <c r="B2708" s="10" t="n"/>
      <c r="C2708" s="10" t="n"/>
      <c r="D2708" s="10" t="n"/>
      <c r="E2708" s="14">
        <f>IF(D2708="","",IFERROR(INDEX('Sản phẩm'!$B$5:$B$304,MATCH(D2708,'Sản phẩm'!$A$5:$A$304,0)),""))</f>
        <v/>
      </c>
      <c r="F2708" s="12" t="n"/>
      <c r="G2708" s="11" t="n"/>
      <c r="H2708" s="11" t="n"/>
      <c r="I2708" s="16">
        <f>IF(D2708="","",IF(G2708&lt;&gt;"",G2708,IFERROR(INDEX('Sản phẩm'!$E$5:$E$304,MATCH(D2708,'Sản phẩm'!$A$5:$A$304,0)),"")))</f>
        <v/>
      </c>
      <c r="J2708" s="16">
        <f>IF(OR(D2708="",F2708=""),"",F2708*I2708-N(H2708))</f>
        <v/>
      </c>
      <c r="K2708" s="16">
        <f>IF(OR(D2708="",F2708=""),"",F2708*IFERROR(INDEX('Sản phẩm'!$D$5:$D$304,MATCH(D2708,'Sản phẩm'!$A$5:$A$304,0)),""))</f>
        <v/>
      </c>
      <c r="L2708" s="16">
        <f>IF(J2708="","",J2708-K2708)</f>
        <v/>
      </c>
      <c r="M2708" s="14">
        <f>IF(A2708="","",MONTH(A2708))</f>
        <v/>
      </c>
      <c r="N2708" s="14">
        <f>IF(A2708="","",YEAR(A2708))</f>
        <v/>
      </c>
    </row>
    <row r="2709">
      <c r="A2709" s="15" t="n"/>
      <c r="B2709" s="10" t="n"/>
      <c r="C2709" s="10" t="n"/>
      <c r="D2709" s="10" t="n"/>
      <c r="E2709" s="14">
        <f>IF(D2709="","",IFERROR(INDEX('Sản phẩm'!$B$5:$B$304,MATCH(D2709,'Sản phẩm'!$A$5:$A$304,0)),""))</f>
        <v/>
      </c>
      <c r="F2709" s="12" t="n"/>
      <c r="G2709" s="11" t="n"/>
      <c r="H2709" s="11" t="n"/>
      <c r="I2709" s="16">
        <f>IF(D2709="","",IF(G2709&lt;&gt;"",G2709,IFERROR(INDEX('Sản phẩm'!$E$5:$E$304,MATCH(D2709,'Sản phẩm'!$A$5:$A$304,0)),"")))</f>
        <v/>
      </c>
      <c r="J2709" s="16">
        <f>IF(OR(D2709="",F2709=""),"",F2709*I2709-N(H2709))</f>
        <v/>
      </c>
      <c r="K2709" s="16">
        <f>IF(OR(D2709="",F2709=""),"",F2709*IFERROR(INDEX('Sản phẩm'!$D$5:$D$304,MATCH(D2709,'Sản phẩm'!$A$5:$A$304,0)),""))</f>
        <v/>
      </c>
      <c r="L2709" s="16">
        <f>IF(J2709="","",J2709-K2709)</f>
        <v/>
      </c>
      <c r="M2709" s="14">
        <f>IF(A2709="","",MONTH(A2709))</f>
        <v/>
      </c>
      <c r="N2709" s="14">
        <f>IF(A2709="","",YEAR(A2709))</f>
        <v/>
      </c>
    </row>
    <row r="2710">
      <c r="A2710" s="15" t="n"/>
      <c r="B2710" s="10" t="n"/>
      <c r="C2710" s="10" t="n"/>
      <c r="D2710" s="10" t="n"/>
      <c r="E2710" s="14">
        <f>IF(D2710="","",IFERROR(INDEX('Sản phẩm'!$B$5:$B$304,MATCH(D2710,'Sản phẩm'!$A$5:$A$304,0)),""))</f>
        <v/>
      </c>
      <c r="F2710" s="12" t="n"/>
      <c r="G2710" s="11" t="n"/>
      <c r="H2710" s="11" t="n"/>
      <c r="I2710" s="16">
        <f>IF(D2710="","",IF(G2710&lt;&gt;"",G2710,IFERROR(INDEX('Sản phẩm'!$E$5:$E$304,MATCH(D2710,'Sản phẩm'!$A$5:$A$304,0)),"")))</f>
        <v/>
      </c>
      <c r="J2710" s="16">
        <f>IF(OR(D2710="",F2710=""),"",F2710*I2710-N(H2710))</f>
        <v/>
      </c>
      <c r="K2710" s="16">
        <f>IF(OR(D2710="",F2710=""),"",F2710*IFERROR(INDEX('Sản phẩm'!$D$5:$D$304,MATCH(D2710,'Sản phẩm'!$A$5:$A$304,0)),""))</f>
        <v/>
      </c>
      <c r="L2710" s="16">
        <f>IF(J2710="","",J2710-K2710)</f>
        <v/>
      </c>
      <c r="M2710" s="14">
        <f>IF(A2710="","",MONTH(A2710))</f>
        <v/>
      </c>
      <c r="N2710" s="14">
        <f>IF(A2710="","",YEAR(A2710))</f>
        <v/>
      </c>
    </row>
    <row r="2711">
      <c r="A2711" s="15" t="n"/>
      <c r="B2711" s="10" t="n"/>
      <c r="C2711" s="10" t="n"/>
      <c r="D2711" s="10" t="n"/>
      <c r="E2711" s="14">
        <f>IF(D2711="","",IFERROR(INDEX('Sản phẩm'!$B$5:$B$304,MATCH(D2711,'Sản phẩm'!$A$5:$A$304,0)),""))</f>
        <v/>
      </c>
      <c r="F2711" s="12" t="n"/>
      <c r="G2711" s="11" t="n"/>
      <c r="H2711" s="11" t="n"/>
      <c r="I2711" s="16">
        <f>IF(D2711="","",IF(G2711&lt;&gt;"",G2711,IFERROR(INDEX('Sản phẩm'!$E$5:$E$304,MATCH(D2711,'Sản phẩm'!$A$5:$A$304,0)),"")))</f>
        <v/>
      </c>
      <c r="J2711" s="16">
        <f>IF(OR(D2711="",F2711=""),"",F2711*I2711-N(H2711))</f>
        <v/>
      </c>
      <c r="K2711" s="16">
        <f>IF(OR(D2711="",F2711=""),"",F2711*IFERROR(INDEX('Sản phẩm'!$D$5:$D$304,MATCH(D2711,'Sản phẩm'!$A$5:$A$304,0)),""))</f>
        <v/>
      </c>
      <c r="L2711" s="16">
        <f>IF(J2711="","",J2711-K2711)</f>
        <v/>
      </c>
      <c r="M2711" s="14">
        <f>IF(A2711="","",MONTH(A2711))</f>
        <v/>
      </c>
      <c r="N2711" s="14">
        <f>IF(A2711="","",YEAR(A2711))</f>
        <v/>
      </c>
    </row>
    <row r="2712">
      <c r="A2712" s="15" t="n"/>
      <c r="B2712" s="10" t="n"/>
      <c r="C2712" s="10" t="n"/>
      <c r="D2712" s="10" t="n"/>
      <c r="E2712" s="14">
        <f>IF(D2712="","",IFERROR(INDEX('Sản phẩm'!$B$5:$B$304,MATCH(D2712,'Sản phẩm'!$A$5:$A$304,0)),""))</f>
        <v/>
      </c>
      <c r="F2712" s="12" t="n"/>
      <c r="G2712" s="11" t="n"/>
      <c r="H2712" s="11" t="n"/>
      <c r="I2712" s="16">
        <f>IF(D2712="","",IF(G2712&lt;&gt;"",G2712,IFERROR(INDEX('Sản phẩm'!$E$5:$E$304,MATCH(D2712,'Sản phẩm'!$A$5:$A$304,0)),"")))</f>
        <v/>
      </c>
      <c r="J2712" s="16">
        <f>IF(OR(D2712="",F2712=""),"",F2712*I2712-N(H2712))</f>
        <v/>
      </c>
      <c r="K2712" s="16">
        <f>IF(OR(D2712="",F2712=""),"",F2712*IFERROR(INDEX('Sản phẩm'!$D$5:$D$304,MATCH(D2712,'Sản phẩm'!$A$5:$A$304,0)),""))</f>
        <v/>
      </c>
      <c r="L2712" s="16">
        <f>IF(J2712="","",J2712-K2712)</f>
        <v/>
      </c>
      <c r="M2712" s="14">
        <f>IF(A2712="","",MONTH(A2712))</f>
        <v/>
      </c>
      <c r="N2712" s="14">
        <f>IF(A2712="","",YEAR(A2712))</f>
        <v/>
      </c>
    </row>
    <row r="2713">
      <c r="A2713" s="15" t="n"/>
      <c r="B2713" s="10" t="n"/>
      <c r="C2713" s="10" t="n"/>
      <c r="D2713" s="10" t="n"/>
      <c r="E2713" s="14">
        <f>IF(D2713="","",IFERROR(INDEX('Sản phẩm'!$B$5:$B$304,MATCH(D2713,'Sản phẩm'!$A$5:$A$304,0)),""))</f>
        <v/>
      </c>
      <c r="F2713" s="12" t="n"/>
      <c r="G2713" s="11" t="n"/>
      <c r="H2713" s="11" t="n"/>
      <c r="I2713" s="16">
        <f>IF(D2713="","",IF(G2713&lt;&gt;"",G2713,IFERROR(INDEX('Sản phẩm'!$E$5:$E$304,MATCH(D2713,'Sản phẩm'!$A$5:$A$304,0)),"")))</f>
        <v/>
      </c>
      <c r="J2713" s="16">
        <f>IF(OR(D2713="",F2713=""),"",F2713*I2713-N(H2713))</f>
        <v/>
      </c>
      <c r="K2713" s="16">
        <f>IF(OR(D2713="",F2713=""),"",F2713*IFERROR(INDEX('Sản phẩm'!$D$5:$D$304,MATCH(D2713,'Sản phẩm'!$A$5:$A$304,0)),""))</f>
        <v/>
      </c>
      <c r="L2713" s="16">
        <f>IF(J2713="","",J2713-K2713)</f>
        <v/>
      </c>
      <c r="M2713" s="14">
        <f>IF(A2713="","",MONTH(A2713))</f>
        <v/>
      </c>
      <c r="N2713" s="14">
        <f>IF(A2713="","",YEAR(A2713))</f>
        <v/>
      </c>
    </row>
    <row r="2714">
      <c r="A2714" s="15" t="n"/>
      <c r="B2714" s="10" t="n"/>
      <c r="C2714" s="10" t="n"/>
      <c r="D2714" s="10" t="n"/>
      <c r="E2714" s="14">
        <f>IF(D2714="","",IFERROR(INDEX('Sản phẩm'!$B$5:$B$304,MATCH(D2714,'Sản phẩm'!$A$5:$A$304,0)),""))</f>
        <v/>
      </c>
      <c r="F2714" s="12" t="n"/>
      <c r="G2714" s="11" t="n"/>
      <c r="H2714" s="11" t="n"/>
      <c r="I2714" s="16">
        <f>IF(D2714="","",IF(G2714&lt;&gt;"",G2714,IFERROR(INDEX('Sản phẩm'!$E$5:$E$304,MATCH(D2714,'Sản phẩm'!$A$5:$A$304,0)),"")))</f>
        <v/>
      </c>
      <c r="J2714" s="16">
        <f>IF(OR(D2714="",F2714=""),"",F2714*I2714-N(H2714))</f>
        <v/>
      </c>
      <c r="K2714" s="16">
        <f>IF(OR(D2714="",F2714=""),"",F2714*IFERROR(INDEX('Sản phẩm'!$D$5:$D$304,MATCH(D2714,'Sản phẩm'!$A$5:$A$304,0)),""))</f>
        <v/>
      </c>
      <c r="L2714" s="16">
        <f>IF(J2714="","",J2714-K2714)</f>
        <v/>
      </c>
      <c r="M2714" s="14">
        <f>IF(A2714="","",MONTH(A2714))</f>
        <v/>
      </c>
      <c r="N2714" s="14">
        <f>IF(A2714="","",YEAR(A2714))</f>
        <v/>
      </c>
    </row>
    <row r="2715">
      <c r="A2715" s="15" t="n"/>
      <c r="B2715" s="10" t="n"/>
      <c r="C2715" s="10" t="n"/>
      <c r="D2715" s="10" t="n"/>
      <c r="E2715" s="14">
        <f>IF(D2715="","",IFERROR(INDEX('Sản phẩm'!$B$5:$B$304,MATCH(D2715,'Sản phẩm'!$A$5:$A$304,0)),""))</f>
        <v/>
      </c>
      <c r="F2715" s="12" t="n"/>
      <c r="G2715" s="11" t="n"/>
      <c r="H2715" s="11" t="n"/>
      <c r="I2715" s="16">
        <f>IF(D2715="","",IF(G2715&lt;&gt;"",G2715,IFERROR(INDEX('Sản phẩm'!$E$5:$E$304,MATCH(D2715,'Sản phẩm'!$A$5:$A$304,0)),"")))</f>
        <v/>
      </c>
      <c r="J2715" s="16">
        <f>IF(OR(D2715="",F2715=""),"",F2715*I2715-N(H2715))</f>
        <v/>
      </c>
      <c r="K2715" s="16">
        <f>IF(OR(D2715="",F2715=""),"",F2715*IFERROR(INDEX('Sản phẩm'!$D$5:$D$304,MATCH(D2715,'Sản phẩm'!$A$5:$A$304,0)),""))</f>
        <v/>
      </c>
      <c r="L2715" s="16">
        <f>IF(J2715="","",J2715-K2715)</f>
        <v/>
      </c>
      <c r="M2715" s="14">
        <f>IF(A2715="","",MONTH(A2715))</f>
        <v/>
      </c>
      <c r="N2715" s="14">
        <f>IF(A2715="","",YEAR(A2715))</f>
        <v/>
      </c>
    </row>
    <row r="2716">
      <c r="A2716" s="15" t="n"/>
      <c r="B2716" s="10" t="n"/>
      <c r="C2716" s="10" t="n"/>
      <c r="D2716" s="10" t="n"/>
      <c r="E2716" s="14">
        <f>IF(D2716="","",IFERROR(INDEX('Sản phẩm'!$B$5:$B$304,MATCH(D2716,'Sản phẩm'!$A$5:$A$304,0)),""))</f>
        <v/>
      </c>
      <c r="F2716" s="12" t="n"/>
      <c r="G2716" s="11" t="n"/>
      <c r="H2716" s="11" t="n"/>
      <c r="I2716" s="16">
        <f>IF(D2716="","",IF(G2716&lt;&gt;"",G2716,IFERROR(INDEX('Sản phẩm'!$E$5:$E$304,MATCH(D2716,'Sản phẩm'!$A$5:$A$304,0)),"")))</f>
        <v/>
      </c>
      <c r="J2716" s="16">
        <f>IF(OR(D2716="",F2716=""),"",F2716*I2716-N(H2716))</f>
        <v/>
      </c>
      <c r="K2716" s="16">
        <f>IF(OR(D2716="",F2716=""),"",F2716*IFERROR(INDEX('Sản phẩm'!$D$5:$D$304,MATCH(D2716,'Sản phẩm'!$A$5:$A$304,0)),""))</f>
        <v/>
      </c>
      <c r="L2716" s="16">
        <f>IF(J2716="","",J2716-K2716)</f>
        <v/>
      </c>
      <c r="M2716" s="14">
        <f>IF(A2716="","",MONTH(A2716))</f>
        <v/>
      </c>
      <c r="N2716" s="14">
        <f>IF(A2716="","",YEAR(A2716))</f>
        <v/>
      </c>
    </row>
    <row r="2717">
      <c r="A2717" s="15" t="n"/>
      <c r="B2717" s="10" t="n"/>
      <c r="C2717" s="10" t="n"/>
      <c r="D2717" s="10" t="n"/>
      <c r="E2717" s="14">
        <f>IF(D2717="","",IFERROR(INDEX('Sản phẩm'!$B$5:$B$304,MATCH(D2717,'Sản phẩm'!$A$5:$A$304,0)),""))</f>
        <v/>
      </c>
      <c r="F2717" s="12" t="n"/>
      <c r="G2717" s="11" t="n"/>
      <c r="H2717" s="11" t="n"/>
      <c r="I2717" s="16">
        <f>IF(D2717="","",IF(G2717&lt;&gt;"",G2717,IFERROR(INDEX('Sản phẩm'!$E$5:$E$304,MATCH(D2717,'Sản phẩm'!$A$5:$A$304,0)),"")))</f>
        <v/>
      </c>
      <c r="J2717" s="16">
        <f>IF(OR(D2717="",F2717=""),"",F2717*I2717-N(H2717))</f>
        <v/>
      </c>
      <c r="K2717" s="16">
        <f>IF(OR(D2717="",F2717=""),"",F2717*IFERROR(INDEX('Sản phẩm'!$D$5:$D$304,MATCH(D2717,'Sản phẩm'!$A$5:$A$304,0)),""))</f>
        <v/>
      </c>
      <c r="L2717" s="16">
        <f>IF(J2717="","",J2717-K2717)</f>
        <v/>
      </c>
      <c r="M2717" s="14">
        <f>IF(A2717="","",MONTH(A2717))</f>
        <v/>
      </c>
      <c r="N2717" s="14">
        <f>IF(A2717="","",YEAR(A2717))</f>
        <v/>
      </c>
    </row>
    <row r="2718">
      <c r="A2718" s="15" t="n"/>
      <c r="B2718" s="10" t="n"/>
      <c r="C2718" s="10" t="n"/>
      <c r="D2718" s="10" t="n"/>
      <c r="E2718" s="14">
        <f>IF(D2718="","",IFERROR(INDEX('Sản phẩm'!$B$5:$B$304,MATCH(D2718,'Sản phẩm'!$A$5:$A$304,0)),""))</f>
        <v/>
      </c>
      <c r="F2718" s="12" t="n"/>
      <c r="G2718" s="11" t="n"/>
      <c r="H2718" s="11" t="n"/>
      <c r="I2718" s="16">
        <f>IF(D2718="","",IF(G2718&lt;&gt;"",G2718,IFERROR(INDEX('Sản phẩm'!$E$5:$E$304,MATCH(D2718,'Sản phẩm'!$A$5:$A$304,0)),"")))</f>
        <v/>
      </c>
      <c r="J2718" s="16">
        <f>IF(OR(D2718="",F2718=""),"",F2718*I2718-N(H2718))</f>
        <v/>
      </c>
      <c r="K2718" s="16">
        <f>IF(OR(D2718="",F2718=""),"",F2718*IFERROR(INDEX('Sản phẩm'!$D$5:$D$304,MATCH(D2718,'Sản phẩm'!$A$5:$A$304,0)),""))</f>
        <v/>
      </c>
      <c r="L2718" s="16">
        <f>IF(J2718="","",J2718-K2718)</f>
        <v/>
      </c>
      <c r="M2718" s="14">
        <f>IF(A2718="","",MONTH(A2718))</f>
        <v/>
      </c>
      <c r="N2718" s="14">
        <f>IF(A2718="","",YEAR(A2718))</f>
        <v/>
      </c>
    </row>
    <row r="2719">
      <c r="A2719" s="15" t="n"/>
      <c r="B2719" s="10" t="n"/>
      <c r="C2719" s="10" t="n"/>
      <c r="D2719" s="10" t="n"/>
      <c r="E2719" s="14">
        <f>IF(D2719="","",IFERROR(INDEX('Sản phẩm'!$B$5:$B$304,MATCH(D2719,'Sản phẩm'!$A$5:$A$304,0)),""))</f>
        <v/>
      </c>
      <c r="F2719" s="12" t="n"/>
      <c r="G2719" s="11" t="n"/>
      <c r="H2719" s="11" t="n"/>
      <c r="I2719" s="16">
        <f>IF(D2719="","",IF(G2719&lt;&gt;"",G2719,IFERROR(INDEX('Sản phẩm'!$E$5:$E$304,MATCH(D2719,'Sản phẩm'!$A$5:$A$304,0)),"")))</f>
        <v/>
      </c>
      <c r="J2719" s="16">
        <f>IF(OR(D2719="",F2719=""),"",F2719*I2719-N(H2719))</f>
        <v/>
      </c>
      <c r="K2719" s="16">
        <f>IF(OR(D2719="",F2719=""),"",F2719*IFERROR(INDEX('Sản phẩm'!$D$5:$D$304,MATCH(D2719,'Sản phẩm'!$A$5:$A$304,0)),""))</f>
        <v/>
      </c>
      <c r="L2719" s="16">
        <f>IF(J2719="","",J2719-K2719)</f>
        <v/>
      </c>
      <c r="M2719" s="14">
        <f>IF(A2719="","",MONTH(A2719))</f>
        <v/>
      </c>
      <c r="N2719" s="14">
        <f>IF(A2719="","",YEAR(A2719))</f>
        <v/>
      </c>
    </row>
    <row r="2720">
      <c r="A2720" s="15" t="n"/>
      <c r="B2720" s="10" t="n"/>
      <c r="C2720" s="10" t="n"/>
      <c r="D2720" s="10" t="n"/>
      <c r="E2720" s="14">
        <f>IF(D2720="","",IFERROR(INDEX('Sản phẩm'!$B$5:$B$304,MATCH(D2720,'Sản phẩm'!$A$5:$A$304,0)),""))</f>
        <v/>
      </c>
      <c r="F2720" s="12" t="n"/>
      <c r="G2720" s="11" t="n"/>
      <c r="H2720" s="11" t="n"/>
      <c r="I2720" s="16">
        <f>IF(D2720="","",IF(G2720&lt;&gt;"",G2720,IFERROR(INDEX('Sản phẩm'!$E$5:$E$304,MATCH(D2720,'Sản phẩm'!$A$5:$A$304,0)),"")))</f>
        <v/>
      </c>
      <c r="J2720" s="16">
        <f>IF(OR(D2720="",F2720=""),"",F2720*I2720-N(H2720))</f>
        <v/>
      </c>
      <c r="K2720" s="16">
        <f>IF(OR(D2720="",F2720=""),"",F2720*IFERROR(INDEX('Sản phẩm'!$D$5:$D$304,MATCH(D2720,'Sản phẩm'!$A$5:$A$304,0)),""))</f>
        <v/>
      </c>
      <c r="L2720" s="16">
        <f>IF(J2720="","",J2720-K2720)</f>
        <v/>
      </c>
      <c r="M2720" s="14">
        <f>IF(A2720="","",MONTH(A2720))</f>
        <v/>
      </c>
      <c r="N2720" s="14">
        <f>IF(A2720="","",YEAR(A2720))</f>
        <v/>
      </c>
    </row>
    <row r="2721">
      <c r="A2721" s="15" t="n"/>
      <c r="B2721" s="10" t="n"/>
      <c r="C2721" s="10" t="n"/>
      <c r="D2721" s="10" t="n"/>
      <c r="E2721" s="14">
        <f>IF(D2721="","",IFERROR(INDEX('Sản phẩm'!$B$5:$B$304,MATCH(D2721,'Sản phẩm'!$A$5:$A$304,0)),""))</f>
        <v/>
      </c>
      <c r="F2721" s="12" t="n"/>
      <c r="G2721" s="11" t="n"/>
      <c r="H2721" s="11" t="n"/>
      <c r="I2721" s="16">
        <f>IF(D2721="","",IF(G2721&lt;&gt;"",G2721,IFERROR(INDEX('Sản phẩm'!$E$5:$E$304,MATCH(D2721,'Sản phẩm'!$A$5:$A$304,0)),"")))</f>
        <v/>
      </c>
      <c r="J2721" s="16">
        <f>IF(OR(D2721="",F2721=""),"",F2721*I2721-N(H2721))</f>
        <v/>
      </c>
      <c r="K2721" s="16">
        <f>IF(OR(D2721="",F2721=""),"",F2721*IFERROR(INDEX('Sản phẩm'!$D$5:$D$304,MATCH(D2721,'Sản phẩm'!$A$5:$A$304,0)),""))</f>
        <v/>
      </c>
      <c r="L2721" s="16">
        <f>IF(J2721="","",J2721-K2721)</f>
        <v/>
      </c>
      <c r="M2721" s="14">
        <f>IF(A2721="","",MONTH(A2721))</f>
        <v/>
      </c>
      <c r="N2721" s="14">
        <f>IF(A2721="","",YEAR(A2721))</f>
        <v/>
      </c>
    </row>
    <row r="2722">
      <c r="A2722" s="15" t="n"/>
      <c r="B2722" s="10" t="n"/>
      <c r="C2722" s="10" t="n"/>
      <c r="D2722" s="10" t="n"/>
      <c r="E2722" s="14">
        <f>IF(D2722="","",IFERROR(INDEX('Sản phẩm'!$B$5:$B$304,MATCH(D2722,'Sản phẩm'!$A$5:$A$304,0)),""))</f>
        <v/>
      </c>
      <c r="F2722" s="12" t="n"/>
      <c r="G2722" s="11" t="n"/>
      <c r="H2722" s="11" t="n"/>
      <c r="I2722" s="16">
        <f>IF(D2722="","",IF(G2722&lt;&gt;"",G2722,IFERROR(INDEX('Sản phẩm'!$E$5:$E$304,MATCH(D2722,'Sản phẩm'!$A$5:$A$304,0)),"")))</f>
        <v/>
      </c>
      <c r="J2722" s="16">
        <f>IF(OR(D2722="",F2722=""),"",F2722*I2722-N(H2722))</f>
        <v/>
      </c>
      <c r="K2722" s="16">
        <f>IF(OR(D2722="",F2722=""),"",F2722*IFERROR(INDEX('Sản phẩm'!$D$5:$D$304,MATCH(D2722,'Sản phẩm'!$A$5:$A$304,0)),""))</f>
        <v/>
      </c>
      <c r="L2722" s="16">
        <f>IF(J2722="","",J2722-K2722)</f>
        <v/>
      </c>
      <c r="M2722" s="14">
        <f>IF(A2722="","",MONTH(A2722))</f>
        <v/>
      </c>
      <c r="N2722" s="14">
        <f>IF(A2722="","",YEAR(A2722))</f>
        <v/>
      </c>
    </row>
    <row r="2723">
      <c r="A2723" s="15" t="n"/>
      <c r="B2723" s="10" t="n"/>
      <c r="C2723" s="10" t="n"/>
      <c r="D2723" s="10" t="n"/>
      <c r="E2723" s="14">
        <f>IF(D2723="","",IFERROR(INDEX('Sản phẩm'!$B$5:$B$304,MATCH(D2723,'Sản phẩm'!$A$5:$A$304,0)),""))</f>
        <v/>
      </c>
      <c r="F2723" s="12" t="n"/>
      <c r="G2723" s="11" t="n"/>
      <c r="H2723" s="11" t="n"/>
      <c r="I2723" s="16">
        <f>IF(D2723="","",IF(G2723&lt;&gt;"",G2723,IFERROR(INDEX('Sản phẩm'!$E$5:$E$304,MATCH(D2723,'Sản phẩm'!$A$5:$A$304,0)),"")))</f>
        <v/>
      </c>
      <c r="J2723" s="16">
        <f>IF(OR(D2723="",F2723=""),"",F2723*I2723-N(H2723))</f>
        <v/>
      </c>
      <c r="K2723" s="16">
        <f>IF(OR(D2723="",F2723=""),"",F2723*IFERROR(INDEX('Sản phẩm'!$D$5:$D$304,MATCH(D2723,'Sản phẩm'!$A$5:$A$304,0)),""))</f>
        <v/>
      </c>
      <c r="L2723" s="16">
        <f>IF(J2723="","",J2723-K2723)</f>
        <v/>
      </c>
      <c r="M2723" s="14">
        <f>IF(A2723="","",MONTH(A2723))</f>
        <v/>
      </c>
      <c r="N2723" s="14">
        <f>IF(A2723="","",YEAR(A2723))</f>
        <v/>
      </c>
    </row>
    <row r="2724">
      <c r="A2724" s="15" t="n"/>
      <c r="B2724" s="10" t="n"/>
      <c r="C2724" s="10" t="n"/>
      <c r="D2724" s="10" t="n"/>
      <c r="E2724" s="14">
        <f>IF(D2724="","",IFERROR(INDEX('Sản phẩm'!$B$5:$B$304,MATCH(D2724,'Sản phẩm'!$A$5:$A$304,0)),""))</f>
        <v/>
      </c>
      <c r="F2724" s="12" t="n"/>
      <c r="G2724" s="11" t="n"/>
      <c r="H2724" s="11" t="n"/>
      <c r="I2724" s="16">
        <f>IF(D2724="","",IF(G2724&lt;&gt;"",G2724,IFERROR(INDEX('Sản phẩm'!$E$5:$E$304,MATCH(D2724,'Sản phẩm'!$A$5:$A$304,0)),"")))</f>
        <v/>
      </c>
      <c r="J2724" s="16">
        <f>IF(OR(D2724="",F2724=""),"",F2724*I2724-N(H2724))</f>
        <v/>
      </c>
      <c r="K2724" s="16">
        <f>IF(OR(D2724="",F2724=""),"",F2724*IFERROR(INDEX('Sản phẩm'!$D$5:$D$304,MATCH(D2724,'Sản phẩm'!$A$5:$A$304,0)),""))</f>
        <v/>
      </c>
      <c r="L2724" s="16">
        <f>IF(J2724="","",J2724-K2724)</f>
        <v/>
      </c>
      <c r="M2724" s="14">
        <f>IF(A2724="","",MONTH(A2724))</f>
        <v/>
      </c>
      <c r="N2724" s="14">
        <f>IF(A2724="","",YEAR(A2724))</f>
        <v/>
      </c>
    </row>
    <row r="2725">
      <c r="A2725" s="15" t="n"/>
      <c r="B2725" s="10" t="n"/>
      <c r="C2725" s="10" t="n"/>
      <c r="D2725" s="10" t="n"/>
      <c r="E2725" s="14">
        <f>IF(D2725="","",IFERROR(INDEX('Sản phẩm'!$B$5:$B$304,MATCH(D2725,'Sản phẩm'!$A$5:$A$304,0)),""))</f>
        <v/>
      </c>
      <c r="F2725" s="12" t="n"/>
      <c r="G2725" s="11" t="n"/>
      <c r="H2725" s="11" t="n"/>
      <c r="I2725" s="16">
        <f>IF(D2725="","",IF(G2725&lt;&gt;"",G2725,IFERROR(INDEX('Sản phẩm'!$E$5:$E$304,MATCH(D2725,'Sản phẩm'!$A$5:$A$304,0)),"")))</f>
        <v/>
      </c>
      <c r="J2725" s="16">
        <f>IF(OR(D2725="",F2725=""),"",F2725*I2725-N(H2725))</f>
        <v/>
      </c>
      <c r="K2725" s="16">
        <f>IF(OR(D2725="",F2725=""),"",F2725*IFERROR(INDEX('Sản phẩm'!$D$5:$D$304,MATCH(D2725,'Sản phẩm'!$A$5:$A$304,0)),""))</f>
        <v/>
      </c>
      <c r="L2725" s="16">
        <f>IF(J2725="","",J2725-K2725)</f>
        <v/>
      </c>
      <c r="M2725" s="14">
        <f>IF(A2725="","",MONTH(A2725))</f>
        <v/>
      </c>
      <c r="N2725" s="14">
        <f>IF(A2725="","",YEAR(A2725))</f>
        <v/>
      </c>
    </row>
    <row r="2726">
      <c r="A2726" s="15" t="n"/>
      <c r="B2726" s="10" t="n"/>
      <c r="C2726" s="10" t="n"/>
      <c r="D2726" s="10" t="n"/>
      <c r="E2726" s="14">
        <f>IF(D2726="","",IFERROR(INDEX('Sản phẩm'!$B$5:$B$304,MATCH(D2726,'Sản phẩm'!$A$5:$A$304,0)),""))</f>
        <v/>
      </c>
      <c r="F2726" s="12" t="n"/>
      <c r="G2726" s="11" t="n"/>
      <c r="H2726" s="11" t="n"/>
      <c r="I2726" s="16">
        <f>IF(D2726="","",IF(G2726&lt;&gt;"",G2726,IFERROR(INDEX('Sản phẩm'!$E$5:$E$304,MATCH(D2726,'Sản phẩm'!$A$5:$A$304,0)),"")))</f>
        <v/>
      </c>
      <c r="J2726" s="16">
        <f>IF(OR(D2726="",F2726=""),"",F2726*I2726-N(H2726))</f>
        <v/>
      </c>
      <c r="K2726" s="16">
        <f>IF(OR(D2726="",F2726=""),"",F2726*IFERROR(INDEX('Sản phẩm'!$D$5:$D$304,MATCH(D2726,'Sản phẩm'!$A$5:$A$304,0)),""))</f>
        <v/>
      </c>
      <c r="L2726" s="16">
        <f>IF(J2726="","",J2726-K2726)</f>
        <v/>
      </c>
      <c r="M2726" s="14">
        <f>IF(A2726="","",MONTH(A2726))</f>
        <v/>
      </c>
      <c r="N2726" s="14">
        <f>IF(A2726="","",YEAR(A2726))</f>
        <v/>
      </c>
    </row>
    <row r="2727">
      <c r="A2727" s="15" t="n"/>
      <c r="B2727" s="10" t="n"/>
      <c r="C2727" s="10" t="n"/>
      <c r="D2727" s="10" t="n"/>
      <c r="E2727" s="14">
        <f>IF(D2727="","",IFERROR(INDEX('Sản phẩm'!$B$5:$B$304,MATCH(D2727,'Sản phẩm'!$A$5:$A$304,0)),""))</f>
        <v/>
      </c>
      <c r="F2727" s="12" t="n"/>
      <c r="G2727" s="11" t="n"/>
      <c r="H2727" s="11" t="n"/>
      <c r="I2727" s="16">
        <f>IF(D2727="","",IF(G2727&lt;&gt;"",G2727,IFERROR(INDEX('Sản phẩm'!$E$5:$E$304,MATCH(D2727,'Sản phẩm'!$A$5:$A$304,0)),"")))</f>
        <v/>
      </c>
      <c r="J2727" s="16">
        <f>IF(OR(D2727="",F2727=""),"",F2727*I2727-N(H2727))</f>
        <v/>
      </c>
      <c r="K2727" s="16">
        <f>IF(OR(D2727="",F2727=""),"",F2727*IFERROR(INDEX('Sản phẩm'!$D$5:$D$304,MATCH(D2727,'Sản phẩm'!$A$5:$A$304,0)),""))</f>
        <v/>
      </c>
      <c r="L2727" s="16">
        <f>IF(J2727="","",J2727-K2727)</f>
        <v/>
      </c>
      <c r="M2727" s="14">
        <f>IF(A2727="","",MONTH(A2727))</f>
        <v/>
      </c>
      <c r="N2727" s="14">
        <f>IF(A2727="","",YEAR(A2727))</f>
        <v/>
      </c>
    </row>
    <row r="2728">
      <c r="A2728" s="15" t="n"/>
      <c r="B2728" s="10" t="n"/>
      <c r="C2728" s="10" t="n"/>
      <c r="D2728" s="10" t="n"/>
      <c r="E2728" s="14">
        <f>IF(D2728="","",IFERROR(INDEX('Sản phẩm'!$B$5:$B$304,MATCH(D2728,'Sản phẩm'!$A$5:$A$304,0)),""))</f>
        <v/>
      </c>
      <c r="F2728" s="12" t="n"/>
      <c r="G2728" s="11" t="n"/>
      <c r="H2728" s="11" t="n"/>
      <c r="I2728" s="16">
        <f>IF(D2728="","",IF(G2728&lt;&gt;"",G2728,IFERROR(INDEX('Sản phẩm'!$E$5:$E$304,MATCH(D2728,'Sản phẩm'!$A$5:$A$304,0)),"")))</f>
        <v/>
      </c>
      <c r="J2728" s="16">
        <f>IF(OR(D2728="",F2728=""),"",F2728*I2728-N(H2728))</f>
        <v/>
      </c>
      <c r="K2728" s="16">
        <f>IF(OR(D2728="",F2728=""),"",F2728*IFERROR(INDEX('Sản phẩm'!$D$5:$D$304,MATCH(D2728,'Sản phẩm'!$A$5:$A$304,0)),""))</f>
        <v/>
      </c>
      <c r="L2728" s="16">
        <f>IF(J2728="","",J2728-K2728)</f>
        <v/>
      </c>
      <c r="M2728" s="14">
        <f>IF(A2728="","",MONTH(A2728))</f>
        <v/>
      </c>
      <c r="N2728" s="14">
        <f>IF(A2728="","",YEAR(A2728))</f>
        <v/>
      </c>
    </row>
    <row r="2729">
      <c r="A2729" s="15" t="n"/>
      <c r="B2729" s="10" t="n"/>
      <c r="C2729" s="10" t="n"/>
      <c r="D2729" s="10" t="n"/>
      <c r="E2729" s="14">
        <f>IF(D2729="","",IFERROR(INDEX('Sản phẩm'!$B$5:$B$304,MATCH(D2729,'Sản phẩm'!$A$5:$A$304,0)),""))</f>
        <v/>
      </c>
      <c r="F2729" s="12" t="n"/>
      <c r="G2729" s="11" t="n"/>
      <c r="H2729" s="11" t="n"/>
      <c r="I2729" s="16">
        <f>IF(D2729="","",IF(G2729&lt;&gt;"",G2729,IFERROR(INDEX('Sản phẩm'!$E$5:$E$304,MATCH(D2729,'Sản phẩm'!$A$5:$A$304,0)),"")))</f>
        <v/>
      </c>
      <c r="J2729" s="16">
        <f>IF(OR(D2729="",F2729=""),"",F2729*I2729-N(H2729))</f>
        <v/>
      </c>
      <c r="K2729" s="16">
        <f>IF(OR(D2729="",F2729=""),"",F2729*IFERROR(INDEX('Sản phẩm'!$D$5:$D$304,MATCH(D2729,'Sản phẩm'!$A$5:$A$304,0)),""))</f>
        <v/>
      </c>
      <c r="L2729" s="16">
        <f>IF(J2729="","",J2729-K2729)</f>
        <v/>
      </c>
      <c r="M2729" s="14">
        <f>IF(A2729="","",MONTH(A2729))</f>
        <v/>
      </c>
      <c r="N2729" s="14">
        <f>IF(A2729="","",YEAR(A2729))</f>
        <v/>
      </c>
    </row>
    <row r="2730">
      <c r="A2730" s="15" t="n"/>
      <c r="B2730" s="10" t="n"/>
      <c r="C2730" s="10" t="n"/>
      <c r="D2730" s="10" t="n"/>
      <c r="E2730" s="14">
        <f>IF(D2730="","",IFERROR(INDEX('Sản phẩm'!$B$5:$B$304,MATCH(D2730,'Sản phẩm'!$A$5:$A$304,0)),""))</f>
        <v/>
      </c>
      <c r="F2730" s="12" t="n"/>
      <c r="G2730" s="11" t="n"/>
      <c r="H2730" s="11" t="n"/>
      <c r="I2730" s="16">
        <f>IF(D2730="","",IF(G2730&lt;&gt;"",G2730,IFERROR(INDEX('Sản phẩm'!$E$5:$E$304,MATCH(D2730,'Sản phẩm'!$A$5:$A$304,0)),"")))</f>
        <v/>
      </c>
      <c r="J2730" s="16">
        <f>IF(OR(D2730="",F2730=""),"",F2730*I2730-N(H2730))</f>
        <v/>
      </c>
      <c r="K2730" s="16">
        <f>IF(OR(D2730="",F2730=""),"",F2730*IFERROR(INDEX('Sản phẩm'!$D$5:$D$304,MATCH(D2730,'Sản phẩm'!$A$5:$A$304,0)),""))</f>
        <v/>
      </c>
      <c r="L2730" s="16">
        <f>IF(J2730="","",J2730-K2730)</f>
        <v/>
      </c>
      <c r="M2730" s="14">
        <f>IF(A2730="","",MONTH(A2730))</f>
        <v/>
      </c>
      <c r="N2730" s="14">
        <f>IF(A2730="","",YEAR(A2730))</f>
        <v/>
      </c>
    </row>
    <row r="2731">
      <c r="A2731" s="15" t="n"/>
      <c r="B2731" s="10" t="n"/>
      <c r="C2731" s="10" t="n"/>
      <c r="D2731" s="10" t="n"/>
      <c r="E2731" s="14">
        <f>IF(D2731="","",IFERROR(INDEX('Sản phẩm'!$B$5:$B$304,MATCH(D2731,'Sản phẩm'!$A$5:$A$304,0)),""))</f>
        <v/>
      </c>
      <c r="F2731" s="12" t="n"/>
      <c r="G2731" s="11" t="n"/>
      <c r="H2731" s="11" t="n"/>
      <c r="I2731" s="16">
        <f>IF(D2731="","",IF(G2731&lt;&gt;"",G2731,IFERROR(INDEX('Sản phẩm'!$E$5:$E$304,MATCH(D2731,'Sản phẩm'!$A$5:$A$304,0)),"")))</f>
        <v/>
      </c>
      <c r="J2731" s="16">
        <f>IF(OR(D2731="",F2731=""),"",F2731*I2731-N(H2731))</f>
        <v/>
      </c>
      <c r="K2731" s="16">
        <f>IF(OR(D2731="",F2731=""),"",F2731*IFERROR(INDEX('Sản phẩm'!$D$5:$D$304,MATCH(D2731,'Sản phẩm'!$A$5:$A$304,0)),""))</f>
        <v/>
      </c>
      <c r="L2731" s="16">
        <f>IF(J2731="","",J2731-K2731)</f>
        <v/>
      </c>
      <c r="M2731" s="14">
        <f>IF(A2731="","",MONTH(A2731))</f>
        <v/>
      </c>
      <c r="N2731" s="14">
        <f>IF(A2731="","",YEAR(A2731))</f>
        <v/>
      </c>
    </row>
    <row r="2732">
      <c r="A2732" s="15" t="n"/>
      <c r="B2732" s="10" t="n"/>
      <c r="C2732" s="10" t="n"/>
      <c r="D2732" s="10" t="n"/>
      <c r="E2732" s="14">
        <f>IF(D2732="","",IFERROR(INDEX('Sản phẩm'!$B$5:$B$304,MATCH(D2732,'Sản phẩm'!$A$5:$A$304,0)),""))</f>
        <v/>
      </c>
      <c r="F2732" s="12" t="n"/>
      <c r="G2732" s="11" t="n"/>
      <c r="H2732" s="11" t="n"/>
      <c r="I2732" s="16">
        <f>IF(D2732="","",IF(G2732&lt;&gt;"",G2732,IFERROR(INDEX('Sản phẩm'!$E$5:$E$304,MATCH(D2732,'Sản phẩm'!$A$5:$A$304,0)),"")))</f>
        <v/>
      </c>
      <c r="J2732" s="16">
        <f>IF(OR(D2732="",F2732=""),"",F2732*I2732-N(H2732))</f>
        <v/>
      </c>
      <c r="K2732" s="16">
        <f>IF(OR(D2732="",F2732=""),"",F2732*IFERROR(INDEX('Sản phẩm'!$D$5:$D$304,MATCH(D2732,'Sản phẩm'!$A$5:$A$304,0)),""))</f>
        <v/>
      </c>
      <c r="L2732" s="16">
        <f>IF(J2732="","",J2732-K2732)</f>
        <v/>
      </c>
      <c r="M2732" s="14">
        <f>IF(A2732="","",MONTH(A2732))</f>
        <v/>
      </c>
      <c r="N2732" s="14">
        <f>IF(A2732="","",YEAR(A2732))</f>
        <v/>
      </c>
    </row>
    <row r="2733">
      <c r="A2733" s="15" t="n"/>
      <c r="B2733" s="10" t="n"/>
      <c r="C2733" s="10" t="n"/>
      <c r="D2733" s="10" t="n"/>
      <c r="E2733" s="14">
        <f>IF(D2733="","",IFERROR(INDEX('Sản phẩm'!$B$5:$B$304,MATCH(D2733,'Sản phẩm'!$A$5:$A$304,0)),""))</f>
        <v/>
      </c>
      <c r="F2733" s="12" t="n"/>
      <c r="G2733" s="11" t="n"/>
      <c r="H2733" s="11" t="n"/>
      <c r="I2733" s="16">
        <f>IF(D2733="","",IF(G2733&lt;&gt;"",G2733,IFERROR(INDEX('Sản phẩm'!$E$5:$E$304,MATCH(D2733,'Sản phẩm'!$A$5:$A$304,0)),"")))</f>
        <v/>
      </c>
      <c r="J2733" s="16">
        <f>IF(OR(D2733="",F2733=""),"",F2733*I2733-N(H2733))</f>
        <v/>
      </c>
      <c r="K2733" s="16">
        <f>IF(OR(D2733="",F2733=""),"",F2733*IFERROR(INDEX('Sản phẩm'!$D$5:$D$304,MATCH(D2733,'Sản phẩm'!$A$5:$A$304,0)),""))</f>
        <v/>
      </c>
      <c r="L2733" s="16">
        <f>IF(J2733="","",J2733-K2733)</f>
        <v/>
      </c>
      <c r="M2733" s="14">
        <f>IF(A2733="","",MONTH(A2733))</f>
        <v/>
      </c>
      <c r="N2733" s="14">
        <f>IF(A2733="","",YEAR(A2733))</f>
        <v/>
      </c>
    </row>
    <row r="2734">
      <c r="A2734" s="15" t="n"/>
      <c r="B2734" s="10" t="n"/>
      <c r="C2734" s="10" t="n"/>
      <c r="D2734" s="10" t="n"/>
      <c r="E2734" s="14">
        <f>IF(D2734="","",IFERROR(INDEX('Sản phẩm'!$B$5:$B$304,MATCH(D2734,'Sản phẩm'!$A$5:$A$304,0)),""))</f>
        <v/>
      </c>
      <c r="F2734" s="12" t="n"/>
      <c r="G2734" s="11" t="n"/>
      <c r="H2734" s="11" t="n"/>
      <c r="I2734" s="16">
        <f>IF(D2734="","",IF(G2734&lt;&gt;"",G2734,IFERROR(INDEX('Sản phẩm'!$E$5:$E$304,MATCH(D2734,'Sản phẩm'!$A$5:$A$304,0)),"")))</f>
        <v/>
      </c>
      <c r="J2734" s="16">
        <f>IF(OR(D2734="",F2734=""),"",F2734*I2734-N(H2734))</f>
        <v/>
      </c>
      <c r="K2734" s="16">
        <f>IF(OR(D2734="",F2734=""),"",F2734*IFERROR(INDEX('Sản phẩm'!$D$5:$D$304,MATCH(D2734,'Sản phẩm'!$A$5:$A$304,0)),""))</f>
        <v/>
      </c>
      <c r="L2734" s="16">
        <f>IF(J2734="","",J2734-K2734)</f>
        <v/>
      </c>
      <c r="M2734" s="14">
        <f>IF(A2734="","",MONTH(A2734))</f>
        <v/>
      </c>
      <c r="N2734" s="14">
        <f>IF(A2734="","",YEAR(A2734))</f>
        <v/>
      </c>
    </row>
    <row r="2735">
      <c r="A2735" s="15" t="n"/>
      <c r="B2735" s="10" t="n"/>
      <c r="C2735" s="10" t="n"/>
      <c r="D2735" s="10" t="n"/>
      <c r="E2735" s="14">
        <f>IF(D2735="","",IFERROR(INDEX('Sản phẩm'!$B$5:$B$304,MATCH(D2735,'Sản phẩm'!$A$5:$A$304,0)),""))</f>
        <v/>
      </c>
      <c r="F2735" s="12" t="n"/>
      <c r="G2735" s="11" t="n"/>
      <c r="H2735" s="11" t="n"/>
      <c r="I2735" s="16">
        <f>IF(D2735="","",IF(G2735&lt;&gt;"",G2735,IFERROR(INDEX('Sản phẩm'!$E$5:$E$304,MATCH(D2735,'Sản phẩm'!$A$5:$A$304,0)),"")))</f>
        <v/>
      </c>
      <c r="J2735" s="16">
        <f>IF(OR(D2735="",F2735=""),"",F2735*I2735-N(H2735))</f>
        <v/>
      </c>
      <c r="K2735" s="16">
        <f>IF(OR(D2735="",F2735=""),"",F2735*IFERROR(INDEX('Sản phẩm'!$D$5:$D$304,MATCH(D2735,'Sản phẩm'!$A$5:$A$304,0)),""))</f>
        <v/>
      </c>
      <c r="L2735" s="16">
        <f>IF(J2735="","",J2735-K2735)</f>
        <v/>
      </c>
      <c r="M2735" s="14">
        <f>IF(A2735="","",MONTH(A2735))</f>
        <v/>
      </c>
      <c r="N2735" s="14">
        <f>IF(A2735="","",YEAR(A2735))</f>
        <v/>
      </c>
    </row>
    <row r="2736">
      <c r="A2736" s="15" t="n"/>
      <c r="B2736" s="10" t="n"/>
      <c r="C2736" s="10" t="n"/>
      <c r="D2736" s="10" t="n"/>
      <c r="E2736" s="14">
        <f>IF(D2736="","",IFERROR(INDEX('Sản phẩm'!$B$5:$B$304,MATCH(D2736,'Sản phẩm'!$A$5:$A$304,0)),""))</f>
        <v/>
      </c>
      <c r="F2736" s="12" t="n"/>
      <c r="G2736" s="11" t="n"/>
      <c r="H2736" s="11" t="n"/>
      <c r="I2736" s="16">
        <f>IF(D2736="","",IF(G2736&lt;&gt;"",G2736,IFERROR(INDEX('Sản phẩm'!$E$5:$E$304,MATCH(D2736,'Sản phẩm'!$A$5:$A$304,0)),"")))</f>
        <v/>
      </c>
      <c r="J2736" s="16">
        <f>IF(OR(D2736="",F2736=""),"",F2736*I2736-N(H2736))</f>
        <v/>
      </c>
      <c r="K2736" s="16">
        <f>IF(OR(D2736="",F2736=""),"",F2736*IFERROR(INDEX('Sản phẩm'!$D$5:$D$304,MATCH(D2736,'Sản phẩm'!$A$5:$A$304,0)),""))</f>
        <v/>
      </c>
      <c r="L2736" s="16">
        <f>IF(J2736="","",J2736-K2736)</f>
        <v/>
      </c>
      <c r="M2736" s="14">
        <f>IF(A2736="","",MONTH(A2736))</f>
        <v/>
      </c>
      <c r="N2736" s="14">
        <f>IF(A2736="","",YEAR(A2736))</f>
        <v/>
      </c>
    </row>
    <row r="2737">
      <c r="A2737" s="15" t="n"/>
      <c r="B2737" s="10" t="n"/>
      <c r="C2737" s="10" t="n"/>
      <c r="D2737" s="10" t="n"/>
      <c r="E2737" s="14">
        <f>IF(D2737="","",IFERROR(INDEX('Sản phẩm'!$B$5:$B$304,MATCH(D2737,'Sản phẩm'!$A$5:$A$304,0)),""))</f>
        <v/>
      </c>
      <c r="F2737" s="12" t="n"/>
      <c r="G2737" s="11" t="n"/>
      <c r="H2737" s="11" t="n"/>
      <c r="I2737" s="16">
        <f>IF(D2737="","",IF(G2737&lt;&gt;"",G2737,IFERROR(INDEX('Sản phẩm'!$E$5:$E$304,MATCH(D2737,'Sản phẩm'!$A$5:$A$304,0)),"")))</f>
        <v/>
      </c>
      <c r="J2737" s="16">
        <f>IF(OR(D2737="",F2737=""),"",F2737*I2737-N(H2737))</f>
        <v/>
      </c>
      <c r="K2737" s="16">
        <f>IF(OR(D2737="",F2737=""),"",F2737*IFERROR(INDEX('Sản phẩm'!$D$5:$D$304,MATCH(D2737,'Sản phẩm'!$A$5:$A$304,0)),""))</f>
        <v/>
      </c>
      <c r="L2737" s="16">
        <f>IF(J2737="","",J2737-K2737)</f>
        <v/>
      </c>
      <c r="M2737" s="14">
        <f>IF(A2737="","",MONTH(A2737))</f>
        <v/>
      </c>
      <c r="N2737" s="14">
        <f>IF(A2737="","",YEAR(A2737))</f>
        <v/>
      </c>
    </row>
    <row r="2738">
      <c r="A2738" s="15" t="n"/>
      <c r="B2738" s="10" t="n"/>
      <c r="C2738" s="10" t="n"/>
      <c r="D2738" s="10" t="n"/>
      <c r="E2738" s="14">
        <f>IF(D2738="","",IFERROR(INDEX('Sản phẩm'!$B$5:$B$304,MATCH(D2738,'Sản phẩm'!$A$5:$A$304,0)),""))</f>
        <v/>
      </c>
      <c r="F2738" s="12" t="n"/>
      <c r="G2738" s="11" t="n"/>
      <c r="H2738" s="11" t="n"/>
      <c r="I2738" s="16">
        <f>IF(D2738="","",IF(G2738&lt;&gt;"",G2738,IFERROR(INDEX('Sản phẩm'!$E$5:$E$304,MATCH(D2738,'Sản phẩm'!$A$5:$A$304,0)),"")))</f>
        <v/>
      </c>
      <c r="J2738" s="16">
        <f>IF(OR(D2738="",F2738=""),"",F2738*I2738-N(H2738))</f>
        <v/>
      </c>
      <c r="K2738" s="16">
        <f>IF(OR(D2738="",F2738=""),"",F2738*IFERROR(INDEX('Sản phẩm'!$D$5:$D$304,MATCH(D2738,'Sản phẩm'!$A$5:$A$304,0)),""))</f>
        <v/>
      </c>
      <c r="L2738" s="16">
        <f>IF(J2738="","",J2738-K2738)</f>
        <v/>
      </c>
      <c r="M2738" s="14">
        <f>IF(A2738="","",MONTH(A2738))</f>
        <v/>
      </c>
      <c r="N2738" s="14">
        <f>IF(A2738="","",YEAR(A2738))</f>
        <v/>
      </c>
    </row>
    <row r="2739">
      <c r="A2739" s="15" t="n"/>
      <c r="B2739" s="10" t="n"/>
      <c r="C2739" s="10" t="n"/>
      <c r="D2739" s="10" t="n"/>
      <c r="E2739" s="14">
        <f>IF(D2739="","",IFERROR(INDEX('Sản phẩm'!$B$5:$B$304,MATCH(D2739,'Sản phẩm'!$A$5:$A$304,0)),""))</f>
        <v/>
      </c>
      <c r="F2739" s="12" t="n"/>
      <c r="G2739" s="11" t="n"/>
      <c r="H2739" s="11" t="n"/>
      <c r="I2739" s="16">
        <f>IF(D2739="","",IF(G2739&lt;&gt;"",G2739,IFERROR(INDEX('Sản phẩm'!$E$5:$E$304,MATCH(D2739,'Sản phẩm'!$A$5:$A$304,0)),"")))</f>
        <v/>
      </c>
      <c r="J2739" s="16">
        <f>IF(OR(D2739="",F2739=""),"",F2739*I2739-N(H2739))</f>
        <v/>
      </c>
      <c r="K2739" s="16">
        <f>IF(OR(D2739="",F2739=""),"",F2739*IFERROR(INDEX('Sản phẩm'!$D$5:$D$304,MATCH(D2739,'Sản phẩm'!$A$5:$A$304,0)),""))</f>
        <v/>
      </c>
      <c r="L2739" s="16">
        <f>IF(J2739="","",J2739-K2739)</f>
        <v/>
      </c>
      <c r="M2739" s="14">
        <f>IF(A2739="","",MONTH(A2739))</f>
        <v/>
      </c>
      <c r="N2739" s="14">
        <f>IF(A2739="","",YEAR(A2739))</f>
        <v/>
      </c>
    </row>
    <row r="2740">
      <c r="A2740" s="15" t="n"/>
      <c r="B2740" s="10" t="n"/>
      <c r="C2740" s="10" t="n"/>
      <c r="D2740" s="10" t="n"/>
      <c r="E2740" s="14">
        <f>IF(D2740="","",IFERROR(INDEX('Sản phẩm'!$B$5:$B$304,MATCH(D2740,'Sản phẩm'!$A$5:$A$304,0)),""))</f>
        <v/>
      </c>
      <c r="F2740" s="12" t="n"/>
      <c r="G2740" s="11" t="n"/>
      <c r="H2740" s="11" t="n"/>
      <c r="I2740" s="16">
        <f>IF(D2740="","",IF(G2740&lt;&gt;"",G2740,IFERROR(INDEX('Sản phẩm'!$E$5:$E$304,MATCH(D2740,'Sản phẩm'!$A$5:$A$304,0)),"")))</f>
        <v/>
      </c>
      <c r="J2740" s="16">
        <f>IF(OR(D2740="",F2740=""),"",F2740*I2740-N(H2740))</f>
        <v/>
      </c>
      <c r="K2740" s="16">
        <f>IF(OR(D2740="",F2740=""),"",F2740*IFERROR(INDEX('Sản phẩm'!$D$5:$D$304,MATCH(D2740,'Sản phẩm'!$A$5:$A$304,0)),""))</f>
        <v/>
      </c>
      <c r="L2740" s="16">
        <f>IF(J2740="","",J2740-K2740)</f>
        <v/>
      </c>
      <c r="M2740" s="14">
        <f>IF(A2740="","",MONTH(A2740))</f>
        <v/>
      </c>
      <c r="N2740" s="14">
        <f>IF(A2740="","",YEAR(A2740))</f>
        <v/>
      </c>
    </row>
    <row r="2741">
      <c r="A2741" s="15" t="n"/>
      <c r="B2741" s="10" t="n"/>
      <c r="C2741" s="10" t="n"/>
      <c r="D2741" s="10" t="n"/>
      <c r="E2741" s="14">
        <f>IF(D2741="","",IFERROR(INDEX('Sản phẩm'!$B$5:$B$304,MATCH(D2741,'Sản phẩm'!$A$5:$A$304,0)),""))</f>
        <v/>
      </c>
      <c r="F2741" s="12" t="n"/>
      <c r="G2741" s="11" t="n"/>
      <c r="H2741" s="11" t="n"/>
      <c r="I2741" s="16">
        <f>IF(D2741="","",IF(G2741&lt;&gt;"",G2741,IFERROR(INDEX('Sản phẩm'!$E$5:$E$304,MATCH(D2741,'Sản phẩm'!$A$5:$A$304,0)),"")))</f>
        <v/>
      </c>
      <c r="J2741" s="16">
        <f>IF(OR(D2741="",F2741=""),"",F2741*I2741-N(H2741))</f>
        <v/>
      </c>
      <c r="K2741" s="16">
        <f>IF(OR(D2741="",F2741=""),"",F2741*IFERROR(INDEX('Sản phẩm'!$D$5:$D$304,MATCH(D2741,'Sản phẩm'!$A$5:$A$304,0)),""))</f>
        <v/>
      </c>
      <c r="L2741" s="16">
        <f>IF(J2741="","",J2741-K2741)</f>
        <v/>
      </c>
      <c r="M2741" s="14">
        <f>IF(A2741="","",MONTH(A2741))</f>
        <v/>
      </c>
      <c r="N2741" s="14">
        <f>IF(A2741="","",YEAR(A2741))</f>
        <v/>
      </c>
    </row>
    <row r="2742">
      <c r="A2742" s="15" t="n"/>
      <c r="B2742" s="10" t="n"/>
      <c r="C2742" s="10" t="n"/>
      <c r="D2742" s="10" t="n"/>
      <c r="E2742" s="14">
        <f>IF(D2742="","",IFERROR(INDEX('Sản phẩm'!$B$5:$B$304,MATCH(D2742,'Sản phẩm'!$A$5:$A$304,0)),""))</f>
        <v/>
      </c>
      <c r="F2742" s="12" t="n"/>
      <c r="G2742" s="11" t="n"/>
      <c r="H2742" s="11" t="n"/>
      <c r="I2742" s="16">
        <f>IF(D2742="","",IF(G2742&lt;&gt;"",G2742,IFERROR(INDEX('Sản phẩm'!$E$5:$E$304,MATCH(D2742,'Sản phẩm'!$A$5:$A$304,0)),"")))</f>
        <v/>
      </c>
      <c r="J2742" s="16">
        <f>IF(OR(D2742="",F2742=""),"",F2742*I2742-N(H2742))</f>
        <v/>
      </c>
      <c r="K2742" s="16">
        <f>IF(OR(D2742="",F2742=""),"",F2742*IFERROR(INDEX('Sản phẩm'!$D$5:$D$304,MATCH(D2742,'Sản phẩm'!$A$5:$A$304,0)),""))</f>
        <v/>
      </c>
      <c r="L2742" s="16">
        <f>IF(J2742="","",J2742-K2742)</f>
        <v/>
      </c>
      <c r="M2742" s="14">
        <f>IF(A2742="","",MONTH(A2742))</f>
        <v/>
      </c>
      <c r="N2742" s="14">
        <f>IF(A2742="","",YEAR(A2742))</f>
        <v/>
      </c>
    </row>
    <row r="2743">
      <c r="A2743" s="15" t="n"/>
      <c r="B2743" s="10" t="n"/>
      <c r="C2743" s="10" t="n"/>
      <c r="D2743" s="10" t="n"/>
      <c r="E2743" s="14">
        <f>IF(D2743="","",IFERROR(INDEX('Sản phẩm'!$B$5:$B$304,MATCH(D2743,'Sản phẩm'!$A$5:$A$304,0)),""))</f>
        <v/>
      </c>
      <c r="F2743" s="12" t="n"/>
      <c r="G2743" s="11" t="n"/>
      <c r="H2743" s="11" t="n"/>
      <c r="I2743" s="16">
        <f>IF(D2743="","",IF(G2743&lt;&gt;"",G2743,IFERROR(INDEX('Sản phẩm'!$E$5:$E$304,MATCH(D2743,'Sản phẩm'!$A$5:$A$304,0)),"")))</f>
        <v/>
      </c>
      <c r="J2743" s="16">
        <f>IF(OR(D2743="",F2743=""),"",F2743*I2743-N(H2743))</f>
        <v/>
      </c>
      <c r="K2743" s="16">
        <f>IF(OR(D2743="",F2743=""),"",F2743*IFERROR(INDEX('Sản phẩm'!$D$5:$D$304,MATCH(D2743,'Sản phẩm'!$A$5:$A$304,0)),""))</f>
        <v/>
      </c>
      <c r="L2743" s="16">
        <f>IF(J2743="","",J2743-K2743)</f>
        <v/>
      </c>
      <c r="M2743" s="14">
        <f>IF(A2743="","",MONTH(A2743))</f>
        <v/>
      </c>
      <c r="N2743" s="14">
        <f>IF(A2743="","",YEAR(A2743))</f>
        <v/>
      </c>
    </row>
    <row r="2744">
      <c r="A2744" s="15" t="n"/>
      <c r="B2744" s="10" t="n"/>
      <c r="C2744" s="10" t="n"/>
      <c r="D2744" s="10" t="n"/>
      <c r="E2744" s="14">
        <f>IF(D2744="","",IFERROR(INDEX('Sản phẩm'!$B$5:$B$304,MATCH(D2744,'Sản phẩm'!$A$5:$A$304,0)),""))</f>
        <v/>
      </c>
      <c r="F2744" s="12" t="n"/>
      <c r="G2744" s="11" t="n"/>
      <c r="H2744" s="11" t="n"/>
      <c r="I2744" s="16">
        <f>IF(D2744="","",IF(G2744&lt;&gt;"",G2744,IFERROR(INDEX('Sản phẩm'!$E$5:$E$304,MATCH(D2744,'Sản phẩm'!$A$5:$A$304,0)),"")))</f>
        <v/>
      </c>
      <c r="J2744" s="16">
        <f>IF(OR(D2744="",F2744=""),"",F2744*I2744-N(H2744))</f>
        <v/>
      </c>
      <c r="K2744" s="16">
        <f>IF(OR(D2744="",F2744=""),"",F2744*IFERROR(INDEX('Sản phẩm'!$D$5:$D$304,MATCH(D2744,'Sản phẩm'!$A$5:$A$304,0)),""))</f>
        <v/>
      </c>
      <c r="L2744" s="16">
        <f>IF(J2744="","",J2744-K2744)</f>
        <v/>
      </c>
      <c r="M2744" s="14">
        <f>IF(A2744="","",MONTH(A2744))</f>
        <v/>
      </c>
      <c r="N2744" s="14">
        <f>IF(A2744="","",YEAR(A2744))</f>
        <v/>
      </c>
    </row>
    <row r="2745">
      <c r="A2745" s="15" t="n"/>
      <c r="B2745" s="10" t="n"/>
      <c r="C2745" s="10" t="n"/>
      <c r="D2745" s="10" t="n"/>
      <c r="E2745" s="14">
        <f>IF(D2745="","",IFERROR(INDEX('Sản phẩm'!$B$5:$B$304,MATCH(D2745,'Sản phẩm'!$A$5:$A$304,0)),""))</f>
        <v/>
      </c>
      <c r="F2745" s="12" t="n"/>
      <c r="G2745" s="11" t="n"/>
      <c r="H2745" s="11" t="n"/>
      <c r="I2745" s="16">
        <f>IF(D2745="","",IF(G2745&lt;&gt;"",G2745,IFERROR(INDEX('Sản phẩm'!$E$5:$E$304,MATCH(D2745,'Sản phẩm'!$A$5:$A$304,0)),"")))</f>
        <v/>
      </c>
      <c r="J2745" s="16">
        <f>IF(OR(D2745="",F2745=""),"",F2745*I2745-N(H2745))</f>
        <v/>
      </c>
      <c r="K2745" s="16">
        <f>IF(OR(D2745="",F2745=""),"",F2745*IFERROR(INDEX('Sản phẩm'!$D$5:$D$304,MATCH(D2745,'Sản phẩm'!$A$5:$A$304,0)),""))</f>
        <v/>
      </c>
      <c r="L2745" s="16">
        <f>IF(J2745="","",J2745-K2745)</f>
        <v/>
      </c>
      <c r="M2745" s="14">
        <f>IF(A2745="","",MONTH(A2745))</f>
        <v/>
      </c>
      <c r="N2745" s="14">
        <f>IF(A2745="","",YEAR(A2745))</f>
        <v/>
      </c>
    </row>
    <row r="2746">
      <c r="A2746" s="15" t="n"/>
      <c r="B2746" s="10" t="n"/>
      <c r="C2746" s="10" t="n"/>
      <c r="D2746" s="10" t="n"/>
      <c r="E2746" s="14">
        <f>IF(D2746="","",IFERROR(INDEX('Sản phẩm'!$B$5:$B$304,MATCH(D2746,'Sản phẩm'!$A$5:$A$304,0)),""))</f>
        <v/>
      </c>
      <c r="F2746" s="12" t="n"/>
      <c r="G2746" s="11" t="n"/>
      <c r="H2746" s="11" t="n"/>
      <c r="I2746" s="16">
        <f>IF(D2746="","",IF(G2746&lt;&gt;"",G2746,IFERROR(INDEX('Sản phẩm'!$E$5:$E$304,MATCH(D2746,'Sản phẩm'!$A$5:$A$304,0)),"")))</f>
        <v/>
      </c>
      <c r="J2746" s="16">
        <f>IF(OR(D2746="",F2746=""),"",F2746*I2746-N(H2746))</f>
        <v/>
      </c>
      <c r="K2746" s="16">
        <f>IF(OR(D2746="",F2746=""),"",F2746*IFERROR(INDEX('Sản phẩm'!$D$5:$D$304,MATCH(D2746,'Sản phẩm'!$A$5:$A$304,0)),""))</f>
        <v/>
      </c>
      <c r="L2746" s="16">
        <f>IF(J2746="","",J2746-K2746)</f>
        <v/>
      </c>
      <c r="M2746" s="14">
        <f>IF(A2746="","",MONTH(A2746))</f>
        <v/>
      </c>
      <c r="N2746" s="14">
        <f>IF(A2746="","",YEAR(A2746))</f>
        <v/>
      </c>
    </row>
    <row r="2747">
      <c r="A2747" s="15" t="n"/>
      <c r="B2747" s="10" t="n"/>
      <c r="C2747" s="10" t="n"/>
      <c r="D2747" s="10" t="n"/>
      <c r="E2747" s="14">
        <f>IF(D2747="","",IFERROR(INDEX('Sản phẩm'!$B$5:$B$304,MATCH(D2747,'Sản phẩm'!$A$5:$A$304,0)),""))</f>
        <v/>
      </c>
      <c r="F2747" s="12" t="n"/>
      <c r="G2747" s="11" t="n"/>
      <c r="H2747" s="11" t="n"/>
      <c r="I2747" s="16">
        <f>IF(D2747="","",IF(G2747&lt;&gt;"",G2747,IFERROR(INDEX('Sản phẩm'!$E$5:$E$304,MATCH(D2747,'Sản phẩm'!$A$5:$A$304,0)),"")))</f>
        <v/>
      </c>
      <c r="J2747" s="16">
        <f>IF(OR(D2747="",F2747=""),"",F2747*I2747-N(H2747))</f>
        <v/>
      </c>
      <c r="K2747" s="16">
        <f>IF(OR(D2747="",F2747=""),"",F2747*IFERROR(INDEX('Sản phẩm'!$D$5:$D$304,MATCH(D2747,'Sản phẩm'!$A$5:$A$304,0)),""))</f>
        <v/>
      </c>
      <c r="L2747" s="16">
        <f>IF(J2747="","",J2747-K2747)</f>
        <v/>
      </c>
      <c r="M2747" s="14">
        <f>IF(A2747="","",MONTH(A2747))</f>
        <v/>
      </c>
      <c r="N2747" s="14">
        <f>IF(A2747="","",YEAR(A2747))</f>
        <v/>
      </c>
    </row>
    <row r="2748">
      <c r="A2748" s="15" t="n"/>
      <c r="B2748" s="10" t="n"/>
      <c r="C2748" s="10" t="n"/>
      <c r="D2748" s="10" t="n"/>
      <c r="E2748" s="14">
        <f>IF(D2748="","",IFERROR(INDEX('Sản phẩm'!$B$5:$B$304,MATCH(D2748,'Sản phẩm'!$A$5:$A$304,0)),""))</f>
        <v/>
      </c>
      <c r="F2748" s="12" t="n"/>
      <c r="G2748" s="11" t="n"/>
      <c r="H2748" s="11" t="n"/>
      <c r="I2748" s="16">
        <f>IF(D2748="","",IF(G2748&lt;&gt;"",G2748,IFERROR(INDEX('Sản phẩm'!$E$5:$E$304,MATCH(D2748,'Sản phẩm'!$A$5:$A$304,0)),"")))</f>
        <v/>
      </c>
      <c r="J2748" s="16">
        <f>IF(OR(D2748="",F2748=""),"",F2748*I2748-N(H2748))</f>
        <v/>
      </c>
      <c r="K2748" s="16">
        <f>IF(OR(D2748="",F2748=""),"",F2748*IFERROR(INDEX('Sản phẩm'!$D$5:$D$304,MATCH(D2748,'Sản phẩm'!$A$5:$A$304,0)),""))</f>
        <v/>
      </c>
      <c r="L2748" s="16">
        <f>IF(J2748="","",J2748-K2748)</f>
        <v/>
      </c>
      <c r="M2748" s="14">
        <f>IF(A2748="","",MONTH(A2748))</f>
        <v/>
      </c>
      <c r="N2748" s="14">
        <f>IF(A2748="","",YEAR(A2748))</f>
        <v/>
      </c>
    </row>
    <row r="2749">
      <c r="A2749" s="15" t="n"/>
      <c r="B2749" s="10" t="n"/>
      <c r="C2749" s="10" t="n"/>
      <c r="D2749" s="10" t="n"/>
      <c r="E2749" s="14">
        <f>IF(D2749="","",IFERROR(INDEX('Sản phẩm'!$B$5:$B$304,MATCH(D2749,'Sản phẩm'!$A$5:$A$304,0)),""))</f>
        <v/>
      </c>
      <c r="F2749" s="12" t="n"/>
      <c r="G2749" s="11" t="n"/>
      <c r="H2749" s="11" t="n"/>
      <c r="I2749" s="16">
        <f>IF(D2749="","",IF(G2749&lt;&gt;"",G2749,IFERROR(INDEX('Sản phẩm'!$E$5:$E$304,MATCH(D2749,'Sản phẩm'!$A$5:$A$304,0)),"")))</f>
        <v/>
      </c>
      <c r="J2749" s="16">
        <f>IF(OR(D2749="",F2749=""),"",F2749*I2749-N(H2749))</f>
        <v/>
      </c>
      <c r="K2749" s="16">
        <f>IF(OR(D2749="",F2749=""),"",F2749*IFERROR(INDEX('Sản phẩm'!$D$5:$D$304,MATCH(D2749,'Sản phẩm'!$A$5:$A$304,0)),""))</f>
        <v/>
      </c>
      <c r="L2749" s="16">
        <f>IF(J2749="","",J2749-K2749)</f>
        <v/>
      </c>
      <c r="M2749" s="14">
        <f>IF(A2749="","",MONTH(A2749))</f>
        <v/>
      </c>
      <c r="N2749" s="14">
        <f>IF(A2749="","",YEAR(A2749))</f>
        <v/>
      </c>
    </row>
    <row r="2750">
      <c r="A2750" s="15" t="n"/>
      <c r="B2750" s="10" t="n"/>
      <c r="C2750" s="10" t="n"/>
      <c r="D2750" s="10" t="n"/>
      <c r="E2750" s="14">
        <f>IF(D2750="","",IFERROR(INDEX('Sản phẩm'!$B$5:$B$304,MATCH(D2750,'Sản phẩm'!$A$5:$A$304,0)),""))</f>
        <v/>
      </c>
      <c r="F2750" s="12" t="n"/>
      <c r="G2750" s="11" t="n"/>
      <c r="H2750" s="11" t="n"/>
      <c r="I2750" s="16">
        <f>IF(D2750="","",IF(G2750&lt;&gt;"",G2750,IFERROR(INDEX('Sản phẩm'!$E$5:$E$304,MATCH(D2750,'Sản phẩm'!$A$5:$A$304,0)),"")))</f>
        <v/>
      </c>
      <c r="J2750" s="16">
        <f>IF(OR(D2750="",F2750=""),"",F2750*I2750-N(H2750))</f>
        <v/>
      </c>
      <c r="K2750" s="16">
        <f>IF(OR(D2750="",F2750=""),"",F2750*IFERROR(INDEX('Sản phẩm'!$D$5:$D$304,MATCH(D2750,'Sản phẩm'!$A$5:$A$304,0)),""))</f>
        <v/>
      </c>
      <c r="L2750" s="16">
        <f>IF(J2750="","",J2750-K2750)</f>
        <v/>
      </c>
      <c r="M2750" s="14">
        <f>IF(A2750="","",MONTH(A2750))</f>
        <v/>
      </c>
      <c r="N2750" s="14">
        <f>IF(A2750="","",YEAR(A2750))</f>
        <v/>
      </c>
    </row>
    <row r="2751">
      <c r="A2751" s="15" t="n"/>
      <c r="B2751" s="10" t="n"/>
      <c r="C2751" s="10" t="n"/>
      <c r="D2751" s="10" t="n"/>
      <c r="E2751" s="14">
        <f>IF(D2751="","",IFERROR(INDEX('Sản phẩm'!$B$5:$B$304,MATCH(D2751,'Sản phẩm'!$A$5:$A$304,0)),""))</f>
        <v/>
      </c>
      <c r="F2751" s="12" t="n"/>
      <c r="G2751" s="11" t="n"/>
      <c r="H2751" s="11" t="n"/>
      <c r="I2751" s="16">
        <f>IF(D2751="","",IF(G2751&lt;&gt;"",G2751,IFERROR(INDEX('Sản phẩm'!$E$5:$E$304,MATCH(D2751,'Sản phẩm'!$A$5:$A$304,0)),"")))</f>
        <v/>
      </c>
      <c r="J2751" s="16">
        <f>IF(OR(D2751="",F2751=""),"",F2751*I2751-N(H2751))</f>
        <v/>
      </c>
      <c r="K2751" s="16">
        <f>IF(OR(D2751="",F2751=""),"",F2751*IFERROR(INDEX('Sản phẩm'!$D$5:$D$304,MATCH(D2751,'Sản phẩm'!$A$5:$A$304,0)),""))</f>
        <v/>
      </c>
      <c r="L2751" s="16">
        <f>IF(J2751="","",J2751-K2751)</f>
        <v/>
      </c>
      <c r="M2751" s="14">
        <f>IF(A2751="","",MONTH(A2751))</f>
        <v/>
      </c>
      <c r="N2751" s="14">
        <f>IF(A2751="","",YEAR(A2751))</f>
        <v/>
      </c>
    </row>
    <row r="2752">
      <c r="A2752" s="15" t="n"/>
      <c r="B2752" s="10" t="n"/>
      <c r="C2752" s="10" t="n"/>
      <c r="D2752" s="10" t="n"/>
      <c r="E2752" s="14">
        <f>IF(D2752="","",IFERROR(INDEX('Sản phẩm'!$B$5:$B$304,MATCH(D2752,'Sản phẩm'!$A$5:$A$304,0)),""))</f>
        <v/>
      </c>
      <c r="F2752" s="12" t="n"/>
      <c r="G2752" s="11" t="n"/>
      <c r="H2752" s="11" t="n"/>
      <c r="I2752" s="16">
        <f>IF(D2752="","",IF(G2752&lt;&gt;"",G2752,IFERROR(INDEX('Sản phẩm'!$E$5:$E$304,MATCH(D2752,'Sản phẩm'!$A$5:$A$304,0)),"")))</f>
        <v/>
      </c>
      <c r="J2752" s="16">
        <f>IF(OR(D2752="",F2752=""),"",F2752*I2752-N(H2752))</f>
        <v/>
      </c>
      <c r="K2752" s="16">
        <f>IF(OR(D2752="",F2752=""),"",F2752*IFERROR(INDEX('Sản phẩm'!$D$5:$D$304,MATCH(D2752,'Sản phẩm'!$A$5:$A$304,0)),""))</f>
        <v/>
      </c>
      <c r="L2752" s="16">
        <f>IF(J2752="","",J2752-K2752)</f>
        <v/>
      </c>
      <c r="M2752" s="14">
        <f>IF(A2752="","",MONTH(A2752))</f>
        <v/>
      </c>
      <c r="N2752" s="14">
        <f>IF(A2752="","",YEAR(A2752))</f>
        <v/>
      </c>
    </row>
    <row r="2753">
      <c r="A2753" s="15" t="n"/>
      <c r="B2753" s="10" t="n"/>
      <c r="C2753" s="10" t="n"/>
      <c r="D2753" s="10" t="n"/>
      <c r="E2753" s="14">
        <f>IF(D2753="","",IFERROR(INDEX('Sản phẩm'!$B$5:$B$304,MATCH(D2753,'Sản phẩm'!$A$5:$A$304,0)),""))</f>
        <v/>
      </c>
      <c r="F2753" s="12" t="n"/>
      <c r="G2753" s="11" t="n"/>
      <c r="H2753" s="11" t="n"/>
      <c r="I2753" s="16">
        <f>IF(D2753="","",IF(G2753&lt;&gt;"",G2753,IFERROR(INDEX('Sản phẩm'!$E$5:$E$304,MATCH(D2753,'Sản phẩm'!$A$5:$A$304,0)),"")))</f>
        <v/>
      </c>
      <c r="J2753" s="16">
        <f>IF(OR(D2753="",F2753=""),"",F2753*I2753-N(H2753))</f>
        <v/>
      </c>
      <c r="K2753" s="16">
        <f>IF(OR(D2753="",F2753=""),"",F2753*IFERROR(INDEX('Sản phẩm'!$D$5:$D$304,MATCH(D2753,'Sản phẩm'!$A$5:$A$304,0)),""))</f>
        <v/>
      </c>
      <c r="L2753" s="16">
        <f>IF(J2753="","",J2753-K2753)</f>
        <v/>
      </c>
      <c r="M2753" s="14">
        <f>IF(A2753="","",MONTH(A2753))</f>
        <v/>
      </c>
      <c r="N2753" s="14">
        <f>IF(A2753="","",YEAR(A2753))</f>
        <v/>
      </c>
    </row>
    <row r="2754">
      <c r="A2754" s="15" t="n"/>
      <c r="B2754" s="10" t="n"/>
      <c r="C2754" s="10" t="n"/>
      <c r="D2754" s="10" t="n"/>
      <c r="E2754" s="14">
        <f>IF(D2754="","",IFERROR(INDEX('Sản phẩm'!$B$5:$B$304,MATCH(D2754,'Sản phẩm'!$A$5:$A$304,0)),""))</f>
        <v/>
      </c>
      <c r="F2754" s="12" t="n"/>
      <c r="G2754" s="11" t="n"/>
      <c r="H2754" s="11" t="n"/>
      <c r="I2754" s="16">
        <f>IF(D2754="","",IF(G2754&lt;&gt;"",G2754,IFERROR(INDEX('Sản phẩm'!$E$5:$E$304,MATCH(D2754,'Sản phẩm'!$A$5:$A$304,0)),"")))</f>
        <v/>
      </c>
      <c r="J2754" s="16">
        <f>IF(OR(D2754="",F2754=""),"",F2754*I2754-N(H2754))</f>
        <v/>
      </c>
      <c r="K2754" s="16">
        <f>IF(OR(D2754="",F2754=""),"",F2754*IFERROR(INDEX('Sản phẩm'!$D$5:$D$304,MATCH(D2754,'Sản phẩm'!$A$5:$A$304,0)),""))</f>
        <v/>
      </c>
      <c r="L2754" s="16">
        <f>IF(J2754="","",J2754-K2754)</f>
        <v/>
      </c>
      <c r="M2754" s="14">
        <f>IF(A2754="","",MONTH(A2754))</f>
        <v/>
      </c>
      <c r="N2754" s="14">
        <f>IF(A2754="","",YEAR(A2754))</f>
        <v/>
      </c>
    </row>
    <row r="2755">
      <c r="A2755" s="15" t="n"/>
      <c r="B2755" s="10" t="n"/>
      <c r="C2755" s="10" t="n"/>
      <c r="D2755" s="10" t="n"/>
      <c r="E2755" s="14">
        <f>IF(D2755="","",IFERROR(INDEX('Sản phẩm'!$B$5:$B$304,MATCH(D2755,'Sản phẩm'!$A$5:$A$304,0)),""))</f>
        <v/>
      </c>
      <c r="F2755" s="12" t="n"/>
      <c r="G2755" s="11" t="n"/>
      <c r="H2755" s="11" t="n"/>
      <c r="I2755" s="16">
        <f>IF(D2755="","",IF(G2755&lt;&gt;"",G2755,IFERROR(INDEX('Sản phẩm'!$E$5:$E$304,MATCH(D2755,'Sản phẩm'!$A$5:$A$304,0)),"")))</f>
        <v/>
      </c>
      <c r="J2755" s="16">
        <f>IF(OR(D2755="",F2755=""),"",F2755*I2755-N(H2755))</f>
        <v/>
      </c>
      <c r="K2755" s="16">
        <f>IF(OR(D2755="",F2755=""),"",F2755*IFERROR(INDEX('Sản phẩm'!$D$5:$D$304,MATCH(D2755,'Sản phẩm'!$A$5:$A$304,0)),""))</f>
        <v/>
      </c>
      <c r="L2755" s="16">
        <f>IF(J2755="","",J2755-K2755)</f>
        <v/>
      </c>
      <c r="M2755" s="14">
        <f>IF(A2755="","",MONTH(A2755))</f>
        <v/>
      </c>
      <c r="N2755" s="14">
        <f>IF(A2755="","",YEAR(A2755))</f>
        <v/>
      </c>
    </row>
    <row r="2756">
      <c r="A2756" s="15" t="n"/>
      <c r="B2756" s="10" t="n"/>
      <c r="C2756" s="10" t="n"/>
      <c r="D2756" s="10" t="n"/>
      <c r="E2756" s="14">
        <f>IF(D2756="","",IFERROR(INDEX('Sản phẩm'!$B$5:$B$304,MATCH(D2756,'Sản phẩm'!$A$5:$A$304,0)),""))</f>
        <v/>
      </c>
      <c r="F2756" s="12" t="n"/>
      <c r="G2756" s="11" t="n"/>
      <c r="H2756" s="11" t="n"/>
      <c r="I2756" s="16">
        <f>IF(D2756="","",IF(G2756&lt;&gt;"",G2756,IFERROR(INDEX('Sản phẩm'!$E$5:$E$304,MATCH(D2756,'Sản phẩm'!$A$5:$A$304,0)),"")))</f>
        <v/>
      </c>
      <c r="J2756" s="16">
        <f>IF(OR(D2756="",F2756=""),"",F2756*I2756-N(H2756))</f>
        <v/>
      </c>
      <c r="K2756" s="16">
        <f>IF(OR(D2756="",F2756=""),"",F2756*IFERROR(INDEX('Sản phẩm'!$D$5:$D$304,MATCH(D2756,'Sản phẩm'!$A$5:$A$304,0)),""))</f>
        <v/>
      </c>
      <c r="L2756" s="16">
        <f>IF(J2756="","",J2756-K2756)</f>
        <v/>
      </c>
      <c r="M2756" s="14">
        <f>IF(A2756="","",MONTH(A2756))</f>
        <v/>
      </c>
      <c r="N2756" s="14">
        <f>IF(A2756="","",YEAR(A2756))</f>
        <v/>
      </c>
    </row>
    <row r="2757">
      <c r="A2757" s="15" t="n"/>
      <c r="B2757" s="10" t="n"/>
      <c r="C2757" s="10" t="n"/>
      <c r="D2757" s="10" t="n"/>
      <c r="E2757" s="14">
        <f>IF(D2757="","",IFERROR(INDEX('Sản phẩm'!$B$5:$B$304,MATCH(D2757,'Sản phẩm'!$A$5:$A$304,0)),""))</f>
        <v/>
      </c>
      <c r="F2757" s="12" t="n"/>
      <c r="G2757" s="11" t="n"/>
      <c r="H2757" s="11" t="n"/>
      <c r="I2757" s="16">
        <f>IF(D2757="","",IF(G2757&lt;&gt;"",G2757,IFERROR(INDEX('Sản phẩm'!$E$5:$E$304,MATCH(D2757,'Sản phẩm'!$A$5:$A$304,0)),"")))</f>
        <v/>
      </c>
      <c r="J2757" s="16">
        <f>IF(OR(D2757="",F2757=""),"",F2757*I2757-N(H2757))</f>
        <v/>
      </c>
      <c r="K2757" s="16">
        <f>IF(OR(D2757="",F2757=""),"",F2757*IFERROR(INDEX('Sản phẩm'!$D$5:$D$304,MATCH(D2757,'Sản phẩm'!$A$5:$A$304,0)),""))</f>
        <v/>
      </c>
      <c r="L2757" s="16">
        <f>IF(J2757="","",J2757-K2757)</f>
        <v/>
      </c>
      <c r="M2757" s="14">
        <f>IF(A2757="","",MONTH(A2757))</f>
        <v/>
      </c>
      <c r="N2757" s="14">
        <f>IF(A2757="","",YEAR(A2757))</f>
        <v/>
      </c>
    </row>
    <row r="2758">
      <c r="A2758" s="15" t="n"/>
      <c r="B2758" s="10" t="n"/>
      <c r="C2758" s="10" t="n"/>
      <c r="D2758" s="10" t="n"/>
      <c r="E2758" s="14">
        <f>IF(D2758="","",IFERROR(INDEX('Sản phẩm'!$B$5:$B$304,MATCH(D2758,'Sản phẩm'!$A$5:$A$304,0)),""))</f>
        <v/>
      </c>
      <c r="F2758" s="12" t="n"/>
      <c r="G2758" s="11" t="n"/>
      <c r="H2758" s="11" t="n"/>
      <c r="I2758" s="16">
        <f>IF(D2758="","",IF(G2758&lt;&gt;"",G2758,IFERROR(INDEX('Sản phẩm'!$E$5:$E$304,MATCH(D2758,'Sản phẩm'!$A$5:$A$304,0)),"")))</f>
        <v/>
      </c>
      <c r="J2758" s="16">
        <f>IF(OR(D2758="",F2758=""),"",F2758*I2758-N(H2758))</f>
        <v/>
      </c>
      <c r="K2758" s="16">
        <f>IF(OR(D2758="",F2758=""),"",F2758*IFERROR(INDEX('Sản phẩm'!$D$5:$D$304,MATCH(D2758,'Sản phẩm'!$A$5:$A$304,0)),""))</f>
        <v/>
      </c>
      <c r="L2758" s="16">
        <f>IF(J2758="","",J2758-K2758)</f>
        <v/>
      </c>
      <c r="M2758" s="14">
        <f>IF(A2758="","",MONTH(A2758))</f>
        <v/>
      </c>
      <c r="N2758" s="14">
        <f>IF(A2758="","",YEAR(A2758))</f>
        <v/>
      </c>
    </row>
    <row r="2759">
      <c r="A2759" s="15" t="n"/>
      <c r="B2759" s="10" t="n"/>
      <c r="C2759" s="10" t="n"/>
      <c r="D2759" s="10" t="n"/>
      <c r="E2759" s="14">
        <f>IF(D2759="","",IFERROR(INDEX('Sản phẩm'!$B$5:$B$304,MATCH(D2759,'Sản phẩm'!$A$5:$A$304,0)),""))</f>
        <v/>
      </c>
      <c r="F2759" s="12" t="n"/>
      <c r="G2759" s="11" t="n"/>
      <c r="H2759" s="11" t="n"/>
      <c r="I2759" s="16">
        <f>IF(D2759="","",IF(G2759&lt;&gt;"",G2759,IFERROR(INDEX('Sản phẩm'!$E$5:$E$304,MATCH(D2759,'Sản phẩm'!$A$5:$A$304,0)),"")))</f>
        <v/>
      </c>
      <c r="J2759" s="16">
        <f>IF(OR(D2759="",F2759=""),"",F2759*I2759-N(H2759))</f>
        <v/>
      </c>
      <c r="K2759" s="16">
        <f>IF(OR(D2759="",F2759=""),"",F2759*IFERROR(INDEX('Sản phẩm'!$D$5:$D$304,MATCH(D2759,'Sản phẩm'!$A$5:$A$304,0)),""))</f>
        <v/>
      </c>
      <c r="L2759" s="16">
        <f>IF(J2759="","",J2759-K2759)</f>
        <v/>
      </c>
      <c r="M2759" s="14">
        <f>IF(A2759="","",MONTH(A2759))</f>
        <v/>
      </c>
      <c r="N2759" s="14">
        <f>IF(A2759="","",YEAR(A2759))</f>
        <v/>
      </c>
    </row>
    <row r="2760">
      <c r="A2760" s="15" t="n"/>
      <c r="B2760" s="10" t="n"/>
      <c r="C2760" s="10" t="n"/>
      <c r="D2760" s="10" t="n"/>
      <c r="E2760" s="14">
        <f>IF(D2760="","",IFERROR(INDEX('Sản phẩm'!$B$5:$B$304,MATCH(D2760,'Sản phẩm'!$A$5:$A$304,0)),""))</f>
        <v/>
      </c>
      <c r="F2760" s="12" t="n"/>
      <c r="G2760" s="11" t="n"/>
      <c r="H2760" s="11" t="n"/>
      <c r="I2760" s="16">
        <f>IF(D2760="","",IF(G2760&lt;&gt;"",G2760,IFERROR(INDEX('Sản phẩm'!$E$5:$E$304,MATCH(D2760,'Sản phẩm'!$A$5:$A$304,0)),"")))</f>
        <v/>
      </c>
      <c r="J2760" s="16">
        <f>IF(OR(D2760="",F2760=""),"",F2760*I2760-N(H2760))</f>
        <v/>
      </c>
      <c r="K2760" s="16">
        <f>IF(OR(D2760="",F2760=""),"",F2760*IFERROR(INDEX('Sản phẩm'!$D$5:$D$304,MATCH(D2760,'Sản phẩm'!$A$5:$A$304,0)),""))</f>
        <v/>
      </c>
      <c r="L2760" s="16">
        <f>IF(J2760="","",J2760-K2760)</f>
        <v/>
      </c>
      <c r="M2760" s="14">
        <f>IF(A2760="","",MONTH(A2760))</f>
        <v/>
      </c>
      <c r="N2760" s="14">
        <f>IF(A2760="","",YEAR(A2760))</f>
        <v/>
      </c>
    </row>
    <row r="2761">
      <c r="A2761" s="15" t="n"/>
      <c r="B2761" s="10" t="n"/>
      <c r="C2761" s="10" t="n"/>
      <c r="D2761" s="10" t="n"/>
      <c r="E2761" s="14">
        <f>IF(D2761="","",IFERROR(INDEX('Sản phẩm'!$B$5:$B$304,MATCH(D2761,'Sản phẩm'!$A$5:$A$304,0)),""))</f>
        <v/>
      </c>
      <c r="F2761" s="12" t="n"/>
      <c r="G2761" s="11" t="n"/>
      <c r="H2761" s="11" t="n"/>
      <c r="I2761" s="16">
        <f>IF(D2761="","",IF(G2761&lt;&gt;"",G2761,IFERROR(INDEX('Sản phẩm'!$E$5:$E$304,MATCH(D2761,'Sản phẩm'!$A$5:$A$304,0)),"")))</f>
        <v/>
      </c>
      <c r="J2761" s="16">
        <f>IF(OR(D2761="",F2761=""),"",F2761*I2761-N(H2761))</f>
        <v/>
      </c>
      <c r="K2761" s="16">
        <f>IF(OR(D2761="",F2761=""),"",F2761*IFERROR(INDEX('Sản phẩm'!$D$5:$D$304,MATCH(D2761,'Sản phẩm'!$A$5:$A$304,0)),""))</f>
        <v/>
      </c>
      <c r="L2761" s="16">
        <f>IF(J2761="","",J2761-K2761)</f>
        <v/>
      </c>
      <c r="M2761" s="14">
        <f>IF(A2761="","",MONTH(A2761))</f>
        <v/>
      </c>
      <c r="N2761" s="14">
        <f>IF(A2761="","",YEAR(A2761))</f>
        <v/>
      </c>
    </row>
    <row r="2762">
      <c r="A2762" s="15" t="n"/>
      <c r="B2762" s="10" t="n"/>
      <c r="C2762" s="10" t="n"/>
      <c r="D2762" s="10" t="n"/>
      <c r="E2762" s="14">
        <f>IF(D2762="","",IFERROR(INDEX('Sản phẩm'!$B$5:$B$304,MATCH(D2762,'Sản phẩm'!$A$5:$A$304,0)),""))</f>
        <v/>
      </c>
      <c r="F2762" s="12" t="n"/>
      <c r="G2762" s="11" t="n"/>
      <c r="H2762" s="11" t="n"/>
      <c r="I2762" s="16">
        <f>IF(D2762="","",IF(G2762&lt;&gt;"",G2762,IFERROR(INDEX('Sản phẩm'!$E$5:$E$304,MATCH(D2762,'Sản phẩm'!$A$5:$A$304,0)),"")))</f>
        <v/>
      </c>
      <c r="J2762" s="16">
        <f>IF(OR(D2762="",F2762=""),"",F2762*I2762-N(H2762))</f>
        <v/>
      </c>
      <c r="K2762" s="16">
        <f>IF(OR(D2762="",F2762=""),"",F2762*IFERROR(INDEX('Sản phẩm'!$D$5:$D$304,MATCH(D2762,'Sản phẩm'!$A$5:$A$304,0)),""))</f>
        <v/>
      </c>
      <c r="L2762" s="16">
        <f>IF(J2762="","",J2762-K2762)</f>
        <v/>
      </c>
      <c r="M2762" s="14">
        <f>IF(A2762="","",MONTH(A2762))</f>
        <v/>
      </c>
      <c r="N2762" s="14">
        <f>IF(A2762="","",YEAR(A2762))</f>
        <v/>
      </c>
    </row>
    <row r="2763">
      <c r="A2763" s="15" t="n"/>
      <c r="B2763" s="10" t="n"/>
      <c r="C2763" s="10" t="n"/>
      <c r="D2763" s="10" t="n"/>
      <c r="E2763" s="14">
        <f>IF(D2763="","",IFERROR(INDEX('Sản phẩm'!$B$5:$B$304,MATCH(D2763,'Sản phẩm'!$A$5:$A$304,0)),""))</f>
        <v/>
      </c>
      <c r="F2763" s="12" t="n"/>
      <c r="G2763" s="11" t="n"/>
      <c r="H2763" s="11" t="n"/>
      <c r="I2763" s="16">
        <f>IF(D2763="","",IF(G2763&lt;&gt;"",G2763,IFERROR(INDEX('Sản phẩm'!$E$5:$E$304,MATCH(D2763,'Sản phẩm'!$A$5:$A$304,0)),"")))</f>
        <v/>
      </c>
      <c r="J2763" s="16">
        <f>IF(OR(D2763="",F2763=""),"",F2763*I2763-N(H2763))</f>
        <v/>
      </c>
      <c r="K2763" s="16">
        <f>IF(OR(D2763="",F2763=""),"",F2763*IFERROR(INDEX('Sản phẩm'!$D$5:$D$304,MATCH(D2763,'Sản phẩm'!$A$5:$A$304,0)),""))</f>
        <v/>
      </c>
      <c r="L2763" s="16">
        <f>IF(J2763="","",J2763-K2763)</f>
        <v/>
      </c>
      <c r="M2763" s="14">
        <f>IF(A2763="","",MONTH(A2763))</f>
        <v/>
      </c>
      <c r="N2763" s="14">
        <f>IF(A2763="","",YEAR(A2763))</f>
        <v/>
      </c>
    </row>
    <row r="2764">
      <c r="A2764" s="15" t="n"/>
      <c r="B2764" s="10" t="n"/>
      <c r="C2764" s="10" t="n"/>
      <c r="D2764" s="10" t="n"/>
      <c r="E2764" s="14">
        <f>IF(D2764="","",IFERROR(INDEX('Sản phẩm'!$B$5:$B$304,MATCH(D2764,'Sản phẩm'!$A$5:$A$304,0)),""))</f>
        <v/>
      </c>
      <c r="F2764" s="12" t="n"/>
      <c r="G2764" s="11" t="n"/>
      <c r="H2764" s="11" t="n"/>
      <c r="I2764" s="16">
        <f>IF(D2764="","",IF(G2764&lt;&gt;"",G2764,IFERROR(INDEX('Sản phẩm'!$E$5:$E$304,MATCH(D2764,'Sản phẩm'!$A$5:$A$304,0)),"")))</f>
        <v/>
      </c>
      <c r="J2764" s="16">
        <f>IF(OR(D2764="",F2764=""),"",F2764*I2764-N(H2764))</f>
        <v/>
      </c>
      <c r="K2764" s="16">
        <f>IF(OR(D2764="",F2764=""),"",F2764*IFERROR(INDEX('Sản phẩm'!$D$5:$D$304,MATCH(D2764,'Sản phẩm'!$A$5:$A$304,0)),""))</f>
        <v/>
      </c>
      <c r="L2764" s="16">
        <f>IF(J2764="","",J2764-K2764)</f>
        <v/>
      </c>
      <c r="M2764" s="14">
        <f>IF(A2764="","",MONTH(A2764))</f>
        <v/>
      </c>
      <c r="N2764" s="14">
        <f>IF(A2764="","",YEAR(A2764))</f>
        <v/>
      </c>
    </row>
    <row r="2765">
      <c r="A2765" s="15" t="n"/>
      <c r="B2765" s="10" t="n"/>
      <c r="C2765" s="10" t="n"/>
      <c r="D2765" s="10" t="n"/>
      <c r="E2765" s="14">
        <f>IF(D2765="","",IFERROR(INDEX('Sản phẩm'!$B$5:$B$304,MATCH(D2765,'Sản phẩm'!$A$5:$A$304,0)),""))</f>
        <v/>
      </c>
      <c r="F2765" s="12" t="n"/>
      <c r="G2765" s="11" t="n"/>
      <c r="H2765" s="11" t="n"/>
      <c r="I2765" s="16">
        <f>IF(D2765="","",IF(G2765&lt;&gt;"",G2765,IFERROR(INDEX('Sản phẩm'!$E$5:$E$304,MATCH(D2765,'Sản phẩm'!$A$5:$A$304,0)),"")))</f>
        <v/>
      </c>
      <c r="J2765" s="16">
        <f>IF(OR(D2765="",F2765=""),"",F2765*I2765-N(H2765))</f>
        <v/>
      </c>
      <c r="K2765" s="16">
        <f>IF(OR(D2765="",F2765=""),"",F2765*IFERROR(INDEX('Sản phẩm'!$D$5:$D$304,MATCH(D2765,'Sản phẩm'!$A$5:$A$304,0)),""))</f>
        <v/>
      </c>
      <c r="L2765" s="16">
        <f>IF(J2765="","",J2765-K2765)</f>
        <v/>
      </c>
      <c r="M2765" s="14">
        <f>IF(A2765="","",MONTH(A2765))</f>
        <v/>
      </c>
      <c r="N2765" s="14">
        <f>IF(A2765="","",YEAR(A2765))</f>
        <v/>
      </c>
    </row>
    <row r="2766">
      <c r="A2766" s="15" t="n"/>
      <c r="B2766" s="10" t="n"/>
      <c r="C2766" s="10" t="n"/>
      <c r="D2766" s="10" t="n"/>
      <c r="E2766" s="14">
        <f>IF(D2766="","",IFERROR(INDEX('Sản phẩm'!$B$5:$B$304,MATCH(D2766,'Sản phẩm'!$A$5:$A$304,0)),""))</f>
        <v/>
      </c>
      <c r="F2766" s="12" t="n"/>
      <c r="G2766" s="11" t="n"/>
      <c r="H2766" s="11" t="n"/>
      <c r="I2766" s="16">
        <f>IF(D2766="","",IF(G2766&lt;&gt;"",G2766,IFERROR(INDEX('Sản phẩm'!$E$5:$E$304,MATCH(D2766,'Sản phẩm'!$A$5:$A$304,0)),"")))</f>
        <v/>
      </c>
      <c r="J2766" s="16">
        <f>IF(OR(D2766="",F2766=""),"",F2766*I2766-N(H2766))</f>
        <v/>
      </c>
      <c r="K2766" s="16">
        <f>IF(OR(D2766="",F2766=""),"",F2766*IFERROR(INDEX('Sản phẩm'!$D$5:$D$304,MATCH(D2766,'Sản phẩm'!$A$5:$A$304,0)),""))</f>
        <v/>
      </c>
      <c r="L2766" s="16">
        <f>IF(J2766="","",J2766-K2766)</f>
        <v/>
      </c>
      <c r="M2766" s="14">
        <f>IF(A2766="","",MONTH(A2766))</f>
        <v/>
      </c>
      <c r="N2766" s="14">
        <f>IF(A2766="","",YEAR(A2766))</f>
        <v/>
      </c>
    </row>
    <row r="2767">
      <c r="A2767" s="15" t="n"/>
      <c r="B2767" s="10" t="n"/>
      <c r="C2767" s="10" t="n"/>
      <c r="D2767" s="10" t="n"/>
      <c r="E2767" s="14">
        <f>IF(D2767="","",IFERROR(INDEX('Sản phẩm'!$B$5:$B$304,MATCH(D2767,'Sản phẩm'!$A$5:$A$304,0)),""))</f>
        <v/>
      </c>
      <c r="F2767" s="12" t="n"/>
      <c r="G2767" s="11" t="n"/>
      <c r="H2767" s="11" t="n"/>
      <c r="I2767" s="16">
        <f>IF(D2767="","",IF(G2767&lt;&gt;"",G2767,IFERROR(INDEX('Sản phẩm'!$E$5:$E$304,MATCH(D2767,'Sản phẩm'!$A$5:$A$304,0)),"")))</f>
        <v/>
      </c>
      <c r="J2767" s="16">
        <f>IF(OR(D2767="",F2767=""),"",F2767*I2767-N(H2767))</f>
        <v/>
      </c>
      <c r="K2767" s="16">
        <f>IF(OR(D2767="",F2767=""),"",F2767*IFERROR(INDEX('Sản phẩm'!$D$5:$D$304,MATCH(D2767,'Sản phẩm'!$A$5:$A$304,0)),""))</f>
        <v/>
      </c>
      <c r="L2767" s="16">
        <f>IF(J2767="","",J2767-K2767)</f>
        <v/>
      </c>
      <c r="M2767" s="14">
        <f>IF(A2767="","",MONTH(A2767))</f>
        <v/>
      </c>
      <c r="N2767" s="14">
        <f>IF(A2767="","",YEAR(A2767))</f>
        <v/>
      </c>
    </row>
    <row r="2768">
      <c r="A2768" s="15" t="n"/>
      <c r="B2768" s="10" t="n"/>
      <c r="C2768" s="10" t="n"/>
      <c r="D2768" s="10" t="n"/>
      <c r="E2768" s="14">
        <f>IF(D2768="","",IFERROR(INDEX('Sản phẩm'!$B$5:$B$304,MATCH(D2768,'Sản phẩm'!$A$5:$A$304,0)),""))</f>
        <v/>
      </c>
      <c r="F2768" s="12" t="n"/>
      <c r="G2768" s="11" t="n"/>
      <c r="H2768" s="11" t="n"/>
      <c r="I2768" s="16">
        <f>IF(D2768="","",IF(G2768&lt;&gt;"",G2768,IFERROR(INDEX('Sản phẩm'!$E$5:$E$304,MATCH(D2768,'Sản phẩm'!$A$5:$A$304,0)),"")))</f>
        <v/>
      </c>
      <c r="J2768" s="16">
        <f>IF(OR(D2768="",F2768=""),"",F2768*I2768-N(H2768))</f>
        <v/>
      </c>
      <c r="K2768" s="16">
        <f>IF(OR(D2768="",F2768=""),"",F2768*IFERROR(INDEX('Sản phẩm'!$D$5:$D$304,MATCH(D2768,'Sản phẩm'!$A$5:$A$304,0)),""))</f>
        <v/>
      </c>
      <c r="L2768" s="16">
        <f>IF(J2768="","",J2768-K2768)</f>
        <v/>
      </c>
      <c r="M2768" s="14">
        <f>IF(A2768="","",MONTH(A2768))</f>
        <v/>
      </c>
      <c r="N2768" s="14">
        <f>IF(A2768="","",YEAR(A2768))</f>
        <v/>
      </c>
    </row>
    <row r="2769">
      <c r="A2769" s="15" t="n"/>
      <c r="B2769" s="10" t="n"/>
      <c r="C2769" s="10" t="n"/>
      <c r="D2769" s="10" t="n"/>
      <c r="E2769" s="14">
        <f>IF(D2769="","",IFERROR(INDEX('Sản phẩm'!$B$5:$B$304,MATCH(D2769,'Sản phẩm'!$A$5:$A$304,0)),""))</f>
        <v/>
      </c>
      <c r="F2769" s="12" t="n"/>
      <c r="G2769" s="11" t="n"/>
      <c r="H2769" s="11" t="n"/>
      <c r="I2769" s="16">
        <f>IF(D2769="","",IF(G2769&lt;&gt;"",G2769,IFERROR(INDEX('Sản phẩm'!$E$5:$E$304,MATCH(D2769,'Sản phẩm'!$A$5:$A$304,0)),"")))</f>
        <v/>
      </c>
      <c r="J2769" s="16">
        <f>IF(OR(D2769="",F2769=""),"",F2769*I2769-N(H2769))</f>
        <v/>
      </c>
      <c r="K2769" s="16">
        <f>IF(OR(D2769="",F2769=""),"",F2769*IFERROR(INDEX('Sản phẩm'!$D$5:$D$304,MATCH(D2769,'Sản phẩm'!$A$5:$A$304,0)),""))</f>
        <v/>
      </c>
      <c r="L2769" s="16">
        <f>IF(J2769="","",J2769-K2769)</f>
        <v/>
      </c>
      <c r="M2769" s="14">
        <f>IF(A2769="","",MONTH(A2769))</f>
        <v/>
      </c>
      <c r="N2769" s="14">
        <f>IF(A2769="","",YEAR(A2769))</f>
        <v/>
      </c>
    </row>
    <row r="2770">
      <c r="A2770" s="15" t="n"/>
      <c r="B2770" s="10" t="n"/>
      <c r="C2770" s="10" t="n"/>
      <c r="D2770" s="10" t="n"/>
      <c r="E2770" s="14">
        <f>IF(D2770="","",IFERROR(INDEX('Sản phẩm'!$B$5:$B$304,MATCH(D2770,'Sản phẩm'!$A$5:$A$304,0)),""))</f>
        <v/>
      </c>
      <c r="F2770" s="12" t="n"/>
      <c r="G2770" s="11" t="n"/>
      <c r="H2770" s="11" t="n"/>
      <c r="I2770" s="16">
        <f>IF(D2770="","",IF(G2770&lt;&gt;"",G2770,IFERROR(INDEX('Sản phẩm'!$E$5:$E$304,MATCH(D2770,'Sản phẩm'!$A$5:$A$304,0)),"")))</f>
        <v/>
      </c>
      <c r="J2770" s="16">
        <f>IF(OR(D2770="",F2770=""),"",F2770*I2770-N(H2770))</f>
        <v/>
      </c>
      <c r="K2770" s="16">
        <f>IF(OR(D2770="",F2770=""),"",F2770*IFERROR(INDEX('Sản phẩm'!$D$5:$D$304,MATCH(D2770,'Sản phẩm'!$A$5:$A$304,0)),""))</f>
        <v/>
      </c>
      <c r="L2770" s="16">
        <f>IF(J2770="","",J2770-K2770)</f>
        <v/>
      </c>
      <c r="M2770" s="14">
        <f>IF(A2770="","",MONTH(A2770))</f>
        <v/>
      </c>
      <c r="N2770" s="14">
        <f>IF(A2770="","",YEAR(A2770))</f>
        <v/>
      </c>
    </row>
    <row r="2771">
      <c r="A2771" s="15" t="n"/>
      <c r="B2771" s="10" t="n"/>
      <c r="C2771" s="10" t="n"/>
      <c r="D2771" s="10" t="n"/>
      <c r="E2771" s="14">
        <f>IF(D2771="","",IFERROR(INDEX('Sản phẩm'!$B$5:$B$304,MATCH(D2771,'Sản phẩm'!$A$5:$A$304,0)),""))</f>
        <v/>
      </c>
      <c r="F2771" s="12" t="n"/>
      <c r="G2771" s="11" t="n"/>
      <c r="H2771" s="11" t="n"/>
      <c r="I2771" s="16">
        <f>IF(D2771="","",IF(G2771&lt;&gt;"",G2771,IFERROR(INDEX('Sản phẩm'!$E$5:$E$304,MATCH(D2771,'Sản phẩm'!$A$5:$A$304,0)),"")))</f>
        <v/>
      </c>
      <c r="J2771" s="16">
        <f>IF(OR(D2771="",F2771=""),"",F2771*I2771-N(H2771))</f>
        <v/>
      </c>
      <c r="K2771" s="16">
        <f>IF(OR(D2771="",F2771=""),"",F2771*IFERROR(INDEX('Sản phẩm'!$D$5:$D$304,MATCH(D2771,'Sản phẩm'!$A$5:$A$304,0)),""))</f>
        <v/>
      </c>
      <c r="L2771" s="16">
        <f>IF(J2771="","",J2771-K2771)</f>
        <v/>
      </c>
      <c r="M2771" s="14">
        <f>IF(A2771="","",MONTH(A2771))</f>
        <v/>
      </c>
      <c r="N2771" s="14">
        <f>IF(A2771="","",YEAR(A2771))</f>
        <v/>
      </c>
    </row>
    <row r="2772">
      <c r="A2772" s="15" t="n"/>
      <c r="B2772" s="10" t="n"/>
      <c r="C2772" s="10" t="n"/>
      <c r="D2772" s="10" t="n"/>
      <c r="E2772" s="14">
        <f>IF(D2772="","",IFERROR(INDEX('Sản phẩm'!$B$5:$B$304,MATCH(D2772,'Sản phẩm'!$A$5:$A$304,0)),""))</f>
        <v/>
      </c>
      <c r="F2772" s="12" t="n"/>
      <c r="G2772" s="11" t="n"/>
      <c r="H2772" s="11" t="n"/>
      <c r="I2772" s="16">
        <f>IF(D2772="","",IF(G2772&lt;&gt;"",G2772,IFERROR(INDEX('Sản phẩm'!$E$5:$E$304,MATCH(D2772,'Sản phẩm'!$A$5:$A$304,0)),"")))</f>
        <v/>
      </c>
      <c r="J2772" s="16">
        <f>IF(OR(D2772="",F2772=""),"",F2772*I2772-N(H2772))</f>
        <v/>
      </c>
      <c r="K2772" s="16">
        <f>IF(OR(D2772="",F2772=""),"",F2772*IFERROR(INDEX('Sản phẩm'!$D$5:$D$304,MATCH(D2772,'Sản phẩm'!$A$5:$A$304,0)),""))</f>
        <v/>
      </c>
      <c r="L2772" s="16">
        <f>IF(J2772="","",J2772-K2772)</f>
        <v/>
      </c>
      <c r="M2772" s="14">
        <f>IF(A2772="","",MONTH(A2772))</f>
        <v/>
      </c>
      <c r="N2772" s="14">
        <f>IF(A2772="","",YEAR(A2772))</f>
        <v/>
      </c>
    </row>
    <row r="2773">
      <c r="A2773" s="15" t="n"/>
      <c r="B2773" s="10" t="n"/>
      <c r="C2773" s="10" t="n"/>
      <c r="D2773" s="10" t="n"/>
      <c r="E2773" s="14">
        <f>IF(D2773="","",IFERROR(INDEX('Sản phẩm'!$B$5:$B$304,MATCH(D2773,'Sản phẩm'!$A$5:$A$304,0)),""))</f>
        <v/>
      </c>
      <c r="F2773" s="12" t="n"/>
      <c r="G2773" s="11" t="n"/>
      <c r="H2773" s="11" t="n"/>
      <c r="I2773" s="16">
        <f>IF(D2773="","",IF(G2773&lt;&gt;"",G2773,IFERROR(INDEX('Sản phẩm'!$E$5:$E$304,MATCH(D2773,'Sản phẩm'!$A$5:$A$304,0)),"")))</f>
        <v/>
      </c>
      <c r="J2773" s="16">
        <f>IF(OR(D2773="",F2773=""),"",F2773*I2773-N(H2773))</f>
        <v/>
      </c>
      <c r="K2773" s="16">
        <f>IF(OR(D2773="",F2773=""),"",F2773*IFERROR(INDEX('Sản phẩm'!$D$5:$D$304,MATCH(D2773,'Sản phẩm'!$A$5:$A$304,0)),""))</f>
        <v/>
      </c>
      <c r="L2773" s="16">
        <f>IF(J2773="","",J2773-K2773)</f>
        <v/>
      </c>
      <c r="M2773" s="14">
        <f>IF(A2773="","",MONTH(A2773))</f>
        <v/>
      </c>
      <c r="N2773" s="14">
        <f>IF(A2773="","",YEAR(A2773))</f>
        <v/>
      </c>
    </row>
    <row r="2774">
      <c r="A2774" s="15" t="n"/>
      <c r="B2774" s="10" t="n"/>
      <c r="C2774" s="10" t="n"/>
      <c r="D2774" s="10" t="n"/>
      <c r="E2774" s="14">
        <f>IF(D2774="","",IFERROR(INDEX('Sản phẩm'!$B$5:$B$304,MATCH(D2774,'Sản phẩm'!$A$5:$A$304,0)),""))</f>
        <v/>
      </c>
      <c r="F2774" s="12" t="n"/>
      <c r="G2774" s="11" t="n"/>
      <c r="H2774" s="11" t="n"/>
      <c r="I2774" s="16">
        <f>IF(D2774="","",IF(G2774&lt;&gt;"",G2774,IFERROR(INDEX('Sản phẩm'!$E$5:$E$304,MATCH(D2774,'Sản phẩm'!$A$5:$A$304,0)),"")))</f>
        <v/>
      </c>
      <c r="J2774" s="16">
        <f>IF(OR(D2774="",F2774=""),"",F2774*I2774-N(H2774))</f>
        <v/>
      </c>
      <c r="K2774" s="16">
        <f>IF(OR(D2774="",F2774=""),"",F2774*IFERROR(INDEX('Sản phẩm'!$D$5:$D$304,MATCH(D2774,'Sản phẩm'!$A$5:$A$304,0)),""))</f>
        <v/>
      </c>
      <c r="L2774" s="16">
        <f>IF(J2774="","",J2774-K2774)</f>
        <v/>
      </c>
      <c r="M2774" s="14">
        <f>IF(A2774="","",MONTH(A2774))</f>
        <v/>
      </c>
      <c r="N2774" s="14">
        <f>IF(A2774="","",YEAR(A2774))</f>
        <v/>
      </c>
    </row>
    <row r="2775">
      <c r="A2775" s="15" t="n"/>
      <c r="B2775" s="10" t="n"/>
      <c r="C2775" s="10" t="n"/>
      <c r="D2775" s="10" t="n"/>
      <c r="E2775" s="14">
        <f>IF(D2775="","",IFERROR(INDEX('Sản phẩm'!$B$5:$B$304,MATCH(D2775,'Sản phẩm'!$A$5:$A$304,0)),""))</f>
        <v/>
      </c>
      <c r="F2775" s="12" t="n"/>
      <c r="G2775" s="11" t="n"/>
      <c r="H2775" s="11" t="n"/>
      <c r="I2775" s="16">
        <f>IF(D2775="","",IF(G2775&lt;&gt;"",G2775,IFERROR(INDEX('Sản phẩm'!$E$5:$E$304,MATCH(D2775,'Sản phẩm'!$A$5:$A$304,0)),"")))</f>
        <v/>
      </c>
      <c r="J2775" s="16">
        <f>IF(OR(D2775="",F2775=""),"",F2775*I2775-N(H2775))</f>
        <v/>
      </c>
      <c r="K2775" s="16">
        <f>IF(OR(D2775="",F2775=""),"",F2775*IFERROR(INDEX('Sản phẩm'!$D$5:$D$304,MATCH(D2775,'Sản phẩm'!$A$5:$A$304,0)),""))</f>
        <v/>
      </c>
      <c r="L2775" s="16">
        <f>IF(J2775="","",J2775-K2775)</f>
        <v/>
      </c>
      <c r="M2775" s="14">
        <f>IF(A2775="","",MONTH(A2775))</f>
        <v/>
      </c>
      <c r="N2775" s="14">
        <f>IF(A2775="","",YEAR(A2775))</f>
        <v/>
      </c>
    </row>
    <row r="2776">
      <c r="A2776" s="15" t="n"/>
      <c r="B2776" s="10" t="n"/>
      <c r="C2776" s="10" t="n"/>
      <c r="D2776" s="10" t="n"/>
      <c r="E2776" s="14">
        <f>IF(D2776="","",IFERROR(INDEX('Sản phẩm'!$B$5:$B$304,MATCH(D2776,'Sản phẩm'!$A$5:$A$304,0)),""))</f>
        <v/>
      </c>
      <c r="F2776" s="12" t="n"/>
      <c r="G2776" s="11" t="n"/>
      <c r="H2776" s="11" t="n"/>
      <c r="I2776" s="16">
        <f>IF(D2776="","",IF(G2776&lt;&gt;"",G2776,IFERROR(INDEX('Sản phẩm'!$E$5:$E$304,MATCH(D2776,'Sản phẩm'!$A$5:$A$304,0)),"")))</f>
        <v/>
      </c>
      <c r="J2776" s="16">
        <f>IF(OR(D2776="",F2776=""),"",F2776*I2776-N(H2776))</f>
        <v/>
      </c>
      <c r="K2776" s="16">
        <f>IF(OR(D2776="",F2776=""),"",F2776*IFERROR(INDEX('Sản phẩm'!$D$5:$D$304,MATCH(D2776,'Sản phẩm'!$A$5:$A$304,0)),""))</f>
        <v/>
      </c>
      <c r="L2776" s="16">
        <f>IF(J2776="","",J2776-K2776)</f>
        <v/>
      </c>
      <c r="M2776" s="14">
        <f>IF(A2776="","",MONTH(A2776))</f>
        <v/>
      </c>
      <c r="N2776" s="14">
        <f>IF(A2776="","",YEAR(A2776))</f>
        <v/>
      </c>
    </row>
    <row r="2777">
      <c r="A2777" s="15" t="n"/>
      <c r="B2777" s="10" t="n"/>
      <c r="C2777" s="10" t="n"/>
      <c r="D2777" s="10" t="n"/>
      <c r="E2777" s="14">
        <f>IF(D2777="","",IFERROR(INDEX('Sản phẩm'!$B$5:$B$304,MATCH(D2777,'Sản phẩm'!$A$5:$A$304,0)),""))</f>
        <v/>
      </c>
      <c r="F2777" s="12" t="n"/>
      <c r="G2777" s="11" t="n"/>
      <c r="H2777" s="11" t="n"/>
      <c r="I2777" s="16">
        <f>IF(D2777="","",IF(G2777&lt;&gt;"",G2777,IFERROR(INDEX('Sản phẩm'!$E$5:$E$304,MATCH(D2777,'Sản phẩm'!$A$5:$A$304,0)),"")))</f>
        <v/>
      </c>
      <c r="J2777" s="16">
        <f>IF(OR(D2777="",F2777=""),"",F2777*I2777-N(H2777))</f>
        <v/>
      </c>
      <c r="K2777" s="16">
        <f>IF(OR(D2777="",F2777=""),"",F2777*IFERROR(INDEX('Sản phẩm'!$D$5:$D$304,MATCH(D2777,'Sản phẩm'!$A$5:$A$304,0)),""))</f>
        <v/>
      </c>
      <c r="L2777" s="16">
        <f>IF(J2777="","",J2777-K2777)</f>
        <v/>
      </c>
      <c r="M2777" s="14">
        <f>IF(A2777="","",MONTH(A2777))</f>
        <v/>
      </c>
      <c r="N2777" s="14">
        <f>IF(A2777="","",YEAR(A2777))</f>
        <v/>
      </c>
    </row>
    <row r="2778">
      <c r="A2778" s="15" t="n"/>
      <c r="B2778" s="10" t="n"/>
      <c r="C2778" s="10" t="n"/>
      <c r="D2778" s="10" t="n"/>
      <c r="E2778" s="14">
        <f>IF(D2778="","",IFERROR(INDEX('Sản phẩm'!$B$5:$B$304,MATCH(D2778,'Sản phẩm'!$A$5:$A$304,0)),""))</f>
        <v/>
      </c>
      <c r="F2778" s="12" t="n"/>
      <c r="G2778" s="11" t="n"/>
      <c r="H2778" s="11" t="n"/>
      <c r="I2778" s="16">
        <f>IF(D2778="","",IF(G2778&lt;&gt;"",G2778,IFERROR(INDEX('Sản phẩm'!$E$5:$E$304,MATCH(D2778,'Sản phẩm'!$A$5:$A$304,0)),"")))</f>
        <v/>
      </c>
      <c r="J2778" s="16">
        <f>IF(OR(D2778="",F2778=""),"",F2778*I2778-N(H2778))</f>
        <v/>
      </c>
      <c r="K2778" s="16">
        <f>IF(OR(D2778="",F2778=""),"",F2778*IFERROR(INDEX('Sản phẩm'!$D$5:$D$304,MATCH(D2778,'Sản phẩm'!$A$5:$A$304,0)),""))</f>
        <v/>
      </c>
      <c r="L2778" s="16">
        <f>IF(J2778="","",J2778-K2778)</f>
        <v/>
      </c>
      <c r="M2778" s="14">
        <f>IF(A2778="","",MONTH(A2778))</f>
        <v/>
      </c>
      <c r="N2778" s="14">
        <f>IF(A2778="","",YEAR(A2778))</f>
        <v/>
      </c>
    </row>
    <row r="2779">
      <c r="A2779" s="15" t="n"/>
      <c r="B2779" s="10" t="n"/>
      <c r="C2779" s="10" t="n"/>
      <c r="D2779" s="10" t="n"/>
      <c r="E2779" s="14">
        <f>IF(D2779="","",IFERROR(INDEX('Sản phẩm'!$B$5:$B$304,MATCH(D2779,'Sản phẩm'!$A$5:$A$304,0)),""))</f>
        <v/>
      </c>
      <c r="F2779" s="12" t="n"/>
      <c r="G2779" s="11" t="n"/>
      <c r="H2779" s="11" t="n"/>
      <c r="I2779" s="16">
        <f>IF(D2779="","",IF(G2779&lt;&gt;"",G2779,IFERROR(INDEX('Sản phẩm'!$E$5:$E$304,MATCH(D2779,'Sản phẩm'!$A$5:$A$304,0)),"")))</f>
        <v/>
      </c>
      <c r="J2779" s="16">
        <f>IF(OR(D2779="",F2779=""),"",F2779*I2779-N(H2779))</f>
        <v/>
      </c>
      <c r="K2779" s="16">
        <f>IF(OR(D2779="",F2779=""),"",F2779*IFERROR(INDEX('Sản phẩm'!$D$5:$D$304,MATCH(D2779,'Sản phẩm'!$A$5:$A$304,0)),""))</f>
        <v/>
      </c>
      <c r="L2779" s="16">
        <f>IF(J2779="","",J2779-K2779)</f>
        <v/>
      </c>
      <c r="M2779" s="14">
        <f>IF(A2779="","",MONTH(A2779))</f>
        <v/>
      </c>
      <c r="N2779" s="14">
        <f>IF(A2779="","",YEAR(A2779))</f>
        <v/>
      </c>
    </row>
    <row r="2780">
      <c r="A2780" s="15" t="n"/>
      <c r="B2780" s="10" t="n"/>
      <c r="C2780" s="10" t="n"/>
      <c r="D2780" s="10" t="n"/>
      <c r="E2780" s="14">
        <f>IF(D2780="","",IFERROR(INDEX('Sản phẩm'!$B$5:$B$304,MATCH(D2780,'Sản phẩm'!$A$5:$A$304,0)),""))</f>
        <v/>
      </c>
      <c r="F2780" s="12" t="n"/>
      <c r="G2780" s="11" t="n"/>
      <c r="H2780" s="11" t="n"/>
      <c r="I2780" s="16">
        <f>IF(D2780="","",IF(G2780&lt;&gt;"",G2780,IFERROR(INDEX('Sản phẩm'!$E$5:$E$304,MATCH(D2780,'Sản phẩm'!$A$5:$A$304,0)),"")))</f>
        <v/>
      </c>
      <c r="J2780" s="16">
        <f>IF(OR(D2780="",F2780=""),"",F2780*I2780-N(H2780))</f>
        <v/>
      </c>
      <c r="K2780" s="16">
        <f>IF(OR(D2780="",F2780=""),"",F2780*IFERROR(INDEX('Sản phẩm'!$D$5:$D$304,MATCH(D2780,'Sản phẩm'!$A$5:$A$304,0)),""))</f>
        <v/>
      </c>
      <c r="L2780" s="16">
        <f>IF(J2780="","",J2780-K2780)</f>
        <v/>
      </c>
      <c r="M2780" s="14">
        <f>IF(A2780="","",MONTH(A2780))</f>
        <v/>
      </c>
      <c r="N2780" s="14">
        <f>IF(A2780="","",YEAR(A2780))</f>
        <v/>
      </c>
    </row>
    <row r="2781">
      <c r="A2781" s="15" t="n"/>
      <c r="B2781" s="10" t="n"/>
      <c r="C2781" s="10" t="n"/>
      <c r="D2781" s="10" t="n"/>
      <c r="E2781" s="14">
        <f>IF(D2781="","",IFERROR(INDEX('Sản phẩm'!$B$5:$B$304,MATCH(D2781,'Sản phẩm'!$A$5:$A$304,0)),""))</f>
        <v/>
      </c>
      <c r="F2781" s="12" t="n"/>
      <c r="G2781" s="11" t="n"/>
      <c r="H2781" s="11" t="n"/>
      <c r="I2781" s="16">
        <f>IF(D2781="","",IF(G2781&lt;&gt;"",G2781,IFERROR(INDEX('Sản phẩm'!$E$5:$E$304,MATCH(D2781,'Sản phẩm'!$A$5:$A$304,0)),"")))</f>
        <v/>
      </c>
      <c r="J2781" s="16">
        <f>IF(OR(D2781="",F2781=""),"",F2781*I2781-N(H2781))</f>
        <v/>
      </c>
      <c r="K2781" s="16">
        <f>IF(OR(D2781="",F2781=""),"",F2781*IFERROR(INDEX('Sản phẩm'!$D$5:$D$304,MATCH(D2781,'Sản phẩm'!$A$5:$A$304,0)),""))</f>
        <v/>
      </c>
      <c r="L2781" s="16">
        <f>IF(J2781="","",J2781-K2781)</f>
        <v/>
      </c>
      <c r="M2781" s="14">
        <f>IF(A2781="","",MONTH(A2781))</f>
        <v/>
      </c>
      <c r="N2781" s="14">
        <f>IF(A2781="","",YEAR(A2781))</f>
        <v/>
      </c>
    </row>
    <row r="2782">
      <c r="A2782" s="15" t="n"/>
      <c r="B2782" s="10" t="n"/>
      <c r="C2782" s="10" t="n"/>
      <c r="D2782" s="10" t="n"/>
      <c r="E2782" s="14">
        <f>IF(D2782="","",IFERROR(INDEX('Sản phẩm'!$B$5:$B$304,MATCH(D2782,'Sản phẩm'!$A$5:$A$304,0)),""))</f>
        <v/>
      </c>
      <c r="F2782" s="12" t="n"/>
      <c r="G2782" s="11" t="n"/>
      <c r="H2782" s="11" t="n"/>
      <c r="I2782" s="16">
        <f>IF(D2782="","",IF(G2782&lt;&gt;"",G2782,IFERROR(INDEX('Sản phẩm'!$E$5:$E$304,MATCH(D2782,'Sản phẩm'!$A$5:$A$304,0)),"")))</f>
        <v/>
      </c>
      <c r="J2782" s="16">
        <f>IF(OR(D2782="",F2782=""),"",F2782*I2782-N(H2782))</f>
        <v/>
      </c>
      <c r="K2782" s="16">
        <f>IF(OR(D2782="",F2782=""),"",F2782*IFERROR(INDEX('Sản phẩm'!$D$5:$D$304,MATCH(D2782,'Sản phẩm'!$A$5:$A$304,0)),""))</f>
        <v/>
      </c>
      <c r="L2782" s="16">
        <f>IF(J2782="","",J2782-K2782)</f>
        <v/>
      </c>
      <c r="M2782" s="14">
        <f>IF(A2782="","",MONTH(A2782))</f>
        <v/>
      </c>
      <c r="N2782" s="14">
        <f>IF(A2782="","",YEAR(A2782))</f>
        <v/>
      </c>
    </row>
    <row r="2783">
      <c r="A2783" s="15" t="n"/>
      <c r="B2783" s="10" t="n"/>
      <c r="C2783" s="10" t="n"/>
      <c r="D2783" s="10" t="n"/>
      <c r="E2783" s="14">
        <f>IF(D2783="","",IFERROR(INDEX('Sản phẩm'!$B$5:$B$304,MATCH(D2783,'Sản phẩm'!$A$5:$A$304,0)),""))</f>
        <v/>
      </c>
      <c r="F2783" s="12" t="n"/>
      <c r="G2783" s="11" t="n"/>
      <c r="H2783" s="11" t="n"/>
      <c r="I2783" s="16">
        <f>IF(D2783="","",IF(G2783&lt;&gt;"",G2783,IFERROR(INDEX('Sản phẩm'!$E$5:$E$304,MATCH(D2783,'Sản phẩm'!$A$5:$A$304,0)),"")))</f>
        <v/>
      </c>
      <c r="J2783" s="16">
        <f>IF(OR(D2783="",F2783=""),"",F2783*I2783-N(H2783))</f>
        <v/>
      </c>
      <c r="K2783" s="16">
        <f>IF(OR(D2783="",F2783=""),"",F2783*IFERROR(INDEX('Sản phẩm'!$D$5:$D$304,MATCH(D2783,'Sản phẩm'!$A$5:$A$304,0)),""))</f>
        <v/>
      </c>
      <c r="L2783" s="16">
        <f>IF(J2783="","",J2783-K2783)</f>
        <v/>
      </c>
      <c r="M2783" s="14">
        <f>IF(A2783="","",MONTH(A2783))</f>
        <v/>
      </c>
      <c r="N2783" s="14">
        <f>IF(A2783="","",YEAR(A2783))</f>
        <v/>
      </c>
    </row>
    <row r="2784">
      <c r="A2784" s="15" t="n"/>
      <c r="B2784" s="10" t="n"/>
      <c r="C2784" s="10" t="n"/>
      <c r="D2784" s="10" t="n"/>
      <c r="E2784" s="14">
        <f>IF(D2784="","",IFERROR(INDEX('Sản phẩm'!$B$5:$B$304,MATCH(D2784,'Sản phẩm'!$A$5:$A$304,0)),""))</f>
        <v/>
      </c>
      <c r="F2784" s="12" t="n"/>
      <c r="G2784" s="11" t="n"/>
      <c r="H2784" s="11" t="n"/>
      <c r="I2784" s="16">
        <f>IF(D2784="","",IF(G2784&lt;&gt;"",G2784,IFERROR(INDEX('Sản phẩm'!$E$5:$E$304,MATCH(D2784,'Sản phẩm'!$A$5:$A$304,0)),"")))</f>
        <v/>
      </c>
      <c r="J2784" s="16">
        <f>IF(OR(D2784="",F2784=""),"",F2784*I2784-N(H2784))</f>
        <v/>
      </c>
      <c r="K2784" s="16">
        <f>IF(OR(D2784="",F2784=""),"",F2784*IFERROR(INDEX('Sản phẩm'!$D$5:$D$304,MATCH(D2784,'Sản phẩm'!$A$5:$A$304,0)),""))</f>
        <v/>
      </c>
      <c r="L2784" s="16">
        <f>IF(J2784="","",J2784-K2784)</f>
        <v/>
      </c>
      <c r="M2784" s="14">
        <f>IF(A2784="","",MONTH(A2784))</f>
        <v/>
      </c>
      <c r="N2784" s="14">
        <f>IF(A2784="","",YEAR(A2784))</f>
        <v/>
      </c>
    </row>
    <row r="2785">
      <c r="A2785" s="15" t="n"/>
      <c r="B2785" s="10" t="n"/>
      <c r="C2785" s="10" t="n"/>
      <c r="D2785" s="10" t="n"/>
      <c r="E2785" s="14">
        <f>IF(D2785="","",IFERROR(INDEX('Sản phẩm'!$B$5:$B$304,MATCH(D2785,'Sản phẩm'!$A$5:$A$304,0)),""))</f>
        <v/>
      </c>
      <c r="F2785" s="12" t="n"/>
      <c r="G2785" s="11" t="n"/>
      <c r="H2785" s="11" t="n"/>
      <c r="I2785" s="16">
        <f>IF(D2785="","",IF(G2785&lt;&gt;"",G2785,IFERROR(INDEX('Sản phẩm'!$E$5:$E$304,MATCH(D2785,'Sản phẩm'!$A$5:$A$304,0)),"")))</f>
        <v/>
      </c>
      <c r="J2785" s="16">
        <f>IF(OR(D2785="",F2785=""),"",F2785*I2785-N(H2785))</f>
        <v/>
      </c>
      <c r="K2785" s="16">
        <f>IF(OR(D2785="",F2785=""),"",F2785*IFERROR(INDEX('Sản phẩm'!$D$5:$D$304,MATCH(D2785,'Sản phẩm'!$A$5:$A$304,0)),""))</f>
        <v/>
      </c>
      <c r="L2785" s="16">
        <f>IF(J2785="","",J2785-K2785)</f>
        <v/>
      </c>
      <c r="M2785" s="14">
        <f>IF(A2785="","",MONTH(A2785))</f>
        <v/>
      </c>
      <c r="N2785" s="14">
        <f>IF(A2785="","",YEAR(A2785))</f>
        <v/>
      </c>
    </row>
    <row r="2786">
      <c r="A2786" s="15" t="n"/>
      <c r="B2786" s="10" t="n"/>
      <c r="C2786" s="10" t="n"/>
      <c r="D2786" s="10" t="n"/>
      <c r="E2786" s="14">
        <f>IF(D2786="","",IFERROR(INDEX('Sản phẩm'!$B$5:$B$304,MATCH(D2786,'Sản phẩm'!$A$5:$A$304,0)),""))</f>
        <v/>
      </c>
      <c r="F2786" s="12" t="n"/>
      <c r="G2786" s="11" t="n"/>
      <c r="H2786" s="11" t="n"/>
      <c r="I2786" s="16">
        <f>IF(D2786="","",IF(G2786&lt;&gt;"",G2786,IFERROR(INDEX('Sản phẩm'!$E$5:$E$304,MATCH(D2786,'Sản phẩm'!$A$5:$A$304,0)),"")))</f>
        <v/>
      </c>
      <c r="J2786" s="16">
        <f>IF(OR(D2786="",F2786=""),"",F2786*I2786-N(H2786))</f>
        <v/>
      </c>
      <c r="K2786" s="16">
        <f>IF(OR(D2786="",F2786=""),"",F2786*IFERROR(INDEX('Sản phẩm'!$D$5:$D$304,MATCH(D2786,'Sản phẩm'!$A$5:$A$304,0)),""))</f>
        <v/>
      </c>
      <c r="L2786" s="16">
        <f>IF(J2786="","",J2786-K2786)</f>
        <v/>
      </c>
      <c r="M2786" s="14">
        <f>IF(A2786="","",MONTH(A2786))</f>
        <v/>
      </c>
      <c r="N2786" s="14">
        <f>IF(A2786="","",YEAR(A2786))</f>
        <v/>
      </c>
    </row>
    <row r="2787">
      <c r="A2787" s="15" t="n"/>
      <c r="B2787" s="10" t="n"/>
      <c r="C2787" s="10" t="n"/>
      <c r="D2787" s="10" t="n"/>
      <c r="E2787" s="14">
        <f>IF(D2787="","",IFERROR(INDEX('Sản phẩm'!$B$5:$B$304,MATCH(D2787,'Sản phẩm'!$A$5:$A$304,0)),""))</f>
        <v/>
      </c>
      <c r="F2787" s="12" t="n"/>
      <c r="G2787" s="11" t="n"/>
      <c r="H2787" s="11" t="n"/>
      <c r="I2787" s="16">
        <f>IF(D2787="","",IF(G2787&lt;&gt;"",G2787,IFERROR(INDEX('Sản phẩm'!$E$5:$E$304,MATCH(D2787,'Sản phẩm'!$A$5:$A$304,0)),"")))</f>
        <v/>
      </c>
      <c r="J2787" s="16">
        <f>IF(OR(D2787="",F2787=""),"",F2787*I2787-N(H2787))</f>
        <v/>
      </c>
      <c r="K2787" s="16">
        <f>IF(OR(D2787="",F2787=""),"",F2787*IFERROR(INDEX('Sản phẩm'!$D$5:$D$304,MATCH(D2787,'Sản phẩm'!$A$5:$A$304,0)),""))</f>
        <v/>
      </c>
      <c r="L2787" s="16">
        <f>IF(J2787="","",J2787-K2787)</f>
        <v/>
      </c>
      <c r="M2787" s="14">
        <f>IF(A2787="","",MONTH(A2787))</f>
        <v/>
      </c>
      <c r="N2787" s="14">
        <f>IF(A2787="","",YEAR(A2787))</f>
        <v/>
      </c>
    </row>
    <row r="2788">
      <c r="A2788" s="15" t="n"/>
      <c r="B2788" s="10" t="n"/>
      <c r="C2788" s="10" t="n"/>
      <c r="D2788" s="10" t="n"/>
      <c r="E2788" s="14">
        <f>IF(D2788="","",IFERROR(INDEX('Sản phẩm'!$B$5:$B$304,MATCH(D2788,'Sản phẩm'!$A$5:$A$304,0)),""))</f>
        <v/>
      </c>
      <c r="F2788" s="12" t="n"/>
      <c r="G2788" s="11" t="n"/>
      <c r="H2788" s="11" t="n"/>
      <c r="I2788" s="16">
        <f>IF(D2788="","",IF(G2788&lt;&gt;"",G2788,IFERROR(INDEX('Sản phẩm'!$E$5:$E$304,MATCH(D2788,'Sản phẩm'!$A$5:$A$304,0)),"")))</f>
        <v/>
      </c>
      <c r="J2788" s="16">
        <f>IF(OR(D2788="",F2788=""),"",F2788*I2788-N(H2788))</f>
        <v/>
      </c>
      <c r="K2788" s="16">
        <f>IF(OR(D2788="",F2788=""),"",F2788*IFERROR(INDEX('Sản phẩm'!$D$5:$D$304,MATCH(D2788,'Sản phẩm'!$A$5:$A$304,0)),""))</f>
        <v/>
      </c>
      <c r="L2788" s="16">
        <f>IF(J2788="","",J2788-K2788)</f>
        <v/>
      </c>
      <c r="M2788" s="14">
        <f>IF(A2788="","",MONTH(A2788))</f>
        <v/>
      </c>
      <c r="N2788" s="14">
        <f>IF(A2788="","",YEAR(A2788))</f>
        <v/>
      </c>
    </row>
    <row r="2789">
      <c r="A2789" s="15" t="n"/>
      <c r="B2789" s="10" t="n"/>
      <c r="C2789" s="10" t="n"/>
      <c r="D2789" s="10" t="n"/>
      <c r="E2789" s="14">
        <f>IF(D2789="","",IFERROR(INDEX('Sản phẩm'!$B$5:$B$304,MATCH(D2789,'Sản phẩm'!$A$5:$A$304,0)),""))</f>
        <v/>
      </c>
      <c r="F2789" s="12" t="n"/>
      <c r="G2789" s="11" t="n"/>
      <c r="H2789" s="11" t="n"/>
      <c r="I2789" s="16">
        <f>IF(D2789="","",IF(G2789&lt;&gt;"",G2789,IFERROR(INDEX('Sản phẩm'!$E$5:$E$304,MATCH(D2789,'Sản phẩm'!$A$5:$A$304,0)),"")))</f>
        <v/>
      </c>
      <c r="J2789" s="16">
        <f>IF(OR(D2789="",F2789=""),"",F2789*I2789-N(H2789))</f>
        <v/>
      </c>
      <c r="K2789" s="16">
        <f>IF(OR(D2789="",F2789=""),"",F2789*IFERROR(INDEX('Sản phẩm'!$D$5:$D$304,MATCH(D2789,'Sản phẩm'!$A$5:$A$304,0)),""))</f>
        <v/>
      </c>
      <c r="L2789" s="16">
        <f>IF(J2789="","",J2789-K2789)</f>
        <v/>
      </c>
      <c r="M2789" s="14">
        <f>IF(A2789="","",MONTH(A2789))</f>
        <v/>
      </c>
      <c r="N2789" s="14">
        <f>IF(A2789="","",YEAR(A2789))</f>
        <v/>
      </c>
    </row>
    <row r="2790">
      <c r="A2790" s="15" t="n"/>
      <c r="B2790" s="10" t="n"/>
      <c r="C2790" s="10" t="n"/>
      <c r="D2790" s="10" t="n"/>
      <c r="E2790" s="14">
        <f>IF(D2790="","",IFERROR(INDEX('Sản phẩm'!$B$5:$B$304,MATCH(D2790,'Sản phẩm'!$A$5:$A$304,0)),""))</f>
        <v/>
      </c>
      <c r="F2790" s="12" t="n"/>
      <c r="G2790" s="11" t="n"/>
      <c r="H2790" s="11" t="n"/>
      <c r="I2790" s="16">
        <f>IF(D2790="","",IF(G2790&lt;&gt;"",G2790,IFERROR(INDEX('Sản phẩm'!$E$5:$E$304,MATCH(D2790,'Sản phẩm'!$A$5:$A$304,0)),"")))</f>
        <v/>
      </c>
      <c r="J2790" s="16">
        <f>IF(OR(D2790="",F2790=""),"",F2790*I2790-N(H2790))</f>
        <v/>
      </c>
      <c r="K2790" s="16">
        <f>IF(OR(D2790="",F2790=""),"",F2790*IFERROR(INDEX('Sản phẩm'!$D$5:$D$304,MATCH(D2790,'Sản phẩm'!$A$5:$A$304,0)),""))</f>
        <v/>
      </c>
      <c r="L2790" s="16">
        <f>IF(J2790="","",J2790-K2790)</f>
        <v/>
      </c>
      <c r="M2790" s="14">
        <f>IF(A2790="","",MONTH(A2790))</f>
        <v/>
      </c>
      <c r="N2790" s="14">
        <f>IF(A2790="","",YEAR(A2790))</f>
        <v/>
      </c>
    </row>
    <row r="2791">
      <c r="A2791" s="15" t="n"/>
      <c r="B2791" s="10" t="n"/>
      <c r="C2791" s="10" t="n"/>
      <c r="D2791" s="10" t="n"/>
      <c r="E2791" s="14">
        <f>IF(D2791="","",IFERROR(INDEX('Sản phẩm'!$B$5:$B$304,MATCH(D2791,'Sản phẩm'!$A$5:$A$304,0)),""))</f>
        <v/>
      </c>
      <c r="F2791" s="12" t="n"/>
      <c r="G2791" s="11" t="n"/>
      <c r="H2791" s="11" t="n"/>
      <c r="I2791" s="16">
        <f>IF(D2791="","",IF(G2791&lt;&gt;"",G2791,IFERROR(INDEX('Sản phẩm'!$E$5:$E$304,MATCH(D2791,'Sản phẩm'!$A$5:$A$304,0)),"")))</f>
        <v/>
      </c>
      <c r="J2791" s="16">
        <f>IF(OR(D2791="",F2791=""),"",F2791*I2791-N(H2791))</f>
        <v/>
      </c>
      <c r="K2791" s="16">
        <f>IF(OR(D2791="",F2791=""),"",F2791*IFERROR(INDEX('Sản phẩm'!$D$5:$D$304,MATCH(D2791,'Sản phẩm'!$A$5:$A$304,0)),""))</f>
        <v/>
      </c>
      <c r="L2791" s="16">
        <f>IF(J2791="","",J2791-K2791)</f>
        <v/>
      </c>
      <c r="M2791" s="14">
        <f>IF(A2791="","",MONTH(A2791))</f>
        <v/>
      </c>
      <c r="N2791" s="14">
        <f>IF(A2791="","",YEAR(A2791))</f>
        <v/>
      </c>
    </row>
    <row r="2792">
      <c r="A2792" s="15" t="n"/>
      <c r="B2792" s="10" t="n"/>
      <c r="C2792" s="10" t="n"/>
      <c r="D2792" s="10" t="n"/>
      <c r="E2792" s="14">
        <f>IF(D2792="","",IFERROR(INDEX('Sản phẩm'!$B$5:$B$304,MATCH(D2792,'Sản phẩm'!$A$5:$A$304,0)),""))</f>
        <v/>
      </c>
      <c r="F2792" s="12" t="n"/>
      <c r="G2792" s="11" t="n"/>
      <c r="H2792" s="11" t="n"/>
      <c r="I2792" s="16">
        <f>IF(D2792="","",IF(G2792&lt;&gt;"",G2792,IFERROR(INDEX('Sản phẩm'!$E$5:$E$304,MATCH(D2792,'Sản phẩm'!$A$5:$A$304,0)),"")))</f>
        <v/>
      </c>
      <c r="J2792" s="16">
        <f>IF(OR(D2792="",F2792=""),"",F2792*I2792-N(H2792))</f>
        <v/>
      </c>
      <c r="K2792" s="16">
        <f>IF(OR(D2792="",F2792=""),"",F2792*IFERROR(INDEX('Sản phẩm'!$D$5:$D$304,MATCH(D2792,'Sản phẩm'!$A$5:$A$304,0)),""))</f>
        <v/>
      </c>
      <c r="L2792" s="16">
        <f>IF(J2792="","",J2792-K2792)</f>
        <v/>
      </c>
      <c r="M2792" s="14">
        <f>IF(A2792="","",MONTH(A2792))</f>
        <v/>
      </c>
      <c r="N2792" s="14">
        <f>IF(A2792="","",YEAR(A2792))</f>
        <v/>
      </c>
    </row>
    <row r="2793">
      <c r="A2793" s="15" t="n"/>
      <c r="B2793" s="10" t="n"/>
      <c r="C2793" s="10" t="n"/>
      <c r="D2793" s="10" t="n"/>
      <c r="E2793" s="14">
        <f>IF(D2793="","",IFERROR(INDEX('Sản phẩm'!$B$5:$B$304,MATCH(D2793,'Sản phẩm'!$A$5:$A$304,0)),""))</f>
        <v/>
      </c>
      <c r="F2793" s="12" t="n"/>
      <c r="G2793" s="11" t="n"/>
      <c r="H2793" s="11" t="n"/>
      <c r="I2793" s="16">
        <f>IF(D2793="","",IF(G2793&lt;&gt;"",G2793,IFERROR(INDEX('Sản phẩm'!$E$5:$E$304,MATCH(D2793,'Sản phẩm'!$A$5:$A$304,0)),"")))</f>
        <v/>
      </c>
      <c r="J2793" s="16">
        <f>IF(OR(D2793="",F2793=""),"",F2793*I2793-N(H2793))</f>
        <v/>
      </c>
      <c r="K2793" s="16">
        <f>IF(OR(D2793="",F2793=""),"",F2793*IFERROR(INDEX('Sản phẩm'!$D$5:$D$304,MATCH(D2793,'Sản phẩm'!$A$5:$A$304,0)),""))</f>
        <v/>
      </c>
      <c r="L2793" s="16">
        <f>IF(J2793="","",J2793-K2793)</f>
        <v/>
      </c>
      <c r="M2793" s="14">
        <f>IF(A2793="","",MONTH(A2793))</f>
        <v/>
      </c>
      <c r="N2793" s="14">
        <f>IF(A2793="","",YEAR(A2793))</f>
        <v/>
      </c>
    </row>
    <row r="2794">
      <c r="A2794" s="15" t="n"/>
      <c r="B2794" s="10" t="n"/>
      <c r="C2794" s="10" t="n"/>
      <c r="D2794" s="10" t="n"/>
      <c r="E2794" s="14">
        <f>IF(D2794="","",IFERROR(INDEX('Sản phẩm'!$B$5:$B$304,MATCH(D2794,'Sản phẩm'!$A$5:$A$304,0)),""))</f>
        <v/>
      </c>
      <c r="F2794" s="12" t="n"/>
      <c r="G2794" s="11" t="n"/>
      <c r="H2794" s="11" t="n"/>
      <c r="I2794" s="16">
        <f>IF(D2794="","",IF(G2794&lt;&gt;"",G2794,IFERROR(INDEX('Sản phẩm'!$E$5:$E$304,MATCH(D2794,'Sản phẩm'!$A$5:$A$304,0)),"")))</f>
        <v/>
      </c>
      <c r="J2794" s="16">
        <f>IF(OR(D2794="",F2794=""),"",F2794*I2794-N(H2794))</f>
        <v/>
      </c>
      <c r="K2794" s="16">
        <f>IF(OR(D2794="",F2794=""),"",F2794*IFERROR(INDEX('Sản phẩm'!$D$5:$D$304,MATCH(D2794,'Sản phẩm'!$A$5:$A$304,0)),""))</f>
        <v/>
      </c>
      <c r="L2794" s="16">
        <f>IF(J2794="","",J2794-K2794)</f>
        <v/>
      </c>
      <c r="M2794" s="14">
        <f>IF(A2794="","",MONTH(A2794))</f>
        <v/>
      </c>
      <c r="N2794" s="14">
        <f>IF(A2794="","",YEAR(A2794))</f>
        <v/>
      </c>
    </row>
    <row r="2795">
      <c r="A2795" s="15" t="n"/>
      <c r="B2795" s="10" t="n"/>
      <c r="C2795" s="10" t="n"/>
      <c r="D2795" s="10" t="n"/>
      <c r="E2795" s="14">
        <f>IF(D2795="","",IFERROR(INDEX('Sản phẩm'!$B$5:$B$304,MATCH(D2795,'Sản phẩm'!$A$5:$A$304,0)),""))</f>
        <v/>
      </c>
      <c r="F2795" s="12" t="n"/>
      <c r="G2795" s="11" t="n"/>
      <c r="H2795" s="11" t="n"/>
      <c r="I2795" s="16">
        <f>IF(D2795="","",IF(G2795&lt;&gt;"",G2795,IFERROR(INDEX('Sản phẩm'!$E$5:$E$304,MATCH(D2795,'Sản phẩm'!$A$5:$A$304,0)),"")))</f>
        <v/>
      </c>
      <c r="J2795" s="16">
        <f>IF(OR(D2795="",F2795=""),"",F2795*I2795-N(H2795))</f>
        <v/>
      </c>
      <c r="K2795" s="16">
        <f>IF(OR(D2795="",F2795=""),"",F2795*IFERROR(INDEX('Sản phẩm'!$D$5:$D$304,MATCH(D2795,'Sản phẩm'!$A$5:$A$304,0)),""))</f>
        <v/>
      </c>
      <c r="L2795" s="16">
        <f>IF(J2795="","",J2795-K2795)</f>
        <v/>
      </c>
      <c r="M2795" s="14">
        <f>IF(A2795="","",MONTH(A2795))</f>
        <v/>
      </c>
      <c r="N2795" s="14">
        <f>IF(A2795="","",YEAR(A2795))</f>
        <v/>
      </c>
    </row>
    <row r="2796">
      <c r="A2796" s="15" t="n"/>
      <c r="B2796" s="10" t="n"/>
      <c r="C2796" s="10" t="n"/>
      <c r="D2796" s="10" t="n"/>
      <c r="E2796" s="14">
        <f>IF(D2796="","",IFERROR(INDEX('Sản phẩm'!$B$5:$B$304,MATCH(D2796,'Sản phẩm'!$A$5:$A$304,0)),""))</f>
        <v/>
      </c>
      <c r="F2796" s="12" t="n"/>
      <c r="G2796" s="11" t="n"/>
      <c r="H2796" s="11" t="n"/>
      <c r="I2796" s="16">
        <f>IF(D2796="","",IF(G2796&lt;&gt;"",G2796,IFERROR(INDEX('Sản phẩm'!$E$5:$E$304,MATCH(D2796,'Sản phẩm'!$A$5:$A$304,0)),"")))</f>
        <v/>
      </c>
      <c r="J2796" s="16">
        <f>IF(OR(D2796="",F2796=""),"",F2796*I2796-N(H2796))</f>
        <v/>
      </c>
      <c r="K2796" s="16">
        <f>IF(OR(D2796="",F2796=""),"",F2796*IFERROR(INDEX('Sản phẩm'!$D$5:$D$304,MATCH(D2796,'Sản phẩm'!$A$5:$A$304,0)),""))</f>
        <v/>
      </c>
      <c r="L2796" s="16">
        <f>IF(J2796="","",J2796-K2796)</f>
        <v/>
      </c>
      <c r="M2796" s="14">
        <f>IF(A2796="","",MONTH(A2796))</f>
        <v/>
      </c>
      <c r="N2796" s="14">
        <f>IF(A2796="","",YEAR(A2796))</f>
        <v/>
      </c>
    </row>
    <row r="2797">
      <c r="A2797" s="15" t="n"/>
      <c r="B2797" s="10" t="n"/>
      <c r="C2797" s="10" t="n"/>
      <c r="D2797" s="10" t="n"/>
      <c r="E2797" s="14">
        <f>IF(D2797="","",IFERROR(INDEX('Sản phẩm'!$B$5:$B$304,MATCH(D2797,'Sản phẩm'!$A$5:$A$304,0)),""))</f>
        <v/>
      </c>
      <c r="F2797" s="12" t="n"/>
      <c r="G2797" s="11" t="n"/>
      <c r="H2797" s="11" t="n"/>
      <c r="I2797" s="16">
        <f>IF(D2797="","",IF(G2797&lt;&gt;"",G2797,IFERROR(INDEX('Sản phẩm'!$E$5:$E$304,MATCH(D2797,'Sản phẩm'!$A$5:$A$304,0)),"")))</f>
        <v/>
      </c>
      <c r="J2797" s="16">
        <f>IF(OR(D2797="",F2797=""),"",F2797*I2797-N(H2797))</f>
        <v/>
      </c>
      <c r="K2797" s="16">
        <f>IF(OR(D2797="",F2797=""),"",F2797*IFERROR(INDEX('Sản phẩm'!$D$5:$D$304,MATCH(D2797,'Sản phẩm'!$A$5:$A$304,0)),""))</f>
        <v/>
      </c>
      <c r="L2797" s="16">
        <f>IF(J2797="","",J2797-K2797)</f>
        <v/>
      </c>
      <c r="M2797" s="14">
        <f>IF(A2797="","",MONTH(A2797))</f>
        <v/>
      </c>
      <c r="N2797" s="14">
        <f>IF(A2797="","",YEAR(A2797))</f>
        <v/>
      </c>
    </row>
    <row r="2798">
      <c r="A2798" s="15" t="n"/>
      <c r="B2798" s="10" t="n"/>
      <c r="C2798" s="10" t="n"/>
      <c r="D2798" s="10" t="n"/>
      <c r="E2798" s="14">
        <f>IF(D2798="","",IFERROR(INDEX('Sản phẩm'!$B$5:$B$304,MATCH(D2798,'Sản phẩm'!$A$5:$A$304,0)),""))</f>
        <v/>
      </c>
      <c r="F2798" s="12" t="n"/>
      <c r="G2798" s="11" t="n"/>
      <c r="H2798" s="11" t="n"/>
      <c r="I2798" s="16">
        <f>IF(D2798="","",IF(G2798&lt;&gt;"",G2798,IFERROR(INDEX('Sản phẩm'!$E$5:$E$304,MATCH(D2798,'Sản phẩm'!$A$5:$A$304,0)),"")))</f>
        <v/>
      </c>
      <c r="J2798" s="16">
        <f>IF(OR(D2798="",F2798=""),"",F2798*I2798-N(H2798))</f>
        <v/>
      </c>
      <c r="K2798" s="16">
        <f>IF(OR(D2798="",F2798=""),"",F2798*IFERROR(INDEX('Sản phẩm'!$D$5:$D$304,MATCH(D2798,'Sản phẩm'!$A$5:$A$304,0)),""))</f>
        <v/>
      </c>
      <c r="L2798" s="16">
        <f>IF(J2798="","",J2798-K2798)</f>
        <v/>
      </c>
      <c r="M2798" s="14">
        <f>IF(A2798="","",MONTH(A2798))</f>
        <v/>
      </c>
      <c r="N2798" s="14">
        <f>IF(A2798="","",YEAR(A2798))</f>
        <v/>
      </c>
    </row>
    <row r="2799">
      <c r="A2799" s="15" t="n"/>
      <c r="B2799" s="10" t="n"/>
      <c r="C2799" s="10" t="n"/>
      <c r="D2799" s="10" t="n"/>
      <c r="E2799" s="14">
        <f>IF(D2799="","",IFERROR(INDEX('Sản phẩm'!$B$5:$B$304,MATCH(D2799,'Sản phẩm'!$A$5:$A$304,0)),""))</f>
        <v/>
      </c>
      <c r="F2799" s="12" t="n"/>
      <c r="G2799" s="11" t="n"/>
      <c r="H2799" s="11" t="n"/>
      <c r="I2799" s="16">
        <f>IF(D2799="","",IF(G2799&lt;&gt;"",G2799,IFERROR(INDEX('Sản phẩm'!$E$5:$E$304,MATCH(D2799,'Sản phẩm'!$A$5:$A$304,0)),"")))</f>
        <v/>
      </c>
      <c r="J2799" s="16">
        <f>IF(OR(D2799="",F2799=""),"",F2799*I2799-N(H2799))</f>
        <v/>
      </c>
      <c r="K2799" s="16">
        <f>IF(OR(D2799="",F2799=""),"",F2799*IFERROR(INDEX('Sản phẩm'!$D$5:$D$304,MATCH(D2799,'Sản phẩm'!$A$5:$A$304,0)),""))</f>
        <v/>
      </c>
      <c r="L2799" s="16">
        <f>IF(J2799="","",J2799-K2799)</f>
        <v/>
      </c>
      <c r="M2799" s="14">
        <f>IF(A2799="","",MONTH(A2799))</f>
        <v/>
      </c>
      <c r="N2799" s="14">
        <f>IF(A2799="","",YEAR(A2799))</f>
        <v/>
      </c>
    </row>
    <row r="2800">
      <c r="A2800" s="15" t="n"/>
      <c r="B2800" s="10" t="n"/>
      <c r="C2800" s="10" t="n"/>
      <c r="D2800" s="10" t="n"/>
      <c r="E2800" s="14">
        <f>IF(D2800="","",IFERROR(INDEX('Sản phẩm'!$B$5:$B$304,MATCH(D2800,'Sản phẩm'!$A$5:$A$304,0)),""))</f>
        <v/>
      </c>
      <c r="F2800" s="12" t="n"/>
      <c r="G2800" s="11" t="n"/>
      <c r="H2800" s="11" t="n"/>
      <c r="I2800" s="16">
        <f>IF(D2800="","",IF(G2800&lt;&gt;"",G2800,IFERROR(INDEX('Sản phẩm'!$E$5:$E$304,MATCH(D2800,'Sản phẩm'!$A$5:$A$304,0)),"")))</f>
        <v/>
      </c>
      <c r="J2800" s="16">
        <f>IF(OR(D2800="",F2800=""),"",F2800*I2800-N(H2800))</f>
        <v/>
      </c>
      <c r="K2800" s="16">
        <f>IF(OR(D2800="",F2800=""),"",F2800*IFERROR(INDEX('Sản phẩm'!$D$5:$D$304,MATCH(D2800,'Sản phẩm'!$A$5:$A$304,0)),""))</f>
        <v/>
      </c>
      <c r="L2800" s="16">
        <f>IF(J2800="","",J2800-K2800)</f>
        <v/>
      </c>
      <c r="M2800" s="14">
        <f>IF(A2800="","",MONTH(A2800))</f>
        <v/>
      </c>
      <c r="N2800" s="14">
        <f>IF(A2800="","",YEAR(A2800))</f>
        <v/>
      </c>
    </row>
    <row r="2801">
      <c r="A2801" s="15" t="n"/>
      <c r="B2801" s="10" t="n"/>
      <c r="C2801" s="10" t="n"/>
      <c r="D2801" s="10" t="n"/>
      <c r="E2801" s="14">
        <f>IF(D2801="","",IFERROR(INDEX('Sản phẩm'!$B$5:$B$304,MATCH(D2801,'Sản phẩm'!$A$5:$A$304,0)),""))</f>
        <v/>
      </c>
      <c r="F2801" s="12" t="n"/>
      <c r="G2801" s="11" t="n"/>
      <c r="H2801" s="11" t="n"/>
      <c r="I2801" s="16">
        <f>IF(D2801="","",IF(G2801&lt;&gt;"",G2801,IFERROR(INDEX('Sản phẩm'!$E$5:$E$304,MATCH(D2801,'Sản phẩm'!$A$5:$A$304,0)),"")))</f>
        <v/>
      </c>
      <c r="J2801" s="16">
        <f>IF(OR(D2801="",F2801=""),"",F2801*I2801-N(H2801))</f>
        <v/>
      </c>
      <c r="K2801" s="16">
        <f>IF(OR(D2801="",F2801=""),"",F2801*IFERROR(INDEX('Sản phẩm'!$D$5:$D$304,MATCH(D2801,'Sản phẩm'!$A$5:$A$304,0)),""))</f>
        <v/>
      </c>
      <c r="L2801" s="16">
        <f>IF(J2801="","",J2801-K2801)</f>
        <v/>
      </c>
      <c r="M2801" s="14">
        <f>IF(A2801="","",MONTH(A2801))</f>
        <v/>
      </c>
      <c r="N2801" s="14">
        <f>IF(A2801="","",YEAR(A2801))</f>
        <v/>
      </c>
    </row>
    <row r="2802">
      <c r="A2802" s="15" t="n"/>
      <c r="B2802" s="10" t="n"/>
      <c r="C2802" s="10" t="n"/>
      <c r="D2802" s="10" t="n"/>
      <c r="E2802" s="14">
        <f>IF(D2802="","",IFERROR(INDEX('Sản phẩm'!$B$5:$B$304,MATCH(D2802,'Sản phẩm'!$A$5:$A$304,0)),""))</f>
        <v/>
      </c>
      <c r="F2802" s="12" t="n"/>
      <c r="G2802" s="11" t="n"/>
      <c r="H2802" s="11" t="n"/>
      <c r="I2802" s="16">
        <f>IF(D2802="","",IF(G2802&lt;&gt;"",G2802,IFERROR(INDEX('Sản phẩm'!$E$5:$E$304,MATCH(D2802,'Sản phẩm'!$A$5:$A$304,0)),"")))</f>
        <v/>
      </c>
      <c r="J2802" s="16">
        <f>IF(OR(D2802="",F2802=""),"",F2802*I2802-N(H2802))</f>
        <v/>
      </c>
      <c r="K2802" s="16">
        <f>IF(OR(D2802="",F2802=""),"",F2802*IFERROR(INDEX('Sản phẩm'!$D$5:$D$304,MATCH(D2802,'Sản phẩm'!$A$5:$A$304,0)),""))</f>
        <v/>
      </c>
      <c r="L2802" s="16">
        <f>IF(J2802="","",J2802-K2802)</f>
        <v/>
      </c>
      <c r="M2802" s="14">
        <f>IF(A2802="","",MONTH(A2802))</f>
        <v/>
      </c>
      <c r="N2802" s="14">
        <f>IF(A2802="","",YEAR(A2802))</f>
        <v/>
      </c>
    </row>
    <row r="2803">
      <c r="A2803" s="15" t="n"/>
      <c r="B2803" s="10" t="n"/>
      <c r="C2803" s="10" t="n"/>
      <c r="D2803" s="10" t="n"/>
      <c r="E2803" s="14">
        <f>IF(D2803="","",IFERROR(INDEX('Sản phẩm'!$B$5:$B$304,MATCH(D2803,'Sản phẩm'!$A$5:$A$304,0)),""))</f>
        <v/>
      </c>
      <c r="F2803" s="12" t="n"/>
      <c r="G2803" s="11" t="n"/>
      <c r="H2803" s="11" t="n"/>
      <c r="I2803" s="16">
        <f>IF(D2803="","",IF(G2803&lt;&gt;"",G2803,IFERROR(INDEX('Sản phẩm'!$E$5:$E$304,MATCH(D2803,'Sản phẩm'!$A$5:$A$304,0)),"")))</f>
        <v/>
      </c>
      <c r="J2803" s="16">
        <f>IF(OR(D2803="",F2803=""),"",F2803*I2803-N(H2803))</f>
        <v/>
      </c>
      <c r="K2803" s="16">
        <f>IF(OR(D2803="",F2803=""),"",F2803*IFERROR(INDEX('Sản phẩm'!$D$5:$D$304,MATCH(D2803,'Sản phẩm'!$A$5:$A$304,0)),""))</f>
        <v/>
      </c>
      <c r="L2803" s="16">
        <f>IF(J2803="","",J2803-K2803)</f>
        <v/>
      </c>
      <c r="M2803" s="14">
        <f>IF(A2803="","",MONTH(A2803))</f>
        <v/>
      </c>
      <c r="N2803" s="14">
        <f>IF(A2803="","",YEAR(A2803))</f>
        <v/>
      </c>
    </row>
    <row r="2804">
      <c r="A2804" s="15" t="n"/>
      <c r="B2804" s="10" t="n"/>
      <c r="C2804" s="10" t="n"/>
      <c r="D2804" s="10" t="n"/>
      <c r="E2804" s="14">
        <f>IF(D2804="","",IFERROR(INDEX('Sản phẩm'!$B$5:$B$304,MATCH(D2804,'Sản phẩm'!$A$5:$A$304,0)),""))</f>
        <v/>
      </c>
      <c r="F2804" s="12" t="n"/>
      <c r="G2804" s="11" t="n"/>
      <c r="H2804" s="11" t="n"/>
      <c r="I2804" s="16">
        <f>IF(D2804="","",IF(G2804&lt;&gt;"",G2804,IFERROR(INDEX('Sản phẩm'!$E$5:$E$304,MATCH(D2804,'Sản phẩm'!$A$5:$A$304,0)),"")))</f>
        <v/>
      </c>
      <c r="J2804" s="16">
        <f>IF(OR(D2804="",F2804=""),"",F2804*I2804-N(H2804))</f>
        <v/>
      </c>
      <c r="K2804" s="16">
        <f>IF(OR(D2804="",F2804=""),"",F2804*IFERROR(INDEX('Sản phẩm'!$D$5:$D$304,MATCH(D2804,'Sản phẩm'!$A$5:$A$304,0)),""))</f>
        <v/>
      </c>
      <c r="L2804" s="16">
        <f>IF(J2804="","",J2804-K2804)</f>
        <v/>
      </c>
      <c r="M2804" s="14">
        <f>IF(A2804="","",MONTH(A2804))</f>
        <v/>
      </c>
      <c r="N2804" s="14">
        <f>IF(A2804="","",YEAR(A2804))</f>
        <v/>
      </c>
    </row>
    <row r="2805">
      <c r="A2805" s="15" t="n"/>
      <c r="B2805" s="10" t="n"/>
      <c r="C2805" s="10" t="n"/>
      <c r="D2805" s="10" t="n"/>
      <c r="E2805" s="14">
        <f>IF(D2805="","",IFERROR(INDEX('Sản phẩm'!$B$5:$B$304,MATCH(D2805,'Sản phẩm'!$A$5:$A$304,0)),""))</f>
        <v/>
      </c>
      <c r="F2805" s="12" t="n"/>
      <c r="G2805" s="11" t="n"/>
      <c r="H2805" s="11" t="n"/>
      <c r="I2805" s="16">
        <f>IF(D2805="","",IF(G2805&lt;&gt;"",G2805,IFERROR(INDEX('Sản phẩm'!$E$5:$E$304,MATCH(D2805,'Sản phẩm'!$A$5:$A$304,0)),"")))</f>
        <v/>
      </c>
      <c r="J2805" s="16">
        <f>IF(OR(D2805="",F2805=""),"",F2805*I2805-N(H2805))</f>
        <v/>
      </c>
      <c r="K2805" s="16">
        <f>IF(OR(D2805="",F2805=""),"",F2805*IFERROR(INDEX('Sản phẩm'!$D$5:$D$304,MATCH(D2805,'Sản phẩm'!$A$5:$A$304,0)),""))</f>
        <v/>
      </c>
      <c r="L2805" s="16">
        <f>IF(J2805="","",J2805-K2805)</f>
        <v/>
      </c>
      <c r="M2805" s="14">
        <f>IF(A2805="","",MONTH(A2805))</f>
        <v/>
      </c>
      <c r="N2805" s="14">
        <f>IF(A2805="","",YEAR(A2805))</f>
        <v/>
      </c>
    </row>
    <row r="2806">
      <c r="A2806" s="15" t="n"/>
      <c r="B2806" s="10" t="n"/>
      <c r="C2806" s="10" t="n"/>
      <c r="D2806" s="10" t="n"/>
      <c r="E2806" s="14">
        <f>IF(D2806="","",IFERROR(INDEX('Sản phẩm'!$B$5:$B$304,MATCH(D2806,'Sản phẩm'!$A$5:$A$304,0)),""))</f>
        <v/>
      </c>
      <c r="F2806" s="12" t="n"/>
      <c r="G2806" s="11" t="n"/>
      <c r="H2806" s="11" t="n"/>
      <c r="I2806" s="16">
        <f>IF(D2806="","",IF(G2806&lt;&gt;"",G2806,IFERROR(INDEX('Sản phẩm'!$E$5:$E$304,MATCH(D2806,'Sản phẩm'!$A$5:$A$304,0)),"")))</f>
        <v/>
      </c>
      <c r="J2806" s="16">
        <f>IF(OR(D2806="",F2806=""),"",F2806*I2806-N(H2806))</f>
        <v/>
      </c>
      <c r="K2806" s="16">
        <f>IF(OR(D2806="",F2806=""),"",F2806*IFERROR(INDEX('Sản phẩm'!$D$5:$D$304,MATCH(D2806,'Sản phẩm'!$A$5:$A$304,0)),""))</f>
        <v/>
      </c>
      <c r="L2806" s="16">
        <f>IF(J2806="","",J2806-K2806)</f>
        <v/>
      </c>
      <c r="M2806" s="14">
        <f>IF(A2806="","",MONTH(A2806))</f>
        <v/>
      </c>
      <c r="N2806" s="14">
        <f>IF(A2806="","",YEAR(A2806))</f>
        <v/>
      </c>
    </row>
    <row r="2807">
      <c r="A2807" s="15" t="n"/>
      <c r="B2807" s="10" t="n"/>
      <c r="C2807" s="10" t="n"/>
      <c r="D2807" s="10" t="n"/>
      <c r="E2807" s="14">
        <f>IF(D2807="","",IFERROR(INDEX('Sản phẩm'!$B$5:$B$304,MATCH(D2807,'Sản phẩm'!$A$5:$A$304,0)),""))</f>
        <v/>
      </c>
      <c r="F2807" s="12" t="n"/>
      <c r="G2807" s="11" t="n"/>
      <c r="H2807" s="11" t="n"/>
      <c r="I2807" s="16">
        <f>IF(D2807="","",IF(G2807&lt;&gt;"",G2807,IFERROR(INDEX('Sản phẩm'!$E$5:$E$304,MATCH(D2807,'Sản phẩm'!$A$5:$A$304,0)),"")))</f>
        <v/>
      </c>
      <c r="J2807" s="16">
        <f>IF(OR(D2807="",F2807=""),"",F2807*I2807-N(H2807))</f>
        <v/>
      </c>
      <c r="K2807" s="16">
        <f>IF(OR(D2807="",F2807=""),"",F2807*IFERROR(INDEX('Sản phẩm'!$D$5:$D$304,MATCH(D2807,'Sản phẩm'!$A$5:$A$304,0)),""))</f>
        <v/>
      </c>
      <c r="L2807" s="16">
        <f>IF(J2807="","",J2807-K2807)</f>
        <v/>
      </c>
      <c r="M2807" s="14">
        <f>IF(A2807="","",MONTH(A2807))</f>
        <v/>
      </c>
      <c r="N2807" s="14">
        <f>IF(A2807="","",YEAR(A2807))</f>
        <v/>
      </c>
    </row>
    <row r="2808">
      <c r="A2808" s="15" t="n"/>
      <c r="B2808" s="10" t="n"/>
      <c r="C2808" s="10" t="n"/>
      <c r="D2808" s="10" t="n"/>
      <c r="E2808" s="14">
        <f>IF(D2808="","",IFERROR(INDEX('Sản phẩm'!$B$5:$B$304,MATCH(D2808,'Sản phẩm'!$A$5:$A$304,0)),""))</f>
        <v/>
      </c>
      <c r="F2808" s="12" t="n"/>
      <c r="G2808" s="11" t="n"/>
      <c r="H2808" s="11" t="n"/>
      <c r="I2808" s="16">
        <f>IF(D2808="","",IF(G2808&lt;&gt;"",G2808,IFERROR(INDEX('Sản phẩm'!$E$5:$E$304,MATCH(D2808,'Sản phẩm'!$A$5:$A$304,0)),"")))</f>
        <v/>
      </c>
      <c r="J2808" s="16">
        <f>IF(OR(D2808="",F2808=""),"",F2808*I2808-N(H2808))</f>
        <v/>
      </c>
      <c r="K2808" s="16">
        <f>IF(OR(D2808="",F2808=""),"",F2808*IFERROR(INDEX('Sản phẩm'!$D$5:$D$304,MATCH(D2808,'Sản phẩm'!$A$5:$A$304,0)),""))</f>
        <v/>
      </c>
      <c r="L2808" s="16">
        <f>IF(J2808="","",J2808-K2808)</f>
        <v/>
      </c>
      <c r="M2808" s="14">
        <f>IF(A2808="","",MONTH(A2808))</f>
        <v/>
      </c>
      <c r="N2808" s="14">
        <f>IF(A2808="","",YEAR(A2808))</f>
        <v/>
      </c>
    </row>
    <row r="2809">
      <c r="A2809" s="15" t="n"/>
      <c r="B2809" s="10" t="n"/>
      <c r="C2809" s="10" t="n"/>
      <c r="D2809" s="10" t="n"/>
      <c r="E2809" s="14">
        <f>IF(D2809="","",IFERROR(INDEX('Sản phẩm'!$B$5:$B$304,MATCH(D2809,'Sản phẩm'!$A$5:$A$304,0)),""))</f>
        <v/>
      </c>
      <c r="F2809" s="12" t="n"/>
      <c r="G2809" s="11" t="n"/>
      <c r="H2809" s="11" t="n"/>
      <c r="I2809" s="16">
        <f>IF(D2809="","",IF(G2809&lt;&gt;"",G2809,IFERROR(INDEX('Sản phẩm'!$E$5:$E$304,MATCH(D2809,'Sản phẩm'!$A$5:$A$304,0)),"")))</f>
        <v/>
      </c>
      <c r="J2809" s="16">
        <f>IF(OR(D2809="",F2809=""),"",F2809*I2809-N(H2809))</f>
        <v/>
      </c>
      <c r="K2809" s="16">
        <f>IF(OR(D2809="",F2809=""),"",F2809*IFERROR(INDEX('Sản phẩm'!$D$5:$D$304,MATCH(D2809,'Sản phẩm'!$A$5:$A$304,0)),""))</f>
        <v/>
      </c>
      <c r="L2809" s="16">
        <f>IF(J2809="","",J2809-K2809)</f>
        <v/>
      </c>
      <c r="M2809" s="14">
        <f>IF(A2809="","",MONTH(A2809))</f>
        <v/>
      </c>
      <c r="N2809" s="14">
        <f>IF(A2809="","",YEAR(A2809))</f>
        <v/>
      </c>
    </row>
    <row r="2810">
      <c r="A2810" s="15" t="n"/>
      <c r="B2810" s="10" t="n"/>
      <c r="C2810" s="10" t="n"/>
      <c r="D2810" s="10" t="n"/>
      <c r="E2810" s="14">
        <f>IF(D2810="","",IFERROR(INDEX('Sản phẩm'!$B$5:$B$304,MATCH(D2810,'Sản phẩm'!$A$5:$A$304,0)),""))</f>
        <v/>
      </c>
      <c r="F2810" s="12" t="n"/>
      <c r="G2810" s="11" t="n"/>
      <c r="H2810" s="11" t="n"/>
      <c r="I2810" s="16">
        <f>IF(D2810="","",IF(G2810&lt;&gt;"",G2810,IFERROR(INDEX('Sản phẩm'!$E$5:$E$304,MATCH(D2810,'Sản phẩm'!$A$5:$A$304,0)),"")))</f>
        <v/>
      </c>
      <c r="J2810" s="16">
        <f>IF(OR(D2810="",F2810=""),"",F2810*I2810-N(H2810))</f>
        <v/>
      </c>
      <c r="K2810" s="16">
        <f>IF(OR(D2810="",F2810=""),"",F2810*IFERROR(INDEX('Sản phẩm'!$D$5:$D$304,MATCH(D2810,'Sản phẩm'!$A$5:$A$304,0)),""))</f>
        <v/>
      </c>
      <c r="L2810" s="16">
        <f>IF(J2810="","",J2810-K2810)</f>
        <v/>
      </c>
      <c r="M2810" s="14">
        <f>IF(A2810="","",MONTH(A2810))</f>
        <v/>
      </c>
      <c r="N2810" s="14">
        <f>IF(A2810="","",YEAR(A2810))</f>
        <v/>
      </c>
    </row>
    <row r="2811">
      <c r="A2811" s="15" t="n"/>
      <c r="B2811" s="10" t="n"/>
      <c r="C2811" s="10" t="n"/>
      <c r="D2811" s="10" t="n"/>
      <c r="E2811" s="14">
        <f>IF(D2811="","",IFERROR(INDEX('Sản phẩm'!$B$5:$B$304,MATCH(D2811,'Sản phẩm'!$A$5:$A$304,0)),""))</f>
        <v/>
      </c>
      <c r="F2811" s="12" t="n"/>
      <c r="G2811" s="11" t="n"/>
      <c r="H2811" s="11" t="n"/>
      <c r="I2811" s="16">
        <f>IF(D2811="","",IF(G2811&lt;&gt;"",G2811,IFERROR(INDEX('Sản phẩm'!$E$5:$E$304,MATCH(D2811,'Sản phẩm'!$A$5:$A$304,0)),"")))</f>
        <v/>
      </c>
      <c r="J2811" s="16">
        <f>IF(OR(D2811="",F2811=""),"",F2811*I2811-N(H2811))</f>
        <v/>
      </c>
      <c r="K2811" s="16">
        <f>IF(OR(D2811="",F2811=""),"",F2811*IFERROR(INDEX('Sản phẩm'!$D$5:$D$304,MATCH(D2811,'Sản phẩm'!$A$5:$A$304,0)),""))</f>
        <v/>
      </c>
      <c r="L2811" s="16">
        <f>IF(J2811="","",J2811-K2811)</f>
        <v/>
      </c>
      <c r="M2811" s="14">
        <f>IF(A2811="","",MONTH(A2811))</f>
        <v/>
      </c>
      <c r="N2811" s="14">
        <f>IF(A2811="","",YEAR(A2811))</f>
        <v/>
      </c>
    </row>
    <row r="2812">
      <c r="A2812" s="15" t="n"/>
      <c r="B2812" s="10" t="n"/>
      <c r="C2812" s="10" t="n"/>
      <c r="D2812" s="10" t="n"/>
      <c r="E2812" s="14">
        <f>IF(D2812="","",IFERROR(INDEX('Sản phẩm'!$B$5:$B$304,MATCH(D2812,'Sản phẩm'!$A$5:$A$304,0)),""))</f>
        <v/>
      </c>
      <c r="F2812" s="12" t="n"/>
      <c r="G2812" s="11" t="n"/>
      <c r="H2812" s="11" t="n"/>
      <c r="I2812" s="16">
        <f>IF(D2812="","",IF(G2812&lt;&gt;"",G2812,IFERROR(INDEX('Sản phẩm'!$E$5:$E$304,MATCH(D2812,'Sản phẩm'!$A$5:$A$304,0)),"")))</f>
        <v/>
      </c>
      <c r="J2812" s="16">
        <f>IF(OR(D2812="",F2812=""),"",F2812*I2812-N(H2812))</f>
        <v/>
      </c>
      <c r="K2812" s="16">
        <f>IF(OR(D2812="",F2812=""),"",F2812*IFERROR(INDEX('Sản phẩm'!$D$5:$D$304,MATCH(D2812,'Sản phẩm'!$A$5:$A$304,0)),""))</f>
        <v/>
      </c>
      <c r="L2812" s="16">
        <f>IF(J2812="","",J2812-K2812)</f>
        <v/>
      </c>
      <c r="M2812" s="14">
        <f>IF(A2812="","",MONTH(A2812))</f>
        <v/>
      </c>
      <c r="N2812" s="14">
        <f>IF(A2812="","",YEAR(A2812))</f>
        <v/>
      </c>
    </row>
    <row r="2813">
      <c r="A2813" s="15" t="n"/>
      <c r="B2813" s="10" t="n"/>
      <c r="C2813" s="10" t="n"/>
      <c r="D2813" s="10" t="n"/>
      <c r="E2813" s="14">
        <f>IF(D2813="","",IFERROR(INDEX('Sản phẩm'!$B$5:$B$304,MATCH(D2813,'Sản phẩm'!$A$5:$A$304,0)),""))</f>
        <v/>
      </c>
      <c r="F2813" s="12" t="n"/>
      <c r="G2813" s="11" t="n"/>
      <c r="H2813" s="11" t="n"/>
      <c r="I2813" s="16">
        <f>IF(D2813="","",IF(G2813&lt;&gt;"",G2813,IFERROR(INDEX('Sản phẩm'!$E$5:$E$304,MATCH(D2813,'Sản phẩm'!$A$5:$A$304,0)),"")))</f>
        <v/>
      </c>
      <c r="J2813" s="16">
        <f>IF(OR(D2813="",F2813=""),"",F2813*I2813-N(H2813))</f>
        <v/>
      </c>
      <c r="K2813" s="16">
        <f>IF(OR(D2813="",F2813=""),"",F2813*IFERROR(INDEX('Sản phẩm'!$D$5:$D$304,MATCH(D2813,'Sản phẩm'!$A$5:$A$304,0)),""))</f>
        <v/>
      </c>
      <c r="L2813" s="16">
        <f>IF(J2813="","",J2813-K2813)</f>
        <v/>
      </c>
      <c r="M2813" s="14">
        <f>IF(A2813="","",MONTH(A2813))</f>
        <v/>
      </c>
      <c r="N2813" s="14">
        <f>IF(A2813="","",YEAR(A2813))</f>
        <v/>
      </c>
    </row>
    <row r="2814">
      <c r="A2814" s="15" t="n"/>
      <c r="B2814" s="10" t="n"/>
      <c r="C2814" s="10" t="n"/>
      <c r="D2814" s="10" t="n"/>
      <c r="E2814" s="14">
        <f>IF(D2814="","",IFERROR(INDEX('Sản phẩm'!$B$5:$B$304,MATCH(D2814,'Sản phẩm'!$A$5:$A$304,0)),""))</f>
        <v/>
      </c>
      <c r="F2814" s="12" t="n"/>
      <c r="G2814" s="11" t="n"/>
      <c r="H2814" s="11" t="n"/>
      <c r="I2814" s="16">
        <f>IF(D2814="","",IF(G2814&lt;&gt;"",G2814,IFERROR(INDEX('Sản phẩm'!$E$5:$E$304,MATCH(D2814,'Sản phẩm'!$A$5:$A$304,0)),"")))</f>
        <v/>
      </c>
      <c r="J2814" s="16">
        <f>IF(OR(D2814="",F2814=""),"",F2814*I2814-N(H2814))</f>
        <v/>
      </c>
      <c r="K2814" s="16">
        <f>IF(OR(D2814="",F2814=""),"",F2814*IFERROR(INDEX('Sản phẩm'!$D$5:$D$304,MATCH(D2814,'Sản phẩm'!$A$5:$A$304,0)),""))</f>
        <v/>
      </c>
      <c r="L2814" s="16">
        <f>IF(J2814="","",J2814-K2814)</f>
        <v/>
      </c>
      <c r="M2814" s="14">
        <f>IF(A2814="","",MONTH(A2814))</f>
        <v/>
      </c>
      <c r="N2814" s="14">
        <f>IF(A2814="","",YEAR(A2814))</f>
        <v/>
      </c>
    </row>
    <row r="2815">
      <c r="A2815" s="15" t="n"/>
      <c r="B2815" s="10" t="n"/>
      <c r="C2815" s="10" t="n"/>
      <c r="D2815" s="10" t="n"/>
      <c r="E2815" s="14">
        <f>IF(D2815="","",IFERROR(INDEX('Sản phẩm'!$B$5:$B$304,MATCH(D2815,'Sản phẩm'!$A$5:$A$304,0)),""))</f>
        <v/>
      </c>
      <c r="F2815" s="12" t="n"/>
      <c r="G2815" s="11" t="n"/>
      <c r="H2815" s="11" t="n"/>
      <c r="I2815" s="16">
        <f>IF(D2815="","",IF(G2815&lt;&gt;"",G2815,IFERROR(INDEX('Sản phẩm'!$E$5:$E$304,MATCH(D2815,'Sản phẩm'!$A$5:$A$304,0)),"")))</f>
        <v/>
      </c>
      <c r="J2815" s="16">
        <f>IF(OR(D2815="",F2815=""),"",F2815*I2815-N(H2815))</f>
        <v/>
      </c>
      <c r="K2815" s="16">
        <f>IF(OR(D2815="",F2815=""),"",F2815*IFERROR(INDEX('Sản phẩm'!$D$5:$D$304,MATCH(D2815,'Sản phẩm'!$A$5:$A$304,0)),""))</f>
        <v/>
      </c>
      <c r="L2815" s="16">
        <f>IF(J2815="","",J2815-K2815)</f>
        <v/>
      </c>
      <c r="M2815" s="14">
        <f>IF(A2815="","",MONTH(A2815))</f>
        <v/>
      </c>
      <c r="N2815" s="14">
        <f>IF(A2815="","",YEAR(A2815))</f>
        <v/>
      </c>
    </row>
    <row r="2816">
      <c r="A2816" s="15" t="n"/>
      <c r="B2816" s="10" t="n"/>
      <c r="C2816" s="10" t="n"/>
      <c r="D2816" s="10" t="n"/>
      <c r="E2816" s="14">
        <f>IF(D2816="","",IFERROR(INDEX('Sản phẩm'!$B$5:$B$304,MATCH(D2816,'Sản phẩm'!$A$5:$A$304,0)),""))</f>
        <v/>
      </c>
      <c r="F2816" s="12" t="n"/>
      <c r="G2816" s="11" t="n"/>
      <c r="H2816" s="11" t="n"/>
      <c r="I2816" s="16">
        <f>IF(D2816="","",IF(G2816&lt;&gt;"",G2816,IFERROR(INDEX('Sản phẩm'!$E$5:$E$304,MATCH(D2816,'Sản phẩm'!$A$5:$A$304,0)),"")))</f>
        <v/>
      </c>
      <c r="J2816" s="16">
        <f>IF(OR(D2816="",F2816=""),"",F2816*I2816-N(H2816))</f>
        <v/>
      </c>
      <c r="K2816" s="16">
        <f>IF(OR(D2816="",F2816=""),"",F2816*IFERROR(INDEX('Sản phẩm'!$D$5:$D$304,MATCH(D2816,'Sản phẩm'!$A$5:$A$304,0)),""))</f>
        <v/>
      </c>
      <c r="L2816" s="16">
        <f>IF(J2816="","",J2816-K2816)</f>
        <v/>
      </c>
      <c r="M2816" s="14">
        <f>IF(A2816="","",MONTH(A2816))</f>
        <v/>
      </c>
      <c r="N2816" s="14">
        <f>IF(A2816="","",YEAR(A2816))</f>
        <v/>
      </c>
    </row>
    <row r="2817">
      <c r="A2817" s="15" t="n"/>
      <c r="B2817" s="10" t="n"/>
      <c r="C2817" s="10" t="n"/>
      <c r="D2817" s="10" t="n"/>
      <c r="E2817" s="14">
        <f>IF(D2817="","",IFERROR(INDEX('Sản phẩm'!$B$5:$B$304,MATCH(D2817,'Sản phẩm'!$A$5:$A$304,0)),""))</f>
        <v/>
      </c>
      <c r="F2817" s="12" t="n"/>
      <c r="G2817" s="11" t="n"/>
      <c r="H2817" s="11" t="n"/>
      <c r="I2817" s="16">
        <f>IF(D2817="","",IF(G2817&lt;&gt;"",G2817,IFERROR(INDEX('Sản phẩm'!$E$5:$E$304,MATCH(D2817,'Sản phẩm'!$A$5:$A$304,0)),"")))</f>
        <v/>
      </c>
      <c r="J2817" s="16">
        <f>IF(OR(D2817="",F2817=""),"",F2817*I2817-N(H2817))</f>
        <v/>
      </c>
      <c r="K2817" s="16">
        <f>IF(OR(D2817="",F2817=""),"",F2817*IFERROR(INDEX('Sản phẩm'!$D$5:$D$304,MATCH(D2817,'Sản phẩm'!$A$5:$A$304,0)),""))</f>
        <v/>
      </c>
      <c r="L2817" s="16">
        <f>IF(J2817="","",J2817-K2817)</f>
        <v/>
      </c>
      <c r="M2817" s="14">
        <f>IF(A2817="","",MONTH(A2817))</f>
        <v/>
      </c>
      <c r="N2817" s="14">
        <f>IF(A2817="","",YEAR(A2817))</f>
        <v/>
      </c>
    </row>
    <row r="2818">
      <c r="A2818" s="15" t="n"/>
      <c r="B2818" s="10" t="n"/>
      <c r="C2818" s="10" t="n"/>
      <c r="D2818" s="10" t="n"/>
      <c r="E2818" s="14">
        <f>IF(D2818="","",IFERROR(INDEX('Sản phẩm'!$B$5:$B$304,MATCH(D2818,'Sản phẩm'!$A$5:$A$304,0)),""))</f>
        <v/>
      </c>
      <c r="F2818" s="12" t="n"/>
      <c r="G2818" s="11" t="n"/>
      <c r="H2818" s="11" t="n"/>
      <c r="I2818" s="16">
        <f>IF(D2818="","",IF(G2818&lt;&gt;"",G2818,IFERROR(INDEX('Sản phẩm'!$E$5:$E$304,MATCH(D2818,'Sản phẩm'!$A$5:$A$304,0)),"")))</f>
        <v/>
      </c>
      <c r="J2818" s="16">
        <f>IF(OR(D2818="",F2818=""),"",F2818*I2818-N(H2818))</f>
        <v/>
      </c>
      <c r="K2818" s="16">
        <f>IF(OR(D2818="",F2818=""),"",F2818*IFERROR(INDEX('Sản phẩm'!$D$5:$D$304,MATCH(D2818,'Sản phẩm'!$A$5:$A$304,0)),""))</f>
        <v/>
      </c>
      <c r="L2818" s="16">
        <f>IF(J2818="","",J2818-K2818)</f>
        <v/>
      </c>
      <c r="M2818" s="14">
        <f>IF(A2818="","",MONTH(A2818))</f>
        <v/>
      </c>
      <c r="N2818" s="14">
        <f>IF(A2818="","",YEAR(A2818))</f>
        <v/>
      </c>
    </row>
    <row r="2819">
      <c r="A2819" s="15" t="n"/>
      <c r="B2819" s="10" t="n"/>
      <c r="C2819" s="10" t="n"/>
      <c r="D2819" s="10" t="n"/>
      <c r="E2819" s="14">
        <f>IF(D2819="","",IFERROR(INDEX('Sản phẩm'!$B$5:$B$304,MATCH(D2819,'Sản phẩm'!$A$5:$A$304,0)),""))</f>
        <v/>
      </c>
      <c r="F2819" s="12" t="n"/>
      <c r="G2819" s="11" t="n"/>
      <c r="H2819" s="11" t="n"/>
      <c r="I2819" s="16">
        <f>IF(D2819="","",IF(G2819&lt;&gt;"",G2819,IFERROR(INDEX('Sản phẩm'!$E$5:$E$304,MATCH(D2819,'Sản phẩm'!$A$5:$A$304,0)),"")))</f>
        <v/>
      </c>
      <c r="J2819" s="16">
        <f>IF(OR(D2819="",F2819=""),"",F2819*I2819-N(H2819))</f>
        <v/>
      </c>
      <c r="K2819" s="16">
        <f>IF(OR(D2819="",F2819=""),"",F2819*IFERROR(INDEX('Sản phẩm'!$D$5:$D$304,MATCH(D2819,'Sản phẩm'!$A$5:$A$304,0)),""))</f>
        <v/>
      </c>
      <c r="L2819" s="16">
        <f>IF(J2819="","",J2819-K2819)</f>
        <v/>
      </c>
      <c r="M2819" s="14">
        <f>IF(A2819="","",MONTH(A2819))</f>
        <v/>
      </c>
      <c r="N2819" s="14">
        <f>IF(A2819="","",YEAR(A2819))</f>
        <v/>
      </c>
    </row>
    <row r="2820">
      <c r="A2820" s="15" t="n"/>
      <c r="B2820" s="10" t="n"/>
      <c r="C2820" s="10" t="n"/>
      <c r="D2820" s="10" t="n"/>
      <c r="E2820" s="14">
        <f>IF(D2820="","",IFERROR(INDEX('Sản phẩm'!$B$5:$B$304,MATCH(D2820,'Sản phẩm'!$A$5:$A$304,0)),""))</f>
        <v/>
      </c>
      <c r="F2820" s="12" t="n"/>
      <c r="G2820" s="11" t="n"/>
      <c r="H2820" s="11" t="n"/>
      <c r="I2820" s="16">
        <f>IF(D2820="","",IF(G2820&lt;&gt;"",G2820,IFERROR(INDEX('Sản phẩm'!$E$5:$E$304,MATCH(D2820,'Sản phẩm'!$A$5:$A$304,0)),"")))</f>
        <v/>
      </c>
      <c r="J2820" s="16">
        <f>IF(OR(D2820="",F2820=""),"",F2820*I2820-N(H2820))</f>
        <v/>
      </c>
      <c r="K2820" s="16">
        <f>IF(OR(D2820="",F2820=""),"",F2820*IFERROR(INDEX('Sản phẩm'!$D$5:$D$304,MATCH(D2820,'Sản phẩm'!$A$5:$A$304,0)),""))</f>
        <v/>
      </c>
      <c r="L2820" s="16">
        <f>IF(J2820="","",J2820-K2820)</f>
        <v/>
      </c>
      <c r="M2820" s="14">
        <f>IF(A2820="","",MONTH(A2820))</f>
        <v/>
      </c>
      <c r="N2820" s="14">
        <f>IF(A2820="","",YEAR(A2820))</f>
        <v/>
      </c>
    </row>
    <row r="2821">
      <c r="A2821" s="15" t="n"/>
      <c r="B2821" s="10" t="n"/>
      <c r="C2821" s="10" t="n"/>
      <c r="D2821" s="10" t="n"/>
      <c r="E2821" s="14">
        <f>IF(D2821="","",IFERROR(INDEX('Sản phẩm'!$B$5:$B$304,MATCH(D2821,'Sản phẩm'!$A$5:$A$304,0)),""))</f>
        <v/>
      </c>
      <c r="F2821" s="12" t="n"/>
      <c r="G2821" s="11" t="n"/>
      <c r="H2821" s="11" t="n"/>
      <c r="I2821" s="16">
        <f>IF(D2821="","",IF(G2821&lt;&gt;"",G2821,IFERROR(INDEX('Sản phẩm'!$E$5:$E$304,MATCH(D2821,'Sản phẩm'!$A$5:$A$304,0)),"")))</f>
        <v/>
      </c>
      <c r="J2821" s="16">
        <f>IF(OR(D2821="",F2821=""),"",F2821*I2821-N(H2821))</f>
        <v/>
      </c>
      <c r="K2821" s="16">
        <f>IF(OR(D2821="",F2821=""),"",F2821*IFERROR(INDEX('Sản phẩm'!$D$5:$D$304,MATCH(D2821,'Sản phẩm'!$A$5:$A$304,0)),""))</f>
        <v/>
      </c>
      <c r="L2821" s="16">
        <f>IF(J2821="","",J2821-K2821)</f>
        <v/>
      </c>
      <c r="M2821" s="14">
        <f>IF(A2821="","",MONTH(A2821))</f>
        <v/>
      </c>
      <c r="N2821" s="14">
        <f>IF(A2821="","",YEAR(A2821))</f>
        <v/>
      </c>
    </row>
    <row r="2822">
      <c r="A2822" s="15" t="n"/>
      <c r="B2822" s="10" t="n"/>
      <c r="C2822" s="10" t="n"/>
      <c r="D2822" s="10" t="n"/>
      <c r="E2822" s="14">
        <f>IF(D2822="","",IFERROR(INDEX('Sản phẩm'!$B$5:$B$304,MATCH(D2822,'Sản phẩm'!$A$5:$A$304,0)),""))</f>
        <v/>
      </c>
      <c r="F2822" s="12" t="n"/>
      <c r="G2822" s="11" t="n"/>
      <c r="H2822" s="11" t="n"/>
      <c r="I2822" s="16">
        <f>IF(D2822="","",IF(G2822&lt;&gt;"",G2822,IFERROR(INDEX('Sản phẩm'!$E$5:$E$304,MATCH(D2822,'Sản phẩm'!$A$5:$A$304,0)),"")))</f>
        <v/>
      </c>
      <c r="J2822" s="16">
        <f>IF(OR(D2822="",F2822=""),"",F2822*I2822-N(H2822))</f>
        <v/>
      </c>
      <c r="K2822" s="16">
        <f>IF(OR(D2822="",F2822=""),"",F2822*IFERROR(INDEX('Sản phẩm'!$D$5:$D$304,MATCH(D2822,'Sản phẩm'!$A$5:$A$304,0)),""))</f>
        <v/>
      </c>
      <c r="L2822" s="16">
        <f>IF(J2822="","",J2822-K2822)</f>
        <v/>
      </c>
      <c r="M2822" s="14">
        <f>IF(A2822="","",MONTH(A2822))</f>
        <v/>
      </c>
      <c r="N2822" s="14">
        <f>IF(A2822="","",YEAR(A2822))</f>
        <v/>
      </c>
    </row>
    <row r="2823">
      <c r="A2823" s="15" t="n"/>
      <c r="B2823" s="10" t="n"/>
      <c r="C2823" s="10" t="n"/>
      <c r="D2823" s="10" t="n"/>
      <c r="E2823" s="14">
        <f>IF(D2823="","",IFERROR(INDEX('Sản phẩm'!$B$5:$B$304,MATCH(D2823,'Sản phẩm'!$A$5:$A$304,0)),""))</f>
        <v/>
      </c>
      <c r="F2823" s="12" t="n"/>
      <c r="G2823" s="11" t="n"/>
      <c r="H2823" s="11" t="n"/>
      <c r="I2823" s="16">
        <f>IF(D2823="","",IF(G2823&lt;&gt;"",G2823,IFERROR(INDEX('Sản phẩm'!$E$5:$E$304,MATCH(D2823,'Sản phẩm'!$A$5:$A$304,0)),"")))</f>
        <v/>
      </c>
      <c r="J2823" s="16">
        <f>IF(OR(D2823="",F2823=""),"",F2823*I2823-N(H2823))</f>
        <v/>
      </c>
      <c r="K2823" s="16">
        <f>IF(OR(D2823="",F2823=""),"",F2823*IFERROR(INDEX('Sản phẩm'!$D$5:$D$304,MATCH(D2823,'Sản phẩm'!$A$5:$A$304,0)),""))</f>
        <v/>
      </c>
      <c r="L2823" s="16">
        <f>IF(J2823="","",J2823-K2823)</f>
        <v/>
      </c>
      <c r="M2823" s="14">
        <f>IF(A2823="","",MONTH(A2823))</f>
        <v/>
      </c>
      <c r="N2823" s="14">
        <f>IF(A2823="","",YEAR(A2823))</f>
        <v/>
      </c>
    </row>
    <row r="2824">
      <c r="A2824" s="15" t="n"/>
      <c r="B2824" s="10" t="n"/>
      <c r="C2824" s="10" t="n"/>
      <c r="D2824" s="10" t="n"/>
      <c r="E2824" s="14">
        <f>IF(D2824="","",IFERROR(INDEX('Sản phẩm'!$B$5:$B$304,MATCH(D2824,'Sản phẩm'!$A$5:$A$304,0)),""))</f>
        <v/>
      </c>
      <c r="F2824" s="12" t="n"/>
      <c r="G2824" s="11" t="n"/>
      <c r="H2824" s="11" t="n"/>
      <c r="I2824" s="16">
        <f>IF(D2824="","",IF(G2824&lt;&gt;"",G2824,IFERROR(INDEX('Sản phẩm'!$E$5:$E$304,MATCH(D2824,'Sản phẩm'!$A$5:$A$304,0)),"")))</f>
        <v/>
      </c>
      <c r="J2824" s="16">
        <f>IF(OR(D2824="",F2824=""),"",F2824*I2824-N(H2824))</f>
        <v/>
      </c>
      <c r="K2824" s="16">
        <f>IF(OR(D2824="",F2824=""),"",F2824*IFERROR(INDEX('Sản phẩm'!$D$5:$D$304,MATCH(D2824,'Sản phẩm'!$A$5:$A$304,0)),""))</f>
        <v/>
      </c>
      <c r="L2824" s="16">
        <f>IF(J2824="","",J2824-K2824)</f>
        <v/>
      </c>
      <c r="M2824" s="14">
        <f>IF(A2824="","",MONTH(A2824))</f>
        <v/>
      </c>
      <c r="N2824" s="14">
        <f>IF(A2824="","",YEAR(A2824))</f>
        <v/>
      </c>
    </row>
    <row r="2825">
      <c r="A2825" s="15" t="n"/>
      <c r="B2825" s="10" t="n"/>
      <c r="C2825" s="10" t="n"/>
      <c r="D2825" s="10" t="n"/>
      <c r="E2825" s="14">
        <f>IF(D2825="","",IFERROR(INDEX('Sản phẩm'!$B$5:$B$304,MATCH(D2825,'Sản phẩm'!$A$5:$A$304,0)),""))</f>
        <v/>
      </c>
      <c r="F2825" s="12" t="n"/>
      <c r="G2825" s="11" t="n"/>
      <c r="H2825" s="11" t="n"/>
      <c r="I2825" s="16">
        <f>IF(D2825="","",IF(G2825&lt;&gt;"",G2825,IFERROR(INDEX('Sản phẩm'!$E$5:$E$304,MATCH(D2825,'Sản phẩm'!$A$5:$A$304,0)),"")))</f>
        <v/>
      </c>
      <c r="J2825" s="16">
        <f>IF(OR(D2825="",F2825=""),"",F2825*I2825-N(H2825))</f>
        <v/>
      </c>
      <c r="K2825" s="16">
        <f>IF(OR(D2825="",F2825=""),"",F2825*IFERROR(INDEX('Sản phẩm'!$D$5:$D$304,MATCH(D2825,'Sản phẩm'!$A$5:$A$304,0)),""))</f>
        <v/>
      </c>
      <c r="L2825" s="16">
        <f>IF(J2825="","",J2825-K2825)</f>
        <v/>
      </c>
      <c r="M2825" s="14">
        <f>IF(A2825="","",MONTH(A2825))</f>
        <v/>
      </c>
      <c r="N2825" s="14">
        <f>IF(A2825="","",YEAR(A2825))</f>
        <v/>
      </c>
    </row>
    <row r="2826">
      <c r="A2826" s="15" t="n"/>
      <c r="B2826" s="10" t="n"/>
      <c r="C2826" s="10" t="n"/>
      <c r="D2826" s="10" t="n"/>
      <c r="E2826" s="14">
        <f>IF(D2826="","",IFERROR(INDEX('Sản phẩm'!$B$5:$B$304,MATCH(D2826,'Sản phẩm'!$A$5:$A$304,0)),""))</f>
        <v/>
      </c>
      <c r="F2826" s="12" t="n"/>
      <c r="G2826" s="11" t="n"/>
      <c r="H2826" s="11" t="n"/>
      <c r="I2826" s="16">
        <f>IF(D2826="","",IF(G2826&lt;&gt;"",G2826,IFERROR(INDEX('Sản phẩm'!$E$5:$E$304,MATCH(D2826,'Sản phẩm'!$A$5:$A$304,0)),"")))</f>
        <v/>
      </c>
      <c r="J2826" s="16">
        <f>IF(OR(D2826="",F2826=""),"",F2826*I2826-N(H2826))</f>
        <v/>
      </c>
      <c r="K2826" s="16">
        <f>IF(OR(D2826="",F2826=""),"",F2826*IFERROR(INDEX('Sản phẩm'!$D$5:$D$304,MATCH(D2826,'Sản phẩm'!$A$5:$A$304,0)),""))</f>
        <v/>
      </c>
      <c r="L2826" s="16">
        <f>IF(J2826="","",J2826-K2826)</f>
        <v/>
      </c>
      <c r="M2826" s="14">
        <f>IF(A2826="","",MONTH(A2826))</f>
        <v/>
      </c>
      <c r="N2826" s="14">
        <f>IF(A2826="","",YEAR(A2826))</f>
        <v/>
      </c>
    </row>
    <row r="2827">
      <c r="A2827" s="15" t="n"/>
      <c r="B2827" s="10" t="n"/>
      <c r="C2827" s="10" t="n"/>
      <c r="D2827" s="10" t="n"/>
      <c r="E2827" s="14">
        <f>IF(D2827="","",IFERROR(INDEX('Sản phẩm'!$B$5:$B$304,MATCH(D2827,'Sản phẩm'!$A$5:$A$304,0)),""))</f>
        <v/>
      </c>
      <c r="F2827" s="12" t="n"/>
      <c r="G2827" s="11" t="n"/>
      <c r="H2827" s="11" t="n"/>
      <c r="I2827" s="16">
        <f>IF(D2827="","",IF(G2827&lt;&gt;"",G2827,IFERROR(INDEX('Sản phẩm'!$E$5:$E$304,MATCH(D2827,'Sản phẩm'!$A$5:$A$304,0)),"")))</f>
        <v/>
      </c>
      <c r="J2827" s="16">
        <f>IF(OR(D2827="",F2827=""),"",F2827*I2827-N(H2827))</f>
        <v/>
      </c>
      <c r="K2827" s="16">
        <f>IF(OR(D2827="",F2827=""),"",F2827*IFERROR(INDEX('Sản phẩm'!$D$5:$D$304,MATCH(D2827,'Sản phẩm'!$A$5:$A$304,0)),""))</f>
        <v/>
      </c>
      <c r="L2827" s="16">
        <f>IF(J2827="","",J2827-K2827)</f>
        <v/>
      </c>
      <c r="M2827" s="14">
        <f>IF(A2827="","",MONTH(A2827))</f>
        <v/>
      </c>
      <c r="N2827" s="14">
        <f>IF(A2827="","",YEAR(A2827))</f>
        <v/>
      </c>
    </row>
    <row r="2828">
      <c r="A2828" s="15" t="n"/>
      <c r="B2828" s="10" t="n"/>
      <c r="C2828" s="10" t="n"/>
      <c r="D2828" s="10" t="n"/>
      <c r="E2828" s="14">
        <f>IF(D2828="","",IFERROR(INDEX('Sản phẩm'!$B$5:$B$304,MATCH(D2828,'Sản phẩm'!$A$5:$A$304,0)),""))</f>
        <v/>
      </c>
      <c r="F2828" s="12" t="n"/>
      <c r="G2828" s="11" t="n"/>
      <c r="H2828" s="11" t="n"/>
      <c r="I2828" s="16">
        <f>IF(D2828="","",IF(G2828&lt;&gt;"",G2828,IFERROR(INDEX('Sản phẩm'!$E$5:$E$304,MATCH(D2828,'Sản phẩm'!$A$5:$A$304,0)),"")))</f>
        <v/>
      </c>
      <c r="J2828" s="16">
        <f>IF(OR(D2828="",F2828=""),"",F2828*I2828-N(H2828))</f>
        <v/>
      </c>
      <c r="K2828" s="16">
        <f>IF(OR(D2828="",F2828=""),"",F2828*IFERROR(INDEX('Sản phẩm'!$D$5:$D$304,MATCH(D2828,'Sản phẩm'!$A$5:$A$304,0)),""))</f>
        <v/>
      </c>
      <c r="L2828" s="16">
        <f>IF(J2828="","",J2828-K2828)</f>
        <v/>
      </c>
      <c r="M2828" s="14">
        <f>IF(A2828="","",MONTH(A2828))</f>
        <v/>
      </c>
      <c r="N2828" s="14">
        <f>IF(A2828="","",YEAR(A2828))</f>
        <v/>
      </c>
    </row>
    <row r="2829">
      <c r="A2829" s="15" t="n"/>
      <c r="B2829" s="10" t="n"/>
      <c r="C2829" s="10" t="n"/>
      <c r="D2829" s="10" t="n"/>
      <c r="E2829" s="14">
        <f>IF(D2829="","",IFERROR(INDEX('Sản phẩm'!$B$5:$B$304,MATCH(D2829,'Sản phẩm'!$A$5:$A$304,0)),""))</f>
        <v/>
      </c>
      <c r="F2829" s="12" t="n"/>
      <c r="G2829" s="11" t="n"/>
      <c r="H2829" s="11" t="n"/>
      <c r="I2829" s="16">
        <f>IF(D2829="","",IF(G2829&lt;&gt;"",G2829,IFERROR(INDEX('Sản phẩm'!$E$5:$E$304,MATCH(D2829,'Sản phẩm'!$A$5:$A$304,0)),"")))</f>
        <v/>
      </c>
      <c r="J2829" s="16">
        <f>IF(OR(D2829="",F2829=""),"",F2829*I2829-N(H2829))</f>
        <v/>
      </c>
      <c r="K2829" s="16">
        <f>IF(OR(D2829="",F2829=""),"",F2829*IFERROR(INDEX('Sản phẩm'!$D$5:$D$304,MATCH(D2829,'Sản phẩm'!$A$5:$A$304,0)),""))</f>
        <v/>
      </c>
      <c r="L2829" s="16">
        <f>IF(J2829="","",J2829-K2829)</f>
        <v/>
      </c>
      <c r="M2829" s="14">
        <f>IF(A2829="","",MONTH(A2829))</f>
        <v/>
      </c>
      <c r="N2829" s="14">
        <f>IF(A2829="","",YEAR(A2829))</f>
        <v/>
      </c>
    </row>
    <row r="2830">
      <c r="A2830" s="15" t="n"/>
      <c r="B2830" s="10" t="n"/>
      <c r="C2830" s="10" t="n"/>
      <c r="D2830" s="10" t="n"/>
      <c r="E2830" s="14">
        <f>IF(D2830="","",IFERROR(INDEX('Sản phẩm'!$B$5:$B$304,MATCH(D2830,'Sản phẩm'!$A$5:$A$304,0)),""))</f>
        <v/>
      </c>
      <c r="F2830" s="12" t="n"/>
      <c r="G2830" s="11" t="n"/>
      <c r="H2830" s="11" t="n"/>
      <c r="I2830" s="16">
        <f>IF(D2830="","",IF(G2830&lt;&gt;"",G2830,IFERROR(INDEX('Sản phẩm'!$E$5:$E$304,MATCH(D2830,'Sản phẩm'!$A$5:$A$304,0)),"")))</f>
        <v/>
      </c>
      <c r="J2830" s="16">
        <f>IF(OR(D2830="",F2830=""),"",F2830*I2830-N(H2830))</f>
        <v/>
      </c>
      <c r="K2830" s="16">
        <f>IF(OR(D2830="",F2830=""),"",F2830*IFERROR(INDEX('Sản phẩm'!$D$5:$D$304,MATCH(D2830,'Sản phẩm'!$A$5:$A$304,0)),""))</f>
        <v/>
      </c>
      <c r="L2830" s="16">
        <f>IF(J2830="","",J2830-K2830)</f>
        <v/>
      </c>
      <c r="M2830" s="14">
        <f>IF(A2830="","",MONTH(A2830))</f>
        <v/>
      </c>
      <c r="N2830" s="14">
        <f>IF(A2830="","",YEAR(A2830))</f>
        <v/>
      </c>
    </row>
    <row r="2831">
      <c r="A2831" s="15" t="n"/>
      <c r="B2831" s="10" t="n"/>
      <c r="C2831" s="10" t="n"/>
      <c r="D2831" s="10" t="n"/>
      <c r="E2831" s="14">
        <f>IF(D2831="","",IFERROR(INDEX('Sản phẩm'!$B$5:$B$304,MATCH(D2831,'Sản phẩm'!$A$5:$A$304,0)),""))</f>
        <v/>
      </c>
      <c r="F2831" s="12" t="n"/>
      <c r="G2831" s="11" t="n"/>
      <c r="H2831" s="11" t="n"/>
      <c r="I2831" s="16">
        <f>IF(D2831="","",IF(G2831&lt;&gt;"",G2831,IFERROR(INDEX('Sản phẩm'!$E$5:$E$304,MATCH(D2831,'Sản phẩm'!$A$5:$A$304,0)),"")))</f>
        <v/>
      </c>
      <c r="J2831" s="16">
        <f>IF(OR(D2831="",F2831=""),"",F2831*I2831-N(H2831))</f>
        <v/>
      </c>
      <c r="K2831" s="16">
        <f>IF(OR(D2831="",F2831=""),"",F2831*IFERROR(INDEX('Sản phẩm'!$D$5:$D$304,MATCH(D2831,'Sản phẩm'!$A$5:$A$304,0)),""))</f>
        <v/>
      </c>
      <c r="L2831" s="16">
        <f>IF(J2831="","",J2831-K2831)</f>
        <v/>
      </c>
      <c r="M2831" s="14">
        <f>IF(A2831="","",MONTH(A2831))</f>
        <v/>
      </c>
      <c r="N2831" s="14">
        <f>IF(A2831="","",YEAR(A2831))</f>
        <v/>
      </c>
    </row>
    <row r="2832">
      <c r="A2832" s="15" t="n"/>
      <c r="B2832" s="10" t="n"/>
      <c r="C2832" s="10" t="n"/>
      <c r="D2832" s="10" t="n"/>
      <c r="E2832" s="14">
        <f>IF(D2832="","",IFERROR(INDEX('Sản phẩm'!$B$5:$B$304,MATCH(D2832,'Sản phẩm'!$A$5:$A$304,0)),""))</f>
        <v/>
      </c>
      <c r="F2832" s="12" t="n"/>
      <c r="G2832" s="11" t="n"/>
      <c r="H2832" s="11" t="n"/>
      <c r="I2832" s="16">
        <f>IF(D2832="","",IF(G2832&lt;&gt;"",G2832,IFERROR(INDEX('Sản phẩm'!$E$5:$E$304,MATCH(D2832,'Sản phẩm'!$A$5:$A$304,0)),"")))</f>
        <v/>
      </c>
      <c r="J2832" s="16">
        <f>IF(OR(D2832="",F2832=""),"",F2832*I2832-N(H2832))</f>
        <v/>
      </c>
      <c r="K2832" s="16">
        <f>IF(OR(D2832="",F2832=""),"",F2832*IFERROR(INDEX('Sản phẩm'!$D$5:$D$304,MATCH(D2832,'Sản phẩm'!$A$5:$A$304,0)),""))</f>
        <v/>
      </c>
      <c r="L2832" s="16">
        <f>IF(J2832="","",J2832-K2832)</f>
        <v/>
      </c>
      <c r="M2832" s="14">
        <f>IF(A2832="","",MONTH(A2832))</f>
        <v/>
      </c>
      <c r="N2832" s="14">
        <f>IF(A2832="","",YEAR(A2832))</f>
        <v/>
      </c>
    </row>
    <row r="2833">
      <c r="A2833" s="15" t="n"/>
      <c r="B2833" s="10" t="n"/>
      <c r="C2833" s="10" t="n"/>
      <c r="D2833" s="10" t="n"/>
      <c r="E2833" s="14">
        <f>IF(D2833="","",IFERROR(INDEX('Sản phẩm'!$B$5:$B$304,MATCH(D2833,'Sản phẩm'!$A$5:$A$304,0)),""))</f>
        <v/>
      </c>
      <c r="F2833" s="12" t="n"/>
      <c r="G2833" s="11" t="n"/>
      <c r="H2833" s="11" t="n"/>
      <c r="I2833" s="16">
        <f>IF(D2833="","",IF(G2833&lt;&gt;"",G2833,IFERROR(INDEX('Sản phẩm'!$E$5:$E$304,MATCH(D2833,'Sản phẩm'!$A$5:$A$304,0)),"")))</f>
        <v/>
      </c>
      <c r="J2833" s="16">
        <f>IF(OR(D2833="",F2833=""),"",F2833*I2833-N(H2833))</f>
        <v/>
      </c>
      <c r="K2833" s="16">
        <f>IF(OR(D2833="",F2833=""),"",F2833*IFERROR(INDEX('Sản phẩm'!$D$5:$D$304,MATCH(D2833,'Sản phẩm'!$A$5:$A$304,0)),""))</f>
        <v/>
      </c>
      <c r="L2833" s="16">
        <f>IF(J2833="","",J2833-K2833)</f>
        <v/>
      </c>
      <c r="M2833" s="14">
        <f>IF(A2833="","",MONTH(A2833))</f>
        <v/>
      </c>
      <c r="N2833" s="14">
        <f>IF(A2833="","",YEAR(A2833))</f>
        <v/>
      </c>
    </row>
    <row r="2834">
      <c r="A2834" s="15" t="n"/>
      <c r="B2834" s="10" t="n"/>
      <c r="C2834" s="10" t="n"/>
      <c r="D2834" s="10" t="n"/>
      <c r="E2834" s="14">
        <f>IF(D2834="","",IFERROR(INDEX('Sản phẩm'!$B$5:$B$304,MATCH(D2834,'Sản phẩm'!$A$5:$A$304,0)),""))</f>
        <v/>
      </c>
      <c r="F2834" s="12" t="n"/>
      <c r="G2834" s="11" t="n"/>
      <c r="H2834" s="11" t="n"/>
      <c r="I2834" s="16">
        <f>IF(D2834="","",IF(G2834&lt;&gt;"",G2834,IFERROR(INDEX('Sản phẩm'!$E$5:$E$304,MATCH(D2834,'Sản phẩm'!$A$5:$A$304,0)),"")))</f>
        <v/>
      </c>
      <c r="J2834" s="16">
        <f>IF(OR(D2834="",F2834=""),"",F2834*I2834-N(H2834))</f>
        <v/>
      </c>
      <c r="K2834" s="16">
        <f>IF(OR(D2834="",F2834=""),"",F2834*IFERROR(INDEX('Sản phẩm'!$D$5:$D$304,MATCH(D2834,'Sản phẩm'!$A$5:$A$304,0)),""))</f>
        <v/>
      </c>
      <c r="L2834" s="16">
        <f>IF(J2834="","",J2834-K2834)</f>
        <v/>
      </c>
      <c r="M2834" s="14">
        <f>IF(A2834="","",MONTH(A2834))</f>
        <v/>
      </c>
      <c r="N2834" s="14">
        <f>IF(A2834="","",YEAR(A2834))</f>
        <v/>
      </c>
    </row>
    <row r="2835">
      <c r="A2835" s="15" t="n"/>
      <c r="B2835" s="10" t="n"/>
      <c r="C2835" s="10" t="n"/>
      <c r="D2835" s="10" t="n"/>
      <c r="E2835" s="14">
        <f>IF(D2835="","",IFERROR(INDEX('Sản phẩm'!$B$5:$B$304,MATCH(D2835,'Sản phẩm'!$A$5:$A$304,0)),""))</f>
        <v/>
      </c>
      <c r="F2835" s="12" t="n"/>
      <c r="G2835" s="11" t="n"/>
      <c r="H2835" s="11" t="n"/>
      <c r="I2835" s="16">
        <f>IF(D2835="","",IF(G2835&lt;&gt;"",G2835,IFERROR(INDEX('Sản phẩm'!$E$5:$E$304,MATCH(D2835,'Sản phẩm'!$A$5:$A$304,0)),"")))</f>
        <v/>
      </c>
      <c r="J2835" s="16">
        <f>IF(OR(D2835="",F2835=""),"",F2835*I2835-N(H2835))</f>
        <v/>
      </c>
      <c r="K2835" s="16">
        <f>IF(OR(D2835="",F2835=""),"",F2835*IFERROR(INDEX('Sản phẩm'!$D$5:$D$304,MATCH(D2835,'Sản phẩm'!$A$5:$A$304,0)),""))</f>
        <v/>
      </c>
      <c r="L2835" s="16">
        <f>IF(J2835="","",J2835-K2835)</f>
        <v/>
      </c>
      <c r="M2835" s="14">
        <f>IF(A2835="","",MONTH(A2835))</f>
        <v/>
      </c>
      <c r="N2835" s="14">
        <f>IF(A2835="","",YEAR(A2835))</f>
        <v/>
      </c>
    </row>
    <row r="2836">
      <c r="A2836" s="15" t="n"/>
      <c r="B2836" s="10" t="n"/>
      <c r="C2836" s="10" t="n"/>
      <c r="D2836" s="10" t="n"/>
      <c r="E2836" s="14">
        <f>IF(D2836="","",IFERROR(INDEX('Sản phẩm'!$B$5:$B$304,MATCH(D2836,'Sản phẩm'!$A$5:$A$304,0)),""))</f>
        <v/>
      </c>
      <c r="F2836" s="12" t="n"/>
      <c r="G2836" s="11" t="n"/>
      <c r="H2836" s="11" t="n"/>
      <c r="I2836" s="16">
        <f>IF(D2836="","",IF(G2836&lt;&gt;"",G2836,IFERROR(INDEX('Sản phẩm'!$E$5:$E$304,MATCH(D2836,'Sản phẩm'!$A$5:$A$304,0)),"")))</f>
        <v/>
      </c>
      <c r="J2836" s="16">
        <f>IF(OR(D2836="",F2836=""),"",F2836*I2836-N(H2836))</f>
        <v/>
      </c>
      <c r="K2836" s="16">
        <f>IF(OR(D2836="",F2836=""),"",F2836*IFERROR(INDEX('Sản phẩm'!$D$5:$D$304,MATCH(D2836,'Sản phẩm'!$A$5:$A$304,0)),""))</f>
        <v/>
      </c>
      <c r="L2836" s="16">
        <f>IF(J2836="","",J2836-K2836)</f>
        <v/>
      </c>
      <c r="M2836" s="14">
        <f>IF(A2836="","",MONTH(A2836))</f>
        <v/>
      </c>
      <c r="N2836" s="14">
        <f>IF(A2836="","",YEAR(A2836))</f>
        <v/>
      </c>
    </row>
    <row r="2837">
      <c r="A2837" s="15" t="n"/>
      <c r="B2837" s="10" t="n"/>
      <c r="C2837" s="10" t="n"/>
      <c r="D2837" s="10" t="n"/>
      <c r="E2837" s="14">
        <f>IF(D2837="","",IFERROR(INDEX('Sản phẩm'!$B$5:$B$304,MATCH(D2837,'Sản phẩm'!$A$5:$A$304,0)),""))</f>
        <v/>
      </c>
      <c r="F2837" s="12" t="n"/>
      <c r="G2837" s="11" t="n"/>
      <c r="H2837" s="11" t="n"/>
      <c r="I2837" s="16">
        <f>IF(D2837="","",IF(G2837&lt;&gt;"",G2837,IFERROR(INDEX('Sản phẩm'!$E$5:$E$304,MATCH(D2837,'Sản phẩm'!$A$5:$A$304,0)),"")))</f>
        <v/>
      </c>
      <c r="J2837" s="16">
        <f>IF(OR(D2837="",F2837=""),"",F2837*I2837-N(H2837))</f>
        <v/>
      </c>
      <c r="K2837" s="16">
        <f>IF(OR(D2837="",F2837=""),"",F2837*IFERROR(INDEX('Sản phẩm'!$D$5:$D$304,MATCH(D2837,'Sản phẩm'!$A$5:$A$304,0)),""))</f>
        <v/>
      </c>
      <c r="L2837" s="16">
        <f>IF(J2837="","",J2837-K2837)</f>
        <v/>
      </c>
      <c r="M2837" s="14">
        <f>IF(A2837="","",MONTH(A2837))</f>
        <v/>
      </c>
      <c r="N2837" s="14">
        <f>IF(A2837="","",YEAR(A2837))</f>
        <v/>
      </c>
    </row>
    <row r="2838">
      <c r="A2838" s="15" t="n"/>
      <c r="B2838" s="10" t="n"/>
      <c r="C2838" s="10" t="n"/>
      <c r="D2838" s="10" t="n"/>
      <c r="E2838" s="14">
        <f>IF(D2838="","",IFERROR(INDEX('Sản phẩm'!$B$5:$B$304,MATCH(D2838,'Sản phẩm'!$A$5:$A$304,0)),""))</f>
        <v/>
      </c>
      <c r="F2838" s="12" t="n"/>
      <c r="G2838" s="11" t="n"/>
      <c r="H2838" s="11" t="n"/>
      <c r="I2838" s="16">
        <f>IF(D2838="","",IF(G2838&lt;&gt;"",G2838,IFERROR(INDEX('Sản phẩm'!$E$5:$E$304,MATCH(D2838,'Sản phẩm'!$A$5:$A$304,0)),"")))</f>
        <v/>
      </c>
      <c r="J2838" s="16">
        <f>IF(OR(D2838="",F2838=""),"",F2838*I2838-N(H2838))</f>
        <v/>
      </c>
      <c r="K2838" s="16">
        <f>IF(OR(D2838="",F2838=""),"",F2838*IFERROR(INDEX('Sản phẩm'!$D$5:$D$304,MATCH(D2838,'Sản phẩm'!$A$5:$A$304,0)),""))</f>
        <v/>
      </c>
      <c r="L2838" s="16">
        <f>IF(J2838="","",J2838-K2838)</f>
        <v/>
      </c>
      <c r="M2838" s="14">
        <f>IF(A2838="","",MONTH(A2838))</f>
        <v/>
      </c>
      <c r="N2838" s="14">
        <f>IF(A2838="","",YEAR(A2838))</f>
        <v/>
      </c>
    </row>
    <row r="2839">
      <c r="A2839" s="15" t="n"/>
      <c r="B2839" s="10" t="n"/>
      <c r="C2839" s="10" t="n"/>
      <c r="D2839" s="10" t="n"/>
      <c r="E2839" s="14">
        <f>IF(D2839="","",IFERROR(INDEX('Sản phẩm'!$B$5:$B$304,MATCH(D2839,'Sản phẩm'!$A$5:$A$304,0)),""))</f>
        <v/>
      </c>
      <c r="F2839" s="12" t="n"/>
      <c r="G2839" s="11" t="n"/>
      <c r="H2839" s="11" t="n"/>
      <c r="I2839" s="16">
        <f>IF(D2839="","",IF(G2839&lt;&gt;"",G2839,IFERROR(INDEX('Sản phẩm'!$E$5:$E$304,MATCH(D2839,'Sản phẩm'!$A$5:$A$304,0)),"")))</f>
        <v/>
      </c>
      <c r="J2839" s="16">
        <f>IF(OR(D2839="",F2839=""),"",F2839*I2839-N(H2839))</f>
        <v/>
      </c>
      <c r="K2839" s="16">
        <f>IF(OR(D2839="",F2839=""),"",F2839*IFERROR(INDEX('Sản phẩm'!$D$5:$D$304,MATCH(D2839,'Sản phẩm'!$A$5:$A$304,0)),""))</f>
        <v/>
      </c>
      <c r="L2839" s="16">
        <f>IF(J2839="","",J2839-K2839)</f>
        <v/>
      </c>
      <c r="M2839" s="14">
        <f>IF(A2839="","",MONTH(A2839))</f>
        <v/>
      </c>
      <c r="N2839" s="14">
        <f>IF(A2839="","",YEAR(A2839))</f>
        <v/>
      </c>
    </row>
    <row r="2840">
      <c r="A2840" s="15" t="n"/>
      <c r="B2840" s="10" t="n"/>
      <c r="C2840" s="10" t="n"/>
      <c r="D2840" s="10" t="n"/>
      <c r="E2840" s="14">
        <f>IF(D2840="","",IFERROR(INDEX('Sản phẩm'!$B$5:$B$304,MATCH(D2840,'Sản phẩm'!$A$5:$A$304,0)),""))</f>
        <v/>
      </c>
      <c r="F2840" s="12" t="n"/>
      <c r="G2840" s="11" t="n"/>
      <c r="H2840" s="11" t="n"/>
      <c r="I2840" s="16">
        <f>IF(D2840="","",IF(G2840&lt;&gt;"",G2840,IFERROR(INDEX('Sản phẩm'!$E$5:$E$304,MATCH(D2840,'Sản phẩm'!$A$5:$A$304,0)),"")))</f>
        <v/>
      </c>
      <c r="J2840" s="16">
        <f>IF(OR(D2840="",F2840=""),"",F2840*I2840-N(H2840))</f>
        <v/>
      </c>
      <c r="K2840" s="16">
        <f>IF(OR(D2840="",F2840=""),"",F2840*IFERROR(INDEX('Sản phẩm'!$D$5:$D$304,MATCH(D2840,'Sản phẩm'!$A$5:$A$304,0)),""))</f>
        <v/>
      </c>
      <c r="L2840" s="16">
        <f>IF(J2840="","",J2840-K2840)</f>
        <v/>
      </c>
      <c r="M2840" s="14">
        <f>IF(A2840="","",MONTH(A2840))</f>
        <v/>
      </c>
      <c r="N2840" s="14">
        <f>IF(A2840="","",YEAR(A2840))</f>
        <v/>
      </c>
    </row>
    <row r="2841">
      <c r="A2841" s="15" t="n"/>
      <c r="B2841" s="10" t="n"/>
      <c r="C2841" s="10" t="n"/>
      <c r="D2841" s="10" t="n"/>
      <c r="E2841" s="14">
        <f>IF(D2841="","",IFERROR(INDEX('Sản phẩm'!$B$5:$B$304,MATCH(D2841,'Sản phẩm'!$A$5:$A$304,0)),""))</f>
        <v/>
      </c>
      <c r="F2841" s="12" t="n"/>
      <c r="G2841" s="11" t="n"/>
      <c r="H2841" s="11" t="n"/>
      <c r="I2841" s="16">
        <f>IF(D2841="","",IF(G2841&lt;&gt;"",G2841,IFERROR(INDEX('Sản phẩm'!$E$5:$E$304,MATCH(D2841,'Sản phẩm'!$A$5:$A$304,0)),"")))</f>
        <v/>
      </c>
      <c r="J2841" s="16">
        <f>IF(OR(D2841="",F2841=""),"",F2841*I2841-N(H2841))</f>
        <v/>
      </c>
      <c r="K2841" s="16">
        <f>IF(OR(D2841="",F2841=""),"",F2841*IFERROR(INDEX('Sản phẩm'!$D$5:$D$304,MATCH(D2841,'Sản phẩm'!$A$5:$A$304,0)),""))</f>
        <v/>
      </c>
      <c r="L2841" s="16">
        <f>IF(J2841="","",J2841-K2841)</f>
        <v/>
      </c>
      <c r="M2841" s="14">
        <f>IF(A2841="","",MONTH(A2841))</f>
        <v/>
      </c>
      <c r="N2841" s="14">
        <f>IF(A2841="","",YEAR(A2841))</f>
        <v/>
      </c>
    </row>
    <row r="2842">
      <c r="A2842" s="15" t="n"/>
      <c r="B2842" s="10" t="n"/>
      <c r="C2842" s="10" t="n"/>
      <c r="D2842" s="10" t="n"/>
      <c r="E2842" s="14">
        <f>IF(D2842="","",IFERROR(INDEX('Sản phẩm'!$B$5:$B$304,MATCH(D2842,'Sản phẩm'!$A$5:$A$304,0)),""))</f>
        <v/>
      </c>
      <c r="F2842" s="12" t="n"/>
      <c r="G2842" s="11" t="n"/>
      <c r="H2842" s="11" t="n"/>
      <c r="I2842" s="16">
        <f>IF(D2842="","",IF(G2842&lt;&gt;"",G2842,IFERROR(INDEX('Sản phẩm'!$E$5:$E$304,MATCH(D2842,'Sản phẩm'!$A$5:$A$304,0)),"")))</f>
        <v/>
      </c>
      <c r="J2842" s="16">
        <f>IF(OR(D2842="",F2842=""),"",F2842*I2842-N(H2842))</f>
        <v/>
      </c>
      <c r="K2842" s="16">
        <f>IF(OR(D2842="",F2842=""),"",F2842*IFERROR(INDEX('Sản phẩm'!$D$5:$D$304,MATCH(D2842,'Sản phẩm'!$A$5:$A$304,0)),""))</f>
        <v/>
      </c>
      <c r="L2842" s="16">
        <f>IF(J2842="","",J2842-K2842)</f>
        <v/>
      </c>
      <c r="M2842" s="14">
        <f>IF(A2842="","",MONTH(A2842))</f>
        <v/>
      </c>
      <c r="N2842" s="14">
        <f>IF(A2842="","",YEAR(A2842))</f>
        <v/>
      </c>
    </row>
    <row r="2843">
      <c r="A2843" s="15" t="n"/>
      <c r="B2843" s="10" t="n"/>
      <c r="C2843" s="10" t="n"/>
      <c r="D2843" s="10" t="n"/>
      <c r="E2843" s="14">
        <f>IF(D2843="","",IFERROR(INDEX('Sản phẩm'!$B$5:$B$304,MATCH(D2843,'Sản phẩm'!$A$5:$A$304,0)),""))</f>
        <v/>
      </c>
      <c r="F2843" s="12" t="n"/>
      <c r="G2843" s="11" t="n"/>
      <c r="H2843" s="11" t="n"/>
      <c r="I2843" s="16">
        <f>IF(D2843="","",IF(G2843&lt;&gt;"",G2843,IFERROR(INDEX('Sản phẩm'!$E$5:$E$304,MATCH(D2843,'Sản phẩm'!$A$5:$A$304,0)),"")))</f>
        <v/>
      </c>
      <c r="J2843" s="16">
        <f>IF(OR(D2843="",F2843=""),"",F2843*I2843-N(H2843))</f>
        <v/>
      </c>
      <c r="K2843" s="16">
        <f>IF(OR(D2843="",F2843=""),"",F2843*IFERROR(INDEX('Sản phẩm'!$D$5:$D$304,MATCH(D2843,'Sản phẩm'!$A$5:$A$304,0)),""))</f>
        <v/>
      </c>
      <c r="L2843" s="16">
        <f>IF(J2843="","",J2843-K2843)</f>
        <v/>
      </c>
      <c r="M2843" s="14">
        <f>IF(A2843="","",MONTH(A2843))</f>
        <v/>
      </c>
      <c r="N2843" s="14">
        <f>IF(A2843="","",YEAR(A2843))</f>
        <v/>
      </c>
    </row>
    <row r="2844">
      <c r="A2844" s="15" t="n"/>
      <c r="B2844" s="10" t="n"/>
      <c r="C2844" s="10" t="n"/>
      <c r="D2844" s="10" t="n"/>
      <c r="E2844" s="14">
        <f>IF(D2844="","",IFERROR(INDEX('Sản phẩm'!$B$5:$B$304,MATCH(D2844,'Sản phẩm'!$A$5:$A$304,0)),""))</f>
        <v/>
      </c>
      <c r="F2844" s="12" t="n"/>
      <c r="G2844" s="11" t="n"/>
      <c r="H2844" s="11" t="n"/>
      <c r="I2844" s="16">
        <f>IF(D2844="","",IF(G2844&lt;&gt;"",G2844,IFERROR(INDEX('Sản phẩm'!$E$5:$E$304,MATCH(D2844,'Sản phẩm'!$A$5:$A$304,0)),"")))</f>
        <v/>
      </c>
      <c r="J2844" s="16">
        <f>IF(OR(D2844="",F2844=""),"",F2844*I2844-N(H2844))</f>
        <v/>
      </c>
      <c r="K2844" s="16">
        <f>IF(OR(D2844="",F2844=""),"",F2844*IFERROR(INDEX('Sản phẩm'!$D$5:$D$304,MATCH(D2844,'Sản phẩm'!$A$5:$A$304,0)),""))</f>
        <v/>
      </c>
      <c r="L2844" s="16">
        <f>IF(J2844="","",J2844-K2844)</f>
        <v/>
      </c>
      <c r="M2844" s="14">
        <f>IF(A2844="","",MONTH(A2844))</f>
        <v/>
      </c>
      <c r="N2844" s="14">
        <f>IF(A2844="","",YEAR(A2844))</f>
        <v/>
      </c>
    </row>
    <row r="2845">
      <c r="A2845" s="15" t="n"/>
      <c r="B2845" s="10" t="n"/>
      <c r="C2845" s="10" t="n"/>
      <c r="D2845" s="10" t="n"/>
      <c r="E2845" s="14">
        <f>IF(D2845="","",IFERROR(INDEX('Sản phẩm'!$B$5:$B$304,MATCH(D2845,'Sản phẩm'!$A$5:$A$304,0)),""))</f>
        <v/>
      </c>
      <c r="F2845" s="12" t="n"/>
      <c r="G2845" s="11" t="n"/>
      <c r="H2845" s="11" t="n"/>
      <c r="I2845" s="16">
        <f>IF(D2845="","",IF(G2845&lt;&gt;"",G2845,IFERROR(INDEX('Sản phẩm'!$E$5:$E$304,MATCH(D2845,'Sản phẩm'!$A$5:$A$304,0)),"")))</f>
        <v/>
      </c>
      <c r="J2845" s="16">
        <f>IF(OR(D2845="",F2845=""),"",F2845*I2845-N(H2845))</f>
        <v/>
      </c>
      <c r="K2845" s="16">
        <f>IF(OR(D2845="",F2845=""),"",F2845*IFERROR(INDEX('Sản phẩm'!$D$5:$D$304,MATCH(D2845,'Sản phẩm'!$A$5:$A$304,0)),""))</f>
        <v/>
      </c>
      <c r="L2845" s="16">
        <f>IF(J2845="","",J2845-K2845)</f>
        <v/>
      </c>
      <c r="M2845" s="14">
        <f>IF(A2845="","",MONTH(A2845))</f>
        <v/>
      </c>
      <c r="N2845" s="14">
        <f>IF(A2845="","",YEAR(A2845))</f>
        <v/>
      </c>
    </row>
    <row r="2846">
      <c r="A2846" s="15" t="n"/>
      <c r="B2846" s="10" t="n"/>
      <c r="C2846" s="10" t="n"/>
      <c r="D2846" s="10" t="n"/>
      <c r="E2846" s="14">
        <f>IF(D2846="","",IFERROR(INDEX('Sản phẩm'!$B$5:$B$304,MATCH(D2846,'Sản phẩm'!$A$5:$A$304,0)),""))</f>
        <v/>
      </c>
      <c r="F2846" s="12" t="n"/>
      <c r="G2846" s="11" t="n"/>
      <c r="H2846" s="11" t="n"/>
      <c r="I2846" s="16">
        <f>IF(D2846="","",IF(G2846&lt;&gt;"",G2846,IFERROR(INDEX('Sản phẩm'!$E$5:$E$304,MATCH(D2846,'Sản phẩm'!$A$5:$A$304,0)),"")))</f>
        <v/>
      </c>
      <c r="J2846" s="16">
        <f>IF(OR(D2846="",F2846=""),"",F2846*I2846-N(H2846))</f>
        <v/>
      </c>
      <c r="K2846" s="16">
        <f>IF(OR(D2846="",F2846=""),"",F2846*IFERROR(INDEX('Sản phẩm'!$D$5:$D$304,MATCH(D2846,'Sản phẩm'!$A$5:$A$304,0)),""))</f>
        <v/>
      </c>
      <c r="L2846" s="16">
        <f>IF(J2846="","",J2846-K2846)</f>
        <v/>
      </c>
      <c r="M2846" s="14">
        <f>IF(A2846="","",MONTH(A2846))</f>
        <v/>
      </c>
      <c r="N2846" s="14">
        <f>IF(A2846="","",YEAR(A2846))</f>
        <v/>
      </c>
    </row>
    <row r="2847">
      <c r="A2847" s="15" t="n"/>
      <c r="B2847" s="10" t="n"/>
      <c r="C2847" s="10" t="n"/>
      <c r="D2847" s="10" t="n"/>
      <c r="E2847" s="14">
        <f>IF(D2847="","",IFERROR(INDEX('Sản phẩm'!$B$5:$B$304,MATCH(D2847,'Sản phẩm'!$A$5:$A$304,0)),""))</f>
        <v/>
      </c>
      <c r="F2847" s="12" t="n"/>
      <c r="G2847" s="11" t="n"/>
      <c r="H2847" s="11" t="n"/>
      <c r="I2847" s="16">
        <f>IF(D2847="","",IF(G2847&lt;&gt;"",G2847,IFERROR(INDEX('Sản phẩm'!$E$5:$E$304,MATCH(D2847,'Sản phẩm'!$A$5:$A$304,0)),"")))</f>
        <v/>
      </c>
      <c r="J2847" s="16">
        <f>IF(OR(D2847="",F2847=""),"",F2847*I2847-N(H2847))</f>
        <v/>
      </c>
      <c r="K2847" s="16">
        <f>IF(OR(D2847="",F2847=""),"",F2847*IFERROR(INDEX('Sản phẩm'!$D$5:$D$304,MATCH(D2847,'Sản phẩm'!$A$5:$A$304,0)),""))</f>
        <v/>
      </c>
      <c r="L2847" s="16">
        <f>IF(J2847="","",J2847-K2847)</f>
        <v/>
      </c>
      <c r="M2847" s="14">
        <f>IF(A2847="","",MONTH(A2847))</f>
        <v/>
      </c>
      <c r="N2847" s="14">
        <f>IF(A2847="","",YEAR(A2847))</f>
        <v/>
      </c>
    </row>
    <row r="2848">
      <c r="A2848" s="15" t="n"/>
      <c r="B2848" s="10" t="n"/>
      <c r="C2848" s="10" t="n"/>
      <c r="D2848" s="10" t="n"/>
      <c r="E2848" s="14">
        <f>IF(D2848="","",IFERROR(INDEX('Sản phẩm'!$B$5:$B$304,MATCH(D2848,'Sản phẩm'!$A$5:$A$304,0)),""))</f>
        <v/>
      </c>
      <c r="F2848" s="12" t="n"/>
      <c r="G2848" s="11" t="n"/>
      <c r="H2848" s="11" t="n"/>
      <c r="I2848" s="16">
        <f>IF(D2848="","",IF(G2848&lt;&gt;"",G2848,IFERROR(INDEX('Sản phẩm'!$E$5:$E$304,MATCH(D2848,'Sản phẩm'!$A$5:$A$304,0)),"")))</f>
        <v/>
      </c>
      <c r="J2848" s="16">
        <f>IF(OR(D2848="",F2848=""),"",F2848*I2848-N(H2848))</f>
        <v/>
      </c>
      <c r="K2848" s="16">
        <f>IF(OR(D2848="",F2848=""),"",F2848*IFERROR(INDEX('Sản phẩm'!$D$5:$D$304,MATCH(D2848,'Sản phẩm'!$A$5:$A$304,0)),""))</f>
        <v/>
      </c>
      <c r="L2848" s="16">
        <f>IF(J2848="","",J2848-K2848)</f>
        <v/>
      </c>
      <c r="M2848" s="14">
        <f>IF(A2848="","",MONTH(A2848))</f>
        <v/>
      </c>
      <c r="N2848" s="14">
        <f>IF(A2848="","",YEAR(A2848))</f>
        <v/>
      </c>
    </row>
    <row r="2849">
      <c r="A2849" s="15" t="n"/>
      <c r="B2849" s="10" t="n"/>
      <c r="C2849" s="10" t="n"/>
      <c r="D2849" s="10" t="n"/>
      <c r="E2849" s="14">
        <f>IF(D2849="","",IFERROR(INDEX('Sản phẩm'!$B$5:$B$304,MATCH(D2849,'Sản phẩm'!$A$5:$A$304,0)),""))</f>
        <v/>
      </c>
      <c r="F2849" s="12" t="n"/>
      <c r="G2849" s="11" t="n"/>
      <c r="H2849" s="11" t="n"/>
      <c r="I2849" s="16">
        <f>IF(D2849="","",IF(G2849&lt;&gt;"",G2849,IFERROR(INDEX('Sản phẩm'!$E$5:$E$304,MATCH(D2849,'Sản phẩm'!$A$5:$A$304,0)),"")))</f>
        <v/>
      </c>
      <c r="J2849" s="16">
        <f>IF(OR(D2849="",F2849=""),"",F2849*I2849-N(H2849))</f>
        <v/>
      </c>
      <c r="K2849" s="16">
        <f>IF(OR(D2849="",F2849=""),"",F2849*IFERROR(INDEX('Sản phẩm'!$D$5:$D$304,MATCH(D2849,'Sản phẩm'!$A$5:$A$304,0)),""))</f>
        <v/>
      </c>
      <c r="L2849" s="16">
        <f>IF(J2849="","",J2849-K2849)</f>
        <v/>
      </c>
      <c r="M2849" s="14">
        <f>IF(A2849="","",MONTH(A2849))</f>
        <v/>
      </c>
      <c r="N2849" s="14">
        <f>IF(A2849="","",YEAR(A2849))</f>
        <v/>
      </c>
    </row>
    <row r="2850">
      <c r="A2850" s="15" t="n"/>
      <c r="B2850" s="10" t="n"/>
      <c r="C2850" s="10" t="n"/>
      <c r="D2850" s="10" t="n"/>
      <c r="E2850" s="14">
        <f>IF(D2850="","",IFERROR(INDEX('Sản phẩm'!$B$5:$B$304,MATCH(D2850,'Sản phẩm'!$A$5:$A$304,0)),""))</f>
        <v/>
      </c>
      <c r="F2850" s="12" t="n"/>
      <c r="G2850" s="11" t="n"/>
      <c r="H2850" s="11" t="n"/>
      <c r="I2850" s="16">
        <f>IF(D2850="","",IF(G2850&lt;&gt;"",G2850,IFERROR(INDEX('Sản phẩm'!$E$5:$E$304,MATCH(D2850,'Sản phẩm'!$A$5:$A$304,0)),"")))</f>
        <v/>
      </c>
      <c r="J2850" s="16">
        <f>IF(OR(D2850="",F2850=""),"",F2850*I2850-N(H2850))</f>
        <v/>
      </c>
      <c r="K2850" s="16">
        <f>IF(OR(D2850="",F2850=""),"",F2850*IFERROR(INDEX('Sản phẩm'!$D$5:$D$304,MATCH(D2850,'Sản phẩm'!$A$5:$A$304,0)),""))</f>
        <v/>
      </c>
      <c r="L2850" s="16">
        <f>IF(J2850="","",J2850-K2850)</f>
        <v/>
      </c>
      <c r="M2850" s="14">
        <f>IF(A2850="","",MONTH(A2850))</f>
        <v/>
      </c>
      <c r="N2850" s="14">
        <f>IF(A2850="","",YEAR(A2850))</f>
        <v/>
      </c>
    </row>
    <row r="2851">
      <c r="A2851" s="15" t="n"/>
      <c r="B2851" s="10" t="n"/>
      <c r="C2851" s="10" t="n"/>
      <c r="D2851" s="10" t="n"/>
      <c r="E2851" s="14">
        <f>IF(D2851="","",IFERROR(INDEX('Sản phẩm'!$B$5:$B$304,MATCH(D2851,'Sản phẩm'!$A$5:$A$304,0)),""))</f>
        <v/>
      </c>
      <c r="F2851" s="12" t="n"/>
      <c r="G2851" s="11" t="n"/>
      <c r="H2851" s="11" t="n"/>
      <c r="I2851" s="16">
        <f>IF(D2851="","",IF(G2851&lt;&gt;"",G2851,IFERROR(INDEX('Sản phẩm'!$E$5:$E$304,MATCH(D2851,'Sản phẩm'!$A$5:$A$304,0)),"")))</f>
        <v/>
      </c>
      <c r="J2851" s="16">
        <f>IF(OR(D2851="",F2851=""),"",F2851*I2851-N(H2851))</f>
        <v/>
      </c>
      <c r="K2851" s="16">
        <f>IF(OR(D2851="",F2851=""),"",F2851*IFERROR(INDEX('Sản phẩm'!$D$5:$D$304,MATCH(D2851,'Sản phẩm'!$A$5:$A$304,0)),""))</f>
        <v/>
      </c>
      <c r="L2851" s="16">
        <f>IF(J2851="","",J2851-K2851)</f>
        <v/>
      </c>
      <c r="M2851" s="14">
        <f>IF(A2851="","",MONTH(A2851))</f>
        <v/>
      </c>
      <c r="N2851" s="14">
        <f>IF(A2851="","",YEAR(A2851))</f>
        <v/>
      </c>
    </row>
    <row r="2852">
      <c r="A2852" s="15" t="n"/>
      <c r="B2852" s="10" t="n"/>
      <c r="C2852" s="10" t="n"/>
      <c r="D2852" s="10" t="n"/>
      <c r="E2852" s="14">
        <f>IF(D2852="","",IFERROR(INDEX('Sản phẩm'!$B$5:$B$304,MATCH(D2852,'Sản phẩm'!$A$5:$A$304,0)),""))</f>
        <v/>
      </c>
      <c r="F2852" s="12" t="n"/>
      <c r="G2852" s="11" t="n"/>
      <c r="H2852" s="11" t="n"/>
      <c r="I2852" s="16">
        <f>IF(D2852="","",IF(G2852&lt;&gt;"",G2852,IFERROR(INDEX('Sản phẩm'!$E$5:$E$304,MATCH(D2852,'Sản phẩm'!$A$5:$A$304,0)),"")))</f>
        <v/>
      </c>
      <c r="J2852" s="16">
        <f>IF(OR(D2852="",F2852=""),"",F2852*I2852-N(H2852))</f>
        <v/>
      </c>
      <c r="K2852" s="16">
        <f>IF(OR(D2852="",F2852=""),"",F2852*IFERROR(INDEX('Sản phẩm'!$D$5:$D$304,MATCH(D2852,'Sản phẩm'!$A$5:$A$304,0)),""))</f>
        <v/>
      </c>
      <c r="L2852" s="16">
        <f>IF(J2852="","",J2852-K2852)</f>
        <v/>
      </c>
      <c r="M2852" s="14">
        <f>IF(A2852="","",MONTH(A2852))</f>
        <v/>
      </c>
      <c r="N2852" s="14">
        <f>IF(A2852="","",YEAR(A2852))</f>
        <v/>
      </c>
    </row>
    <row r="2853">
      <c r="A2853" s="15" t="n"/>
      <c r="B2853" s="10" t="n"/>
      <c r="C2853" s="10" t="n"/>
      <c r="D2853" s="10" t="n"/>
      <c r="E2853" s="14">
        <f>IF(D2853="","",IFERROR(INDEX('Sản phẩm'!$B$5:$B$304,MATCH(D2853,'Sản phẩm'!$A$5:$A$304,0)),""))</f>
        <v/>
      </c>
      <c r="F2853" s="12" t="n"/>
      <c r="G2853" s="11" t="n"/>
      <c r="H2853" s="11" t="n"/>
      <c r="I2853" s="16">
        <f>IF(D2853="","",IF(G2853&lt;&gt;"",G2853,IFERROR(INDEX('Sản phẩm'!$E$5:$E$304,MATCH(D2853,'Sản phẩm'!$A$5:$A$304,0)),"")))</f>
        <v/>
      </c>
      <c r="J2853" s="16">
        <f>IF(OR(D2853="",F2853=""),"",F2853*I2853-N(H2853))</f>
        <v/>
      </c>
      <c r="K2853" s="16">
        <f>IF(OR(D2853="",F2853=""),"",F2853*IFERROR(INDEX('Sản phẩm'!$D$5:$D$304,MATCH(D2853,'Sản phẩm'!$A$5:$A$304,0)),""))</f>
        <v/>
      </c>
      <c r="L2853" s="16">
        <f>IF(J2853="","",J2853-K2853)</f>
        <v/>
      </c>
      <c r="M2853" s="14">
        <f>IF(A2853="","",MONTH(A2853))</f>
        <v/>
      </c>
      <c r="N2853" s="14">
        <f>IF(A2853="","",YEAR(A2853))</f>
        <v/>
      </c>
    </row>
    <row r="2854">
      <c r="A2854" s="15" t="n"/>
      <c r="B2854" s="10" t="n"/>
      <c r="C2854" s="10" t="n"/>
      <c r="D2854" s="10" t="n"/>
      <c r="E2854" s="14">
        <f>IF(D2854="","",IFERROR(INDEX('Sản phẩm'!$B$5:$B$304,MATCH(D2854,'Sản phẩm'!$A$5:$A$304,0)),""))</f>
        <v/>
      </c>
      <c r="F2854" s="12" t="n"/>
      <c r="G2854" s="11" t="n"/>
      <c r="H2854" s="11" t="n"/>
      <c r="I2854" s="16">
        <f>IF(D2854="","",IF(G2854&lt;&gt;"",G2854,IFERROR(INDEX('Sản phẩm'!$E$5:$E$304,MATCH(D2854,'Sản phẩm'!$A$5:$A$304,0)),"")))</f>
        <v/>
      </c>
      <c r="J2854" s="16">
        <f>IF(OR(D2854="",F2854=""),"",F2854*I2854-N(H2854))</f>
        <v/>
      </c>
      <c r="K2854" s="16">
        <f>IF(OR(D2854="",F2854=""),"",F2854*IFERROR(INDEX('Sản phẩm'!$D$5:$D$304,MATCH(D2854,'Sản phẩm'!$A$5:$A$304,0)),""))</f>
        <v/>
      </c>
      <c r="L2854" s="16">
        <f>IF(J2854="","",J2854-K2854)</f>
        <v/>
      </c>
      <c r="M2854" s="14">
        <f>IF(A2854="","",MONTH(A2854))</f>
        <v/>
      </c>
      <c r="N2854" s="14">
        <f>IF(A2854="","",YEAR(A2854))</f>
        <v/>
      </c>
    </row>
    <row r="2855">
      <c r="A2855" s="15" t="n"/>
      <c r="B2855" s="10" t="n"/>
      <c r="C2855" s="10" t="n"/>
      <c r="D2855" s="10" t="n"/>
      <c r="E2855" s="14">
        <f>IF(D2855="","",IFERROR(INDEX('Sản phẩm'!$B$5:$B$304,MATCH(D2855,'Sản phẩm'!$A$5:$A$304,0)),""))</f>
        <v/>
      </c>
      <c r="F2855" s="12" t="n"/>
      <c r="G2855" s="11" t="n"/>
      <c r="H2855" s="11" t="n"/>
      <c r="I2855" s="16">
        <f>IF(D2855="","",IF(G2855&lt;&gt;"",G2855,IFERROR(INDEX('Sản phẩm'!$E$5:$E$304,MATCH(D2855,'Sản phẩm'!$A$5:$A$304,0)),"")))</f>
        <v/>
      </c>
      <c r="J2855" s="16">
        <f>IF(OR(D2855="",F2855=""),"",F2855*I2855-N(H2855))</f>
        <v/>
      </c>
      <c r="K2855" s="16">
        <f>IF(OR(D2855="",F2855=""),"",F2855*IFERROR(INDEX('Sản phẩm'!$D$5:$D$304,MATCH(D2855,'Sản phẩm'!$A$5:$A$304,0)),""))</f>
        <v/>
      </c>
      <c r="L2855" s="16">
        <f>IF(J2855="","",J2855-K2855)</f>
        <v/>
      </c>
      <c r="M2855" s="14">
        <f>IF(A2855="","",MONTH(A2855))</f>
        <v/>
      </c>
      <c r="N2855" s="14">
        <f>IF(A2855="","",YEAR(A2855))</f>
        <v/>
      </c>
    </row>
    <row r="2856">
      <c r="A2856" s="15" t="n"/>
      <c r="B2856" s="10" t="n"/>
      <c r="C2856" s="10" t="n"/>
      <c r="D2856" s="10" t="n"/>
      <c r="E2856" s="14">
        <f>IF(D2856="","",IFERROR(INDEX('Sản phẩm'!$B$5:$B$304,MATCH(D2856,'Sản phẩm'!$A$5:$A$304,0)),""))</f>
        <v/>
      </c>
      <c r="F2856" s="12" t="n"/>
      <c r="G2856" s="11" t="n"/>
      <c r="H2856" s="11" t="n"/>
      <c r="I2856" s="16">
        <f>IF(D2856="","",IF(G2856&lt;&gt;"",G2856,IFERROR(INDEX('Sản phẩm'!$E$5:$E$304,MATCH(D2856,'Sản phẩm'!$A$5:$A$304,0)),"")))</f>
        <v/>
      </c>
      <c r="J2856" s="16">
        <f>IF(OR(D2856="",F2856=""),"",F2856*I2856-N(H2856))</f>
        <v/>
      </c>
      <c r="K2856" s="16">
        <f>IF(OR(D2856="",F2856=""),"",F2856*IFERROR(INDEX('Sản phẩm'!$D$5:$D$304,MATCH(D2856,'Sản phẩm'!$A$5:$A$304,0)),""))</f>
        <v/>
      </c>
      <c r="L2856" s="16">
        <f>IF(J2856="","",J2856-K2856)</f>
        <v/>
      </c>
      <c r="M2856" s="14">
        <f>IF(A2856="","",MONTH(A2856))</f>
        <v/>
      </c>
      <c r="N2856" s="14">
        <f>IF(A2856="","",YEAR(A2856))</f>
        <v/>
      </c>
    </row>
    <row r="2857">
      <c r="A2857" s="15" t="n"/>
      <c r="B2857" s="10" t="n"/>
      <c r="C2857" s="10" t="n"/>
      <c r="D2857" s="10" t="n"/>
      <c r="E2857" s="14">
        <f>IF(D2857="","",IFERROR(INDEX('Sản phẩm'!$B$5:$B$304,MATCH(D2857,'Sản phẩm'!$A$5:$A$304,0)),""))</f>
        <v/>
      </c>
      <c r="F2857" s="12" t="n"/>
      <c r="G2857" s="11" t="n"/>
      <c r="H2857" s="11" t="n"/>
      <c r="I2857" s="16">
        <f>IF(D2857="","",IF(G2857&lt;&gt;"",G2857,IFERROR(INDEX('Sản phẩm'!$E$5:$E$304,MATCH(D2857,'Sản phẩm'!$A$5:$A$304,0)),"")))</f>
        <v/>
      </c>
      <c r="J2857" s="16">
        <f>IF(OR(D2857="",F2857=""),"",F2857*I2857-N(H2857))</f>
        <v/>
      </c>
      <c r="K2857" s="16">
        <f>IF(OR(D2857="",F2857=""),"",F2857*IFERROR(INDEX('Sản phẩm'!$D$5:$D$304,MATCH(D2857,'Sản phẩm'!$A$5:$A$304,0)),""))</f>
        <v/>
      </c>
      <c r="L2857" s="16">
        <f>IF(J2857="","",J2857-K2857)</f>
        <v/>
      </c>
      <c r="M2857" s="14">
        <f>IF(A2857="","",MONTH(A2857))</f>
        <v/>
      </c>
      <c r="N2857" s="14">
        <f>IF(A2857="","",YEAR(A2857))</f>
        <v/>
      </c>
    </row>
    <row r="2858">
      <c r="A2858" s="15" t="n"/>
      <c r="B2858" s="10" t="n"/>
      <c r="C2858" s="10" t="n"/>
      <c r="D2858" s="10" t="n"/>
      <c r="E2858" s="14">
        <f>IF(D2858="","",IFERROR(INDEX('Sản phẩm'!$B$5:$B$304,MATCH(D2858,'Sản phẩm'!$A$5:$A$304,0)),""))</f>
        <v/>
      </c>
      <c r="F2858" s="12" t="n"/>
      <c r="G2858" s="11" t="n"/>
      <c r="H2858" s="11" t="n"/>
      <c r="I2858" s="16">
        <f>IF(D2858="","",IF(G2858&lt;&gt;"",G2858,IFERROR(INDEX('Sản phẩm'!$E$5:$E$304,MATCH(D2858,'Sản phẩm'!$A$5:$A$304,0)),"")))</f>
        <v/>
      </c>
      <c r="J2858" s="16">
        <f>IF(OR(D2858="",F2858=""),"",F2858*I2858-N(H2858))</f>
        <v/>
      </c>
      <c r="K2858" s="16">
        <f>IF(OR(D2858="",F2858=""),"",F2858*IFERROR(INDEX('Sản phẩm'!$D$5:$D$304,MATCH(D2858,'Sản phẩm'!$A$5:$A$304,0)),""))</f>
        <v/>
      </c>
      <c r="L2858" s="16">
        <f>IF(J2858="","",J2858-K2858)</f>
        <v/>
      </c>
      <c r="M2858" s="14">
        <f>IF(A2858="","",MONTH(A2858))</f>
        <v/>
      </c>
      <c r="N2858" s="14">
        <f>IF(A2858="","",YEAR(A2858))</f>
        <v/>
      </c>
    </row>
    <row r="2859">
      <c r="A2859" s="15" t="n"/>
      <c r="B2859" s="10" t="n"/>
      <c r="C2859" s="10" t="n"/>
      <c r="D2859" s="10" t="n"/>
      <c r="E2859" s="14">
        <f>IF(D2859="","",IFERROR(INDEX('Sản phẩm'!$B$5:$B$304,MATCH(D2859,'Sản phẩm'!$A$5:$A$304,0)),""))</f>
        <v/>
      </c>
      <c r="F2859" s="12" t="n"/>
      <c r="G2859" s="11" t="n"/>
      <c r="H2859" s="11" t="n"/>
      <c r="I2859" s="16">
        <f>IF(D2859="","",IF(G2859&lt;&gt;"",G2859,IFERROR(INDEX('Sản phẩm'!$E$5:$E$304,MATCH(D2859,'Sản phẩm'!$A$5:$A$304,0)),"")))</f>
        <v/>
      </c>
      <c r="J2859" s="16">
        <f>IF(OR(D2859="",F2859=""),"",F2859*I2859-N(H2859))</f>
        <v/>
      </c>
      <c r="K2859" s="16">
        <f>IF(OR(D2859="",F2859=""),"",F2859*IFERROR(INDEX('Sản phẩm'!$D$5:$D$304,MATCH(D2859,'Sản phẩm'!$A$5:$A$304,0)),""))</f>
        <v/>
      </c>
      <c r="L2859" s="16">
        <f>IF(J2859="","",J2859-K2859)</f>
        <v/>
      </c>
      <c r="M2859" s="14">
        <f>IF(A2859="","",MONTH(A2859))</f>
        <v/>
      </c>
      <c r="N2859" s="14">
        <f>IF(A2859="","",YEAR(A2859))</f>
        <v/>
      </c>
    </row>
    <row r="2860">
      <c r="A2860" s="15" t="n"/>
      <c r="B2860" s="10" t="n"/>
      <c r="C2860" s="10" t="n"/>
      <c r="D2860" s="10" t="n"/>
      <c r="E2860" s="14">
        <f>IF(D2860="","",IFERROR(INDEX('Sản phẩm'!$B$5:$B$304,MATCH(D2860,'Sản phẩm'!$A$5:$A$304,0)),""))</f>
        <v/>
      </c>
      <c r="F2860" s="12" t="n"/>
      <c r="G2860" s="11" t="n"/>
      <c r="H2860" s="11" t="n"/>
      <c r="I2860" s="16">
        <f>IF(D2860="","",IF(G2860&lt;&gt;"",G2860,IFERROR(INDEX('Sản phẩm'!$E$5:$E$304,MATCH(D2860,'Sản phẩm'!$A$5:$A$304,0)),"")))</f>
        <v/>
      </c>
      <c r="J2860" s="16">
        <f>IF(OR(D2860="",F2860=""),"",F2860*I2860-N(H2860))</f>
        <v/>
      </c>
      <c r="K2860" s="16">
        <f>IF(OR(D2860="",F2860=""),"",F2860*IFERROR(INDEX('Sản phẩm'!$D$5:$D$304,MATCH(D2860,'Sản phẩm'!$A$5:$A$304,0)),""))</f>
        <v/>
      </c>
      <c r="L2860" s="16">
        <f>IF(J2860="","",J2860-K2860)</f>
        <v/>
      </c>
      <c r="M2860" s="14">
        <f>IF(A2860="","",MONTH(A2860))</f>
        <v/>
      </c>
      <c r="N2860" s="14">
        <f>IF(A2860="","",YEAR(A2860))</f>
        <v/>
      </c>
    </row>
    <row r="2861">
      <c r="A2861" s="15" t="n"/>
      <c r="B2861" s="10" t="n"/>
      <c r="C2861" s="10" t="n"/>
      <c r="D2861" s="10" t="n"/>
      <c r="E2861" s="14">
        <f>IF(D2861="","",IFERROR(INDEX('Sản phẩm'!$B$5:$B$304,MATCH(D2861,'Sản phẩm'!$A$5:$A$304,0)),""))</f>
        <v/>
      </c>
      <c r="F2861" s="12" t="n"/>
      <c r="G2861" s="11" t="n"/>
      <c r="H2861" s="11" t="n"/>
      <c r="I2861" s="16">
        <f>IF(D2861="","",IF(G2861&lt;&gt;"",G2861,IFERROR(INDEX('Sản phẩm'!$E$5:$E$304,MATCH(D2861,'Sản phẩm'!$A$5:$A$304,0)),"")))</f>
        <v/>
      </c>
      <c r="J2861" s="16">
        <f>IF(OR(D2861="",F2861=""),"",F2861*I2861-N(H2861))</f>
        <v/>
      </c>
      <c r="K2861" s="16">
        <f>IF(OR(D2861="",F2861=""),"",F2861*IFERROR(INDEX('Sản phẩm'!$D$5:$D$304,MATCH(D2861,'Sản phẩm'!$A$5:$A$304,0)),""))</f>
        <v/>
      </c>
      <c r="L2861" s="16">
        <f>IF(J2861="","",J2861-K2861)</f>
        <v/>
      </c>
      <c r="M2861" s="14">
        <f>IF(A2861="","",MONTH(A2861))</f>
        <v/>
      </c>
      <c r="N2861" s="14">
        <f>IF(A2861="","",YEAR(A2861))</f>
        <v/>
      </c>
    </row>
    <row r="2862">
      <c r="A2862" s="15" t="n"/>
      <c r="B2862" s="10" t="n"/>
      <c r="C2862" s="10" t="n"/>
      <c r="D2862" s="10" t="n"/>
      <c r="E2862" s="14">
        <f>IF(D2862="","",IFERROR(INDEX('Sản phẩm'!$B$5:$B$304,MATCH(D2862,'Sản phẩm'!$A$5:$A$304,0)),""))</f>
        <v/>
      </c>
      <c r="F2862" s="12" t="n"/>
      <c r="G2862" s="11" t="n"/>
      <c r="H2862" s="11" t="n"/>
      <c r="I2862" s="16">
        <f>IF(D2862="","",IF(G2862&lt;&gt;"",G2862,IFERROR(INDEX('Sản phẩm'!$E$5:$E$304,MATCH(D2862,'Sản phẩm'!$A$5:$A$304,0)),"")))</f>
        <v/>
      </c>
      <c r="J2862" s="16">
        <f>IF(OR(D2862="",F2862=""),"",F2862*I2862-N(H2862))</f>
        <v/>
      </c>
      <c r="K2862" s="16">
        <f>IF(OR(D2862="",F2862=""),"",F2862*IFERROR(INDEX('Sản phẩm'!$D$5:$D$304,MATCH(D2862,'Sản phẩm'!$A$5:$A$304,0)),""))</f>
        <v/>
      </c>
      <c r="L2862" s="16">
        <f>IF(J2862="","",J2862-K2862)</f>
        <v/>
      </c>
      <c r="M2862" s="14">
        <f>IF(A2862="","",MONTH(A2862))</f>
        <v/>
      </c>
      <c r="N2862" s="14">
        <f>IF(A2862="","",YEAR(A2862))</f>
        <v/>
      </c>
    </row>
    <row r="2863">
      <c r="A2863" s="15" t="n"/>
      <c r="B2863" s="10" t="n"/>
      <c r="C2863" s="10" t="n"/>
      <c r="D2863" s="10" t="n"/>
      <c r="E2863" s="14">
        <f>IF(D2863="","",IFERROR(INDEX('Sản phẩm'!$B$5:$B$304,MATCH(D2863,'Sản phẩm'!$A$5:$A$304,0)),""))</f>
        <v/>
      </c>
      <c r="F2863" s="12" t="n"/>
      <c r="G2863" s="11" t="n"/>
      <c r="H2863" s="11" t="n"/>
      <c r="I2863" s="16">
        <f>IF(D2863="","",IF(G2863&lt;&gt;"",G2863,IFERROR(INDEX('Sản phẩm'!$E$5:$E$304,MATCH(D2863,'Sản phẩm'!$A$5:$A$304,0)),"")))</f>
        <v/>
      </c>
      <c r="J2863" s="16">
        <f>IF(OR(D2863="",F2863=""),"",F2863*I2863-N(H2863))</f>
        <v/>
      </c>
      <c r="K2863" s="16">
        <f>IF(OR(D2863="",F2863=""),"",F2863*IFERROR(INDEX('Sản phẩm'!$D$5:$D$304,MATCH(D2863,'Sản phẩm'!$A$5:$A$304,0)),""))</f>
        <v/>
      </c>
      <c r="L2863" s="16">
        <f>IF(J2863="","",J2863-K2863)</f>
        <v/>
      </c>
      <c r="M2863" s="14">
        <f>IF(A2863="","",MONTH(A2863))</f>
        <v/>
      </c>
      <c r="N2863" s="14">
        <f>IF(A2863="","",YEAR(A2863))</f>
        <v/>
      </c>
    </row>
    <row r="2864">
      <c r="A2864" s="15" t="n"/>
      <c r="B2864" s="10" t="n"/>
      <c r="C2864" s="10" t="n"/>
      <c r="D2864" s="10" t="n"/>
      <c r="E2864" s="14">
        <f>IF(D2864="","",IFERROR(INDEX('Sản phẩm'!$B$5:$B$304,MATCH(D2864,'Sản phẩm'!$A$5:$A$304,0)),""))</f>
        <v/>
      </c>
      <c r="F2864" s="12" t="n"/>
      <c r="G2864" s="11" t="n"/>
      <c r="H2864" s="11" t="n"/>
      <c r="I2864" s="16">
        <f>IF(D2864="","",IF(G2864&lt;&gt;"",G2864,IFERROR(INDEX('Sản phẩm'!$E$5:$E$304,MATCH(D2864,'Sản phẩm'!$A$5:$A$304,0)),"")))</f>
        <v/>
      </c>
      <c r="J2864" s="16">
        <f>IF(OR(D2864="",F2864=""),"",F2864*I2864-N(H2864))</f>
        <v/>
      </c>
      <c r="K2864" s="16">
        <f>IF(OR(D2864="",F2864=""),"",F2864*IFERROR(INDEX('Sản phẩm'!$D$5:$D$304,MATCH(D2864,'Sản phẩm'!$A$5:$A$304,0)),""))</f>
        <v/>
      </c>
      <c r="L2864" s="16">
        <f>IF(J2864="","",J2864-K2864)</f>
        <v/>
      </c>
      <c r="M2864" s="14">
        <f>IF(A2864="","",MONTH(A2864))</f>
        <v/>
      </c>
      <c r="N2864" s="14">
        <f>IF(A2864="","",YEAR(A2864))</f>
        <v/>
      </c>
    </row>
    <row r="2865">
      <c r="A2865" s="15" t="n"/>
      <c r="B2865" s="10" t="n"/>
      <c r="C2865" s="10" t="n"/>
      <c r="D2865" s="10" t="n"/>
      <c r="E2865" s="14">
        <f>IF(D2865="","",IFERROR(INDEX('Sản phẩm'!$B$5:$B$304,MATCH(D2865,'Sản phẩm'!$A$5:$A$304,0)),""))</f>
        <v/>
      </c>
      <c r="F2865" s="12" t="n"/>
      <c r="G2865" s="11" t="n"/>
      <c r="H2865" s="11" t="n"/>
      <c r="I2865" s="16">
        <f>IF(D2865="","",IF(G2865&lt;&gt;"",G2865,IFERROR(INDEX('Sản phẩm'!$E$5:$E$304,MATCH(D2865,'Sản phẩm'!$A$5:$A$304,0)),"")))</f>
        <v/>
      </c>
      <c r="J2865" s="16">
        <f>IF(OR(D2865="",F2865=""),"",F2865*I2865-N(H2865))</f>
        <v/>
      </c>
      <c r="K2865" s="16">
        <f>IF(OR(D2865="",F2865=""),"",F2865*IFERROR(INDEX('Sản phẩm'!$D$5:$D$304,MATCH(D2865,'Sản phẩm'!$A$5:$A$304,0)),""))</f>
        <v/>
      </c>
      <c r="L2865" s="16">
        <f>IF(J2865="","",J2865-K2865)</f>
        <v/>
      </c>
      <c r="M2865" s="14">
        <f>IF(A2865="","",MONTH(A2865))</f>
        <v/>
      </c>
      <c r="N2865" s="14">
        <f>IF(A2865="","",YEAR(A2865))</f>
        <v/>
      </c>
    </row>
    <row r="2866">
      <c r="A2866" s="15" t="n"/>
      <c r="B2866" s="10" t="n"/>
      <c r="C2866" s="10" t="n"/>
      <c r="D2866" s="10" t="n"/>
      <c r="E2866" s="14">
        <f>IF(D2866="","",IFERROR(INDEX('Sản phẩm'!$B$5:$B$304,MATCH(D2866,'Sản phẩm'!$A$5:$A$304,0)),""))</f>
        <v/>
      </c>
      <c r="F2866" s="12" t="n"/>
      <c r="G2866" s="11" t="n"/>
      <c r="H2866" s="11" t="n"/>
      <c r="I2866" s="16">
        <f>IF(D2866="","",IF(G2866&lt;&gt;"",G2866,IFERROR(INDEX('Sản phẩm'!$E$5:$E$304,MATCH(D2866,'Sản phẩm'!$A$5:$A$304,0)),"")))</f>
        <v/>
      </c>
      <c r="J2866" s="16">
        <f>IF(OR(D2866="",F2866=""),"",F2866*I2866-N(H2866))</f>
        <v/>
      </c>
      <c r="K2866" s="16">
        <f>IF(OR(D2866="",F2866=""),"",F2866*IFERROR(INDEX('Sản phẩm'!$D$5:$D$304,MATCH(D2866,'Sản phẩm'!$A$5:$A$304,0)),""))</f>
        <v/>
      </c>
      <c r="L2866" s="16">
        <f>IF(J2866="","",J2866-K2866)</f>
        <v/>
      </c>
      <c r="M2866" s="14">
        <f>IF(A2866="","",MONTH(A2866))</f>
        <v/>
      </c>
      <c r="N2866" s="14">
        <f>IF(A2866="","",YEAR(A2866))</f>
        <v/>
      </c>
    </row>
    <row r="2867">
      <c r="A2867" s="15" t="n"/>
      <c r="B2867" s="10" t="n"/>
      <c r="C2867" s="10" t="n"/>
      <c r="D2867" s="10" t="n"/>
      <c r="E2867" s="14">
        <f>IF(D2867="","",IFERROR(INDEX('Sản phẩm'!$B$5:$B$304,MATCH(D2867,'Sản phẩm'!$A$5:$A$304,0)),""))</f>
        <v/>
      </c>
      <c r="F2867" s="12" t="n"/>
      <c r="G2867" s="11" t="n"/>
      <c r="H2867" s="11" t="n"/>
      <c r="I2867" s="16">
        <f>IF(D2867="","",IF(G2867&lt;&gt;"",G2867,IFERROR(INDEX('Sản phẩm'!$E$5:$E$304,MATCH(D2867,'Sản phẩm'!$A$5:$A$304,0)),"")))</f>
        <v/>
      </c>
      <c r="J2867" s="16">
        <f>IF(OR(D2867="",F2867=""),"",F2867*I2867-N(H2867))</f>
        <v/>
      </c>
      <c r="K2867" s="16">
        <f>IF(OR(D2867="",F2867=""),"",F2867*IFERROR(INDEX('Sản phẩm'!$D$5:$D$304,MATCH(D2867,'Sản phẩm'!$A$5:$A$304,0)),""))</f>
        <v/>
      </c>
      <c r="L2867" s="16">
        <f>IF(J2867="","",J2867-K2867)</f>
        <v/>
      </c>
      <c r="M2867" s="14">
        <f>IF(A2867="","",MONTH(A2867))</f>
        <v/>
      </c>
      <c r="N2867" s="14">
        <f>IF(A2867="","",YEAR(A2867))</f>
        <v/>
      </c>
    </row>
    <row r="2868">
      <c r="A2868" s="15" t="n"/>
      <c r="B2868" s="10" t="n"/>
      <c r="C2868" s="10" t="n"/>
      <c r="D2868" s="10" t="n"/>
      <c r="E2868" s="14">
        <f>IF(D2868="","",IFERROR(INDEX('Sản phẩm'!$B$5:$B$304,MATCH(D2868,'Sản phẩm'!$A$5:$A$304,0)),""))</f>
        <v/>
      </c>
      <c r="F2868" s="12" t="n"/>
      <c r="G2868" s="11" t="n"/>
      <c r="H2868" s="11" t="n"/>
      <c r="I2868" s="16">
        <f>IF(D2868="","",IF(G2868&lt;&gt;"",G2868,IFERROR(INDEX('Sản phẩm'!$E$5:$E$304,MATCH(D2868,'Sản phẩm'!$A$5:$A$304,0)),"")))</f>
        <v/>
      </c>
      <c r="J2868" s="16">
        <f>IF(OR(D2868="",F2868=""),"",F2868*I2868-N(H2868))</f>
        <v/>
      </c>
      <c r="K2868" s="16">
        <f>IF(OR(D2868="",F2868=""),"",F2868*IFERROR(INDEX('Sản phẩm'!$D$5:$D$304,MATCH(D2868,'Sản phẩm'!$A$5:$A$304,0)),""))</f>
        <v/>
      </c>
      <c r="L2868" s="16">
        <f>IF(J2868="","",J2868-K2868)</f>
        <v/>
      </c>
      <c r="M2868" s="14">
        <f>IF(A2868="","",MONTH(A2868))</f>
        <v/>
      </c>
      <c r="N2868" s="14">
        <f>IF(A2868="","",YEAR(A2868))</f>
        <v/>
      </c>
    </row>
    <row r="2869">
      <c r="A2869" s="15" t="n"/>
      <c r="B2869" s="10" t="n"/>
      <c r="C2869" s="10" t="n"/>
      <c r="D2869" s="10" t="n"/>
      <c r="E2869" s="14">
        <f>IF(D2869="","",IFERROR(INDEX('Sản phẩm'!$B$5:$B$304,MATCH(D2869,'Sản phẩm'!$A$5:$A$304,0)),""))</f>
        <v/>
      </c>
      <c r="F2869" s="12" t="n"/>
      <c r="G2869" s="11" t="n"/>
      <c r="H2869" s="11" t="n"/>
      <c r="I2869" s="16">
        <f>IF(D2869="","",IF(G2869&lt;&gt;"",G2869,IFERROR(INDEX('Sản phẩm'!$E$5:$E$304,MATCH(D2869,'Sản phẩm'!$A$5:$A$304,0)),"")))</f>
        <v/>
      </c>
      <c r="J2869" s="16">
        <f>IF(OR(D2869="",F2869=""),"",F2869*I2869-N(H2869))</f>
        <v/>
      </c>
      <c r="K2869" s="16">
        <f>IF(OR(D2869="",F2869=""),"",F2869*IFERROR(INDEX('Sản phẩm'!$D$5:$D$304,MATCH(D2869,'Sản phẩm'!$A$5:$A$304,0)),""))</f>
        <v/>
      </c>
      <c r="L2869" s="16">
        <f>IF(J2869="","",J2869-K2869)</f>
        <v/>
      </c>
      <c r="M2869" s="14">
        <f>IF(A2869="","",MONTH(A2869))</f>
        <v/>
      </c>
      <c r="N2869" s="14">
        <f>IF(A2869="","",YEAR(A2869))</f>
        <v/>
      </c>
    </row>
    <row r="2870">
      <c r="A2870" s="15" t="n"/>
      <c r="B2870" s="10" t="n"/>
      <c r="C2870" s="10" t="n"/>
      <c r="D2870" s="10" t="n"/>
      <c r="E2870" s="14">
        <f>IF(D2870="","",IFERROR(INDEX('Sản phẩm'!$B$5:$B$304,MATCH(D2870,'Sản phẩm'!$A$5:$A$304,0)),""))</f>
        <v/>
      </c>
      <c r="F2870" s="12" t="n"/>
      <c r="G2870" s="11" t="n"/>
      <c r="H2870" s="11" t="n"/>
      <c r="I2870" s="16">
        <f>IF(D2870="","",IF(G2870&lt;&gt;"",G2870,IFERROR(INDEX('Sản phẩm'!$E$5:$E$304,MATCH(D2870,'Sản phẩm'!$A$5:$A$304,0)),"")))</f>
        <v/>
      </c>
      <c r="J2870" s="16">
        <f>IF(OR(D2870="",F2870=""),"",F2870*I2870-N(H2870))</f>
        <v/>
      </c>
      <c r="K2870" s="16">
        <f>IF(OR(D2870="",F2870=""),"",F2870*IFERROR(INDEX('Sản phẩm'!$D$5:$D$304,MATCH(D2870,'Sản phẩm'!$A$5:$A$304,0)),""))</f>
        <v/>
      </c>
      <c r="L2870" s="16">
        <f>IF(J2870="","",J2870-K2870)</f>
        <v/>
      </c>
      <c r="M2870" s="14">
        <f>IF(A2870="","",MONTH(A2870))</f>
        <v/>
      </c>
      <c r="N2870" s="14">
        <f>IF(A2870="","",YEAR(A2870))</f>
        <v/>
      </c>
    </row>
    <row r="2871">
      <c r="A2871" s="15" t="n"/>
      <c r="B2871" s="10" t="n"/>
      <c r="C2871" s="10" t="n"/>
      <c r="D2871" s="10" t="n"/>
      <c r="E2871" s="14">
        <f>IF(D2871="","",IFERROR(INDEX('Sản phẩm'!$B$5:$B$304,MATCH(D2871,'Sản phẩm'!$A$5:$A$304,0)),""))</f>
        <v/>
      </c>
      <c r="F2871" s="12" t="n"/>
      <c r="G2871" s="11" t="n"/>
      <c r="H2871" s="11" t="n"/>
      <c r="I2871" s="16">
        <f>IF(D2871="","",IF(G2871&lt;&gt;"",G2871,IFERROR(INDEX('Sản phẩm'!$E$5:$E$304,MATCH(D2871,'Sản phẩm'!$A$5:$A$304,0)),"")))</f>
        <v/>
      </c>
      <c r="J2871" s="16">
        <f>IF(OR(D2871="",F2871=""),"",F2871*I2871-N(H2871))</f>
        <v/>
      </c>
      <c r="K2871" s="16">
        <f>IF(OR(D2871="",F2871=""),"",F2871*IFERROR(INDEX('Sản phẩm'!$D$5:$D$304,MATCH(D2871,'Sản phẩm'!$A$5:$A$304,0)),""))</f>
        <v/>
      </c>
      <c r="L2871" s="16">
        <f>IF(J2871="","",J2871-K2871)</f>
        <v/>
      </c>
      <c r="M2871" s="14">
        <f>IF(A2871="","",MONTH(A2871))</f>
        <v/>
      </c>
      <c r="N2871" s="14">
        <f>IF(A2871="","",YEAR(A2871))</f>
        <v/>
      </c>
    </row>
    <row r="2872">
      <c r="A2872" s="15" t="n"/>
      <c r="B2872" s="10" t="n"/>
      <c r="C2872" s="10" t="n"/>
      <c r="D2872" s="10" t="n"/>
      <c r="E2872" s="14">
        <f>IF(D2872="","",IFERROR(INDEX('Sản phẩm'!$B$5:$B$304,MATCH(D2872,'Sản phẩm'!$A$5:$A$304,0)),""))</f>
        <v/>
      </c>
      <c r="F2872" s="12" t="n"/>
      <c r="G2872" s="11" t="n"/>
      <c r="H2872" s="11" t="n"/>
      <c r="I2872" s="16">
        <f>IF(D2872="","",IF(G2872&lt;&gt;"",G2872,IFERROR(INDEX('Sản phẩm'!$E$5:$E$304,MATCH(D2872,'Sản phẩm'!$A$5:$A$304,0)),"")))</f>
        <v/>
      </c>
      <c r="J2872" s="16">
        <f>IF(OR(D2872="",F2872=""),"",F2872*I2872-N(H2872))</f>
        <v/>
      </c>
      <c r="K2872" s="16">
        <f>IF(OR(D2872="",F2872=""),"",F2872*IFERROR(INDEX('Sản phẩm'!$D$5:$D$304,MATCH(D2872,'Sản phẩm'!$A$5:$A$304,0)),""))</f>
        <v/>
      </c>
      <c r="L2872" s="16">
        <f>IF(J2872="","",J2872-K2872)</f>
        <v/>
      </c>
      <c r="M2872" s="14">
        <f>IF(A2872="","",MONTH(A2872))</f>
        <v/>
      </c>
      <c r="N2872" s="14">
        <f>IF(A2872="","",YEAR(A2872))</f>
        <v/>
      </c>
    </row>
    <row r="2873">
      <c r="A2873" s="15" t="n"/>
      <c r="B2873" s="10" t="n"/>
      <c r="C2873" s="10" t="n"/>
      <c r="D2873" s="10" t="n"/>
      <c r="E2873" s="14">
        <f>IF(D2873="","",IFERROR(INDEX('Sản phẩm'!$B$5:$B$304,MATCH(D2873,'Sản phẩm'!$A$5:$A$304,0)),""))</f>
        <v/>
      </c>
      <c r="F2873" s="12" t="n"/>
      <c r="G2873" s="11" t="n"/>
      <c r="H2873" s="11" t="n"/>
      <c r="I2873" s="16">
        <f>IF(D2873="","",IF(G2873&lt;&gt;"",G2873,IFERROR(INDEX('Sản phẩm'!$E$5:$E$304,MATCH(D2873,'Sản phẩm'!$A$5:$A$304,0)),"")))</f>
        <v/>
      </c>
      <c r="J2873" s="16">
        <f>IF(OR(D2873="",F2873=""),"",F2873*I2873-N(H2873))</f>
        <v/>
      </c>
      <c r="K2873" s="16">
        <f>IF(OR(D2873="",F2873=""),"",F2873*IFERROR(INDEX('Sản phẩm'!$D$5:$D$304,MATCH(D2873,'Sản phẩm'!$A$5:$A$304,0)),""))</f>
        <v/>
      </c>
      <c r="L2873" s="16">
        <f>IF(J2873="","",J2873-K2873)</f>
        <v/>
      </c>
      <c r="M2873" s="14">
        <f>IF(A2873="","",MONTH(A2873))</f>
        <v/>
      </c>
      <c r="N2873" s="14">
        <f>IF(A2873="","",YEAR(A2873))</f>
        <v/>
      </c>
    </row>
    <row r="2874">
      <c r="A2874" s="15" t="n"/>
      <c r="B2874" s="10" t="n"/>
      <c r="C2874" s="10" t="n"/>
      <c r="D2874" s="10" t="n"/>
      <c r="E2874" s="14">
        <f>IF(D2874="","",IFERROR(INDEX('Sản phẩm'!$B$5:$B$304,MATCH(D2874,'Sản phẩm'!$A$5:$A$304,0)),""))</f>
        <v/>
      </c>
      <c r="F2874" s="12" t="n"/>
      <c r="G2874" s="11" t="n"/>
      <c r="H2874" s="11" t="n"/>
      <c r="I2874" s="16">
        <f>IF(D2874="","",IF(G2874&lt;&gt;"",G2874,IFERROR(INDEX('Sản phẩm'!$E$5:$E$304,MATCH(D2874,'Sản phẩm'!$A$5:$A$304,0)),"")))</f>
        <v/>
      </c>
      <c r="J2874" s="16">
        <f>IF(OR(D2874="",F2874=""),"",F2874*I2874-N(H2874))</f>
        <v/>
      </c>
      <c r="K2874" s="16">
        <f>IF(OR(D2874="",F2874=""),"",F2874*IFERROR(INDEX('Sản phẩm'!$D$5:$D$304,MATCH(D2874,'Sản phẩm'!$A$5:$A$304,0)),""))</f>
        <v/>
      </c>
      <c r="L2874" s="16">
        <f>IF(J2874="","",J2874-K2874)</f>
        <v/>
      </c>
      <c r="M2874" s="14">
        <f>IF(A2874="","",MONTH(A2874))</f>
        <v/>
      </c>
      <c r="N2874" s="14">
        <f>IF(A2874="","",YEAR(A2874))</f>
        <v/>
      </c>
    </row>
    <row r="2875">
      <c r="A2875" s="15" t="n"/>
      <c r="B2875" s="10" t="n"/>
      <c r="C2875" s="10" t="n"/>
      <c r="D2875" s="10" t="n"/>
      <c r="E2875" s="14">
        <f>IF(D2875="","",IFERROR(INDEX('Sản phẩm'!$B$5:$B$304,MATCH(D2875,'Sản phẩm'!$A$5:$A$304,0)),""))</f>
        <v/>
      </c>
      <c r="F2875" s="12" t="n"/>
      <c r="G2875" s="11" t="n"/>
      <c r="H2875" s="11" t="n"/>
      <c r="I2875" s="16">
        <f>IF(D2875="","",IF(G2875&lt;&gt;"",G2875,IFERROR(INDEX('Sản phẩm'!$E$5:$E$304,MATCH(D2875,'Sản phẩm'!$A$5:$A$304,0)),"")))</f>
        <v/>
      </c>
      <c r="J2875" s="16">
        <f>IF(OR(D2875="",F2875=""),"",F2875*I2875-N(H2875))</f>
        <v/>
      </c>
      <c r="K2875" s="16">
        <f>IF(OR(D2875="",F2875=""),"",F2875*IFERROR(INDEX('Sản phẩm'!$D$5:$D$304,MATCH(D2875,'Sản phẩm'!$A$5:$A$304,0)),""))</f>
        <v/>
      </c>
      <c r="L2875" s="16">
        <f>IF(J2875="","",J2875-K2875)</f>
        <v/>
      </c>
      <c r="M2875" s="14">
        <f>IF(A2875="","",MONTH(A2875))</f>
        <v/>
      </c>
      <c r="N2875" s="14">
        <f>IF(A2875="","",YEAR(A2875))</f>
        <v/>
      </c>
    </row>
    <row r="2876">
      <c r="A2876" s="15" t="n"/>
      <c r="B2876" s="10" t="n"/>
      <c r="C2876" s="10" t="n"/>
      <c r="D2876" s="10" t="n"/>
      <c r="E2876" s="14">
        <f>IF(D2876="","",IFERROR(INDEX('Sản phẩm'!$B$5:$B$304,MATCH(D2876,'Sản phẩm'!$A$5:$A$304,0)),""))</f>
        <v/>
      </c>
      <c r="F2876" s="12" t="n"/>
      <c r="G2876" s="11" t="n"/>
      <c r="H2876" s="11" t="n"/>
      <c r="I2876" s="16">
        <f>IF(D2876="","",IF(G2876&lt;&gt;"",G2876,IFERROR(INDEX('Sản phẩm'!$E$5:$E$304,MATCH(D2876,'Sản phẩm'!$A$5:$A$304,0)),"")))</f>
        <v/>
      </c>
      <c r="J2876" s="16">
        <f>IF(OR(D2876="",F2876=""),"",F2876*I2876-N(H2876))</f>
        <v/>
      </c>
      <c r="K2876" s="16">
        <f>IF(OR(D2876="",F2876=""),"",F2876*IFERROR(INDEX('Sản phẩm'!$D$5:$D$304,MATCH(D2876,'Sản phẩm'!$A$5:$A$304,0)),""))</f>
        <v/>
      </c>
      <c r="L2876" s="16">
        <f>IF(J2876="","",J2876-K2876)</f>
        <v/>
      </c>
      <c r="M2876" s="14">
        <f>IF(A2876="","",MONTH(A2876))</f>
        <v/>
      </c>
      <c r="N2876" s="14">
        <f>IF(A2876="","",YEAR(A2876))</f>
        <v/>
      </c>
    </row>
    <row r="2877">
      <c r="A2877" s="15" t="n"/>
      <c r="B2877" s="10" t="n"/>
      <c r="C2877" s="10" t="n"/>
      <c r="D2877" s="10" t="n"/>
      <c r="E2877" s="14">
        <f>IF(D2877="","",IFERROR(INDEX('Sản phẩm'!$B$5:$B$304,MATCH(D2877,'Sản phẩm'!$A$5:$A$304,0)),""))</f>
        <v/>
      </c>
      <c r="F2877" s="12" t="n"/>
      <c r="G2877" s="11" t="n"/>
      <c r="H2877" s="11" t="n"/>
      <c r="I2877" s="16">
        <f>IF(D2877="","",IF(G2877&lt;&gt;"",G2877,IFERROR(INDEX('Sản phẩm'!$E$5:$E$304,MATCH(D2877,'Sản phẩm'!$A$5:$A$304,0)),"")))</f>
        <v/>
      </c>
      <c r="J2877" s="16">
        <f>IF(OR(D2877="",F2877=""),"",F2877*I2877-N(H2877))</f>
        <v/>
      </c>
      <c r="K2877" s="16">
        <f>IF(OR(D2877="",F2877=""),"",F2877*IFERROR(INDEX('Sản phẩm'!$D$5:$D$304,MATCH(D2877,'Sản phẩm'!$A$5:$A$304,0)),""))</f>
        <v/>
      </c>
      <c r="L2877" s="16">
        <f>IF(J2877="","",J2877-K2877)</f>
        <v/>
      </c>
      <c r="M2877" s="14">
        <f>IF(A2877="","",MONTH(A2877))</f>
        <v/>
      </c>
      <c r="N2877" s="14">
        <f>IF(A2877="","",YEAR(A2877))</f>
        <v/>
      </c>
    </row>
    <row r="2878">
      <c r="A2878" s="15" t="n"/>
      <c r="B2878" s="10" t="n"/>
      <c r="C2878" s="10" t="n"/>
      <c r="D2878" s="10" t="n"/>
      <c r="E2878" s="14">
        <f>IF(D2878="","",IFERROR(INDEX('Sản phẩm'!$B$5:$B$304,MATCH(D2878,'Sản phẩm'!$A$5:$A$304,0)),""))</f>
        <v/>
      </c>
      <c r="F2878" s="12" t="n"/>
      <c r="G2878" s="11" t="n"/>
      <c r="H2878" s="11" t="n"/>
      <c r="I2878" s="16">
        <f>IF(D2878="","",IF(G2878&lt;&gt;"",G2878,IFERROR(INDEX('Sản phẩm'!$E$5:$E$304,MATCH(D2878,'Sản phẩm'!$A$5:$A$304,0)),"")))</f>
        <v/>
      </c>
      <c r="J2878" s="16">
        <f>IF(OR(D2878="",F2878=""),"",F2878*I2878-N(H2878))</f>
        <v/>
      </c>
      <c r="K2878" s="16">
        <f>IF(OR(D2878="",F2878=""),"",F2878*IFERROR(INDEX('Sản phẩm'!$D$5:$D$304,MATCH(D2878,'Sản phẩm'!$A$5:$A$304,0)),""))</f>
        <v/>
      </c>
      <c r="L2878" s="16">
        <f>IF(J2878="","",J2878-K2878)</f>
        <v/>
      </c>
      <c r="M2878" s="14">
        <f>IF(A2878="","",MONTH(A2878))</f>
        <v/>
      </c>
      <c r="N2878" s="14">
        <f>IF(A2878="","",YEAR(A2878))</f>
        <v/>
      </c>
    </row>
    <row r="2879">
      <c r="A2879" s="15" t="n"/>
      <c r="B2879" s="10" t="n"/>
      <c r="C2879" s="10" t="n"/>
      <c r="D2879" s="10" t="n"/>
      <c r="E2879" s="14">
        <f>IF(D2879="","",IFERROR(INDEX('Sản phẩm'!$B$5:$B$304,MATCH(D2879,'Sản phẩm'!$A$5:$A$304,0)),""))</f>
        <v/>
      </c>
      <c r="F2879" s="12" t="n"/>
      <c r="G2879" s="11" t="n"/>
      <c r="H2879" s="11" t="n"/>
      <c r="I2879" s="16">
        <f>IF(D2879="","",IF(G2879&lt;&gt;"",G2879,IFERROR(INDEX('Sản phẩm'!$E$5:$E$304,MATCH(D2879,'Sản phẩm'!$A$5:$A$304,0)),"")))</f>
        <v/>
      </c>
      <c r="J2879" s="16">
        <f>IF(OR(D2879="",F2879=""),"",F2879*I2879-N(H2879))</f>
        <v/>
      </c>
      <c r="K2879" s="16">
        <f>IF(OR(D2879="",F2879=""),"",F2879*IFERROR(INDEX('Sản phẩm'!$D$5:$D$304,MATCH(D2879,'Sản phẩm'!$A$5:$A$304,0)),""))</f>
        <v/>
      </c>
      <c r="L2879" s="16">
        <f>IF(J2879="","",J2879-K2879)</f>
        <v/>
      </c>
      <c r="M2879" s="14">
        <f>IF(A2879="","",MONTH(A2879))</f>
        <v/>
      </c>
      <c r="N2879" s="14">
        <f>IF(A2879="","",YEAR(A2879))</f>
        <v/>
      </c>
    </row>
    <row r="2880">
      <c r="A2880" s="15" t="n"/>
      <c r="B2880" s="10" t="n"/>
      <c r="C2880" s="10" t="n"/>
      <c r="D2880" s="10" t="n"/>
      <c r="E2880" s="14">
        <f>IF(D2880="","",IFERROR(INDEX('Sản phẩm'!$B$5:$B$304,MATCH(D2880,'Sản phẩm'!$A$5:$A$304,0)),""))</f>
        <v/>
      </c>
      <c r="F2880" s="12" t="n"/>
      <c r="G2880" s="11" t="n"/>
      <c r="H2880" s="11" t="n"/>
      <c r="I2880" s="16">
        <f>IF(D2880="","",IF(G2880&lt;&gt;"",G2880,IFERROR(INDEX('Sản phẩm'!$E$5:$E$304,MATCH(D2880,'Sản phẩm'!$A$5:$A$304,0)),"")))</f>
        <v/>
      </c>
      <c r="J2880" s="16">
        <f>IF(OR(D2880="",F2880=""),"",F2880*I2880-N(H2880))</f>
        <v/>
      </c>
      <c r="K2880" s="16">
        <f>IF(OR(D2880="",F2880=""),"",F2880*IFERROR(INDEX('Sản phẩm'!$D$5:$D$304,MATCH(D2880,'Sản phẩm'!$A$5:$A$304,0)),""))</f>
        <v/>
      </c>
      <c r="L2880" s="16">
        <f>IF(J2880="","",J2880-K2880)</f>
        <v/>
      </c>
      <c r="M2880" s="14">
        <f>IF(A2880="","",MONTH(A2880))</f>
        <v/>
      </c>
      <c r="N2880" s="14">
        <f>IF(A2880="","",YEAR(A2880))</f>
        <v/>
      </c>
    </row>
    <row r="2881">
      <c r="A2881" s="15" t="n"/>
      <c r="B2881" s="10" t="n"/>
      <c r="C2881" s="10" t="n"/>
      <c r="D2881" s="10" t="n"/>
      <c r="E2881" s="14">
        <f>IF(D2881="","",IFERROR(INDEX('Sản phẩm'!$B$5:$B$304,MATCH(D2881,'Sản phẩm'!$A$5:$A$304,0)),""))</f>
        <v/>
      </c>
      <c r="F2881" s="12" t="n"/>
      <c r="G2881" s="11" t="n"/>
      <c r="H2881" s="11" t="n"/>
      <c r="I2881" s="16">
        <f>IF(D2881="","",IF(G2881&lt;&gt;"",G2881,IFERROR(INDEX('Sản phẩm'!$E$5:$E$304,MATCH(D2881,'Sản phẩm'!$A$5:$A$304,0)),"")))</f>
        <v/>
      </c>
      <c r="J2881" s="16">
        <f>IF(OR(D2881="",F2881=""),"",F2881*I2881-N(H2881))</f>
        <v/>
      </c>
      <c r="K2881" s="16">
        <f>IF(OR(D2881="",F2881=""),"",F2881*IFERROR(INDEX('Sản phẩm'!$D$5:$D$304,MATCH(D2881,'Sản phẩm'!$A$5:$A$304,0)),""))</f>
        <v/>
      </c>
      <c r="L2881" s="16">
        <f>IF(J2881="","",J2881-K2881)</f>
        <v/>
      </c>
      <c r="M2881" s="14">
        <f>IF(A2881="","",MONTH(A2881))</f>
        <v/>
      </c>
      <c r="N2881" s="14">
        <f>IF(A2881="","",YEAR(A2881))</f>
        <v/>
      </c>
    </row>
    <row r="2882">
      <c r="A2882" s="15" t="n"/>
      <c r="B2882" s="10" t="n"/>
      <c r="C2882" s="10" t="n"/>
      <c r="D2882" s="10" t="n"/>
      <c r="E2882" s="14">
        <f>IF(D2882="","",IFERROR(INDEX('Sản phẩm'!$B$5:$B$304,MATCH(D2882,'Sản phẩm'!$A$5:$A$304,0)),""))</f>
        <v/>
      </c>
      <c r="F2882" s="12" t="n"/>
      <c r="G2882" s="11" t="n"/>
      <c r="H2882" s="11" t="n"/>
      <c r="I2882" s="16">
        <f>IF(D2882="","",IF(G2882&lt;&gt;"",G2882,IFERROR(INDEX('Sản phẩm'!$E$5:$E$304,MATCH(D2882,'Sản phẩm'!$A$5:$A$304,0)),"")))</f>
        <v/>
      </c>
      <c r="J2882" s="16">
        <f>IF(OR(D2882="",F2882=""),"",F2882*I2882-N(H2882))</f>
        <v/>
      </c>
      <c r="K2882" s="16">
        <f>IF(OR(D2882="",F2882=""),"",F2882*IFERROR(INDEX('Sản phẩm'!$D$5:$D$304,MATCH(D2882,'Sản phẩm'!$A$5:$A$304,0)),""))</f>
        <v/>
      </c>
      <c r="L2882" s="16">
        <f>IF(J2882="","",J2882-K2882)</f>
        <v/>
      </c>
      <c r="M2882" s="14">
        <f>IF(A2882="","",MONTH(A2882))</f>
        <v/>
      </c>
      <c r="N2882" s="14">
        <f>IF(A2882="","",YEAR(A2882))</f>
        <v/>
      </c>
    </row>
    <row r="2883">
      <c r="A2883" s="15" t="n"/>
      <c r="B2883" s="10" t="n"/>
      <c r="C2883" s="10" t="n"/>
      <c r="D2883" s="10" t="n"/>
      <c r="E2883" s="14">
        <f>IF(D2883="","",IFERROR(INDEX('Sản phẩm'!$B$5:$B$304,MATCH(D2883,'Sản phẩm'!$A$5:$A$304,0)),""))</f>
        <v/>
      </c>
      <c r="F2883" s="12" t="n"/>
      <c r="G2883" s="11" t="n"/>
      <c r="H2883" s="11" t="n"/>
      <c r="I2883" s="16">
        <f>IF(D2883="","",IF(G2883&lt;&gt;"",G2883,IFERROR(INDEX('Sản phẩm'!$E$5:$E$304,MATCH(D2883,'Sản phẩm'!$A$5:$A$304,0)),"")))</f>
        <v/>
      </c>
      <c r="J2883" s="16">
        <f>IF(OR(D2883="",F2883=""),"",F2883*I2883-N(H2883))</f>
        <v/>
      </c>
      <c r="K2883" s="16">
        <f>IF(OR(D2883="",F2883=""),"",F2883*IFERROR(INDEX('Sản phẩm'!$D$5:$D$304,MATCH(D2883,'Sản phẩm'!$A$5:$A$304,0)),""))</f>
        <v/>
      </c>
      <c r="L2883" s="16">
        <f>IF(J2883="","",J2883-K2883)</f>
        <v/>
      </c>
      <c r="M2883" s="14">
        <f>IF(A2883="","",MONTH(A2883))</f>
        <v/>
      </c>
      <c r="N2883" s="14">
        <f>IF(A2883="","",YEAR(A2883))</f>
        <v/>
      </c>
    </row>
    <row r="2884">
      <c r="A2884" s="15" t="n"/>
      <c r="B2884" s="10" t="n"/>
      <c r="C2884" s="10" t="n"/>
      <c r="D2884" s="10" t="n"/>
      <c r="E2884" s="14">
        <f>IF(D2884="","",IFERROR(INDEX('Sản phẩm'!$B$5:$B$304,MATCH(D2884,'Sản phẩm'!$A$5:$A$304,0)),""))</f>
        <v/>
      </c>
      <c r="F2884" s="12" t="n"/>
      <c r="G2884" s="11" t="n"/>
      <c r="H2884" s="11" t="n"/>
      <c r="I2884" s="16">
        <f>IF(D2884="","",IF(G2884&lt;&gt;"",G2884,IFERROR(INDEX('Sản phẩm'!$E$5:$E$304,MATCH(D2884,'Sản phẩm'!$A$5:$A$304,0)),"")))</f>
        <v/>
      </c>
      <c r="J2884" s="16">
        <f>IF(OR(D2884="",F2884=""),"",F2884*I2884-N(H2884))</f>
        <v/>
      </c>
      <c r="K2884" s="16">
        <f>IF(OR(D2884="",F2884=""),"",F2884*IFERROR(INDEX('Sản phẩm'!$D$5:$D$304,MATCH(D2884,'Sản phẩm'!$A$5:$A$304,0)),""))</f>
        <v/>
      </c>
      <c r="L2884" s="16">
        <f>IF(J2884="","",J2884-K2884)</f>
        <v/>
      </c>
      <c r="M2884" s="14">
        <f>IF(A2884="","",MONTH(A2884))</f>
        <v/>
      </c>
      <c r="N2884" s="14">
        <f>IF(A2884="","",YEAR(A2884))</f>
        <v/>
      </c>
    </row>
    <row r="2885">
      <c r="A2885" s="15" t="n"/>
      <c r="B2885" s="10" t="n"/>
      <c r="C2885" s="10" t="n"/>
      <c r="D2885" s="10" t="n"/>
      <c r="E2885" s="14">
        <f>IF(D2885="","",IFERROR(INDEX('Sản phẩm'!$B$5:$B$304,MATCH(D2885,'Sản phẩm'!$A$5:$A$304,0)),""))</f>
        <v/>
      </c>
      <c r="F2885" s="12" t="n"/>
      <c r="G2885" s="11" t="n"/>
      <c r="H2885" s="11" t="n"/>
      <c r="I2885" s="16">
        <f>IF(D2885="","",IF(G2885&lt;&gt;"",G2885,IFERROR(INDEX('Sản phẩm'!$E$5:$E$304,MATCH(D2885,'Sản phẩm'!$A$5:$A$304,0)),"")))</f>
        <v/>
      </c>
      <c r="J2885" s="16">
        <f>IF(OR(D2885="",F2885=""),"",F2885*I2885-N(H2885))</f>
        <v/>
      </c>
      <c r="K2885" s="16">
        <f>IF(OR(D2885="",F2885=""),"",F2885*IFERROR(INDEX('Sản phẩm'!$D$5:$D$304,MATCH(D2885,'Sản phẩm'!$A$5:$A$304,0)),""))</f>
        <v/>
      </c>
      <c r="L2885" s="16">
        <f>IF(J2885="","",J2885-K2885)</f>
        <v/>
      </c>
      <c r="M2885" s="14">
        <f>IF(A2885="","",MONTH(A2885))</f>
        <v/>
      </c>
      <c r="N2885" s="14">
        <f>IF(A2885="","",YEAR(A2885))</f>
        <v/>
      </c>
    </row>
    <row r="2886">
      <c r="A2886" s="15" t="n"/>
      <c r="B2886" s="10" t="n"/>
      <c r="C2886" s="10" t="n"/>
      <c r="D2886" s="10" t="n"/>
      <c r="E2886" s="14">
        <f>IF(D2886="","",IFERROR(INDEX('Sản phẩm'!$B$5:$B$304,MATCH(D2886,'Sản phẩm'!$A$5:$A$304,0)),""))</f>
        <v/>
      </c>
      <c r="F2886" s="12" t="n"/>
      <c r="G2886" s="11" t="n"/>
      <c r="H2886" s="11" t="n"/>
      <c r="I2886" s="16">
        <f>IF(D2886="","",IF(G2886&lt;&gt;"",G2886,IFERROR(INDEX('Sản phẩm'!$E$5:$E$304,MATCH(D2886,'Sản phẩm'!$A$5:$A$304,0)),"")))</f>
        <v/>
      </c>
      <c r="J2886" s="16">
        <f>IF(OR(D2886="",F2886=""),"",F2886*I2886-N(H2886))</f>
        <v/>
      </c>
      <c r="K2886" s="16">
        <f>IF(OR(D2886="",F2886=""),"",F2886*IFERROR(INDEX('Sản phẩm'!$D$5:$D$304,MATCH(D2886,'Sản phẩm'!$A$5:$A$304,0)),""))</f>
        <v/>
      </c>
      <c r="L2886" s="16">
        <f>IF(J2886="","",J2886-K2886)</f>
        <v/>
      </c>
      <c r="M2886" s="14">
        <f>IF(A2886="","",MONTH(A2886))</f>
        <v/>
      </c>
      <c r="N2886" s="14">
        <f>IF(A2886="","",YEAR(A2886))</f>
        <v/>
      </c>
    </row>
    <row r="2887">
      <c r="A2887" s="15" t="n"/>
      <c r="B2887" s="10" t="n"/>
      <c r="C2887" s="10" t="n"/>
      <c r="D2887" s="10" t="n"/>
      <c r="E2887" s="14">
        <f>IF(D2887="","",IFERROR(INDEX('Sản phẩm'!$B$5:$B$304,MATCH(D2887,'Sản phẩm'!$A$5:$A$304,0)),""))</f>
        <v/>
      </c>
      <c r="F2887" s="12" t="n"/>
      <c r="G2887" s="11" t="n"/>
      <c r="H2887" s="11" t="n"/>
      <c r="I2887" s="16">
        <f>IF(D2887="","",IF(G2887&lt;&gt;"",G2887,IFERROR(INDEX('Sản phẩm'!$E$5:$E$304,MATCH(D2887,'Sản phẩm'!$A$5:$A$304,0)),"")))</f>
        <v/>
      </c>
      <c r="J2887" s="16">
        <f>IF(OR(D2887="",F2887=""),"",F2887*I2887-N(H2887))</f>
        <v/>
      </c>
      <c r="K2887" s="16">
        <f>IF(OR(D2887="",F2887=""),"",F2887*IFERROR(INDEX('Sản phẩm'!$D$5:$D$304,MATCH(D2887,'Sản phẩm'!$A$5:$A$304,0)),""))</f>
        <v/>
      </c>
      <c r="L2887" s="16">
        <f>IF(J2887="","",J2887-K2887)</f>
        <v/>
      </c>
      <c r="M2887" s="14">
        <f>IF(A2887="","",MONTH(A2887))</f>
        <v/>
      </c>
      <c r="N2887" s="14">
        <f>IF(A2887="","",YEAR(A2887))</f>
        <v/>
      </c>
    </row>
    <row r="2888">
      <c r="A2888" s="15" t="n"/>
      <c r="B2888" s="10" t="n"/>
      <c r="C2888" s="10" t="n"/>
      <c r="D2888" s="10" t="n"/>
      <c r="E2888" s="14">
        <f>IF(D2888="","",IFERROR(INDEX('Sản phẩm'!$B$5:$B$304,MATCH(D2888,'Sản phẩm'!$A$5:$A$304,0)),""))</f>
        <v/>
      </c>
      <c r="F2888" s="12" t="n"/>
      <c r="G2888" s="11" t="n"/>
      <c r="H2888" s="11" t="n"/>
      <c r="I2888" s="16">
        <f>IF(D2888="","",IF(G2888&lt;&gt;"",G2888,IFERROR(INDEX('Sản phẩm'!$E$5:$E$304,MATCH(D2888,'Sản phẩm'!$A$5:$A$304,0)),"")))</f>
        <v/>
      </c>
      <c r="J2888" s="16">
        <f>IF(OR(D2888="",F2888=""),"",F2888*I2888-N(H2888))</f>
        <v/>
      </c>
      <c r="K2888" s="16">
        <f>IF(OR(D2888="",F2888=""),"",F2888*IFERROR(INDEX('Sản phẩm'!$D$5:$D$304,MATCH(D2888,'Sản phẩm'!$A$5:$A$304,0)),""))</f>
        <v/>
      </c>
      <c r="L2888" s="16">
        <f>IF(J2888="","",J2888-K2888)</f>
        <v/>
      </c>
      <c r="M2888" s="14">
        <f>IF(A2888="","",MONTH(A2888))</f>
        <v/>
      </c>
      <c r="N2888" s="14">
        <f>IF(A2888="","",YEAR(A2888))</f>
        <v/>
      </c>
    </row>
    <row r="2889">
      <c r="A2889" s="15" t="n"/>
      <c r="B2889" s="10" t="n"/>
      <c r="C2889" s="10" t="n"/>
      <c r="D2889" s="10" t="n"/>
      <c r="E2889" s="14">
        <f>IF(D2889="","",IFERROR(INDEX('Sản phẩm'!$B$5:$B$304,MATCH(D2889,'Sản phẩm'!$A$5:$A$304,0)),""))</f>
        <v/>
      </c>
      <c r="F2889" s="12" t="n"/>
      <c r="G2889" s="11" t="n"/>
      <c r="H2889" s="11" t="n"/>
      <c r="I2889" s="16">
        <f>IF(D2889="","",IF(G2889&lt;&gt;"",G2889,IFERROR(INDEX('Sản phẩm'!$E$5:$E$304,MATCH(D2889,'Sản phẩm'!$A$5:$A$304,0)),"")))</f>
        <v/>
      </c>
      <c r="J2889" s="16">
        <f>IF(OR(D2889="",F2889=""),"",F2889*I2889-N(H2889))</f>
        <v/>
      </c>
      <c r="K2889" s="16">
        <f>IF(OR(D2889="",F2889=""),"",F2889*IFERROR(INDEX('Sản phẩm'!$D$5:$D$304,MATCH(D2889,'Sản phẩm'!$A$5:$A$304,0)),""))</f>
        <v/>
      </c>
      <c r="L2889" s="16">
        <f>IF(J2889="","",J2889-K2889)</f>
        <v/>
      </c>
      <c r="M2889" s="14">
        <f>IF(A2889="","",MONTH(A2889))</f>
        <v/>
      </c>
      <c r="N2889" s="14">
        <f>IF(A2889="","",YEAR(A2889))</f>
        <v/>
      </c>
    </row>
    <row r="2890">
      <c r="A2890" s="15" t="n"/>
      <c r="B2890" s="10" t="n"/>
      <c r="C2890" s="10" t="n"/>
      <c r="D2890" s="10" t="n"/>
      <c r="E2890" s="14">
        <f>IF(D2890="","",IFERROR(INDEX('Sản phẩm'!$B$5:$B$304,MATCH(D2890,'Sản phẩm'!$A$5:$A$304,0)),""))</f>
        <v/>
      </c>
      <c r="F2890" s="12" t="n"/>
      <c r="G2890" s="11" t="n"/>
      <c r="H2890" s="11" t="n"/>
      <c r="I2890" s="16">
        <f>IF(D2890="","",IF(G2890&lt;&gt;"",G2890,IFERROR(INDEX('Sản phẩm'!$E$5:$E$304,MATCH(D2890,'Sản phẩm'!$A$5:$A$304,0)),"")))</f>
        <v/>
      </c>
      <c r="J2890" s="16">
        <f>IF(OR(D2890="",F2890=""),"",F2890*I2890-N(H2890))</f>
        <v/>
      </c>
      <c r="K2890" s="16">
        <f>IF(OR(D2890="",F2890=""),"",F2890*IFERROR(INDEX('Sản phẩm'!$D$5:$D$304,MATCH(D2890,'Sản phẩm'!$A$5:$A$304,0)),""))</f>
        <v/>
      </c>
      <c r="L2890" s="16">
        <f>IF(J2890="","",J2890-K2890)</f>
        <v/>
      </c>
      <c r="M2890" s="14">
        <f>IF(A2890="","",MONTH(A2890))</f>
        <v/>
      </c>
      <c r="N2890" s="14">
        <f>IF(A2890="","",YEAR(A2890))</f>
        <v/>
      </c>
    </row>
    <row r="2891">
      <c r="A2891" s="15" t="n"/>
      <c r="B2891" s="10" t="n"/>
      <c r="C2891" s="10" t="n"/>
      <c r="D2891" s="10" t="n"/>
      <c r="E2891" s="14">
        <f>IF(D2891="","",IFERROR(INDEX('Sản phẩm'!$B$5:$B$304,MATCH(D2891,'Sản phẩm'!$A$5:$A$304,0)),""))</f>
        <v/>
      </c>
      <c r="F2891" s="12" t="n"/>
      <c r="G2891" s="11" t="n"/>
      <c r="H2891" s="11" t="n"/>
      <c r="I2891" s="16">
        <f>IF(D2891="","",IF(G2891&lt;&gt;"",G2891,IFERROR(INDEX('Sản phẩm'!$E$5:$E$304,MATCH(D2891,'Sản phẩm'!$A$5:$A$304,0)),"")))</f>
        <v/>
      </c>
      <c r="J2891" s="16">
        <f>IF(OR(D2891="",F2891=""),"",F2891*I2891-N(H2891))</f>
        <v/>
      </c>
      <c r="K2891" s="16">
        <f>IF(OR(D2891="",F2891=""),"",F2891*IFERROR(INDEX('Sản phẩm'!$D$5:$D$304,MATCH(D2891,'Sản phẩm'!$A$5:$A$304,0)),""))</f>
        <v/>
      </c>
      <c r="L2891" s="16">
        <f>IF(J2891="","",J2891-K2891)</f>
        <v/>
      </c>
      <c r="M2891" s="14">
        <f>IF(A2891="","",MONTH(A2891))</f>
        <v/>
      </c>
      <c r="N2891" s="14">
        <f>IF(A2891="","",YEAR(A2891))</f>
        <v/>
      </c>
    </row>
    <row r="2892">
      <c r="A2892" s="15" t="n"/>
      <c r="B2892" s="10" t="n"/>
      <c r="C2892" s="10" t="n"/>
      <c r="D2892" s="10" t="n"/>
      <c r="E2892" s="14">
        <f>IF(D2892="","",IFERROR(INDEX('Sản phẩm'!$B$5:$B$304,MATCH(D2892,'Sản phẩm'!$A$5:$A$304,0)),""))</f>
        <v/>
      </c>
      <c r="F2892" s="12" t="n"/>
      <c r="G2892" s="11" t="n"/>
      <c r="H2892" s="11" t="n"/>
      <c r="I2892" s="16">
        <f>IF(D2892="","",IF(G2892&lt;&gt;"",G2892,IFERROR(INDEX('Sản phẩm'!$E$5:$E$304,MATCH(D2892,'Sản phẩm'!$A$5:$A$304,0)),"")))</f>
        <v/>
      </c>
      <c r="J2892" s="16">
        <f>IF(OR(D2892="",F2892=""),"",F2892*I2892-N(H2892))</f>
        <v/>
      </c>
      <c r="K2892" s="16">
        <f>IF(OR(D2892="",F2892=""),"",F2892*IFERROR(INDEX('Sản phẩm'!$D$5:$D$304,MATCH(D2892,'Sản phẩm'!$A$5:$A$304,0)),""))</f>
        <v/>
      </c>
      <c r="L2892" s="16">
        <f>IF(J2892="","",J2892-K2892)</f>
        <v/>
      </c>
      <c r="M2892" s="14">
        <f>IF(A2892="","",MONTH(A2892))</f>
        <v/>
      </c>
      <c r="N2892" s="14">
        <f>IF(A2892="","",YEAR(A2892))</f>
        <v/>
      </c>
    </row>
    <row r="2893">
      <c r="A2893" s="15" t="n"/>
      <c r="B2893" s="10" t="n"/>
      <c r="C2893" s="10" t="n"/>
      <c r="D2893" s="10" t="n"/>
      <c r="E2893" s="14">
        <f>IF(D2893="","",IFERROR(INDEX('Sản phẩm'!$B$5:$B$304,MATCH(D2893,'Sản phẩm'!$A$5:$A$304,0)),""))</f>
        <v/>
      </c>
      <c r="F2893" s="12" t="n"/>
      <c r="G2893" s="11" t="n"/>
      <c r="H2893" s="11" t="n"/>
      <c r="I2893" s="16">
        <f>IF(D2893="","",IF(G2893&lt;&gt;"",G2893,IFERROR(INDEX('Sản phẩm'!$E$5:$E$304,MATCH(D2893,'Sản phẩm'!$A$5:$A$304,0)),"")))</f>
        <v/>
      </c>
      <c r="J2893" s="16">
        <f>IF(OR(D2893="",F2893=""),"",F2893*I2893-N(H2893))</f>
        <v/>
      </c>
      <c r="K2893" s="16">
        <f>IF(OR(D2893="",F2893=""),"",F2893*IFERROR(INDEX('Sản phẩm'!$D$5:$D$304,MATCH(D2893,'Sản phẩm'!$A$5:$A$304,0)),""))</f>
        <v/>
      </c>
      <c r="L2893" s="16">
        <f>IF(J2893="","",J2893-K2893)</f>
        <v/>
      </c>
      <c r="M2893" s="14">
        <f>IF(A2893="","",MONTH(A2893))</f>
        <v/>
      </c>
      <c r="N2893" s="14">
        <f>IF(A2893="","",YEAR(A2893))</f>
        <v/>
      </c>
    </row>
    <row r="2894">
      <c r="A2894" s="15" t="n"/>
      <c r="B2894" s="10" t="n"/>
      <c r="C2894" s="10" t="n"/>
      <c r="D2894" s="10" t="n"/>
      <c r="E2894" s="14">
        <f>IF(D2894="","",IFERROR(INDEX('Sản phẩm'!$B$5:$B$304,MATCH(D2894,'Sản phẩm'!$A$5:$A$304,0)),""))</f>
        <v/>
      </c>
      <c r="F2894" s="12" t="n"/>
      <c r="G2894" s="11" t="n"/>
      <c r="H2894" s="11" t="n"/>
      <c r="I2894" s="16">
        <f>IF(D2894="","",IF(G2894&lt;&gt;"",G2894,IFERROR(INDEX('Sản phẩm'!$E$5:$E$304,MATCH(D2894,'Sản phẩm'!$A$5:$A$304,0)),"")))</f>
        <v/>
      </c>
      <c r="J2894" s="16">
        <f>IF(OR(D2894="",F2894=""),"",F2894*I2894-N(H2894))</f>
        <v/>
      </c>
      <c r="K2894" s="16">
        <f>IF(OR(D2894="",F2894=""),"",F2894*IFERROR(INDEX('Sản phẩm'!$D$5:$D$304,MATCH(D2894,'Sản phẩm'!$A$5:$A$304,0)),""))</f>
        <v/>
      </c>
      <c r="L2894" s="16">
        <f>IF(J2894="","",J2894-K2894)</f>
        <v/>
      </c>
      <c r="M2894" s="14">
        <f>IF(A2894="","",MONTH(A2894))</f>
        <v/>
      </c>
      <c r="N2894" s="14">
        <f>IF(A2894="","",YEAR(A2894))</f>
        <v/>
      </c>
    </row>
    <row r="2895">
      <c r="A2895" s="15" t="n"/>
      <c r="B2895" s="10" t="n"/>
      <c r="C2895" s="10" t="n"/>
      <c r="D2895" s="10" t="n"/>
      <c r="E2895" s="14">
        <f>IF(D2895="","",IFERROR(INDEX('Sản phẩm'!$B$5:$B$304,MATCH(D2895,'Sản phẩm'!$A$5:$A$304,0)),""))</f>
        <v/>
      </c>
      <c r="F2895" s="12" t="n"/>
      <c r="G2895" s="11" t="n"/>
      <c r="H2895" s="11" t="n"/>
      <c r="I2895" s="16">
        <f>IF(D2895="","",IF(G2895&lt;&gt;"",G2895,IFERROR(INDEX('Sản phẩm'!$E$5:$E$304,MATCH(D2895,'Sản phẩm'!$A$5:$A$304,0)),"")))</f>
        <v/>
      </c>
      <c r="J2895" s="16">
        <f>IF(OR(D2895="",F2895=""),"",F2895*I2895-N(H2895))</f>
        <v/>
      </c>
      <c r="K2895" s="16">
        <f>IF(OR(D2895="",F2895=""),"",F2895*IFERROR(INDEX('Sản phẩm'!$D$5:$D$304,MATCH(D2895,'Sản phẩm'!$A$5:$A$304,0)),""))</f>
        <v/>
      </c>
      <c r="L2895" s="16">
        <f>IF(J2895="","",J2895-K2895)</f>
        <v/>
      </c>
      <c r="M2895" s="14">
        <f>IF(A2895="","",MONTH(A2895))</f>
        <v/>
      </c>
      <c r="N2895" s="14">
        <f>IF(A2895="","",YEAR(A2895))</f>
        <v/>
      </c>
    </row>
    <row r="2896">
      <c r="A2896" s="15" t="n"/>
      <c r="B2896" s="10" t="n"/>
      <c r="C2896" s="10" t="n"/>
      <c r="D2896" s="10" t="n"/>
      <c r="E2896" s="14">
        <f>IF(D2896="","",IFERROR(INDEX('Sản phẩm'!$B$5:$B$304,MATCH(D2896,'Sản phẩm'!$A$5:$A$304,0)),""))</f>
        <v/>
      </c>
      <c r="F2896" s="12" t="n"/>
      <c r="G2896" s="11" t="n"/>
      <c r="H2896" s="11" t="n"/>
      <c r="I2896" s="16">
        <f>IF(D2896="","",IF(G2896&lt;&gt;"",G2896,IFERROR(INDEX('Sản phẩm'!$E$5:$E$304,MATCH(D2896,'Sản phẩm'!$A$5:$A$304,0)),"")))</f>
        <v/>
      </c>
      <c r="J2896" s="16">
        <f>IF(OR(D2896="",F2896=""),"",F2896*I2896-N(H2896))</f>
        <v/>
      </c>
      <c r="K2896" s="16">
        <f>IF(OR(D2896="",F2896=""),"",F2896*IFERROR(INDEX('Sản phẩm'!$D$5:$D$304,MATCH(D2896,'Sản phẩm'!$A$5:$A$304,0)),""))</f>
        <v/>
      </c>
      <c r="L2896" s="16">
        <f>IF(J2896="","",J2896-K2896)</f>
        <v/>
      </c>
      <c r="M2896" s="14">
        <f>IF(A2896="","",MONTH(A2896))</f>
        <v/>
      </c>
      <c r="N2896" s="14">
        <f>IF(A2896="","",YEAR(A2896))</f>
        <v/>
      </c>
    </row>
    <row r="2897">
      <c r="A2897" s="15" t="n"/>
      <c r="B2897" s="10" t="n"/>
      <c r="C2897" s="10" t="n"/>
      <c r="D2897" s="10" t="n"/>
      <c r="E2897" s="14">
        <f>IF(D2897="","",IFERROR(INDEX('Sản phẩm'!$B$5:$B$304,MATCH(D2897,'Sản phẩm'!$A$5:$A$304,0)),""))</f>
        <v/>
      </c>
      <c r="F2897" s="12" t="n"/>
      <c r="G2897" s="11" t="n"/>
      <c r="H2897" s="11" t="n"/>
      <c r="I2897" s="16">
        <f>IF(D2897="","",IF(G2897&lt;&gt;"",G2897,IFERROR(INDEX('Sản phẩm'!$E$5:$E$304,MATCH(D2897,'Sản phẩm'!$A$5:$A$304,0)),"")))</f>
        <v/>
      </c>
      <c r="J2897" s="16">
        <f>IF(OR(D2897="",F2897=""),"",F2897*I2897-N(H2897))</f>
        <v/>
      </c>
      <c r="K2897" s="16">
        <f>IF(OR(D2897="",F2897=""),"",F2897*IFERROR(INDEX('Sản phẩm'!$D$5:$D$304,MATCH(D2897,'Sản phẩm'!$A$5:$A$304,0)),""))</f>
        <v/>
      </c>
      <c r="L2897" s="16">
        <f>IF(J2897="","",J2897-K2897)</f>
        <v/>
      </c>
      <c r="M2897" s="14">
        <f>IF(A2897="","",MONTH(A2897))</f>
        <v/>
      </c>
      <c r="N2897" s="14">
        <f>IF(A2897="","",YEAR(A2897))</f>
        <v/>
      </c>
    </row>
    <row r="2898">
      <c r="A2898" s="15" t="n"/>
      <c r="B2898" s="10" t="n"/>
      <c r="C2898" s="10" t="n"/>
      <c r="D2898" s="10" t="n"/>
      <c r="E2898" s="14">
        <f>IF(D2898="","",IFERROR(INDEX('Sản phẩm'!$B$5:$B$304,MATCH(D2898,'Sản phẩm'!$A$5:$A$304,0)),""))</f>
        <v/>
      </c>
      <c r="F2898" s="12" t="n"/>
      <c r="G2898" s="11" t="n"/>
      <c r="H2898" s="11" t="n"/>
      <c r="I2898" s="16">
        <f>IF(D2898="","",IF(G2898&lt;&gt;"",G2898,IFERROR(INDEX('Sản phẩm'!$E$5:$E$304,MATCH(D2898,'Sản phẩm'!$A$5:$A$304,0)),"")))</f>
        <v/>
      </c>
      <c r="J2898" s="16">
        <f>IF(OR(D2898="",F2898=""),"",F2898*I2898-N(H2898))</f>
        <v/>
      </c>
      <c r="K2898" s="16">
        <f>IF(OR(D2898="",F2898=""),"",F2898*IFERROR(INDEX('Sản phẩm'!$D$5:$D$304,MATCH(D2898,'Sản phẩm'!$A$5:$A$304,0)),""))</f>
        <v/>
      </c>
      <c r="L2898" s="16">
        <f>IF(J2898="","",J2898-K2898)</f>
        <v/>
      </c>
      <c r="M2898" s="14">
        <f>IF(A2898="","",MONTH(A2898))</f>
        <v/>
      </c>
      <c r="N2898" s="14">
        <f>IF(A2898="","",YEAR(A2898))</f>
        <v/>
      </c>
    </row>
    <row r="2899">
      <c r="A2899" s="15" t="n"/>
      <c r="B2899" s="10" t="n"/>
      <c r="C2899" s="10" t="n"/>
      <c r="D2899" s="10" t="n"/>
      <c r="E2899" s="14">
        <f>IF(D2899="","",IFERROR(INDEX('Sản phẩm'!$B$5:$B$304,MATCH(D2899,'Sản phẩm'!$A$5:$A$304,0)),""))</f>
        <v/>
      </c>
      <c r="F2899" s="12" t="n"/>
      <c r="G2899" s="11" t="n"/>
      <c r="H2899" s="11" t="n"/>
      <c r="I2899" s="16">
        <f>IF(D2899="","",IF(G2899&lt;&gt;"",G2899,IFERROR(INDEX('Sản phẩm'!$E$5:$E$304,MATCH(D2899,'Sản phẩm'!$A$5:$A$304,0)),"")))</f>
        <v/>
      </c>
      <c r="J2899" s="16">
        <f>IF(OR(D2899="",F2899=""),"",F2899*I2899-N(H2899))</f>
        <v/>
      </c>
      <c r="K2899" s="16">
        <f>IF(OR(D2899="",F2899=""),"",F2899*IFERROR(INDEX('Sản phẩm'!$D$5:$D$304,MATCH(D2899,'Sản phẩm'!$A$5:$A$304,0)),""))</f>
        <v/>
      </c>
      <c r="L2899" s="16">
        <f>IF(J2899="","",J2899-K2899)</f>
        <v/>
      </c>
      <c r="M2899" s="14">
        <f>IF(A2899="","",MONTH(A2899))</f>
        <v/>
      </c>
      <c r="N2899" s="14">
        <f>IF(A2899="","",YEAR(A2899))</f>
        <v/>
      </c>
    </row>
    <row r="2900">
      <c r="A2900" s="15" t="n"/>
      <c r="B2900" s="10" t="n"/>
      <c r="C2900" s="10" t="n"/>
      <c r="D2900" s="10" t="n"/>
      <c r="E2900" s="14">
        <f>IF(D2900="","",IFERROR(INDEX('Sản phẩm'!$B$5:$B$304,MATCH(D2900,'Sản phẩm'!$A$5:$A$304,0)),""))</f>
        <v/>
      </c>
      <c r="F2900" s="12" t="n"/>
      <c r="G2900" s="11" t="n"/>
      <c r="H2900" s="11" t="n"/>
      <c r="I2900" s="16">
        <f>IF(D2900="","",IF(G2900&lt;&gt;"",G2900,IFERROR(INDEX('Sản phẩm'!$E$5:$E$304,MATCH(D2900,'Sản phẩm'!$A$5:$A$304,0)),"")))</f>
        <v/>
      </c>
      <c r="J2900" s="16">
        <f>IF(OR(D2900="",F2900=""),"",F2900*I2900-N(H2900))</f>
        <v/>
      </c>
      <c r="K2900" s="16">
        <f>IF(OR(D2900="",F2900=""),"",F2900*IFERROR(INDEX('Sản phẩm'!$D$5:$D$304,MATCH(D2900,'Sản phẩm'!$A$5:$A$304,0)),""))</f>
        <v/>
      </c>
      <c r="L2900" s="16">
        <f>IF(J2900="","",J2900-K2900)</f>
        <v/>
      </c>
      <c r="M2900" s="14">
        <f>IF(A2900="","",MONTH(A2900))</f>
        <v/>
      </c>
      <c r="N2900" s="14">
        <f>IF(A2900="","",YEAR(A2900))</f>
        <v/>
      </c>
    </row>
    <row r="2901">
      <c r="A2901" s="15" t="n"/>
      <c r="B2901" s="10" t="n"/>
      <c r="C2901" s="10" t="n"/>
      <c r="D2901" s="10" t="n"/>
      <c r="E2901" s="14">
        <f>IF(D2901="","",IFERROR(INDEX('Sản phẩm'!$B$5:$B$304,MATCH(D2901,'Sản phẩm'!$A$5:$A$304,0)),""))</f>
        <v/>
      </c>
      <c r="F2901" s="12" t="n"/>
      <c r="G2901" s="11" t="n"/>
      <c r="H2901" s="11" t="n"/>
      <c r="I2901" s="16">
        <f>IF(D2901="","",IF(G2901&lt;&gt;"",G2901,IFERROR(INDEX('Sản phẩm'!$E$5:$E$304,MATCH(D2901,'Sản phẩm'!$A$5:$A$304,0)),"")))</f>
        <v/>
      </c>
      <c r="J2901" s="16">
        <f>IF(OR(D2901="",F2901=""),"",F2901*I2901-N(H2901))</f>
        <v/>
      </c>
      <c r="K2901" s="16">
        <f>IF(OR(D2901="",F2901=""),"",F2901*IFERROR(INDEX('Sản phẩm'!$D$5:$D$304,MATCH(D2901,'Sản phẩm'!$A$5:$A$304,0)),""))</f>
        <v/>
      </c>
      <c r="L2901" s="16">
        <f>IF(J2901="","",J2901-K2901)</f>
        <v/>
      </c>
      <c r="M2901" s="14">
        <f>IF(A2901="","",MONTH(A2901))</f>
        <v/>
      </c>
      <c r="N2901" s="14">
        <f>IF(A2901="","",YEAR(A2901))</f>
        <v/>
      </c>
    </row>
    <row r="2902">
      <c r="A2902" s="15" t="n"/>
      <c r="B2902" s="10" t="n"/>
      <c r="C2902" s="10" t="n"/>
      <c r="D2902" s="10" t="n"/>
      <c r="E2902" s="14">
        <f>IF(D2902="","",IFERROR(INDEX('Sản phẩm'!$B$5:$B$304,MATCH(D2902,'Sản phẩm'!$A$5:$A$304,0)),""))</f>
        <v/>
      </c>
      <c r="F2902" s="12" t="n"/>
      <c r="G2902" s="11" t="n"/>
      <c r="H2902" s="11" t="n"/>
      <c r="I2902" s="16">
        <f>IF(D2902="","",IF(G2902&lt;&gt;"",G2902,IFERROR(INDEX('Sản phẩm'!$E$5:$E$304,MATCH(D2902,'Sản phẩm'!$A$5:$A$304,0)),"")))</f>
        <v/>
      </c>
      <c r="J2902" s="16">
        <f>IF(OR(D2902="",F2902=""),"",F2902*I2902-N(H2902))</f>
        <v/>
      </c>
      <c r="K2902" s="16">
        <f>IF(OR(D2902="",F2902=""),"",F2902*IFERROR(INDEX('Sản phẩm'!$D$5:$D$304,MATCH(D2902,'Sản phẩm'!$A$5:$A$304,0)),""))</f>
        <v/>
      </c>
      <c r="L2902" s="16">
        <f>IF(J2902="","",J2902-K2902)</f>
        <v/>
      </c>
      <c r="M2902" s="14">
        <f>IF(A2902="","",MONTH(A2902))</f>
        <v/>
      </c>
      <c r="N2902" s="14">
        <f>IF(A2902="","",YEAR(A2902))</f>
        <v/>
      </c>
    </row>
    <row r="2903">
      <c r="A2903" s="15" t="n"/>
      <c r="B2903" s="10" t="n"/>
      <c r="C2903" s="10" t="n"/>
      <c r="D2903" s="10" t="n"/>
      <c r="E2903" s="14">
        <f>IF(D2903="","",IFERROR(INDEX('Sản phẩm'!$B$5:$B$304,MATCH(D2903,'Sản phẩm'!$A$5:$A$304,0)),""))</f>
        <v/>
      </c>
      <c r="F2903" s="12" t="n"/>
      <c r="G2903" s="11" t="n"/>
      <c r="H2903" s="11" t="n"/>
      <c r="I2903" s="16">
        <f>IF(D2903="","",IF(G2903&lt;&gt;"",G2903,IFERROR(INDEX('Sản phẩm'!$E$5:$E$304,MATCH(D2903,'Sản phẩm'!$A$5:$A$304,0)),"")))</f>
        <v/>
      </c>
      <c r="J2903" s="16">
        <f>IF(OR(D2903="",F2903=""),"",F2903*I2903-N(H2903))</f>
        <v/>
      </c>
      <c r="K2903" s="16">
        <f>IF(OR(D2903="",F2903=""),"",F2903*IFERROR(INDEX('Sản phẩm'!$D$5:$D$304,MATCH(D2903,'Sản phẩm'!$A$5:$A$304,0)),""))</f>
        <v/>
      </c>
      <c r="L2903" s="16">
        <f>IF(J2903="","",J2903-K2903)</f>
        <v/>
      </c>
      <c r="M2903" s="14">
        <f>IF(A2903="","",MONTH(A2903))</f>
        <v/>
      </c>
      <c r="N2903" s="14">
        <f>IF(A2903="","",YEAR(A2903))</f>
        <v/>
      </c>
    </row>
    <row r="2904">
      <c r="A2904" s="15" t="n"/>
      <c r="B2904" s="10" t="n"/>
      <c r="C2904" s="10" t="n"/>
      <c r="D2904" s="10" t="n"/>
      <c r="E2904" s="14">
        <f>IF(D2904="","",IFERROR(INDEX('Sản phẩm'!$B$5:$B$304,MATCH(D2904,'Sản phẩm'!$A$5:$A$304,0)),""))</f>
        <v/>
      </c>
      <c r="F2904" s="12" t="n"/>
      <c r="G2904" s="11" t="n"/>
      <c r="H2904" s="11" t="n"/>
      <c r="I2904" s="16">
        <f>IF(D2904="","",IF(G2904&lt;&gt;"",G2904,IFERROR(INDEX('Sản phẩm'!$E$5:$E$304,MATCH(D2904,'Sản phẩm'!$A$5:$A$304,0)),"")))</f>
        <v/>
      </c>
      <c r="J2904" s="16">
        <f>IF(OR(D2904="",F2904=""),"",F2904*I2904-N(H2904))</f>
        <v/>
      </c>
      <c r="K2904" s="16">
        <f>IF(OR(D2904="",F2904=""),"",F2904*IFERROR(INDEX('Sản phẩm'!$D$5:$D$304,MATCH(D2904,'Sản phẩm'!$A$5:$A$304,0)),""))</f>
        <v/>
      </c>
      <c r="L2904" s="16">
        <f>IF(J2904="","",J2904-K2904)</f>
        <v/>
      </c>
      <c r="M2904" s="14">
        <f>IF(A2904="","",MONTH(A2904))</f>
        <v/>
      </c>
      <c r="N2904" s="14">
        <f>IF(A2904="","",YEAR(A2904))</f>
        <v/>
      </c>
    </row>
    <row r="2905">
      <c r="A2905" s="15" t="n"/>
      <c r="B2905" s="10" t="n"/>
      <c r="C2905" s="10" t="n"/>
      <c r="D2905" s="10" t="n"/>
      <c r="E2905" s="14">
        <f>IF(D2905="","",IFERROR(INDEX('Sản phẩm'!$B$5:$B$304,MATCH(D2905,'Sản phẩm'!$A$5:$A$304,0)),""))</f>
        <v/>
      </c>
      <c r="F2905" s="12" t="n"/>
      <c r="G2905" s="11" t="n"/>
      <c r="H2905" s="11" t="n"/>
      <c r="I2905" s="16">
        <f>IF(D2905="","",IF(G2905&lt;&gt;"",G2905,IFERROR(INDEX('Sản phẩm'!$E$5:$E$304,MATCH(D2905,'Sản phẩm'!$A$5:$A$304,0)),"")))</f>
        <v/>
      </c>
      <c r="J2905" s="16">
        <f>IF(OR(D2905="",F2905=""),"",F2905*I2905-N(H2905))</f>
        <v/>
      </c>
      <c r="K2905" s="16">
        <f>IF(OR(D2905="",F2905=""),"",F2905*IFERROR(INDEX('Sản phẩm'!$D$5:$D$304,MATCH(D2905,'Sản phẩm'!$A$5:$A$304,0)),""))</f>
        <v/>
      </c>
      <c r="L2905" s="16">
        <f>IF(J2905="","",J2905-K2905)</f>
        <v/>
      </c>
      <c r="M2905" s="14">
        <f>IF(A2905="","",MONTH(A2905))</f>
        <v/>
      </c>
      <c r="N2905" s="14">
        <f>IF(A2905="","",YEAR(A2905))</f>
        <v/>
      </c>
    </row>
    <row r="2906">
      <c r="A2906" s="15" t="n"/>
      <c r="B2906" s="10" t="n"/>
      <c r="C2906" s="10" t="n"/>
      <c r="D2906" s="10" t="n"/>
      <c r="E2906" s="14">
        <f>IF(D2906="","",IFERROR(INDEX('Sản phẩm'!$B$5:$B$304,MATCH(D2906,'Sản phẩm'!$A$5:$A$304,0)),""))</f>
        <v/>
      </c>
      <c r="F2906" s="12" t="n"/>
      <c r="G2906" s="11" t="n"/>
      <c r="H2906" s="11" t="n"/>
      <c r="I2906" s="16">
        <f>IF(D2906="","",IF(G2906&lt;&gt;"",G2906,IFERROR(INDEX('Sản phẩm'!$E$5:$E$304,MATCH(D2906,'Sản phẩm'!$A$5:$A$304,0)),"")))</f>
        <v/>
      </c>
      <c r="J2906" s="16">
        <f>IF(OR(D2906="",F2906=""),"",F2906*I2906-N(H2906))</f>
        <v/>
      </c>
      <c r="K2906" s="16">
        <f>IF(OR(D2906="",F2906=""),"",F2906*IFERROR(INDEX('Sản phẩm'!$D$5:$D$304,MATCH(D2906,'Sản phẩm'!$A$5:$A$304,0)),""))</f>
        <v/>
      </c>
      <c r="L2906" s="16">
        <f>IF(J2906="","",J2906-K2906)</f>
        <v/>
      </c>
      <c r="M2906" s="14">
        <f>IF(A2906="","",MONTH(A2906))</f>
        <v/>
      </c>
      <c r="N2906" s="14">
        <f>IF(A2906="","",YEAR(A2906))</f>
        <v/>
      </c>
    </row>
    <row r="2907">
      <c r="A2907" s="15" t="n"/>
      <c r="B2907" s="10" t="n"/>
      <c r="C2907" s="10" t="n"/>
      <c r="D2907" s="10" t="n"/>
      <c r="E2907" s="14">
        <f>IF(D2907="","",IFERROR(INDEX('Sản phẩm'!$B$5:$B$304,MATCH(D2907,'Sản phẩm'!$A$5:$A$304,0)),""))</f>
        <v/>
      </c>
      <c r="F2907" s="12" t="n"/>
      <c r="G2907" s="11" t="n"/>
      <c r="H2907" s="11" t="n"/>
      <c r="I2907" s="16">
        <f>IF(D2907="","",IF(G2907&lt;&gt;"",G2907,IFERROR(INDEX('Sản phẩm'!$E$5:$E$304,MATCH(D2907,'Sản phẩm'!$A$5:$A$304,0)),"")))</f>
        <v/>
      </c>
      <c r="J2907" s="16">
        <f>IF(OR(D2907="",F2907=""),"",F2907*I2907-N(H2907))</f>
        <v/>
      </c>
      <c r="K2907" s="16">
        <f>IF(OR(D2907="",F2907=""),"",F2907*IFERROR(INDEX('Sản phẩm'!$D$5:$D$304,MATCH(D2907,'Sản phẩm'!$A$5:$A$304,0)),""))</f>
        <v/>
      </c>
      <c r="L2907" s="16">
        <f>IF(J2907="","",J2907-K2907)</f>
        <v/>
      </c>
      <c r="M2907" s="14">
        <f>IF(A2907="","",MONTH(A2907))</f>
        <v/>
      </c>
      <c r="N2907" s="14">
        <f>IF(A2907="","",YEAR(A2907))</f>
        <v/>
      </c>
    </row>
    <row r="2908">
      <c r="A2908" s="15" t="n"/>
      <c r="B2908" s="10" t="n"/>
      <c r="C2908" s="10" t="n"/>
      <c r="D2908" s="10" t="n"/>
      <c r="E2908" s="14">
        <f>IF(D2908="","",IFERROR(INDEX('Sản phẩm'!$B$5:$B$304,MATCH(D2908,'Sản phẩm'!$A$5:$A$304,0)),""))</f>
        <v/>
      </c>
      <c r="F2908" s="12" t="n"/>
      <c r="G2908" s="11" t="n"/>
      <c r="H2908" s="11" t="n"/>
      <c r="I2908" s="16">
        <f>IF(D2908="","",IF(G2908&lt;&gt;"",G2908,IFERROR(INDEX('Sản phẩm'!$E$5:$E$304,MATCH(D2908,'Sản phẩm'!$A$5:$A$304,0)),"")))</f>
        <v/>
      </c>
      <c r="J2908" s="16">
        <f>IF(OR(D2908="",F2908=""),"",F2908*I2908-N(H2908))</f>
        <v/>
      </c>
      <c r="K2908" s="16">
        <f>IF(OR(D2908="",F2908=""),"",F2908*IFERROR(INDEX('Sản phẩm'!$D$5:$D$304,MATCH(D2908,'Sản phẩm'!$A$5:$A$304,0)),""))</f>
        <v/>
      </c>
      <c r="L2908" s="16">
        <f>IF(J2908="","",J2908-K2908)</f>
        <v/>
      </c>
      <c r="M2908" s="14">
        <f>IF(A2908="","",MONTH(A2908))</f>
        <v/>
      </c>
      <c r="N2908" s="14">
        <f>IF(A2908="","",YEAR(A2908))</f>
        <v/>
      </c>
    </row>
    <row r="2909">
      <c r="A2909" s="15" t="n"/>
      <c r="B2909" s="10" t="n"/>
      <c r="C2909" s="10" t="n"/>
      <c r="D2909" s="10" t="n"/>
      <c r="E2909" s="14">
        <f>IF(D2909="","",IFERROR(INDEX('Sản phẩm'!$B$5:$B$304,MATCH(D2909,'Sản phẩm'!$A$5:$A$304,0)),""))</f>
        <v/>
      </c>
      <c r="F2909" s="12" t="n"/>
      <c r="G2909" s="11" t="n"/>
      <c r="H2909" s="11" t="n"/>
      <c r="I2909" s="16">
        <f>IF(D2909="","",IF(G2909&lt;&gt;"",G2909,IFERROR(INDEX('Sản phẩm'!$E$5:$E$304,MATCH(D2909,'Sản phẩm'!$A$5:$A$304,0)),"")))</f>
        <v/>
      </c>
      <c r="J2909" s="16">
        <f>IF(OR(D2909="",F2909=""),"",F2909*I2909-N(H2909))</f>
        <v/>
      </c>
      <c r="K2909" s="16">
        <f>IF(OR(D2909="",F2909=""),"",F2909*IFERROR(INDEX('Sản phẩm'!$D$5:$D$304,MATCH(D2909,'Sản phẩm'!$A$5:$A$304,0)),""))</f>
        <v/>
      </c>
      <c r="L2909" s="16">
        <f>IF(J2909="","",J2909-K2909)</f>
        <v/>
      </c>
      <c r="M2909" s="14">
        <f>IF(A2909="","",MONTH(A2909))</f>
        <v/>
      </c>
      <c r="N2909" s="14">
        <f>IF(A2909="","",YEAR(A2909))</f>
        <v/>
      </c>
    </row>
    <row r="2910">
      <c r="A2910" s="15" t="n"/>
      <c r="B2910" s="10" t="n"/>
      <c r="C2910" s="10" t="n"/>
      <c r="D2910" s="10" t="n"/>
      <c r="E2910" s="14">
        <f>IF(D2910="","",IFERROR(INDEX('Sản phẩm'!$B$5:$B$304,MATCH(D2910,'Sản phẩm'!$A$5:$A$304,0)),""))</f>
        <v/>
      </c>
      <c r="F2910" s="12" t="n"/>
      <c r="G2910" s="11" t="n"/>
      <c r="H2910" s="11" t="n"/>
      <c r="I2910" s="16">
        <f>IF(D2910="","",IF(G2910&lt;&gt;"",G2910,IFERROR(INDEX('Sản phẩm'!$E$5:$E$304,MATCH(D2910,'Sản phẩm'!$A$5:$A$304,0)),"")))</f>
        <v/>
      </c>
      <c r="J2910" s="16">
        <f>IF(OR(D2910="",F2910=""),"",F2910*I2910-N(H2910))</f>
        <v/>
      </c>
      <c r="K2910" s="16">
        <f>IF(OR(D2910="",F2910=""),"",F2910*IFERROR(INDEX('Sản phẩm'!$D$5:$D$304,MATCH(D2910,'Sản phẩm'!$A$5:$A$304,0)),""))</f>
        <v/>
      </c>
      <c r="L2910" s="16">
        <f>IF(J2910="","",J2910-K2910)</f>
        <v/>
      </c>
      <c r="M2910" s="14">
        <f>IF(A2910="","",MONTH(A2910))</f>
        <v/>
      </c>
      <c r="N2910" s="14">
        <f>IF(A2910="","",YEAR(A2910))</f>
        <v/>
      </c>
    </row>
    <row r="2911">
      <c r="A2911" s="15" t="n"/>
      <c r="B2911" s="10" t="n"/>
      <c r="C2911" s="10" t="n"/>
      <c r="D2911" s="10" t="n"/>
      <c r="E2911" s="14">
        <f>IF(D2911="","",IFERROR(INDEX('Sản phẩm'!$B$5:$B$304,MATCH(D2911,'Sản phẩm'!$A$5:$A$304,0)),""))</f>
        <v/>
      </c>
      <c r="F2911" s="12" t="n"/>
      <c r="G2911" s="11" t="n"/>
      <c r="H2911" s="11" t="n"/>
      <c r="I2911" s="16">
        <f>IF(D2911="","",IF(G2911&lt;&gt;"",G2911,IFERROR(INDEX('Sản phẩm'!$E$5:$E$304,MATCH(D2911,'Sản phẩm'!$A$5:$A$304,0)),"")))</f>
        <v/>
      </c>
      <c r="J2911" s="16">
        <f>IF(OR(D2911="",F2911=""),"",F2911*I2911-N(H2911))</f>
        <v/>
      </c>
      <c r="K2911" s="16">
        <f>IF(OR(D2911="",F2911=""),"",F2911*IFERROR(INDEX('Sản phẩm'!$D$5:$D$304,MATCH(D2911,'Sản phẩm'!$A$5:$A$304,0)),""))</f>
        <v/>
      </c>
      <c r="L2911" s="16">
        <f>IF(J2911="","",J2911-K2911)</f>
        <v/>
      </c>
      <c r="M2911" s="14">
        <f>IF(A2911="","",MONTH(A2911))</f>
        <v/>
      </c>
      <c r="N2911" s="14">
        <f>IF(A2911="","",YEAR(A2911))</f>
        <v/>
      </c>
    </row>
    <row r="2912">
      <c r="A2912" s="15" t="n"/>
      <c r="B2912" s="10" t="n"/>
      <c r="C2912" s="10" t="n"/>
      <c r="D2912" s="10" t="n"/>
      <c r="E2912" s="14">
        <f>IF(D2912="","",IFERROR(INDEX('Sản phẩm'!$B$5:$B$304,MATCH(D2912,'Sản phẩm'!$A$5:$A$304,0)),""))</f>
        <v/>
      </c>
      <c r="F2912" s="12" t="n"/>
      <c r="G2912" s="11" t="n"/>
      <c r="H2912" s="11" t="n"/>
      <c r="I2912" s="16">
        <f>IF(D2912="","",IF(G2912&lt;&gt;"",G2912,IFERROR(INDEX('Sản phẩm'!$E$5:$E$304,MATCH(D2912,'Sản phẩm'!$A$5:$A$304,0)),"")))</f>
        <v/>
      </c>
      <c r="J2912" s="16">
        <f>IF(OR(D2912="",F2912=""),"",F2912*I2912-N(H2912))</f>
        <v/>
      </c>
      <c r="K2912" s="16">
        <f>IF(OR(D2912="",F2912=""),"",F2912*IFERROR(INDEX('Sản phẩm'!$D$5:$D$304,MATCH(D2912,'Sản phẩm'!$A$5:$A$304,0)),""))</f>
        <v/>
      </c>
      <c r="L2912" s="16">
        <f>IF(J2912="","",J2912-K2912)</f>
        <v/>
      </c>
      <c r="M2912" s="14">
        <f>IF(A2912="","",MONTH(A2912))</f>
        <v/>
      </c>
      <c r="N2912" s="14">
        <f>IF(A2912="","",YEAR(A2912))</f>
        <v/>
      </c>
    </row>
    <row r="2913">
      <c r="A2913" s="15" t="n"/>
      <c r="B2913" s="10" t="n"/>
      <c r="C2913" s="10" t="n"/>
      <c r="D2913" s="10" t="n"/>
      <c r="E2913" s="14">
        <f>IF(D2913="","",IFERROR(INDEX('Sản phẩm'!$B$5:$B$304,MATCH(D2913,'Sản phẩm'!$A$5:$A$304,0)),""))</f>
        <v/>
      </c>
      <c r="F2913" s="12" t="n"/>
      <c r="G2913" s="11" t="n"/>
      <c r="H2913" s="11" t="n"/>
      <c r="I2913" s="16">
        <f>IF(D2913="","",IF(G2913&lt;&gt;"",G2913,IFERROR(INDEX('Sản phẩm'!$E$5:$E$304,MATCH(D2913,'Sản phẩm'!$A$5:$A$304,0)),"")))</f>
        <v/>
      </c>
      <c r="J2913" s="16">
        <f>IF(OR(D2913="",F2913=""),"",F2913*I2913-N(H2913))</f>
        <v/>
      </c>
      <c r="K2913" s="16">
        <f>IF(OR(D2913="",F2913=""),"",F2913*IFERROR(INDEX('Sản phẩm'!$D$5:$D$304,MATCH(D2913,'Sản phẩm'!$A$5:$A$304,0)),""))</f>
        <v/>
      </c>
      <c r="L2913" s="16">
        <f>IF(J2913="","",J2913-K2913)</f>
        <v/>
      </c>
      <c r="M2913" s="14">
        <f>IF(A2913="","",MONTH(A2913))</f>
        <v/>
      </c>
      <c r="N2913" s="14">
        <f>IF(A2913="","",YEAR(A2913))</f>
        <v/>
      </c>
    </row>
    <row r="2914">
      <c r="A2914" s="15" t="n"/>
      <c r="B2914" s="10" t="n"/>
      <c r="C2914" s="10" t="n"/>
      <c r="D2914" s="10" t="n"/>
      <c r="E2914" s="14">
        <f>IF(D2914="","",IFERROR(INDEX('Sản phẩm'!$B$5:$B$304,MATCH(D2914,'Sản phẩm'!$A$5:$A$304,0)),""))</f>
        <v/>
      </c>
      <c r="F2914" s="12" t="n"/>
      <c r="G2914" s="11" t="n"/>
      <c r="H2914" s="11" t="n"/>
      <c r="I2914" s="16">
        <f>IF(D2914="","",IF(G2914&lt;&gt;"",G2914,IFERROR(INDEX('Sản phẩm'!$E$5:$E$304,MATCH(D2914,'Sản phẩm'!$A$5:$A$304,0)),"")))</f>
        <v/>
      </c>
      <c r="J2914" s="16">
        <f>IF(OR(D2914="",F2914=""),"",F2914*I2914-N(H2914))</f>
        <v/>
      </c>
      <c r="K2914" s="16">
        <f>IF(OR(D2914="",F2914=""),"",F2914*IFERROR(INDEX('Sản phẩm'!$D$5:$D$304,MATCH(D2914,'Sản phẩm'!$A$5:$A$304,0)),""))</f>
        <v/>
      </c>
      <c r="L2914" s="16">
        <f>IF(J2914="","",J2914-K2914)</f>
        <v/>
      </c>
      <c r="M2914" s="14">
        <f>IF(A2914="","",MONTH(A2914))</f>
        <v/>
      </c>
      <c r="N2914" s="14">
        <f>IF(A2914="","",YEAR(A2914))</f>
        <v/>
      </c>
    </row>
    <row r="2915">
      <c r="A2915" s="15" t="n"/>
      <c r="B2915" s="10" t="n"/>
      <c r="C2915" s="10" t="n"/>
      <c r="D2915" s="10" t="n"/>
      <c r="E2915" s="14">
        <f>IF(D2915="","",IFERROR(INDEX('Sản phẩm'!$B$5:$B$304,MATCH(D2915,'Sản phẩm'!$A$5:$A$304,0)),""))</f>
        <v/>
      </c>
      <c r="F2915" s="12" t="n"/>
      <c r="G2915" s="11" t="n"/>
      <c r="H2915" s="11" t="n"/>
      <c r="I2915" s="16">
        <f>IF(D2915="","",IF(G2915&lt;&gt;"",G2915,IFERROR(INDEX('Sản phẩm'!$E$5:$E$304,MATCH(D2915,'Sản phẩm'!$A$5:$A$304,0)),"")))</f>
        <v/>
      </c>
      <c r="J2915" s="16">
        <f>IF(OR(D2915="",F2915=""),"",F2915*I2915-N(H2915))</f>
        <v/>
      </c>
      <c r="K2915" s="16">
        <f>IF(OR(D2915="",F2915=""),"",F2915*IFERROR(INDEX('Sản phẩm'!$D$5:$D$304,MATCH(D2915,'Sản phẩm'!$A$5:$A$304,0)),""))</f>
        <v/>
      </c>
      <c r="L2915" s="16">
        <f>IF(J2915="","",J2915-K2915)</f>
        <v/>
      </c>
      <c r="M2915" s="14">
        <f>IF(A2915="","",MONTH(A2915))</f>
        <v/>
      </c>
      <c r="N2915" s="14">
        <f>IF(A2915="","",YEAR(A2915))</f>
        <v/>
      </c>
    </row>
    <row r="2916">
      <c r="A2916" s="15" t="n"/>
      <c r="B2916" s="10" t="n"/>
      <c r="C2916" s="10" t="n"/>
      <c r="D2916" s="10" t="n"/>
      <c r="E2916" s="14">
        <f>IF(D2916="","",IFERROR(INDEX('Sản phẩm'!$B$5:$B$304,MATCH(D2916,'Sản phẩm'!$A$5:$A$304,0)),""))</f>
        <v/>
      </c>
      <c r="F2916" s="12" t="n"/>
      <c r="G2916" s="11" t="n"/>
      <c r="H2916" s="11" t="n"/>
      <c r="I2916" s="16">
        <f>IF(D2916="","",IF(G2916&lt;&gt;"",G2916,IFERROR(INDEX('Sản phẩm'!$E$5:$E$304,MATCH(D2916,'Sản phẩm'!$A$5:$A$304,0)),"")))</f>
        <v/>
      </c>
      <c r="J2916" s="16">
        <f>IF(OR(D2916="",F2916=""),"",F2916*I2916-N(H2916))</f>
        <v/>
      </c>
      <c r="K2916" s="16">
        <f>IF(OR(D2916="",F2916=""),"",F2916*IFERROR(INDEX('Sản phẩm'!$D$5:$D$304,MATCH(D2916,'Sản phẩm'!$A$5:$A$304,0)),""))</f>
        <v/>
      </c>
      <c r="L2916" s="16">
        <f>IF(J2916="","",J2916-K2916)</f>
        <v/>
      </c>
      <c r="M2916" s="14">
        <f>IF(A2916="","",MONTH(A2916))</f>
        <v/>
      </c>
      <c r="N2916" s="14">
        <f>IF(A2916="","",YEAR(A2916))</f>
        <v/>
      </c>
    </row>
    <row r="2917">
      <c r="A2917" s="15" t="n"/>
      <c r="B2917" s="10" t="n"/>
      <c r="C2917" s="10" t="n"/>
      <c r="D2917" s="10" t="n"/>
      <c r="E2917" s="14">
        <f>IF(D2917="","",IFERROR(INDEX('Sản phẩm'!$B$5:$B$304,MATCH(D2917,'Sản phẩm'!$A$5:$A$304,0)),""))</f>
        <v/>
      </c>
      <c r="F2917" s="12" t="n"/>
      <c r="G2917" s="11" t="n"/>
      <c r="H2917" s="11" t="n"/>
      <c r="I2917" s="16">
        <f>IF(D2917="","",IF(G2917&lt;&gt;"",G2917,IFERROR(INDEX('Sản phẩm'!$E$5:$E$304,MATCH(D2917,'Sản phẩm'!$A$5:$A$304,0)),"")))</f>
        <v/>
      </c>
      <c r="J2917" s="16">
        <f>IF(OR(D2917="",F2917=""),"",F2917*I2917-N(H2917))</f>
        <v/>
      </c>
      <c r="K2917" s="16">
        <f>IF(OR(D2917="",F2917=""),"",F2917*IFERROR(INDEX('Sản phẩm'!$D$5:$D$304,MATCH(D2917,'Sản phẩm'!$A$5:$A$304,0)),""))</f>
        <v/>
      </c>
      <c r="L2917" s="16">
        <f>IF(J2917="","",J2917-K2917)</f>
        <v/>
      </c>
      <c r="M2917" s="14">
        <f>IF(A2917="","",MONTH(A2917))</f>
        <v/>
      </c>
      <c r="N2917" s="14">
        <f>IF(A2917="","",YEAR(A2917))</f>
        <v/>
      </c>
    </row>
    <row r="2918">
      <c r="A2918" s="15" t="n"/>
      <c r="B2918" s="10" t="n"/>
      <c r="C2918" s="10" t="n"/>
      <c r="D2918" s="10" t="n"/>
      <c r="E2918" s="14">
        <f>IF(D2918="","",IFERROR(INDEX('Sản phẩm'!$B$5:$B$304,MATCH(D2918,'Sản phẩm'!$A$5:$A$304,0)),""))</f>
        <v/>
      </c>
      <c r="F2918" s="12" t="n"/>
      <c r="G2918" s="11" t="n"/>
      <c r="H2918" s="11" t="n"/>
      <c r="I2918" s="16">
        <f>IF(D2918="","",IF(G2918&lt;&gt;"",G2918,IFERROR(INDEX('Sản phẩm'!$E$5:$E$304,MATCH(D2918,'Sản phẩm'!$A$5:$A$304,0)),"")))</f>
        <v/>
      </c>
      <c r="J2918" s="16">
        <f>IF(OR(D2918="",F2918=""),"",F2918*I2918-N(H2918))</f>
        <v/>
      </c>
      <c r="K2918" s="16">
        <f>IF(OR(D2918="",F2918=""),"",F2918*IFERROR(INDEX('Sản phẩm'!$D$5:$D$304,MATCH(D2918,'Sản phẩm'!$A$5:$A$304,0)),""))</f>
        <v/>
      </c>
      <c r="L2918" s="16">
        <f>IF(J2918="","",J2918-K2918)</f>
        <v/>
      </c>
      <c r="M2918" s="14">
        <f>IF(A2918="","",MONTH(A2918))</f>
        <v/>
      </c>
      <c r="N2918" s="14">
        <f>IF(A2918="","",YEAR(A2918))</f>
        <v/>
      </c>
    </row>
    <row r="2919">
      <c r="A2919" s="15" t="n"/>
      <c r="B2919" s="10" t="n"/>
      <c r="C2919" s="10" t="n"/>
      <c r="D2919" s="10" t="n"/>
      <c r="E2919" s="14">
        <f>IF(D2919="","",IFERROR(INDEX('Sản phẩm'!$B$5:$B$304,MATCH(D2919,'Sản phẩm'!$A$5:$A$304,0)),""))</f>
        <v/>
      </c>
      <c r="F2919" s="12" t="n"/>
      <c r="G2919" s="11" t="n"/>
      <c r="H2919" s="11" t="n"/>
      <c r="I2919" s="16">
        <f>IF(D2919="","",IF(G2919&lt;&gt;"",G2919,IFERROR(INDEX('Sản phẩm'!$E$5:$E$304,MATCH(D2919,'Sản phẩm'!$A$5:$A$304,0)),"")))</f>
        <v/>
      </c>
      <c r="J2919" s="16">
        <f>IF(OR(D2919="",F2919=""),"",F2919*I2919-N(H2919))</f>
        <v/>
      </c>
      <c r="K2919" s="16">
        <f>IF(OR(D2919="",F2919=""),"",F2919*IFERROR(INDEX('Sản phẩm'!$D$5:$D$304,MATCH(D2919,'Sản phẩm'!$A$5:$A$304,0)),""))</f>
        <v/>
      </c>
      <c r="L2919" s="16">
        <f>IF(J2919="","",J2919-K2919)</f>
        <v/>
      </c>
      <c r="M2919" s="14">
        <f>IF(A2919="","",MONTH(A2919))</f>
        <v/>
      </c>
      <c r="N2919" s="14">
        <f>IF(A2919="","",YEAR(A2919))</f>
        <v/>
      </c>
    </row>
    <row r="2920">
      <c r="A2920" s="15" t="n"/>
      <c r="B2920" s="10" t="n"/>
      <c r="C2920" s="10" t="n"/>
      <c r="D2920" s="10" t="n"/>
      <c r="E2920" s="14">
        <f>IF(D2920="","",IFERROR(INDEX('Sản phẩm'!$B$5:$B$304,MATCH(D2920,'Sản phẩm'!$A$5:$A$304,0)),""))</f>
        <v/>
      </c>
      <c r="F2920" s="12" t="n"/>
      <c r="G2920" s="11" t="n"/>
      <c r="H2920" s="11" t="n"/>
      <c r="I2920" s="16">
        <f>IF(D2920="","",IF(G2920&lt;&gt;"",G2920,IFERROR(INDEX('Sản phẩm'!$E$5:$E$304,MATCH(D2920,'Sản phẩm'!$A$5:$A$304,0)),"")))</f>
        <v/>
      </c>
      <c r="J2920" s="16">
        <f>IF(OR(D2920="",F2920=""),"",F2920*I2920-N(H2920))</f>
        <v/>
      </c>
      <c r="K2920" s="16">
        <f>IF(OR(D2920="",F2920=""),"",F2920*IFERROR(INDEX('Sản phẩm'!$D$5:$D$304,MATCH(D2920,'Sản phẩm'!$A$5:$A$304,0)),""))</f>
        <v/>
      </c>
      <c r="L2920" s="16">
        <f>IF(J2920="","",J2920-K2920)</f>
        <v/>
      </c>
      <c r="M2920" s="14">
        <f>IF(A2920="","",MONTH(A2920))</f>
        <v/>
      </c>
      <c r="N2920" s="14">
        <f>IF(A2920="","",YEAR(A2920))</f>
        <v/>
      </c>
    </row>
    <row r="2921">
      <c r="A2921" s="15" t="n"/>
      <c r="B2921" s="10" t="n"/>
      <c r="C2921" s="10" t="n"/>
      <c r="D2921" s="10" t="n"/>
      <c r="E2921" s="14">
        <f>IF(D2921="","",IFERROR(INDEX('Sản phẩm'!$B$5:$B$304,MATCH(D2921,'Sản phẩm'!$A$5:$A$304,0)),""))</f>
        <v/>
      </c>
      <c r="F2921" s="12" t="n"/>
      <c r="G2921" s="11" t="n"/>
      <c r="H2921" s="11" t="n"/>
      <c r="I2921" s="16">
        <f>IF(D2921="","",IF(G2921&lt;&gt;"",G2921,IFERROR(INDEX('Sản phẩm'!$E$5:$E$304,MATCH(D2921,'Sản phẩm'!$A$5:$A$304,0)),"")))</f>
        <v/>
      </c>
      <c r="J2921" s="16">
        <f>IF(OR(D2921="",F2921=""),"",F2921*I2921-N(H2921))</f>
        <v/>
      </c>
      <c r="K2921" s="16">
        <f>IF(OR(D2921="",F2921=""),"",F2921*IFERROR(INDEX('Sản phẩm'!$D$5:$D$304,MATCH(D2921,'Sản phẩm'!$A$5:$A$304,0)),""))</f>
        <v/>
      </c>
      <c r="L2921" s="16">
        <f>IF(J2921="","",J2921-K2921)</f>
        <v/>
      </c>
      <c r="M2921" s="14">
        <f>IF(A2921="","",MONTH(A2921))</f>
        <v/>
      </c>
      <c r="N2921" s="14">
        <f>IF(A2921="","",YEAR(A2921))</f>
        <v/>
      </c>
    </row>
    <row r="2922">
      <c r="A2922" s="15" t="n"/>
      <c r="B2922" s="10" t="n"/>
      <c r="C2922" s="10" t="n"/>
      <c r="D2922" s="10" t="n"/>
      <c r="E2922" s="14">
        <f>IF(D2922="","",IFERROR(INDEX('Sản phẩm'!$B$5:$B$304,MATCH(D2922,'Sản phẩm'!$A$5:$A$304,0)),""))</f>
        <v/>
      </c>
      <c r="F2922" s="12" t="n"/>
      <c r="G2922" s="11" t="n"/>
      <c r="H2922" s="11" t="n"/>
      <c r="I2922" s="16">
        <f>IF(D2922="","",IF(G2922&lt;&gt;"",G2922,IFERROR(INDEX('Sản phẩm'!$E$5:$E$304,MATCH(D2922,'Sản phẩm'!$A$5:$A$304,0)),"")))</f>
        <v/>
      </c>
      <c r="J2922" s="16">
        <f>IF(OR(D2922="",F2922=""),"",F2922*I2922-N(H2922))</f>
        <v/>
      </c>
      <c r="K2922" s="16">
        <f>IF(OR(D2922="",F2922=""),"",F2922*IFERROR(INDEX('Sản phẩm'!$D$5:$D$304,MATCH(D2922,'Sản phẩm'!$A$5:$A$304,0)),""))</f>
        <v/>
      </c>
      <c r="L2922" s="16">
        <f>IF(J2922="","",J2922-K2922)</f>
        <v/>
      </c>
      <c r="M2922" s="14">
        <f>IF(A2922="","",MONTH(A2922))</f>
        <v/>
      </c>
      <c r="N2922" s="14">
        <f>IF(A2922="","",YEAR(A2922))</f>
        <v/>
      </c>
    </row>
    <row r="2923">
      <c r="A2923" s="15" t="n"/>
      <c r="B2923" s="10" t="n"/>
      <c r="C2923" s="10" t="n"/>
      <c r="D2923" s="10" t="n"/>
      <c r="E2923" s="14">
        <f>IF(D2923="","",IFERROR(INDEX('Sản phẩm'!$B$5:$B$304,MATCH(D2923,'Sản phẩm'!$A$5:$A$304,0)),""))</f>
        <v/>
      </c>
      <c r="F2923" s="12" t="n"/>
      <c r="G2923" s="11" t="n"/>
      <c r="H2923" s="11" t="n"/>
      <c r="I2923" s="16">
        <f>IF(D2923="","",IF(G2923&lt;&gt;"",G2923,IFERROR(INDEX('Sản phẩm'!$E$5:$E$304,MATCH(D2923,'Sản phẩm'!$A$5:$A$304,0)),"")))</f>
        <v/>
      </c>
      <c r="J2923" s="16">
        <f>IF(OR(D2923="",F2923=""),"",F2923*I2923-N(H2923))</f>
        <v/>
      </c>
      <c r="K2923" s="16">
        <f>IF(OR(D2923="",F2923=""),"",F2923*IFERROR(INDEX('Sản phẩm'!$D$5:$D$304,MATCH(D2923,'Sản phẩm'!$A$5:$A$304,0)),""))</f>
        <v/>
      </c>
      <c r="L2923" s="16">
        <f>IF(J2923="","",J2923-K2923)</f>
        <v/>
      </c>
      <c r="M2923" s="14">
        <f>IF(A2923="","",MONTH(A2923))</f>
        <v/>
      </c>
      <c r="N2923" s="14">
        <f>IF(A2923="","",YEAR(A2923))</f>
        <v/>
      </c>
    </row>
    <row r="2924">
      <c r="A2924" s="15" t="n"/>
      <c r="B2924" s="10" t="n"/>
      <c r="C2924" s="10" t="n"/>
      <c r="D2924" s="10" t="n"/>
      <c r="E2924" s="14">
        <f>IF(D2924="","",IFERROR(INDEX('Sản phẩm'!$B$5:$B$304,MATCH(D2924,'Sản phẩm'!$A$5:$A$304,0)),""))</f>
        <v/>
      </c>
      <c r="F2924" s="12" t="n"/>
      <c r="G2924" s="11" t="n"/>
      <c r="H2924" s="11" t="n"/>
      <c r="I2924" s="16">
        <f>IF(D2924="","",IF(G2924&lt;&gt;"",G2924,IFERROR(INDEX('Sản phẩm'!$E$5:$E$304,MATCH(D2924,'Sản phẩm'!$A$5:$A$304,0)),"")))</f>
        <v/>
      </c>
      <c r="J2924" s="16">
        <f>IF(OR(D2924="",F2924=""),"",F2924*I2924-N(H2924))</f>
        <v/>
      </c>
      <c r="K2924" s="16">
        <f>IF(OR(D2924="",F2924=""),"",F2924*IFERROR(INDEX('Sản phẩm'!$D$5:$D$304,MATCH(D2924,'Sản phẩm'!$A$5:$A$304,0)),""))</f>
        <v/>
      </c>
      <c r="L2924" s="16">
        <f>IF(J2924="","",J2924-K2924)</f>
        <v/>
      </c>
      <c r="M2924" s="14">
        <f>IF(A2924="","",MONTH(A2924))</f>
        <v/>
      </c>
      <c r="N2924" s="14">
        <f>IF(A2924="","",YEAR(A2924))</f>
        <v/>
      </c>
    </row>
    <row r="2925">
      <c r="A2925" s="15" t="n"/>
      <c r="B2925" s="10" t="n"/>
      <c r="C2925" s="10" t="n"/>
      <c r="D2925" s="10" t="n"/>
      <c r="E2925" s="14">
        <f>IF(D2925="","",IFERROR(INDEX('Sản phẩm'!$B$5:$B$304,MATCH(D2925,'Sản phẩm'!$A$5:$A$304,0)),""))</f>
        <v/>
      </c>
      <c r="F2925" s="12" t="n"/>
      <c r="G2925" s="11" t="n"/>
      <c r="H2925" s="11" t="n"/>
      <c r="I2925" s="16">
        <f>IF(D2925="","",IF(G2925&lt;&gt;"",G2925,IFERROR(INDEX('Sản phẩm'!$E$5:$E$304,MATCH(D2925,'Sản phẩm'!$A$5:$A$304,0)),"")))</f>
        <v/>
      </c>
      <c r="J2925" s="16">
        <f>IF(OR(D2925="",F2925=""),"",F2925*I2925-N(H2925))</f>
        <v/>
      </c>
      <c r="K2925" s="16">
        <f>IF(OR(D2925="",F2925=""),"",F2925*IFERROR(INDEX('Sản phẩm'!$D$5:$D$304,MATCH(D2925,'Sản phẩm'!$A$5:$A$304,0)),""))</f>
        <v/>
      </c>
      <c r="L2925" s="16">
        <f>IF(J2925="","",J2925-K2925)</f>
        <v/>
      </c>
      <c r="M2925" s="14">
        <f>IF(A2925="","",MONTH(A2925))</f>
        <v/>
      </c>
      <c r="N2925" s="14">
        <f>IF(A2925="","",YEAR(A2925))</f>
        <v/>
      </c>
    </row>
    <row r="2926">
      <c r="A2926" s="15" t="n"/>
      <c r="B2926" s="10" t="n"/>
      <c r="C2926" s="10" t="n"/>
      <c r="D2926" s="10" t="n"/>
      <c r="E2926" s="14">
        <f>IF(D2926="","",IFERROR(INDEX('Sản phẩm'!$B$5:$B$304,MATCH(D2926,'Sản phẩm'!$A$5:$A$304,0)),""))</f>
        <v/>
      </c>
      <c r="F2926" s="12" t="n"/>
      <c r="G2926" s="11" t="n"/>
      <c r="H2926" s="11" t="n"/>
      <c r="I2926" s="16">
        <f>IF(D2926="","",IF(G2926&lt;&gt;"",G2926,IFERROR(INDEX('Sản phẩm'!$E$5:$E$304,MATCH(D2926,'Sản phẩm'!$A$5:$A$304,0)),"")))</f>
        <v/>
      </c>
      <c r="J2926" s="16">
        <f>IF(OR(D2926="",F2926=""),"",F2926*I2926-N(H2926))</f>
        <v/>
      </c>
      <c r="K2926" s="16">
        <f>IF(OR(D2926="",F2926=""),"",F2926*IFERROR(INDEX('Sản phẩm'!$D$5:$D$304,MATCH(D2926,'Sản phẩm'!$A$5:$A$304,0)),""))</f>
        <v/>
      </c>
      <c r="L2926" s="16">
        <f>IF(J2926="","",J2926-K2926)</f>
        <v/>
      </c>
      <c r="M2926" s="14">
        <f>IF(A2926="","",MONTH(A2926))</f>
        <v/>
      </c>
      <c r="N2926" s="14">
        <f>IF(A2926="","",YEAR(A2926))</f>
        <v/>
      </c>
    </row>
    <row r="2927">
      <c r="A2927" s="15" t="n"/>
      <c r="B2927" s="10" t="n"/>
      <c r="C2927" s="10" t="n"/>
      <c r="D2927" s="10" t="n"/>
      <c r="E2927" s="14">
        <f>IF(D2927="","",IFERROR(INDEX('Sản phẩm'!$B$5:$B$304,MATCH(D2927,'Sản phẩm'!$A$5:$A$304,0)),""))</f>
        <v/>
      </c>
      <c r="F2927" s="12" t="n"/>
      <c r="G2927" s="11" t="n"/>
      <c r="H2927" s="11" t="n"/>
      <c r="I2927" s="16">
        <f>IF(D2927="","",IF(G2927&lt;&gt;"",G2927,IFERROR(INDEX('Sản phẩm'!$E$5:$E$304,MATCH(D2927,'Sản phẩm'!$A$5:$A$304,0)),"")))</f>
        <v/>
      </c>
      <c r="J2927" s="16">
        <f>IF(OR(D2927="",F2927=""),"",F2927*I2927-N(H2927))</f>
        <v/>
      </c>
      <c r="K2927" s="16">
        <f>IF(OR(D2927="",F2927=""),"",F2927*IFERROR(INDEX('Sản phẩm'!$D$5:$D$304,MATCH(D2927,'Sản phẩm'!$A$5:$A$304,0)),""))</f>
        <v/>
      </c>
      <c r="L2927" s="16">
        <f>IF(J2927="","",J2927-K2927)</f>
        <v/>
      </c>
      <c r="M2927" s="14">
        <f>IF(A2927="","",MONTH(A2927))</f>
        <v/>
      </c>
      <c r="N2927" s="14">
        <f>IF(A2927="","",YEAR(A2927))</f>
        <v/>
      </c>
    </row>
    <row r="2928">
      <c r="A2928" s="15" t="n"/>
      <c r="B2928" s="10" t="n"/>
      <c r="C2928" s="10" t="n"/>
      <c r="D2928" s="10" t="n"/>
      <c r="E2928" s="14">
        <f>IF(D2928="","",IFERROR(INDEX('Sản phẩm'!$B$5:$B$304,MATCH(D2928,'Sản phẩm'!$A$5:$A$304,0)),""))</f>
        <v/>
      </c>
      <c r="F2928" s="12" t="n"/>
      <c r="G2928" s="11" t="n"/>
      <c r="H2928" s="11" t="n"/>
      <c r="I2928" s="16">
        <f>IF(D2928="","",IF(G2928&lt;&gt;"",G2928,IFERROR(INDEX('Sản phẩm'!$E$5:$E$304,MATCH(D2928,'Sản phẩm'!$A$5:$A$304,0)),"")))</f>
        <v/>
      </c>
      <c r="J2928" s="16">
        <f>IF(OR(D2928="",F2928=""),"",F2928*I2928-N(H2928))</f>
        <v/>
      </c>
      <c r="K2928" s="16">
        <f>IF(OR(D2928="",F2928=""),"",F2928*IFERROR(INDEX('Sản phẩm'!$D$5:$D$304,MATCH(D2928,'Sản phẩm'!$A$5:$A$304,0)),""))</f>
        <v/>
      </c>
      <c r="L2928" s="16">
        <f>IF(J2928="","",J2928-K2928)</f>
        <v/>
      </c>
      <c r="M2928" s="14">
        <f>IF(A2928="","",MONTH(A2928))</f>
        <v/>
      </c>
      <c r="N2928" s="14">
        <f>IF(A2928="","",YEAR(A2928))</f>
        <v/>
      </c>
    </row>
    <row r="2929">
      <c r="A2929" s="15" t="n"/>
      <c r="B2929" s="10" t="n"/>
      <c r="C2929" s="10" t="n"/>
      <c r="D2929" s="10" t="n"/>
      <c r="E2929" s="14">
        <f>IF(D2929="","",IFERROR(INDEX('Sản phẩm'!$B$5:$B$304,MATCH(D2929,'Sản phẩm'!$A$5:$A$304,0)),""))</f>
        <v/>
      </c>
      <c r="F2929" s="12" t="n"/>
      <c r="G2929" s="11" t="n"/>
      <c r="H2929" s="11" t="n"/>
      <c r="I2929" s="16">
        <f>IF(D2929="","",IF(G2929&lt;&gt;"",G2929,IFERROR(INDEX('Sản phẩm'!$E$5:$E$304,MATCH(D2929,'Sản phẩm'!$A$5:$A$304,0)),"")))</f>
        <v/>
      </c>
      <c r="J2929" s="16">
        <f>IF(OR(D2929="",F2929=""),"",F2929*I2929-N(H2929))</f>
        <v/>
      </c>
      <c r="K2929" s="16">
        <f>IF(OR(D2929="",F2929=""),"",F2929*IFERROR(INDEX('Sản phẩm'!$D$5:$D$304,MATCH(D2929,'Sản phẩm'!$A$5:$A$304,0)),""))</f>
        <v/>
      </c>
      <c r="L2929" s="16">
        <f>IF(J2929="","",J2929-K2929)</f>
        <v/>
      </c>
      <c r="M2929" s="14">
        <f>IF(A2929="","",MONTH(A2929))</f>
        <v/>
      </c>
      <c r="N2929" s="14">
        <f>IF(A2929="","",YEAR(A2929))</f>
        <v/>
      </c>
    </row>
    <row r="2930">
      <c r="A2930" s="15" t="n"/>
      <c r="B2930" s="10" t="n"/>
      <c r="C2930" s="10" t="n"/>
      <c r="D2930" s="10" t="n"/>
      <c r="E2930" s="14">
        <f>IF(D2930="","",IFERROR(INDEX('Sản phẩm'!$B$5:$B$304,MATCH(D2930,'Sản phẩm'!$A$5:$A$304,0)),""))</f>
        <v/>
      </c>
      <c r="F2930" s="12" t="n"/>
      <c r="G2930" s="11" t="n"/>
      <c r="H2930" s="11" t="n"/>
      <c r="I2930" s="16">
        <f>IF(D2930="","",IF(G2930&lt;&gt;"",G2930,IFERROR(INDEX('Sản phẩm'!$E$5:$E$304,MATCH(D2930,'Sản phẩm'!$A$5:$A$304,0)),"")))</f>
        <v/>
      </c>
      <c r="J2930" s="16">
        <f>IF(OR(D2930="",F2930=""),"",F2930*I2930-N(H2930))</f>
        <v/>
      </c>
      <c r="K2930" s="16">
        <f>IF(OR(D2930="",F2930=""),"",F2930*IFERROR(INDEX('Sản phẩm'!$D$5:$D$304,MATCH(D2930,'Sản phẩm'!$A$5:$A$304,0)),""))</f>
        <v/>
      </c>
      <c r="L2930" s="16">
        <f>IF(J2930="","",J2930-K2930)</f>
        <v/>
      </c>
      <c r="M2930" s="14">
        <f>IF(A2930="","",MONTH(A2930))</f>
        <v/>
      </c>
      <c r="N2930" s="14">
        <f>IF(A2930="","",YEAR(A2930))</f>
        <v/>
      </c>
    </row>
    <row r="2931">
      <c r="A2931" s="15" t="n"/>
      <c r="B2931" s="10" t="n"/>
      <c r="C2931" s="10" t="n"/>
      <c r="D2931" s="10" t="n"/>
      <c r="E2931" s="14">
        <f>IF(D2931="","",IFERROR(INDEX('Sản phẩm'!$B$5:$B$304,MATCH(D2931,'Sản phẩm'!$A$5:$A$304,0)),""))</f>
        <v/>
      </c>
      <c r="F2931" s="12" t="n"/>
      <c r="G2931" s="11" t="n"/>
      <c r="H2931" s="11" t="n"/>
      <c r="I2931" s="16">
        <f>IF(D2931="","",IF(G2931&lt;&gt;"",G2931,IFERROR(INDEX('Sản phẩm'!$E$5:$E$304,MATCH(D2931,'Sản phẩm'!$A$5:$A$304,0)),"")))</f>
        <v/>
      </c>
      <c r="J2931" s="16">
        <f>IF(OR(D2931="",F2931=""),"",F2931*I2931-N(H2931))</f>
        <v/>
      </c>
      <c r="K2931" s="16">
        <f>IF(OR(D2931="",F2931=""),"",F2931*IFERROR(INDEX('Sản phẩm'!$D$5:$D$304,MATCH(D2931,'Sản phẩm'!$A$5:$A$304,0)),""))</f>
        <v/>
      </c>
      <c r="L2931" s="16">
        <f>IF(J2931="","",J2931-K2931)</f>
        <v/>
      </c>
      <c r="M2931" s="14">
        <f>IF(A2931="","",MONTH(A2931))</f>
        <v/>
      </c>
      <c r="N2931" s="14">
        <f>IF(A2931="","",YEAR(A2931))</f>
        <v/>
      </c>
    </row>
    <row r="2932">
      <c r="A2932" s="15" t="n"/>
      <c r="B2932" s="10" t="n"/>
      <c r="C2932" s="10" t="n"/>
      <c r="D2932" s="10" t="n"/>
      <c r="E2932" s="14">
        <f>IF(D2932="","",IFERROR(INDEX('Sản phẩm'!$B$5:$B$304,MATCH(D2932,'Sản phẩm'!$A$5:$A$304,0)),""))</f>
        <v/>
      </c>
      <c r="F2932" s="12" t="n"/>
      <c r="G2932" s="11" t="n"/>
      <c r="H2932" s="11" t="n"/>
      <c r="I2932" s="16">
        <f>IF(D2932="","",IF(G2932&lt;&gt;"",G2932,IFERROR(INDEX('Sản phẩm'!$E$5:$E$304,MATCH(D2932,'Sản phẩm'!$A$5:$A$304,0)),"")))</f>
        <v/>
      </c>
      <c r="J2932" s="16">
        <f>IF(OR(D2932="",F2932=""),"",F2932*I2932-N(H2932))</f>
        <v/>
      </c>
      <c r="K2932" s="16">
        <f>IF(OR(D2932="",F2932=""),"",F2932*IFERROR(INDEX('Sản phẩm'!$D$5:$D$304,MATCH(D2932,'Sản phẩm'!$A$5:$A$304,0)),""))</f>
        <v/>
      </c>
      <c r="L2932" s="16">
        <f>IF(J2932="","",J2932-K2932)</f>
        <v/>
      </c>
      <c r="M2932" s="14">
        <f>IF(A2932="","",MONTH(A2932))</f>
        <v/>
      </c>
      <c r="N2932" s="14">
        <f>IF(A2932="","",YEAR(A2932))</f>
        <v/>
      </c>
    </row>
    <row r="2933">
      <c r="A2933" s="15" t="n"/>
      <c r="B2933" s="10" t="n"/>
      <c r="C2933" s="10" t="n"/>
      <c r="D2933" s="10" t="n"/>
      <c r="E2933" s="14">
        <f>IF(D2933="","",IFERROR(INDEX('Sản phẩm'!$B$5:$B$304,MATCH(D2933,'Sản phẩm'!$A$5:$A$304,0)),""))</f>
        <v/>
      </c>
      <c r="F2933" s="12" t="n"/>
      <c r="G2933" s="11" t="n"/>
      <c r="H2933" s="11" t="n"/>
      <c r="I2933" s="16">
        <f>IF(D2933="","",IF(G2933&lt;&gt;"",G2933,IFERROR(INDEX('Sản phẩm'!$E$5:$E$304,MATCH(D2933,'Sản phẩm'!$A$5:$A$304,0)),"")))</f>
        <v/>
      </c>
      <c r="J2933" s="16">
        <f>IF(OR(D2933="",F2933=""),"",F2933*I2933-N(H2933))</f>
        <v/>
      </c>
      <c r="K2933" s="16">
        <f>IF(OR(D2933="",F2933=""),"",F2933*IFERROR(INDEX('Sản phẩm'!$D$5:$D$304,MATCH(D2933,'Sản phẩm'!$A$5:$A$304,0)),""))</f>
        <v/>
      </c>
      <c r="L2933" s="16">
        <f>IF(J2933="","",J2933-K2933)</f>
        <v/>
      </c>
      <c r="M2933" s="14">
        <f>IF(A2933="","",MONTH(A2933))</f>
        <v/>
      </c>
      <c r="N2933" s="14">
        <f>IF(A2933="","",YEAR(A2933))</f>
        <v/>
      </c>
    </row>
    <row r="2934">
      <c r="A2934" s="15" t="n"/>
      <c r="B2934" s="10" t="n"/>
      <c r="C2934" s="10" t="n"/>
      <c r="D2934" s="10" t="n"/>
      <c r="E2934" s="14">
        <f>IF(D2934="","",IFERROR(INDEX('Sản phẩm'!$B$5:$B$304,MATCH(D2934,'Sản phẩm'!$A$5:$A$304,0)),""))</f>
        <v/>
      </c>
      <c r="F2934" s="12" t="n"/>
      <c r="G2934" s="11" t="n"/>
      <c r="H2934" s="11" t="n"/>
      <c r="I2934" s="16">
        <f>IF(D2934="","",IF(G2934&lt;&gt;"",G2934,IFERROR(INDEX('Sản phẩm'!$E$5:$E$304,MATCH(D2934,'Sản phẩm'!$A$5:$A$304,0)),"")))</f>
        <v/>
      </c>
      <c r="J2934" s="16">
        <f>IF(OR(D2934="",F2934=""),"",F2934*I2934-N(H2934))</f>
        <v/>
      </c>
      <c r="K2934" s="16">
        <f>IF(OR(D2934="",F2934=""),"",F2934*IFERROR(INDEX('Sản phẩm'!$D$5:$D$304,MATCH(D2934,'Sản phẩm'!$A$5:$A$304,0)),""))</f>
        <v/>
      </c>
      <c r="L2934" s="16">
        <f>IF(J2934="","",J2934-K2934)</f>
        <v/>
      </c>
      <c r="M2934" s="14">
        <f>IF(A2934="","",MONTH(A2934))</f>
        <v/>
      </c>
      <c r="N2934" s="14">
        <f>IF(A2934="","",YEAR(A2934))</f>
        <v/>
      </c>
    </row>
    <row r="2935">
      <c r="A2935" s="15" t="n"/>
      <c r="B2935" s="10" t="n"/>
      <c r="C2935" s="10" t="n"/>
      <c r="D2935" s="10" t="n"/>
      <c r="E2935" s="14">
        <f>IF(D2935="","",IFERROR(INDEX('Sản phẩm'!$B$5:$B$304,MATCH(D2935,'Sản phẩm'!$A$5:$A$304,0)),""))</f>
        <v/>
      </c>
      <c r="F2935" s="12" t="n"/>
      <c r="G2935" s="11" t="n"/>
      <c r="H2935" s="11" t="n"/>
      <c r="I2935" s="16">
        <f>IF(D2935="","",IF(G2935&lt;&gt;"",G2935,IFERROR(INDEX('Sản phẩm'!$E$5:$E$304,MATCH(D2935,'Sản phẩm'!$A$5:$A$304,0)),"")))</f>
        <v/>
      </c>
      <c r="J2935" s="16">
        <f>IF(OR(D2935="",F2935=""),"",F2935*I2935-N(H2935))</f>
        <v/>
      </c>
      <c r="K2935" s="16">
        <f>IF(OR(D2935="",F2935=""),"",F2935*IFERROR(INDEX('Sản phẩm'!$D$5:$D$304,MATCH(D2935,'Sản phẩm'!$A$5:$A$304,0)),""))</f>
        <v/>
      </c>
      <c r="L2935" s="16">
        <f>IF(J2935="","",J2935-K2935)</f>
        <v/>
      </c>
      <c r="M2935" s="14">
        <f>IF(A2935="","",MONTH(A2935))</f>
        <v/>
      </c>
      <c r="N2935" s="14">
        <f>IF(A2935="","",YEAR(A2935))</f>
        <v/>
      </c>
    </row>
    <row r="2936">
      <c r="A2936" s="15" t="n"/>
      <c r="B2936" s="10" t="n"/>
      <c r="C2936" s="10" t="n"/>
      <c r="D2936" s="10" t="n"/>
      <c r="E2936" s="14">
        <f>IF(D2936="","",IFERROR(INDEX('Sản phẩm'!$B$5:$B$304,MATCH(D2936,'Sản phẩm'!$A$5:$A$304,0)),""))</f>
        <v/>
      </c>
      <c r="F2936" s="12" t="n"/>
      <c r="G2936" s="11" t="n"/>
      <c r="H2936" s="11" t="n"/>
      <c r="I2936" s="16">
        <f>IF(D2936="","",IF(G2936&lt;&gt;"",G2936,IFERROR(INDEX('Sản phẩm'!$E$5:$E$304,MATCH(D2936,'Sản phẩm'!$A$5:$A$304,0)),"")))</f>
        <v/>
      </c>
      <c r="J2936" s="16">
        <f>IF(OR(D2936="",F2936=""),"",F2936*I2936-N(H2936))</f>
        <v/>
      </c>
      <c r="K2936" s="16">
        <f>IF(OR(D2936="",F2936=""),"",F2936*IFERROR(INDEX('Sản phẩm'!$D$5:$D$304,MATCH(D2936,'Sản phẩm'!$A$5:$A$304,0)),""))</f>
        <v/>
      </c>
      <c r="L2936" s="16">
        <f>IF(J2936="","",J2936-K2936)</f>
        <v/>
      </c>
      <c r="M2936" s="14">
        <f>IF(A2936="","",MONTH(A2936))</f>
        <v/>
      </c>
      <c r="N2936" s="14">
        <f>IF(A2936="","",YEAR(A2936))</f>
        <v/>
      </c>
    </row>
    <row r="2937">
      <c r="A2937" s="15" t="n"/>
      <c r="B2937" s="10" t="n"/>
      <c r="C2937" s="10" t="n"/>
      <c r="D2937" s="10" t="n"/>
      <c r="E2937" s="14">
        <f>IF(D2937="","",IFERROR(INDEX('Sản phẩm'!$B$5:$B$304,MATCH(D2937,'Sản phẩm'!$A$5:$A$304,0)),""))</f>
        <v/>
      </c>
      <c r="F2937" s="12" t="n"/>
      <c r="G2937" s="11" t="n"/>
      <c r="H2937" s="11" t="n"/>
      <c r="I2937" s="16">
        <f>IF(D2937="","",IF(G2937&lt;&gt;"",G2937,IFERROR(INDEX('Sản phẩm'!$E$5:$E$304,MATCH(D2937,'Sản phẩm'!$A$5:$A$304,0)),"")))</f>
        <v/>
      </c>
      <c r="J2937" s="16">
        <f>IF(OR(D2937="",F2937=""),"",F2937*I2937-N(H2937))</f>
        <v/>
      </c>
      <c r="K2937" s="16">
        <f>IF(OR(D2937="",F2937=""),"",F2937*IFERROR(INDEX('Sản phẩm'!$D$5:$D$304,MATCH(D2937,'Sản phẩm'!$A$5:$A$304,0)),""))</f>
        <v/>
      </c>
      <c r="L2937" s="16">
        <f>IF(J2937="","",J2937-K2937)</f>
        <v/>
      </c>
      <c r="M2937" s="14">
        <f>IF(A2937="","",MONTH(A2937))</f>
        <v/>
      </c>
      <c r="N2937" s="14">
        <f>IF(A2937="","",YEAR(A2937))</f>
        <v/>
      </c>
    </row>
    <row r="2938">
      <c r="A2938" s="15" t="n"/>
      <c r="B2938" s="10" t="n"/>
      <c r="C2938" s="10" t="n"/>
      <c r="D2938" s="10" t="n"/>
      <c r="E2938" s="14">
        <f>IF(D2938="","",IFERROR(INDEX('Sản phẩm'!$B$5:$B$304,MATCH(D2938,'Sản phẩm'!$A$5:$A$304,0)),""))</f>
        <v/>
      </c>
      <c r="F2938" s="12" t="n"/>
      <c r="G2938" s="11" t="n"/>
      <c r="H2938" s="11" t="n"/>
      <c r="I2938" s="16">
        <f>IF(D2938="","",IF(G2938&lt;&gt;"",G2938,IFERROR(INDEX('Sản phẩm'!$E$5:$E$304,MATCH(D2938,'Sản phẩm'!$A$5:$A$304,0)),"")))</f>
        <v/>
      </c>
      <c r="J2938" s="16">
        <f>IF(OR(D2938="",F2938=""),"",F2938*I2938-N(H2938))</f>
        <v/>
      </c>
      <c r="K2938" s="16">
        <f>IF(OR(D2938="",F2938=""),"",F2938*IFERROR(INDEX('Sản phẩm'!$D$5:$D$304,MATCH(D2938,'Sản phẩm'!$A$5:$A$304,0)),""))</f>
        <v/>
      </c>
      <c r="L2938" s="16">
        <f>IF(J2938="","",J2938-K2938)</f>
        <v/>
      </c>
      <c r="M2938" s="14">
        <f>IF(A2938="","",MONTH(A2938))</f>
        <v/>
      </c>
      <c r="N2938" s="14">
        <f>IF(A2938="","",YEAR(A2938))</f>
        <v/>
      </c>
    </row>
    <row r="2939">
      <c r="A2939" s="15" t="n"/>
      <c r="B2939" s="10" t="n"/>
      <c r="C2939" s="10" t="n"/>
      <c r="D2939" s="10" t="n"/>
      <c r="E2939" s="14">
        <f>IF(D2939="","",IFERROR(INDEX('Sản phẩm'!$B$5:$B$304,MATCH(D2939,'Sản phẩm'!$A$5:$A$304,0)),""))</f>
        <v/>
      </c>
      <c r="F2939" s="12" t="n"/>
      <c r="G2939" s="11" t="n"/>
      <c r="H2939" s="11" t="n"/>
      <c r="I2939" s="16">
        <f>IF(D2939="","",IF(G2939&lt;&gt;"",G2939,IFERROR(INDEX('Sản phẩm'!$E$5:$E$304,MATCH(D2939,'Sản phẩm'!$A$5:$A$304,0)),"")))</f>
        <v/>
      </c>
      <c r="J2939" s="16">
        <f>IF(OR(D2939="",F2939=""),"",F2939*I2939-N(H2939))</f>
        <v/>
      </c>
      <c r="K2939" s="16">
        <f>IF(OR(D2939="",F2939=""),"",F2939*IFERROR(INDEX('Sản phẩm'!$D$5:$D$304,MATCH(D2939,'Sản phẩm'!$A$5:$A$304,0)),""))</f>
        <v/>
      </c>
      <c r="L2939" s="16">
        <f>IF(J2939="","",J2939-K2939)</f>
        <v/>
      </c>
      <c r="M2939" s="14">
        <f>IF(A2939="","",MONTH(A2939))</f>
        <v/>
      </c>
      <c r="N2939" s="14">
        <f>IF(A2939="","",YEAR(A2939))</f>
        <v/>
      </c>
    </row>
    <row r="2940">
      <c r="A2940" s="15" t="n"/>
      <c r="B2940" s="10" t="n"/>
      <c r="C2940" s="10" t="n"/>
      <c r="D2940" s="10" t="n"/>
      <c r="E2940" s="14">
        <f>IF(D2940="","",IFERROR(INDEX('Sản phẩm'!$B$5:$B$304,MATCH(D2940,'Sản phẩm'!$A$5:$A$304,0)),""))</f>
        <v/>
      </c>
      <c r="F2940" s="12" t="n"/>
      <c r="G2940" s="11" t="n"/>
      <c r="H2940" s="11" t="n"/>
      <c r="I2940" s="16">
        <f>IF(D2940="","",IF(G2940&lt;&gt;"",G2940,IFERROR(INDEX('Sản phẩm'!$E$5:$E$304,MATCH(D2940,'Sản phẩm'!$A$5:$A$304,0)),"")))</f>
        <v/>
      </c>
      <c r="J2940" s="16">
        <f>IF(OR(D2940="",F2940=""),"",F2940*I2940-N(H2940))</f>
        <v/>
      </c>
      <c r="K2940" s="16">
        <f>IF(OR(D2940="",F2940=""),"",F2940*IFERROR(INDEX('Sản phẩm'!$D$5:$D$304,MATCH(D2940,'Sản phẩm'!$A$5:$A$304,0)),""))</f>
        <v/>
      </c>
      <c r="L2940" s="16">
        <f>IF(J2940="","",J2940-K2940)</f>
        <v/>
      </c>
      <c r="M2940" s="14">
        <f>IF(A2940="","",MONTH(A2940))</f>
        <v/>
      </c>
      <c r="N2940" s="14">
        <f>IF(A2940="","",YEAR(A2940))</f>
        <v/>
      </c>
    </row>
    <row r="2941">
      <c r="A2941" s="15" t="n"/>
      <c r="B2941" s="10" t="n"/>
      <c r="C2941" s="10" t="n"/>
      <c r="D2941" s="10" t="n"/>
      <c r="E2941" s="14">
        <f>IF(D2941="","",IFERROR(INDEX('Sản phẩm'!$B$5:$B$304,MATCH(D2941,'Sản phẩm'!$A$5:$A$304,0)),""))</f>
        <v/>
      </c>
      <c r="F2941" s="12" t="n"/>
      <c r="G2941" s="11" t="n"/>
      <c r="H2941" s="11" t="n"/>
      <c r="I2941" s="16">
        <f>IF(D2941="","",IF(G2941&lt;&gt;"",G2941,IFERROR(INDEX('Sản phẩm'!$E$5:$E$304,MATCH(D2941,'Sản phẩm'!$A$5:$A$304,0)),"")))</f>
        <v/>
      </c>
      <c r="J2941" s="16">
        <f>IF(OR(D2941="",F2941=""),"",F2941*I2941-N(H2941))</f>
        <v/>
      </c>
      <c r="K2941" s="16">
        <f>IF(OR(D2941="",F2941=""),"",F2941*IFERROR(INDEX('Sản phẩm'!$D$5:$D$304,MATCH(D2941,'Sản phẩm'!$A$5:$A$304,0)),""))</f>
        <v/>
      </c>
      <c r="L2941" s="16">
        <f>IF(J2941="","",J2941-K2941)</f>
        <v/>
      </c>
      <c r="M2941" s="14">
        <f>IF(A2941="","",MONTH(A2941))</f>
        <v/>
      </c>
      <c r="N2941" s="14">
        <f>IF(A2941="","",YEAR(A2941))</f>
        <v/>
      </c>
    </row>
    <row r="2942">
      <c r="A2942" s="15" t="n"/>
      <c r="B2942" s="10" t="n"/>
      <c r="C2942" s="10" t="n"/>
      <c r="D2942" s="10" t="n"/>
      <c r="E2942" s="14">
        <f>IF(D2942="","",IFERROR(INDEX('Sản phẩm'!$B$5:$B$304,MATCH(D2942,'Sản phẩm'!$A$5:$A$304,0)),""))</f>
        <v/>
      </c>
      <c r="F2942" s="12" t="n"/>
      <c r="G2942" s="11" t="n"/>
      <c r="H2942" s="11" t="n"/>
      <c r="I2942" s="16">
        <f>IF(D2942="","",IF(G2942&lt;&gt;"",G2942,IFERROR(INDEX('Sản phẩm'!$E$5:$E$304,MATCH(D2942,'Sản phẩm'!$A$5:$A$304,0)),"")))</f>
        <v/>
      </c>
      <c r="J2942" s="16">
        <f>IF(OR(D2942="",F2942=""),"",F2942*I2942-N(H2942))</f>
        <v/>
      </c>
      <c r="K2942" s="16">
        <f>IF(OR(D2942="",F2942=""),"",F2942*IFERROR(INDEX('Sản phẩm'!$D$5:$D$304,MATCH(D2942,'Sản phẩm'!$A$5:$A$304,0)),""))</f>
        <v/>
      </c>
      <c r="L2942" s="16">
        <f>IF(J2942="","",J2942-K2942)</f>
        <v/>
      </c>
      <c r="M2942" s="14">
        <f>IF(A2942="","",MONTH(A2942))</f>
        <v/>
      </c>
      <c r="N2942" s="14">
        <f>IF(A2942="","",YEAR(A2942))</f>
        <v/>
      </c>
    </row>
    <row r="2943">
      <c r="A2943" s="15" t="n"/>
      <c r="B2943" s="10" t="n"/>
      <c r="C2943" s="10" t="n"/>
      <c r="D2943" s="10" t="n"/>
      <c r="E2943" s="14">
        <f>IF(D2943="","",IFERROR(INDEX('Sản phẩm'!$B$5:$B$304,MATCH(D2943,'Sản phẩm'!$A$5:$A$304,0)),""))</f>
        <v/>
      </c>
      <c r="F2943" s="12" t="n"/>
      <c r="G2943" s="11" t="n"/>
      <c r="H2943" s="11" t="n"/>
      <c r="I2943" s="16">
        <f>IF(D2943="","",IF(G2943&lt;&gt;"",G2943,IFERROR(INDEX('Sản phẩm'!$E$5:$E$304,MATCH(D2943,'Sản phẩm'!$A$5:$A$304,0)),"")))</f>
        <v/>
      </c>
      <c r="J2943" s="16">
        <f>IF(OR(D2943="",F2943=""),"",F2943*I2943-N(H2943))</f>
        <v/>
      </c>
      <c r="K2943" s="16">
        <f>IF(OR(D2943="",F2943=""),"",F2943*IFERROR(INDEX('Sản phẩm'!$D$5:$D$304,MATCH(D2943,'Sản phẩm'!$A$5:$A$304,0)),""))</f>
        <v/>
      </c>
      <c r="L2943" s="16">
        <f>IF(J2943="","",J2943-K2943)</f>
        <v/>
      </c>
      <c r="M2943" s="14">
        <f>IF(A2943="","",MONTH(A2943))</f>
        <v/>
      </c>
      <c r="N2943" s="14">
        <f>IF(A2943="","",YEAR(A2943))</f>
        <v/>
      </c>
    </row>
    <row r="2944">
      <c r="A2944" s="15" t="n"/>
      <c r="B2944" s="10" t="n"/>
      <c r="C2944" s="10" t="n"/>
      <c r="D2944" s="10" t="n"/>
      <c r="E2944" s="14">
        <f>IF(D2944="","",IFERROR(INDEX('Sản phẩm'!$B$5:$B$304,MATCH(D2944,'Sản phẩm'!$A$5:$A$304,0)),""))</f>
        <v/>
      </c>
      <c r="F2944" s="12" t="n"/>
      <c r="G2944" s="11" t="n"/>
      <c r="H2944" s="11" t="n"/>
      <c r="I2944" s="16">
        <f>IF(D2944="","",IF(G2944&lt;&gt;"",G2944,IFERROR(INDEX('Sản phẩm'!$E$5:$E$304,MATCH(D2944,'Sản phẩm'!$A$5:$A$304,0)),"")))</f>
        <v/>
      </c>
      <c r="J2944" s="16">
        <f>IF(OR(D2944="",F2944=""),"",F2944*I2944-N(H2944))</f>
        <v/>
      </c>
      <c r="K2944" s="16">
        <f>IF(OR(D2944="",F2944=""),"",F2944*IFERROR(INDEX('Sản phẩm'!$D$5:$D$304,MATCH(D2944,'Sản phẩm'!$A$5:$A$304,0)),""))</f>
        <v/>
      </c>
      <c r="L2944" s="16">
        <f>IF(J2944="","",J2944-K2944)</f>
        <v/>
      </c>
      <c r="M2944" s="14">
        <f>IF(A2944="","",MONTH(A2944))</f>
        <v/>
      </c>
      <c r="N2944" s="14">
        <f>IF(A2944="","",YEAR(A2944))</f>
        <v/>
      </c>
    </row>
    <row r="2945">
      <c r="A2945" s="15" t="n"/>
      <c r="B2945" s="10" t="n"/>
      <c r="C2945" s="10" t="n"/>
      <c r="D2945" s="10" t="n"/>
      <c r="E2945" s="14">
        <f>IF(D2945="","",IFERROR(INDEX('Sản phẩm'!$B$5:$B$304,MATCH(D2945,'Sản phẩm'!$A$5:$A$304,0)),""))</f>
        <v/>
      </c>
      <c r="F2945" s="12" t="n"/>
      <c r="G2945" s="11" t="n"/>
      <c r="H2945" s="11" t="n"/>
      <c r="I2945" s="16">
        <f>IF(D2945="","",IF(G2945&lt;&gt;"",G2945,IFERROR(INDEX('Sản phẩm'!$E$5:$E$304,MATCH(D2945,'Sản phẩm'!$A$5:$A$304,0)),"")))</f>
        <v/>
      </c>
      <c r="J2945" s="16">
        <f>IF(OR(D2945="",F2945=""),"",F2945*I2945-N(H2945))</f>
        <v/>
      </c>
      <c r="K2945" s="16">
        <f>IF(OR(D2945="",F2945=""),"",F2945*IFERROR(INDEX('Sản phẩm'!$D$5:$D$304,MATCH(D2945,'Sản phẩm'!$A$5:$A$304,0)),""))</f>
        <v/>
      </c>
      <c r="L2945" s="16">
        <f>IF(J2945="","",J2945-K2945)</f>
        <v/>
      </c>
      <c r="M2945" s="14">
        <f>IF(A2945="","",MONTH(A2945))</f>
        <v/>
      </c>
      <c r="N2945" s="14">
        <f>IF(A2945="","",YEAR(A2945))</f>
        <v/>
      </c>
    </row>
    <row r="2946">
      <c r="A2946" s="15" t="n"/>
      <c r="B2946" s="10" t="n"/>
      <c r="C2946" s="10" t="n"/>
      <c r="D2946" s="10" t="n"/>
      <c r="E2946" s="14">
        <f>IF(D2946="","",IFERROR(INDEX('Sản phẩm'!$B$5:$B$304,MATCH(D2946,'Sản phẩm'!$A$5:$A$304,0)),""))</f>
        <v/>
      </c>
      <c r="F2946" s="12" t="n"/>
      <c r="G2946" s="11" t="n"/>
      <c r="H2946" s="11" t="n"/>
      <c r="I2946" s="16">
        <f>IF(D2946="","",IF(G2946&lt;&gt;"",G2946,IFERROR(INDEX('Sản phẩm'!$E$5:$E$304,MATCH(D2946,'Sản phẩm'!$A$5:$A$304,0)),"")))</f>
        <v/>
      </c>
      <c r="J2946" s="16">
        <f>IF(OR(D2946="",F2946=""),"",F2946*I2946-N(H2946))</f>
        <v/>
      </c>
      <c r="K2946" s="16">
        <f>IF(OR(D2946="",F2946=""),"",F2946*IFERROR(INDEX('Sản phẩm'!$D$5:$D$304,MATCH(D2946,'Sản phẩm'!$A$5:$A$304,0)),""))</f>
        <v/>
      </c>
      <c r="L2946" s="16">
        <f>IF(J2946="","",J2946-K2946)</f>
        <v/>
      </c>
      <c r="M2946" s="14">
        <f>IF(A2946="","",MONTH(A2946))</f>
        <v/>
      </c>
      <c r="N2946" s="14">
        <f>IF(A2946="","",YEAR(A2946))</f>
        <v/>
      </c>
    </row>
    <row r="2947">
      <c r="A2947" s="15" t="n"/>
      <c r="B2947" s="10" t="n"/>
      <c r="C2947" s="10" t="n"/>
      <c r="D2947" s="10" t="n"/>
      <c r="E2947" s="14">
        <f>IF(D2947="","",IFERROR(INDEX('Sản phẩm'!$B$5:$B$304,MATCH(D2947,'Sản phẩm'!$A$5:$A$304,0)),""))</f>
        <v/>
      </c>
      <c r="F2947" s="12" t="n"/>
      <c r="G2947" s="11" t="n"/>
      <c r="H2947" s="11" t="n"/>
      <c r="I2947" s="16">
        <f>IF(D2947="","",IF(G2947&lt;&gt;"",G2947,IFERROR(INDEX('Sản phẩm'!$E$5:$E$304,MATCH(D2947,'Sản phẩm'!$A$5:$A$304,0)),"")))</f>
        <v/>
      </c>
      <c r="J2947" s="16">
        <f>IF(OR(D2947="",F2947=""),"",F2947*I2947-N(H2947))</f>
        <v/>
      </c>
      <c r="K2947" s="16">
        <f>IF(OR(D2947="",F2947=""),"",F2947*IFERROR(INDEX('Sản phẩm'!$D$5:$D$304,MATCH(D2947,'Sản phẩm'!$A$5:$A$304,0)),""))</f>
        <v/>
      </c>
      <c r="L2947" s="16">
        <f>IF(J2947="","",J2947-K2947)</f>
        <v/>
      </c>
      <c r="M2947" s="14">
        <f>IF(A2947="","",MONTH(A2947))</f>
        <v/>
      </c>
      <c r="N2947" s="14">
        <f>IF(A2947="","",YEAR(A2947))</f>
        <v/>
      </c>
    </row>
    <row r="2948">
      <c r="A2948" s="15" t="n"/>
      <c r="B2948" s="10" t="n"/>
      <c r="C2948" s="10" t="n"/>
      <c r="D2948" s="10" t="n"/>
      <c r="E2948" s="14">
        <f>IF(D2948="","",IFERROR(INDEX('Sản phẩm'!$B$5:$B$304,MATCH(D2948,'Sản phẩm'!$A$5:$A$304,0)),""))</f>
        <v/>
      </c>
      <c r="F2948" s="12" t="n"/>
      <c r="G2948" s="11" t="n"/>
      <c r="H2948" s="11" t="n"/>
      <c r="I2948" s="16">
        <f>IF(D2948="","",IF(G2948&lt;&gt;"",G2948,IFERROR(INDEX('Sản phẩm'!$E$5:$E$304,MATCH(D2948,'Sản phẩm'!$A$5:$A$304,0)),"")))</f>
        <v/>
      </c>
      <c r="J2948" s="16">
        <f>IF(OR(D2948="",F2948=""),"",F2948*I2948-N(H2948))</f>
        <v/>
      </c>
      <c r="K2948" s="16">
        <f>IF(OR(D2948="",F2948=""),"",F2948*IFERROR(INDEX('Sản phẩm'!$D$5:$D$304,MATCH(D2948,'Sản phẩm'!$A$5:$A$304,0)),""))</f>
        <v/>
      </c>
      <c r="L2948" s="16">
        <f>IF(J2948="","",J2948-K2948)</f>
        <v/>
      </c>
      <c r="M2948" s="14">
        <f>IF(A2948="","",MONTH(A2948))</f>
        <v/>
      </c>
      <c r="N2948" s="14">
        <f>IF(A2948="","",YEAR(A2948))</f>
        <v/>
      </c>
    </row>
    <row r="2949">
      <c r="A2949" s="15" t="n"/>
      <c r="B2949" s="10" t="n"/>
      <c r="C2949" s="10" t="n"/>
      <c r="D2949" s="10" t="n"/>
      <c r="E2949" s="14">
        <f>IF(D2949="","",IFERROR(INDEX('Sản phẩm'!$B$5:$B$304,MATCH(D2949,'Sản phẩm'!$A$5:$A$304,0)),""))</f>
        <v/>
      </c>
      <c r="F2949" s="12" t="n"/>
      <c r="G2949" s="11" t="n"/>
      <c r="H2949" s="11" t="n"/>
      <c r="I2949" s="16">
        <f>IF(D2949="","",IF(G2949&lt;&gt;"",G2949,IFERROR(INDEX('Sản phẩm'!$E$5:$E$304,MATCH(D2949,'Sản phẩm'!$A$5:$A$304,0)),"")))</f>
        <v/>
      </c>
      <c r="J2949" s="16">
        <f>IF(OR(D2949="",F2949=""),"",F2949*I2949-N(H2949))</f>
        <v/>
      </c>
      <c r="K2949" s="16">
        <f>IF(OR(D2949="",F2949=""),"",F2949*IFERROR(INDEX('Sản phẩm'!$D$5:$D$304,MATCH(D2949,'Sản phẩm'!$A$5:$A$304,0)),""))</f>
        <v/>
      </c>
      <c r="L2949" s="16">
        <f>IF(J2949="","",J2949-K2949)</f>
        <v/>
      </c>
      <c r="M2949" s="14">
        <f>IF(A2949="","",MONTH(A2949))</f>
        <v/>
      </c>
      <c r="N2949" s="14">
        <f>IF(A2949="","",YEAR(A2949))</f>
        <v/>
      </c>
    </row>
    <row r="2950">
      <c r="A2950" s="15" t="n"/>
      <c r="B2950" s="10" t="n"/>
      <c r="C2950" s="10" t="n"/>
      <c r="D2950" s="10" t="n"/>
      <c r="E2950" s="14">
        <f>IF(D2950="","",IFERROR(INDEX('Sản phẩm'!$B$5:$B$304,MATCH(D2950,'Sản phẩm'!$A$5:$A$304,0)),""))</f>
        <v/>
      </c>
      <c r="F2950" s="12" t="n"/>
      <c r="G2950" s="11" t="n"/>
      <c r="H2950" s="11" t="n"/>
      <c r="I2950" s="16">
        <f>IF(D2950="","",IF(G2950&lt;&gt;"",G2950,IFERROR(INDEX('Sản phẩm'!$E$5:$E$304,MATCH(D2950,'Sản phẩm'!$A$5:$A$304,0)),"")))</f>
        <v/>
      </c>
      <c r="J2950" s="16">
        <f>IF(OR(D2950="",F2950=""),"",F2950*I2950-N(H2950))</f>
        <v/>
      </c>
      <c r="K2950" s="16">
        <f>IF(OR(D2950="",F2950=""),"",F2950*IFERROR(INDEX('Sản phẩm'!$D$5:$D$304,MATCH(D2950,'Sản phẩm'!$A$5:$A$304,0)),""))</f>
        <v/>
      </c>
      <c r="L2950" s="16">
        <f>IF(J2950="","",J2950-K2950)</f>
        <v/>
      </c>
      <c r="M2950" s="14">
        <f>IF(A2950="","",MONTH(A2950))</f>
        <v/>
      </c>
      <c r="N2950" s="14">
        <f>IF(A2950="","",YEAR(A2950))</f>
        <v/>
      </c>
    </row>
    <row r="2951">
      <c r="A2951" s="15" t="n"/>
      <c r="B2951" s="10" t="n"/>
      <c r="C2951" s="10" t="n"/>
      <c r="D2951" s="10" t="n"/>
      <c r="E2951" s="14">
        <f>IF(D2951="","",IFERROR(INDEX('Sản phẩm'!$B$5:$B$304,MATCH(D2951,'Sản phẩm'!$A$5:$A$304,0)),""))</f>
        <v/>
      </c>
      <c r="F2951" s="12" t="n"/>
      <c r="G2951" s="11" t="n"/>
      <c r="H2951" s="11" t="n"/>
      <c r="I2951" s="16">
        <f>IF(D2951="","",IF(G2951&lt;&gt;"",G2951,IFERROR(INDEX('Sản phẩm'!$E$5:$E$304,MATCH(D2951,'Sản phẩm'!$A$5:$A$304,0)),"")))</f>
        <v/>
      </c>
      <c r="J2951" s="16">
        <f>IF(OR(D2951="",F2951=""),"",F2951*I2951-N(H2951))</f>
        <v/>
      </c>
      <c r="K2951" s="16">
        <f>IF(OR(D2951="",F2951=""),"",F2951*IFERROR(INDEX('Sản phẩm'!$D$5:$D$304,MATCH(D2951,'Sản phẩm'!$A$5:$A$304,0)),""))</f>
        <v/>
      </c>
      <c r="L2951" s="16">
        <f>IF(J2951="","",J2951-K2951)</f>
        <v/>
      </c>
      <c r="M2951" s="14">
        <f>IF(A2951="","",MONTH(A2951))</f>
        <v/>
      </c>
      <c r="N2951" s="14">
        <f>IF(A2951="","",YEAR(A2951))</f>
        <v/>
      </c>
    </row>
    <row r="2952">
      <c r="A2952" s="15" t="n"/>
      <c r="B2952" s="10" t="n"/>
      <c r="C2952" s="10" t="n"/>
      <c r="D2952" s="10" t="n"/>
      <c r="E2952" s="14">
        <f>IF(D2952="","",IFERROR(INDEX('Sản phẩm'!$B$5:$B$304,MATCH(D2952,'Sản phẩm'!$A$5:$A$304,0)),""))</f>
        <v/>
      </c>
      <c r="F2952" s="12" t="n"/>
      <c r="G2952" s="11" t="n"/>
      <c r="H2952" s="11" t="n"/>
      <c r="I2952" s="16">
        <f>IF(D2952="","",IF(G2952&lt;&gt;"",G2952,IFERROR(INDEX('Sản phẩm'!$E$5:$E$304,MATCH(D2952,'Sản phẩm'!$A$5:$A$304,0)),"")))</f>
        <v/>
      </c>
      <c r="J2952" s="16">
        <f>IF(OR(D2952="",F2952=""),"",F2952*I2952-N(H2952))</f>
        <v/>
      </c>
      <c r="K2952" s="16">
        <f>IF(OR(D2952="",F2952=""),"",F2952*IFERROR(INDEX('Sản phẩm'!$D$5:$D$304,MATCH(D2952,'Sản phẩm'!$A$5:$A$304,0)),""))</f>
        <v/>
      </c>
      <c r="L2952" s="16">
        <f>IF(J2952="","",J2952-K2952)</f>
        <v/>
      </c>
      <c r="M2952" s="14">
        <f>IF(A2952="","",MONTH(A2952))</f>
        <v/>
      </c>
      <c r="N2952" s="14">
        <f>IF(A2952="","",YEAR(A2952))</f>
        <v/>
      </c>
    </row>
    <row r="2953">
      <c r="A2953" s="15" t="n"/>
      <c r="B2953" s="10" t="n"/>
      <c r="C2953" s="10" t="n"/>
      <c r="D2953" s="10" t="n"/>
      <c r="E2953" s="14">
        <f>IF(D2953="","",IFERROR(INDEX('Sản phẩm'!$B$5:$B$304,MATCH(D2953,'Sản phẩm'!$A$5:$A$304,0)),""))</f>
        <v/>
      </c>
      <c r="F2953" s="12" t="n"/>
      <c r="G2953" s="11" t="n"/>
      <c r="H2953" s="11" t="n"/>
      <c r="I2953" s="16">
        <f>IF(D2953="","",IF(G2953&lt;&gt;"",G2953,IFERROR(INDEX('Sản phẩm'!$E$5:$E$304,MATCH(D2953,'Sản phẩm'!$A$5:$A$304,0)),"")))</f>
        <v/>
      </c>
      <c r="J2953" s="16">
        <f>IF(OR(D2953="",F2953=""),"",F2953*I2953-N(H2953))</f>
        <v/>
      </c>
      <c r="K2953" s="16">
        <f>IF(OR(D2953="",F2953=""),"",F2953*IFERROR(INDEX('Sản phẩm'!$D$5:$D$304,MATCH(D2953,'Sản phẩm'!$A$5:$A$304,0)),""))</f>
        <v/>
      </c>
      <c r="L2953" s="16">
        <f>IF(J2953="","",J2953-K2953)</f>
        <v/>
      </c>
      <c r="M2953" s="14">
        <f>IF(A2953="","",MONTH(A2953))</f>
        <v/>
      </c>
      <c r="N2953" s="14">
        <f>IF(A2953="","",YEAR(A2953))</f>
        <v/>
      </c>
    </row>
    <row r="2954">
      <c r="A2954" s="15" t="n"/>
      <c r="B2954" s="10" t="n"/>
      <c r="C2954" s="10" t="n"/>
      <c r="D2954" s="10" t="n"/>
      <c r="E2954" s="14">
        <f>IF(D2954="","",IFERROR(INDEX('Sản phẩm'!$B$5:$B$304,MATCH(D2954,'Sản phẩm'!$A$5:$A$304,0)),""))</f>
        <v/>
      </c>
      <c r="F2954" s="12" t="n"/>
      <c r="G2954" s="11" t="n"/>
      <c r="H2954" s="11" t="n"/>
      <c r="I2954" s="16">
        <f>IF(D2954="","",IF(G2954&lt;&gt;"",G2954,IFERROR(INDEX('Sản phẩm'!$E$5:$E$304,MATCH(D2954,'Sản phẩm'!$A$5:$A$304,0)),"")))</f>
        <v/>
      </c>
      <c r="J2954" s="16">
        <f>IF(OR(D2954="",F2954=""),"",F2954*I2954-N(H2954))</f>
        <v/>
      </c>
      <c r="K2954" s="16">
        <f>IF(OR(D2954="",F2954=""),"",F2954*IFERROR(INDEX('Sản phẩm'!$D$5:$D$304,MATCH(D2954,'Sản phẩm'!$A$5:$A$304,0)),""))</f>
        <v/>
      </c>
      <c r="L2954" s="16">
        <f>IF(J2954="","",J2954-K2954)</f>
        <v/>
      </c>
      <c r="M2954" s="14">
        <f>IF(A2954="","",MONTH(A2954))</f>
        <v/>
      </c>
      <c r="N2954" s="14">
        <f>IF(A2954="","",YEAR(A2954))</f>
        <v/>
      </c>
    </row>
    <row r="2955">
      <c r="A2955" s="15" t="n"/>
      <c r="B2955" s="10" t="n"/>
      <c r="C2955" s="10" t="n"/>
      <c r="D2955" s="10" t="n"/>
      <c r="E2955" s="14">
        <f>IF(D2955="","",IFERROR(INDEX('Sản phẩm'!$B$5:$B$304,MATCH(D2955,'Sản phẩm'!$A$5:$A$304,0)),""))</f>
        <v/>
      </c>
      <c r="F2955" s="12" t="n"/>
      <c r="G2955" s="11" t="n"/>
      <c r="H2955" s="11" t="n"/>
      <c r="I2955" s="16">
        <f>IF(D2955="","",IF(G2955&lt;&gt;"",G2955,IFERROR(INDEX('Sản phẩm'!$E$5:$E$304,MATCH(D2955,'Sản phẩm'!$A$5:$A$304,0)),"")))</f>
        <v/>
      </c>
      <c r="J2955" s="16">
        <f>IF(OR(D2955="",F2955=""),"",F2955*I2955-N(H2955))</f>
        <v/>
      </c>
      <c r="K2955" s="16">
        <f>IF(OR(D2955="",F2955=""),"",F2955*IFERROR(INDEX('Sản phẩm'!$D$5:$D$304,MATCH(D2955,'Sản phẩm'!$A$5:$A$304,0)),""))</f>
        <v/>
      </c>
      <c r="L2955" s="16">
        <f>IF(J2955="","",J2955-K2955)</f>
        <v/>
      </c>
      <c r="M2955" s="14">
        <f>IF(A2955="","",MONTH(A2955))</f>
        <v/>
      </c>
      <c r="N2955" s="14">
        <f>IF(A2955="","",YEAR(A2955))</f>
        <v/>
      </c>
    </row>
    <row r="2956">
      <c r="A2956" s="15" t="n"/>
      <c r="B2956" s="10" t="n"/>
      <c r="C2956" s="10" t="n"/>
      <c r="D2956" s="10" t="n"/>
      <c r="E2956" s="14">
        <f>IF(D2956="","",IFERROR(INDEX('Sản phẩm'!$B$5:$B$304,MATCH(D2956,'Sản phẩm'!$A$5:$A$304,0)),""))</f>
        <v/>
      </c>
      <c r="F2956" s="12" t="n"/>
      <c r="G2956" s="11" t="n"/>
      <c r="H2956" s="11" t="n"/>
      <c r="I2956" s="16">
        <f>IF(D2956="","",IF(G2956&lt;&gt;"",G2956,IFERROR(INDEX('Sản phẩm'!$E$5:$E$304,MATCH(D2956,'Sản phẩm'!$A$5:$A$304,0)),"")))</f>
        <v/>
      </c>
      <c r="J2956" s="16">
        <f>IF(OR(D2956="",F2956=""),"",F2956*I2956-N(H2956))</f>
        <v/>
      </c>
      <c r="K2956" s="16">
        <f>IF(OR(D2956="",F2956=""),"",F2956*IFERROR(INDEX('Sản phẩm'!$D$5:$D$304,MATCH(D2956,'Sản phẩm'!$A$5:$A$304,0)),""))</f>
        <v/>
      </c>
      <c r="L2956" s="16">
        <f>IF(J2956="","",J2956-K2956)</f>
        <v/>
      </c>
      <c r="M2956" s="14">
        <f>IF(A2956="","",MONTH(A2956))</f>
        <v/>
      </c>
      <c r="N2956" s="14">
        <f>IF(A2956="","",YEAR(A2956))</f>
        <v/>
      </c>
    </row>
    <row r="2957">
      <c r="A2957" s="15" t="n"/>
      <c r="B2957" s="10" t="n"/>
      <c r="C2957" s="10" t="n"/>
      <c r="D2957" s="10" t="n"/>
      <c r="E2957" s="14">
        <f>IF(D2957="","",IFERROR(INDEX('Sản phẩm'!$B$5:$B$304,MATCH(D2957,'Sản phẩm'!$A$5:$A$304,0)),""))</f>
        <v/>
      </c>
      <c r="F2957" s="12" t="n"/>
      <c r="G2957" s="11" t="n"/>
      <c r="H2957" s="11" t="n"/>
      <c r="I2957" s="16">
        <f>IF(D2957="","",IF(G2957&lt;&gt;"",G2957,IFERROR(INDEX('Sản phẩm'!$E$5:$E$304,MATCH(D2957,'Sản phẩm'!$A$5:$A$304,0)),"")))</f>
        <v/>
      </c>
      <c r="J2957" s="16">
        <f>IF(OR(D2957="",F2957=""),"",F2957*I2957-N(H2957))</f>
        <v/>
      </c>
      <c r="K2957" s="16">
        <f>IF(OR(D2957="",F2957=""),"",F2957*IFERROR(INDEX('Sản phẩm'!$D$5:$D$304,MATCH(D2957,'Sản phẩm'!$A$5:$A$304,0)),""))</f>
        <v/>
      </c>
      <c r="L2957" s="16">
        <f>IF(J2957="","",J2957-K2957)</f>
        <v/>
      </c>
      <c r="M2957" s="14">
        <f>IF(A2957="","",MONTH(A2957))</f>
        <v/>
      </c>
      <c r="N2957" s="14">
        <f>IF(A2957="","",YEAR(A2957))</f>
        <v/>
      </c>
    </row>
    <row r="2958">
      <c r="A2958" s="15" t="n"/>
      <c r="B2958" s="10" t="n"/>
      <c r="C2958" s="10" t="n"/>
      <c r="D2958" s="10" t="n"/>
      <c r="E2958" s="14">
        <f>IF(D2958="","",IFERROR(INDEX('Sản phẩm'!$B$5:$B$304,MATCH(D2958,'Sản phẩm'!$A$5:$A$304,0)),""))</f>
        <v/>
      </c>
      <c r="F2958" s="12" t="n"/>
      <c r="G2958" s="11" t="n"/>
      <c r="H2958" s="11" t="n"/>
      <c r="I2958" s="16">
        <f>IF(D2958="","",IF(G2958&lt;&gt;"",G2958,IFERROR(INDEX('Sản phẩm'!$E$5:$E$304,MATCH(D2958,'Sản phẩm'!$A$5:$A$304,0)),"")))</f>
        <v/>
      </c>
      <c r="J2958" s="16">
        <f>IF(OR(D2958="",F2958=""),"",F2958*I2958-N(H2958))</f>
        <v/>
      </c>
      <c r="K2958" s="16">
        <f>IF(OR(D2958="",F2958=""),"",F2958*IFERROR(INDEX('Sản phẩm'!$D$5:$D$304,MATCH(D2958,'Sản phẩm'!$A$5:$A$304,0)),""))</f>
        <v/>
      </c>
      <c r="L2958" s="16">
        <f>IF(J2958="","",J2958-K2958)</f>
        <v/>
      </c>
      <c r="M2958" s="14">
        <f>IF(A2958="","",MONTH(A2958))</f>
        <v/>
      </c>
      <c r="N2958" s="14">
        <f>IF(A2958="","",YEAR(A2958))</f>
        <v/>
      </c>
    </row>
    <row r="2959">
      <c r="A2959" s="15" t="n"/>
      <c r="B2959" s="10" t="n"/>
      <c r="C2959" s="10" t="n"/>
      <c r="D2959" s="10" t="n"/>
      <c r="E2959" s="14">
        <f>IF(D2959="","",IFERROR(INDEX('Sản phẩm'!$B$5:$B$304,MATCH(D2959,'Sản phẩm'!$A$5:$A$304,0)),""))</f>
        <v/>
      </c>
      <c r="F2959" s="12" t="n"/>
      <c r="G2959" s="11" t="n"/>
      <c r="H2959" s="11" t="n"/>
      <c r="I2959" s="16">
        <f>IF(D2959="","",IF(G2959&lt;&gt;"",G2959,IFERROR(INDEX('Sản phẩm'!$E$5:$E$304,MATCH(D2959,'Sản phẩm'!$A$5:$A$304,0)),"")))</f>
        <v/>
      </c>
      <c r="J2959" s="16">
        <f>IF(OR(D2959="",F2959=""),"",F2959*I2959-N(H2959))</f>
        <v/>
      </c>
      <c r="K2959" s="16">
        <f>IF(OR(D2959="",F2959=""),"",F2959*IFERROR(INDEX('Sản phẩm'!$D$5:$D$304,MATCH(D2959,'Sản phẩm'!$A$5:$A$304,0)),""))</f>
        <v/>
      </c>
      <c r="L2959" s="16">
        <f>IF(J2959="","",J2959-K2959)</f>
        <v/>
      </c>
      <c r="M2959" s="14">
        <f>IF(A2959="","",MONTH(A2959))</f>
        <v/>
      </c>
      <c r="N2959" s="14">
        <f>IF(A2959="","",YEAR(A2959))</f>
        <v/>
      </c>
    </row>
    <row r="2960">
      <c r="A2960" s="15" t="n"/>
      <c r="B2960" s="10" t="n"/>
      <c r="C2960" s="10" t="n"/>
      <c r="D2960" s="10" t="n"/>
      <c r="E2960" s="14">
        <f>IF(D2960="","",IFERROR(INDEX('Sản phẩm'!$B$5:$B$304,MATCH(D2960,'Sản phẩm'!$A$5:$A$304,0)),""))</f>
        <v/>
      </c>
      <c r="F2960" s="12" t="n"/>
      <c r="G2960" s="11" t="n"/>
      <c r="H2960" s="11" t="n"/>
      <c r="I2960" s="16">
        <f>IF(D2960="","",IF(G2960&lt;&gt;"",G2960,IFERROR(INDEX('Sản phẩm'!$E$5:$E$304,MATCH(D2960,'Sản phẩm'!$A$5:$A$304,0)),"")))</f>
        <v/>
      </c>
      <c r="J2960" s="16">
        <f>IF(OR(D2960="",F2960=""),"",F2960*I2960-N(H2960))</f>
        <v/>
      </c>
      <c r="K2960" s="16">
        <f>IF(OR(D2960="",F2960=""),"",F2960*IFERROR(INDEX('Sản phẩm'!$D$5:$D$304,MATCH(D2960,'Sản phẩm'!$A$5:$A$304,0)),""))</f>
        <v/>
      </c>
      <c r="L2960" s="16">
        <f>IF(J2960="","",J2960-K2960)</f>
        <v/>
      </c>
      <c r="M2960" s="14">
        <f>IF(A2960="","",MONTH(A2960))</f>
        <v/>
      </c>
      <c r="N2960" s="14">
        <f>IF(A2960="","",YEAR(A2960))</f>
        <v/>
      </c>
    </row>
    <row r="2961">
      <c r="A2961" s="15" t="n"/>
      <c r="B2961" s="10" t="n"/>
      <c r="C2961" s="10" t="n"/>
      <c r="D2961" s="10" t="n"/>
      <c r="E2961" s="14">
        <f>IF(D2961="","",IFERROR(INDEX('Sản phẩm'!$B$5:$B$304,MATCH(D2961,'Sản phẩm'!$A$5:$A$304,0)),""))</f>
        <v/>
      </c>
      <c r="F2961" s="12" t="n"/>
      <c r="G2961" s="11" t="n"/>
      <c r="H2961" s="11" t="n"/>
      <c r="I2961" s="16">
        <f>IF(D2961="","",IF(G2961&lt;&gt;"",G2961,IFERROR(INDEX('Sản phẩm'!$E$5:$E$304,MATCH(D2961,'Sản phẩm'!$A$5:$A$304,0)),"")))</f>
        <v/>
      </c>
      <c r="J2961" s="16">
        <f>IF(OR(D2961="",F2961=""),"",F2961*I2961-N(H2961))</f>
        <v/>
      </c>
      <c r="K2961" s="16">
        <f>IF(OR(D2961="",F2961=""),"",F2961*IFERROR(INDEX('Sản phẩm'!$D$5:$D$304,MATCH(D2961,'Sản phẩm'!$A$5:$A$304,0)),""))</f>
        <v/>
      </c>
      <c r="L2961" s="16">
        <f>IF(J2961="","",J2961-K2961)</f>
        <v/>
      </c>
      <c r="M2961" s="14">
        <f>IF(A2961="","",MONTH(A2961))</f>
        <v/>
      </c>
      <c r="N2961" s="14">
        <f>IF(A2961="","",YEAR(A2961))</f>
        <v/>
      </c>
    </row>
    <row r="2962">
      <c r="A2962" s="15" t="n"/>
      <c r="B2962" s="10" t="n"/>
      <c r="C2962" s="10" t="n"/>
      <c r="D2962" s="10" t="n"/>
      <c r="E2962" s="14">
        <f>IF(D2962="","",IFERROR(INDEX('Sản phẩm'!$B$5:$B$304,MATCH(D2962,'Sản phẩm'!$A$5:$A$304,0)),""))</f>
        <v/>
      </c>
      <c r="F2962" s="12" t="n"/>
      <c r="G2962" s="11" t="n"/>
      <c r="H2962" s="11" t="n"/>
      <c r="I2962" s="16">
        <f>IF(D2962="","",IF(G2962&lt;&gt;"",G2962,IFERROR(INDEX('Sản phẩm'!$E$5:$E$304,MATCH(D2962,'Sản phẩm'!$A$5:$A$304,0)),"")))</f>
        <v/>
      </c>
      <c r="J2962" s="16">
        <f>IF(OR(D2962="",F2962=""),"",F2962*I2962-N(H2962))</f>
        <v/>
      </c>
      <c r="K2962" s="16">
        <f>IF(OR(D2962="",F2962=""),"",F2962*IFERROR(INDEX('Sản phẩm'!$D$5:$D$304,MATCH(D2962,'Sản phẩm'!$A$5:$A$304,0)),""))</f>
        <v/>
      </c>
      <c r="L2962" s="16">
        <f>IF(J2962="","",J2962-K2962)</f>
        <v/>
      </c>
      <c r="M2962" s="14">
        <f>IF(A2962="","",MONTH(A2962))</f>
        <v/>
      </c>
      <c r="N2962" s="14">
        <f>IF(A2962="","",YEAR(A2962))</f>
        <v/>
      </c>
    </row>
    <row r="2963">
      <c r="A2963" s="15" t="n"/>
      <c r="B2963" s="10" t="n"/>
      <c r="C2963" s="10" t="n"/>
      <c r="D2963" s="10" t="n"/>
      <c r="E2963" s="14">
        <f>IF(D2963="","",IFERROR(INDEX('Sản phẩm'!$B$5:$B$304,MATCH(D2963,'Sản phẩm'!$A$5:$A$304,0)),""))</f>
        <v/>
      </c>
      <c r="F2963" s="12" t="n"/>
      <c r="G2963" s="11" t="n"/>
      <c r="H2963" s="11" t="n"/>
      <c r="I2963" s="16">
        <f>IF(D2963="","",IF(G2963&lt;&gt;"",G2963,IFERROR(INDEX('Sản phẩm'!$E$5:$E$304,MATCH(D2963,'Sản phẩm'!$A$5:$A$304,0)),"")))</f>
        <v/>
      </c>
      <c r="J2963" s="16">
        <f>IF(OR(D2963="",F2963=""),"",F2963*I2963-N(H2963))</f>
        <v/>
      </c>
      <c r="K2963" s="16">
        <f>IF(OR(D2963="",F2963=""),"",F2963*IFERROR(INDEX('Sản phẩm'!$D$5:$D$304,MATCH(D2963,'Sản phẩm'!$A$5:$A$304,0)),""))</f>
        <v/>
      </c>
      <c r="L2963" s="16">
        <f>IF(J2963="","",J2963-K2963)</f>
        <v/>
      </c>
      <c r="M2963" s="14">
        <f>IF(A2963="","",MONTH(A2963))</f>
        <v/>
      </c>
      <c r="N2963" s="14">
        <f>IF(A2963="","",YEAR(A2963))</f>
        <v/>
      </c>
    </row>
    <row r="2964">
      <c r="A2964" s="15" t="n"/>
      <c r="B2964" s="10" t="n"/>
      <c r="C2964" s="10" t="n"/>
      <c r="D2964" s="10" t="n"/>
      <c r="E2964" s="14">
        <f>IF(D2964="","",IFERROR(INDEX('Sản phẩm'!$B$5:$B$304,MATCH(D2964,'Sản phẩm'!$A$5:$A$304,0)),""))</f>
        <v/>
      </c>
      <c r="F2964" s="12" t="n"/>
      <c r="G2964" s="11" t="n"/>
      <c r="H2964" s="11" t="n"/>
      <c r="I2964" s="16">
        <f>IF(D2964="","",IF(G2964&lt;&gt;"",G2964,IFERROR(INDEX('Sản phẩm'!$E$5:$E$304,MATCH(D2964,'Sản phẩm'!$A$5:$A$304,0)),"")))</f>
        <v/>
      </c>
      <c r="J2964" s="16">
        <f>IF(OR(D2964="",F2964=""),"",F2964*I2964-N(H2964))</f>
        <v/>
      </c>
      <c r="K2964" s="16">
        <f>IF(OR(D2964="",F2964=""),"",F2964*IFERROR(INDEX('Sản phẩm'!$D$5:$D$304,MATCH(D2964,'Sản phẩm'!$A$5:$A$304,0)),""))</f>
        <v/>
      </c>
      <c r="L2964" s="16">
        <f>IF(J2964="","",J2964-K2964)</f>
        <v/>
      </c>
      <c r="M2964" s="14">
        <f>IF(A2964="","",MONTH(A2964))</f>
        <v/>
      </c>
      <c r="N2964" s="14">
        <f>IF(A2964="","",YEAR(A2964))</f>
        <v/>
      </c>
    </row>
    <row r="2965">
      <c r="A2965" s="15" t="n"/>
      <c r="B2965" s="10" t="n"/>
      <c r="C2965" s="10" t="n"/>
      <c r="D2965" s="10" t="n"/>
      <c r="E2965" s="14">
        <f>IF(D2965="","",IFERROR(INDEX('Sản phẩm'!$B$5:$B$304,MATCH(D2965,'Sản phẩm'!$A$5:$A$304,0)),""))</f>
        <v/>
      </c>
      <c r="F2965" s="12" t="n"/>
      <c r="G2965" s="11" t="n"/>
      <c r="H2965" s="11" t="n"/>
      <c r="I2965" s="16">
        <f>IF(D2965="","",IF(G2965&lt;&gt;"",G2965,IFERROR(INDEX('Sản phẩm'!$E$5:$E$304,MATCH(D2965,'Sản phẩm'!$A$5:$A$304,0)),"")))</f>
        <v/>
      </c>
      <c r="J2965" s="16">
        <f>IF(OR(D2965="",F2965=""),"",F2965*I2965-N(H2965))</f>
        <v/>
      </c>
      <c r="K2965" s="16">
        <f>IF(OR(D2965="",F2965=""),"",F2965*IFERROR(INDEX('Sản phẩm'!$D$5:$D$304,MATCH(D2965,'Sản phẩm'!$A$5:$A$304,0)),""))</f>
        <v/>
      </c>
      <c r="L2965" s="16">
        <f>IF(J2965="","",J2965-K2965)</f>
        <v/>
      </c>
      <c r="M2965" s="14">
        <f>IF(A2965="","",MONTH(A2965))</f>
        <v/>
      </c>
      <c r="N2965" s="14">
        <f>IF(A2965="","",YEAR(A2965))</f>
        <v/>
      </c>
    </row>
    <row r="2966">
      <c r="A2966" s="15" t="n"/>
      <c r="B2966" s="10" t="n"/>
      <c r="C2966" s="10" t="n"/>
      <c r="D2966" s="10" t="n"/>
      <c r="E2966" s="14">
        <f>IF(D2966="","",IFERROR(INDEX('Sản phẩm'!$B$5:$B$304,MATCH(D2966,'Sản phẩm'!$A$5:$A$304,0)),""))</f>
        <v/>
      </c>
      <c r="F2966" s="12" t="n"/>
      <c r="G2966" s="11" t="n"/>
      <c r="H2966" s="11" t="n"/>
      <c r="I2966" s="16">
        <f>IF(D2966="","",IF(G2966&lt;&gt;"",G2966,IFERROR(INDEX('Sản phẩm'!$E$5:$E$304,MATCH(D2966,'Sản phẩm'!$A$5:$A$304,0)),"")))</f>
        <v/>
      </c>
      <c r="J2966" s="16">
        <f>IF(OR(D2966="",F2966=""),"",F2966*I2966-N(H2966))</f>
        <v/>
      </c>
      <c r="K2966" s="16">
        <f>IF(OR(D2966="",F2966=""),"",F2966*IFERROR(INDEX('Sản phẩm'!$D$5:$D$304,MATCH(D2966,'Sản phẩm'!$A$5:$A$304,0)),""))</f>
        <v/>
      </c>
      <c r="L2966" s="16">
        <f>IF(J2966="","",J2966-K2966)</f>
        <v/>
      </c>
      <c r="M2966" s="14">
        <f>IF(A2966="","",MONTH(A2966))</f>
        <v/>
      </c>
      <c r="N2966" s="14">
        <f>IF(A2966="","",YEAR(A2966))</f>
        <v/>
      </c>
    </row>
    <row r="2967">
      <c r="A2967" s="15" t="n"/>
      <c r="B2967" s="10" t="n"/>
      <c r="C2967" s="10" t="n"/>
      <c r="D2967" s="10" t="n"/>
      <c r="E2967" s="14">
        <f>IF(D2967="","",IFERROR(INDEX('Sản phẩm'!$B$5:$B$304,MATCH(D2967,'Sản phẩm'!$A$5:$A$304,0)),""))</f>
        <v/>
      </c>
      <c r="F2967" s="12" t="n"/>
      <c r="G2967" s="11" t="n"/>
      <c r="H2967" s="11" t="n"/>
      <c r="I2967" s="16">
        <f>IF(D2967="","",IF(G2967&lt;&gt;"",G2967,IFERROR(INDEX('Sản phẩm'!$E$5:$E$304,MATCH(D2967,'Sản phẩm'!$A$5:$A$304,0)),"")))</f>
        <v/>
      </c>
      <c r="J2967" s="16">
        <f>IF(OR(D2967="",F2967=""),"",F2967*I2967-N(H2967))</f>
        <v/>
      </c>
      <c r="K2967" s="16">
        <f>IF(OR(D2967="",F2967=""),"",F2967*IFERROR(INDEX('Sản phẩm'!$D$5:$D$304,MATCH(D2967,'Sản phẩm'!$A$5:$A$304,0)),""))</f>
        <v/>
      </c>
      <c r="L2967" s="16">
        <f>IF(J2967="","",J2967-K2967)</f>
        <v/>
      </c>
      <c r="M2967" s="14">
        <f>IF(A2967="","",MONTH(A2967))</f>
        <v/>
      </c>
      <c r="N2967" s="14">
        <f>IF(A2967="","",YEAR(A2967))</f>
        <v/>
      </c>
    </row>
    <row r="2968">
      <c r="A2968" s="15" t="n"/>
      <c r="B2968" s="10" t="n"/>
      <c r="C2968" s="10" t="n"/>
      <c r="D2968" s="10" t="n"/>
      <c r="E2968" s="14">
        <f>IF(D2968="","",IFERROR(INDEX('Sản phẩm'!$B$5:$B$304,MATCH(D2968,'Sản phẩm'!$A$5:$A$304,0)),""))</f>
        <v/>
      </c>
      <c r="F2968" s="12" t="n"/>
      <c r="G2968" s="11" t="n"/>
      <c r="H2968" s="11" t="n"/>
      <c r="I2968" s="16">
        <f>IF(D2968="","",IF(G2968&lt;&gt;"",G2968,IFERROR(INDEX('Sản phẩm'!$E$5:$E$304,MATCH(D2968,'Sản phẩm'!$A$5:$A$304,0)),"")))</f>
        <v/>
      </c>
      <c r="J2968" s="16">
        <f>IF(OR(D2968="",F2968=""),"",F2968*I2968-N(H2968))</f>
        <v/>
      </c>
      <c r="K2968" s="16">
        <f>IF(OR(D2968="",F2968=""),"",F2968*IFERROR(INDEX('Sản phẩm'!$D$5:$D$304,MATCH(D2968,'Sản phẩm'!$A$5:$A$304,0)),""))</f>
        <v/>
      </c>
      <c r="L2968" s="16">
        <f>IF(J2968="","",J2968-K2968)</f>
        <v/>
      </c>
      <c r="M2968" s="14">
        <f>IF(A2968="","",MONTH(A2968))</f>
        <v/>
      </c>
      <c r="N2968" s="14">
        <f>IF(A2968="","",YEAR(A2968))</f>
        <v/>
      </c>
    </row>
    <row r="2969">
      <c r="A2969" s="15" t="n"/>
      <c r="B2969" s="10" t="n"/>
      <c r="C2969" s="10" t="n"/>
      <c r="D2969" s="10" t="n"/>
      <c r="E2969" s="14">
        <f>IF(D2969="","",IFERROR(INDEX('Sản phẩm'!$B$5:$B$304,MATCH(D2969,'Sản phẩm'!$A$5:$A$304,0)),""))</f>
        <v/>
      </c>
      <c r="F2969" s="12" t="n"/>
      <c r="G2969" s="11" t="n"/>
      <c r="H2969" s="11" t="n"/>
      <c r="I2969" s="16">
        <f>IF(D2969="","",IF(G2969&lt;&gt;"",G2969,IFERROR(INDEX('Sản phẩm'!$E$5:$E$304,MATCH(D2969,'Sản phẩm'!$A$5:$A$304,0)),"")))</f>
        <v/>
      </c>
      <c r="J2969" s="16">
        <f>IF(OR(D2969="",F2969=""),"",F2969*I2969-N(H2969))</f>
        <v/>
      </c>
      <c r="K2969" s="16">
        <f>IF(OR(D2969="",F2969=""),"",F2969*IFERROR(INDEX('Sản phẩm'!$D$5:$D$304,MATCH(D2969,'Sản phẩm'!$A$5:$A$304,0)),""))</f>
        <v/>
      </c>
      <c r="L2969" s="16">
        <f>IF(J2969="","",J2969-K2969)</f>
        <v/>
      </c>
      <c r="M2969" s="14">
        <f>IF(A2969="","",MONTH(A2969))</f>
        <v/>
      </c>
      <c r="N2969" s="14">
        <f>IF(A2969="","",YEAR(A2969))</f>
        <v/>
      </c>
    </row>
    <row r="2970">
      <c r="A2970" s="15" t="n"/>
      <c r="B2970" s="10" t="n"/>
      <c r="C2970" s="10" t="n"/>
      <c r="D2970" s="10" t="n"/>
      <c r="E2970" s="14">
        <f>IF(D2970="","",IFERROR(INDEX('Sản phẩm'!$B$5:$B$304,MATCH(D2970,'Sản phẩm'!$A$5:$A$304,0)),""))</f>
        <v/>
      </c>
      <c r="F2970" s="12" t="n"/>
      <c r="G2970" s="11" t="n"/>
      <c r="H2970" s="11" t="n"/>
      <c r="I2970" s="16">
        <f>IF(D2970="","",IF(G2970&lt;&gt;"",G2970,IFERROR(INDEX('Sản phẩm'!$E$5:$E$304,MATCH(D2970,'Sản phẩm'!$A$5:$A$304,0)),"")))</f>
        <v/>
      </c>
      <c r="J2970" s="16">
        <f>IF(OR(D2970="",F2970=""),"",F2970*I2970-N(H2970))</f>
        <v/>
      </c>
      <c r="K2970" s="16">
        <f>IF(OR(D2970="",F2970=""),"",F2970*IFERROR(INDEX('Sản phẩm'!$D$5:$D$304,MATCH(D2970,'Sản phẩm'!$A$5:$A$304,0)),""))</f>
        <v/>
      </c>
      <c r="L2970" s="16">
        <f>IF(J2970="","",J2970-K2970)</f>
        <v/>
      </c>
      <c r="M2970" s="14">
        <f>IF(A2970="","",MONTH(A2970))</f>
        <v/>
      </c>
      <c r="N2970" s="14">
        <f>IF(A2970="","",YEAR(A2970))</f>
        <v/>
      </c>
    </row>
    <row r="2971">
      <c r="A2971" s="15" t="n"/>
      <c r="B2971" s="10" t="n"/>
      <c r="C2971" s="10" t="n"/>
      <c r="D2971" s="10" t="n"/>
      <c r="E2971" s="14">
        <f>IF(D2971="","",IFERROR(INDEX('Sản phẩm'!$B$5:$B$304,MATCH(D2971,'Sản phẩm'!$A$5:$A$304,0)),""))</f>
        <v/>
      </c>
      <c r="F2971" s="12" t="n"/>
      <c r="G2971" s="11" t="n"/>
      <c r="H2971" s="11" t="n"/>
      <c r="I2971" s="16">
        <f>IF(D2971="","",IF(G2971&lt;&gt;"",G2971,IFERROR(INDEX('Sản phẩm'!$E$5:$E$304,MATCH(D2971,'Sản phẩm'!$A$5:$A$304,0)),"")))</f>
        <v/>
      </c>
      <c r="J2971" s="16">
        <f>IF(OR(D2971="",F2971=""),"",F2971*I2971-N(H2971))</f>
        <v/>
      </c>
      <c r="K2971" s="16">
        <f>IF(OR(D2971="",F2971=""),"",F2971*IFERROR(INDEX('Sản phẩm'!$D$5:$D$304,MATCH(D2971,'Sản phẩm'!$A$5:$A$304,0)),""))</f>
        <v/>
      </c>
      <c r="L2971" s="16">
        <f>IF(J2971="","",J2971-K2971)</f>
        <v/>
      </c>
      <c r="M2971" s="14">
        <f>IF(A2971="","",MONTH(A2971))</f>
        <v/>
      </c>
      <c r="N2971" s="14">
        <f>IF(A2971="","",YEAR(A2971))</f>
        <v/>
      </c>
    </row>
    <row r="2972">
      <c r="A2972" s="15" t="n"/>
      <c r="B2972" s="10" t="n"/>
      <c r="C2972" s="10" t="n"/>
      <c r="D2972" s="10" t="n"/>
      <c r="E2972" s="14">
        <f>IF(D2972="","",IFERROR(INDEX('Sản phẩm'!$B$5:$B$304,MATCH(D2972,'Sản phẩm'!$A$5:$A$304,0)),""))</f>
        <v/>
      </c>
      <c r="F2972" s="12" t="n"/>
      <c r="G2972" s="11" t="n"/>
      <c r="H2972" s="11" t="n"/>
      <c r="I2972" s="16">
        <f>IF(D2972="","",IF(G2972&lt;&gt;"",G2972,IFERROR(INDEX('Sản phẩm'!$E$5:$E$304,MATCH(D2972,'Sản phẩm'!$A$5:$A$304,0)),"")))</f>
        <v/>
      </c>
      <c r="J2972" s="16">
        <f>IF(OR(D2972="",F2972=""),"",F2972*I2972-N(H2972))</f>
        <v/>
      </c>
      <c r="K2972" s="16">
        <f>IF(OR(D2972="",F2972=""),"",F2972*IFERROR(INDEX('Sản phẩm'!$D$5:$D$304,MATCH(D2972,'Sản phẩm'!$A$5:$A$304,0)),""))</f>
        <v/>
      </c>
      <c r="L2972" s="16">
        <f>IF(J2972="","",J2972-K2972)</f>
        <v/>
      </c>
      <c r="M2972" s="14">
        <f>IF(A2972="","",MONTH(A2972))</f>
        <v/>
      </c>
      <c r="N2972" s="14">
        <f>IF(A2972="","",YEAR(A2972))</f>
        <v/>
      </c>
    </row>
    <row r="2973">
      <c r="A2973" s="15" t="n"/>
      <c r="B2973" s="10" t="n"/>
      <c r="C2973" s="10" t="n"/>
      <c r="D2973" s="10" t="n"/>
      <c r="E2973" s="14">
        <f>IF(D2973="","",IFERROR(INDEX('Sản phẩm'!$B$5:$B$304,MATCH(D2973,'Sản phẩm'!$A$5:$A$304,0)),""))</f>
        <v/>
      </c>
      <c r="F2973" s="12" t="n"/>
      <c r="G2973" s="11" t="n"/>
      <c r="H2973" s="11" t="n"/>
      <c r="I2973" s="16">
        <f>IF(D2973="","",IF(G2973&lt;&gt;"",G2973,IFERROR(INDEX('Sản phẩm'!$E$5:$E$304,MATCH(D2973,'Sản phẩm'!$A$5:$A$304,0)),"")))</f>
        <v/>
      </c>
      <c r="J2973" s="16">
        <f>IF(OR(D2973="",F2973=""),"",F2973*I2973-N(H2973))</f>
        <v/>
      </c>
      <c r="K2973" s="16">
        <f>IF(OR(D2973="",F2973=""),"",F2973*IFERROR(INDEX('Sản phẩm'!$D$5:$D$304,MATCH(D2973,'Sản phẩm'!$A$5:$A$304,0)),""))</f>
        <v/>
      </c>
      <c r="L2973" s="16">
        <f>IF(J2973="","",J2973-K2973)</f>
        <v/>
      </c>
      <c r="M2973" s="14">
        <f>IF(A2973="","",MONTH(A2973))</f>
        <v/>
      </c>
      <c r="N2973" s="14">
        <f>IF(A2973="","",YEAR(A2973))</f>
        <v/>
      </c>
    </row>
    <row r="2974">
      <c r="A2974" s="15" t="n"/>
      <c r="B2974" s="10" t="n"/>
      <c r="C2974" s="10" t="n"/>
      <c r="D2974" s="10" t="n"/>
      <c r="E2974" s="14">
        <f>IF(D2974="","",IFERROR(INDEX('Sản phẩm'!$B$5:$B$304,MATCH(D2974,'Sản phẩm'!$A$5:$A$304,0)),""))</f>
        <v/>
      </c>
      <c r="F2974" s="12" t="n"/>
      <c r="G2974" s="11" t="n"/>
      <c r="H2974" s="11" t="n"/>
      <c r="I2974" s="16">
        <f>IF(D2974="","",IF(G2974&lt;&gt;"",G2974,IFERROR(INDEX('Sản phẩm'!$E$5:$E$304,MATCH(D2974,'Sản phẩm'!$A$5:$A$304,0)),"")))</f>
        <v/>
      </c>
      <c r="J2974" s="16">
        <f>IF(OR(D2974="",F2974=""),"",F2974*I2974-N(H2974))</f>
        <v/>
      </c>
      <c r="K2974" s="16">
        <f>IF(OR(D2974="",F2974=""),"",F2974*IFERROR(INDEX('Sản phẩm'!$D$5:$D$304,MATCH(D2974,'Sản phẩm'!$A$5:$A$304,0)),""))</f>
        <v/>
      </c>
      <c r="L2974" s="16">
        <f>IF(J2974="","",J2974-K2974)</f>
        <v/>
      </c>
      <c r="M2974" s="14">
        <f>IF(A2974="","",MONTH(A2974))</f>
        <v/>
      </c>
      <c r="N2974" s="14">
        <f>IF(A2974="","",YEAR(A2974))</f>
        <v/>
      </c>
    </row>
    <row r="2975">
      <c r="A2975" s="15" t="n"/>
      <c r="B2975" s="10" t="n"/>
      <c r="C2975" s="10" t="n"/>
      <c r="D2975" s="10" t="n"/>
      <c r="E2975" s="14">
        <f>IF(D2975="","",IFERROR(INDEX('Sản phẩm'!$B$5:$B$304,MATCH(D2975,'Sản phẩm'!$A$5:$A$304,0)),""))</f>
        <v/>
      </c>
      <c r="F2975" s="12" t="n"/>
      <c r="G2975" s="11" t="n"/>
      <c r="H2975" s="11" t="n"/>
      <c r="I2975" s="16">
        <f>IF(D2975="","",IF(G2975&lt;&gt;"",G2975,IFERROR(INDEX('Sản phẩm'!$E$5:$E$304,MATCH(D2975,'Sản phẩm'!$A$5:$A$304,0)),"")))</f>
        <v/>
      </c>
      <c r="J2975" s="16">
        <f>IF(OR(D2975="",F2975=""),"",F2975*I2975-N(H2975))</f>
        <v/>
      </c>
      <c r="K2975" s="16">
        <f>IF(OR(D2975="",F2975=""),"",F2975*IFERROR(INDEX('Sản phẩm'!$D$5:$D$304,MATCH(D2975,'Sản phẩm'!$A$5:$A$304,0)),""))</f>
        <v/>
      </c>
      <c r="L2975" s="16">
        <f>IF(J2975="","",J2975-K2975)</f>
        <v/>
      </c>
      <c r="M2975" s="14">
        <f>IF(A2975="","",MONTH(A2975))</f>
        <v/>
      </c>
      <c r="N2975" s="14">
        <f>IF(A2975="","",YEAR(A2975))</f>
        <v/>
      </c>
    </row>
    <row r="2976">
      <c r="A2976" s="15" t="n"/>
      <c r="B2976" s="10" t="n"/>
      <c r="C2976" s="10" t="n"/>
      <c r="D2976" s="10" t="n"/>
      <c r="E2976" s="14">
        <f>IF(D2976="","",IFERROR(INDEX('Sản phẩm'!$B$5:$B$304,MATCH(D2976,'Sản phẩm'!$A$5:$A$304,0)),""))</f>
        <v/>
      </c>
      <c r="F2976" s="12" t="n"/>
      <c r="G2976" s="11" t="n"/>
      <c r="H2976" s="11" t="n"/>
      <c r="I2976" s="16">
        <f>IF(D2976="","",IF(G2976&lt;&gt;"",G2976,IFERROR(INDEX('Sản phẩm'!$E$5:$E$304,MATCH(D2976,'Sản phẩm'!$A$5:$A$304,0)),"")))</f>
        <v/>
      </c>
      <c r="J2976" s="16">
        <f>IF(OR(D2976="",F2976=""),"",F2976*I2976-N(H2976))</f>
        <v/>
      </c>
      <c r="K2976" s="16">
        <f>IF(OR(D2976="",F2976=""),"",F2976*IFERROR(INDEX('Sản phẩm'!$D$5:$D$304,MATCH(D2976,'Sản phẩm'!$A$5:$A$304,0)),""))</f>
        <v/>
      </c>
      <c r="L2976" s="16">
        <f>IF(J2976="","",J2976-K2976)</f>
        <v/>
      </c>
      <c r="M2976" s="14">
        <f>IF(A2976="","",MONTH(A2976))</f>
        <v/>
      </c>
      <c r="N2976" s="14">
        <f>IF(A2976="","",YEAR(A2976))</f>
        <v/>
      </c>
    </row>
    <row r="2977">
      <c r="A2977" s="15" t="n"/>
      <c r="B2977" s="10" t="n"/>
      <c r="C2977" s="10" t="n"/>
      <c r="D2977" s="10" t="n"/>
      <c r="E2977" s="14">
        <f>IF(D2977="","",IFERROR(INDEX('Sản phẩm'!$B$5:$B$304,MATCH(D2977,'Sản phẩm'!$A$5:$A$304,0)),""))</f>
        <v/>
      </c>
      <c r="F2977" s="12" t="n"/>
      <c r="G2977" s="11" t="n"/>
      <c r="H2977" s="11" t="n"/>
      <c r="I2977" s="16">
        <f>IF(D2977="","",IF(G2977&lt;&gt;"",G2977,IFERROR(INDEX('Sản phẩm'!$E$5:$E$304,MATCH(D2977,'Sản phẩm'!$A$5:$A$304,0)),"")))</f>
        <v/>
      </c>
      <c r="J2977" s="16">
        <f>IF(OR(D2977="",F2977=""),"",F2977*I2977-N(H2977))</f>
        <v/>
      </c>
      <c r="K2977" s="16">
        <f>IF(OR(D2977="",F2977=""),"",F2977*IFERROR(INDEX('Sản phẩm'!$D$5:$D$304,MATCH(D2977,'Sản phẩm'!$A$5:$A$304,0)),""))</f>
        <v/>
      </c>
      <c r="L2977" s="16">
        <f>IF(J2977="","",J2977-K2977)</f>
        <v/>
      </c>
      <c r="M2977" s="14">
        <f>IF(A2977="","",MONTH(A2977))</f>
        <v/>
      </c>
      <c r="N2977" s="14">
        <f>IF(A2977="","",YEAR(A2977))</f>
        <v/>
      </c>
    </row>
    <row r="2978">
      <c r="A2978" s="15" t="n"/>
      <c r="B2978" s="10" t="n"/>
      <c r="C2978" s="10" t="n"/>
      <c r="D2978" s="10" t="n"/>
      <c r="E2978" s="14">
        <f>IF(D2978="","",IFERROR(INDEX('Sản phẩm'!$B$5:$B$304,MATCH(D2978,'Sản phẩm'!$A$5:$A$304,0)),""))</f>
        <v/>
      </c>
      <c r="F2978" s="12" t="n"/>
      <c r="G2978" s="11" t="n"/>
      <c r="H2978" s="11" t="n"/>
      <c r="I2978" s="16">
        <f>IF(D2978="","",IF(G2978&lt;&gt;"",G2978,IFERROR(INDEX('Sản phẩm'!$E$5:$E$304,MATCH(D2978,'Sản phẩm'!$A$5:$A$304,0)),"")))</f>
        <v/>
      </c>
      <c r="J2978" s="16">
        <f>IF(OR(D2978="",F2978=""),"",F2978*I2978-N(H2978))</f>
        <v/>
      </c>
      <c r="K2978" s="16">
        <f>IF(OR(D2978="",F2978=""),"",F2978*IFERROR(INDEX('Sản phẩm'!$D$5:$D$304,MATCH(D2978,'Sản phẩm'!$A$5:$A$304,0)),""))</f>
        <v/>
      </c>
      <c r="L2978" s="16">
        <f>IF(J2978="","",J2978-K2978)</f>
        <v/>
      </c>
      <c r="M2978" s="14">
        <f>IF(A2978="","",MONTH(A2978))</f>
        <v/>
      </c>
      <c r="N2978" s="14">
        <f>IF(A2978="","",YEAR(A2978))</f>
        <v/>
      </c>
    </row>
    <row r="2979">
      <c r="A2979" s="15" t="n"/>
      <c r="B2979" s="10" t="n"/>
      <c r="C2979" s="10" t="n"/>
      <c r="D2979" s="10" t="n"/>
      <c r="E2979" s="14">
        <f>IF(D2979="","",IFERROR(INDEX('Sản phẩm'!$B$5:$B$304,MATCH(D2979,'Sản phẩm'!$A$5:$A$304,0)),""))</f>
        <v/>
      </c>
      <c r="F2979" s="12" t="n"/>
      <c r="G2979" s="11" t="n"/>
      <c r="H2979" s="11" t="n"/>
      <c r="I2979" s="16">
        <f>IF(D2979="","",IF(G2979&lt;&gt;"",G2979,IFERROR(INDEX('Sản phẩm'!$E$5:$E$304,MATCH(D2979,'Sản phẩm'!$A$5:$A$304,0)),"")))</f>
        <v/>
      </c>
      <c r="J2979" s="16">
        <f>IF(OR(D2979="",F2979=""),"",F2979*I2979-N(H2979))</f>
        <v/>
      </c>
      <c r="K2979" s="16">
        <f>IF(OR(D2979="",F2979=""),"",F2979*IFERROR(INDEX('Sản phẩm'!$D$5:$D$304,MATCH(D2979,'Sản phẩm'!$A$5:$A$304,0)),""))</f>
        <v/>
      </c>
      <c r="L2979" s="16">
        <f>IF(J2979="","",J2979-K2979)</f>
        <v/>
      </c>
      <c r="M2979" s="14">
        <f>IF(A2979="","",MONTH(A2979))</f>
        <v/>
      </c>
      <c r="N2979" s="14">
        <f>IF(A2979="","",YEAR(A2979))</f>
        <v/>
      </c>
    </row>
    <row r="2980">
      <c r="A2980" s="15" t="n"/>
      <c r="B2980" s="10" t="n"/>
      <c r="C2980" s="10" t="n"/>
      <c r="D2980" s="10" t="n"/>
      <c r="E2980" s="14">
        <f>IF(D2980="","",IFERROR(INDEX('Sản phẩm'!$B$5:$B$304,MATCH(D2980,'Sản phẩm'!$A$5:$A$304,0)),""))</f>
        <v/>
      </c>
      <c r="F2980" s="12" t="n"/>
      <c r="G2980" s="11" t="n"/>
      <c r="H2980" s="11" t="n"/>
      <c r="I2980" s="16">
        <f>IF(D2980="","",IF(G2980&lt;&gt;"",G2980,IFERROR(INDEX('Sản phẩm'!$E$5:$E$304,MATCH(D2980,'Sản phẩm'!$A$5:$A$304,0)),"")))</f>
        <v/>
      </c>
      <c r="J2980" s="16">
        <f>IF(OR(D2980="",F2980=""),"",F2980*I2980-N(H2980))</f>
        <v/>
      </c>
      <c r="K2980" s="16">
        <f>IF(OR(D2980="",F2980=""),"",F2980*IFERROR(INDEX('Sản phẩm'!$D$5:$D$304,MATCH(D2980,'Sản phẩm'!$A$5:$A$304,0)),""))</f>
        <v/>
      </c>
      <c r="L2980" s="16">
        <f>IF(J2980="","",J2980-K2980)</f>
        <v/>
      </c>
      <c r="M2980" s="14">
        <f>IF(A2980="","",MONTH(A2980))</f>
        <v/>
      </c>
      <c r="N2980" s="14">
        <f>IF(A2980="","",YEAR(A2980))</f>
        <v/>
      </c>
    </row>
    <row r="2981">
      <c r="A2981" s="15" t="n"/>
      <c r="B2981" s="10" t="n"/>
      <c r="C2981" s="10" t="n"/>
      <c r="D2981" s="10" t="n"/>
      <c r="E2981" s="14">
        <f>IF(D2981="","",IFERROR(INDEX('Sản phẩm'!$B$5:$B$304,MATCH(D2981,'Sản phẩm'!$A$5:$A$304,0)),""))</f>
        <v/>
      </c>
      <c r="F2981" s="12" t="n"/>
      <c r="G2981" s="11" t="n"/>
      <c r="H2981" s="11" t="n"/>
      <c r="I2981" s="16">
        <f>IF(D2981="","",IF(G2981&lt;&gt;"",G2981,IFERROR(INDEX('Sản phẩm'!$E$5:$E$304,MATCH(D2981,'Sản phẩm'!$A$5:$A$304,0)),"")))</f>
        <v/>
      </c>
      <c r="J2981" s="16">
        <f>IF(OR(D2981="",F2981=""),"",F2981*I2981-N(H2981))</f>
        <v/>
      </c>
      <c r="K2981" s="16">
        <f>IF(OR(D2981="",F2981=""),"",F2981*IFERROR(INDEX('Sản phẩm'!$D$5:$D$304,MATCH(D2981,'Sản phẩm'!$A$5:$A$304,0)),""))</f>
        <v/>
      </c>
      <c r="L2981" s="16">
        <f>IF(J2981="","",J2981-K2981)</f>
        <v/>
      </c>
      <c r="M2981" s="14">
        <f>IF(A2981="","",MONTH(A2981))</f>
        <v/>
      </c>
      <c r="N2981" s="14">
        <f>IF(A2981="","",YEAR(A2981))</f>
        <v/>
      </c>
    </row>
    <row r="2982">
      <c r="A2982" s="15" t="n"/>
      <c r="B2982" s="10" t="n"/>
      <c r="C2982" s="10" t="n"/>
      <c r="D2982" s="10" t="n"/>
      <c r="E2982" s="14">
        <f>IF(D2982="","",IFERROR(INDEX('Sản phẩm'!$B$5:$B$304,MATCH(D2982,'Sản phẩm'!$A$5:$A$304,0)),""))</f>
        <v/>
      </c>
      <c r="F2982" s="12" t="n"/>
      <c r="G2982" s="11" t="n"/>
      <c r="H2982" s="11" t="n"/>
      <c r="I2982" s="16">
        <f>IF(D2982="","",IF(G2982&lt;&gt;"",G2982,IFERROR(INDEX('Sản phẩm'!$E$5:$E$304,MATCH(D2982,'Sản phẩm'!$A$5:$A$304,0)),"")))</f>
        <v/>
      </c>
      <c r="J2982" s="16">
        <f>IF(OR(D2982="",F2982=""),"",F2982*I2982-N(H2982))</f>
        <v/>
      </c>
      <c r="K2982" s="16">
        <f>IF(OR(D2982="",F2982=""),"",F2982*IFERROR(INDEX('Sản phẩm'!$D$5:$D$304,MATCH(D2982,'Sản phẩm'!$A$5:$A$304,0)),""))</f>
        <v/>
      </c>
      <c r="L2982" s="16">
        <f>IF(J2982="","",J2982-K2982)</f>
        <v/>
      </c>
      <c r="M2982" s="14">
        <f>IF(A2982="","",MONTH(A2982))</f>
        <v/>
      </c>
      <c r="N2982" s="14">
        <f>IF(A2982="","",YEAR(A2982))</f>
        <v/>
      </c>
    </row>
    <row r="2983">
      <c r="A2983" s="15" t="n"/>
      <c r="B2983" s="10" t="n"/>
      <c r="C2983" s="10" t="n"/>
      <c r="D2983" s="10" t="n"/>
      <c r="E2983" s="14">
        <f>IF(D2983="","",IFERROR(INDEX('Sản phẩm'!$B$5:$B$304,MATCH(D2983,'Sản phẩm'!$A$5:$A$304,0)),""))</f>
        <v/>
      </c>
      <c r="F2983" s="12" t="n"/>
      <c r="G2983" s="11" t="n"/>
      <c r="H2983" s="11" t="n"/>
      <c r="I2983" s="16">
        <f>IF(D2983="","",IF(G2983&lt;&gt;"",G2983,IFERROR(INDEX('Sản phẩm'!$E$5:$E$304,MATCH(D2983,'Sản phẩm'!$A$5:$A$304,0)),"")))</f>
        <v/>
      </c>
      <c r="J2983" s="16">
        <f>IF(OR(D2983="",F2983=""),"",F2983*I2983-N(H2983))</f>
        <v/>
      </c>
      <c r="K2983" s="16">
        <f>IF(OR(D2983="",F2983=""),"",F2983*IFERROR(INDEX('Sản phẩm'!$D$5:$D$304,MATCH(D2983,'Sản phẩm'!$A$5:$A$304,0)),""))</f>
        <v/>
      </c>
      <c r="L2983" s="16">
        <f>IF(J2983="","",J2983-K2983)</f>
        <v/>
      </c>
      <c r="M2983" s="14">
        <f>IF(A2983="","",MONTH(A2983))</f>
        <v/>
      </c>
      <c r="N2983" s="14">
        <f>IF(A2983="","",YEAR(A2983))</f>
        <v/>
      </c>
    </row>
    <row r="2984">
      <c r="A2984" s="15" t="n"/>
      <c r="B2984" s="10" t="n"/>
      <c r="C2984" s="10" t="n"/>
      <c r="D2984" s="10" t="n"/>
      <c r="E2984" s="14">
        <f>IF(D2984="","",IFERROR(INDEX('Sản phẩm'!$B$5:$B$304,MATCH(D2984,'Sản phẩm'!$A$5:$A$304,0)),""))</f>
        <v/>
      </c>
      <c r="F2984" s="12" t="n"/>
      <c r="G2984" s="11" t="n"/>
      <c r="H2984" s="11" t="n"/>
      <c r="I2984" s="16">
        <f>IF(D2984="","",IF(G2984&lt;&gt;"",G2984,IFERROR(INDEX('Sản phẩm'!$E$5:$E$304,MATCH(D2984,'Sản phẩm'!$A$5:$A$304,0)),"")))</f>
        <v/>
      </c>
      <c r="J2984" s="16">
        <f>IF(OR(D2984="",F2984=""),"",F2984*I2984-N(H2984))</f>
        <v/>
      </c>
      <c r="K2984" s="16">
        <f>IF(OR(D2984="",F2984=""),"",F2984*IFERROR(INDEX('Sản phẩm'!$D$5:$D$304,MATCH(D2984,'Sản phẩm'!$A$5:$A$304,0)),""))</f>
        <v/>
      </c>
      <c r="L2984" s="16">
        <f>IF(J2984="","",J2984-K2984)</f>
        <v/>
      </c>
      <c r="M2984" s="14">
        <f>IF(A2984="","",MONTH(A2984))</f>
        <v/>
      </c>
      <c r="N2984" s="14">
        <f>IF(A2984="","",YEAR(A2984))</f>
        <v/>
      </c>
    </row>
    <row r="2985">
      <c r="A2985" s="15" t="n"/>
      <c r="B2985" s="10" t="n"/>
      <c r="C2985" s="10" t="n"/>
      <c r="D2985" s="10" t="n"/>
      <c r="E2985" s="14">
        <f>IF(D2985="","",IFERROR(INDEX('Sản phẩm'!$B$5:$B$304,MATCH(D2985,'Sản phẩm'!$A$5:$A$304,0)),""))</f>
        <v/>
      </c>
      <c r="F2985" s="12" t="n"/>
      <c r="G2985" s="11" t="n"/>
      <c r="H2985" s="11" t="n"/>
      <c r="I2985" s="16">
        <f>IF(D2985="","",IF(G2985&lt;&gt;"",G2985,IFERROR(INDEX('Sản phẩm'!$E$5:$E$304,MATCH(D2985,'Sản phẩm'!$A$5:$A$304,0)),"")))</f>
        <v/>
      </c>
      <c r="J2985" s="16">
        <f>IF(OR(D2985="",F2985=""),"",F2985*I2985-N(H2985))</f>
        <v/>
      </c>
      <c r="K2985" s="16">
        <f>IF(OR(D2985="",F2985=""),"",F2985*IFERROR(INDEX('Sản phẩm'!$D$5:$D$304,MATCH(D2985,'Sản phẩm'!$A$5:$A$304,0)),""))</f>
        <v/>
      </c>
      <c r="L2985" s="16">
        <f>IF(J2985="","",J2985-K2985)</f>
        <v/>
      </c>
      <c r="M2985" s="14">
        <f>IF(A2985="","",MONTH(A2985))</f>
        <v/>
      </c>
      <c r="N2985" s="14">
        <f>IF(A2985="","",YEAR(A2985))</f>
        <v/>
      </c>
    </row>
    <row r="2986">
      <c r="A2986" s="15" t="n"/>
      <c r="B2986" s="10" t="n"/>
      <c r="C2986" s="10" t="n"/>
      <c r="D2986" s="10" t="n"/>
      <c r="E2986" s="14">
        <f>IF(D2986="","",IFERROR(INDEX('Sản phẩm'!$B$5:$B$304,MATCH(D2986,'Sản phẩm'!$A$5:$A$304,0)),""))</f>
        <v/>
      </c>
      <c r="F2986" s="12" t="n"/>
      <c r="G2986" s="11" t="n"/>
      <c r="H2986" s="11" t="n"/>
      <c r="I2986" s="16">
        <f>IF(D2986="","",IF(G2986&lt;&gt;"",G2986,IFERROR(INDEX('Sản phẩm'!$E$5:$E$304,MATCH(D2986,'Sản phẩm'!$A$5:$A$304,0)),"")))</f>
        <v/>
      </c>
      <c r="J2986" s="16">
        <f>IF(OR(D2986="",F2986=""),"",F2986*I2986-N(H2986))</f>
        <v/>
      </c>
      <c r="K2986" s="16">
        <f>IF(OR(D2986="",F2986=""),"",F2986*IFERROR(INDEX('Sản phẩm'!$D$5:$D$304,MATCH(D2986,'Sản phẩm'!$A$5:$A$304,0)),""))</f>
        <v/>
      </c>
      <c r="L2986" s="16">
        <f>IF(J2986="","",J2986-K2986)</f>
        <v/>
      </c>
      <c r="M2986" s="14">
        <f>IF(A2986="","",MONTH(A2986))</f>
        <v/>
      </c>
      <c r="N2986" s="14">
        <f>IF(A2986="","",YEAR(A2986))</f>
        <v/>
      </c>
    </row>
    <row r="2987">
      <c r="A2987" s="15" t="n"/>
      <c r="B2987" s="10" t="n"/>
      <c r="C2987" s="10" t="n"/>
      <c r="D2987" s="10" t="n"/>
      <c r="E2987" s="14">
        <f>IF(D2987="","",IFERROR(INDEX('Sản phẩm'!$B$5:$B$304,MATCH(D2987,'Sản phẩm'!$A$5:$A$304,0)),""))</f>
        <v/>
      </c>
      <c r="F2987" s="12" t="n"/>
      <c r="G2987" s="11" t="n"/>
      <c r="H2987" s="11" t="n"/>
      <c r="I2987" s="16">
        <f>IF(D2987="","",IF(G2987&lt;&gt;"",G2987,IFERROR(INDEX('Sản phẩm'!$E$5:$E$304,MATCH(D2987,'Sản phẩm'!$A$5:$A$304,0)),"")))</f>
        <v/>
      </c>
      <c r="J2987" s="16">
        <f>IF(OR(D2987="",F2987=""),"",F2987*I2987-N(H2987))</f>
        <v/>
      </c>
      <c r="K2987" s="16">
        <f>IF(OR(D2987="",F2987=""),"",F2987*IFERROR(INDEX('Sản phẩm'!$D$5:$D$304,MATCH(D2987,'Sản phẩm'!$A$5:$A$304,0)),""))</f>
        <v/>
      </c>
      <c r="L2987" s="16">
        <f>IF(J2987="","",J2987-K2987)</f>
        <v/>
      </c>
      <c r="M2987" s="14">
        <f>IF(A2987="","",MONTH(A2987))</f>
        <v/>
      </c>
      <c r="N2987" s="14">
        <f>IF(A2987="","",YEAR(A2987))</f>
        <v/>
      </c>
    </row>
    <row r="2988">
      <c r="A2988" s="15" t="n"/>
      <c r="B2988" s="10" t="n"/>
      <c r="C2988" s="10" t="n"/>
      <c r="D2988" s="10" t="n"/>
      <c r="E2988" s="14">
        <f>IF(D2988="","",IFERROR(INDEX('Sản phẩm'!$B$5:$B$304,MATCH(D2988,'Sản phẩm'!$A$5:$A$304,0)),""))</f>
        <v/>
      </c>
      <c r="F2988" s="12" t="n"/>
      <c r="G2988" s="11" t="n"/>
      <c r="H2988" s="11" t="n"/>
      <c r="I2988" s="16">
        <f>IF(D2988="","",IF(G2988&lt;&gt;"",G2988,IFERROR(INDEX('Sản phẩm'!$E$5:$E$304,MATCH(D2988,'Sản phẩm'!$A$5:$A$304,0)),"")))</f>
        <v/>
      </c>
      <c r="J2988" s="16">
        <f>IF(OR(D2988="",F2988=""),"",F2988*I2988-N(H2988))</f>
        <v/>
      </c>
      <c r="K2988" s="16">
        <f>IF(OR(D2988="",F2988=""),"",F2988*IFERROR(INDEX('Sản phẩm'!$D$5:$D$304,MATCH(D2988,'Sản phẩm'!$A$5:$A$304,0)),""))</f>
        <v/>
      </c>
      <c r="L2988" s="16">
        <f>IF(J2988="","",J2988-K2988)</f>
        <v/>
      </c>
      <c r="M2988" s="14">
        <f>IF(A2988="","",MONTH(A2988))</f>
        <v/>
      </c>
      <c r="N2988" s="14">
        <f>IF(A2988="","",YEAR(A2988))</f>
        <v/>
      </c>
    </row>
    <row r="2989">
      <c r="A2989" s="15" t="n"/>
      <c r="B2989" s="10" t="n"/>
      <c r="C2989" s="10" t="n"/>
      <c r="D2989" s="10" t="n"/>
      <c r="E2989" s="14">
        <f>IF(D2989="","",IFERROR(INDEX('Sản phẩm'!$B$5:$B$304,MATCH(D2989,'Sản phẩm'!$A$5:$A$304,0)),""))</f>
        <v/>
      </c>
      <c r="F2989" s="12" t="n"/>
      <c r="G2989" s="11" t="n"/>
      <c r="H2989" s="11" t="n"/>
      <c r="I2989" s="16">
        <f>IF(D2989="","",IF(G2989&lt;&gt;"",G2989,IFERROR(INDEX('Sản phẩm'!$E$5:$E$304,MATCH(D2989,'Sản phẩm'!$A$5:$A$304,0)),"")))</f>
        <v/>
      </c>
      <c r="J2989" s="16">
        <f>IF(OR(D2989="",F2989=""),"",F2989*I2989-N(H2989))</f>
        <v/>
      </c>
      <c r="K2989" s="16">
        <f>IF(OR(D2989="",F2989=""),"",F2989*IFERROR(INDEX('Sản phẩm'!$D$5:$D$304,MATCH(D2989,'Sản phẩm'!$A$5:$A$304,0)),""))</f>
        <v/>
      </c>
      <c r="L2989" s="16">
        <f>IF(J2989="","",J2989-K2989)</f>
        <v/>
      </c>
      <c r="M2989" s="14">
        <f>IF(A2989="","",MONTH(A2989))</f>
        <v/>
      </c>
      <c r="N2989" s="14">
        <f>IF(A2989="","",YEAR(A2989))</f>
        <v/>
      </c>
    </row>
    <row r="2990">
      <c r="A2990" s="15" t="n"/>
      <c r="B2990" s="10" t="n"/>
      <c r="C2990" s="10" t="n"/>
      <c r="D2990" s="10" t="n"/>
      <c r="E2990" s="14">
        <f>IF(D2990="","",IFERROR(INDEX('Sản phẩm'!$B$5:$B$304,MATCH(D2990,'Sản phẩm'!$A$5:$A$304,0)),""))</f>
        <v/>
      </c>
      <c r="F2990" s="12" t="n"/>
      <c r="G2990" s="11" t="n"/>
      <c r="H2990" s="11" t="n"/>
      <c r="I2990" s="16">
        <f>IF(D2990="","",IF(G2990&lt;&gt;"",G2990,IFERROR(INDEX('Sản phẩm'!$E$5:$E$304,MATCH(D2990,'Sản phẩm'!$A$5:$A$304,0)),"")))</f>
        <v/>
      </c>
      <c r="J2990" s="16">
        <f>IF(OR(D2990="",F2990=""),"",F2990*I2990-N(H2990))</f>
        <v/>
      </c>
      <c r="K2990" s="16">
        <f>IF(OR(D2990="",F2990=""),"",F2990*IFERROR(INDEX('Sản phẩm'!$D$5:$D$304,MATCH(D2990,'Sản phẩm'!$A$5:$A$304,0)),""))</f>
        <v/>
      </c>
      <c r="L2990" s="16">
        <f>IF(J2990="","",J2990-K2990)</f>
        <v/>
      </c>
      <c r="M2990" s="14">
        <f>IF(A2990="","",MONTH(A2990))</f>
        <v/>
      </c>
      <c r="N2990" s="14">
        <f>IF(A2990="","",YEAR(A2990))</f>
        <v/>
      </c>
    </row>
    <row r="2991">
      <c r="A2991" s="15" t="n"/>
      <c r="B2991" s="10" t="n"/>
      <c r="C2991" s="10" t="n"/>
      <c r="D2991" s="10" t="n"/>
      <c r="E2991" s="14">
        <f>IF(D2991="","",IFERROR(INDEX('Sản phẩm'!$B$5:$B$304,MATCH(D2991,'Sản phẩm'!$A$5:$A$304,0)),""))</f>
        <v/>
      </c>
      <c r="F2991" s="12" t="n"/>
      <c r="G2991" s="11" t="n"/>
      <c r="H2991" s="11" t="n"/>
      <c r="I2991" s="16">
        <f>IF(D2991="","",IF(G2991&lt;&gt;"",G2991,IFERROR(INDEX('Sản phẩm'!$E$5:$E$304,MATCH(D2991,'Sản phẩm'!$A$5:$A$304,0)),"")))</f>
        <v/>
      </c>
      <c r="J2991" s="16">
        <f>IF(OR(D2991="",F2991=""),"",F2991*I2991-N(H2991))</f>
        <v/>
      </c>
      <c r="K2991" s="16">
        <f>IF(OR(D2991="",F2991=""),"",F2991*IFERROR(INDEX('Sản phẩm'!$D$5:$D$304,MATCH(D2991,'Sản phẩm'!$A$5:$A$304,0)),""))</f>
        <v/>
      </c>
      <c r="L2991" s="16">
        <f>IF(J2991="","",J2991-K2991)</f>
        <v/>
      </c>
      <c r="M2991" s="14">
        <f>IF(A2991="","",MONTH(A2991))</f>
        <v/>
      </c>
      <c r="N2991" s="14">
        <f>IF(A2991="","",YEAR(A2991))</f>
        <v/>
      </c>
    </row>
    <row r="2992">
      <c r="A2992" s="15" t="n"/>
      <c r="B2992" s="10" t="n"/>
      <c r="C2992" s="10" t="n"/>
      <c r="D2992" s="10" t="n"/>
      <c r="E2992" s="14">
        <f>IF(D2992="","",IFERROR(INDEX('Sản phẩm'!$B$5:$B$304,MATCH(D2992,'Sản phẩm'!$A$5:$A$304,0)),""))</f>
        <v/>
      </c>
      <c r="F2992" s="12" t="n"/>
      <c r="G2992" s="11" t="n"/>
      <c r="H2992" s="11" t="n"/>
      <c r="I2992" s="16">
        <f>IF(D2992="","",IF(G2992&lt;&gt;"",G2992,IFERROR(INDEX('Sản phẩm'!$E$5:$E$304,MATCH(D2992,'Sản phẩm'!$A$5:$A$304,0)),"")))</f>
        <v/>
      </c>
      <c r="J2992" s="16">
        <f>IF(OR(D2992="",F2992=""),"",F2992*I2992-N(H2992))</f>
        <v/>
      </c>
      <c r="K2992" s="16">
        <f>IF(OR(D2992="",F2992=""),"",F2992*IFERROR(INDEX('Sản phẩm'!$D$5:$D$304,MATCH(D2992,'Sản phẩm'!$A$5:$A$304,0)),""))</f>
        <v/>
      </c>
      <c r="L2992" s="16">
        <f>IF(J2992="","",J2992-K2992)</f>
        <v/>
      </c>
      <c r="M2992" s="14">
        <f>IF(A2992="","",MONTH(A2992))</f>
        <v/>
      </c>
      <c r="N2992" s="14">
        <f>IF(A2992="","",YEAR(A2992))</f>
        <v/>
      </c>
    </row>
    <row r="2993">
      <c r="A2993" s="15" t="n"/>
      <c r="B2993" s="10" t="n"/>
      <c r="C2993" s="10" t="n"/>
      <c r="D2993" s="10" t="n"/>
      <c r="E2993" s="14">
        <f>IF(D2993="","",IFERROR(INDEX('Sản phẩm'!$B$5:$B$304,MATCH(D2993,'Sản phẩm'!$A$5:$A$304,0)),""))</f>
        <v/>
      </c>
      <c r="F2993" s="12" t="n"/>
      <c r="G2993" s="11" t="n"/>
      <c r="H2993" s="11" t="n"/>
      <c r="I2993" s="16">
        <f>IF(D2993="","",IF(G2993&lt;&gt;"",G2993,IFERROR(INDEX('Sản phẩm'!$E$5:$E$304,MATCH(D2993,'Sản phẩm'!$A$5:$A$304,0)),"")))</f>
        <v/>
      </c>
      <c r="J2993" s="16">
        <f>IF(OR(D2993="",F2993=""),"",F2993*I2993-N(H2993))</f>
        <v/>
      </c>
      <c r="K2993" s="16">
        <f>IF(OR(D2993="",F2993=""),"",F2993*IFERROR(INDEX('Sản phẩm'!$D$5:$D$304,MATCH(D2993,'Sản phẩm'!$A$5:$A$304,0)),""))</f>
        <v/>
      </c>
      <c r="L2993" s="16">
        <f>IF(J2993="","",J2993-K2993)</f>
        <v/>
      </c>
      <c r="M2993" s="14">
        <f>IF(A2993="","",MONTH(A2993))</f>
        <v/>
      </c>
      <c r="N2993" s="14">
        <f>IF(A2993="","",YEAR(A2993))</f>
        <v/>
      </c>
    </row>
    <row r="2994">
      <c r="A2994" s="15" t="n"/>
      <c r="B2994" s="10" t="n"/>
      <c r="C2994" s="10" t="n"/>
      <c r="D2994" s="10" t="n"/>
      <c r="E2994" s="14">
        <f>IF(D2994="","",IFERROR(INDEX('Sản phẩm'!$B$5:$B$304,MATCH(D2994,'Sản phẩm'!$A$5:$A$304,0)),""))</f>
        <v/>
      </c>
      <c r="F2994" s="12" t="n"/>
      <c r="G2994" s="11" t="n"/>
      <c r="H2994" s="11" t="n"/>
      <c r="I2994" s="16">
        <f>IF(D2994="","",IF(G2994&lt;&gt;"",G2994,IFERROR(INDEX('Sản phẩm'!$E$5:$E$304,MATCH(D2994,'Sản phẩm'!$A$5:$A$304,0)),"")))</f>
        <v/>
      </c>
      <c r="J2994" s="16">
        <f>IF(OR(D2994="",F2994=""),"",F2994*I2994-N(H2994))</f>
        <v/>
      </c>
      <c r="K2994" s="16">
        <f>IF(OR(D2994="",F2994=""),"",F2994*IFERROR(INDEX('Sản phẩm'!$D$5:$D$304,MATCH(D2994,'Sản phẩm'!$A$5:$A$304,0)),""))</f>
        <v/>
      </c>
      <c r="L2994" s="16">
        <f>IF(J2994="","",J2994-K2994)</f>
        <v/>
      </c>
      <c r="M2994" s="14">
        <f>IF(A2994="","",MONTH(A2994))</f>
        <v/>
      </c>
      <c r="N2994" s="14">
        <f>IF(A2994="","",YEAR(A2994))</f>
        <v/>
      </c>
    </row>
    <row r="2995">
      <c r="A2995" s="15" t="n"/>
      <c r="B2995" s="10" t="n"/>
      <c r="C2995" s="10" t="n"/>
      <c r="D2995" s="10" t="n"/>
      <c r="E2995" s="14">
        <f>IF(D2995="","",IFERROR(INDEX('Sản phẩm'!$B$5:$B$304,MATCH(D2995,'Sản phẩm'!$A$5:$A$304,0)),""))</f>
        <v/>
      </c>
      <c r="F2995" s="12" t="n"/>
      <c r="G2995" s="11" t="n"/>
      <c r="H2995" s="11" t="n"/>
      <c r="I2995" s="16">
        <f>IF(D2995="","",IF(G2995&lt;&gt;"",G2995,IFERROR(INDEX('Sản phẩm'!$E$5:$E$304,MATCH(D2995,'Sản phẩm'!$A$5:$A$304,0)),"")))</f>
        <v/>
      </c>
      <c r="J2995" s="16">
        <f>IF(OR(D2995="",F2995=""),"",F2995*I2995-N(H2995))</f>
        <v/>
      </c>
      <c r="K2995" s="16">
        <f>IF(OR(D2995="",F2995=""),"",F2995*IFERROR(INDEX('Sản phẩm'!$D$5:$D$304,MATCH(D2995,'Sản phẩm'!$A$5:$A$304,0)),""))</f>
        <v/>
      </c>
      <c r="L2995" s="16">
        <f>IF(J2995="","",J2995-K2995)</f>
        <v/>
      </c>
      <c r="M2995" s="14">
        <f>IF(A2995="","",MONTH(A2995))</f>
        <v/>
      </c>
      <c r="N2995" s="14">
        <f>IF(A2995="","",YEAR(A2995))</f>
        <v/>
      </c>
    </row>
    <row r="2996">
      <c r="A2996" s="15" t="n"/>
      <c r="B2996" s="10" t="n"/>
      <c r="C2996" s="10" t="n"/>
      <c r="D2996" s="10" t="n"/>
      <c r="E2996" s="14">
        <f>IF(D2996="","",IFERROR(INDEX('Sản phẩm'!$B$5:$B$304,MATCH(D2996,'Sản phẩm'!$A$5:$A$304,0)),""))</f>
        <v/>
      </c>
      <c r="F2996" s="12" t="n"/>
      <c r="G2996" s="11" t="n"/>
      <c r="H2996" s="11" t="n"/>
      <c r="I2996" s="16">
        <f>IF(D2996="","",IF(G2996&lt;&gt;"",G2996,IFERROR(INDEX('Sản phẩm'!$E$5:$E$304,MATCH(D2996,'Sản phẩm'!$A$5:$A$304,0)),"")))</f>
        <v/>
      </c>
      <c r="J2996" s="16">
        <f>IF(OR(D2996="",F2996=""),"",F2996*I2996-N(H2996))</f>
        <v/>
      </c>
      <c r="K2996" s="16">
        <f>IF(OR(D2996="",F2996=""),"",F2996*IFERROR(INDEX('Sản phẩm'!$D$5:$D$304,MATCH(D2996,'Sản phẩm'!$A$5:$A$304,0)),""))</f>
        <v/>
      </c>
      <c r="L2996" s="16">
        <f>IF(J2996="","",J2996-K2996)</f>
        <v/>
      </c>
      <c r="M2996" s="14">
        <f>IF(A2996="","",MONTH(A2996))</f>
        <v/>
      </c>
      <c r="N2996" s="14">
        <f>IF(A2996="","",YEAR(A2996))</f>
        <v/>
      </c>
    </row>
    <row r="2997">
      <c r="A2997" s="15" t="n"/>
      <c r="B2997" s="10" t="n"/>
      <c r="C2997" s="10" t="n"/>
      <c r="D2997" s="10" t="n"/>
      <c r="E2997" s="14">
        <f>IF(D2997="","",IFERROR(INDEX('Sản phẩm'!$B$5:$B$304,MATCH(D2997,'Sản phẩm'!$A$5:$A$304,0)),""))</f>
        <v/>
      </c>
      <c r="F2997" s="12" t="n"/>
      <c r="G2997" s="11" t="n"/>
      <c r="H2997" s="11" t="n"/>
      <c r="I2997" s="16">
        <f>IF(D2997="","",IF(G2997&lt;&gt;"",G2997,IFERROR(INDEX('Sản phẩm'!$E$5:$E$304,MATCH(D2997,'Sản phẩm'!$A$5:$A$304,0)),"")))</f>
        <v/>
      </c>
      <c r="J2997" s="16">
        <f>IF(OR(D2997="",F2997=""),"",F2997*I2997-N(H2997))</f>
        <v/>
      </c>
      <c r="K2997" s="16">
        <f>IF(OR(D2997="",F2997=""),"",F2997*IFERROR(INDEX('Sản phẩm'!$D$5:$D$304,MATCH(D2997,'Sản phẩm'!$A$5:$A$304,0)),""))</f>
        <v/>
      </c>
      <c r="L2997" s="16">
        <f>IF(J2997="","",J2997-K2997)</f>
        <v/>
      </c>
      <c r="M2997" s="14">
        <f>IF(A2997="","",MONTH(A2997))</f>
        <v/>
      </c>
      <c r="N2997" s="14">
        <f>IF(A2997="","",YEAR(A2997))</f>
        <v/>
      </c>
    </row>
    <row r="2998">
      <c r="A2998" s="15" t="n"/>
      <c r="B2998" s="10" t="n"/>
      <c r="C2998" s="10" t="n"/>
      <c r="D2998" s="10" t="n"/>
      <c r="E2998" s="14">
        <f>IF(D2998="","",IFERROR(INDEX('Sản phẩm'!$B$5:$B$304,MATCH(D2998,'Sản phẩm'!$A$5:$A$304,0)),""))</f>
        <v/>
      </c>
      <c r="F2998" s="12" t="n"/>
      <c r="G2998" s="11" t="n"/>
      <c r="H2998" s="11" t="n"/>
      <c r="I2998" s="16">
        <f>IF(D2998="","",IF(G2998&lt;&gt;"",G2998,IFERROR(INDEX('Sản phẩm'!$E$5:$E$304,MATCH(D2998,'Sản phẩm'!$A$5:$A$304,0)),"")))</f>
        <v/>
      </c>
      <c r="J2998" s="16">
        <f>IF(OR(D2998="",F2998=""),"",F2998*I2998-N(H2998))</f>
        <v/>
      </c>
      <c r="K2998" s="16">
        <f>IF(OR(D2998="",F2998=""),"",F2998*IFERROR(INDEX('Sản phẩm'!$D$5:$D$304,MATCH(D2998,'Sản phẩm'!$A$5:$A$304,0)),""))</f>
        <v/>
      </c>
      <c r="L2998" s="16">
        <f>IF(J2998="","",J2998-K2998)</f>
        <v/>
      </c>
      <c r="M2998" s="14">
        <f>IF(A2998="","",MONTH(A2998))</f>
        <v/>
      </c>
      <c r="N2998" s="14">
        <f>IF(A2998="","",YEAR(A2998))</f>
        <v/>
      </c>
    </row>
    <row r="2999">
      <c r="A2999" s="15" t="n"/>
      <c r="B2999" s="10" t="n"/>
      <c r="C2999" s="10" t="n"/>
      <c r="D2999" s="10" t="n"/>
      <c r="E2999" s="14">
        <f>IF(D2999="","",IFERROR(INDEX('Sản phẩm'!$B$5:$B$304,MATCH(D2999,'Sản phẩm'!$A$5:$A$304,0)),""))</f>
        <v/>
      </c>
      <c r="F2999" s="12" t="n"/>
      <c r="G2999" s="11" t="n"/>
      <c r="H2999" s="11" t="n"/>
      <c r="I2999" s="16">
        <f>IF(D2999="","",IF(G2999&lt;&gt;"",G2999,IFERROR(INDEX('Sản phẩm'!$E$5:$E$304,MATCH(D2999,'Sản phẩm'!$A$5:$A$304,0)),"")))</f>
        <v/>
      </c>
      <c r="J2999" s="16">
        <f>IF(OR(D2999="",F2999=""),"",F2999*I2999-N(H2999))</f>
        <v/>
      </c>
      <c r="K2999" s="16">
        <f>IF(OR(D2999="",F2999=""),"",F2999*IFERROR(INDEX('Sản phẩm'!$D$5:$D$304,MATCH(D2999,'Sản phẩm'!$A$5:$A$304,0)),""))</f>
        <v/>
      </c>
      <c r="L2999" s="16">
        <f>IF(J2999="","",J2999-K2999)</f>
        <v/>
      </c>
      <c r="M2999" s="14">
        <f>IF(A2999="","",MONTH(A2999))</f>
        <v/>
      </c>
      <c r="N2999" s="14">
        <f>IF(A2999="","",YEAR(A2999))</f>
        <v/>
      </c>
    </row>
    <row r="3000">
      <c r="A3000" s="15" t="n"/>
      <c r="B3000" s="10" t="n"/>
      <c r="C3000" s="10" t="n"/>
      <c r="D3000" s="10" t="n"/>
      <c r="E3000" s="14">
        <f>IF(D3000="","",IFERROR(INDEX('Sản phẩm'!$B$5:$B$304,MATCH(D3000,'Sản phẩm'!$A$5:$A$304,0)),""))</f>
        <v/>
      </c>
      <c r="F3000" s="12" t="n"/>
      <c r="G3000" s="11" t="n"/>
      <c r="H3000" s="11" t="n"/>
      <c r="I3000" s="16">
        <f>IF(D3000="","",IF(G3000&lt;&gt;"",G3000,IFERROR(INDEX('Sản phẩm'!$E$5:$E$304,MATCH(D3000,'Sản phẩm'!$A$5:$A$304,0)),"")))</f>
        <v/>
      </c>
      <c r="J3000" s="16">
        <f>IF(OR(D3000="",F3000=""),"",F3000*I3000-N(H3000))</f>
        <v/>
      </c>
      <c r="K3000" s="16">
        <f>IF(OR(D3000="",F3000=""),"",F3000*IFERROR(INDEX('Sản phẩm'!$D$5:$D$304,MATCH(D3000,'Sản phẩm'!$A$5:$A$304,0)),""))</f>
        <v/>
      </c>
      <c r="L3000" s="16">
        <f>IF(J3000="","",J3000-K3000)</f>
        <v/>
      </c>
      <c r="M3000" s="14">
        <f>IF(A3000="","",MONTH(A3000))</f>
        <v/>
      </c>
      <c r="N3000" s="14">
        <f>IF(A3000="","",YEAR(A3000))</f>
        <v/>
      </c>
    </row>
    <row r="3001">
      <c r="A3001" s="15" t="n"/>
      <c r="B3001" s="10" t="n"/>
      <c r="C3001" s="10" t="n"/>
      <c r="D3001" s="10" t="n"/>
      <c r="E3001" s="14">
        <f>IF(D3001="","",IFERROR(INDEX('Sản phẩm'!$B$5:$B$304,MATCH(D3001,'Sản phẩm'!$A$5:$A$304,0)),""))</f>
        <v/>
      </c>
      <c r="F3001" s="12" t="n"/>
      <c r="G3001" s="11" t="n"/>
      <c r="H3001" s="11" t="n"/>
      <c r="I3001" s="16">
        <f>IF(D3001="","",IF(G3001&lt;&gt;"",G3001,IFERROR(INDEX('Sản phẩm'!$E$5:$E$304,MATCH(D3001,'Sản phẩm'!$A$5:$A$304,0)),"")))</f>
        <v/>
      </c>
      <c r="J3001" s="16">
        <f>IF(OR(D3001="",F3001=""),"",F3001*I3001-N(H3001))</f>
        <v/>
      </c>
      <c r="K3001" s="16">
        <f>IF(OR(D3001="",F3001=""),"",F3001*IFERROR(INDEX('Sản phẩm'!$D$5:$D$304,MATCH(D3001,'Sản phẩm'!$A$5:$A$304,0)),""))</f>
        <v/>
      </c>
      <c r="L3001" s="16">
        <f>IF(J3001="","",J3001-K3001)</f>
        <v/>
      </c>
      <c r="M3001" s="14">
        <f>IF(A3001="","",MONTH(A3001))</f>
        <v/>
      </c>
      <c r="N3001" s="14">
        <f>IF(A3001="","",YEAR(A3001))</f>
        <v/>
      </c>
    </row>
    <row r="3002">
      <c r="A3002" s="15" t="n"/>
      <c r="B3002" s="10" t="n"/>
      <c r="C3002" s="10" t="n"/>
      <c r="D3002" s="10" t="n"/>
      <c r="E3002" s="14">
        <f>IF(D3002="","",IFERROR(INDEX('Sản phẩm'!$B$5:$B$304,MATCH(D3002,'Sản phẩm'!$A$5:$A$304,0)),""))</f>
        <v/>
      </c>
      <c r="F3002" s="12" t="n"/>
      <c r="G3002" s="11" t="n"/>
      <c r="H3002" s="11" t="n"/>
      <c r="I3002" s="16">
        <f>IF(D3002="","",IF(G3002&lt;&gt;"",G3002,IFERROR(INDEX('Sản phẩm'!$E$5:$E$304,MATCH(D3002,'Sản phẩm'!$A$5:$A$304,0)),"")))</f>
        <v/>
      </c>
      <c r="J3002" s="16">
        <f>IF(OR(D3002="",F3002=""),"",F3002*I3002-N(H3002))</f>
        <v/>
      </c>
      <c r="K3002" s="16">
        <f>IF(OR(D3002="",F3002=""),"",F3002*IFERROR(INDEX('Sản phẩm'!$D$5:$D$304,MATCH(D3002,'Sản phẩm'!$A$5:$A$304,0)),""))</f>
        <v/>
      </c>
      <c r="L3002" s="16">
        <f>IF(J3002="","",J3002-K3002)</f>
        <v/>
      </c>
      <c r="M3002" s="14">
        <f>IF(A3002="","",MONTH(A3002))</f>
        <v/>
      </c>
      <c r="N3002" s="14">
        <f>IF(A3002="","",YEAR(A3002))</f>
        <v/>
      </c>
    </row>
    <row r="3003">
      <c r="A3003" s="15" t="n"/>
      <c r="B3003" s="10" t="n"/>
      <c r="C3003" s="10" t="n"/>
      <c r="D3003" s="10" t="n"/>
      <c r="E3003" s="14">
        <f>IF(D3003="","",IFERROR(INDEX('Sản phẩm'!$B$5:$B$304,MATCH(D3003,'Sản phẩm'!$A$5:$A$304,0)),""))</f>
        <v/>
      </c>
      <c r="F3003" s="12" t="n"/>
      <c r="G3003" s="11" t="n"/>
      <c r="H3003" s="11" t="n"/>
      <c r="I3003" s="16">
        <f>IF(D3003="","",IF(G3003&lt;&gt;"",G3003,IFERROR(INDEX('Sản phẩm'!$E$5:$E$304,MATCH(D3003,'Sản phẩm'!$A$5:$A$304,0)),"")))</f>
        <v/>
      </c>
      <c r="J3003" s="16">
        <f>IF(OR(D3003="",F3003=""),"",F3003*I3003-N(H3003))</f>
        <v/>
      </c>
      <c r="K3003" s="16">
        <f>IF(OR(D3003="",F3003=""),"",F3003*IFERROR(INDEX('Sản phẩm'!$D$5:$D$304,MATCH(D3003,'Sản phẩm'!$A$5:$A$304,0)),""))</f>
        <v/>
      </c>
      <c r="L3003" s="16">
        <f>IF(J3003="","",J3003-K3003)</f>
        <v/>
      </c>
      <c r="M3003" s="14">
        <f>IF(A3003="","",MONTH(A3003))</f>
        <v/>
      </c>
      <c r="N3003" s="14">
        <f>IF(A3003="","",YEAR(A3003))</f>
        <v/>
      </c>
    </row>
    <row r="3004">
      <c r="A3004" s="15" t="n"/>
      <c r="B3004" s="10" t="n"/>
      <c r="C3004" s="10" t="n"/>
      <c r="D3004" s="10" t="n"/>
      <c r="E3004" s="14">
        <f>IF(D3004="","",IFERROR(INDEX('Sản phẩm'!$B$5:$B$304,MATCH(D3004,'Sản phẩm'!$A$5:$A$304,0)),""))</f>
        <v/>
      </c>
      <c r="F3004" s="12" t="n"/>
      <c r="G3004" s="11" t="n"/>
      <c r="H3004" s="11" t="n"/>
      <c r="I3004" s="16">
        <f>IF(D3004="","",IF(G3004&lt;&gt;"",G3004,IFERROR(INDEX('Sản phẩm'!$E$5:$E$304,MATCH(D3004,'Sản phẩm'!$A$5:$A$304,0)),"")))</f>
        <v/>
      </c>
      <c r="J3004" s="16">
        <f>IF(OR(D3004="",F3004=""),"",F3004*I3004-N(H3004))</f>
        <v/>
      </c>
      <c r="K3004" s="16">
        <f>IF(OR(D3004="",F3004=""),"",F3004*IFERROR(INDEX('Sản phẩm'!$D$5:$D$304,MATCH(D3004,'Sản phẩm'!$A$5:$A$304,0)),""))</f>
        <v/>
      </c>
      <c r="L3004" s="16">
        <f>IF(J3004="","",J3004-K3004)</f>
        <v/>
      </c>
      <c r="M3004" s="14">
        <f>IF(A3004="","",MONTH(A3004))</f>
        <v/>
      </c>
      <c r="N3004" s="14">
        <f>IF(A3004="","",YEAR(A3004))</f>
        <v/>
      </c>
    </row>
    <row r="3005">
      <c r="A3005" s="15" t="n"/>
      <c r="B3005" s="10" t="n"/>
      <c r="C3005" s="10" t="n"/>
      <c r="D3005" s="10" t="n"/>
      <c r="E3005" s="14">
        <f>IF(D3005="","",IFERROR(INDEX('Sản phẩm'!$B$5:$B$304,MATCH(D3005,'Sản phẩm'!$A$5:$A$304,0)),""))</f>
        <v/>
      </c>
      <c r="F3005" s="12" t="n"/>
      <c r="G3005" s="11" t="n"/>
      <c r="H3005" s="11" t="n"/>
      <c r="I3005" s="16">
        <f>IF(D3005="","",IF(G3005&lt;&gt;"",G3005,IFERROR(INDEX('Sản phẩm'!$E$5:$E$304,MATCH(D3005,'Sản phẩm'!$A$5:$A$304,0)),"")))</f>
        <v/>
      </c>
      <c r="J3005" s="16">
        <f>IF(OR(D3005="",F3005=""),"",F3005*I3005-N(H3005))</f>
        <v/>
      </c>
      <c r="K3005" s="16">
        <f>IF(OR(D3005="",F3005=""),"",F3005*IFERROR(INDEX('Sản phẩm'!$D$5:$D$304,MATCH(D3005,'Sản phẩm'!$A$5:$A$304,0)),""))</f>
        <v/>
      </c>
      <c r="L3005" s="16">
        <f>IF(J3005="","",J3005-K3005)</f>
        <v/>
      </c>
      <c r="M3005" s="14">
        <f>IF(A3005="","",MONTH(A3005))</f>
        <v/>
      </c>
      <c r="N3005" s="14">
        <f>IF(A3005="","",YEAR(A3005))</f>
        <v/>
      </c>
    </row>
    <row r="3006">
      <c r="A3006" s="15" t="n"/>
      <c r="B3006" s="10" t="n"/>
      <c r="C3006" s="10" t="n"/>
      <c r="D3006" s="10" t="n"/>
      <c r="E3006" s="14">
        <f>IF(D3006="","",IFERROR(INDEX('Sản phẩm'!$B$5:$B$304,MATCH(D3006,'Sản phẩm'!$A$5:$A$304,0)),""))</f>
        <v/>
      </c>
      <c r="F3006" s="12" t="n"/>
      <c r="G3006" s="11" t="n"/>
      <c r="H3006" s="11" t="n"/>
      <c r="I3006" s="16">
        <f>IF(D3006="","",IF(G3006&lt;&gt;"",G3006,IFERROR(INDEX('Sản phẩm'!$E$5:$E$304,MATCH(D3006,'Sản phẩm'!$A$5:$A$304,0)),"")))</f>
        <v/>
      </c>
      <c r="J3006" s="16">
        <f>IF(OR(D3006="",F3006=""),"",F3006*I3006-N(H3006))</f>
        <v/>
      </c>
      <c r="K3006" s="16">
        <f>IF(OR(D3006="",F3006=""),"",F3006*IFERROR(INDEX('Sản phẩm'!$D$5:$D$304,MATCH(D3006,'Sản phẩm'!$A$5:$A$304,0)),""))</f>
        <v/>
      </c>
      <c r="L3006" s="16">
        <f>IF(J3006="","",J3006-K3006)</f>
        <v/>
      </c>
      <c r="M3006" s="14">
        <f>IF(A3006="","",MONTH(A3006))</f>
        <v/>
      </c>
      <c r="N3006" s="14">
        <f>IF(A3006="","",YEAR(A3006))</f>
        <v/>
      </c>
    </row>
    <row r="3007">
      <c r="A3007" s="15" t="n"/>
      <c r="B3007" s="10" t="n"/>
      <c r="C3007" s="10" t="n"/>
      <c r="D3007" s="10" t="n"/>
      <c r="E3007" s="14">
        <f>IF(D3007="","",IFERROR(INDEX('Sản phẩm'!$B$5:$B$304,MATCH(D3007,'Sản phẩm'!$A$5:$A$304,0)),""))</f>
        <v/>
      </c>
      <c r="F3007" s="12" t="n"/>
      <c r="G3007" s="11" t="n"/>
      <c r="H3007" s="11" t="n"/>
      <c r="I3007" s="16">
        <f>IF(D3007="","",IF(G3007&lt;&gt;"",G3007,IFERROR(INDEX('Sản phẩm'!$E$5:$E$304,MATCH(D3007,'Sản phẩm'!$A$5:$A$304,0)),"")))</f>
        <v/>
      </c>
      <c r="J3007" s="16">
        <f>IF(OR(D3007="",F3007=""),"",F3007*I3007-N(H3007))</f>
        <v/>
      </c>
      <c r="K3007" s="16">
        <f>IF(OR(D3007="",F3007=""),"",F3007*IFERROR(INDEX('Sản phẩm'!$D$5:$D$304,MATCH(D3007,'Sản phẩm'!$A$5:$A$304,0)),""))</f>
        <v/>
      </c>
      <c r="L3007" s="16">
        <f>IF(J3007="","",J3007-K3007)</f>
        <v/>
      </c>
      <c r="M3007" s="14">
        <f>IF(A3007="","",MONTH(A3007))</f>
        <v/>
      </c>
      <c r="N3007" s="14">
        <f>IF(A3007="","",YEAR(A3007))</f>
        <v/>
      </c>
    </row>
    <row r="3008">
      <c r="A3008" s="15" t="n"/>
      <c r="B3008" s="10" t="n"/>
      <c r="C3008" s="10" t="n"/>
      <c r="D3008" s="10" t="n"/>
      <c r="E3008" s="14">
        <f>IF(D3008="","",IFERROR(INDEX('Sản phẩm'!$B$5:$B$304,MATCH(D3008,'Sản phẩm'!$A$5:$A$304,0)),""))</f>
        <v/>
      </c>
      <c r="F3008" s="12" t="n"/>
      <c r="G3008" s="11" t="n"/>
      <c r="H3008" s="11" t="n"/>
      <c r="I3008" s="16">
        <f>IF(D3008="","",IF(G3008&lt;&gt;"",G3008,IFERROR(INDEX('Sản phẩm'!$E$5:$E$304,MATCH(D3008,'Sản phẩm'!$A$5:$A$304,0)),"")))</f>
        <v/>
      </c>
      <c r="J3008" s="16">
        <f>IF(OR(D3008="",F3008=""),"",F3008*I3008-N(H3008))</f>
        <v/>
      </c>
      <c r="K3008" s="16">
        <f>IF(OR(D3008="",F3008=""),"",F3008*IFERROR(INDEX('Sản phẩm'!$D$5:$D$304,MATCH(D3008,'Sản phẩm'!$A$5:$A$304,0)),""))</f>
        <v/>
      </c>
      <c r="L3008" s="16">
        <f>IF(J3008="","",J3008-K3008)</f>
        <v/>
      </c>
      <c r="M3008" s="14">
        <f>IF(A3008="","",MONTH(A3008))</f>
        <v/>
      </c>
      <c r="N3008" s="14">
        <f>IF(A3008="","",YEAR(A3008))</f>
        <v/>
      </c>
    </row>
    <row r="3009">
      <c r="A3009" s="15" t="n"/>
      <c r="B3009" s="10" t="n"/>
      <c r="C3009" s="10" t="n"/>
      <c r="D3009" s="10" t="n"/>
      <c r="E3009" s="14">
        <f>IF(D3009="","",IFERROR(INDEX('Sản phẩm'!$B$5:$B$304,MATCH(D3009,'Sản phẩm'!$A$5:$A$304,0)),""))</f>
        <v/>
      </c>
      <c r="F3009" s="12" t="n"/>
      <c r="G3009" s="11" t="n"/>
      <c r="H3009" s="11" t="n"/>
      <c r="I3009" s="16">
        <f>IF(D3009="","",IF(G3009&lt;&gt;"",G3009,IFERROR(INDEX('Sản phẩm'!$E$5:$E$304,MATCH(D3009,'Sản phẩm'!$A$5:$A$304,0)),"")))</f>
        <v/>
      </c>
      <c r="J3009" s="16">
        <f>IF(OR(D3009="",F3009=""),"",F3009*I3009-N(H3009))</f>
        <v/>
      </c>
      <c r="K3009" s="16">
        <f>IF(OR(D3009="",F3009=""),"",F3009*IFERROR(INDEX('Sản phẩm'!$D$5:$D$304,MATCH(D3009,'Sản phẩm'!$A$5:$A$304,0)),""))</f>
        <v/>
      </c>
      <c r="L3009" s="16">
        <f>IF(J3009="","",J3009-K3009)</f>
        <v/>
      </c>
      <c r="M3009" s="14">
        <f>IF(A3009="","",MONTH(A3009))</f>
        <v/>
      </c>
      <c r="N3009" s="14">
        <f>IF(A3009="","",YEAR(A3009))</f>
        <v/>
      </c>
    </row>
    <row r="3010">
      <c r="A3010" s="15" t="n"/>
      <c r="B3010" s="10" t="n"/>
      <c r="C3010" s="10" t="n"/>
      <c r="D3010" s="10" t="n"/>
      <c r="E3010" s="14">
        <f>IF(D3010="","",IFERROR(INDEX('Sản phẩm'!$B$5:$B$304,MATCH(D3010,'Sản phẩm'!$A$5:$A$304,0)),""))</f>
        <v/>
      </c>
      <c r="F3010" s="12" t="n"/>
      <c r="G3010" s="11" t="n"/>
      <c r="H3010" s="11" t="n"/>
      <c r="I3010" s="16">
        <f>IF(D3010="","",IF(G3010&lt;&gt;"",G3010,IFERROR(INDEX('Sản phẩm'!$E$5:$E$304,MATCH(D3010,'Sản phẩm'!$A$5:$A$304,0)),"")))</f>
        <v/>
      </c>
      <c r="J3010" s="16">
        <f>IF(OR(D3010="",F3010=""),"",F3010*I3010-N(H3010))</f>
        <v/>
      </c>
      <c r="K3010" s="16">
        <f>IF(OR(D3010="",F3010=""),"",F3010*IFERROR(INDEX('Sản phẩm'!$D$5:$D$304,MATCH(D3010,'Sản phẩm'!$A$5:$A$304,0)),""))</f>
        <v/>
      </c>
      <c r="L3010" s="16">
        <f>IF(J3010="","",J3010-K3010)</f>
        <v/>
      </c>
      <c r="M3010" s="14">
        <f>IF(A3010="","",MONTH(A3010))</f>
        <v/>
      </c>
      <c r="N3010" s="14">
        <f>IF(A3010="","",YEAR(A3010))</f>
        <v/>
      </c>
    </row>
    <row r="3011">
      <c r="A3011" s="15" t="n"/>
      <c r="B3011" s="10" t="n"/>
      <c r="C3011" s="10" t="n"/>
      <c r="D3011" s="10" t="n"/>
      <c r="E3011" s="14">
        <f>IF(D3011="","",IFERROR(INDEX('Sản phẩm'!$B$5:$B$304,MATCH(D3011,'Sản phẩm'!$A$5:$A$304,0)),""))</f>
        <v/>
      </c>
      <c r="F3011" s="12" t="n"/>
      <c r="G3011" s="11" t="n"/>
      <c r="H3011" s="11" t="n"/>
      <c r="I3011" s="16">
        <f>IF(D3011="","",IF(G3011&lt;&gt;"",G3011,IFERROR(INDEX('Sản phẩm'!$E$5:$E$304,MATCH(D3011,'Sản phẩm'!$A$5:$A$304,0)),"")))</f>
        <v/>
      </c>
      <c r="J3011" s="16">
        <f>IF(OR(D3011="",F3011=""),"",F3011*I3011-N(H3011))</f>
        <v/>
      </c>
      <c r="K3011" s="16">
        <f>IF(OR(D3011="",F3011=""),"",F3011*IFERROR(INDEX('Sản phẩm'!$D$5:$D$304,MATCH(D3011,'Sản phẩm'!$A$5:$A$304,0)),""))</f>
        <v/>
      </c>
      <c r="L3011" s="16">
        <f>IF(J3011="","",J3011-K3011)</f>
        <v/>
      </c>
      <c r="M3011" s="14">
        <f>IF(A3011="","",MONTH(A3011))</f>
        <v/>
      </c>
      <c r="N3011" s="14">
        <f>IF(A3011="","",YEAR(A3011))</f>
        <v/>
      </c>
    </row>
    <row r="3012">
      <c r="A3012" s="15" t="n"/>
      <c r="B3012" s="10" t="n"/>
      <c r="C3012" s="10" t="n"/>
      <c r="D3012" s="10" t="n"/>
      <c r="E3012" s="14">
        <f>IF(D3012="","",IFERROR(INDEX('Sản phẩm'!$B$5:$B$304,MATCH(D3012,'Sản phẩm'!$A$5:$A$304,0)),""))</f>
        <v/>
      </c>
      <c r="F3012" s="12" t="n"/>
      <c r="G3012" s="11" t="n"/>
      <c r="H3012" s="11" t="n"/>
      <c r="I3012" s="16">
        <f>IF(D3012="","",IF(G3012&lt;&gt;"",G3012,IFERROR(INDEX('Sản phẩm'!$E$5:$E$304,MATCH(D3012,'Sản phẩm'!$A$5:$A$304,0)),"")))</f>
        <v/>
      </c>
      <c r="J3012" s="16">
        <f>IF(OR(D3012="",F3012=""),"",F3012*I3012-N(H3012))</f>
        <v/>
      </c>
      <c r="K3012" s="16">
        <f>IF(OR(D3012="",F3012=""),"",F3012*IFERROR(INDEX('Sản phẩm'!$D$5:$D$304,MATCH(D3012,'Sản phẩm'!$A$5:$A$304,0)),""))</f>
        <v/>
      </c>
      <c r="L3012" s="16">
        <f>IF(J3012="","",J3012-K3012)</f>
        <v/>
      </c>
      <c r="M3012" s="14">
        <f>IF(A3012="","",MONTH(A3012))</f>
        <v/>
      </c>
      <c r="N3012" s="14">
        <f>IF(A3012="","",YEAR(A3012))</f>
        <v/>
      </c>
    </row>
    <row r="3013">
      <c r="A3013" s="15" t="n"/>
      <c r="B3013" s="10" t="n"/>
      <c r="C3013" s="10" t="n"/>
      <c r="D3013" s="10" t="n"/>
      <c r="E3013" s="14">
        <f>IF(D3013="","",IFERROR(INDEX('Sản phẩm'!$B$5:$B$304,MATCH(D3013,'Sản phẩm'!$A$5:$A$304,0)),""))</f>
        <v/>
      </c>
      <c r="F3013" s="12" t="n"/>
      <c r="G3013" s="11" t="n"/>
      <c r="H3013" s="11" t="n"/>
      <c r="I3013" s="16">
        <f>IF(D3013="","",IF(G3013&lt;&gt;"",G3013,IFERROR(INDEX('Sản phẩm'!$E$5:$E$304,MATCH(D3013,'Sản phẩm'!$A$5:$A$304,0)),"")))</f>
        <v/>
      </c>
      <c r="J3013" s="16">
        <f>IF(OR(D3013="",F3013=""),"",F3013*I3013-N(H3013))</f>
        <v/>
      </c>
      <c r="K3013" s="16">
        <f>IF(OR(D3013="",F3013=""),"",F3013*IFERROR(INDEX('Sản phẩm'!$D$5:$D$304,MATCH(D3013,'Sản phẩm'!$A$5:$A$304,0)),""))</f>
        <v/>
      </c>
      <c r="L3013" s="16">
        <f>IF(J3013="","",J3013-K3013)</f>
        <v/>
      </c>
      <c r="M3013" s="14">
        <f>IF(A3013="","",MONTH(A3013))</f>
        <v/>
      </c>
      <c r="N3013" s="14">
        <f>IF(A3013="","",YEAR(A3013))</f>
        <v/>
      </c>
    </row>
    <row r="3014">
      <c r="A3014" s="15" t="n"/>
      <c r="B3014" s="10" t="n"/>
      <c r="C3014" s="10" t="n"/>
      <c r="D3014" s="10" t="n"/>
      <c r="E3014" s="14">
        <f>IF(D3014="","",IFERROR(INDEX('Sản phẩm'!$B$5:$B$304,MATCH(D3014,'Sản phẩm'!$A$5:$A$304,0)),""))</f>
        <v/>
      </c>
      <c r="F3014" s="12" t="n"/>
      <c r="G3014" s="11" t="n"/>
      <c r="H3014" s="11" t="n"/>
      <c r="I3014" s="16">
        <f>IF(D3014="","",IF(G3014&lt;&gt;"",G3014,IFERROR(INDEX('Sản phẩm'!$E$5:$E$304,MATCH(D3014,'Sản phẩm'!$A$5:$A$304,0)),"")))</f>
        <v/>
      </c>
      <c r="J3014" s="16">
        <f>IF(OR(D3014="",F3014=""),"",F3014*I3014-N(H3014))</f>
        <v/>
      </c>
      <c r="K3014" s="16">
        <f>IF(OR(D3014="",F3014=""),"",F3014*IFERROR(INDEX('Sản phẩm'!$D$5:$D$304,MATCH(D3014,'Sản phẩm'!$A$5:$A$304,0)),""))</f>
        <v/>
      </c>
      <c r="L3014" s="16">
        <f>IF(J3014="","",J3014-K3014)</f>
        <v/>
      </c>
      <c r="M3014" s="14">
        <f>IF(A3014="","",MONTH(A3014))</f>
        <v/>
      </c>
      <c r="N3014" s="14">
        <f>IF(A3014="","",YEAR(A3014))</f>
        <v/>
      </c>
    </row>
    <row r="3015">
      <c r="A3015" s="15" t="n"/>
      <c r="B3015" s="10" t="n"/>
      <c r="C3015" s="10" t="n"/>
      <c r="D3015" s="10" t="n"/>
      <c r="E3015" s="14">
        <f>IF(D3015="","",IFERROR(INDEX('Sản phẩm'!$B$5:$B$304,MATCH(D3015,'Sản phẩm'!$A$5:$A$304,0)),""))</f>
        <v/>
      </c>
      <c r="F3015" s="12" t="n"/>
      <c r="G3015" s="11" t="n"/>
      <c r="H3015" s="11" t="n"/>
      <c r="I3015" s="16">
        <f>IF(D3015="","",IF(G3015&lt;&gt;"",G3015,IFERROR(INDEX('Sản phẩm'!$E$5:$E$304,MATCH(D3015,'Sản phẩm'!$A$5:$A$304,0)),"")))</f>
        <v/>
      </c>
      <c r="J3015" s="16">
        <f>IF(OR(D3015="",F3015=""),"",F3015*I3015-N(H3015))</f>
        <v/>
      </c>
      <c r="K3015" s="16">
        <f>IF(OR(D3015="",F3015=""),"",F3015*IFERROR(INDEX('Sản phẩm'!$D$5:$D$304,MATCH(D3015,'Sản phẩm'!$A$5:$A$304,0)),""))</f>
        <v/>
      </c>
      <c r="L3015" s="16">
        <f>IF(J3015="","",J3015-K3015)</f>
        <v/>
      </c>
      <c r="M3015" s="14">
        <f>IF(A3015="","",MONTH(A3015))</f>
        <v/>
      </c>
      <c r="N3015" s="14">
        <f>IF(A3015="","",YEAR(A3015))</f>
        <v/>
      </c>
    </row>
    <row r="3016">
      <c r="A3016" s="15" t="n"/>
      <c r="B3016" s="10" t="n"/>
      <c r="C3016" s="10" t="n"/>
      <c r="D3016" s="10" t="n"/>
      <c r="E3016" s="14">
        <f>IF(D3016="","",IFERROR(INDEX('Sản phẩm'!$B$5:$B$304,MATCH(D3016,'Sản phẩm'!$A$5:$A$304,0)),""))</f>
        <v/>
      </c>
      <c r="F3016" s="12" t="n"/>
      <c r="G3016" s="11" t="n"/>
      <c r="H3016" s="11" t="n"/>
      <c r="I3016" s="16">
        <f>IF(D3016="","",IF(G3016&lt;&gt;"",G3016,IFERROR(INDEX('Sản phẩm'!$E$5:$E$304,MATCH(D3016,'Sản phẩm'!$A$5:$A$304,0)),"")))</f>
        <v/>
      </c>
      <c r="J3016" s="16">
        <f>IF(OR(D3016="",F3016=""),"",F3016*I3016-N(H3016))</f>
        <v/>
      </c>
      <c r="K3016" s="16">
        <f>IF(OR(D3016="",F3016=""),"",F3016*IFERROR(INDEX('Sản phẩm'!$D$5:$D$304,MATCH(D3016,'Sản phẩm'!$A$5:$A$304,0)),""))</f>
        <v/>
      </c>
      <c r="L3016" s="16">
        <f>IF(J3016="","",J3016-K3016)</f>
        <v/>
      </c>
      <c r="M3016" s="14">
        <f>IF(A3016="","",MONTH(A3016))</f>
        <v/>
      </c>
      <c r="N3016" s="14">
        <f>IF(A3016="","",YEAR(A3016))</f>
        <v/>
      </c>
    </row>
    <row r="3017">
      <c r="A3017" s="15" t="n"/>
      <c r="B3017" s="10" t="n"/>
      <c r="C3017" s="10" t="n"/>
      <c r="D3017" s="10" t="n"/>
      <c r="E3017" s="14">
        <f>IF(D3017="","",IFERROR(INDEX('Sản phẩm'!$B$5:$B$304,MATCH(D3017,'Sản phẩm'!$A$5:$A$304,0)),""))</f>
        <v/>
      </c>
      <c r="F3017" s="12" t="n"/>
      <c r="G3017" s="11" t="n"/>
      <c r="H3017" s="11" t="n"/>
      <c r="I3017" s="16">
        <f>IF(D3017="","",IF(G3017&lt;&gt;"",G3017,IFERROR(INDEX('Sản phẩm'!$E$5:$E$304,MATCH(D3017,'Sản phẩm'!$A$5:$A$304,0)),"")))</f>
        <v/>
      </c>
      <c r="J3017" s="16">
        <f>IF(OR(D3017="",F3017=""),"",F3017*I3017-N(H3017))</f>
        <v/>
      </c>
      <c r="K3017" s="16">
        <f>IF(OR(D3017="",F3017=""),"",F3017*IFERROR(INDEX('Sản phẩm'!$D$5:$D$304,MATCH(D3017,'Sản phẩm'!$A$5:$A$304,0)),""))</f>
        <v/>
      </c>
      <c r="L3017" s="16">
        <f>IF(J3017="","",J3017-K3017)</f>
        <v/>
      </c>
      <c r="M3017" s="14">
        <f>IF(A3017="","",MONTH(A3017))</f>
        <v/>
      </c>
      <c r="N3017" s="14">
        <f>IF(A3017="","",YEAR(A3017))</f>
        <v/>
      </c>
    </row>
    <row r="3018">
      <c r="A3018" s="15" t="n"/>
      <c r="B3018" s="10" t="n"/>
      <c r="C3018" s="10" t="n"/>
      <c r="D3018" s="10" t="n"/>
      <c r="E3018" s="14">
        <f>IF(D3018="","",IFERROR(INDEX('Sản phẩm'!$B$5:$B$304,MATCH(D3018,'Sản phẩm'!$A$5:$A$304,0)),""))</f>
        <v/>
      </c>
      <c r="F3018" s="12" t="n"/>
      <c r="G3018" s="11" t="n"/>
      <c r="H3018" s="11" t="n"/>
      <c r="I3018" s="16">
        <f>IF(D3018="","",IF(G3018&lt;&gt;"",G3018,IFERROR(INDEX('Sản phẩm'!$E$5:$E$304,MATCH(D3018,'Sản phẩm'!$A$5:$A$304,0)),"")))</f>
        <v/>
      </c>
      <c r="J3018" s="16">
        <f>IF(OR(D3018="",F3018=""),"",F3018*I3018-N(H3018))</f>
        <v/>
      </c>
      <c r="K3018" s="16">
        <f>IF(OR(D3018="",F3018=""),"",F3018*IFERROR(INDEX('Sản phẩm'!$D$5:$D$304,MATCH(D3018,'Sản phẩm'!$A$5:$A$304,0)),""))</f>
        <v/>
      </c>
      <c r="L3018" s="16">
        <f>IF(J3018="","",J3018-K3018)</f>
        <v/>
      </c>
      <c r="M3018" s="14">
        <f>IF(A3018="","",MONTH(A3018))</f>
        <v/>
      </c>
      <c r="N3018" s="14">
        <f>IF(A3018="","",YEAR(A3018))</f>
        <v/>
      </c>
    </row>
    <row r="3019">
      <c r="A3019" s="15" t="n"/>
      <c r="B3019" s="10" t="n"/>
      <c r="C3019" s="10" t="n"/>
      <c r="D3019" s="10" t="n"/>
      <c r="E3019" s="14">
        <f>IF(D3019="","",IFERROR(INDEX('Sản phẩm'!$B$5:$B$304,MATCH(D3019,'Sản phẩm'!$A$5:$A$304,0)),""))</f>
        <v/>
      </c>
      <c r="F3019" s="12" t="n"/>
      <c r="G3019" s="11" t="n"/>
      <c r="H3019" s="11" t="n"/>
      <c r="I3019" s="16">
        <f>IF(D3019="","",IF(G3019&lt;&gt;"",G3019,IFERROR(INDEX('Sản phẩm'!$E$5:$E$304,MATCH(D3019,'Sản phẩm'!$A$5:$A$304,0)),"")))</f>
        <v/>
      </c>
      <c r="J3019" s="16">
        <f>IF(OR(D3019="",F3019=""),"",F3019*I3019-N(H3019))</f>
        <v/>
      </c>
      <c r="K3019" s="16">
        <f>IF(OR(D3019="",F3019=""),"",F3019*IFERROR(INDEX('Sản phẩm'!$D$5:$D$304,MATCH(D3019,'Sản phẩm'!$A$5:$A$304,0)),""))</f>
        <v/>
      </c>
      <c r="L3019" s="16">
        <f>IF(J3019="","",J3019-K3019)</f>
        <v/>
      </c>
      <c r="M3019" s="14">
        <f>IF(A3019="","",MONTH(A3019))</f>
        <v/>
      </c>
      <c r="N3019" s="14">
        <f>IF(A3019="","",YEAR(A3019))</f>
        <v/>
      </c>
    </row>
    <row r="3020">
      <c r="A3020" s="15" t="n"/>
      <c r="B3020" s="10" t="n"/>
      <c r="C3020" s="10" t="n"/>
      <c r="D3020" s="10" t="n"/>
      <c r="E3020" s="14">
        <f>IF(D3020="","",IFERROR(INDEX('Sản phẩm'!$B$5:$B$304,MATCH(D3020,'Sản phẩm'!$A$5:$A$304,0)),""))</f>
        <v/>
      </c>
      <c r="F3020" s="12" t="n"/>
      <c r="G3020" s="11" t="n"/>
      <c r="H3020" s="11" t="n"/>
      <c r="I3020" s="16">
        <f>IF(D3020="","",IF(G3020&lt;&gt;"",G3020,IFERROR(INDEX('Sản phẩm'!$E$5:$E$304,MATCH(D3020,'Sản phẩm'!$A$5:$A$304,0)),"")))</f>
        <v/>
      </c>
      <c r="J3020" s="16">
        <f>IF(OR(D3020="",F3020=""),"",F3020*I3020-N(H3020))</f>
        <v/>
      </c>
      <c r="K3020" s="16">
        <f>IF(OR(D3020="",F3020=""),"",F3020*IFERROR(INDEX('Sản phẩm'!$D$5:$D$304,MATCH(D3020,'Sản phẩm'!$A$5:$A$304,0)),""))</f>
        <v/>
      </c>
      <c r="L3020" s="16">
        <f>IF(J3020="","",J3020-K3020)</f>
        <v/>
      </c>
      <c r="M3020" s="14">
        <f>IF(A3020="","",MONTH(A3020))</f>
        <v/>
      </c>
      <c r="N3020" s="14">
        <f>IF(A3020="","",YEAR(A3020))</f>
        <v/>
      </c>
    </row>
    <row r="3021">
      <c r="A3021" s="15" t="n"/>
      <c r="B3021" s="10" t="n"/>
      <c r="C3021" s="10" t="n"/>
      <c r="D3021" s="10" t="n"/>
      <c r="E3021" s="14">
        <f>IF(D3021="","",IFERROR(INDEX('Sản phẩm'!$B$5:$B$304,MATCH(D3021,'Sản phẩm'!$A$5:$A$304,0)),""))</f>
        <v/>
      </c>
      <c r="F3021" s="12" t="n"/>
      <c r="G3021" s="11" t="n"/>
      <c r="H3021" s="11" t="n"/>
      <c r="I3021" s="16">
        <f>IF(D3021="","",IF(G3021&lt;&gt;"",G3021,IFERROR(INDEX('Sản phẩm'!$E$5:$E$304,MATCH(D3021,'Sản phẩm'!$A$5:$A$304,0)),"")))</f>
        <v/>
      </c>
      <c r="J3021" s="16">
        <f>IF(OR(D3021="",F3021=""),"",F3021*I3021-N(H3021))</f>
        <v/>
      </c>
      <c r="K3021" s="16">
        <f>IF(OR(D3021="",F3021=""),"",F3021*IFERROR(INDEX('Sản phẩm'!$D$5:$D$304,MATCH(D3021,'Sản phẩm'!$A$5:$A$304,0)),""))</f>
        <v/>
      </c>
      <c r="L3021" s="16">
        <f>IF(J3021="","",J3021-K3021)</f>
        <v/>
      </c>
      <c r="M3021" s="14">
        <f>IF(A3021="","",MONTH(A3021))</f>
        <v/>
      </c>
      <c r="N3021" s="14">
        <f>IF(A3021="","",YEAR(A3021))</f>
        <v/>
      </c>
    </row>
    <row r="3022">
      <c r="A3022" s="15" t="n"/>
      <c r="B3022" s="10" t="n"/>
      <c r="C3022" s="10" t="n"/>
      <c r="D3022" s="10" t="n"/>
      <c r="E3022" s="14">
        <f>IF(D3022="","",IFERROR(INDEX('Sản phẩm'!$B$5:$B$304,MATCH(D3022,'Sản phẩm'!$A$5:$A$304,0)),""))</f>
        <v/>
      </c>
      <c r="F3022" s="12" t="n"/>
      <c r="G3022" s="11" t="n"/>
      <c r="H3022" s="11" t="n"/>
      <c r="I3022" s="16">
        <f>IF(D3022="","",IF(G3022&lt;&gt;"",G3022,IFERROR(INDEX('Sản phẩm'!$E$5:$E$304,MATCH(D3022,'Sản phẩm'!$A$5:$A$304,0)),"")))</f>
        <v/>
      </c>
      <c r="J3022" s="16">
        <f>IF(OR(D3022="",F3022=""),"",F3022*I3022-N(H3022))</f>
        <v/>
      </c>
      <c r="K3022" s="16">
        <f>IF(OR(D3022="",F3022=""),"",F3022*IFERROR(INDEX('Sản phẩm'!$D$5:$D$304,MATCH(D3022,'Sản phẩm'!$A$5:$A$304,0)),""))</f>
        <v/>
      </c>
      <c r="L3022" s="16">
        <f>IF(J3022="","",J3022-K3022)</f>
        <v/>
      </c>
      <c r="M3022" s="14">
        <f>IF(A3022="","",MONTH(A3022))</f>
        <v/>
      </c>
      <c r="N3022" s="14">
        <f>IF(A3022="","",YEAR(A3022))</f>
        <v/>
      </c>
    </row>
    <row r="3023">
      <c r="A3023" s="15" t="n"/>
      <c r="B3023" s="10" t="n"/>
      <c r="C3023" s="10" t="n"/>
      <c r="D3023" s="10" t="n"/>
      <c r="E3023" s="14">
        <f>IF(D3023="","",IFERROR(INDEX('Sản phẩm'!$B$5:$B$304,MATCH(D3023,'Sản phẩm'!$A$5:$A$304,0)),""))</f>
        <v/>
      </c>
      <c r="F3023" s="12" t="n"/>
      <c r="G3023" s="11" t="n"/>
      <c r="H3023" s="11" t="n"/>
      <c r="I3023" s="16">
        <f>IF(D3023="","",IF(G3023&lt;&gt;"",G3023,IFERROR(INDEX('Sản phẩm'!$E$5:$E$304,MATCH(D3023,'Sản phẩm'!$A$5:$A$304,0)),"")))</f>
        <v/>
      </c>
      <c r="J3023" s="16">
        <f>IF(OR(D3023="",F3023=""),"",F3023*I3023-N(H3023))</f>
        <v/>
      </c>
      <c r="K3023" s="16">
        <f>IF(OR(D3023="",F3023=""),"",F3023*IFERROR(INDEX('Sản phẩm'!$D$5:$D$304,MATCH(D3023,'Sản phẩm'!$A$5:$A$304,0)),""))</f>
        <v/>
      </c>
      <c r="L3023" s="16">
        <f>IF(J3023="","",J3023-K3023)</f>
        <v/>
      </c>
      <c r="M3023" s="14">
        <f>IF(A3023="","",MONTH(A3023))</f>
        <v/>
      </c>
      <c r="N3023" s="14">
        <f>IF(A3023="","",YEAR(A3023))</f>
        <v/>
      </c>
    </row>
    <row r="3024">
      <c r="A3024" s="15" t="n"/>
      <c r="B3024" s="10" t="n"/>
      <c r="C3024" s="10" t="n"/>
      <c r="D3024" s="10" t="n"/>
      <c r="E3024" s="14">
        <f>IF(D3024="","",IFERROR(INDEX('Sản phẩm'!$B$5:$B$304,MATCH(D3024,'Sản phẩm'!$A$5:$A$304,0)),""))</f>
        <v/>
      </c>
      <c r="F3024" s="12" t="n"/>
      <c r="G3024" s="11" t="n"/>
      <c r="H3024" s="11" t="n"/>
      <c r="I3024" s="16">
        <f>IF(D3024="","",IF(G3024&lt;&gt;"",G3024,IFERROR(INDEX('Sản phẩm'!$E$5:$E$304,MATCH(D3024,'Sản phẩm'!$A$5:$A$304,0)),"")))</f>
        <v/>
      </c>
      <c r="J3024" s="16">
        <f>IF(OR(D3024="",F3024=""),"",F3024*I3024-N(H3024))</f>
        <v/>
      </c>
      <c r="K3024" s="16">
        <f>IF(OR(D3024="",F3024=""),"",F3024*IFERROR(INDEX('Sản phẩm'!$D$5:$D$304,MATCH(D3024,'Sản phẩm'!$A$5:$A$304,0)),""))</f>
        <v/>
      </c>
      <c r="L3024" s="16">
        <f>IF(J3024="","",J3024-K3024)</f>
        <v/>
      </c>
      <c r="M3024" s="14">
        <f>IF(A3024="","",MONTH(A3024))</f>
        <v/>
      </c>
      <c r="N3024" s="14">
        <f>IF(A3024="","",YEAR(A3024))</f>
        <v/>
      </c>
    </row>
    <row r="3025">
      <c r="A3025" s="15" t="n"/>
      <c r="B3025" s="10" t="n"/>
      <c r="C3025" s="10" t="n"/>
      <c r="D3025" s="10" t="n"/>
      <c r="E3025" s="14">
        <f>IF(D3025="","",IFERROR(INDEX('Sản phẩm'!$B$5:$B$304,MATCH(D3025,'Sản phẩm'!$A$5:$A$304,0)),""))</f>
        <v/>
      </c>
      <c r="F3025" s="12" t="n"/>
      <c r="G3025" s="11" t="n"/>
      <c r="H3025" s="11" t="n"/>
      <c r="I3025" s="16">
        <f>IF(D3025="","",IF(G3025&lt;&gt;"",G3025,IFERROR(INDEX('Sản phẩm'!$E$5:$E$304,MATCH(D3025,'Sản phẩm'!$A$5:$A$304,0)),"")))</f>
        <v/>
      </c>
      <c r="J3025" s="16">
        <f>IF(OR(D3025="",F3025=""),"",F3025*I3025-N(H3025))</f>
        <v/>
      </c>
      <c r="K3025" s="16">
        <f>IF(OR(D3025="",F3025=""),"",F3025*IFERROR(INDEX('Sản phẩm'!$D$5:$D$304,MATCH(D3025,'Sản phẩm'!$A$5:$A$304,0)),""))</f>
        <v/>
      </c>
      <c r="L3025" s="16">
        <f>IF(J3025="","",J3025-K3025)</f>
        <v/>
      </c>
      <c r="M3025" s="14">
        <f>IF(A3025="","",MONTH(A3025))</f>
        <v/>
      </c>
      <c r="N3025" s="14">
        <f>IF(A3025="","",YEAR(A3025))</f>
        <v/>
      </c>
    </row>
    <row r="3026">
      <c r="A3026" s="15" t="n"/>
      <c r="B3026" s="10" t="n"/>
      <c r="C3026" s="10" t="n"/>
      <c r="D3026" s="10" t="n"/>
      <c r="E3026" s="14">
        <f>IF(D3026="","",IFERROR(INDEX('Sản phẩm'!$B$5:$B$304,MATCH(D3026,'Sản phẩm'!$A$5:$A$304,0)),""))</f>
        <v/>
      </c>
      <c r="F3026" s="12" t="n"/>
      <c r="G3026" s="11" t="n"/>
      <c r="H3026" s="11" t="n"/>
      <c r="I3026" s="16">
        <f>IF(D3026="","",IF(G3026&lt;&gt;"",G3026,IFERROR(INDEX('Sản phẩm'!$E$5:$E$304,MATCH(D3026,'Sản phẩm'!$A$5:$A$304,0)),"")))</f>
        <v/>
      </c>
      <c r="J3026" s="16">
        <f>IF(OR(D3026="",F3026=""),"",F3026*I3026-N(H3026))</f>
        <v/>
      </c>
      <c r="K3026" s="16">
        <f>IF(OR(D3026="",F3026=""),"",F3026*IFERROR(INDEX('Sản phẩm'!$D$5:$D$304,MATCH(D3026,'Sản phẩm'!$A$5:$A$304,0)),""))</f>
        <v/>
      </c>
      <c r="L3026" s="16">
        <f>IF(J3026="","",J3026-K3026)</f>
        <v/>
      </c>
      <c r="M3026" s="14">
        <f>IF(A3026="","",MONTH(A3026))</f>
        <v/>
      </c>
      <c r="N3026" s="14">
        <f>IF(A3026="","",YEAR(A3026))</f>
        <v/>
      </c>
    </row>
    <row r="3027">
      <c r="A3027" s="15" t="n"/>
      <c r="B3027" s="10" t="n"/>
      <c r="C3027" s="10" t="n"/>
      <c r="D3027" s="10" t="n"/>
      <c r="E3027" s="14">
        <f>IF(D3027="","",IFERROR(INDEX('Sản phẩm'!$B$5:$B$304,MATCH(D3027,'Sản phẩm'!$A$5:$A$304,0)),""))</f>
        <v/>
      </c>
      <c r="F3027" s="12" t="n"/>
      <c r="G3027" s="11" t="n"/>
      <c r="H3027" s="11" t="n"/>
      <c r="I3027" s="16">
        <f>IF(D3027="","",IF(G3027&lt;&gt;"",G3027,IFERROR(INDEX('Sản phẩm'!$E$5:$E$304,MATCH(D3027,'Sản phẩm'!$A$5:$A$304,0)),"")))</f>
        <v/>
      </c>
      <c r="J3027" s="16">
        <f>IF(OR(D3027="",F3027=""),"",F3027*I3027-N(H3027))</f>
        <v/>
      </c>
      <c r="K3027" s="16">
        <f>IF(OR(D3027="",F3027=""),"",F3027*IFERROR(INDEX('Sản phẩm'!$D$5:$D$304,MATCH(D3027,'Sản phẩm'!$A$5:$A$304,0)),""))</f>
        <v/>
      </c>
      <c r="L3027" s="16">
        <f>IF(J3027="","",J3027-K3027)</f>
        <v/>
      </c>
      <c r="M3027" s="14">
        <f>IF(A3027="","",MONTH(A3027))</f>
        <v/>
      </c>
      <c r="N3027" s="14">
        <f>IF(A3027="","",YEAR(A3027))</f>
        <v/>
      </c>
    </row>
    <row r="3028">
      <c r="A3028" s="15" t="n"/>
      <c r="B3028" s="10" t="n"/>
      <c r="C3028" s="10" t="n"/>
      <c r="D3028" s="10" t="n"/>
      <c r="E3028" s="14">
        <f>IF(D3028="","",IFERROR(INDEX('Sản phẩm'!$B$5:$B$304,MATCH(D3028,'Sản phẩm'!$A$5:$A$304,0)),""))</f>
        <v/>
      </c>
      <c r="F3028" s="12" t="n"/>
      <c r="G3028" s="11" t="n"/>
      <c r="H3028" s="11" t="n"/>
      <c r="I3028" s="16">
        <f>IF(D3028="","",IF(G3028&lt;&gt;"",G3028,IFERROR(INDEX('Sản phẩm'!$E$5:$E$304,MATCH(D3028,'Sản phẩm'!$A$5:$A$304,0)),"")))</f>
        <v/>
      </c>
      <c r="J3028" s="16">
        <f>IF(OR(D3028="",F3028=""),"",F3028*I3028-N(H3028))</f>
        <v/>
      </c>
      <c r="K3028" s="16">
        <f>IF(OR(D3028="",F3028=""),"",F3028*IFERROR(INDEX('Sản phẩm'!$D$5:$D$304,MATCH(D3028,'Sản phẩm'!$A$5:$A$304,0)),""))</f>
        <v/>
      </c>
      <c r="L3028" s="16">
        <f>IF(J3028="","",J3028-K3028)</f>
        <v/>
      </c>
      <c r="M3028" s="14">
        <f>IF(A3028="","",MONTH(A3028))</f>
        <v/>
      </c>
      <c r="N3028" s="14">
        <f>IF(A3028="","",YEAR(A3028))</f>
        <v/>
      </c>
    </row>
    <row r="3029">
      <c r="A3029" s="15" t="n"/>
      <c r="B3029" s="10" t="n"/>
      <c r="C3029" s="10" t="n"/>
      <c r="D3029" s="10" t="n"/>
      <c r="E3029" s="14">
        <f>IF(D3029="","",IFERROR(INDEX('Sản phẩm'!$B$5:$B$304,MATCH(D3029,'Sản phẩm'!$A$5:$A$304,0)),""))</f>
        <v/>
      </c>
      <c r="F3029" s="12" t="n"/>
      <c r="G3029" s="11" t="n"/>
      <c r="H3029" s="11" t="n"/>
      <c r="I3029" s="16">
        <f>IF(D3029="","",IF(G3029&lt;&gt;"",G3029,IFERROR(INDEX('Sản phẩm'!$E$5:$E$304,MATCH(D3029,'Sản phẩm'!$A$5:$A$304,0)),"")))</f>
        <v/>
      </c>
      <c r="J3029" s="16">
        <f>IF(OR(D3029="",F3029=""),"",F3029*I3029-N(H3029))</f>
        <v/>
      </c>
      <c r="K3029" s="16">
        <f>IF(OR(D3029="",F3029=""),"",F3029*IFERROR(INDEX('Sản phẩm'!$D$5:$D$304,MATCH(D3029,'Sản phẩm'!$A$5:$A$304,0)),""))</f>
        <v/>
      </c>
      <c r="L3029" s="16">
        <f>IF(J3029="","",J3029-K3029)</f>
        <v/>
      </c>
      <c r="M3029" s="14">
        <f>IF(A3029="","",MONTH(A3029))</f>
        <v/>
      </c>
      <c r="N3029" s="14">
        <f>IF(A3029="","",YEAR(A3029))</f>
        <v/>
      </c>
    </row>
    <row r="3030">
      <c r="A3030" s="15" t="n"/>
      <c r="B3030" s="10" t="n"/>
      <c r="C3030" s="10" t="n"/>
      <c r="D3030" s="10" t="n"/>
      <c r="E3030" s="14">
        <f>IF(D3030="","",IFERROR(INDEX('Sản phẩm'!$B$5:$B$304,MATCH(D3030,'Sản phẩm'!$A$5:$A$304,0)),""))</f>
        <v/>
      </c>
      <c r="F3030" s="12" t="n"/>
      <c r="G3030" s="11" t="n"/>
      <c r="H3030" s="11" t="n"/>
      <c r="I3030" s="16">
        <f>IF(D3030="","",IF(G3030&lt;&gt;"",G3030,IFERROR(INDEX('Sản phẩm'!$E$5:$E$304,MATCH(D3030,'Sản phẩm'!$A$5:$A$304,0)),"")))</f>
        <v/>
      </c>
      <c r="J3030" s="16">
        <f>IF(OR(D3030="",F3030=""),"",F3030*I3030-N(H3030))</f>
        <v/>
      </c>
      <c r="K3030" s="16">
        <f>IF(OR(D3030="",F3030=""),"",F3030*IFERROR(INDEX('Sản phẩm'!$D$5:$D$304,MATCH(D3030,'Sản phẩm'!$A$5:$A$304,0)),""))</f>
        <v/>
      </c>
      <c r="L3030" s="16">
        <f>IF(J3030="","",J3030-K3030)</f>
        <v/>
      </c>
      <c r="M3030" s="14">
        <f>IF(A3030="","",MONTH(A3030))</f>
        <v/>
      </c>
      <c r="N3030" s="14">
        <f>IF(A3030="","",YEAR(A3030))</f>
        <v/>
      </c>
    </row>
    <row r="3031">
      <c r="A3031" s="15" t="n"/>
      <c r="B3031" s="10" t="n"/>
      <c r="C3031" s="10" t="n"/>
      <c r="D3031" s="10" t="n"/>
      <c r="E3031" s="14">
        <f>IF(D3031="","",IFERROR(INDEX('Sản phẩm'!$B$5:$B$304,MATCH(D3031,'Sản phẩm'!$A$5:$A$304,0)),""))</f>
        <v/>
      </c>
      <c r="F3031" s="12" t="n"/>
      <c r="G3031" s="11" t="n"/>
      <c r="H3031" s="11" t="n"/>
      <c r="I3031" s="16">
        <f>IF(D3031="","",IF(G3031&lt;&gt;"",G3031,IFERROR(INDEX('Sản phẩm'!$E$5:$E$304,MATCH(D3031,'Sản phẩm'!$A$5:$A$304,0)),"")))</f>
        <v/>
      </c>
      <c r="J3031" s="16">
        <f>IF(OR(D3031="",F3031=""),"",F3031*I3031-N(H3031))</f>
        <v/>
      </c>
      <c r="K3031" s="16">
        <f>IF(OR(D3031="",F3031=""),"",F3031*IFERROR(INDEX('Sản phẩm'!$D$5:$D$304,MATCH(D3031,'Sản phẩm'!$A$5:$A$304,0)),""))</f>
        <v/>
      </c>
      <c r="L3031" s="16">
        <f>IF(J3031="","",J3031-K3031)</f>
        <v/>
      </c>
      <c r="M3031" s="14">
        <f>IF(A3031="","",MONTH(A3031))</f>
        <v/>
      </c>
      <c r="N3031" s="14">
        <f>IF(A3031="","",YEAR(A3031))</f>
        <v/>
      </c>
    </row>
    <row r="3032">
      <c r="A3032" s="15" t="n"/>
      <c r="B3032" s="10" t="n"/>
      <c r="C3032" s="10" t="n"/>
      <c r="D3032" s="10" t="n"/>
      <c r="E3032" s="14">
        <f>IF(D3032="","",IFERROR(INDEX('Sản phẩm'!$B$5:$B$304,MATCH(D3032,'Sản phẩm'!$A$5:$A$304,0)),""))</f>
        <v/>
      </c>
      <c r="F3032" s="12" t="n"/>
      <c r="G3032" s="11" t="n"/>
      <c r="H3032" s="11" t="n"/>
      <c r="I3032" s="16">
        <f>IF(D3032="","",IF(G3032&lt;&gt;"",G3032,IFERROR(INDEX('Sản phẩm'!$E$5:$E$304,MATCH(D3032,'Sản phẩm'!$A$5:$A$304,0)),"")))</f>
        <v/>
      </c>
      <c r="J3032" s="16">
        <f>IF(OR(D3032="",F3032=""),"",F3032*I3032-N(H3032))</f>
        <v/>
      </c>
      <c r="K3032" s="16">
        <f>IF(OR(D3032="",F3032=""),"",F3032*IFERROR(INDEX('Sản phẩm'!$D$5:$D$304,MATCH(D3032,'Sản phẩm'!$A$5:$A$304,0)),""))</f>
        <v/>
      </c>
      <c r="L3032" s="16">
        <f>IF(J3032="","",J3032-K3032)</f>
        <v/>
      </c>
      <c r="M3032" s="14">
        <f>IF(A3032="","",MONTH(A3032))</f>
        <v/>
      </c>
      <c r="N3032" s="14">
        <f>IF(A3032="","",YEAR(A3032))</f>
        <v/>
      </c>
    </row>
    <row r="3033">
      <c r="A3033" s="15" t="n"/>
      <c r="B3033" s="10" t="n"/>
      <c r="C3033" s="10" t="n"/>
      <c r="D3033" s="10" t="n"/>
      <c r="E3033" s="14">
        <f>IF(D3033="","",IFERROR(INDEX('Sản phẩm'!$B$5:$B$304,MATCH(D3033,'Sản phẩm'!$A$5:$A$304,0)),""))</f>
        <v/>
      </c>
      <c r="F3033" s="12" t="n"/>
      <c r="G3033" s="11" t="n"/>
      <c r="H3033" s="11" t="n"/>
      <c r="I3033" s="16">
        <f>IF(D3033="","",IF(G3033&lt;&gt;"",G3033,IFERROR(INDEX('Sản phẩm'!$E$5:$E$304,MATCH(D3033,'Sản phẩm'!$A$5:$A$304,0)),"")))</f>
        <v/>
      </c>
      <c r="J3033" s="16">
        <f>IF(OR(D3033="",F3033=""),"",F3033*I3033-N(H3033))</f>
        <v/>
      </c>
      <c r="K3033" s="16">
        <f>IF(OR(D3033="",F3033=""),"",F3033*IFERROR(INDEX('Sản phẩm'!$D$5:$D$304,MATCH(D3033,'Sản phẩm'!$A$5:$A$304,0)),""))</f>
        <v/>
      </c>
      <c r="L3033" s="16">
        <f>IF(J3033="","",J3033-K3033)</f>
        <v/>
      </c>
      <c r="M3033" s="14">
        <f>IF(A3033="","",MONTH(A3033))</f>
        <v/>
      </c>
      <c r="N3033" s="14">
        <f>IF(A3033="","",YEAR(A3033))</f>
        <v/>
      </c>
    </row>
    <row r="3034">
      <c r="A3034" s="15" t="n"/>
      <c r="B3034" s="10" t="n"/>
      <c r="C3034" s="10" t="n"/>
      <c r="D3034" s="10" t="n"/>
      <c r="E3034" s="14">
        <f>IF(D3034="","",IFERROR(INDEX('Sản phẩm'!$B$5:$B$304,MATCH(D3034,'Sản phẩm'!$A$5:$A$304,0)),""))</f>
        <v/>
      </c>
      <c r="F3034" s="12" t="n"/>
      <c r="G3034" s="11" t="n"/>
      <c r="H3034" s="11" t="n"/>
      <c r="I3034" s="16">
        <f>IF(D3034="","",IF(G3034&lt;&gt;"",G3034,IFERROR(INDEX('Sản phẩm'!$E$5:$E$304,MATCH(D3034,'Sản phẩm'!$A$5:$A$304,0)),"")))</f>
        <v/>
      </c>
      <c r="J3034" s="16">
        <f>IF(OR(D3034="",F3034=""),"",F3034*I3034-N(H3034))</f>
        <v/>
      </c>
      <c r="K3034" s="16">
        <f>IF(OR(D3034="",F3034=""),"",F3034*IFERROR(INDEX('Sản phẩm'!$D$5:$D$304,MATCH(D3034,'Sản phẩm'!$A$5:$A$304,0)),""))</f>
        <v/>
      </c>
      <c r="L3034" s="16">
        <f>IF(J3034="","",J3034-K3034)</f>
        <v/>
      </c>
      <c r="M3034" s="14">
        <f>IF(A3034="","",MONTH(A3034))</f>
        <v/>
      </c>
      <c r="N3034" s="14">
        <f>IF(A3034="","",YEAR(A3034))</f>
        <v/>
      </c>
    </row>
    <row r="3035">
      <c r="A3035" s="15" t="n"/>
      <c r="B3035" s="10" t="n"/>
      <c r="C3035" s="10" t="n"/>
      <c r="D3035" s="10" t="n"/>
      <c r="E3035" s="14">
        <f>IF(D3035="","",IFERROR(INDEX('Sản phẩm'!$B$5:$B$304,MATCH(D3035,'Sản phẩm'!$A$5:$A$304,0)),""))</f>
        <v/>
      </c>
      <c r="F3035" s="12" t="n"/>
      <c r="G3035" s="11" t="n"/>
      <c r="H3035" s="11" t="n"/>
      <c r="I3035" s="16">
        <f>IF(D3035="","",IF(G3035&lt;&gt;"",G3035,IFERROR(INDEX('Sản phẩm'!$E$5:$E$304,MATCH(D3035,'Sản phẩm'!$A$5:$A$304,0)),"")))</f>
        <v/>
      </c>
      <c r="J3035" s="16">
        <f>IF(OR(D3035="",F3035=""),"",F3035*I3035-N(H3035))</f>
        <v/>
      </c>
      <c r="K3035" s="16">
        <f>IF(OR(D3035="",F3035=""),"",F3035*IFERROR(INDEX('Sản phẩm'!$D$5:$D$304,MATCH(D3035,'Sản phẩm'!$A$5:$A$304,0)),""))</f>
        <v/>
      </c>
      <c r="L3035" s="16">
        <f>IF(J3035="","",J3035-K3035)</f>
        <v/>
      </c>
      <c r="M3035" s="14">
        <f>IF(A3035="","",MONTH(A3035))</f>
        <v/>
      </c>
      <c r="N3035" s="14">
        <f>IF(A3035="","",YEAR(A3035))</f>
        <v/>
      </c>
    </row>
    <row r="3036">
      <c r="A3036" s="15" t="n"/>
      <c r="B3036" s="10" t="n"/>
      <c r="C3036" s="10" t="n"/>
      <c r="D3036" s="10" t="n"/>
      <c r="E3036" s="14">
        <f>IF(D3036="","",IFERROR(INDEX('Sản phẩm'!$B$5:$B$304,MATCH(D3036,'Sản phẩm'!$A$5:$A$304,0)),""))</f>
        <v/>
      </c>
      <c r="F3036" s="12" t="n"/>
      <c r="G3036" s="11" t="n"/>
      <c r="H3036" s="11" t="n"/>
      <c r="I3036" s="16">
        <f>IF(D3036="","",IF(G3036&lt;&gt;"",G3036,IFERROR(INDEX('Sản phẩm'!$E$5:$E$304,MATCH(D3036,'Sản phẩm'!$A$5:$A$304,0)),"")))</f>
        <v/>
      </c>
      <c r="J3036" s="16">
        <f>IF(OR(D3036="",F3036=""),"",F3036*I3036-N(H3036))</f>
        <v/>
      </c>
      <c r="K3036" s="16">
        <f>IF(OR(D3036="",F3036=""),"",F3036*IFERROR(INDEX('Sản phẩm'!$D$5:$D$304,MATCH(D3036,'Sản phẩm'!$A$5:$A$304,0)),""))</f>
        <v/>
      </c>
      <c r="L3036" s="16">
        <f>IF(J3036="","",J3036-K3036)</f>
        <v/>
      </c>
      <c r="M3036" s="14">
        <f>IF(A3036="","",MONTH(A3036))</f>
        <v/>
      </c>
      <c r="N3036" s="14">
        <f>IF(A3036="","",YEAR(A3036))</f>
        <v/>
      </c>
    </row>
    <row r="3037">
      <c r="A3037" s="15" t="n"/>
      <c r="B3037" s="10" t="n"/>
      <c r="C3037" s="10" t="n"/>
      <c r="D3037" s="10" t="n"/>
      <c r="E3037" s="14">
        <f>IF(D3037="","",IFERROR(INDEX('Sản phẩm'!$B$5:$B$304,MATCH(D3037,'Sản phẩm'!$A$5:$A$304,0)),""))</f>
        <v/>
      </c>
      <c r="F3037" s="12" t="n"/>
      <c r="G3037" s="11" t="n"/>
      <c r="H3037" s="11" t="n"/>
      <c r="I3037" s="16">
        <f>IF(D3037="","",IF(G3037&lt;&gt;"",G3037,IFERROR(INDEX('Sản phẩm'!$E$5:$E$304,MATCH(D3037,'Sản phẩm'!$A$5:$A$304,0)),"")))</f>
        <v/>
      </c>
      <c r="J3037" s="16">
        <f>IF(OR(D3037="",F3037=""),"",F3037*I3037-N(H3037))</f>
        <v/>
      </c>
      <c r="K3037" s="16">
        <f>IF(OR(D3037="",F3037=""),"",F3037*IFERROR(INDEX('Sản phẩm'!$D$5:$D$304,MATCH(D3037,'Sản phẩm'!$A$5:$A$304,0)),""))</f>
        <v/>
      </c>
      <c r="L3037" s="16">
        <f>IF(J3037="","",J3037-K3037)</f>
        <v/>
      </c>
      <c r="M3037" s="14">
        <f>IF(A3037="","",MONTH(A3037))</f>
        <v/>
      </c>
      <c r="N3037" s="14">
        <f>IF(A3037="","",YEAR(A3037))</f>
        <v/>
      </c>
    </row>
    <row r="3038">
      <c r="A3038" s="15" t="n"/>
      <c r="B3038" s="10" t="n"/>
      <c r="C3038" s="10" t="n"/>
      <c r="D3038" s="10" t="n"/>
      <c r="E3038" s="14">
        <f>IF(D3038="","",IFERROR(INDEX('Sản phẩm'!$B$5:$B$304,MATCH(D3038,'Sản phẩm'!$A$5:$A$304,0)),""))</f>
        <v/>
      </c>
      <c r="F3038" s="12" t="n"/>
      <c r="G3038" s="11" t="n"/>
      <c r="H3038" s="11" t="n"/>
      <c r="I3038" s="16">
        <f>IF(D3038="","",IF(G3038&lt;&gt;"",G3038,IFERROR(INDEX('Sản phẩm'!$E$5:$E$304,MATCH(D3038,'Sản phẩm'!$A$5:$A$304,0)),"")))</f>
        <v/>
      </c>
      <c r="J3038" s="16">
        <f>IF(OR(D3038="",F3038=""),"",F3038*I3038-N(H3038))</f>
        <v/>
      </c>
      <c r="K3038" s="16">
        <f>IF(OR(D3038="",F3038=""),"",F3038*IFERROR(INDEX('Sản phẩm'!$D$5:$D$304,MATCH(D3038,'Sản phẩm'!$A$5:$A$304,0)),""))</f>
        <v/>
      </c>
      <c r="L3038" s="16">
        <f>IF(J3038="","",J3038-K3038)</f>
        <v/>
      </c>
      <c r="M3038" s="14">
        <f>IF(A3038="","",MONTH(A3038))</f>
        <v/>
      </c>
      <c r="N3038" s="14">
        <f>IF(A3038="","",YEAR(A3038))</f>
        <v/>
      </c>
    </row>
    <row r="3039">
      <c r="A3039" s="15" t="n"/>
      <c r="B3039" s="10" t="n"/>
      <c r="C3039" s="10" t="n"/>
      <c r="D3039" s="10" t="n"/>
      <c r="E3039" s="14">
        <f>IF(D3039="","",IFERROR(INDEX('Sản phẩm'!$B$5:$B$304,MATCH(D3039,'Sản phẩm'!$A$5:$A$304,0)),""))</f>
        <v/>
      </c>
      <c r="F3039" s="12" t="n"/>
      <c r="G3039" s="11" t="n"/>
      <c r="H3039" s="11" t="n"/>
      <c r="I3039" s="16">
        <f>IF(D3039="","",IF(G3039&lt;&gt;"",G3039,IFERROR(INDEX('Sản phẩm'!$E$5:$E$304,MATCH(D3039,'Sản phẩm'!$A$5:$A$304,0)),"")))</f>
        <v/>
      </c>
      <c r="J3039" s="16">
        <f>IF(OR(D3039="",F3039=""),"",F3039*I3039-N(H3039))</f>
        <v/>
      </c>
      <c r="K3039" s="16">
        <f>IF(OR(D3039="",F3039=""),"",F3039*IFERROR(INDEX('Sản phẩm'!$D$5:$D$304,MATCH(D3039,'Sản phẩm'!$A$5:$A$304,0)),""))</f>
        <v/>
      </c>
      <c r="L3039" s="16">
        <f>IF(J3039="","",J3039-K3039)</f>
        <v/>
      </c>
      <c r="M3039" s="14">
        <f>IF(A3039="","",MONTH(A3039))</f>
        <v/>
      </c>
      <c r="N3039" s="14">
        <f>IF(A3039="","",YEAR(A3039))</f>
        <v/>
      </c>
    </row>
    <row r="3040">
      <c r="A3040" s="15" t="n"/>
      <c r="B3040" s="10" t="n"/>
      <c r="C3040" s="10" t="n"/>
      <c r="D3040" s="10" t="n"/>
      <c r="E3040" s="14">
        <f>IF(D3040="","",IFERROR(INDEX('Sản phẩm'!$B$5:$B$304,MATCH(D3040,'Sản phẩm'!$A$5:$A$304,0)),""))</f>
        <v/>
      </c>
      <c r="F3040" s="12" t="n"/>
      <c r="G3040" s="11" t="n"/>
      <c r="H3040" s="11" t="n"/>
      <c r="I3040" s="16">
        <f>IF(D3040="","",IF(G3040&lt;&gt;"",G3040,IFERROR(INDEX('Sản phẩm'!$E$5:$E$304,MATCH(D3040,'Sản phẩm'!$A$5:$A$304,0)),"")))</f>
        <v/>
      </c>
      <c r="J3040" s="16">
        <f>IF(OR(D3040="",F3040=""),"",F3040*I3040-N(H3040))</f>
        <v/>
      </c>
      <c r="K3040" s="16">
        <f>IF(OR(D3040="",F3040=""),"",F3040*IFERROR(INDEX('Sản phẩm'!$D$5:$D$304,MATCH(D3040,'Sản phẩm'!$A$5:$A$304,0)),""))</f>
        <v/>
      </c>
      <c r="L3040" s="16">
        <f>IF(J3040="","",J3040-K3040)</f>
        <v/>
      </c>
      <c r="M3040" s="14">
        <f>IF(A3040="","",MONTH(A3040))</f>
        <v/>
      </c>
      <c r="N3040" s="14">
        <f>IF(A3040="","",YEAR(A3040))</f>
        <v/>
      </c>
    </row>
    <row r="3041">
      <c r="A3041" s="15" t="n"/>
      <c r="B3041" s="10" t="n"/>
      <c r="C3041" s="10" t="n"/>
      <c r="D3041" s="10" t="n"/>
      <c r="E3041" s="14">
        <f>IF(D3041="","",IFERROR(INDEX('Sản phẩm'!$B$5:$B$304,MATCH(D3041,'Sản phẩm'!$A$5:$A$304,0)),""))</f>
        <v/>
      </c>
      <c r="F3041" s="12" t="n"/>
      <c r="G3041" s="11" t="n"/>
      <c r="H3041" s="11" t="n"/>
      <c r="I3041" s="16">
        <f>IF(D3041="","",IF(G3041&lt;&gt;"",G3041,IFERROR(INDEX('Sản phẩm'!$E$5:$E$304,MATCH(D3041,'Sản phẩm'!$A$5:$A$304,0)),"")))</f>
        <v/>
      </c>
      <c r="J3041" s="16">
        <f>IF(OR(D3041="",F3041=""),"",F3041*I3041-N(H3041))</f>
        <v/>
      </c>
      <c r="K3041" s="16">
        <f>IF(OR(D3041="",F3041=""),"",F3041*IFERROR(INDEX('Sản phẩm'!$D$5:$D$304,MATCH(D3041,'Sản phẩm'!$A$5:$A$304,0)),""))</f>
        <v/>
      </c>
      <c r="L3041" s="16">
        <f>IF(J3041="","",J3041-K3041)</f>
        <v/>
      </c>
      <c r="M3041" s="14">
        <f>IF(A3041="","",MONTH(A3041))</f>
        <v/>
      </c>
      <c r="N3041" s="14">
        <f>IF(A3041="","",YEAR(A3041))</f>
        <v/>
      </c>
    </row>
    <row r="3042">
      <c r="A3042" s="15" t="n"/>
      <c r="B3042" s="10" t="n"/>
      <c r="C3042" s="10" t="n"/>
      <c r="D3042" s="10" t="n"/>
      <c r="E3042" s="14">
        <f>IF(D3042="","",IFERROR(INDEX('Sản phẩm'!$B$5:$B$304,MATCH(D3042,'Sản phẩm'!$A$5:$A$304,0)),""))</f>
        <v/>
      </c>
      <c r="F3042" s="12" t="n"/>
      <c r="G3042" s="11" t="n"/>
      <c r="H3042" s="11" t="n"/>
      <c r="I3042" s="16">
        <f>IF(D3042="","",IF(G3042&lt;&gt;"",G3042,IFERROR(INDEX('Sản phẩm'!$E$5:$E$304,MATCH(D3042,'Sản phẩm'!$A$5:$A$304,0)),"")))</f>
        <v/>
      </c>
      <c r="J3042" s="16">
        <f>IF(OR(D3042="",F3042=""),"",F3042*I3042-N(H3042))</f>
        <v/>
      </c>
      <c r="K3042" s="16">
        <f>IF(OR(D3042="",F3042=""),"",F3042*IFERROR(INDEX('Sản phẩm'!$D$5:$D$304,MATCH(D3042,'Sản phẩm'!$A$5:$A$304,0)),""))</f>
        <v/>
      </c>
      <c r="L3042" s="16">
        <f>IF(J3042="","",J3042-K3042)</f>
        <v/>
      </c>
      <c r="M3042" s="14">
        <f>IF(A3042="","",MONTH(A3042))</f>
        <v/>
      </c>
      <c r="N3042" s="14">
        <f>IF(A3042="","",YEAR(A3042))</f>
        <v/>
      </c>
    </row>
    <row r="3043">
      <c r="A3043" s="15" t="n"/>
      <c r="B3043" s="10" t="n"/>
      <c r="C3043" s="10" t="n"/>
      <c r="D3043" s="10" t="n"/>
      <c r="E3043" s="14">
        <f>IF(D3043="","",IFERROR(INDEX('Sản phẩm'!$B$5:$B$304,MATCH(D3043,'Sản phẩm'!$A$5:$A$304,0)),""))</f>
        <v/>
      </c>
      <c r="F3043" s="12" t="n"/>
      <c r="G3043" s="11" t="n"/>
      <c r="H3043" s="11" t="n"/>
      <c r="I3043" s="16">
        <f>IF(D3043="","",IF(G3043&lt;&gt;"",G3043,IFERROR(INDEX('Sản phẩm'!$E$5:$E$304,MATCH(D3043,'Sản phẩm'!$A$5:$A$304,0)),"")))</f>
        <v/>
      </c>
      <c r="J3043" s="16">
        <f>IF(OR(D3043="",F3043=""),"",F3043*I3043-N(H3043))</f>
        <v/>
      </c>
      <c r="K3043" s="16">
        <f>IF(OR(D3043="",F3043=""),"",F3043*IFERROR(INDEX('Sản phẩm'!$D$5:$D$304,MATCH(D3043,'Sản phẩm'!$A$5:$A$304,0)),""))</f>
        <v/>
      </c>
      <c r="L3043" s="16">
        <f>IF(J3043="","",J3043-K3043)</f>
        <v/>
      </c>
      <c r="M3043" s="14">
        <f>IF(A3043="","",MONTH(A3043))</f>
        <v/>
      </c>
      <c r="N3043" s="14">
        <f>IF(A3043="","",YEAR(A3043))</f>
        <v/>
      </c>
    </row>
    <row r="3044">
      <c r="A3044" s="15" t="n"/>
      <c r="B3044" s="10" t="n"/>
      <c r="C3044" s="10" t="n"/>
      <c r="D3044" s="10" t="n"/>
      <c r="E3044" s="14">
        <f>IF(D3044="","",IFERROR(INDEX('Sản phẩm'!$B$5:$B$304,MATCH(D3044,'Sản phẩm'!$A$5:$A$304,0)),""))</f>
        <v/>
      </c>
      <c r="F3044" s="12" t="n"/>
      <c r="G3044" s="11" t="n"/>
      <c r="H3044" s="11" t="n"/>
      <c r="I3044" s="16">
        <f>IF(D3044="","",IF(G3044&lt;&gt;"",G3044,IFERROR(INDEX('Sản phẩm'!$E$5:$E$304,MATCH(D3044,'Sản phẩm'!$A$5:$A$304,0)),"")))</f>
        <v/>
      </c>
      <c r="J3044" s="16">
        <f>IF(OR(D3044="",F3044=""),"",F3044*I3044-N(H3044))</f>
        <v/>
      </c>
      <c r="K3044" s="16">
        <f>IF(OR(D3044="",F3044=""),"",F3044*IFERROR(INDEX('Sản phẩm'!$D$5:$D$304,MATCH(D3044,'Sản phẩm'!$A$5:$A$304,0)),""))</f>
        <v/>
      </c>
      <c r="L3044" s="16">
        <f>IF(J3044="","",J3044-K3044)</f>
        <v/>
      </c>
      <c r="M3044" s="14">
        <f>IF(A3044="","",MONTH(A3044))</f>
        <v/>
      </c>
      <c r="N3044" s="14">
        <f>IF(A3044="","",YEAR(A3044))</f>
        <v/>
      </c>
    </row>
    <row r="3045">
      <c r="A3045" s="15" t="n"/>
      <c r="B3045" s="10" t="n"/>
      <c r="C3045" s="10" t="n"/>
      <c r="D3045" s="10" t="n"/>
      <c r="E3045" s="14">
        <f>IF(D3045="","",IFERROR(INDEX('Sản phẩm'!$B$5:$B$304,MATCH(D3045,'Sản phẩm'!$A$5:$A$304,0)),""))</f>
        <v/>
      </c>
      <c r="F3045" s="12" t="n"/>
      <c r="G3045" s="11" t="n"/>
      <c r="H3045" s="11" t="n"/>
      <c r="I3045" s="16">
        <f>IF(D3045="","",IF(G3045&lt;&gt;"",G3045,IFERROR(INDEX('Sản phẩm'!$E$5:$E$304,MATCH(D3045,'Sản phẩm'!$A$5:$A$304,0)),"")))</f>
        <v/>
      </c>
      <c r="J3045" s="16">
        <f>IF(OR(D3045="",F3045=""),"",F3045*I3045-N(H3045))</f>
        <v/>
      </c>
      <c r="K3045" s="16">
        <f>IF(OR(D3045="",F3045=""),"",F3045*IFERROR(INDEX('Sản phẩm'!$D$5:$D$304,MATCH(D3045,'Sản phẩm'!$A$5:$A$304,0)),""))</f>
        <v/>
      </c>
      <c r="L3045" s="16">
        <f>IF(J3045="","",J3045-K3045)</f>
        <v/>
      </c>
      <c r="M3045" s="14">
        <f>IF(A3045="","",MONTH(A3045))</f>
        <v/>
      </c>
      <c r="N3045" s="14">
        <f>IF(A3045="","",YEAR(A3045))</f>
        <v/>
      </c>
    </row>
    <row r="3046">
      <c r="A3046" s="15" t="n"/>
      <c r="B3046" s="10" t="n"/>
      <c r="C3046" s="10" t="n"/>
      <c r="D3046" s="10" t="n"/>
      <c r="E3046" s="14">
        <f>IF(D3046="","",IFERROR(INDEX('Sản phẩm'!$B$5:$B$304,MATCH(D3046,'Sản phẩm'!$A$5:$A$304,0)),""))</f>
        <v/>
      </c>
      <c r="F3046" s="12" t="n"/>
      <c r="G3046" s="11" t="n"/>
      <c r="H3046" s="11" t="n"/>
      <c r="I3046" s="16">
        <f>IF(D3046="","",IF(G3046&lt;&gt;"",G3046,IFERROR(INDEX('Sản phẩm'!$E$5:$E$304,MATCH(D3046,'Sản phẩm'!$A$5:$A$304,0)),"")))</f>
        <v/>
      </c>
      <c r="J3046" s="16">
        <f>IF(OR(D3046="",F3046=""),"",F3046*I3046-N(H3046))</f>
        <v/>
      </c>
      <c r="K3046" s="16">
        <f>IF(OR(D3046="",F3046=""),"",F3046*IFERROR(INDEX('Sản phẩm'!$D$5:$D$304,MATCH(D3046,'Sản phẩm'!$A$5:$A$304,0)),""))</f>
        <v/>
      </c>
      <c r="L3046" s="16">
        <f>IF(J3046="","",J3046-K3046)</f>
        <v/>
      </c>
      <c r="M3046" s="14">
        <f>IF(A3046="","",MONTH(A3046))</f>
        <v/>
      </c>
      <c r="N3046" s="14">
        <f>IF(A3046="","",YEAR(A3046))</f>
        <v/>
      </c>
    </row>
    <row r="3047">
      <c r="A3047" s="15" t="n"/>
      <c r="B3047" s="10" t="n"/>
      <c r="C3047" s="10" t="n"/>
      <c r="D3047" s="10" t="n"/>
      <c r="E3047" s="14">
        <f>IF(D3047="","",IFERROR(INDEX('Sản phẩm'!$B$5:$B$304,MATCH(D3047,'Sản phẩm'!$A$5:$A$304,0)),""))</f>
        <v/>
      </c>
      <c r="F3047" s="12" t="n"/>
      <c r="G3047" s="11" t="n"/>
      <c r="H3047" s="11" t="n"/>
      <c r="I3047" s="16">
        <f>IF(D3047="","",IF(G3047&lt;&gt;"",G3047,IFERROR(INDEX('Sản phẩm'!$E$5:$E$304,MATCH(D3047,'Sản phẩm'!$A$5:$A$304,0)),"")))</f>
        <v/>
      </c>
      <c r="J3047" s="16">
        <f>IF(OR(D3047="",F3047=""),"",F3047*I3047-N(H3047))</f>
        <v/>
      </c>
      <c r="K3047" s="16">
        <f>IF(OR(D3047="",F3047=""),"",F3047*IFERROR(INDEX('Sản phẩm'!$D$5:$D$304,MATCH(D3047,'Sản phẩm'!$A$5:$A$304,0)),""))</f>
        <v/>
      </c>
      <c r="L3047" s="16">
        <f>IF(J3047="","",J3047-K3047)</f>
        <v/>
      </c>
      <c r="M3047" s="14">
        <f>IF(A3047="","",MONTH(A3047))</f>
        <v/>
      </c>
      <c r="N3047" s="14">
        <f>IF(A3047="","",YEAR(A3047))</f>
        <v/>
      </c>
    </row>
    <row r="3048">
      <c r="A3048" s="15" t="n"/>
      <c r="B3048" s="10" t="n"/>
      <c r="C3048" s="10" t="n"/>
      <c r="D3048" s="10" t="n"/>
      <c r="E3048" s="14">
        <f>IF(D3048="","",IFERROR(INDEX('Sản phẩm'!$B$5:$B$304,MATCH(D3048,'Sản phẩm'!$A$5:$A$304,0)),""))</f>
        <v/>
      </c>
      <c r="F3048" s="12" t="n"/>
      <c r="G3048" s="11" t="n"/>
      <c r="H3048" s="11" t="n"/>
      <c r="I3048" s="16">
        <f>IF(D3048="","",IF(G3048&lt;&gt;"",G3048,IFERROR(INDEX('Sản phẩm'!$E$5:$E$304,MATCH(D3048,'Sản phẩm'!$A$5:$A$304,0)),"")))</f>
        <v/>
      </c>
      <c r="J3048" s="16">
        <f>IF(OR(D3048="",F3048=""),"",F3048*I3048-N(H3048))</f>
        <v/>
      </c>
      <c r="K3048" s="16">
        <f>IF(OR(D3048="",F3048=""),"",F3048*IFERROR(INDEX('Sản phẩm'!$D$5:$D$304,MATCH(D3048,'Sản phẩm'!$A$5:$A$304,0)),""))</f>
        <v/>
      </c>
      <c r="L3048" s="16">
        <f>IF(J3048="","",J3048-K3048)</f>
        <v/>
      </c>
      <c r="M3048" s="14">
        <f>IF(A3048="","",MONTH(A3048))</f>
        <v/>
      </c>
      <c r="N3048" s="14">
        <f>IF(A3048="","",YEAR(A3048))</f>
        <v/>
      </c>
    </row>
    <row r="3049">
      <c r="A3049" s="15" t="n"/>
      <c r="B3049" s="10" t="n"/>
      <c r="C3049" s="10" t="n"/>
      <c r="D3049" s="10" t="n"/>
      <c r="E3049" s="14">
        <f>IF(D3049="","",IFERROR(INDEX('Sản phẩm'!$B$5:$B$304,MATCH(D3049,'Sản phẩm'!$A$5:$A$304,0)),""))</f>
        <v/>
      </c>
      <c r="F3049" s="12" t="n"/>
      <c r="G3049" s="11" t="n"/>
      <c r="H3049" s="11" t="n"/>
      <c r="I3049" s="16">
        <f>IF(D3049="","",IF(G3049&lt;&gt;"",G3049,IFERROR(INDEX('Sản phẩm'!$E$5:$E$304,MATCH(D3049,'Sản phẩm'!$A$5:$A$304,0)),"")))</f>
        <v/>
      </c>
      <c r="J3049" s="16">
        <f>IF(OR(D3049="",F3049=""),"",F3049*I3049-N(H3049))</f>
        <v/>
      </c>
      <c r="K3049" s="16">
        <f>IF(OR(D3049="",F3049=""),"",F3049*IFERROR(INDEX('Sản phẩm'!$D$5:$D$304,MATCH(D3049,'Sản phẩm'!$A$5:$A$304,0)),""))</f>
        <v/>
      </c>
      <c r="L3049" s="16">
        <f>IF(J3049="","",J3049-K3049)</f>
        <v/>
      </c>
      <c r="M3049" s="14">
        <f>IF(A3049="","",MONTH(A3049))</f>
        <v/>
      </c>
      <c r="N3049" s="14">
        <f>IF(A3049="","",YEAR(A3049))</f>
        <v/>
      </c>
    </row>
    <row r="3050">
      <c r="A3050" s="15" t="n"/>
      <c r="B3050" s="10" t="n"/>
      <c r="C3050" s="10" t="n"/>
      <c r="D3050" s="10" t="n"/>
      <c r="E3050" s="14">
        <f>IF(D3050="","",IFERROR(INDEX('Sản phẩm'!$B$5:$B$304,MATCH(D3050,'Sản phẩm'!$A$5:$A$304,0)),""))</f>
        <v/>
      </c>
      <c r="F3050" s="12" t="n"/>
      <c r="G3050" s="11" t="n"/>
      <c r="H3050" s="11" t="n"/>
      <c r="I3050" s="16">
        <f>IF(D3050="","",IF(G3050&lt;&gt;"",G3050,IFERROR(INDEX('Sản phẩm'!$E$5:$E$304,MATCH(D3050,'Sản phẩm'!$A$5:$A$304,0)),"")))</f>
        <v/>
      </c>
      <c r="J3050" s="16">
        <f>IF(OR(D3050="",F3050=""),"",F3050*I3050-N(H3050))</f>
        <v/>
      </c>
      <c r="K3050" s="16">
        <f>IF(OR(D3050="",F3050=""),"",F3050*IFERROR(INDEX('Sản phẩm'!$D$5:$D$304,MATCH(D3050,'Sản phẩm'!$A$5:$A$304,0)),""))</f>
        <v/>
      </c>
      <c r="L3050" s="16">
        <f>IF(J3050="","",J3050-K3050)</f>
        <v/>
      </c>
      <c r="M3050" s="14">
        <f>IF(A3050="","",MONTH(A3050))</f>
        <v/>
      </c>
      <c r="N3050" s="14">
        <f>IF(A3050="","",YEAR(A3050))</f>
        <v/>
      </c>
    </row>
    <row r="3051">
      <c r="A3051" s="15" t="n"/>
      <c r="B3051" s="10" t="n"/>
      <c r="C3051" s="10" t="n"/>
      <c r="D3051" s="10" t="n"/>
      <c r="E3051" s="14">
        <f>IF(D3051="","",IFERROR(INDEX('Sản phẩm'!$B$5:$B$304,MATCH(D3051,'Sản phẩm'!$A$5:$A$304,0)),""))</f>
        <v/>
      </c>
      <c r="F3051" s="12" t="n"/>
      <c r="G3051" s="11" t="n"/>
      <c r="H3051" s="11" t="n"/>
      <c r="I3051" s="16">
        <f>IF(D3051="","",IF(G3051&lt;&gt;"",G3051,IFERROR(INDEX('Sản phẩm'!$E$5:$E$304,MATCH(D3051,'Sản phẩm'!$A$5:$A$304,0)),"")))</f>
        <v/>
      </c>
      <c r="J3051" s="16">
        <f>IF(OR(D3051="",F3051=""),"",F3051*I3051-N(H3051))</f>
        <v/>
      </c>
      <c r="K3051" s="16">
        <f>IF(OR(D3051="",F3051=""),"",F3051*IFERROR(INDEX('Sản phẩm'!$D$5:$D$304,MATCH(D3051,'Sản phẩm'!$A$5:$A$304,0)),""))</f>
        <v/>
      </c>
      <c r="L3051" s="16">
        <f>IF(J3051="","",J3051-K3051)</f>
        <v/>
      </c>
      <c r="M3051" s="14">
        <f>IF(A3051="","",MONTH(A3051))</f>
        <v/>
      </c>
      <c r="N3051" s="14">
        <f>IF(A3051="","",YEAR(A3051))</f>
        <v/>
      </c>
    </row>
    <row r="3052">
      <c r="A3052" s="15" t="n"/>
      <c r="B3052" s="10" t="n"/>
      <c r="C3052" s="10" t="n"/>
      <c r="D3052" s="10" t="n"/>
      <c r="E3052" s="14">
        <f>IF(D3052="","",IFERROR(INDEX('Sản phẩm'!$B$5:$B$304,MATCH(D3052,'Sản phẩm'!$A$5:$A$304,0)),""))</f>
        <v/>
      </c>
      <c r="F3052" s="12" t="n"/>
      <c r="G3052" s="11" t="n"/>
      <c r="H3052" s="11" t="n"/>
      <c r="I3052" s="16">
        <f>IF(D3052="","",IF(G3052&lt;&gt;"",G3052,IFERROR(INDEX('Sản phẩm'!$E$5:$E$304,MATCH(D3052,'Sản phẩm'!$A$5:$A$304,0)),"")))</f>
        <v/>
      </c>
      <c r="J3052" s="16">
        <f>IF(OR(D3052="",F3052=""),"",F3052*I3052-N(H3052))</f>
        <v/>
      </c>
      <c r="K3052" s="16">
        <f>IF(OR(D3052="",F3052=""),"",F3052*IFERROR(INDEX('Sản phẩm'!$D$5:$D$304,MATCH(D3052,'Sản phẩm'!$A$5:$A$304,0)),""))</f>
        <v/>
      </c>
      <c r="L3052" s="16">
        <f>IF(J3052="","",J3052-K3052)</f>
        <v/>
      </c>
      <c r="M3052" s="14">
        <f>IF(A3052="","",MONTH(A3052))</f>
        <v/>
      </c>
      <c r="N3052" s="14">
        <f>IF(A3052="","",YEAR(A3052))</f>
        <v/>
      </c>
    </row>
    <row r="3053">
      <c r="A3053" s="15" t="n"/>
      <c r="B3053" s="10" t="n"/>
      <c r="C3053" s="10" t="n"/>
      <c r="D3053" s="10" t="n"/>
      <c r="E3053" s="14">
        <f>IF(D3053="","",IFERROR(INDEX('Sản phẩm'!$B$5:$B$304,MATCH(D3053,'Sản phẩm'!$A$5:$A$304,0)),""))</f>
        <v/>
      </c>
      <c r="F3053" s="12" t="n"/>
      <c r="G3053" s="11" t="n"/>
      <c r="H3053" s="11" t="n"/>
      <c r="I3053" s="16">
        <f>IF(D3053="","",IF(G3053&lt;&gt;"",G3053,IFERROR(INDEX('Sản phẩm'!$E$5:$E$304,MATCH(D3053,'Sản phẩm'!$A$5:$A$304,0)),"")))</f>
        <v/>
      </c>
      <c r="J3053" s="16">
        <f>IF(OR(D3053="",F3053=""),"",F3053*I3053-N(H3053))</f>
        <v/>
      </c>
      <c r="K3053" s="16">
        <f>IF(OR(D3053="",F3053=""),"",F3053*IFERROR(INDEX('Sản phẩm'!$D$5:$D$304,MATCH(D3053,'Sản phẩm'!$A$5:$A$304,0)),""))</f>
        <v/>
      </c>
      <c r="L3053" s="16">
        <f>IF(J3053="","",J3053-K3053)</f>
        <v/>
      </c>
      <c r="M3053" s="14">
        <f>IF(A3053="","",MONTH(A3053))</f>
        <v/>
      </c>
      <c r="N3053" s="14">
        <f>IF(A3053="","",YEAR(A3053))</f>
        <v/>
      </c>
    </row>
    <row r="3054">
      <c r="A3054" s="15" t="n"/>
      <c r="B3054" s="10" t="n"/>
      <c r="C3054" s="10" t="n"/>
      <c r="D3054" s="10" t="n"/>
      <c r="E3054" s="14">
        <f>IF(D3054="","",IFERROR(INDEX('Sản phẩm'!$B$5:$B$304,MATCH(D3054,'Sản phẩm'!$A$5:$A$304,0)),""))</f>
        <v/>
      </c>
      <c r="F3054" s="12" t="n"/>
      <c r="G3054" s="11" t="n"/>
      <c r="H3054" s="11" t="n"/>
      <c r="I3054" s="16">
        <f>IF(D3054="","",IF(G3054&lt;&gt;"",G3054,IFERROR(INDEX('Sản phẩm'!$E$5:$E$304,MATCH(D3054,'Sản phẩm'!$A$5:$A$304,0)),"")))</f>
        <v/>
      </c>
      <c r="J3054" s="16">
        <f>IF(OR(D3054="",F3054=""),"",F3054*I3054-N(H3054))</f>
        <v/>
      </c>
      <c r="K3054" s="16">
        <f>IF(OR(D3054="",F3054=""),"",F3054*IFERROR(INDEX('Sản phẩm'!$D$5:$D$304,MATCH(D3054,'Sản phẩm'!$A$5:$A$304,0)),""))</f>
        <v/>
      </c>
      <c r="L3054" s="16">
        <f>IF(J3054="","",J3054-K3054)</f>
        <v/>
      </c>
      <c r="M3054" s="14">
        <f>IF(A3054="","",MONTH(A3054))</f>
        <v/>
      </c>
      <c r="N3054" s="14">
        <f>IF(A3054="","",YEAR(A3054))</f>
        <v/>
      </c>
    </row>
    <row r="3055">
      <c r="A3055" s="15" t="n"/>
      <c r="B3055" s="10" t="n"/>
      <c r="C3055" s="10" t="n"/>
      <c r="D3055" s="10" t="n"/>
      <c r="E3055" s="14">
        <f>IF(D3055="","",IFERROR(INDEX('Sản phẩm'!$B$5:$B$304,MATCH(D3055,'Sản phẩm'!$A$5:$A$304,0)),""))</f>
        <v/>
      </c>
      <c r="F3055" s="12" t="n"/>
      <c r="G3055" s="11" t="n"/>
      <c r="H3055" s="11" t="n"/>
      <c r="I3055" s="16">
        <f>IF(D3055="","",IF(G3055&lt;&gt;"",G3055,IFERROR(INDEX('Sản phẩm'!$E$5:$E$304,MATCH(D3055,'Sản phẩm'!$A$5:$A$304,0)),"")))</f>
        <v/>
      </c>
      <c r="J3055" s="16">
        <f>IF(OR(D3055="",F3055=""),"",F3055*I3055-N(H3055))</f>
        <v/>
      </c>
      <c r="K3055" s="16">
        <f>IF(OR(D3055="",F3055=""),"",F3055*IFERROR(INDEX('Sản phẩm'!$D$5:$D$304,MATCH(D3055,'Sản phẩm'!$A$5:$A$304,0)),""))</f>
        <v/>
      </c>
      <c r="L3055" s="16">
        <f>IF(J3055="","",J3055-K3055)</f>
        <v/>
      </c>
      <c r="M3055" s="14">
        <f>IF(A3055="","",MONTH(A3055))</f>
        <v/>
      </c>
      <c r="N3055" s="14">
        <f>IF(A3055="","",YEAR(A3055))</f>
        <v/>
      </c>
    </row>
    <row r="3056">
      <c r="A3056" s="15" t="n"/>
      <c r="B3056" s="10" t="n"/>
      <c r="C3056" s="10" t="n"/>
      <c r="D3056" s="10" t="n"/>
      <c r="E3056" s="14">
        <f>IF(D3056="","",IFERROR(INDEX('Sản phẩm'!$B$5:$B$304,MATCH(D3056,'Sản phẩm'!$A$5:$A$304,0)),""))</f>
        <v/>
      </c>
      <c r="F3056" s="12" t="n"/>
      <c r="G3056" s="11" t="n"/>
      <c r="H3056" s="11" t="n"/>
      <c r="I3056" s="16">
        <f>IF(D3056="","",IF(G3056&lt;&gt;"",G3056,IFERROR(INDEX('Sản phẩm'!$E$5:$E$304,MATCH(D3056,'Sản phẩm'!$A$5:$A$304,0)),"")))</f>
        <v/>
      </c>
      <c r="J3056" s="16">
        <f>IF(OR(D3056="",F3056=""),"",F3056*I3056-N(H3056))</f>
        <v/>
      </c>
      <c r="K3056" s="16">
        <f>IF(OR(D3056="",F3056=""),"",F3056*IFERROR(INDEX('Sản phẩm'!$D$5:$D$304,MATCH(D3056,'Sản phẩm'!$A$5:$A$304,0)),""))</f>
        <v/>
      </c>
      <c r="L3056" s="16">
        <f>IF(J3056="","",J3056-K3056)</f>
        <v/>
      </c>
      <c r="M3056" s="14">
        <f>IF(A3056="","",MONTH(A3056))</f>
        <v/>
      </c>
      <c r="N3056" s="14">
        <f>IF(A3056="","",YEAR(A3056))</f>
        <v/>
      </c>
    </row>
    <row r="3057">
      <c r="A3057" s="15" t="n"/>
      <c r="B3057" s="10" t="n"/>
      <c r="C3057" s="10" t="n"/>
      <c r="D3057" s="10" t="n"/>
      <c r="E3057" s="14">
        <f>IF(D3057="","",IFERROR(INDEX('Sản phẩm'!$B$5:$B$304,MATCH(D3057,'Sản phẩm'!$A$5:$A$304,0)),""))</f>
        <v/>
      </c>
      <c r="F3057" s="12" t="n"/>
      <c r="G3057" s="11" t="n"/>
      <c r="H3057" s="11" t="n"/>
      <c r="I3057" s="16">
        <f>IF(D3057="","",IF(G3057&lt;&gt;"",G3057,IFERROR(INDEX('Sản phẩm'!$E$5:$E$304,MATCH(D3057,'Sản phẩm'!$A$5:$A$304,0)),"")))</f>
        <v/>
      </c>
      <c r="J3057" s="16">
        <f>IF(OR(D3057="",F3057=""),"",F3057*I3057-N(H3057))</f>
        <v/>
      </c>
      <c r="K3057" s="16">
        <f>IF(OR(D3057="",F3057=""),"",F3057*IFERROR(INDEX('Sản phẩm'!$D$5:$D$304,MATCH(D3057,'Sản phẩm'!$A$5:$A$304,0)),""))</f>
        <v/>
      </c>
      <c r="L3057" s="16">
        <f>IF(J3057="","",J3057-K3057)</f>
        <v/>
      </c>
      <c r="M3057" s="14">
        <f>IF(A3057="","",MONTH(A3057))</f>
        <v/>
      </c>
      <c r="N3057" s="14">
        <f>IF(A3057="","",YEAR(A3057))</f>
        <v/>
      </c>
    </row>
    <row r="3058">
      <c r="A3058" s="15" t="n"/>
      <c r="B3058" s="10" t="n"/>
      <c r="C3058" s="10" t="n"/>
      <c r="D3058" s="10" t="n"/>
      <c r="E3058" s="14">
        <f>IF(D3058="","",IFERROR(INDEX('Sản phẩm'!$B$5:$B$304,MATCH(D3058,'Sản phẩm'!$A$5:$A$304,0)),""))</f>
        <v/>
      </c>
      <c r="F3058" s="12" t="n"/>
      <c r="G3058" s="11" t="n"/>
      <c r="H3058" s="11" t="n"/>
      <c r="I3058" s="16">
        <f>IF(D3058="","",IF(G3058&lt;&gt;"",G3058,IFERROR(INDEX('Sản phẩm'!$E$5:$E$304,MATCH(D3058,'Sản phẩm'!$A$5:$A$304,0)),"")))</f>
        <v/>
      </c>
      <c r="J3058" s="16">
        <f>IF(OR(D3058="",F3058=""),"",F3058*I3058-N(H3058))</f>
        <v/>
      </c>
      <c r="K3058" s="16">
        <f>IF(OR(D3058="",F3058=""),"",F3058*IFERROR(INDEX('Sản phẩm'!$D$5:$D$304,MATCH(D3058,'Sản phẩm'!$A$5:$A$304,0)),""))</f>
        <v/>
      </c>
      <c r="L3058" s="16">
        <f>IF(J3058="","",J3058-K3058)</f>
        <v/>
      </c>
      <c r="M3058" s="14">
        <f>IF(A3058="","",MONTH(A3058))</f>
        <v/>
      </c>
      <c r="N3058" s="14">
        <f>IF(A3058="","",YEAR(A3058))</f>
        <v/>
      </c>
    </row>
    <row r="3059">
      <c r="A3059" s="15" t="n"/>
      <c r="B3059" s="10" t="n"/>
      <c r="C3059" s="10" t="n"/>
      <c r="D3059" s="10" t="n"/>
      <c r="E3059" s="14">
        <f>IF(D3059="","",IFERROR(INDEX('Sản phẩm'!$B$5:$B$304,MATCH(D3059,'Sản phẩm'!$A$5:$A$304,0)),""))</f>
        <v/>
      </c>
      <c r="F3059" s="12" t="n"/>
      <c r="G3059" s="11" t="n"/>
      <c r="H3059" s="11" t="n"/>
      <c r="I3059" s="16">
        <f>IF(D3059="","",IF(G3059&lt;&gt;"",G3059,IFERROR(INDEX('Sản phẩm'!$E$5:$E$304,MATCH(D3059,'Sản phẩm'!$A$5:$A$304,0)),"")))</f>
        <v/>
      </c>
      <c r="J3059" s="16">
        <f>IF(OR(D3059="",F3059=""),"",F3059*I3059-N(H3059))</f>
        <v/>
      </c>
      <c r="K3059" s="16">
        <f>IF(OR(D3059="",F3059=""),"",F3059*IFERROR(INDEX('Sản phẩm'!$D$5:$D$304,MATCH(D3059,'Sản phẩm'!$A$5:$A$304,0)),""))</f>
        <v/>
      </c>
      <c r="L3059" s="16">
        <f>IF(J3059="","",J3059-K3059)</f>
        <v/>
      </c>
      <c r="M3059" s="14">
        <f>IF(A3059="","",MONTH(A3059))</f>
        <v/>
      </c>
      <c r="N3059" s="14">
        <f>IF(A3059="","",YEAR(A3059))</f>
        <v/>
      </c>
    </row>
    <row r="3060">
      <c r="A3060" s="15" t="n"/>
      <c r="B3060" s="10" t="n"/>
      <c r="C3060" s="10" t="n"/>
      <c r="D3060" s="10" t="n"/>
      <c r="E3060" s="14">
        <f>IF(D3060="","",IFERROR(INDEX('Sản phẩm'!$B$5:$B$304,MATCH(D3060,'Sản phẩm'!$A$5:$A$304,0)),""))</f>
        <v/>
      </c>
      <c r="F3060" s="12" t="n"/>
      <c r="G3060" s="11" t="n"/>
      <c r="H3060" s="11" t="n"/>
      <c r="I3060" s="16">
        <f>IF(D3060="","",IF(G3060&lt;&gt;"",G3060,IFERROR(INDEX('Sản phẩm'!$E$5:$E$304,MATCH(D3060,'Sản phẩm'!$A$5:$A$304,0)),"")))</f>
        <v/>
      </c>
      <c r="J3060" s="16">
        <f>IF(OR(D3060="",F3060=""),"",F3060*I3060-N(H3060))</f>
        <v/>
      </c>
      <c r="K3060" s="16">
        <f>IF(OR(D3060="",F3060=""),"",F3060*IFERROR(INDEX('Sản phẩm'!$D$5:$D$304,MATCH(D3060,'Sản phẩm'!$A$5:$A$304,0)),""))</f>
        <v/>
      </c>
      <c r="L3060" s="16">
        <f>IF(J3060="","",J3060-K3060)</f>
        <v/>
      </c>
      <c r="M3060" s="14">
        <f>IF(A3060="","",MONTH(A3060))</f>
        <v/>
      </c>
      <c r="N3060" s="14">
        <f>IF(A3060="","",YEAR(A3060))</f>
        <v/>
      </c>
    </row>
    <row r="3061">
      <c r="A3061" s="15" t="n"/>
      <c r="B3061" s="10" t="n"/>
      <c r="C3061" s="10" t="n"/>
      <c r="D3061" s="10" t="n"/>
      <c r="E3061" s="14">
        <f>IF(D3061="","",IFERROR(INDEX('Sản phẩm'!$B$5:$B$304,MATCH(D3061,'Sản phẩm'!$A$5:$A$304,0)),""))</f>
        <v/>
      </c>
      <c r="F3061" s="12" t="n"/>
      <c r="G3061" s="11" t="n"/>
      <c r="H3061" s="11" t="n"/>
      <c r="I3061" s="16">
        <f>IF(D3061="","",IF(G3061&lt;&gt;"",G3061,IFERROR(INDEX('Sản phẩm'!$E$5:$E$304,MATCH(D3061,'Sản phẩm'!$A$5:$A$304,0)),"")))</f>
        <v/>
      </c>
      <c r="J3061" s="16">
        <f>IF(OR(D3061="",F3061=""),"",F3061*I3061-N(H3061))</f>
        <v/>
      </c>
      <c r="K3061" s="16">
        <f>IF(OR(D3061="",F3061=""),"",F3061*IFERROR(INDEX('Sản phẩm'!$D$5:$D$304,MATCH(D3061,'Sản phẩm'!$A$5:$A$304,0)),""))</f>
        <v/>
      </c>
      <c r="L3061" s="16">
        <f>IF(J3061="","",J3061-K3061)</f>
        <v/>
      </c>
      <c r="M3061" s="14">
        <f>IF(A3061="","",MONTH(A3061))</f>
        <v/>
      </c>
      <c r="N3061" s="14">
        <f>IF(A3061="","",YEAR(A3061))</f>
        <v/>
      </c>
    </row>
    <row r="3062">
      <c r="A3062" s="15" t="n"/>
      <c r="B3062" s="10" t="n"/>
      <c r="C3062" s="10" t="n"/>
      <c r="D3062" s="10" t="n"/>
      <c r="E3062" s="14">
        <f>IF(D3062="","",IFERROR(INDEX('Sản phẩm'!$B$5:$B$304,MATCH(D3062,'Sản phẩm'!$A$5:$A$304,0)),""))</f>
        <v/>
      </c>
      <c r="F3062" s="12" t="n"/>
      <c r="G3062" s="11" t="n"/>
      <c r="H3062" s="11" t="n"/>
      <c r="I3062" s="16">
        <f>IF(D3062="","",IF(G3062&lt;&gt;"",G3062,IFERROR(INDEX('Sản phẩm'!$E$5:$E$304,MATCH(D3062,'Sản phẩm'!$A$5:$A$304,0)),"")))</f>
        <v/>
      </c>
      <c r="J3062" s="16">
        <f>IF(OR(D3062="",F3062=""),"",F3062*I3062-N(H3062))</f>
        <v/>
      </c>
      <c r="K3062" s="16">
        <f>IF(OR(D3062="",F3062=""),"",F3062*IFERROR(INDEX('Sản phẩm'!$D$5:$D$304,MATCH(D3062,'Sản phẩm'!$A$5:$A$304,0)),""))</f>
        <v/>
      </c>
      <c r="L3062" s="16">
        <f>IF(J3062="","",J3062-K3062)</f>
        <v/>
      </c>
      <c r="M3062" s="14">
        <f>IF(A3062="","",MONTH(A3062))</f>
        <v/>
      </c>
      <c r="N3062" s="14">
        <f>IF(A3062="","",YEAR(A3062))</f>
        <v/>
      </c>
    </row>
    <row r="3063">
      <c r="A3063" s="15" t="n"/>
      <c r="B3063" s="10" t="n"/>
      <c r="C3063" s="10" t="n"/>
      <c r="D3063" s="10" t="n"/>
      <c r="E3063" s="14">
        <f>IF(D3063="","",IFERROR(INDEX('Sản phẩm'!$B$5:$B$304,MATCH(D3063,'Sản phẩm'!$A$5:$A$304,0)),""))</f>
        <v/>
      </c>
      <c r="F3063" s="12" t="n"/>
      <c r="G3063" s="11" t="n"/>
      <c r="H3063" s="11" t="n"/>
      <c r="I3063" s="16">
        <f>IF(D3063="","",IF(G3063&lt;&gt;"",G3063,IFERROR(INDEX('Sản phẩm'!$E$5:$E$304,MATCH(D3063,'Sản phẩm'!$A$5:$A$304,0)),"")))</f>
        <v/>
      </c>
      <c r="J3063" s="16">
        <f>IF(OR(D3063="",F3063=""),"",F3063*I3063-N(H3063))</f>
        <v/>
      </c>
      <c r="K3063" s="16">
        <f>IF(OR(D3063="",F3063=""),"",F3063*IFERROR(INDEX('Sản phẩm'!$D$5:$D$304,MATCH(D3063,'Sản phẩm'!$A$5:$A$304,0)),""))</f>
        <v/>
      </c>
      <c r="L3063" s="16">
        <f>IF(J3063="","",J3063-K3063)</f>
        <v/>
      </c>
      <c r="M3063" s="14">
        <f>IF(A3063="","",MONTH(A3063))</f>
        <v/>
      </c>
      <c r="N3063" s="14">
        <f>IF(A3063="","",YEAR(A3063))</f>
        <v/>
      </c>
    </row>
    <row r="3064">
      <c r="A3064" s="15" t="n"/>
      <c r="B3064" s="10" t="n"/>
      <c r="C3064" s="10" t="n"/>
      <c r="D3064" s="10" t="n"/>
      <c r="E3064" s="14">
        <f>IF(D3064="","",IFERROR(INDEX('Sản phẩm'!$B$5:$B$304,MATCH(D3064,'Sản phẩm'!$A$5:$A$304,0)),""))</f>
        <v/>
      </c>
      <c r="F3064" s="12" t="n"/>
      <c r="G3064" s="11" t="n"/>
      <c r="H3064" s="11" t="n"/>
      <c r="I3064" s="16">
        <f>IF(D3064="","",IF(G3064&lt;&gt;"",G3064,IFERROR(INDEX('Sản phẩm'!$E$5:$E$304,MATCH(D3064,'Sản phẩm'!$A$5:$A$304,0)),"")))</f>
        <v/>
      </c>
      <c r="J3064" s="16">
        <f>IF(OR(D3064="",F3064=""),"",F3064*I3064-N(H3064))</f>
        <v/>
      </c>
      <c r="K3064" s="16">
        <f>IF(OR(D3064="",F3064=""),"",F3064*IFERROR(INDEX('Sản phẩm'!$D$5:$D$304,MATCH(D3064,'Sản phẩm'!$A$5:$A$304,0)),""))</f>
        <v/>
      </c>
      <c r="L3064" s="16">
        <f>IF(J3064="","",J3064-K3064)</f>
        <v/>
      </c>
      <c r="M3064" s="14">
        <f>IF(A3064="","",MONTH(A3064))</f>
        <v/>
      </c>
      <c r="N3064" s="14">
        <f>IF(A3064="","",YEAR(A3064))</f>
        <v/>
      </c>
    </row>
    <row r="3065">
      <c r="A3065" s="15" t="n"/>
      <c r="B3065" s="10" t="n"/>
      <c r="C3065" s="10" t="n"/>
      <c r="D3065" s="10" t="n"/>
      <c r="E3065" s="14">
        <f>IF(D3065="","",IFERROR(INDEX('Sản phẩm'!$B$5:$B$304,MATCH(D3065,'Sản phẩm'!$A$5:$A$304,0)),""))</f>
        <v/>
      </c>
      <c r="F3065" s="12" t="n"/>
      <c r="G3065" s="11" t="n"/>
      <c r="H3065" s="11" t="n"/>
      <c r="I3065" s="16">
        <f>IF(D3065="","",IF(G3065&lt;&gt;"",G3065,IFERROR(INDEX('Sản phẩm'!$E$5:$E$304,MATCH(D3065,'Sản phẩm'!$A$5:$A$304,0)),"")))</f>
        <v/>
      </c>
      <c r="J3065" s="16">
        <f>IF(OR(D3065="",F3065=""),"",F3065*I3065-N(H3065))</f>
        <v/>
      </c>
      <c r="K3065" s="16">
        <f>IF(OR(D3065="",F3065=""),"",F3065*IFERROR(INDEX('Sản phẩm'!$D$5:$D$304,MATCH(D3065,'Sản phẩm'!$A$5:$A$304,0)),""))</f>
        <v/>
      </c>
      <c r="L3065" s="16">
        <f>IF(J3065="","",J3065-K3065)</f>
        <v/>
      </c>
      <c r="M3065" s="14">
        <f>IF(A3065="","",MONTH(A3065))</f>
        <v/>
      </c>
      <c r="N3065" s="14">
        <f>IF(A3065="","",YEAR(A3065))</f>
        <v/>
      </c>
    </row>
    <row r="3066">
      <c r="A3066" s="15" t="n"/>
      <c r="B3066" s="10" t="n"/>
      <c r="C3066" s="10" t="n"/>
      <c r="D3066" s="10" t="n"/>
      <c r="E3066" s="14">
        <f>IF(D3066="","",IFERROR(INDEX('Sản phẩm'!$B$5:$B$304,MATCH(D3066,'Sản phẩm'!$A$5:$A$304,0)),""))</f>
        <v/>
      </c>
      <c r="F3066" s="12" t="n"/>
      <c r="G3066" s="11" t="n"/>
      <c r="H3066" s="11" t="n"/>
      <c r="I3066" s="16">
        <f>IF(D3066="","",IF(G3066&lt;&gt;"",G3066,IFERROR(INDEX('Sản phẩm'!$E$5:$E$304,MATCH(D3066,'Sản phẩm'!$A$5:$A$304,0)),"")))</f>
        <v/>
      </c>
      <c r="J3066" s="16">
        <f>IF(OR(D3066="",F3066=""),"",F3066*I3066-N(H3066))</f>
        <v/>
      </c>
      <c r="K3066" s="16">
        <f>IF(OR(D3066="",F3066=""),"",F3066*IFERROR(INDEX('Sản phẩm'!$D$5:$D$304,MATCH(D3066,'Sản phẩm'!$A$5:$A$304,0)),""))</f>
        <v/>
      </c>
      <c r="L3066" s="16">
        <f>IF(J3066="","",J3066-K3066)</f>
        <v/>
      </c>
      <c r="M3066" s="14">
        <f>IF(A3066="","",MONTH(A3066))</f>
        <v/>
      </c>
      <c r="N3066" s="14">
        <f>IF(A3066="","",YEAR(A3066))</f>
        <v/>
      </c>
    </row>
    <row r="3067">
      <c r="A3067" s="15" t="n"/>
      <c r="B3067" s="10" t="n"/>
      <c r="C3067" s="10" t="n"/>
      <c r="D3067" s="10" t="n"/>
      <c r="E3067" s="14">
        <f>IF(D3067="","",IFERROR(INDEX('Sản phẩm'!$B$5:$B$304,MATCH(D3067,'Sản phẩm'!$A$5:$A$304,0)),""))</f>
        <v/>
      </c>
      <c r="F3067" s="12" t="n"/>
      <c r="G3067" s="11" t="n"/>
      <c r="H3067" s="11" t="n"/>
      <c r="I3067" s="16">
        <f>IF(D3067="","",IF(G3067&lt;&gt;"",G3067,IFERROR(INDEX('Sản phẩm'!$E$5:$E$304,MATCH(D3067,'Sản phẩm'!$A$5:$A$304,0)),"")))</f>
        <v/>
      </c>
      <c r="J3067" s="16">
        <f>IF(OR(D3067="",F3067=""),"",F3067*I3067-N(H3067))</f>
        <v/>
      </c>
      <c r="K3067" s="16">
        <f>IF(OR(D3067="",F3067=""),"",F3067*IFERROR(INDEX('Sản phẩm'!$D$5:$D$304,MATCH(D3067,'Sản phẩm'!$A$5:$A$304,0)),""))</f>
        <v/>
      </c>
      <c r="L3067" s="16">
        <f>IF(J3067="","",J3067-K3067)</f>
        <v/>
      </c>
      <c r="M3067" s="14">
        <f>IF(A3067="","",MONTH(A3067))</f>
        <v/>
      </c>
      <c r="N3067" s="14">
        <f>IF(A3067="","",YEAR(A3067))</f>
        <v/>
      </c>
    </row>
    <row r="3068">
      <c r="A3068" s="15" t="n"/>
      <c r="B3068" s="10" t="n"/>
      <c r="C3068" s="10" t="n"/>
      <c r="D3068" s="10" t="n"/>
      <c r="E3068" s="14">
        <f>IF(D3068="","",IFERROR(INDEX('Sản phẩm'!$B$5:$B$304,MATCH(D3068,'Sản phẩm'!$A$5:$A$304,0)),""))</f>
        <v/>
      </c>
      <c r="F3068" s="12" t="n"/>
      <c r="G3068" s="11" t="n"/>
      <c r="H3068" s="11" t="n"/>
      <c r="I3068" s="16">
        <f>IF(D3068="","",IF(G3068&lt;&gt;"",G3068,IFERROR(INDEX('Sản phẩm'!$E$5:$E$304,MATCH(D3068,'Sản phẩm'!$A$5:$A$304,0)),"")))</f>
        <v/>
      </c>
      <c r="J3068" s="16">
        <f>IF(OR(D3068="",F3068=""),"",F3068*I3068-N(H3068))</f>
        <v/>
      </c>
      <c r="K3068" s="16">
        <f>IF(OR(D3068="",F3068=""),"",F3068*IFERROR(INDEX('Sản phẩm'!$D$5:$D$304,MATCH(D3068,'Sản phẩm'!$A$5:$A$304,0)),""))</f>
        <v/>
      </c>
      <c r="L3068" s="16">
        <f>IF(J3068="","",J3068-K3068)</f>
        <v/>
      </c>
      <c r="M3068" s="14">
        <f>IF(A3068="","",MONTH(A3068))</f>
        <v/>
      </c>
      <c r="N3068" s="14">
        <f>IF(A3068="","",YEAR(A3068))</f>
        <v/>
      </c>
    </row>
    <row r="3069">
      <c r="A3069" s="15" t="n"/>
      <c r="B3069" s="10" t="n"/>
      <c r="C3069" s="10" t="n"/>
      <c r="D3069" s="10" t="n"/>
      <c r="E3069" s="14">
        <f>IF(D3069="","",IFERROR(INDEX('Sản phẩm'!$B$5:$B$304,MATCH(D3069,'Sản phẩm'!$A$5:$A$304,0)),""))</f>
        <v/>
      </c>
      <c r="F3069" s="12" t="n"/>
      <c r="G3069" s="11" t="n"/>
      <c r="H3069" s="11" t="n"/>
      <c r="I3069" s="16">
        <f>IF(D3069="","",IF(G3069&lt;&gt;"",G3069,IFERROR(INDEX('Sản phẩm'!$E$5:$E$304,MATCH(D3069,'Sản phẩm'!$A$5:$A$304,0)),"")))</f>
        <v/>
      </c>
      <c r="J3069" s="16">
        <f>IF(OR(D3069="",F3069=""),"",F3069*I3069-N(H3069))</f>
        <v/>
      </c>
      <c r="K3069" s="16">
        <f>IF(OR(D3069="",F3069=""),"",F3069*IFERROR(INDEX('Sản phẩm'!$D$5:$D$304,MATCH(D3069,'Sản phẩm'!$A$5:$A$304,0)),""))</f>
        <v/>
      </c>
      <c r="L3069" s="16">
        <f>IF(J3069="","",J3069-K3069)</f>
        <v/>
      </c>
      <c r="M3069" s="14">
        <f>IF(A3069="","",MONTH(A3069))</f>
        <v/>
      </c>
      <c r="N3069" s="14">
        <f>IF(A3069="","",YEAR(A3069))</f>
        <v/>
      </c>
    </row>
    <row r="3070">
      <c r="A3070" s="15" t="n"/>
      <c r="B3070" s="10" t="n"/>
      <c r="C3070" s="10" t="n"/>
      <c r="D3070" s="10" t="n"/>
      <c r="E3070" s="14">
        <f>IF(D3070="","",IFERROR(INDEX('Sản phẩm'!$B$5:$B$304,MATCH(D3070,'Sản phẩm'!$A$5:$A$304,0)),""))</f>
        <v/>
      </c>
      <c r="F3070" s="12" t="n"/>
      <c r="G3070" s="11" t="n"/>
      <c r="H3070" s="11" t="n"/>
      <c r="I3070" s="16">
        <f>IF(D3070="","",IF(G3070&lt;&gt;"",G3070,IFERROR(INDEX('Sản phẩm'!$E$5:$E$304,MATCH(D3070,'Sản phẩm'!$A$5:$A$304,0)),"")))</f>
        <v/>
      </c>
      <c r="J3070" s="16">
        <f>IF(OR(D3070="",F3070=""),"",F3070*I3070-N(H3070))</f>
        <v/>
      </c>
      <c r="K3070" s="16">
        <f>IF(OR(D3070="",F3070=""),"",F3070*IFERROR(INDEX('Sản phẩm'!$D$5:$D$304,MATCH(D3070,'Sản phẩm'!$A$5:$A$304,0)),""))</f>
        <v/>
      </c>
      <c r="L3070" s="16">
        <f>IF(J3070="","",J3070-K3070)</f>
        <v/>
      </c>
      <c r="M3070" s="14">
        <f>IF(A3070="","",MONTH(A3070))</f>
        <v/>
      </c>
      <c r="N3070" s="14">
        <f>IF(A3070="","",YEAR(A3070))</f>
        <v/>
      </c>
    </row>
    <row r="3071">
      <c r="A3071" s="15" t="n"/>
      <c r="B3071" s="10" t="n"/>
      <c r="C3071" s="10" t="n"/>
      <c r="D3071" s="10" t="n"/>
      <c r="E3071" s="14">
        <f>IF(D3071="","",IFERROR(INDEX('Sản phẩm'!$B$5:$B$304,MATCH(D3071,'Sản phẩm'!$A$5:$A$304,0)),""))</f>
        <v/>
      </c>
      <c r="F3071" s="12" t="n"/>
      <c r="G3071" s="11" t="n"/>
      <c r="H3071" s="11" t="n"/>
      <c r="I3071" s="16">
        <f>IF(D3071="","",IF(G3071&lt;&gt;"",G3071,IFERROR(INDEX('Sản phẩm'!$E$5:$E$304,MATCH(D3071,'Sản phẩm'!$A$5:$A$304,0)),"")))</f>
        <v/>
      </c>
      <c r="J3071" s="16">
        <f>IF(OR(D3071="",F3071=""),"",F3071*I3071-N(H3071))</f>
        <v/>
      </c>
      <c r="K3071" s="16">
        <f>IF(OR(D3071="",F3071=""),"",F3071*IFERROR(INDEX('Sản phẩm'!$D$5:$D$304,MATCH(D3071,'Sản phẩm'!$A$5:$A$304,0)),""))</f>
        <v/>
      </c>
      <c r="L3071" s="16">
        <f>IF(J3071="","",J3071-K3071)</f>
        <v/>
      </c>
      <c r="M3071" s="14">
        <f>IF(A3071="","",MONTH(A3071))</f>
        <v/>
      </c>
      <c r="N3071" s="14">
        <f>IF(A3071="","",YEAR(A3071))</f>
        <v/>
      </c>
    </row>
    <row r="3072">
      <c r="A3072" s="15" t="n"/>
      <c r="B3072" s="10" t="n"/>
      <c r="C3072" s="10" t="n"/>
      <c r="D3072" s="10" t="n"/>
      <c r="E3072" s="14">
        <f>IF(D3072="","",IFERROR(INDEX('Sản phẩm'!$B$5:$B$304,MATCH(D3072,'Sản phẩm'!$A$5:$A$304,0)),""))</f>
        <v/>
      </c>
      <c r="F3072" s="12" t="n"/>
      <c r="G3072" s="11" t="n"/>
      <c r="H3072" s="11" t="n"/>
      <c r="I3072" s="16">
        <f>IF(D3072="","",IF(G3072&lt;&gt;"",G3072,IFERROR(INDEX('Sản phẩm'!$E$5:$E$304,MATCH(D3072,'Sản phẩm'!$A$5:$A$304,0)),"")))</f>
        <v/>
      </c>
      <c r="J3072" s="16">
        <f>IF(OR(D3072="",F3072=""),"",F3072*I3072-N(H3072))</f>
        <v/>
      </c>
      <c r="K3072" s="16">
        <f>IF(OR(D3072="",F3072=""),"",F3072*IFERROR(INDEX('Sản phẩm'!$D$5:$D$304,MATCH(D3072,'Sản phẩm'!$A$5:$A$304,0)),""))</f>
        <v/>
      </c>
      <c r="L3072" s="16">
        <f>IF(J3072="","",J3072-K3072)</f>
        <v/>
      </c>
      <c r="M3072" s="14">
        <f>IF(A3072="","",MONTH(A3072))</f>
        <v/>
      </c>
      <c r="N3072" s="14">
        <f>IF(A3072="","",YEAR(A3072))</f>
        <v/>
      </c>
    </row>
    <row r="3073">
      <c r="A3073" s="15" t="n"/>
      <c r="B3073" s="10" t="n"/>
      <c r="C3073" s="10" t="n"/>
      <c r="D3073" s="10" t="n"/>
      <c r="E3073" s="14">
        <f>IF(D3073="","",IFERROR(INDEX('Sản phẩm'!$B$5:$B$304,MATCH(D3073,'Sản phẩm'!$A$5:$A$304,0)),""))</f>
        <v/>
      </c>
      <c r="F3073" s="12" t="n"/>
      <c r="G3073" s="11" t="n"/>
      <c r="H3073" s="11" t="n"/>
      <c r="I3073" s="16">
        <f>IF(D3073="","",IF(G3073&lt;&gt;"",G3073,IFERROR(INDEX('Sản phẩm'!$E$5:$E$304,MATCH(D3073,'Sản phẩm'!$A$5:$A$304,0)),"")))</f>
        <v/>
      </c>
      <c r="J3073" s="16">
        <f>IF(OR(D3073="",F3073=""),"",F3073*I3073-N(H3073))</f>
        <v/>
      </c>
      <c r="K3073" s="16">
        <f>IF(OR(D3073="",F3073=""),"",F3073*IFERROR(INDEX('Sản phẩm'!$D$5:$D$304,MATCH(D3073,'Sản phẩm'!$A$5:$A$304,0)),""))</f>
        <v/>
      </c>
      <c r="L3073" s="16">
        <f>IF(J3073="","",J3073-K3073)</f>
        <v/>
      </c>
      <c r="M3073" s="14">
        <f>IF(A3073="","",MONTH(A3073))</f>
        <v/>
      </c>
      <c r="N3073" s="14">
        <f>IF(A3073="","",YEAR(A3073))</f>
        <v/>
      </c>
    </row>
    <row r="3074">
      <c r="A3074" s="15" t="n"/>
      <c r="B3074" s="10" t="n"/>
      <c r="C3074" s="10" t="n"/>
      <c r="D3074" s="10" t="n"/>
      <c r="E3074" s="14">
        <f>IF(D3074="","",IFERROR(INDEX('Sản phẩm'!$B$5:$B$304,MATCH(D3074,'Sản phẩm'!$A$5:$A$304,0)),""))</f>
        <v/>
      </c>
      <c r="F3074" s="12" t="n"/>
      <c r="G3074" s="11" t="n"/>
      <c r="H3074" s="11" t="n"/>
      <c r="I3074" s="16">
        <f>IF(D3074="","",IF(G3074&lt;&gt;"",G3074,IFERROR(INDEX('Sản phẩm'!$E$5:$E$304,MATCH(D3074,'Sản phẩm'!$A$5:$A$304,0)),"")))</f>
        <v/>
      </c>
      <c r="J3074" s="16">
        <f>IF(OR(D3074="",F3074=""),"",F3074*I3074-N(H3074))</f>
        <v/>
      </c>
      <c r="K3074" s="16">
        <f>IF(OR(D3074="",F3074=""),"",F3074*IFERROR(INDEX('Sản phẩm'!$D$5:$D$304,MATCH(D3074,'Sản phẩm'!$A$5:$A$304,0)),""))</f>
        <v/>
      </c>
      <c r="L3074" s="16">
        <f>IF(J3074="","",J3074-K3074)</f>
        <v/>
      </c>
      <c r="M3074" s="14">
        <f>IF(A3074="","",MONTH(A3074))</f>
        <v/>
      </c>
      <c r="N3074" s="14">
        <f>IF(A3074="","",YEAR(A3074))</f>
        <v/>
      </c>
    </row>
    <row r="3075">
      <c r="A3075" s="15" t="n"/>
      <c r="B3075" s="10" t="n"/>
      <c r="C3075" s="10" t="n"/>
      <c r="D3075" s="10" t="n"/>
      <c r="E3075" s="14">
        <f>IF(D3075="","",IFERROR(INDEX('Sản phẩm'!$B$5:$B$304,MATCH(D3075,'Sản phẩm'!$A$5:$A$304,0)),""))</f>
        <v/>
      </c>
      <c r="F3075" s="12" t="n"/>
      <c r="G3075" s="11" t="n"/>
      <c r="H3075" s="11" t="n"/>
      <c r="I3075" s="16">
        <f>IF(D3075="","",IF(G3075&lt;&gt;"",G3075,IFERROR(INDEX('Sản phẩm'!$E$5:$E$304,MATCH(D3075,'Sản phẩm'!$A$5:$A$304,0)),"")))</f>
        <v/>
      </c>
      <c r="J3075" s="16">
        <f>IF(OR(D3075="",F3075=""),"",F3075*I3075-N(H3075))</f>
        <v/>
      </c>
      <c r="K3075" s="16">
        <f>IF(OR(D3075="",F3075=""),"",F3075*IFERROR(INDEX('Sản phẩm'!$D$5:$D$304,MATCH(D3075,'Sản phẩm'!$A$5:$A$304,0)),""))</f>
        <v/>
      </c>
      <c r="L3075" s="16">
        <f>IF(J3075="","",J3075-K3075)</f>
        <v/>
      </c>
      <c r="M3075" s="14">
        <f>IF(A3075="","",MONTH(A3075))</f>
        <v/>
      </c>
      <c r="N3075" s="14">
        <f>IF(A3075="","",YEAR(A3075))</f>
        <v/>
      </c>
    </row>
    <row r="3076">
      <c r="A3076" s="15" t="n"/>
      <c r="B3076" s="10" t="n"/>
      <c r="C3076" s="10" t="n"/>
      <c r="D3076" s="10" t="n"/>
      <c r="E3076" s="14">
        <f>IF(D3076="","",IFERROR(INDEX('Sản phẩm'!$B$5:$B$304,MATCH(D3076,'Sản phẩm'!$A$5:$A$304,0)),""))</f>
        <v/>
      </c>
      <c r="F3076" s="12" t="n"/>
      <c r="G3076" s="11" t="n"/>
      <c r="H3076" s="11" t="n"/>
      <c r="I3076" s="16">
        <f>IF(D3076="","",IF(G3076&lt;&gt;"",G3076,IFERROR(INDEX('Sản phẩm'!$E$5:$E$304,MATCH(D3076,'Sản phẩm'!$A$5:$A$304,0)),"")))</f>
        <v/>
      </c>
      <c r="J3076" s="16">
        <f>IF(OR(D3076="",F3076=""),"",F3076*I3076-N(H3076))</f>
        <v/>
      </c>
      <c r="K3076" s="16">
        <f>IF(OR(D3076="",F3076=""),"",F3076*IFERROR(INDEX('Sản phẩm'!$D$5:$D$304,MATCH(D3076,'Sản phẩm'!$A$5:$A$304,0)),""))</f>
        <v/>
      </c>
      <c r="L3076" s="16">
        <f>IF(J3076="","",J3076-K3076)</f>
        <v/>
      </c>
      <c r="M3076" s="14">
        <f>IF(A3076="","",MONTH(A3076))</f>
        <v/>
      </c>
      <c r="N3076" s="14">
        <f>IF(A3076="","",YEAR(A3076))</f>
        <v/>
      </c>
    </row>
    <row r="3077">
      <c r="A3077" s="15" t="n"/>
      <c r="B3077" s="10" t="n"/>
      <c r="C3077" s="10" t="n"/>
      <c r="D3077" s="10" t="n"/>
      <c r="E3077" s="14">
        <f>IF(D3077="","",IFERROR(INDEX('Sản phẩm'!$B$5:$B$304,MATCH(D3077,'Sản phẩm'!$A$5:$A$304,0)),""))</f>
        <v/>
      </c>
      <c r="F3077" s="12" t="n"/>
      <c r="G3077" s="11" t="n"/>
      <c r="H3077" s="11" t="n"/>
      <c r="I3077" s="16">
        <f>IF(D3077="","",IF(G3077&lt;&gt;"",G3077,IFERROR(INDEX('Sản phẩm'!$E$5:$E$304,MATCH(D3077,'Sản phẩm'!$A$5:$A$304,0)),"")))</f>
        <v/>
      </c>
      <c r="J3077" s="16">
        <f>IF(OR(D3077="",F3077=""),"",F3077*I3077-N(H3077))</f>
        <v/>
      </c>
      <c r="K3077" s="16">
        <f>IF(OR(D3077="",F3077=""),"",F3077*IFERROR(INDEX('Sản phẩm'!$D$5:$D$304,MATCH(D3077,'Sản phẩm'!$A$5:$A$304,0)),""))</f>
        <v/>
      </c>
      <c r="L3077" s="16">
        <f>IF(J3077="","",J3077-K3077)</f>
        <v/>
      </c>
      <c r="M3077" s="14">
        <f>IF(A3077="","",MONTH(A3077))</f>
        <v/>
      </c>
      <c r="N3077" s="14">
        <f>IF(A3077="","",YEAR(A3077))</f>
        <v/>
      </c>
    </row>
    <row r="3078">
      <c r="A3078" s="15" t="n"/>
      <c r="B3078" s="10" t="n"/>
      <c r="C3078" s="10" t="n"/>
      <c r="D3078" s="10" t="n"/>
      <c r="E3078" s="14">
        <f>IF(D3078="","",IFERROR(INDEX('Sản phẩm'!$B$5:$B$304,MATCH(D3078,'Sản phẩm'!$A$5:$A$304,0)),""))</f>
        <v/>
      </c>
      <c r="F3078" s="12" t="n"/>
      <c r="G3078" s="11" t="n"/>
      <c r="H3078" s="11" t="n"/>
      <c r="I3078" s="16">
        <f>IF(D3078="","",IF(G3078&lt;&gt;"",G3078,IFERROR(INDEX('Sản phẩm'!$E$5:$E$304,MATCH(D3078,'Sản phẩm'!$A$5:$A$304,0)),"")))</f>
        <v/>
      </c>
      <c r="J3078" s="16">
        <f>IF(OR(D3078="",F3078=""),"",F3078*I3078-N(H3078))</f>
        <v/>
      </c>
      <c r="K3078" s="16">
        <f>IF(OR(D3078="",F3078=""),"",F3078*IFERROR(INDEX('Sản phẩm'!$D$5:$D$304,MATCH(D3078,'Sản phẩm'!$A$5:$A$304,0)),""))</f>
        <v/>
      </c>
      <c r="L3078" s="16">
        <f>IF(J3078="","",J3078-K3078)</f>
        <v/>
      </c>
      <c r="M3078" s="14">
        <f>IF(A3078="","",MONTH(A3078))</f>
        <v/>
      </c>
      <c r="N3078" s="14">
        <f>IF(A3078="","",YEAR(A3078))</f>
        <v/>
      </c>
    </row>
    <row r="3079">
      <c r="A3079" s="15" t="n"/>
      <c r="B3079" s="10" t="n"/>
      <c r="C3079" s="10" t="n"/>
      <c r="D3079" s="10" t="n"/>
      <c r="E3079" s="14">
        <f>IF(D3079="","",IFERROR(INDEX('Sản phẩm'!$B$5:$B$304,MATCH(D3079,'Sản phẩm'!$A$5:$A$304,0)),""))</f>
        <v/>
      </c>
      <c r="F3079" s="12" t="n"/>
      <c r="G3079" s="11" t="n"/>
      <c r="H3079" s="11" t="n"/>
      <c r="I3079" s="16">
        <f>IF(D3079="","",IF(G3079&lt;&gt;"",G3079,IFERROR(INDEX('Sản phẩm'!$E$5:$E$304,MATCH(D3079,'Sản phẩm'!$A$5:$A$304,0)),"")))</f>
        <v/>
      </c>
      <c r="J3079" s="16">
        <f>IF(OR(D3079="",F3079=""),"",F3079*I3079-N(H3079))</f>
        <v/>
      </c>
      <c r="K3079" s="16">
        <f>IF(OR(D3079="",F3079=""),"",F3079*IFERROR(INDEX('Sản phẩm'!$D$5:$D$304,MATCH(D3079,'Sản phẩm'!$A$5:$A$304,0)),""))</f>
        <v/>
      </c>
      <c r="L3079" s="16">
        <f>IF(J3079="","",J3079-K3079)</f>
        <v/>
      </c>
      <c r="M3079" s="14">
        <f>IF(A3079="","",MONTH(A3079))</f>
        <v/>
      </c>
      <c r="N3079" s="14">
        <f>IF(A3079="","",YEAR(A3079))</f>
        <v/>
      </c>
    </row>
    <row r="3080">
      <c r="A3080" s="15" t="n"/>
      <c r="B3080" s="10" t="n"/>
      <c r="C3080" s="10" t="n"/>
      <c r="D3080" s="10" t="n"/>
      <c r="E3080" s="14">
        <f>IF(D3080="","",IFERROR(INDEX('Sản phẩm'!$B$5:$B$304,MATCH(D3080,'Sản phẩm'!$A$5:$A$304,0)),""))</f>
        <v/>
      </c>
      <c r="F3080" s="12" t="n"/>
      <c r="G3080" s="11" t="n"/>
      <c r="H3080" s="11" t="n"/>
      <c r="I3080" s="16">
        <f>IF(D3080="","",IF(G3080&lt;&gt;"",G3080,IFERROR(INDEX('Sản phẩm'!$E$5:$E$304,MATCH(D3080,'Sản phẩm'!$A$5:$A$304,0)),"")))</f>
        <v/>
      </c>
      <c r="J3080" s="16">
        <f>IF(OR(D3080="",F3080=""),"",F3080*I3080-N(H3080))</f>
        <v/>
      </c>
      <c r="K3080" s="16">
        <f>IF(OR(D3080="",F3080=""),"",F3080*IFERROR(INDEX('Sản phẩm'!$D$5:$D$304,MATCH(D3080,'Sản phẩm'!$A$5:$A$304,0)),""))</f>
        <v/>
      </c>
      <c r="L3080" s="16">
        <f>IF(J3080="","",J3080-K3080)</f>
        <v/>
      </c>
      <c r="M3080" s="14">
        <f>IF(A3080="","",MONTH(A3080))</f>
        <v/>
      </c>
      <c r="N3080" s="14">
        <f>IF(A3080="","",YEAR(A3080))</f>
        <v/>
      </c>
    </row>
    <row r="3081">
      <c r="A3081" s="15" t="n"/>
      <c r="B3081" s="10" t="n"/>
      <c r="C3081" s="10" t="n"/>
      <c r="D3081" s="10" t="n"/>
      <c r="E3081" s="14">
        <f>IF(D3081="","",IFERROR(INDEX('Sản phẩm'!$B$5:$B$304,MATCH(D3081,'Sản phẩm'!$A$5:$A$304,0)),""))</f>
        <v/>
      </c>
      <c r="F3081" s="12" t="n"/>
      <c r="G3081" s="11" t="n"/>
      <c r="H3081" s="11" t="n"/>
      <c r="I3081" s="16">
        <f>IF(D3081="","",IF(G3081&lt;&gt;"",G3081,IFERROR(INDEX('Sản phẩm'!$E$5:$E$304,MATCH(D3081,'Sản phẩm'!$A$5:$A$304,0)),"")))</f>
        <v/>
      </c>
      <c r="J3081" s="16">
        <f>IF(OR(D3081="",F3081=""),"",F3081*I3081-N(H3081))</f>
        <v/>
      </c>
      <c r="K3081" s="16">
        <f>IF(OR(D3081="",F3081=""),"",F3081*IFERROR(INDEX('Sản phẩm'!$D$5:$D$304,MATCH(D3081,'Sản phẩm'!$A$5:$A$304,0)),""))</f>
        <v/>
      </c>
      <c r="L3081" s="16">
        <f>IF(J3081="","",J3081-K3081)</f>
        <v/>
      </c>
      <c r="M3081" s="14">
        <f>IF(A3081="","",MONTH(A3081))</f>
        <v/>
      </c>
      <c r="N3081" s="14">
        <f>IF(A3081="","",YEAR(A3081))</f>
        <v/>
      </c>
    </row>
    <row r="3082">
      <c r="A3082" s="15" t="n"/>
      <c r="B3082" s="10" t="n"/>
      <c r="C3082" s="10" t="n"/>
      <c r="D3082" s="10" t="n"/>
      <c r="E3082" s="14">
        <f>IF(D3082="","",IFERROR(INDEX('Sản phẩm'!$B$5:$B$304,MATCH(D3082,'Sản phẩm'!$A$5:$A$304,0)),""))</f>
        <v/>
      </c>
      <c r="F3082" s="12" t="n"/>
      <c r="G3082" s="11" t="n"/>
      <c r="H3082" s="11" t="n"/>
      <c r="I3082" s="16">
        <f>IF(D3082="","",IF(G3082&lt;&gt;"",G3082,IFERROR(INDEX('Sản phẩm'!$E$5:$E$304,MATCH(D3082,'Sản phẩm'!$A$5:$A$304,0)),"")))</f>
        <v/>
      </c>
      <c r="J3082" s="16">
        <f>IF(OR(D3082="",F3082=""),"",F3082*I3082-N(H3082))</f>
        <v/>
      </c>
      <c r="K3082" s="16">
        <f>IF(OR(D3082="",F3082=""),"",F3082*IFERROR(INDEX('Sản phẩm'!$D$5:$D$304,MATCH(D3082,'Sản phẩm'!$A$5:$A$304,0)),""))</f>
        <v/>
      </c>
      <c r="L3082" s="16">
        <f>IF(J3082="","",J3082-K3082)</f>
        <v/>
      </c>
      <c r="M3082" s="14">
        <f>IF(A3082="","",MONTH(A3082))</f>
        <v/>
      </c>
      <c r="N3082" s="14">
        <f>IF(A3082="","",YEAR(A3082))</f>
        <v/>
      </c>
    </row>
    <row r="3083">
      <c r="A3083" s="15" t="n"/>
      <c r="B3083" s="10" t="n"/>
      <c r="C3083" s="10" t="n"/>
      <c r="D3083" s="10" t="n"/>
      <c r="E3083" s="14">
        <f>IF(D3083="","",IFERROR(INDEX('Sản phẩm'!$B$5:$B$304,MATCH(D3083,'Sản phẩm'!$A$5:$A$304,0)),""))</f>
        <v/>
      </c>
      <c r="F3083" s="12" t="n"/>
      <c r="G3083" s="11" t="n"/>
      <c r="H3083" s="11" t="n"/>
      <c r="I3083" s="16">
        <f>IF(D3083="","",IF(G3083&lt;&gt;"",G3083,IFERROR(INDEX('Sản phẩm'!$E$5:$E$304,MATCH(D3083,'Sản phẩm'!$A$5:$A$304,0)),"")))</f>
        <v/>
      </c>
      <c r="J3083" s="16">
        <f>IF(OR(D3083="",F3083=""),"",F3083*I3083-N(H3083))</f>
        <v/>
      </c>
      <c r="K3083" s="16">
        <f>IF(OR(D3083="",F3083=""),"",F3083*IFERROR(INDEX('Sản phẩm'!$D$5:$D$304,MATCH(D3083,'Sản phẩm'!$A$5:$A$304,0)),""))</f>
        <v/>
      </c>
      <c r="L3083" s="16">
        <f>IF(J3083="","",J3083-K3083)</f>
        <v/>
      </c>
      <c r="M3083" s="14">
        <f>IF(A3083="","",MONTH(A3083))</f>
        <v/>
      </c>
      <c r="N3083" s="14">
        <f>IF(A3083="","",YEAR(A3083))</f>
        <v/>
      </c>
    </row>
    <row r="3084">
      <c r="A3084" s="15" t="n"/>
      <c r="B3084" s="10" t="n"/>
      <c r="C3084" s="10" t="n"/>
      <c r="D3084" s="10" t="n"/>
      <c r="E3084" s="14">
        <f>IF(D3084="","",IFERROR(INDEX('Sản phẩm'!$B$5:$B$304,MATCH(D3084,'Sản phẩm'!$A$5:$A$304,0)),""))</f>
        <v/>
      </c>
      <c r="F3084" s="12" t="n"/>
      <c r="G3084" s="11" t="n"/>
      <c r="H3084" s="11" t="n"/>
      <c r="I3084" s="16">
        <f>IF(D3084="","",IF(G3084&lt;&gt;"",G3084,IFERROR(INDEX('Sản phẩm'!$E$5:$E$304,MATCH(D3084,'Sản phẩm'!$A$5:$A$304,0)),"")))</f>
        <v/>
      </c>
      <c r="J3084" s="16">
        <f>IF(OR(D3084="",F3084=""),"",F3084*I3084-N(H3084))</f>
        <v/>
      </c>
      <c r="K3084" s="16">
        <f>IF(OR(D3084="",F3084=""),"",F3084*IFERROR(INDEX('Sản phẩm'!$D$5:$D$304,MATCH(D3084,'Sản phẩm'!$A$5:$A$304,0)),""))</f>
        <v/>
      </c>
      <c r="L3084" s="16">
        <f>IF(J3084="","",J3084-K3084)</f>
        <v/>
      </c>
      <c r="M3084" s="14">
        <f>IF(A3084="","",MONTH(A3084))</f>
        <v/>
      </c>
      <c r="N3084" s="14">
        <f>IF(A3084="","",YEAR(A3084))</f>
        <v/>
      </c>
    </row>
    <row r="3085">
      <c r="A3085" s="15" t="n"/>
      <c r="B3085" s="10" t="n"/>
      <c r="C3085" s="10" t="n"/>
      <c r="D3085" s="10" t="n"/>
      <c r="E3085" s="14">
        <f>IF(D3085="","",IFERROR(INDEX('Sản phẩm'!$B$5:$B$304,MATCH(D3085,'Sản phẩm'!$A$5:$A$304,0)),""))</f>
        <v/>
      </c>
      <c r="F3085" s="12" t="n"/>
      <c r="G3085" s="11" t="n"/>
      <c r="H3085" s="11" t="n"/>
      <c r="I3085" s="16">
        <f>IF(D3085="","",IF(G3085&lt;&gt;"",G3085,IFERROR(INDEX('Sản phẩm'!$E$5:$E$304,MATCH(D3085,'Sản phẩm'!$A$5:$A$304,0)),"")))</f>
        <v/>
      </c>
      <c r="J3085" s="16">
        <f>IF(OR(D3085="",F3085=""),"",F3085*I3085-N(H3085))</f>
        <v/>
      </c>
      <c r="K3085" s="16">
        <f>IF(OR(D3085="",F3085=""),"",F3085*IFERROR(INDEX('Sản phẩm'!$D$5:$D$304,MATCH(D3085,'Sản phẩm'!$A$5:$A$304,0)),""))</f>
        <v/>
      </c>
      <c r="L3085" s="16">
        <f>IF(J3085="","",J3085-K3085)</f>
        <v/>
      </c>
      <c r="M3085" s="14">
        <f>IF(A3085="","",MONTH(A3085))</f>
        <v/>
      </c>
      <c r="N3085" s="14">
        <f>IF(A3085="","",YEAR(A3085))</f>
        <v/>
      </c>
    </row>
    <row r="3086">
      <c r="A3086" s="15" t="n"/>
      <c r="B3086" s="10" t="n"/>
      <c r="C3086" s="10" t="n"/>
      <c r="D3086" s="10" t="n"/>
      <c r="E3086" s="14">
        <f>IF(D3086="","",IFERROR(INDEX('Sản phẩm'!$B$5:$B$304,MATCH(D3086,'Sản phẩm'!$A$5:$A$304,0)),""))</f>
        <v/>
      </c>
      <c r="F3086" s="12" t="n"/>
      <c r="G3086" s="11" t="n"/>
      <c r="H3086" s="11" t="n"/>
      <c r="I3086" s="16">
        <f>IF(D3086="","",IF(G3086&lt;&gt;"",G3086,IFERROR(INDEX('Sản phẩm'!$E$5:$E$304,MATCH(D3086,'Sản phẩm'!$A$5:$A$304,0)),"")))</f>
        <v/>
      </c>
      <c r="J3086" s="16">
        <f>IF(OR(D3086="",F3086=""),"",F3086*I3086-N(H3086))</f>
        <v/>
      </c>
      <c r="K3086" s="16">
        <f>IF(OR(D3086="",F3086=""),"",F3086*IFERROR(INDEX('Sản phẩm'!$D$5:$D$304,MATCH(D3086,'Sản phẩm'!$A$5:$A$304,0)),""))</f>
        <v/>
      </c>
      <c r="L3086" s="16">
        <f>IF(J3086="","",J3086-K3086)</f>
        <v/>
      </c>
      <c r="M3086" s="14">
        <f>IF(A3086="","",MONTH(A3086))</f>
        <v/>
      </c>
      <c r="N3086" s="14">
        <f>IF(A3086="","",YEAR(A3086))</f>
        <v/>
      </c>
    </row>
    <row r="3087">
      <c r="A3087" s="15" t="n"/>
      <c r="B3087" s="10" t="n"/>
      <c r="C3087" s="10" t="n"/>
      <c r="D3087" s="10" t="n"/>
      <c r="E3087" s="14">
        <f>IF(D3087="","",IFERROR(INDEX('Sản phẩm'!$B$5:$B$304,MATCH(D3087,'Sản phẩm'!$A$5:$A$304,0)),""))</f>
        <v/>
      </c>
      <c r="F3087" s="12" t="n"/>
      <c r="G3087" s="11" t="n"/>
      <c r="H3087" s="11" t="n"/>
      <c r="I3087" s="16">
        <f>IF(D3087="","",IF(G3087&lt;&gt;"",G3087,IFERROR(INDEX('Sản phẩm'!$E$5:$E$304,MATCH(D3087,'Sản phẩm'!$A$5:$A$304,0)),"")))</f>
        <v/>
      </c>
      <c r="J3087" s="16">
        <f>IF(OR(D3087="",F3087=""),"",F3087*I3087-N(H3087))</f>
        <v/>
      </c>
      <c r="K3087" s="16">
        <f>IF(OR(D3087="",F3087=""),"",F3087*IFERROR(INDEX('Sản phẩm'!$D$5:$D$304,MATCH(D3087,'Sản phẩm'!$A$5:$A$304,0)),""))</f>
        <v/>
      </c>
      <c r="L3087" s="16">
        <f>IF(J3087="","",J3087-K3087)</f>
        <v/>
      </c>
      <c r="M3087" s="14">
        <f>IF(A3087="","",MONTH(A3087))</f>
        <v/>
      </c>
      <c r="N3087" s="14">
        <f>IF(A3087="","",YEAR(A3087))</f>
        <v/>
      </c>
    </row>
    <row r="3088">
      <c r="A3088" s="15" t="n"/>
      <c r="B3088" s="10" t="n"/>
      <c r="C3088" s="10" t="n"/>
      <c r="D3088" s="10" t="n"/>
      <c r="E3088" s="14">
        <f>IF(D3088="","",IFERROR(INDEX('Sản phẩm'!$B$5:$B$304,MATCH(D3088,'Sản phẩm'!$A$5:$A$304,0)),""))</f>
        <v/>
      </c>
      <c r="F3088" s="12" t="n"/>
      <c r="G3088" s="11" t="n"/>
      <c r="H3088" s="11" t="n"/>
      <c r="I3088" s="16">
        <f>IF(D3088="","",IF(G3088&lt;&gt;"",G3088,IFERROR(INDEX('Sản phẩm'!$E$5:$E$304,MATCH(D3088,'Sản phẩm'!$A$5:$A$304,0)),"")))</f>
        <v/>
      </c>
      <c r="J3088" s="16">
        <f>IF(OR(D3088="",F3088=""),"",F3088*I3088-N(H3088))</f>
        <v/>
      </c>
      <c r="K3088" s="16">
        <f>IF(OR(D3088="",F3088=""),"",F3088*IFERROR(INDEX('Sản phẩm'!$D$5:$D$304,MATCH(D3088,'Sản phẩm'!$A$5:$A$304,0)),""))</f>
        <v/>
      </c>
      <c r="L3088" s="16">
        <f>IF(J3088="","",J3088-K3088)</f>
        <v/>
      </c>
      <c r="M3088" s="14">
        <f>IF(A3088="","",MONTH(A3088))</f>
        <v/>
      </c>
      <c r="N3088" s="14">
        <f>IF(A3088="","",YEAR(A3088))</f>
        <v/>
      </c>
    </row>
    <row r="3089">
      <c r="A3089" s="15" t="n"/>
      <c r="B3089" s="10" t="n"/>
      <c r="C3089" s="10" t="n"/>
      <c r="D3089" s="10" t="n"/>
      <c r="E3089" s="14">
        <f>IF(D3089="","",IFERROR(INDEX('Sản phẩm'!$B$5:$B$304,MATCH(D3089,'Sản phẩm'!$A$5:$A$304,0)),""))</f>
        <v/>
      </c>
      <c r="F3089" s="12" t="n"/>
      <c r="G3089" s="11" t="n"/>
      <c r="H3089" s="11" t="n"/>
      <c r="I3089" s="16">
        <f>IF(D3089="","",IF(G3089&lt;&gt;"",G3089,IFERROR(INDEX('Sản phẩm'!$E$5:$E$304,MATCH(D3089,'Sản phẩm'!$A$5:$A$304,0)),"")))</f>
        <v/>
      </c>
      <c r="J3089" s="16">
        <f>IF(OR(D3089="",F3089=""),"",F3089*I3089-N(H3089))</f>
        <v/>
      </c>
      <c r="K3089" s="16">
        <f>IF(OR(D3089="",F3089=""),"",F3089*IFERROR(INDEX('Sản phẩm'!$D$5:$D$304,MATCH(D3089,'Sản phẩm'!$A$5:$A$304,0)),""))</f>
        <v/>
      </c>
      <c r="L3089" s="16">
        <f>IF(J3089="","",J3089-K3089)</f>
        <v/>
      </c>
      <c r="M3089" s="14">
        <f>IF(A3089="","",MONTH(A3089))</f>
        <v/>
      </c>
      <c r="N3089" s="14">
        <f>IF(A3089="","",YEAR(A3089))</f>
        <v/>
      </c>
    </row>
    <row r="3090">
      <c r="A3090" s="15" t="n"/>
      <c r="B3090" s="10" t="n"/>
      <c r="C3090" s="10" t="n"/>
      <c r="D3090" s="10" t="n"/>
      <c r="E3090" s="14">
        <f>IF(D3090="","",IFERROR(INDEX('Sản phẩm'!$B$5:$B$304,MATCH(D3090,'Sản phẩm'!$A$5:$A$304,0)),""))</f>
        <v/>
      </c>
      <c r="F3090" s="12" t="n"/>
      <c r="G3090" s="11" t="n"/>
      <c r="H3090" s="11" t="n"/>
      <c r="I3090" s="16">
        <f>IF(D3090="","",IF(G3090&lt;&gt;"",G3090,IFERROR(INDEX('Sản phẩm'!$E$5:$E$304,MATCH(D3090,'Sản phẩm'!$A$5:$A$304,0)),"")))</f>
        <v/>
      </c>
      <c r="J3090" s="16">
        <f>IF(OR(D3090="",F3090=""),"",F3090*I3090-N(H3090))</f>
        <v/>
      </c>
      <c r="K3090" s="16">
        <f>IF(OR(D3090="",F3090=""),"",F3090*IFERROR(INDEX('Sản phẩm'!$D$5:$D$304,MATCH(D3090,'Sản phẩm'!$A$5:$A$304,0)),""))</f>
        <v/>
      </c>
      <c r="L3090" s="16">
        <f>IF(J3090="","",J3090-K3090)</f>
        <v/>
      </c>
      <c r="M3090" s="14">
        <f>IF(A3090="","",MONTH(A3090))</f>
        <v/>
      </c>
      <c r="N3090" s="14">
        <f>IF(A3090="","",YEAR(A3090))</f>
        <v/>
      </c>
    </row>
    <row r="3091">
      <c r="A3091" s="15" t="n"/>
      <c r="B3091" s="10" t="n"/>
      <c r="C3091" s="10" t="n"/>
      <c r="D3091" s="10" t="n"/>
      <c r="E3091" s="14">
        <f>IF(D3091="","",IFERROR(INDEX('Sản phẩm'!$B$5:$B$304,MATCH(D3091,'Sản phẩm'!$A$5:$A$304,0)),""))</f>
        <v/>
      </c>
      <c r="F3091" s="12" t="n"/>
      <c r="G3091" s="11" t="n"/>
      <c r="H3091" s="11" t="n"/>
      <c r="I3091" s="16">
        <f>IF(D3091="","",IF(G3091&lt;&gt;"",G3091,IFERROR(INDEX('Sản phẩm'!$E$5:$E$304,MATCH(D3091,'Sản phẩm'!$A$5:$A$304,0)),"")))</f>
        <v/>
      </c>
      <c r="J3091" s="16">
        <f>IF(OR(D3091="",F3091=""),"",F3091*I3091-N(H3091))</f>
        <v/>
      </c>
      <c r="K3091" s="16">
        <f>IF(OR(D3091="",F3091=""),"",F3091*IFERROR(INDEX('Sản phẩm'!$D$5:$D$304,MATCH(D3091,'Sản phẩm'!$A$5:$A$304,0)),""))</f>
        <v/>
      </c>
      <c r="L3091" s="16">
        <f>IF(J3091="","",J3091-K3091)</f>
        <v/>
      </c>
      <c r="M3091" s="14">
        <f>IF(A3091="","",MONTH(A3091))</f>
        <v/>
      </c>
      <c r="N3091" s="14">
        <f>IF(A3091="","",YEAR(A3091))</f>
        <v/>
      </c>
    </row>
    <row r="3092">
      <c r="A3092" s="15" t="n"/>
      <c r="B3092" s="10" t="n"/>
      <c r="C3092" s="10" t="n"/>
      <c r="D3092" s="10" t="n"/>
      <c r="E3092" s="14">
        <f>IF(D3092="","",IFERROR(INDEX('Sản phẩm'!$B$5:$B$304,MATCH(D3092,'Sản phẩm'!$A$5:$A$304,0)),""))</f>
        <v/>
      </c>
      <c r="F3092" s="12" t="n"/>
      <c r="G3092" s="11" t="n"/>
      <c r="H3092" s="11" t="n"/>
      <c r="I3092" s="16">
        <f>IF(D3092="","",IF(G3092&lt;&gt;"",G3092,IFERROR(INDEX('Sản phẩm'!$E$5:$E$304,MATCH(D3092,'Sản phẩm'!$A$5:$A$304,0)),"")))</f>
        <v/>
      </c>
      <c r="J3092" s="16">
        <f>IF(OR(D3092="",F3092=""),"",F3092*I3092-N(H3092))</f>
        <v/>
      </c>
      <c r="K3092" s="16">
        <f>IF(OR(D3092="",F3092=""),"",F3092*IFERROR(INDEX('Sản phẩm'!$D$5:$D$304,MATCH(D3092,'Sản phẩm'!$A$5:$A$304,0)),""))</f>
        <v/>
      </c>
      <c r="L3092" s="16">
        <f>IF(J3092="","",J3092-K3092)</f>
        <v/>
      </c>
      <c r="M3092" s="14">
        <f>IF(A3092="","",MONTH(A3092))</f>
        <v/>
      </c>
      <c r="N3092" s="14">
        <f>IF(A3092="","",YEAR(A3092))</f>
        <v/>
      </c>
    </row>
    <row r="3093">
      <c r="A3093" s="15" t="n"/>
      <c r="B3093" s="10" t="n"/>
      <c r="C3093" s="10" t="n"/>
      <c r="D3093" s="10" t="n"/>
      <c r="E3093" s="14">
        <f>IF(D3093="","",IFERROR(INDEX('Sản phẩm'!$B$5:$B$304,MATCH(D3093,'Sản phẩm'!$A$5:$A$304,0)),""))</f>
        <v/>
      </c>
      <c r="F3093" s="12" t="n"/>
      <c r="G3093" s="11" t="n"/>
      <c r="H3093" s="11" t="n"/>
      <c r="I3093" s="16">
        <f>IF(D3093="","",IF(G3093&lt;&gt;"",G3093,IFERROR(INDEX('Sản phẩm'!$E$5:$E$304,MATCH(D3093,'Sản phẩm'!$A$5:$A$304,0)),"")))</f>
        <v/>
      </c>
      <c r="J3093" s="16">
        <f>IF(OR(D3093="",F3093=""),"",F3093*I3093-N(H3093))</f>
        <v/>
      </c>
      <c r="K3093" s="16">
        <f>IF(OR(D3093="",F3093=""),"",F3093*IFERROR(INDEX('Sản phẩm'!$D$5:$D$304,MATCH(D3093,'Sản phẩm'!$A$5:$A$304,0)),""))</f>
        <v/>
      </c>
      <c r="L3093" s="16">
        <f>IF(J3093="","",J3093-K3093)</f>
        <v/>
      </c>
      <c r="M3093" s="14">
        <f>IF(A3093="","",MONTH(A3093))</f>
        <v/>
      </c>
      <c r="N3093" s="14">
        <f>IF(A3093="","",YEAR(A3093))</f>
        <v/>
      </c>
    </row>
    <row r="3094">
      <c r="A3094" s="15" t="n"/>
      <c r="B3094" s="10" t="n"/>
      <c r="C3094" s="10" t="n"/>
      <c r="D3094" s="10" t="n"/>
      <c r="E3094" s="14">
        <f>IF(D3094="","",IFERROR(INDEX('Sản phẩm'!$B$5:$B$304,MATCH(D3094,'Sản phẩm'!$A$5:$A$304,0)),""))</f>
        <v/>
      </c>
      <c r="F3094" s="12" t="n"/>
      <c r="G3094" s="11" t="n"/>
      <c r="H3094" s="11" t="n"/>
      <c r="I3094" s="16">
        <f>IF(D3094="","",IF(G3094&lt;&gt;"",G3094,IFERROR(INDEX('Sản phẩm'!$E$5:$E$304,MATCH(D3094,'Sản phẩm'!$A$5:$A$304,0)),"")))</f>
        <v/>
      </c>
      <c r="J3094" s="16">
        <f>IF(OR(D3094="",F3094=""),"",F3094*I3094-N(H3094))</f>
        <v/>
      </c>
      <c r="K3094" s="16">
        <f>IF(OR(D3094="",F3094=""),"",F3094*IFERROR(INDEX('Sản phẩm'!$D$5:$D$304,MATCH(D3094,'Sản phẩm'!$A$5:$A$304,0)),""))</f>
        <v/>
      </c>
      <c r="L3094" s="16">
        <f>IF(J3094="","",J3094-K3094)</f>
        <v/>
      </c>
      <c r="M3094" s="14">
        <f>IF(A3094="","",MONTH(A3094))</f>
        <v/>
      </c>
      <c r="N3094" s="14">
        <f>IF(A3094="","",YEAR(A3094))</f>
        <v/>
      </c>
    </row>
    <row r="3095">
      <c r="A3095" s="15" t="n"/>
      <c r="B3095" s="10" t="n"/>
      <c r="C3095" s="10" t="n"/>
      <c r="D3095" s="10" t="n"/>
      <c r="E3095" s="14">
        <f>IF(D3095="","",IFERROR(INDEX('Sản phẩm'!$B$5:$B$304,MATCH(D3095,'Sản phẩm'!$A$5:$A$304,0)),""))</f>
        <v/>
      </c>
      <c r="F3095" s="12" t="n"/>
      <c r="G3095" s="11" t="n"/>
      <c r="H3095" s="11" t="n"/>
      <c r="I3095" s="16">
        <f>IF(D3095="","",IF(G3095&lt;&gt;"",G3095,IFERROR(INDEX('Sản phẩm'!$E$5:$E$304,MATCH(D3095,'Sản phẩm'!$A$5:$A$304,0)),"")))</f>
        <v/>
      </c>
      <c r="J3095" s="16">
        <f>IF(OR(D3095="",F3095=""),"",F3095*I3095-N(H3095))</f>
        <v/>
      </c>
      <c r="K3095" s="16">
        <f>IF(OR(D3095="",F3095=""),"",F3095*IFERROR(INDEX('Sản phẩm'!$D$5:$D$304,MATCH(D3095,'Sản phẩm'!$A$5:$A$304,0)),""))</f>
        <v/>
      </c>
      <c r="L3095" s="16">
        <f>IF(J3095="","",J3095-K3095)</f>
        <v/>
      </c>
      <c r="M3095" s="14">
        <f>IF(A3095="","",MONTH(A3095))</f>
        <v/>
      </c>
      <c r="N3095" s="14">
        <f>IF(A3095="","",YEAR(A3095))</f>
        <v/>
      </c>
    </row>
    <row r="3096">
      <c r="A3096" s="15" t="n"/>
      <c r="B3096" s="10" t="n"/>
      <c r="C3096" s="10" t="n"/>
      <c r="D3096" s="10" t="n"/>
      <c r="E3096" s="14">
        <f>IF(D3096="","",IFERROR(INDEX('Sản phẩm'!$B$5:$B$304,MATCH(D3096,'Sản phẩm'!$A$5:$A$304,0)),""))</f>
        <v/>
      </c>
      <c r="F3096" s="12" t="n"/>
      <c r="G3096" s="11" t="n"/>
      <c r="H3096" s="11" t="n"/>
      <c r="I3096" s="16">
        <f>IF(D3096="","",IF(G3096&lt;&gt;"",G3096,IFERROR(INDEX('Sản phẩm'!$E$5:$E$304,MATCH(D3096,'Sản phẩm'!$A$5:$A$304,0)),"")))</f>
        <v/>
      </c>
      <c r="J3096" s="16">
        <f>IF(OR(D3096="",F3096=""),"",F3096*I3096-N(H3096))</f>
        <v/>
      </c>
      <c r="K3096" s="16">
        <f>IF(OR(D3096="",F3096=""),"",F3096*IFERROR(INDEX('Sản phẩm'!$D$5:$D$304,MATCH(D3096,'Sản phẩm'!$A$5:$A$304,0)),""))</f>
        <v/>
      </c>
      <c r="L3096" s="16">
        <f>IF(J3096="","",J3096-K3096)</f>
        <v/>
      </c>
      <c r="M3096" s="14">
        <f>IF(A3096="","",MONTH(A3096))</f>
        <v/>
      </c>
      <c r="N3096" s="14">
        <f>IF(A3096="","",YEAR(A3096))</f>
        <v/>
      </c>
    </row>
    <row r="3097">
      <c r="A3097" s="15" t="n"/>
      <c r="B3097" s="10" t="n"/>
      <c r="C3097" s="10" t="n"/>
      <c r="D3097" s="10" t="n"/>
      <c r="E3097" s="14">
        <f>IF(D3097="","",IFERROR(INDEX('Sản phẩm'!$B$5:$B$304,MATCH(D3097,'Sản phẩm'!$A$5:$A$304,0)),""))</f>
        <v/>
      </c>
      <c r="F3097" s="12" t="n"/>
      <c r="G3097" s="11" t="n"/>
      <c r="H3097" s="11" t="n"/>
      <c r="I3097" s="16">
        <f>IF(D3097="","",IF(G3097&lt;&gt;"",G3097,IFERROR(INDEX('Sản phẩm'!$E$5:$E$304,MATCH(D3097,'Sản phẩm'!$A$5:$A$304,0)),"")))</f>
        <v/>
      </c>
      <c r="J3097" s="16">
        <f>IF(OR(D3097="",F3097=""),"",F3097*I3097-N(H3097))</f>
        <v/>
      </c>
      <c r="K3097" s="16">
        <f>IF(OR(D3097="",F3097=""),"",F3097*IFERROR(INDEX('Sản phẩm'!$D$5:$D$304,MATCH(D3097,'Sản phẩm'!$A$5:$A$304,0)),""))</f>
        <v/>
      </c>
      <c r="L3097" s="16">
        <f>IF(J3097="","",J3097-K3097)</f>
        <v/>
      </c>
      <c r="M3097" s="14">
        <f>IF(A3097="","",MONTH(A3097))</f>
        <v/>
      </c>
      <c r="N3097" s="14">
        <f>IF(A3097="","",YEAR(A3097))</f>
        <v/>
      </c>
    </row>
    <row r="3098">
      <c r="A3098" s="15" t="n"/>
      <c r="B3098" s="10" t="n"/>
      <c r="C3098" s="10" t="n"/>
      <c r="D3098" s="10" t="n"/>
      <c r="E3098" s="14">
        <f>IF(D3098="","",IFERROR(INDEX('Sản phẩm'!$B$5:$B$304,MATCH(D3098,'Sản phẩm'!$A$5:$A$304,0)),""))</f>
        <v/>
      </c>
      <c r="F3098" s="12" t="n"/>
      <c r="G3098" s="11" t="n"/>
      <c r="H3098" s="11" t="n"/>
      <c r="I3098" s="16">
        <f>IF(D3098="","",IF(G3098&lt;&gt;"",G3098,IFERROR(INDEX('Sản phẩm'!$E$5:$E$304,MATCH(D3098,'Sản phẩm'!$A$5:$A$304,0)),"")))</f>
        <v/>
      </c>
      <c r="J3098" s="16">
        <f>IF(OR(D3098="",F3098=""),"",F3098*I3098-N(H3098))</f>
        <v/>
      </c>
      <c r="K3098" s="16">
        <f>IF(OR(D3098="",F3098=""),"",F3098*IFERROR(INDEX('Sản phẩm'!$D$5:$D$304,MATCH(D3098,'Sản phẩm'!$A$5:$A$304,0)),""))</f>
        <v/>
      </c>
      <c r="L3098" s="16">
        <f>IF(J3098="","",J3098-K3098)</f>
        <v/>
      </c>
      <c r="M3098" s="14">
        <f>IF(A3098="","",MONTH(A3098))</f>
        <v/>
      </c>
      <c r="N3098" s="14">
        <f>IF(A3098="","",YEAR(A3098))</f>
        <v/>
      </c>
    </row>
    <row r="3099">
      <c r="A3099" s="15" t="n"/>
      <c r="B3099" s="10" t="n"/>
      <c r="C3099" s="10" t="n"/>
      <c r="D3099" s="10" t="n"/>
      <c r="E3099" s="14">
        <f>IF(D3099="","",IFERROR(INDEX('Sản phẩm'!$B$5:$B$304,MATCH(D3099,'Sản phẩm'!$A$5:$A$304,0)),""))</f>
        <v/>
      </c>
      <c r="F3099" s="12" t="n"/>
      <c r="G3099" s="11" t="n"/>
      <c r="H3099" s="11" t="n"/>
      <c r="I3099" s="16">
        <f>IF(D3099="","",IF(G3099&lt;&gt;"",G3099,IFERROR(INDEX('Sản phẩm'!$E$5:$E$304,MATCH(D3099,'Sản phẩm'!$A$5:$A$304,0)),"")))</f>
        <v/>
      </c>
      <c r="J3099" s="16">
        <f>IF(OR(D3099="",F3099=""),"",F3099*I3099-N(H3099))</f>
        <v/>
      </c>
      <c r="K3099" s="16">
        <f>IF(OR(D3099="",F3099=""),"",F3099*IFERROR(INDEX('Sản phẩm'!$D$5:$D$304,MATCH(D3099,'Sản phẩm'!$A$5:$A$304,0)),""))</f>
        <v/>
      </c>
      <c r="L3099" s="16">
        <f>IF(J3099="","",J3099-K3099)</f>
        <v/>
      </c>
      <c r="M3099" s="14">
        <f>IF(A3099="","",MONTH(A3099))</f>
        <v/>
      </c>
      <c r="N3099" s="14">
        <f>IF(A3099="","",YEAR(A3099))</f>
        <v/>
      </c>
    </row>
    <row r="3100">
      <c r="A3100" s="15" t="n"/>
      <c r="B3100" s="10" t="n"/>
      <c r="C3100" s="10" t="n"/>
      <c r="D3100" s="10" t="n"/>
      <c r="E3100" s="14">
        <f>IF(D3100="","",IFERROR(INDEX('Sản phẩm'!$B$5:$B$304,MATCH(D3100,'Sản phẩm'!$A$5:$A$304,0)),""))</f>
        <v/>
      </c>
      <c r="F3100" s="12" t="n"/>
      <c r="G3100" s="11" t="n"/>
      <c r="H3100" s="11" t="n"/>
      <c r="I3100" s="16">
        <f>IF(D3100="","",IF(G3100&lt;&gt;"",G3100,IFERROR(INDEX('Sản phẩm'!$E$5:$E$304,MATCH(D3100,'Sản phẩm'!$A$5:$A$304,0)),"")))</f>
        <v/>
      </c>
      <c r="J3100" s="16">
        <f>IF(OR(D3100="",F3100=""),"",F3100*I3100-N(H3100))</f>
        <v/>
      </c>
      <c r="K3100" s="16">
        <f>IF(OR(D3100="",F3100=""),"",F3100*IFERROR(INDEX('Sản phẩm'!$D$5:$D$304,MATCH(D3100,'Sản phẩm'!$A$5:$A$304,0)),""))</f>
        <v/>
      </c>
      <c r="L3100" s="16">
        <f>IF(J3100="","",J3100-K3100)</f>
        <v/>
      </c>
      <c r="M3100" s="14">
        <f>IF(A3100="","",MONTH(A3100))</f>
        <v/>
      </c>
      <c r="N3100" s="14">
        <f>IF(A3100="","",YEAR(A3100))</f>
        <v/>
      </c>
    </row>
    <row r="3101">
      <c r="A3101" s="15" t="n"/>
      <c r="B3101" s="10" t="n"/>
      <c r="C3101" s="10" t="n"/>
      <c r="D3101" s="10" t="n"/>
      <c r="E3101" s="14">
        <f>IF(D3101="","",IFERROR(INDEX('Sản phẩm'!$B$5:$B$304,MATCH(D3101,'Sản phẩm'!$A$5:$A$304,0)),""))</f>
        <v/>
      </c>
      <c r="F3101" s="12" t="n"/>
      <c r="G3101" s="11" t="n"/>
      <c r="H3101" s="11" t="n"/>
      <c r="I3101" s="16">
        <f>IF(D3101="","",IF(G3101&lt;&gt;"",G3101,IFERROR(INDEX('Sản phẩm'!$E$5:$E$304,MATCH(D3101,'Sản phẩm'!$A$5:$A$304,0)),"")))</f>
        <v/>
      </c>
      <c r="J3101" s="16">
        <f>IF(OR(D3101="",F3101=""),"",F3101*I3101-N(H3101))</f>
        <v/>
      </c>
      <c r="K3101" s="16">
        <f>IF(OR(D3101="",F3101=""),"",F3101*IFERROR(INDEX('Sản phẩm'!$D$5:$D$304,MATCH(D3101,'Sản phẩm'!$A$5:$A$304,0)),""))</f>
        <v/>
      </c>
      <c r="L3101" s="16">
        <f>IF(J3101="","",J3101-K3101)</f>
        <v/>
      </c>
      <c r="M3101" s="14">
        <f>IF(A3101="","",MONTH(A3101))</f>
        <v/>
      </c>
      <c r="N3101" s="14">
        <f>IF(A3101="","",YEAR(A3101))</f>
        <v/>
      </c>
    </row>
    <row r="3102">
      <c r="A3102" s="15" t="n"/>
      <c r="B3102" s="10" t="n"/>
      <c r="C3102" s="10" t="n"/>
      <c r="D3102" s="10" t="n"/>
      <c r="E3102" s="14">
        <f>IF(D3102="","",IFERROR(INDEX('Sản phẩm'!$B$5:$B$304,MATCH(D3102,'Sản phẩm'!$A$5:$A$304,0)),""))</f>
        <v/>
      </c>
      <c r="F3102" s="12" t="n"/>
      <c r="G3102" s="11" t="n"/>
      <c r="H3102" s="11" t="n"/>
      <c r="I3102" s="16">
        <f>IF(D3102="","",IF(G3102&lt;&gt;"",G3102,IFERROR(INDEX('Sản phẩm'!$E$5:$E$304,MATCH(D3102,'Sản phẩm'!$A$5:$A$304,0)),"")))</f>
        <v/>
      </c>
      <c r="J3102" s="16">
        <f>IF(OR(D3102="",F3102=""),"",F3102*I3102-N(H3102))</f>
        <v/>
      </c>
      <c r="K3102" s="16">
        <f>IF(OR(D3102="",F3102=""),"",F3102*IFERROR(INDEX('Sản phẩm'!$D$5:$D$304,MATCH(D3102,'Sản phẩm'!$A$5:$A$304,0)),""))</f>
        <v/>
      </c>
      <c r="L3102" s="16">
        <f>IF(J3102="","",J3102-K3102)</f>
        <v/>
      </c>
      <c r="M3102" s="14">
        <f>IF(A3102="","",MONTH(A3102))</f>
        <v/>
      </c>
      <c r="N3102" s="14">
        <f>IF(A3102="","",YEAR(A3102))</f>
        <v/>
      </c>
    </row>
    <row r="3103">
      <c r="A3103" s="15" t="n"/>
      <c r="B3103" s="10" t="n"/>
      <c r="C3103" s="10" t="n"/>
      <c r="D3103" s="10" t="n"/>
      <c r="E3103" s="14">
        <f>IF(D3103="","",IFERROR(INDEX('Sản phẩm'!$B$5:$B$304,MATCH(D3103,'Sản phẩm'!$A$5:$A$304,0)),""))</f>
        <v/>
      </c>
      <c r="F3103" s="12" t="n"/>
      <c r="G3103" s="11" t="n"/>
      <c r="H3103" s="11" t="n"/>
      <c r="I3103" s="16">
        <f>IF(D3103="","",IF(G3103&lt;&gt;"",G3103,IFERROR(INDEX('Sản phẩm'!$E$5:$E$304,MATCH(D3103,'Sản phẩm'!$A$5:$A$304,0)),"")))</f>
        <v/>
      </c>
      <c r="J3103" s="16">
        <f>IF(OR(D3103="",F3103=""),"",F3103*I3103-N(H3103))</f>
        <v/>
      </c>
      <c r="K3103" s="16">
        <f>IF(OR(D3103="",F3103=""),"",F3103*IFERROR(INDEX('Sản phẩm'!$D$5:$D$304,MATCH(D3103,'Sản phẩm'!$A$5:$A$304,0)),""))</f>
        <v/>
      </c>
      <c r="L3103" s="16">
        <f>IF(J3103="","",J3103-K3103)</f>
        <v/>
      </c>
      <c r="M3103" s="14">
        <f>IF(A3103="","",MONTH(A3103))</f>
        <v/>
      </c>
      <c r="N3103" s="14">
        <f>IF(A3103="","",YEAR(A3103))</f>
        <v/>
      </c>
    </row>
    <row r="3104">
      <c r="A3104" s="15" t="n"/>
      <c r="B3104" s="10" t="n"/>
      <c r="C3104" s="10" t="n"/>
      <c r="D3104" s="10" t="n"/>
      <c r="E3104" s="14">
        <f>IF(D3104="","",IFERROR(INDEX('Sản phẩm'!$B$5:$B$304,MATCH(D3104,'Sản phẩm'!$A$5:$A$304,0)),""))</f>
        <v/>
      </c>
      <c r="F3104" s="12" t="n"/>
      <c r="G3104" s="11" t="n"/>
      <c r="H3104" s="11" t="n"/>
      <c r="I3104" s="16">
        <f>IF(D3104="","",IF(G3104&lt;&gt;"",G3104,IFERROR(INDEX('Sản phẩm'!$E$5:$E$304,MATCH(D3104,'Sản phẩm'!$A$5:$A$304,0)),"")))</f>
        <v/>
      </c>
      <c r="J3104" s="16">
        <f>IF(OR(D3104="",F3104=""),"",F3104*I3104-N(H3104))</f>
        <v/>
      </c>
      <c r="K3104" s="16">
        <f>IF(OR(D3104="",F3104=""),"",F3104*IFERROR(INDEX('Sản phẩm'!$D$5:$D$304,MATCH(D3104,'Sản phẩm'!$A$5:$A$304,0)),""))</f>
        <v/>
      </c>
      <c r="L3104" s="16">
        <f>IF(J3104="","",J3104-K3104)</f>
        <v/>
      </c>
      <c r="M3104" s="14">
        <f>IF(A3104="","",MONTH(A3104))</f>
        <v/>
      </c>
      <c r="N3104" s="14">
        <f>IF(A3104="","",YEAR(A3104))</f>
        <v/>
      </c>
    </row>
    <row r="3105">
      <c r="A3105" s="15" t="n"/>
      <c r="B3105" s="10" t="n"/>
      <c r="C3105" s="10" t="n"/>
      <c r="D3105" s="10" t="n"/>
      <c r="E3105" s="14">
        <f>IF(D3105="","",IFERROR(INDEX('Sản phẩm'!$B$5:$B$304,MATCH(D3105,'Sản phẩm'!$A$5:$A$304,0)),""))</f>
        <v/>
      </c>
      <c r="F3105" s="12" t="n"/>
      <c r="G3105" s="11" t="n"/>
      <c r="H3105" s="11" t="n"/>
      <c r="I3105" s="16">
        <f>IF(D3105="","",IF(G3105&lt;&gt;"",G3105,IFERROR(INDEX('Sản phẩm'!$E$5:$E$304,MATCH(D3105,'Sản phẩm'!$A$5:$A$304,0)),"")))</f>
        <v/>
      </c>
      <c r="J3105" s="16">
        <f>IF(OR(D3105="",F3105=""),"",F3105*I3105-N(H3105))</f>
        <v/>
      </c>
      <c r="K3105" s="16">
        <f>IF(OR(D3105="",F3105=""),"",F3105*IFERROR(INDEX('Sản phẩm'!$D$5:$D$304,MATCH(D3105,'Sản phẩm'!$A$5:$A$304,0)),""))</f>
        <v/>
      </c>
      <c r="L3105" s="16">
        <f>IF(J3105="","",J3105-K3105)</f>
        <v/>
      </c>
      <c r="M3105" s="14">
        <f>IF(A3105="","",MONTH(A3105))</f>
        <v/>
      </c>
      <c r="N3105" s="14">
        <f>IF(A3105="","",YEAR(A3105))</f>
        <v/>
      </c>
    </row>
    <row r="3106">
      <c r="A3106" s="15" t="n"/>
      <c r="B3106" s="10" t="n"/>
      <c r="C3106" s="10" t="n"/>
      <c r="D3106" s="10" t="n"/>
      <c r="E3106" s="14">
        <f>IF(D3106="","",IFERROR(INDEX('Sản phẩm'!$B$5:$B$304,MATCH(D3106,'Sản phẩm'!$A$5:$A$304,0)),""))</f>
        <v/>
      </c>
      <c r="F3106" s="12" t="n"/>
      <c r="G3106" s="11" t="n"/>
      <c r="H3106" s="11" t="n"/>
      <c r="I3106" s="16">
        <f>IF(D3106="","",IF(G3106&lt;&gt;"",G3106,IFERROR(INDEX('Sản phẩm'!$E$5:$E$304,MATCH(D3106,'Sản phẩm'!$A$5:$A$304,0)),"")))</f>
        <v/>
      </c>
      <c r="J3106" s="16">
        <f>IF(OR(D3106="",F3106=""),"",F3106*I3106-N(H3106))</f>
        <v/>
      </c>
      <c r="K3106" s="16">
        <f>IF(OR(D3106="",F3106=""),"",F3106*IFERROR(INDEX('Sản phẩm'!$D$5:$D$304,MATCH(D3106,'Sản phẩm'!$A$5:$A$304,0)),""))</f>
        <v/>
      </c>
      <c r="L3106" s="16">
        <f>IF(J3106="","",J3106-K3106)</f>
        <v/>
      </c>
      <c r="M3106" s="14">
        <f>IF(A3106="","",MONTH(A3106))</f>
        <v/>
      </c>
      <c r="N3106" s="14">
        <f>IF(A3106="","",YEAR(A3106))</f>
        <v/>
      </c>
    </row>
    <row r="3107">
      <c r="A3107" s="15" t="n"/>
      <c r="B3107" s="10" t="n"/>
      <c r="C3107" s="10" t="n"/>
      <c r="D3107" s="10" t="n"/>
      <c r="E3107" s="14">
        <f>IF(D3107="","",IFERROR(INDEX('Sản phẩm'!$B$5:$B$304,MATCH(D3107,'Sản phẩm'!$A$5:$A$304,0)),""))</f>
        <v/>
      </c>
      <c r="F3107" s="12" t="n"/>
      <c r="G3107" s="11" t="n"/>
      <c r="H3107" s="11" t="n"/>
      <c r="I3107" s="16">
        <f>IF(D3107="","",IF(G3107&lt;&gt;"",G3107,IFERROR(INDEX('Sản phẩm'!$E$5:$E$304,MATCH(D3107,'Sản phẩm'!$A$5:$A$304,0)),"")))</f>
        <v/>
      </c>
      <c r="J3107" s="16">
        <f>IF(OR(D3107="",F3107=""),"",F3107*I3107-N(H3107))</f>
        <v/>
      </c>
      <c r="K3107" s="16">
        <f>IF(OR(D3107="",F3107=""),"",F3107*IFERROR(INDEX('Sản phẩm'!$D$5:$D$304,MATCH(D3107,'Sản phẩm'!$A$5:$A$304,0)),""))</f>
        <v/>
      </c>
      <c r="L3107" s="16">
        <f>IF(J3107="","",J3107-K3107)</f>
        <v/>
      </c>
      <c r="M3107" s="14">
        <f>IF(A3107="","",MONTH(A3107))</f>
        <v/>
      </c>
      <c r="N3107" s="14">
        <f>IF(A3107="","",YEAR(A3107))</f>
        <v/>
      </c>
    </row>
    <row r="3108">
      <c r="A3108" s="15" t="n"/>
      <c r="B3108" s="10" t="n"/>
      <c r="C3108" s="10" t="n"/>
      <c r="D3108" s="10" t="n"/>
      <c r="E3108" s="14">
        <f>IF(D3108="","",IFERROR(INDEX('Sản phẩm'!$B$5:$B$304,MATCH(D3108,'Sản phẩm'!$A$5:$A$304,0)),""))</f>
        <v/>
      </c>
      <c r="F3108" s="12" t="n"/>
      <c r="G3108" s="11" t="n"/>
      <c r="H3108" s="11" t="n"/>
      <c r="I3108" s="16">
        <f>IF(D3108="","",IF(G3108&lt;&gt;"",G3108,IFERROR(INDEX('Sản phẩm'!$E$5:$E$304,MATCH(D3108,'Sản phẩm'!$A$5:$A$304,0)),"")))</f>
        <v/>
      </c>
      <c r="J3108" s="16">
        <f>IF(OR(D3108="",F3108=""),"",F3108*I3108-N(H3108))</f>
        <v/>
      </c>
      <c r="K3108" s="16">
        <f>IF(OR(D3108="",F3108=""),"",F3108*IFERROR(INDEX('Sản phẩm'!$D$5:$D$304,MATCH(D3108,'Sản phẩm'!$A$5:$A$304,0)),""))</f>
        <v/>
      </c>
      <c r="L3108" s="16">
        <f>IF(J3108="","",J3108-K3108)</f>
        <v/>
      </c>
      <c r="M3108" s="14">
        <f>IF(A3108="","",MONTH(A3108))</f>
        <v/>
      </c>
      <c r="N3108" s="14">
        <f>IF(A3108="","",YEAR(A3108))</f>
        <v/>
      </c>
    </row>
    <row r="3109">
      <c r="A3109" s="15" t="n"/>
      <c r="B3109" s="10" t="n"/>
      <c r="C3109" s="10" t="n"/>
      <c r="D3109" s="10" t="n"/>
      <c r="E3109" s="14">
        <f>IF(D3109="","",IFERROR(INDEX('Sản phẩm'!$B$5:$B$304,MATCH(D3109,'Sản phẩm'!$A$5:$A$304,0)),""))</f>
        <v/>
      </c>
      <c r="F3109" s="12" t="n"/>
      <c r="G3109" s="11" t="n"/>
      <c r="H3109" s="11" t="n"/>
      <c r="I3109" s="16">
        <f>IF(D3109="","",IF(G3109&lt;&gt;"",G3109,IFERROR(INDEX('Sản phẩm'!$E$5:$E$304,MATCH(D3109,'Sản phẩm'!$A$5:$A$304,0)),"")))</f>
        <v/>
      </c>
      <c r="J3109" s="16">
        <f>IF(OR(D3109="",F3109=""),"",F3109*I3109-N(H3109))</f>
        <v/>
      </c>
      <c r="K3109" s="16">
        <f>IF(OR(D3109="",F3109=""),"",F3109*IFERROR(INDEX('Sản phẩm'!$D$5:$D$304,MATCH(D3109,'Sản phẩm'!$A$5:$A$304,0)),""))</f>
        <v/>
      </c>
      <c r="L3109" s="16">
        <f>IF(J3109="","",J3109-K3109)</f>
        <v/>
      </c>
      <c r="M3109" s="14">
        <f>IF(A3109="","",MONTH(A3109))</f>
        <v/>
      </c>
      <c r="N3109" s="14">
        <f>IF(A3109="","",YEAR(A3109))</f>
        <v/>
      </c>
    </row>
    <row r="3110">
      <c r="A3110" s="15" t="n"/>
      <c r="B3110" s="10" t="n"/>
      <c r="C3110" s="10" t="n"/>
      <c r="D3110" s="10" t="n"/>
      <c r="E3110" s="14">
        <f>IF(D3110="","",IFERROR(INDEX('Sản phẩm'!$B$5:$B$304,MATCH(D3110,'Sản phẩm'!$A$5:$A$304,0)),""))</f>
        <v/>
      </c>
      <c r="F3110" s="12" t="n"/>
      <c r="G3110" s="11" t="n"/>
      <c r="H3110" s="11" t="n"/>
      <c r="I3110" s="16">
        <f>IF(D3110="","",IF(G3110&lt;&gt;"",G3110,IFERROR(INDEX('Sản phẩm'!$E$5:$E$304,MATCH(D3110,'Sản phẩm'!$A$5:$A$304,0)),"")))</f>
        <v/>
      </c>
      <c r="J3110" s="16">
        <f>IF(OR(D3110="",F3110=""),"",F3110*I3110-N(H3110))</f>
        <v/>
      </c>
      <c r="K3110" s="16">
        <f>IF(OR(D3110="",F3110=""),"",F3110*IFERROR(INDEX('Sản phẩm'!$D$5:$D$304,MATCH(D3110,'Sản phẩm'!$A$5:$A$304,0)),""))</f>
        <v/>
      </c>
      <c r="L3110" s="16">
        <f>IF(J3110="","",J3110-K3110)</f>
        <v/>
      </c>
      <c r="M3110" s="14">
        <f>IF(A3110="","",MONTH(A3110))</f>
        <v/>
      </c>
      <c r="N3110" s="14">
        <f>IF(A3110="","",YEAR(A3110))</f>
        <v/>
      </c>
    </row>
    <row r="3111">
      <c r="A3111" s="15" t="n"/>
      <c r="B3111" s="10" t="n"/>
      <c r="C3111" s="10" t="n"/>
      <c r="D3111" s="10" t="n"/>
      <c r="E3111" s="14">
        <f>IF(D3111="","",IFERROR(INDEX('Sản phẩm'!$B$5:$B$304,MATCH(D3111,'Sản phẩm'!$A$5:$A$304,0)),""))</f>
        <v/>
      </c>
      <c r="F3111" s="12" t="n"/>
      <c r="G3111" s="11" t="n"/>
      <c r="H3111" s="11" t="n"/>
      <c r="I3111" s="16">
        <f>IF(D3111="","",IF(G3111&lt;&gt;"",G3111,IFERROR(INDEX('Sản phẩm'!$E$5:$E$304,MATCH(D3111,'Sản phẩm'!$A$5:$A$304,0)),"")))</f>
        <v/>
      </c>
      <c r="J3111" s="16">
        <f>IF(OR(D3111="",F3111=""),"",F3111*I3111-N(H3111))</f>
        <v/>
      </c>
      <c r="K3111" s="16">
        <f>IF(OR(D3111="",F3111=""),"",F3111*IFERROR(INDEX('Sản phẩm'!$D$5:$D$304,MATCH(D3111,'Sản phẩm'!$A$5:$A$304,0)),""))</f>
        <v/>
      </c>
      <c r="L3111" s="16">
        <f>IF(J3111="","",J3111-K3111)</f>
        <v/>
      </c>
      <c r="M3111" s="14">
        <f>IF(A3111="","",MONTH(A3111))</f>
        <v/>
      </c>
      <c r="N3111" s="14">
        <f>IF(A3111="","",YEAR(A3111))</f>
        <v/>
      </c>
    </row>
    <row r="3112">
      <c r="A3112" s="15" t="n"/>
      <c r="B3112" s="10" t="n"/>
      <c r="C3112" s="10" t="n"/>
      <c r="D3112" s="10" t="n"/>
      <c r="E3112" s="14">
        <f>IF(D3112="","",IFERROR(INDEX('Sản phẩm'!$B$5:$B$304,MATCH(D3112,'Sản phẩm'!$A$5:$A$304,0)),""))</f>
        <v/>
      </c>
      <c r="F3112" s="12" t="n"/>
      <c r="G3112" s="11" t="n"/>
      <c r="H3112" s="11" t="n"/>
      <c r="I3112" s="16">
        <f>IF(D3112="","",IF(G3112&lt;&gt;"",G3112,IFERROR(INDEX('Sản phẩm'!$E$5:$E$304,MATCH(D3112,'Sản phẩm'!$A$5:$A$304,0)),"")))</f>
        <v/>
      </c>
      <c r="J3112" s="16">
        <f>IF(OR(D3112="",F3112=""),"",F3112*I3112-N(H3112))</f>
        <v/>
      </c>
      <c r="K3112" s="16">
        <f>IF(OR(D3112="",F3112=""),"",F3112*IFERROR(INDEX('Sản phẩm'!$D$5:$D$304,MATCH(D3112,'Sản phẩm'!$A$5:$A$304,0)),""))</f>
        <v/>
      </c>
      <c r="L3112" s="16">
        <f>IF(J3112="","",J3112-K3112)</f>
        <v/>
      </c>
      <c r="M3112" s="14">
        <f>IF(A3112="","",MONTH(A3112))</f>
        <v/>
      </c>
      <c r="N3112" s="14">
        <f>IF(A3112="","",YEAR(A3112))</f>
        <v/>
      </c>
    </row>
    <row r="3113">
      <c r="A3113" s="15" t="n"/>
      <c r="B3113" s="10" t="n"/>
      <c r="C3113" s="10" t="n"/>
      <c r="D3113" s="10" t="n"/>
      <c r="E3113" s="14">
        <f>IF(D3113="","",IFERROR(INDEX('Sản phẩm'!$B$5:$B$304,MATCH(D3113,'Sản phẩm'!$A$5:$A$304,0)),""))</f>
        <v/>
      </c>
      <c r="F3113" s="12" t="n"/>
      <c r="G3113" s="11" t="n"/>
      <c r="H3113" s="11" t="n"/>
      <c r="I3113" s="16">
        <f>IF(D3113="","",IF(G3113&lt;&gt;"",G3113,IFERROR(INDEX('Sản phẩm'!$E$5:$E$304,MATCH(D3113,'Sản phẩm'!$A$5:$A$304,0)),"")))</f>
        <v/>
      </c>
      <c r="J3113" s="16">
        <f>IF(OR(D3113="",F3113=""),"",F3113*I3113-N(H3113))</f>
        <v/>
      </c>
      <c r="K3113" s="16">
        <f>IF(OR(D3113="",F3113=""),"",F3113*IFERROR(INDEX('Sản phẩm'!$D$5:$D$304,MATCH(D3113,'Sản phẩm'!$A$5:$A$304,0)),""))</f>
        <v/>
      </c>
      <c r="L3113" s="16">
        <f>IF(J3113="","",J3113-K3113)</f>
        <v/>
      </c>
      <c r="M3113" s="14">
        <f>IF(A3113="","",MONTH(A3113))</f>
        <v/>
      </c>
      <c r="N3113" s="14">
        <f>IF(A3113="","",YEAR(A3113))</f>
        <v/>
      </c>
    </row>
    <row r="3114">
      <c r="A3114" s="15" t="n"/>
      <c r="B3114" s="10" t="n"/>
      <c r="C3114" s="10" t="n"/>
      <c r="D3114" s="10" t="n"/>
      <c r="E3114" s="14">
        <f>IF(D3114="","",IFERROR(INDEX('Sản phẩm'!$B$5:$B$304,MATCH(D3114,'Sản phẩm'!$A$5:$A$304,0)),""))</f>
        <v/>
      </c>
      <c r="F3114" s="12" t="n"/>
      <c r="G3114" s="11" t="n"/>
      <c r="H3114" s="11" t="n"/>
      <c r="I3114" s="16">
        <f>IF(D3114="","",IF(G3114&lt;&gt;"",G3114,IFERROR(INDEX('Sản phẩm'!$E$5:$E$304,MATCH(D3114,'Sản phẩm'!$A$5:$A$304,0)),"")))</f>
        <v/>
      </c>
      <c r="J3114" s="16">
        <f>IF(OR(D3114="",F3114=""),"",F3114*I3114-N(H3114))</f>
        <v/>
      </c>
      <c r="K3114" s="16">
        <f>IF(OR(D3114="",F3114=""),"",F3114*IFERROR(INDEX('Sản phẩm'!$D$5:$D$304,MATCH(D3114,'Sản phẩm'!$A$5:$A$304,0)),""))</f>
        <v/>
      </c>
      <c r="L3114" s="16">
        <f>IF(J3114="","",J3114-K3114)</f>
        <v/>
      </c>
      <c r="M3114" s="14">
        <f>IF(A3114="","",MONTH(A3114))</f>
        <v/>
      </c>
      <c r="N3114" s="14">
        <f>IF(A3114="","",YEAR(A3114))</f>
        <v/>
      </c>
    </row>
    <row r="3115">
      <c r="A3115" s="15" t="n"/>
      <c r="B3115" s="10" t="n"/>
      <c r="C3115" s="10" t="n"/>
      <c r="D3115" s="10" t="n"/>
      <c r="E3115" s="14">
        <f>IF(D3115="","",IFERROR(INDEX('Sản phẩm'!$B$5:$B$304,MATCH(D3115,'Sản phẩm'!$A$5:$A$304,0)),""))</f>
        <v/>
      </c>
      <c r="F3115" s="12" t="n"/>
      <c r="G3115" s="11" t="n"/>
      <c r="H3115" s="11" t="n"/>
      <c r="I3115" s="16">
        <f>IF(D3115="","",IF(G3115&lt;&gt;"",G3115,IFERROR(INDEX('Sản phẩm'!$E$5:$E$304,MATCH(D3115,'Sản phẩm'!$A$5:$A$304,0)),"")))</f>
        <v/>
      </c>
      <c r="J3115" s="16">
        <f>IF(OR(D3115="",F3115=""),"",F3115*I3115-N(H3115))</f>
        <v/>
      </c>
      <c r="K3115" s="16">
        <f>IF(OR(D3115="",F3115=""),"",F3115*IFERROR(INDEX('Sản phẩm'!$D$5:$D$304,MATCH(D3115,'Sản phẩm'!$A$5:$A$304,0)),""))</f>
        <v/>
      </c>
      <c r="L3115" s="16">
        <f>IF(J3115="","",J3115-K3115)</f>
        <v/>
      </c>
      <c r="M3115" s="14">
        <f>IF(A3115="","",MONTH(A3115))</f>
        <v/>
      </c>
      <c r="N3115" s="14">
        <f>IF(A3115="","",YEAR(A3115))</f>
        <v/>
      </c>
    </row>
    <row r="3116">
      <c r="A3116" s="15" t="n"/>
      <c r="B3116" s="10" t="n"/>
      <c r="C3116" s="10" t="n"/>
      <c r="D3116" s="10" t="n"/>
      <c r="E3116" s="14">
        <f>IF(D3116="","",IFERROR(INDEX('Sản phẩm'!$B$5:$B$304,MATCH(D3116,'Sản phẩm'!$A$5:$A$304,0)),""))</f>
        <v/>
      </c>
      <c r="F3116" s="12" t="n"/>
      <c r="G3116" s="11" t="n"/>
      <c r="H3116" s="11" t="n"/>
      <c r="I3116" s="16">
        <f>IF(D3116="","",IF(G3116&lt;&gt;"",G3116,IFERROR(INDEX('Sản phẩm'!$E$5:$E$304,MATCH(D3116,'Sản phẩm'!$A$5:$A$304,0)),"")))</f>
        <v/>
      </c>
      <c r="J3116" s="16">
        <f>IF(OR(D3116="",F3116=""),"",F3116*I3116-N(H3116))</f>
        <v/>
      </c>
      <c r="K3116" s="16">
        <f>IF(OR(D3116="",F3116=""),"",F3116*IFERROR(INDEX('Sản phẩm'!$D$5:$D$304,MATCH(D3116,'Sản phẩm'!$A$5:$A$304,0)),""))</f>
        <v/>
      </c>
      <c r="L3116" s="16">
        <f>IF(J3116="","",J3116-K3116)</f>
        <v/>
      </c>
      <c r="M3116" s="14">
        <f>IF(A3116="","",MONTH(A3116))</f>
        <v/>
      </c>
      <c r="N3116" s="14">
        <f>IF(A3116="","",YEAR(A3116))</f>
        <v/>
      </c>
    </row>
    <row r="3117">
      <c r="A3117" s="15" t="n"/>
      <c r="B3117" s="10" t="n"/>
      <c r="C3117" s="10" t="n"/>
      <c r="D3117" s="10" t="n"/>
      <c r="E3117" s="14">
        <f>IF(D3117="","",IFERROR(INDEX('Sản phẩm'!$B$5:$B$304,MATCH(D3117,'Sản phẩm'!$A$5:$A$304,0)),""))</f>
        <v/>
      </c>
      <c r="F3117" s="12" t="n"/>
      <c r="G3117" s="11" t="n"/>
      <c r="H3117" s="11" t="n"/>
      <c r="I3117" s="16">
        <f>IF(D3117="","",IF(G3117&lt;&gt;"",G3117,IFERROR(INDEX('Sản phẩm'!$E$5:$E$304,MATCH(D3117,'Sản phẩm'!$A$5:$A$304,0)),"")))</f>
        <v/>
      </c>
      <c r="J3117" s="16">
        <f>IF(OR(D3117="",F3117=""),"",F3117*I3117-N(H3117))</f>
        <v/>
      </c>
      <c r="K3117" s="16">
        <f>IF(OR(D3117="",F3117=""),"",F3117*IFERROR(INDEX('Sản phẩm'!$D$5:$D$304,MATCH(D3117,'Sản phẩm'!$A$5:$A$304,0)),""))</f>
        <v/>
      </c>
      <c r="L3117" s="16">
        <f>IF(J3117="","",J3117-K3117)</f>
        <v/>
      </c>
      <c r="M3117" s="14">
        <f>IF(A3117="","",MONTH(A3117))</f>
        <v/>
      </c>
      <c r="N3117" s="14">
        <f>IF(A3117="","",YEAR(A3117))</f>
        <v/>
      </c>
    </row>
    <row r="3118">
      <c r="A3118" s="15" t="n"/>
      <c r="B3118" s="10" t="n"/>
      <c r="C3118" s="10" t="n"/>
      <c r="D3118" s="10" t="n"/>
      <c r="E3118" s="14">
        <f>IF(D3118="","",IFERROR(INDEX('Sản phẩm'!$B$5:$B$304,MATCH(D3118,'Sản phẩm'!$A$5:$A$304,0)),""))</f>
        <v/>
      </c>
      <c r="F3118" s="12" t="n"/>
      <c r="G3118" s="11" t="n"/>
      <c r="H3118" s="11" t="n"/>
      <c r="I3118" s="16">
        <f>IF(D3118="","",IF(G3118&lt;&gt;"",G3118,IFERROR(INDEX('Sản phẩm'!$E$5:$E$304,MATCH(D3118,'Sản phẩm'!$A$5:$A$304,0)),"")))</f>
        <v/>
      </c>
      <c r="J3118" s="16">
        <f>IF(OR(D3118="",F3118=""),"",F3118*I3118-N(H3118))</f>
        <v/>
      </c>
      <c r="K3118" s="16">
        <f>IF(OR(D3118="",F3118=""),"",F3118*IFERROR(INDEX('Sản phẩm'!$D$5:$D$304,MATCH(D3118,'Sản phẩm'!$A$5:$A$304,0)),""))</f>
        <v/>
      </c>
      <c r="L3118" s="16">
        <f>IF(J3118="","",J3118-K3118)</f>
        <v/>
      </c>
      <c r="M3118" s="14">
        <f>IF(A3118="","",MONTH(A3118))</f>
        <v/>
      </c>
      <c r="N3118" s="14">
        <f>IF(A3118="","",YEAR(A3118))</f>
        <v/>
      </c>
    </row>
    <row r="3119">
      <c r="A3119" s="15" t="n"/>
      <c r="B3119" s="10" t="n"/>
      <c r="C3119" s="10" t="n"/>
      <c r="D3119" s="10" t="n"/>
      <c r="E3119" s="14">
        <f>IF(D3119="","",IFERROR(INDEX('Sản phẩm'!$B$5:$B$304,MATCH(D3119,'Sản phẩm'!$A$5:$A$304,0)),""))</f>
        <v/>
      </c>
      <c r="F3119" s="12" t="n"/>
      <c r="G3119" s="11" t="n"/>
      <c r="H3119" s="11" t="n"/>
      <c r="I3119" s="16">
        <f>IF(D3119="","",IF(G3119&lt;&gt;"",G3119,IFERROR(INDEX('Sản phẩm'!$E$5:$E$304,MATCH(D3119,'Sản phẩm'!$A$5:$A$304,0)),"")))</f>
        <v/>
      </c>
      <c r="J3119" s="16">
        <f>IF(OR(D3119="",F3119=""),"",F3119*I3119-N(H3119))</f>
        <v/>
      </c>
      <c r="K3119" s="16">
        <f>IF(OR(D3119="",F3119=""),"",F3119*IFERROR(INDEX('Sản phẩm'!$D$5:$D$304,MATCH(D3119,'Sản phẩm'!$A$5:$A$304,0)),""))</f>
        <v/>
      </c>
      <c r="L3119" s="16">
        <f>IF(J3119="","",J3119-K3119)</f>
        <v/>
      </c>
      <c r="M3119" s="14">
        <f>IF(A3119="","",MONTH(A3119))</f>
        <v/>
      </c>
      <c r="N3119" s="14">
        <f>IF(A3119="","",YEAR(A3119))</f>
        <v/>
      </c>
    </row>
    <row r="3120">
      <c r="A3120" s="15" t="n"/>
      <c r="B3120" s="10" t="n"/>
      <c r="C3120" s="10" t="n"/>
      <c r="D3120" s="10" t="n"/>
      <c r="E3120" s="14">
        <f>IF(D3120="","",IFERROR(INDEX('Sản phẩm'!$B$5:$B$304,MATCH(D3120,'Sản phẩm'!$A$5:$A$304,0)),""))</f>
        <v/>
      </c>
      <c r="F3120" s="12" t="n"/>
      <c r="G3120" s="11" t="n"/>
      <c r="H3120" s="11" t="n"/>
      <c r="I3120" s="16">
        <f>IF(D3120="","",IF(G3120&lt;&gt;"",G3120,IFERROR(INDEX('Sản phẩm'!$E$5:$E$304,MATCH(D3120,'Sản phẩm'!$A$5:$A$304,0)),"")))</f>
        <v/>
      </c>
      <c r="J3120" s="16">
        <f>IF(OR(D3120="",F3120=""),"",F3120*I3120-N(H3120))</f>
        <v/>
      </c>
      <c r="K3120" s="16">
        <f>IF(OR(D3120="",F3120=""),"",F3120*IFERROR(INDEX('Sản phẩm'!$D$5:$D$304,MATCH(D3120,'Sản phẩm'!$A$5:$A$304,0)),""))</f>
        <v/>
      </c>
      <c r="L3120" s="16">
        <f>IF(J3120="","",J3120-K3120)</f>
        <v/>
      </c>
      <c r="M3120" s="14">
        <f>IF(A3120="","",MONTH(A3120))</f>
        <v/>
      </c>
      <c r="N3120" s="14">
        <f>IF(A3120="","",YEAR(A3120))</f>
        <v/>
      </c>
    </row>
    <row r="3121">
      <c r="A3121" s="15" t="n"/>
      <c r="B3121" s="10" t="n"/>
      <c r="C3121" s="10" t="n"/>
      <c r="D3121" s="10" t="n"/>
      <c r="E3121" s="14">
        <f>IF(D3121="","",IFERROR(INDEX('Sản phẩm'!$B$5:$B$304,MATCH(D3121,'Sản phẩm'!$A$5:$A$304,0)),""))</f>
        <v/>
      </c>
      <c r="F3121" s="12" t="n"/>
      <c r="G3121" s="11" t="n"/>
      <c r="H3121" s="11" t="n"/>
      <c r="I3121" s="16">
        <f>IF(D3121="","",IF(G3121&lt;&gt;"",G3121,IFERROR(INDEX('Sản phẩm'!$E$5:$E$304,MATCH(D3121,'Sản phẩm'!$A$5:$A$304,0)),"")))</f>
        <v/>
      </c>
      <c r="J3121" s="16">
        <f>IF(OR(D3121="",F3121=""),"",F3121*I3121-N(H3121))</f>
        <v/>
      </c>
      <c r="K3121" s="16">
        <f>IF(OR(D3121="",F3121=""),"",F3121*IFERROR(INDEX('Sản phẩm'!$D$5:$D$304,MATCH(D3121,'Sản phẩm'!$A$5:$A$304,0)),""))</f>
        <v/>
      </c>
      <c r="L3121" s="16">
        <f>IF(J3121="","",J3121-K3121)</f>
        <v/>
      </c>
      <c r="M3121" s="14">
        <f>IF(A3121="","",MONTH(A3121))</f>
        <v/>
      </c>
      <c r="N3121" s="14">
        <f>IF(A3121="","",YEAR(A3121))</f>
        <v/>
      </c>
    </row>
    <row r="3122">
      <c r="A3122" s="15" t="n"/>
      <c r="B3122" s="10" t="n"/>
      <c r="C3122" s="10" t="n"/>
      <c r="D3122" s="10" t="n"/>
      <c r="E3122" s="14">
        <f>IF(D3122="","",IFERROR(INDEX('Sản phẩm'!$B$5:$B$304,MATCH(D3122,'Sản phẩm'!$A$5:$A$304,0)),""))</f>
        <v/>
      </c>
      <c r="F3122" s="12" t="n"/>
      <c r="G3122" s="11" t="n"/>
      <c r="H3122" s="11" t="n"/>
      <c r="I3122" s="16">
        <f>IF(D3122="","",IF(G3122&lt;&gt;"",G3122,IFERROR(INDEX('Sản phẩm'!$E$5:$E$304,MATCH(D3122,'Sản phẩm'!$A$5:$A$304,0)),"")))</f>
        <v/>
      </c>
      <c r="J3122" s="16">
        <f>IF(OR(D3122="",F3122=""),"",F3122*I3122-N(H3122))</f>
        <v/>
      </c>
      <c r="K3122" s="16">
        <f>IF(OR(D3122="",F3122=""),"",F3122*IFERROR(INDEX('Sản phẩm'!$D$5:$D$304,MATCH(D3122,'Sản phẩm'!$A$5:$A$304,0)),""))</f>
        <v/>
      </c>
      <c r="L3122" s="16">
        <f>IF(J3122="","",J3122-K3122)</f>
        <v/>
      </c>
      <c r="M3122" s="14">
        <f>IF(A3122="","",MONTH(A3122))</f>
        <v/>
      </c>
      <c r="N3122" s="14">
        <f>IF(A3122="","",YEAR(A3122))</f>
        <v/>
      </c>
    </row>
    <row r="3123">
      <c r="A3123" s="15" t="n"/>
      <c r="B3123" s="10" t="n"/>
      <c r="C3123" s="10" t="n"/>
      <c r="D3123" s="10" t="n"/>
      <c r="E3123" s="14">
        <f>IF(D3123="","",IFERROR(INDEX('Sản phẩm'!$B$5:$B$304,MATCH(D3123,'Sản phẩm'!$A$5:$A$304,0)),""))</f>
        <v/>
      </c>
      <c r="F3123" s="12" t="n"/>
      <c r="G3123" s="11" t="n"/>
      <c r="H3123" s="11" t="n"/>
      <c r="I3123" s="16">
        <f>IF(D3123="","",IF(G3123&lt;&gt;"",G3123,IFERROR(INDEX('Sản phẩm'!$E$5:$E$304,MATCH(D3123,'Sản phẩm'!$A$5:$A$304,0)),"")))</f>
        <v/>
      </c>
      <c r="J3123" s="16">
        <f>IF(OR(D3123="",F3123=""),"",F3123*I3123-N(H3123))</f>
        <v/>
      </c>
      <c r="K3123" s="16">
        <f>IF(OR(D3123="",F3123=""),"",F3123*IFERROR(INDEX('Sản phẩm'!$D$5:$D$304,MATCH(D3123,'Sản phẩm'!$A$5:$A$304,0)),""))</f>
        <v/>
      </c>
      <c r="L3123" s="16">
        <f>IF(J3123="","",J3123-K3123)</f>
        <v/>
      </c>
      <c r="M3123" s="14">
        <f>IF(A3123="","",MONTH(A3123))</f>
        <v/>
      </c>
      <c r="N3123" s="14">
        <f>IF(A3123="","",YEAR(A3123))</f>
        <v/>
      </c>
    </row>
    <row r="3124">
      <c r="A3124" s="15" t="n"/>
      <c r="B3124" s="10" t="n"/>
      <c r="C3124" s="10" t="n"/>
      <c r="D3124" s="10" t="n"/>
      <c r="E3124" s="14">
        <f>IF(D3124="","",IFERROR(INDEX('Sản phẩm'!$B$5:$B$304,MATCH(D3124,'Sản phẩm'!$A$5:$A$304,0)),""))</f>
        <v/>
      </c>
      <c r="F3124" s="12" t="n"/>
      <c r="G3124" s="11" t="n"/>
      <c r="H3124" s="11" t="n"/>
      <c r="I3124" s="16">
        <f>IF(D3124="","",IF(G3124&lt;&gt;"",G3124,IFERROR(INDEX('Sản phẩm'!$E$5:$E$304,MATCH(D3124,'Sản phẩm'!$A$5:$A$304,0)),"")))</f>
        <v/>
      </c>
      <c r="J3124" s="16">
        <f>IF(OR(D3124="",F3124=""),"",F3124*I3124-N(H3124))</f>
        <v/>
      </c>
      <c r="K3124" s="16">
        <f>IF(OR(D3124="",F3124=""),"",F3124*IFERROR(INDEX('Sản phẩm'!$D$5:$D$304,MATCH(D3124,'Sản phẩm'!$A$5:$A$304,0)),""))</f>
        <v/>
      </c>
      <c r="L3124" s="16">
        <f>IF(J3124="","",J3124-K3124)</f>
        <v/>
      </c>
      <c r="M3124" s="14">
        <f>IF(A3124="","",MONTH(A3124))</f>
        <v/>
      </c>
      <c r="N3124" s="14">
        <f>IF(A3124="","",YEAR(A3124))</f>
        <v/>
      </c>
    </row>
    <row r="3125">
      <c r="A3125" s="15" t="n"/>
      <c r="B3125" s="10" t="n"/>
      <c r="C3125" s="10" t="n"/>
      <c r="D3125" s="10" t="n"/>
      <c r="E3125" s="14">
        <f>IF(D3125="","",IFERROR(INDEX('Sản phẩm'!$B$5:$B$304,MATCH(D3125,'Sản phẩm'!$A$5:$A$304,0)),""))</f>
        <v/>
      </c>
      <c r="F3125" s="12" t="n"/>
      <c r="G3125" s="11" t="n"/>
      <c r="H3125" s="11" t="n"/>
      <c r="I3125" s="16">
        <f>IF(D3125="","",IF(G3125&lt;&gt;"",G3125,IFERROR(INDEX('Sản phẩm'!$E$5:$E$304,MATCH(D3125,'Sản phẩm'!$A$5:$A$304,0)),"")))</f>
        <v/>
      </c>
      <c r="J3125" s="16">
        <f>IF(OR(D3125="",F3125=""),"",F3125*I3125-N(H3125))</f>
        <v/>
      </c>
      <c r="K3125" s="16">
        <f>IF(OR(D3125="",F3125=""),"",F3125*IFERROR(INDEX('Sản phẩm'!$D$5:$D$304,MATCH(D3125,'Sản phẩm'!$A$5:$A$304,0)),""))</f>
        <v/>
      </c>
      <c r="L3125" s="16">
        <f>IF(J3125="","",J3125-K3125)</f>
        <v/>
      </c>
      <c r="M3125" s="14">
        <f>IF(A3125="","",MONTH(A3125))</f>
        <v/>
      </c>
      <c r="N3125" s="14">
        <f>IF(A3125="","",YEAR(A3125))</f>
        <v/>
      </c>
    </row>
    <row r="3126">
      <c r="A3126" s="15" t="n"/>
      <c r="B3126" s="10" t="n"/>
      <c r="C3126" s="10" t="n"/>
      <c r="D3126" s="10" t="n"/>
      <c r="E3126" s="14">
        <f>IF(D3126="","",IFERROR(INDEX('Sản phẩm'!$B$5:$B$304,MATCH(D3126,'Sản phẩm'!$A$5:$A$304,0)),""))</f>
        <v/>
      </c>
      <c r="F3126" s="12" t="n"/>
      <c r="G3126" s="11" t="n"/>
      <c r="H3126" s="11" t="n"/>
      <c r="I3126" s="16">
        <f>IF(D3126="","",IF(G3126&lt;&gt;"",G3126,IFERROR(INDEX('Sản phẩm'!$E$5:$E$304,MATCH(D3126,'Sản phẩm'!$A$5:$A$304,0)),"")))</f>
        <v/>
      </c>
      <c r="J3126" s="16">
        <f>IF(OR(D3126="",F3126=""),"",F3126*I3126-N(H3126))</f>
        <v/>
      </c>
      <c r="K3126" s="16">
        <f>IF(OR(D3126="",F3126=""),"",F3126*IFERROR(INDEX('Sản phẩm'!$D$5:$D$304,MATCH(D3126,'Sản phẩm'!$A$5:$A$304,0)),""))</f>
        <v/>
      </c>
      <c r="L3126" s="16">
        <f>IF(J3126="","",J3126-K3126)</f>
        <v/>
      </c>
      <c r="M3126" s="14">
        <f>IF(A3126="","",MONTH(A3126))</f>
        <v/>
      </c>
      <c r="N3126" s="14">
        <f>IF(A3126="","",YEAR(A3126))</f>
        <v/>
      </c>
    </row>
    <row r="3127">
      <c r="A3127" s="15" t="n"/>
      <c r="B3127" s="10" t="n"/>
      <c r="C3127" s="10" t="n"/>
      <c r="D3127" s="10" t="n"/>
      <c r="E3127" s="14">
        <f>IF(D3127="","",IFERROR(INDEX('Sản phẩm'!$B$5:$B$304,MATCH(D3127,'Sản phẩm'!$A$5:$A$304,0)),""))</f>
        <v/>
      </c>
      <c r="F3127" s="12" t="n"/>
      <c r="G3127" s="11" t="n"/>
      <c r="H3127" s="11" t="n"/>
      <c r="I3127" s="16">
        <f>IF(D3127="","",IF(G3127&lt;&gt;"",G3127,IFERROR(INDEX('Sản phẩm'!$E$5:$E$304,MATCH(D3127,'Sản phẩm'!$A$5:$A$304,0)),"")))</f>
        <v/>
      </c>
      <c r="J3127" s="16">
        <f>IF(OR(D3127="",F3127=""),"",F3127*I3127-N(H3127))</f>
        <v/>
      </c>
      <c r="K3127" s="16">
        <f>IF(OR(D3127="",F3127=""),"",F3127*IFERROR(INDEX('Sản phẩm'!$D$5:$D$304,MATCH(D3127,'Sản phẩm'!$A$5:$A$304,0)),""))</f>
        <v/>
      </c>
      <c r="L3127" s="16">
        <f>IF(J3127="","",J3127-K3127)</f>
        <v/>
      </c>
      <c r="M3127" s="14">
        <f>IF(A3127="","",MONTH(A3127))</f>
        <v/>
      </c>
      <c r="N3127" s="14">
        <f>IF(A3127="","",YEAR(A3127))</f>
        <v/>
      </c>
    </row>
    <row r="3128">
      <c r="A3128" s="15" t="n"/>
      <c r="B3128" s="10" t="n"/>
      <c r="C3128" s="10" t="n"/>
      <c r="D3128" s="10" t="n"/>
      <c r="E3128" s="14">
        <f>IF(D3128="","",IFERROR(INDEX('Sản phẩm'!$B$5:$B$304,MATCH(D3128,'Sản phẩm'!$A$5:$A$304,0)),""))</f>
        <v/>
      </c>
      <c r="F3128" s="12" t="n"/>
      <c r="G3128" s="11" t="n"/>
      <c r="H3128" s="11" t="n"/>
      <c r="I3128" s="16">
        <f>IF(D3128="","",IF(G3128&lt;&gt;"",G3128,IFERROR(INDEX('Sản phẩm'!$E$5:$E$304,MATCH(D3128,'Sản phẩm'!$A$5:$A$304,0)),"")))</f>
        <v/>
      </c>
      <c r="J3128" s="16">
        <f>IF(OR(D3128="",F3128=""),"",F3128*I3128-N(H3128))</f>
        <v/>
      </c>
      <c r="K3128" s="16">
        <f>IF(OR(D3128="",F3128=""),"",F3128*IFERROR(INDEX('Sản phẩm'!$D$5:$D$304,MATCH(D3128,'Sản phẩm'!$A$5:$A$304,0)),""))</f>
        <v/>
      </c>
      <c r="L3128" s="16">
        <f>IF(J3128="","",J3128-K3128)</f>
        <v/>
      </c>
      <c r="M3128" s="14">
        <f>IF(A3128="","",MONTH(A3128))</f>
        <v/>
      </c>
      <c r="N3128" s="14">
        <f>IF(A3128="","",YEAR(A3128))</f>
        <v/>
      </c>
    </row>
    <row r="3129">
      <c r="A3129" s="15" t="n"/>
      <c r="B3129" s="10" t="n"/>
      <c r="C3129" s="10" t="n"/>
      <c r="D3129" s="10" t="n"/>
      <c r="E3129" s="14">
        <f>IF(D3129="","",IFERROR(INDEX('Sản phẩm'!$B$5:$B$304,MATCH(D3129,'Sản phẩm'!$A$5:$A$304,0)),""))</f>
        <v/>
      </c>
      <c r="F3129" s="12" t="n"/>
      <c r="G3129" s="11" t="n"/>
      <c r="H3129" s="11" t="n"/>
      <c r="I3129" s="16">
        <f>IF(D3129="","",IF(G3129&lt;&gt;"",G3129,IFERROR(INDEX('Sản phẩm'!$E$5:$E$304,MATCH(D3129,'Sản phẩm'!$A$5:$A$304,0)),"")))</f>
        <v/>
      </c>
      <c r="J3129" s="16">
        <f>IF(OR(D3129="",F3129=""),"",F3129*I3129-N(H3129))</f>
        <v/>
      </c>
      <c r="K3129" s="16">
        <f>IF(OR(D3129="",F3129=""),"",F3129*IFERROR(INDEX('Sản phẩm'!$D$5:$D$304,MATCH(D3129,'Sản phẩm'!$A$5:$A$304,0)),""))</f>
        <v/>
      </c>
      <c r="L3129" s="16">
        <f>IF(J3129="","",J3129-K3129)</f>
        <v/>
      </c>
      <c r="M3129" s="14">
        <f>IF(A3129="","",MONTH(A3129))</f>
        <v/>
      </c>
      <c r="N3129" s="14">
        <f>IF(A3129="","",YEAR(A3129))</f>
        <v/>
      </c>
    </row>
    <row r="3130">
      <c r="A3130" s="15" t="n"/>
      <c r="B3130" s="10" t="n"/>
      <c r="C3130" s="10" t="n"/>
      <c r="D3130" s="10" t="n"/>
      <c r="E3130" s="14">
        <f>IF(D3130="","",IFERROR(INDEX('Sản phẩm'!$B$5:$B$304,MATCH(D3130,'Sản phẩm'!$A$5:$A$304,0)),""))</f>
        <v/>
      </c>
      <c r="F3130" s="12" t="n"/>
      <c r="G3130" s="11" t="n"/>
      <c r="H3130" s="11" t="n"/>
      <c r="I3130" s="16">
        <f>IF(D3130="","",IF(G3130&lt;&gt;"",G3130,IFERROR(INDEX('Sản phẩm'!$E$5:$E$304,MATCH(D3130,'Sản phẩm'!$A$5:$A$304,0)),"")))</f>
        <v/>
      </c>
      <c r="J3130" s="16">
        <f>IF(OR(D3130="",F3130=""),"",F3130*I3130-N(H3130))</f>
        <v/>
      </c>
      <c r="K3130" s="16">
        <f>IF(OR(D3130="",F3130=""),"",F3130*IFERROR(INDEX('Sản phẩm'!$D$5:$D$304,MATCH(D3130,'Sản phẩm'!$A$5:$A$304,0)),""))</f>
        <v/>
      </c>
      <c r="L3130" s="16">
        <f>IF(J3130="","",J3130-K3130)</f>
        <v/>
      </c>
      <c r="M3130" s="14">
        <f>IF(A3130="","",MONTH(A3130))</f>
        <v/>
      </c>
      <c r="N3130" s="14">
        <f>IF(A3130="","",YEAR(A3130))</f>
        <v/>
      </c>
    </row>
    <row r="3131">
      <c r="A3131" s="15" t="n"/>
      <c r="B3131" s="10" t="n"/>
      <c r="C3131" s="10" t="n"/>
      <c r="D3131" s="10" t="n"/>
      <c r="E3131" s="14">
        <f>IF(D3131="","",IFERROR(INDEX('Sản phẩm'!$B$5:$B$304,MATCH(D3131,'Sản phẩm'!$A$5:$A$304,0)),""))</f>
        <v/>
      </c>
      <c r="F3131" s="12" t="n"/>
      <c r="G3131" s="11" t="n"/>
      <c r="H3131" s="11" t="n"/>
      <c r="I3131" s="16">
        <f>IF(D3131="","",IF(G3131&lt;&gt;"",G3131,IFERROR(INDEX('Sản phẩm'!$E$5:$E$304,MATCH(D3131,'Sản phẩm'!$A$5:$A$304,0)),"")))</f>
        <v/>
      </c>
      <c r="J3131" s="16">
        <f>IF(OR(D3131="",F3131=""),"",F3131*I3131-N(H3131))</f>
        <v/>
      </c>
      <c r="K3131" s="16">
        <f>IF(OR(D3131="",F3131=""),"",F3131*IFERROR(INDEX('Sản phẩm'!$D$5:$D$304,MATCH(D3131,'Sản phẩm'!$A$5:$A$304,0)),""))</f>
        <v/>
      </c>
      <c r="L3131" s="16">
        <f>IF(J3131="","",J3131-K3131)</f>
        <v/>
      </c>
      <c r="M3131" s="14">
        <f>IF(A3131="","",MONTH(A3131))</f>
        <v/>
      </c>
      <c r="N3131" s="14">
        <f>IF(A3131="","",YEAR(A3131))</f>
        <v/>
      </c>
    </row>
    <row r="3132">
      <c r="A3132" s="15" t="n"/>
      <c r="B3132" s="10" t="n"/>
      <c r="C3132" s="10" t="n"/>
      <c r="D3132" s="10" t="n"/>
      <c r="E3132" s="14">
        <f>IF(D3132="","",IFERROR(INDEX('Sản phẩm'!$B$5:$B$304,MATCH(D3132,'Sản phẩm'!$A$5:$A$304,0)),""))</f>
        <v/>
      </c>
      <c r="F3132" s="12" t="n"/>
      <c r="G3132" s="11" t="n"/>
      <c r="H3132" s="11" t="n"/>
      <c r="I3132" s="16">
        <f>IF(D3132="","",IF(G3132&lt;&gt;"",G3132,IFERROR(INDEX('Sản phẩm'!$E$5:$E$304,MATCH(D3132,'Sản phẩm'!$A$5:$A$304,0)),"")))</f>
        <v/>
      </c>
      <c r="J3132" s="16">
        <f>IF(OR(D3132="",F3132=""),"",F3132*I3132-N(H3132))</f>
        <v/>
      </c>
      <c r="K3132" s="16">
        <f>IF(OR(D3132="",F3132=""),"",F3132*IFERROR(INDEX('Sản phẩm'!$D$5:$D$304,MATCH(D3132,'Sản phẩm'!$A$5:$A$304,0)),""))</f>
        <v/>
      </c>
      <c r="L3132" s="16">
        <f>IF(J3132="","",J3132-K3132)</f>
        <v/>
      </c>
      <c r="M3132" s="14">
        <f>IF(A3132="","",MONTH(A3132))</f>
        <v/>
      </c>
      <c r="N3132" s="14">
        <f>IF(A3132="","",YEAR(A3132))</f>
        <v/>
      </c>
    </row>
    <row r="3133">
      <c r="A3133" s="15" t="n"/>
      <c r="B3133" s="10" t="n"/>
      <c r="C3133" s="10" t="n"/>
      <c r="D3133" s="10" t="n"/>
      <c r="E3133" s="14">
        <f>IF(D3133="","",IFERROR(INDEX('Sản phẩm'!$B$5:$B$304,MATCH(D3133,'Sản phẩm'!$A$5:$A$304,0)),""))</f>
        <v/>
      </c>
      <c r="F3133" s="12" t="n"/>
      <c r="G3133" s="11" t="n"/>
      <c r="H3133" s="11" t="n"/>
      <c r="I3133" s="16">
        <f>IF(D3133="","",IF(G3133&lt;&gt;"",G3133,IFERROR(INDEX('Sản phẩm'!$E$5:$E$304,MATCH(D3133,'Sản phẩm'!$A$5:$A$304,0)),"")))</f>
        <v/>
      </c>
      <c r="J3133" s="16">
        <f>IF(OR(D3133="",F3133=""),"",F3133*I3133-N(H3133))</f>
        <v/>
      </c>
      <c r="K3133" s="16">
        <f>IF(OR(D3133="",F3133=""),"",F3133*IFERROR(INDEX('Sản phẩm'!$D$5:$D$304,MATCH(D3133,'Sản phẩm'!$A$5:$A$304,0)),""))</f>
        <v/>
      </c>
      <c r="L3133" s="16">
        <f>IF(J3133="","",J3133-K3133)</f>
        <v/>
      </c>
      <c r="M3133" s="14">
        <f>IF(A3133="","",MONTH(A3133))</f>
        <v/>
      </c>
      <c r="N3133" s="14">
        <f>IF(A3133="","",YEAR(A3133))</f>
        <v/>
      </c>
    </row>
    <row r="3134">
      <c r="A3134" s="15" t="n"/>
      <c r="B3134" s="10" t="n"/>
      <c r="C3134" s="10" t="n"/>
      <c r="D3134" s="10" t="n"/>
      <c r="E3134" s="14">
        <f>IF(D3134="","",IFERROR(INDEX('Sản phẩm'!$B$5:$B$304,MATCH(D3134,'Sản phẩm'!$A$5:$A$304,0)),""))</f>
        <v/>
      </c>
      <c r="F3134" s="12" t="n"/>
      <c r="G3134" s="11" t="n"/>
      <c r="H3134" s="11" t="n"/>
      <c r="I3134" s="16">
        <f>IF(D3134="","",IF(G3134&lt;&gt;"",G3134,IFERROR(INDEX('Sản phẩm'!$E$5:$E$304,MATCH(D3134,'Sản phẩm'!$A$5:$A$304,0)),"")))</f>
        <v/>
      </c>
      <c r="J3134" s="16">
        <f>IF(OR(D3134="",F3134=""),"",F3134*I3134-N(H3134))</f>
        <v/>
      </c>
      <c r="K3134" s="16">
        <f>IF(OR(D3134="",F3134=""),"",F3134*IFERROR(INDEX('Sản phẩm'!$D$5:$D$304,MATCH(D3134,'Sản phẩm'!$A$5:$A$304,0)),""))</f>
        <v/>
      </c>
      <c r="L3134" s="16">
        <f>IF(J3134="","",J3134-K3134)</f>
        <v/>
      </c>
      <c r="M3134" s="14">
        <f>IF(A3134="","",MONTH(A3134))</f>
        <v/>
      </c>
      <c r="N3134" s="14">
        <f>IF(A3134="","",YEAR(A3134))</f>
        <v/>
      </c>
    </row>
    <row r="3135">
      <c r="A3135" s="15" t="n"/>
      <c r="B3135" s="10" t="n"/>
      <c r="C3135" s="10" t="n"/>
      <c r="D3135" s="10" t="n"/>
      <c r="E3135" s="14">
        <f>IF(D3135="","",IFERROR(INDEX('Sản phẩm'!$B$5:$B$304,MATCH(D3135,'Sản phẩm'!$A$5:$A$304,0)),""))</f>
        <v/>
      </c>
      <c r="F3135" s="12" t="n"/>
      <c r="G3135" s="11" t="n"/>
      <c r="H3135" s="11" t="n"/>
      <c r="I3135" s="16">
        <f>IF(D3135="","",IF(G3135&lt;&gt;"",G3135,IFERROR(INDEX('Sản phẩm'!$E$5:$E$304,MATCH(D3135,'Sản phẩm'!$A$5:$A$304,0)),"")))</f>
        <v/>
      </c>
      <c r="J3135" s="16">
        <f>IF(OR(D3135="",F3135=""),"",F3135*I3135-N(H3135))</f>
        <v/>
      </c>
      <c r="K3135" s="16">
        <f>IF(OR(D3135="",F3135=""),"",F3135*IFERROR(INDEX('Sản phẩm'!$D$5:$D$304,MATCH(D3135,'Sản phẩm'!$A$5:$A$304,0)),""))</f>
        <v/>
      </c>
      <c r="L3135" s="16">
        <f>IF(J3135="","",J3135-K3135)</f>
        <v/>
      </c>
      <c r="M3135" s="14">
        <f>IF(A3135="","",MONTH(A3135))</f>
        <v/>
      </c>
      <c r="N3135" s="14">
        <f>IF(A3135="","",YEAR(A3135))</f>
        <v/>
      </c>
    </row>
    <row r="3136">
      <c r="A3136" s="15" t="n"/>
      <c r="B3136" s="10" t="n"/>
      <c r="C3136" s="10" t="n"/>
      <c r="D3136" s="10" t="n"/>
      <c r="E3136" s="14">
        <f>IF(D3136="","",IFERROR(INDEX('Sản phẩm'!$B$5:$B$304,MATCH(D3136,'Sản phẩm'!$A$5:$A$304,0)),""))</f>
        <v/>
      </c>
      <c r="F3136" s="12" t="n"/>
      <c r="G3136" s="11" t="n"/>
      <c r="H3136" s="11" t="n"/>
      <c r="I3136" s="16">
        <f>IF(D3136="","",IF(G3136&lt;&gt;"",G3136,IFERROR(INDEX('Sản phẩm'!$E$5:$E$304,MATCH(D3136,'Sản phẩm'!$A$5:$A$304,0)),"")))</f>
        <v/>
      </c>
      <c r="J3136" s="16">
        <f>IF(OR(D3136="",F3136=""),"",F3136*I3136-N(H3136))</f>
        <v/>
      </c>
      <c r="K3136" s="16">
        <f>IF(OR(D3136="",F3136=""),"",F3136*IFERROR(INDEX('Sản phẩm'!$D$5:$D$304,MATCH(D3136,'Sản phẩm'!$A$5:$A$304,0)),""))</f>
        <v/>
      </c>
      <c r="L3136" s="16">
        <f>IF(J3136="","",J3136-K3136)</f>
        <v/>
      </c>
      <c r="M3136" s="14">
        <f>IF(A3136="","",MONTH(A3136))</f>
        <v/>
      </c>
      <c r="N3136" s="14">
        <f>IF(A3136="","",YEAR(A3136))</f>
        <v/>
      </c>
    </row>
    <row r="3137">
      <c r="A3137" s="15" t="n"/>
      <c r="B3137" s="10" t="n"/>
      <c r="C3137" s="10" t="n"/>
      <c r="D3137" s="10" t="n"/>
      <c r="E3137" s="14">
        <f>IF(D3137="","",IFERROR(INDEX('Sản phẩm'!$B$5:$B$304,MATCH(D3137,'Sản phẩm'!$A$5:$A$304,0)),""))</f>
        <v/>
      </c>
      <c r="F3137" s="12" t="n"/>
      <c r="G3137" s="11" t="n"/>
      <c r="H3137" s="11" t="n"/>
      <c r="I3137" s="16">
        <f>IF(D3137="","",IF(G3137&lt;&gt;"",G3137,IFERROR(INDEX('Sản phẩm'!$E$5:$E$304,MATCH(D3137,'Sản phẩm'!$A$5:$A$304,0)),"")))</f>
        <v/>
      </c>
      <c r="J3137" s="16">
        <f>IF(OR(D3137="",F3137=""),"",F3137*I3137-N(H3137))</f>
        <v/>
      </c>
      <c r="K3137" s="16">
        <f>IF(OR(D3137="",F3137=""),"",F3137*IFERROR(INDEX('Sản phẩm'!$D$5:$D$304,MATCH(D3137,'Sản phẩm'!$A$5:$A$304,0)),""))</f>
        <v/>
      </c>
      <c r="L3137" s="16">
        <f>IF(J3137="","",J3137-K3137)</f>
        <v/>
      </c>
      <c r="M3137" s="14">
        <f>IF(A3137="","",MONTH(A3137))</f>
        <v/>
      </c>
      <c r="N3137" s="14">
        <f>IF(A3137="","",YEAR(A3137))</f>
        <v/>
      </c>
    </row>
    <row r="3138">
      <c r="A3138" s="15" t="n"/>
      <c r="B3138" s="10" t="n"/>
      <c r="C3138" s="10" t="n"/>
      <c r="D3138" s="10" t="n"/>
      <c r="E3138" s="14">
        <f>IF(D3138="","",IFERROR(INDEX('Sản phẩm'!$B$5:$B$304,MATCH(D3138,'Sản phẩm'!$A$5:$A$304,0)),""))</f>
        <v/>
      </c>
      <c r="F3138" s="12" t="n"/>
      <c r="G3138" s="11" t="n"/>
      <c r="H3138" s="11" t="n"/>
      <c r="I3138" s="16">
        <f>IF(D3138="","",IF(G3138&lt;&gt;"",G3138,IFERROR(INDEX('Sản phẩm'!$E$5:$E$304,MATCH(D3138,'Sản phẩm'!$A$5:$A$304,0)),"")))</f>
        <v/>
      </c>
      <c r="J3138" s="16">
        <f>IF(OR(D3138="",F3138=""),"",F3138*I3138-N(H3138))</f>
        <v/>
      </c>
      <c r="K3138" s="16">
        <f>IF(OR(D3138="",F3138=""),"",F3138*IFERROR(INDEX('Sản phẩm'!$D$5:$D$304,MATCH(D3138,'Sản phẩm'!$A$5:$A$304,0)),""))</f>
        <v/>
      </c>
      <c r="L3138" s="16">
        <f>IF(J3138="","",J3138-K3138)</f>
        <v/>
      </c>
      <c r="M3138" s="14">
        <f>IF(A3138="","",MONTH(A3138))</f>
        <v/>
      </c>
      <c r="N3138" s="14">
        <f>IF(A3138="","",YEAR(A3138))</f>
        <v/>
      </c>
    </row>
    <row r="3139">
      <c r="A3139" s="15" t="n"/>
      <c r="B3139" s="10" t="n"/>
      <c r="C3139" s="10" t="n"/>
      <c r="D3139" s="10" t="n"/>
      <c r="E3139" s="14">
        <f>IF(D3139="","",IFERROR(INDEX('Sản phẩm'!$B$5:$B$304,MATCH(D3139,'Sản phẩm'!$A$5:$A$304,0)),""))</f>
        <v/>
      </c>
      <c r="F3139" s="12" t="n"/>
      <c r="G3139" s="11" t="n"/>
      <c r="H3139" s="11" t="n"/>
      <c r="I3139" s="16">
        <f>IF(D3139="","",IF(G3139&lt;&gt;"",G3139,IFERROR(INDEX('Sản phẩm'!$E$5:$E$304,MATCH(D3139,'Sản phẩm'!$A$5:$A$304,0)),"")))</f>
        <v/>
      </c>
      <c r="J3139" s="16">
        <f>IF(OR(D3139="",F3139=""),"",F3139*I3139-N(H3139))</f>
        <v/>
      </c>
      <c r="K3139" s="16">
        <f>IF(OR(D3139="",F3139=""),"",F3139*IFERROR(INDEX('Sản phẩm'!$D$5:$D$304,MATCH(D3139,'Sản phẩm'!$A$5:$A$304,0)),""))</f>
        <v/>
      </c>
      <c r="L3139" s="16">
        <f>IF(J3139="","",J3139-K3139)</f>
        <v/>
      </c>
      <c r="M3139" s="14">
        <f>IF(A3139="","",MONTH(A3139))</f>
        <v/>
      </c>
      <c r="N3139" s="14">
        <f>IF(A3139="","",YEAR(A3139))</f>
        <v/>
      </c>
    </row>
    <row r="3140">
      <c r="A3140" s="15" t="n"/>
      <c r="B3140" s="10" t="n"/>
      <c r="C3140" s="10" t="n"/>
      <c r="D3140" s="10" t="n"/>
      <c r="E3140" s="14">
        <f>IF(D3140="","",IFERROR(INDEX('Sản phẩm'!$B$5:$B$304,MATCH(D3140,'Sản phẩm'!$A$5:$A$304,0)),""))</f>
        <v/>
      </c>
      <c r="F3140" s="12" t="n"/>
      <c r="G3140" s="11" t="n"/>
      <c r="H3140" s="11" t="n"/>
      <c r="I3140" s="16">
        <f>IF(D3140="","",IF(G3140&lt;&gt;"",G3140,IFERROR(INDEX('Sản phẩm'!$E$5:$E$304,MATCH(D3140,'Sản phẩm'!$A$5:$A$304,0)),"")))</f>
        <v/>
      </c>
      <c r="J3140" s="16">
        <f>IF(OR(D3140="",F3140=""),"",F3140*I3140-N(H3140))</f>
        <v/>
      </c>
      <c r="K3140" s="16">
        <f>IF(OR(D3140="",F3140=""),"",F3140*IFERROR(INDEX('Sản phẩm'!$D$5:$D$304,MATCH(D3140,'Sản phẩm'!$A$5:$A$304,0)),""))</f>
        <v/>
      </c>
      <c r="L3140" s="16">
        <f>IF(J3140="","",J3140-K3140)</f>
        <v/>
      </c>
      <c r="M3140" s="14">
        <f>IF(A3140="","",MONTH(A3140))</f>
        <v/>
      </c>
      <c r="N3140" s="14">
        <f>IF(A3140="","",YEAR(A3140))</f>
        <v/>
      </c>
    </row>
    <row r="3141">
      <c r="A3141" s="15" t="n"/>
      <c r="B3141" s="10" t="n"/>
      <c r="C3141" s="10" t="n"/>
      <c r="D3141" s="10" t="n"/>
      <c r="E3141" s="14">
        <f>IF(D3141="","",IFERROR(INDEX('Sản phẩm'!$B$5:$B$304,MATCH(D3141,'Sản phẩm'!$A$5:$A$304,0)),""))</f>
        <v/>
      </c>
      <c r="F3141" s="12" t="n"/>
      <c r="G3141" s="11" t="n"/>
      <c r="H3141" s="11" t="n"/>
      <c r="I3141" s="16">
        <f>IF(D3141="","",IF(G3141&lt;&gt;"",G3141,IFERROR(INDEX('Sản phẩm'!$E$5:$E$304,MATCH(D3141,'Sản phẩm'!$A$5:$A$304,0)),"")))</f>
        <v/>
      </c>
      <c r="J3141" s="16">
        <f>IF(OR(D3141="",F3141=""),"",F3141*I3141-N(H3141))</f>
        <v/>
      </c>
      <c r="K3141" s="16">
        <f>IF(OR(D3141="",F3141=""),"",F3141*IFERROR(INDEX('Sản phẩm'!$D$5:$D$304,MATCH(D3141,'Sản phẩm'!$A$5:$A$304,0)),""))</f>
        <v/>
      </c>
      <c r="L3141" s="16">
        <f>IF(J3141="","",J3141-K3141)</f>
        <v/>
      </c>
      <c r="M3141" s="14">
        <f>IF(A3141="","",MONTH(A3141))</f>
        <v/>
      </c>
      <c r="N3141" s="14">
        <f>IF(A3141="","",YEAR(A3141))</f>
        <v/>
      </c>
    </row>
    <row r="3142">
      <c r="A3142" s="15" t="n"/>
      <c r="B3142" s="10" t="n"/>
      <c r="C3142" s="10" t="n"/>
      <c r="D3142" s="10" t="n"/>
      <c r="E3142" s="14">
        <f>IF(D3142="","",IFERROR(INDEX('Sản phẩm'!$B$5:$B$304,MATCH(D3142,'Sản phẩm'!$A$5:$A$304,0)),""))</f>
        <v/>
      </c>
      <c r="F3142" s="12" t="n"/>
      <c r="G3142" s="11" t="n"/>
      <c r="H3142" s="11" t="n"/>
      <c r="I3142" s="16">
        <f>IF(D3142="","",IF(G3142&lt;&gt;"",G3142,IFERROR(INDEX('Sản phẩm'!$E$5:$E$304,MATCH(D3142,'Sản phẩm'!$A$5:$A$304,0)),"")))</f>
        <v/>
      </c>
      <c r="J3142" s="16">
        <f>IF(OR(D3142="",F3142=""),"",F3142*I3142-N(H3142))</f>
        <v/>
      </c>
      <c r="K3142" s="16">
        <f>IF(OR(D3142="",F3142=""),"",F3142*IFERROR(INDEX('Sản phẩm'!$D$5:$D$304,MATCH(D3142,'Sản phẩm'!$A$5:$A$304,0)),""))</f>
        <v/>
      </c>
      <c r="L3142" s="16">
        <f>IF(J3142="","",J3142-K3142)</f>
        <v/>
      </c>
      <c r="M3142" s="14">
        <f>IF(A3142="","",MONTH(A3142))</f>
        <v/>
      </c>
      <c r="N3142" s="14">
        <f>IF(A3142="","",YEAR(A3142))</f>
        <v/>
      </c>
    </row>
    <row r="3143">
      <c r="A3143" s="15" t="n"/>
      <c r="B3143" s="10" t="n"/>
      <c r="C3143" s="10" t="n"/>
      <c r="D3143" s="10" t="n"/>
      <c r="E3143" s="14">
        <f>IF(D3143="","",IFERROR(INDEX('Sản phẩm'!$B$5:$B$304,MATCH(D3143,'Sản phẩm'!$A$5:$A$304,0)),""))</f>
        <v/>
      </c>
      <c r="F3143" s="12" t="n"/>
      <c r="G3143" s="11" t="n"/>
      <c r="H3143" s="11" t="n"/>
      <c r="I3143" s="16">
        <f>IF(D3143="","",IF(G3143&lt;&gt;"",G3143,IFERROR(INDEX('Sản phẩm'!$E$5:$E$304,MATCH(D3143,'Sản phẩm'!$A$5:$A$304,0)),"")))</f>
        <v/>
      </c>
      <c r="J3143" s="16">
        <f>IF(OR(D3143="",F3143=""),"",F3143*I3143-N(H3143))</f>
        <v/>
      </c>
      <c r="K3143" s="16">
        <f>IF(OR(D3143="",F3143=""),"",F3143*IFERROR(INDEX('Sản phẩm'!$D$5:$D$304,MATCH(D3143,'Sản phẩm'!$A$5:$A$304,0)),""))</f>
        <v/>
      </c>
      <c r="L3143" s="16">
        <f>IF(J3143="","",J3143-K3143)</f>
        <v/>
      </c>
      <c r="M3143" s="14">
        <f>IF(A3143="","",MONTH(A3143))</f>
        <v/>
      </c>
      <c r="N3143" s="14">
        <f>IF(A3143="","",YEAR(A3143))</f>
        <v/>
      </c>
    </row>
    <row r="3144">
      <c r="A3144" s="15" t="n"/>
      <c r="B3144" s="10" t="n"/>
      <c r="C3144" s="10" t="n"/>
      <c r="D3144" s="10" t="n"/>
      <c r="E3144" s="14">
        <f>IF(D3144="","",IFERROR(INDEX('Sản phẩm'!$B$5:$B$304,MATCH(D3144,'Sản phẩm'!$A$5:$A$304,0)),""))</f>
        <v/>
      </c>
      <c r="F3144" s="12" t="n"/>
      <c r="G3144" s="11" t="n"/>
      <c r="H3144" s="11" t="n"/>
      <c r="I3144" s="16">
        <f>IF(D3144="","",IF(G3144&lt;&gt;"",G3144,IFERROR(INDEX('Sản phẩm'!$E$5:$E$304,MATCH(D3144,'Sản phẩm'!$A$5:$A$304,0)),"")))</f>
        <v/>
      </c>
      <c r="J3144" s="16">
        <f>IF(OR(D3144="",F3144=""),"",F3144*I3144-N(H3144))</f>
        <v/>
      </c>
      <c r="K3144" s="16">
        <f>IF(OR(D3144="",F3144=""),"",F3144*IFERROR(INDEX('Sản phẩm'!$D$5:$D$304,MATCH(D3144,'Sản phẩm'!$A$5:$A$304,0)),""))</f>
        <v/>
      </c>
      <c r="L3144" s="16">
        <f>IF(J3144="","",J3144-K3144)</f>
        <v/>
      </c>
      <c r="M3144" s="14">
        <f>IF(A3144="","",MONTH(A3144))</f>
        <v/>
      </c>
      <c r="N3144" s="14">
        <f>IF(A3144="","",YEAR(A3144))</f>
        <v/>
      </c>
    </row>
    <row r="3145">
      <c r="A3145" s="15" t="n"/>
      <c r="B3145" s="10" t="n"/>
      <c r="C3145" s="10" t="n"/>
      <c r="D3145" s="10" t="n"/>
      <c r="E3145" s="14">
        <f>IF(D3145="","",IFERROR(INDEX('Sản phẩm'!$B$5:$B$304,MATCH(D3145,'Sản phẩm'!$A$5:$A$304,0)),""))</f>
        <v/>
      </c>
      <c r="F3145" s="12" t="n"/>
      <c r="G3145" s="11" t="n"/>
      <c r="H3145" s="11" t="n"/>
      <c r="I3145" s="16">
        <f>IF(D3145="","",IF(G3145&lt;&gt;"",G3145,IFERROR(INDEX('Sản phẩm'!$E$5:$E$304,MATCH(D3145,'Sản phẩm'!$A$5:$A$304,0)),"")))</f>
        <v/>
      </c>
      <c r="J3145" s="16">
        <f>IF(OR(D3145="",F3145=""),"",F3145*I3145-N(H3145))</f>
        <v/>
      </c>
      <c r="K3145" s="16">
        <f>IF(OR(D3145="",F3145=""),"",F3145*IFERROR(INDEX('Sản phẩm'!$D$5:$D$304,MATCH(D3145,'Sản phẩm'!$A$5:$A$304,0)),""))</f>
        <v/>
      </c>
      <c r="L3145" s="16">
        <f>IF(J3145="","",J3145-K3145)</f>
        <v/>
      </c>
      <c r="M3145" s="14">
        <f>IF(A3145="","",MONTH(A3145))</f>
        <v/>
      </c>
      <c r="N3145" s="14">
        <f>IF(A3145="","",YEAR(A3145))</f>
        <v/>
      </c>
    </row>
    <row r="3146">
      <c r="A3146" s="15" t="n"/>
      <c r="B3146" s="10" t="n"/>
      <c r="C3146" s="10" t="n"/>
      <c r="D3146" s="10" t="n"/>
      <c r="E3146" s="14">
        <f>IF(D3146="","",IFERROR(INDEX('Sản phẩm'!$B$5:$B$304,MATCH(D3146,'Sản phẩm'!$A$5:$A$304,0)),""))</f>
        <v/>
      </c>
      <c r="F3146" s="12" t="n"/>
      <c r="G3146" s="11" t="n"/>
      <c r="H3146" s="11" t="n"/>
      <c r="I3146" s="16">
        <f>IF(D3146="","",IF(G3146&lt;&gt;"",G3146,IFERROR(INDEX('Sản phẩm'!$E$5:$E$304,MATCH(D3146,'Sản phẩm'!$A$5:$A$304,0)),"")))</f>
        <v/>
      </c>
      <c r="J3146" s="16">
        <f>IF(OR(D3146="",F3146=""),"",F3146*I3146-N(H3146))</f>
        <v/>
      </c>
      <c r="K3146" s="16">
        <f>IF(OR(D3146="",F3146=""),"",F3146*IFERROR(INDEX('Sản phẩm'!$D$5:$D$304,MATCH(D3146,'Sản phẩm'!$A$5:$A$304,0)),""))</f>
        <v/>
      </c>
      <c r="L3146" s="16">
        <f>IF(J3146="","",J3146-K3146)</f>
        <v/>
      </c>
      <c r="M3146" s="14">
        <f>IF(A3146="","",MONTH(A3146))</f>
        <v/>
      </c>
      <c r="N3146" s="14">
        <f>IF(A3146="","",YEAR(A3146))</f>
        <v/>
      </c>
    </row>
    <row r="3147">
      <c r="A3147" s="15" t="n"/>
      <c r="B3147" s="10" t="n"/>
      <c r="C3147" s="10" t="n"/>
      <c r="D3147" s="10" t="n"/>
      <c r="E3147" s="14">
        <f>IF(D3147="","",IFERROR(INDEX('Sản phẩm'!$B$5:$B$304,MATCH(D3147,'Sản phẩm'!$A$5:$A$304,0)),""))</f>
        <v/>
      </c>
      <c r="F3147" s="12" t="n"/>
      <c r="G3147" s="11" t="n"/>
      <c r="H3147" s="11" t="n"/>
      <c r="I3147" s="16">
        <f>IF(D3147="","",IF(G3147&lt;&gt;"",G3147,IFERROR(INDEX('Sản phẩm'!$E$5:$E$304,MATCH(D3147,'Sản phẩm'!$A$5:$A$304,0)),"")))</f>
        <v/>
      </c>
      <c r="J3147" s="16">
        <f>IF(OR(D3147="",F3147=""),"",F3147*I3147-N(H3147))</f>
        <v/>
      </c>
      <c r="K3147" s="16">
        <f>IF(OR(D3147="",F3147=""),"",F3147*IFERROR(INDEX('Sản phẩm'!$D$5:$D$304,MATCH(D3147,'Sản phẩm'!$A$5:$A$304,0)),""))</f>
        <v/>
      </c>
      <c r="L3147" s="16">
        <f>IF(J3147="","",J3147-K3147)</f>
        <v/>
      </c>
      <c r="M3147" s="14">
        <f>IF(A3147="","",MONTH(A3147))</f>
        <v/>
      </c>
      <c r="N3147" s="14">
        <f>IF(A3147="","",YEAR(A3147))</f>
        <v/>
      </c>
    </row>
    <row r="3148">
      <c r="A3148" s="15" t="n"/>
      <c r="B3148" s="10" t="n"/>
      <c r="C3148" s="10" t="n"/>
      <c r="D3148" s="10" t="n"/>
      <c r="E3148" s="14">
        <f>IF(D3148="","",IFERROR(INDEX('Sản phẩm'!$B$5:$B$304,MATCH(D3148,'Sản phẩm'!$A$5:$A$304,0)),""))</f>
        <v/>
      </c>
      <c r="F3148" s="12" t="n"/>
      <c r="G3148" s="11" t="n"/>
      <c r="H3148" s="11" t="n"/>
      <c r="I3148" s="16">
        <f>IF(D3148="","",IF(G3148&lt;&gt;"",G3148,IFERROR(INDEX('Sản phẩm'!$E$5:$E$304,MATCH(D3148,'Sản phẩm'!$A$5:$A$304,0)),"")))</f>
        <v/>
      </c>
      <c r="J3148" s="16">
        <f>IF(OR(D3148="",F3148=""),"",F3148*I3148-N(H3148))</f>
        <v/>
      </c>
      <c r="K3148" s="16">
        <f>IF(OR(D3148="",F3148=""),"",F3148*IFERROR(INDEX('Sản phẩm'!$D$5:$D$304,MATCH(D3148,'Sản phẩm'!$A$5:$A$304,0)),""))</f>
        <v/>
      </c>
      <c r="L3148" s="16">
        <f>IF(J3148="","",J3148-K3148)</f>
        <v/>
      </c>
      <c r="M3148" s="14">
        <f>IF(A3148="","",MONTH(A3148))</f>
        <v/>
      </c>
      <c r="N3148" s="14">
        <f>IF(A3148="","",YEAR(A3148))</f>
        <v/>
      </c>
    </row>
    <row r="3149">
      <c r="A3149" s="15" t="n"/>
      <c r="B3149" s="10" t="n"/>
      <c r="C3149" s="10" t="n"/>
      <c r="D3149" s="10" t="n"/>
      <c r="E3149" s="14">
        <f>IF(D3149="","",IFERROR(INDEX('Sản phẩm'!$B$5:$B$304,MATCH(D3149,'Sản phẩm'!$A$5:$A$304,0)),""))</f>
        <v/>
      </c>
      <c r="F3149" s="12" t="n"/>
      <c r="G3149" s="11" t="n"/>
      <c r="H3149" s="11" t="n"/>
      <c r="I3149" s="16">
        <f>IF(D3149="","",IF(G3149&lt;&gt;"",G3149,IFERROR(INDEX('Sản phẩm'!$E$5:$E$304,MATCH(D3149,'Sản phẩm'!$A$5:$A$304,0)),"")))</f>
        <v/>
      </c>
      <c r="J3149" s="16">
        <f>IF(OR(D3149="",F3149=""),"",F3149*I3149-N(H3149))</f>
        <v/>
      </c>
      <c r="K3149" s="16">
        <f>IF(OR(D3149="",F3149=""),"",F3149*IFERROR(INDEX('Sản phẩm'!$D$5:$D$304,MATCH(D3149,'Sản phẩm'!$A$5:$A$304,0)),""))</f>
        <v/>
      </c>
      <c r="L3149" s="16">
        <f>IF(J3149="","",J3149-K3149)</f>
        <v/>
      </c>
      <c r="M3149" s="14">
        <f>IF(A3149="","",MONTH(A3149))</f>
        <v/>
      </c>
      <c r="N3149" s="14">
        <f>IF(A3149="","",YEAR(A3149))</f>
        <v/>
      </c>
    </row>
    <row r="3150">
      <c r="A3150" s="15" t="n"/>
      <c r="B3150" s="10" t="n"/>
      <c r="C3150" s="10" t="n"/>
      <c r="D3150" s="10" t="n"/>
      <c r="E3150" s="14">
        <f>IF(D3150="","",IFERROR(INDEX('Sản phẩm'!$B$5:$B$304,MATCH(D3150,'Sản phẩm'!$A$5:$A$304,0)),""))</f>
        <v/>
      </c>
      <c r="F3150" s="12" t="n"/>
      <c r="G3150" s="11" t="n"/>
      <c r="H3150" s="11" t="n"/>
      <c r="I3150" s="16">
        <f>IF(D3150="","",IF(G3150&lt;&gt;"",G3150,IFERROR(INDEX('Sản phẩm'!$E$5:$E$304,MATCH(D3150,'Sản phẩm'!$A$5:$A$304,0)),"")))</f>
        <v/>
      </c>
      <c r="J3150" s="16">
        <f>IF(OR(D3150="",F3150=""),"",F3150*I3150-N(H3150))</f>
        <v/>
      </c>
      <c r="K3150" s="16">
        <f>IF(OR(D3150="",F3150=""),"",F3150*IFERROR(INDEX('Sản phẩm'!$D$5:$D$304,MATCH(D3150,'Sản phẩm'!$A$5:$A$304,0)),""))</f>
        <v/>
      </c>
      <c r="L3150" s="16">
        <f>IF(J3150="","",J3150-K3150)</f>
        <v/>
      </c>
      <c r="M3150" s="14">
        <f>IF(A3150="","",MONTH(A3150))</f>
        <v/>
      </c>
      <c r="N3150" s="14">
        <f>IF(A3150="","",YEAR(A3150))</f>
        <v/>
      </c>
    </row>
    <row r="3151">
      <c r="A3151" s="15" t="n"/>
      <c r="B3151" s="10" t="n"/>
      <c r="C3151" s="10" t="n"/>
      <c r="D3151" s="10" t="n"/>
      <c r="E3151" s="14">
        <f>IF(D3151="","",IFERROR(INDEX('Sản phẩm'!$B$5:$B$304,MATCH(D3151,'Sản phẩm'!$A$5:$A$304,0)),""))</f>
        <v/>
      </c>
      <c r="F3151" s="12" t="n"/>
      <c r="G3151" s="11" t="n"/>
      <c r="H3151" s="11" t="n"/>
      <c r="I3151" s="16">
        <f>IF(D3151="","",IF(G3151&lt;&gt;"",G3151,IFERROR(INDEX('Sản phẩm'!$E$5:$E$304,MATCH(D3151,'Sản phẩm'!$A$5:$A$304,0)),"")))</f>
        <v/>
      </c>
      <c r="J3151" s="16">
        <f>IF(OR(D3151="",F3151=""),"",F3151*I3151-N(H3151))</f>
        <v/>
      </c>
      <c r="K3151" s="16">
        <f>IF(OR(D3151="",F3151=""),"",F3151*IFERROR(INDEX('Sản phẩm'!$D$5:$D$304,MATCH(D3151,'Sản phẩm'!$A$5:$A$304,0)),""))</f>
        <v/>
      </c>
      <c r="L3151" s="16">
        <f>IF(J3151="","",J3151-K3151)</f>
        <v/>
      </c>
      <c r="M3151" s="14">
        <f>IF(A3151="","",MONTH(A3151))</f>
        <v/>
      </c>
      <c r="N3151" s="14">
        <f>IF(A3151="","",YEAR(A3151))</f>
        <v/>
      </c>
    </row>
    <row r="3152">
      <c r="A3152" s="15" t="n"/>
      <c r="B3152" s="10" t="n"/>
      <c r="C3152" s="10" t="n"/>
      <c r="D3152" s="10" t="n"/>
      <c r="E3152" s="14">
        <f>IF(D3152="","",IFERROR(INDEX('Sản phẩm'!$B$5:$B$304,MATCH(D3152,'Sản phẩm'!$A$5:$A$304,0)),""))</f>
        <v/>
      </c>
      <c r="F3152" s="12" t="n"/>
      <c r="G3152" s="11" t="n"/>
      <c r="H3152" s="11" t="n"/>
      <c r="I3152" s="16">
        <f>IF(D3152="","",IF(G3152&lt;&gt;"",G3152,IFERROR(INDEX('Sản phẩm'!$E$5:$E$304,MATCH(D3152,'Sản phẩm'!$A$5:$A$304,0)),"")))</f>
        <v/>
      </c>
      <c r="J3152" s="16">
        <f>IF(OR(D3152="",F3152=""),"",F3152*I3152-N(H3152))</f>
        <v/>
      </c>
      <c r="K3152" s="16">
        <f>IF(OR(D3152="",F3152=""),"",F3152*IFERROR(INDEX('Sản phẩm'!$D$5:$D$304,MATCH(D3152,'Sản phẩm'!$A$5:$A$304,0)),""))</f>
        <v/>
      </c>
      <c r="L3152" s="16">
        <f>IF(J3152="","",J3152-K3152)</f>
        <v/>
      </c>
      <c r="M3152" s="14">
        <f>IF(A3152="","",MONTH(A3152))</f>
        <v/>
      </c>
      <c r="N3152" s="14">
        <f>IF(A3152="","",YEAR(A3152))</f>
        <v/>
      </c>
    </row>
    <row r="3153">
      <c r="A3153" s="15" t="n"/>
      <c r="B3153" s="10" t="n"/>
      <c r="C3153" s="10" t="n"/>
      <c r="D3153" s="10" t="n"/>
      <c r="E3153" s="14">
        <f>IF(D3153="","",IFERROR(INDEX('Sản phẩm'!$B$5:$B$304,MATCH(D3153,'Sản phẩm'!$A$5:$A$304,0)),""))</f>
        <v/>
      </c>
      <c r="F3153" s="12" t="n"/>
      <c r="G3153" s="11" t="n"/>
      <c r="H3153" s="11" t="n"/>
      <c r="I3153" s="16">
        <f>IF(D3153="","",IF(G3153&lt;&gt;"",G3153,IFERROR(INDEX('Sản phẩm'!$E$5:$E$304,MATCH(D3153,'Sản phẩm'!$A$5:$A$304,0)),"")))</f>
        <v/>
      </c>
      <c r="J3153" s="16">
        <f>IF(OR(D3153="",F3153=""),"",F3153*I3153-N(H3153))</f>
        <v/>
      </c>
      <c r="K3153" s="16">
        <f>IF(OR(D3153="",F3153=""),"",F3153*IFERROR(INDEX('Sản phẩm'!$D$5:$D$304,MATCH(D3153,'Sản phẩm'!$A$5:$A$304,0)),""))</f>
        <v/>
      </c>
      <c r="L3153" s="16">
        <f>IF(J3153="","",J3153-K3153)</f>
        <v/>
      </c>
      <c r="M3153" s="14">
        <f>IF(A3153="","",MONTH(A3153))</f>
        <v/>
      </c>
      <c r="N3153" s="14">
        <f>IF(A3153="","",YEAR(A3153))</f>
        <v/>
      </c>
    </row>
    <row r="3154">
      <c r="A3154" s="15" t="n"/>
      <c r="B3154" s="10" t="n"/>
      <c r="C3154" s="10" t="n"/>
      <c r="D3154" s="10" t="n"/>
      <c r="E3154" s="14">
        <f>IF(D3154="","",IFERROR(INDEX('Sản phẩm'!$B$5:$B$304,MATCH(D3154,'Sản phẩm'!$A$5:$A$304,0)),""))</f>
        <v/>
      </c>
      <c r="F3154" s="12" t="n"/>
      <c r="G3154" s="11" t="n"/>
      <c r="H3154" s="11" t="n"/>
      <c r="I3154" s="16">
        <f>IF(D3154="","",IF(G3154&lt;&gt;"",G3154,IFERROR(INDEX('Sản phẩm'!$E$5:$E$304,MATCH(D3154,'Sản phẩm'!$A$5:$A$304,0)),"")))</f>
        <v/>
      </c>
      <c r="J3154" s="16">
        <f>IF(OR(D3154="",F3154=""),"",F3154*I3154-N(H3154))</f>
        <v/>
      </c>
      <c r="K3154" s="16">
        <f>IF(OR(D3154="",F3154=""),"",F3154*IFERROR(INDEX('Sản phẩm'!$D$5:$D$304,MATCH(D3154,'Sản phẩm'!$A$5:$A$304,0)),""))</f>
        <v/>
      </c>
      <c r="L3154" s="16">
        <f>IF(J3154="","",J3154-K3154)</f>
        <v/>
      </c>
      <c r="M3154" s="14">
        <f>IF(A3154="","",MONTH(A3154))</f>
        <v/>
      </c>
      <c r="N3154" s="14">
        <f>IF(A3154="","",YEAR(A3154))</f>
        <v/>
      </c>
    </row>
    <row r="3155">
      <c r="A3155" s="15" t="n"/>
      <c r="B3155" s="10" t="n"/>
      <c r="C3155" s="10" t="n"/>
      <c r="D3155" s="10" t="n"/>
      <c r="E3155" s="14">
        <f>IF(D3155="","",IFERROR(INDEX('Sản phẩm'!$B$5:$B$304,MATCH(D3155,'Sản phẩm'!$A$5:$A$304,0)),""))</f>
        <v/>
      </c>
      <c r="F3155" s="12" t="n"/>
      <c r="G3155" s="11" t="n"/>
      <c r="H3155" s="11" t="n"/>
      <c r="I3155" s="16">
        <f>IF(D3155="","",IF(G3155&lt;&gt;"",G3155,IFERROR(INDEX('Sản phẩm'!$E$5:$E$304,MATCH(D3155,'Sản phẩm'!$A$5:$A$304,0)),"")))</f>
        <v/>
      </c>
      <c r="J3155" s="16">
        <f>IF(OR(D3155="",F3155=""),"",F3155*I3155-N(H3155))</f>
        <v/>
      </c>
      <c r="K3155" s="16">
        <f>IF(OR(D3155="",F3155=""),"",F3155*IFERROR(INDEX('Sản phẩm'!$D$5:$D$304,MATCH(D3155,'Sản phẩm'!$A$5:$A$304,0)),""))</f>
        <v/>
      </c>
      <c r="L3155" s="16">
        <f>IF(J3155="","",J3155-K3155)</f>
        <v/>
      </c>
      <c r="M3155" s="14">
        <f>IF(A3155="","",MONTH(A3155))</f>
        <v/>
      </c>
      <c r="N3155" s="14">
        <f>IF(A3155="","",YEAR(A3155))</f>
        <v/>
      </c>
    </row>
    <row r="3156">
      <c r="A3156" s="15" t="n"/>
      <c r="B3156" s="10" t="n"/>
      <c r="C3156" s="10" t="n"/>
      <c r="D3156" s="10" t="n"/>
      <c r="E3156" s="14">
        <f>IF(D3156="","",IFERROR(INDEX('Sản phẩm'!$B$5:$B$304,MATCH(D3156,'Sản phẩm'!$A$5:$A$304,0)),""))</f>
        <v/>
      </c>
      <c r="F3156" s="12" t="n"/>
      <c r="G3156" s="11" t="n"/>
      <c r="H3156" s="11" t="n"/>
      <c r="I3156" s="16">
        <f>IF(D3156="","",IF(G3156&lt;&gt;"",G3156,IFERROR(INDEX('Sản phẩm'!$E$5:$E$304,MATCH(D3156,'Sản phẩm'!$A$5:$A$304,0)),"")))</f>
        <v/>
      </c>
      <c r="J3156" s="16">
        <f>IF(OR(D3156="",F3156=""),"",F3156*I3156-N(H3156))</f>
        <v/>
      </c>
      <c r="K3156" s="16">
        <f>IF(OR(D3156="",F3156=""),"",F3156*IFERROR(INDEX('Sản phẩm'!$D$5:$D$304,MATCH(D3156,'Sản phẩm'!$A$5:$A$304,0)),""))</f>
        <v/>
      </c>
      <c r="L3156" s="16">
        <f>IF(J3156="","",J3156-K3156)</f>
        <v/>
      </c>
      <c r="M3156" s="14">
        <f>IF(A3156="","",MONTH(A3156))</f>
        <v/>
      </c>
      <c r="N3156" s="14">
        <f>IF(A3156="","",YEAR(A3156))</f>
        <v/>
      </c>
    </row>
    <row r="3157">
      <c r="A3157" s="15" t="n"/>
      <c r="B3157" s="10" t="n"/>
      <c r="C3157" s="10" t="n"/>
      <c r="D3157" s="10" t="n"/>
      <c r="E3157" s="14">
        <f>IF(D3157="","",IFERROR(INDEX('Sản phẩm'!$B$5:$B$304,MATCH(D3157,'Sản phẩm'!$A$5:$A$304,0)),""))</f>
        <v/>
      </c>
      <c r="F3157" s="12" t="n"/>
      <c r="G3157" s="11" t="n"/>
      <c r="H3157" s="11" t="n"/>
      <c r="I3157" s="16">
        <f>IF(D3157="","",IF(G3157&lt;&gt;"",G3157,IFERROR(INDEX('Sản phẩm'!$E$5:$E$304,MATCH(D3157,'Sản phẩm'!$A$5:$A$304,0)),"")))</f>
        <v/>
      </c>
      <c r="J3157" s="16">
        <f>IF(OR(D3157="",F3157=""),"",F3157*I3157-N(H3157))</f>
        <v/>
      </c>
      <c r="K3157" s="16">
        <f>IF(OR(D3157="",F3157=""),"",F3157*IFERROR(INDEX('Sản phẩm'!$D$5:$D$304,MATCH(D3157,'Sản phẩm'!$A$5:$A$304,0)),""))</f>
        <v/>
      </c>
      <c r="L3157" s="16">
        <f>IF(J3157="","",J3157-K3157)</f>
        <v/>
      </c>
      <c r="M3157" s="14">
        <f>IF(A3157="","",MONTH(A3157))</f>
        <v/>
      </c>
      <c r="N3157" s="14">
        <f>IF(A3157="","",YEAR(A3157))</f>
        <v/>
      </c>
    </row>
    <row r="3158">
      <c r="A3158" s="15" t="n"/>
      <c r="B3158" s="10" t="n"/>
      <c r="C3158" s="10" t="n"/>
      <c r="D3158" s="10" t="n"/>
      <c r="E3158" s="14">
        <f>IF(D3158="","",IFERROR(INDEX('Sản phẩm'!$B$5:$B$304,MATCH(D3158,'Sản phẩm'!$A$5:$A$304,0)),""))</f>
        <v/>
      </c>
      <c r="F3158" s="12" t="n"/>
      <c r="G3158" s="11" t="n"/>
      <c r="H3158" s="11" t="n"/>
      <c r="I3158" s="16">
        <f>IF(D3158="","",IF(G3158&lt;&gt;"",G3158,IFERROR(INDEX('Sản phẩm'!$E$5:$E$304,MATCH(D3158,'Sản phẩm'!$A$5:$A$304,0)),"")))</f>
        <v/>
      </c>
      <c r="J3158" s="16">
        <f>IF(OR(D3158="",F3158=""),"",F3158*I3158-N(H3158))</f>
        <v/>
      </c>
      <c r="K3158" s="16">
        <f>IF(OR(D3158="",F3158=""),"",F3158*IFERROR(INDEX('Sản phẩm'!$D$5:$D$304,MATCH(D3158,'Sản phẩm'!$A$5:$A$304,0)),""))</f>
        <v/>
      </c>
      <c r="L3158" s="16">
        <f>IF(J3158="","",J3158-K3158)</f>
        <v/>
      </c>
      <c r="M3158" s="14">
        <f>IF(A3158="","",MONTH(A3158))</f>
        <v/>
      </c>
      <c r="N3158" s="14">
        <f>IF(A3158="","",YEAR(A3158))</f>
        <v/>
      </c>
    </row>
    <row r="3159">
      <c r="A3159" s="15" t="n"/>
      <c r="B3159" s="10" t="n"/>
      <c r="C3159" s="10" t="n"/>
      <c r="D3159" s="10" t="n"/>
      <c r="E3159" s="14">
        <f>IF(D3159="","",IFERROR(INDEX('Sản phẩm'!$B$5:$B$304,MATCH(D3159,'Sản phẩm'!$A$5:$A$304,0)),""))</f>
        <v/>
      </c>
      <c r="F3159" s="12" t="n"/>
      <c r="G3159" s="11" t="n"/>
      <c r="H3159" s="11" t="n"/>
      <c r="I3159" s="16">
        <f>IF(D3159="","",IF(G3159&lt;&gt;"",G3159,IFERROR(INDEX('Sản phẩm'!$E$5:$E$304,MATCH(D3159,'Sản phẩm'!$A$5:$A$304,0)),"")))</f>
        <v/>
      </c>
      <c r="J3159" s="16">
        <f>IF(OR(D3159="",F3159=""),"",F3159*I3159-N(H3159))</f>
        <v/>
      </c>
      <c r="K3159" s="16">
        <f>IF(OR(D3159="",F3159=""),"",F3159*IFERROR(INDEX('Sản phẩm'!$D$5:$D$304,MATCH(D3159,'Sản phẩm'!$A$5:$A$304,0)),""))</f>
        <v/>
      </c>
      <c r="L3159" s="16">
        <f>IF(J3159="","",J3159-K3159)</f>
        <v/>
      </c>
      <c r="M3159" s="14">
        <f>IF(A3159="","",MONTH(A3159))</f>
        <v/>
      </c>
      <c r="N3159" s="14">
        <f>IF(A3159="","",YEAR(A3159))</f>
        <v/>
      </c>
    </row>
    <row r="3160">
      <c r="A3160" s="15" t="n"/>
      <c r="B3160" s="10" t="n"/>
      <c r="C3160" s="10" t="n"/>
      <c r="D3160" s="10" t="n"/>
      <c r="E3160" s="14">
        <f>IF(D3160="","",IFERROR(INDEX('Sản phẩm'!$B$5:$B$304,MATCH(D3160,'Sản phẩm'!$A$5:$A$304,0)),""))</f>
        <v/>
      </c>
      <c r="F3160" s="12" t="n"/>
      <c r="G3160" s="11" t="n"/>
      <c r="H3160" s="11" t="n"/>
      <c r="I3160" s="16">
        <f>IF(D3160="","",IF(G3160&lt;&gt;"",G3160,IFERROR(INDEX('Sản phẩm'!$E$5:$E$304,MATCH(D3160,'Sản phẩm'!$A$5:$A$304,0)),"")))</f>
        <v/>
      </c>
      <c r="J3160" s="16">
        <f>IF(OR(D3160="",F3160=""),"",F3160*I3160-N(H3160))</f>
        <v/>
      </c>
      <c r="K3160" s="16">
        <f>IF(OR(D3160="",F3160=""),"",F3160*IFERROR(INDEX('Sản phẩm'!$D$5:$D$304,MATCH(D3160,'Sản phẩm'!$A$5:$A$304,0)),""))</f>
        <v/>
      </c>
      <c r="L3160" s="16">
        <f>IF(J3160="","",J3160-K3160)</f>
        <v/>
      </c>
      <c r="M3160" s="14">
        <f>IF(A3160="","",MONTH(A3160))</f>
        <v/>
      </c>
      <c r="N3160" s="14">
        <f>IF(A3160="","",YEAR(A3160))</f>
        <v/>
      </c>
    </row>
    <row r="3161">
      <c r="A3161" s="15" t="n"/>
      <c r="B3161" s="10" t="n"/>
      <c r="C3161" s="10" t="n"/>
      <c r="D3161" s="10" t="n"/>
      <c r="E3161" s="14">
        <f>IF(D3161="","",IFERROR(INDEX('Sản phẩm'!$B$5:$B$304,MATCH(D3161,'Sản phẩm'!$A$5:$A$304,0)),""))</f>
        <v/>
      </c>
      <c r="F3161" s="12" t="n"/>
      <c r="G3161" s="11" t="n"/>
      <c r="H3161" s="11" t="n"/>
      <c r="I3161" s="16">
        <f>IF(D3161="","",IF(G3161&lt;&gt;"",G3161,IFERROR(INDEX('Sản phẩm'!$E$5:$E$304,MATCH(D3161,'Sản phẩm'!$A$5:$A$304,0)),"")))</f>
        <v/>
      </c>
      <c r="J3161" s="16">
        <f>IF(OR(D3161="",F3161=""),"",F3161*I3161-N(H3161))</f>
        <v/>
      </c>
      <c r="K3161" s="16">
        <f>IF(OR(D3161="",F3161=""),"",F3161*IFERROR(INDEX('Sản phẩm'!$D$5:$D$304,MATCH(D3161,'Sản phẩm'!$A$5:$A$304,0)),""))</f>
        <v/>
      </c>
      <c r="L3161" s="16">
        <f>IF(J3161="","",J3161-K3161)</f>
        <v/>
      </c>
      <c r="M3161" s="14">
        <f>IF(A3161="","",MONTH(A3161))</f>
        <v/>
      </c>
      <c r="N3161" s="14">
        <f>IF(A3161="","",YEAR(A3161))</f>
        <v/>
      </c>
    </row>
    <row r="3162">
      <c r="A3162" s="15" t="n"/>
      <c r="B3162" s="10" t="n"/>
      <c r="C3162" s="10" t="n"/>
      <c r="D3162" s="10" t="n"/>
      <c r="E3162" s="14">
        <f>IF(D3162="","",IFERROR(INDEX('Sản phẩm'!$B$5:$B$304,MATCH(D3162,'Sản phẩm'!$A$5:$A$304,0)),""))</f>
        <v/>
      </c>
      <c r="F3162" s="12" t="n"/>
      <c r="G3162" s="11" t="n"/>
      <c r="H3162" s="11" t="n"/>
      <c r="I3162" s="16">
        <f>IF(D3162="","",IF(G3162&lt;&gt;"",G3162,IFERROR(INDEX('Sản phẩm'!$E$5:$E$304,MATCH(D3162,'Sản phẩm'!$A$5:$A$304,0)),"")))</f>
        <v/>
      </c>
      <c r="J3162" s="16">
        <f>IF(OR(D3162="",F3162=""),"",F3162*I3162-N(H3162))</f>
        <v/>
      </c>
      <c r="K3162" s="16">
        <f>IF(OR(D3162="",F3162=""),"",F3162*IFERROR(INDEX('Sản phẩm'!$D$5:$D$304,MATCH(D3162,'Sản phẩm'!$A$5:$A$304,0)),""))</f>
        <v/>
      </c>
      <c r="L3162" s="16">
        <f>IF(J3162="","",J3162-K3162)</f>
        <v/>
      </c>
      <c r="M3162" s="14">
        <f>IF(A3162="","",MONTH(A3162))</f>
        <v/>
      </c>
      <c r="N3162" s="14">
        <f>IF(A3162="","",YEAR(A3162))</f>
        <v/>
      </c>
    </row>
    <row r="3163">
      <c r="A3163" s="15" t="n"/>
      <c r="B3163" s="10" t="n"/>
      <c r="C3163" s="10" t="n"/>
      <c r="D3163" s="10" t="n"/>
      <c r="E3163" s="14">
        <f>IF(D3163="","",IFERROR(INDEX('Sản phẩm'!$B$5:$B$304,MATCH(D3163,'Sản phẩm'!$A$5:$A$304,0)),""))</f>
        <v/>
      </c>
      <c r="F3163" s="12" t="n"/>
      <c r="G3163" s="11" t="n"/>
      <c r="H3163" s="11" t="n"/>
      <c r="I3163" s="16">
        <f>IF(D3163="","",IF(G3163&lt;&gt;"",G3163,IFERROR(INDEX('Sản phẩm'!$E$5:$E$304,MATCH(D3163,'Sản phẩm'!$A$5:$A$304,0)),"")))</f>
        <v/>
      </c>
      <c r="J3163" s="16">
        <f>IF(OR(D3163="",F3163=""),"",F3163*I3163-N(H3163))</f>
        <v/>
      </c>
      <c r="K3163" s="16">
        <f>IF(OR(D3163="",F3163=""),"",F3163*IFERROR(INDEX('Sản phẩm'!$D$5:$D$304,MATCH(D3163,'Sản phẩm'!$A$5:$A$304,0)),""))</f>
        <v/>
      </c>
      <c r="L3163" s="16">
        <f>IF(J3163="","",J3163-K3163)</f>
        <v/>
      </c>
      <c r="M3163" s="14">
        <f>IF(A3163="","",MONTH(A3163))</f>
        <v/>
      </c>
      <c r="N3163" s="14">
        <f>IF(A3163="","",YEAR(A3163))</f>
        <v/>
      </c>
    </row>
    <row r="3164">
      <c r="A3164" s="15" t="n"/>
      <c r="B3164" s="10" t="n"/>
      <c r="C3164" s="10" t="n"/>
      <c r="D3164" s="10" t="n"/>
      <c r="E3164" s="14">
        <f>IF(D3164="","",IFERROR(INDEX('Sản phẩm'!$B$5:$B$304,MATCH(D3164,'Sản phẩm'!$A$5:$A$304,0)),""))</f>
        <v/>
      </c>
      <c r="F3164" s="12" t="n"/>
      <c r="G3164" s="11" t="n"/>
      <c r="H3164" s="11" t="n"/>
      <c r="I3164" s="16">
        <f>IF(D3164="","",IF(G3164&lt;&gt;"",G3164,IFERROR(INDEX('Sản phẩm'!$E$5:$E$304,MATCH(D3164,'Sản phẩm'!$A$5:$A$304,0)),"")))</f>
        <v/>
      </c>
      <c r="J3164" s="16">
        <f>IF(OR(D3164="",F3164=""),"",F3164*I3164-N(H3164))</f>
        <v/>
      </c>
      <c r="K3164" s="16">
        <f>IF(OR(D3164="",F3164=""),"",F3164*IFERROR(INDEX('Sản phẩm'!$D$5:$D$304,MATCH(D3164,'Sản phẩm'!$A$5:$A$304,0)),""))</f>
        <v/>
      </c>
      <c r="L3164" s="16">
        <f>IF(J3164="","",J3164-K3164)</f>
        <v/>
      </c>
      <c r="M3164" s="14">
        <f>IF(A3164="","",MONTH(A3164))</f>
        <v/>
      </c>
      <c r="N3164" s="14">
        <f>IF(A3164="","",YEAR(A3164))</f>
        <v/>
      </c>
    </row>
    <row r="3165">
      <c r="A3165" s="15" t="n"/>
      <c r="B3165" s="10" t="n"/>
      <c r="C3165" s="10" t="n"/>
      <c r="D3165" s="10" t="n"/>
      <c r="E3165" s="14">
        <f>IF(D3165="","",IFERROR(INDEX('Sản phẩm'!$B$5:$B$304,MATCH(D3165,'Sản phẩm'!$A$5:$A$304,0)),""))</f>
        <v/>
      </c>
      <c r="F3165" s="12" t="n"/>
      <c r="G3165" s="11" t="n"/>
      <c r="H3165" s="11" t="n"/>
      <c r="I3165" s="16">
        <f>IF(D3165="","",IF(G3165&lt;&gt;"",G3165,IFERROR(INDEX('Sản phẩm'!$E$5:$E$304,MATCH(D3165,'Sản phẩm'!$A$5:$A$304,0)),"")))</f>
        <v/>
      </c>
      <c r="J3165" s="16">
        <f>IF(OR(D3165="",F3165=""),"",F3165*I3165-N(H3165))</f>
        <v/>
      </c>
      <c r="K3165" s="16">
        <f>IF(OR(D3165="",F3165=""),"",F3165*IFERROR(INDEX('Sản phẩm'!$D$5:$D$304,MATCH(D3165,'Sản phẩm'!$A$5:$A$304,0)),""))</f>
        <v/>
      </c>
      <c r="L3165" s="16">
        <f>IF(J3165="","",J3165-K3165)</f>
        <v/>
      </c>
      <c r="M3165" s="14">
        <f>IF(A3165="","",MONTH(A3165))</f>
        <v/>
      </c>
      <c r="N3165" s="14">
        <f>IF(A3165="","",YEAR(A3165))</f>
        <v/>
      </c>
    </row>
    <row r="3166">
      <c r="A3166" s="15" t="n"/>
      <c r="B3166" s="10" t="n"/>
      <c r="C3166" s="10" t="n"/>
      <c r="D3166" s="10" t="n"/>
      <c r="E3166" s="14">
        <f>IF(D3166="","",IFERROR(INDEX('Sản phẩm'!$B$5:$B$304,MATCH(D3166,'Sản phẩm'!$A$5:$A$304,0)),""))</f>
        <v/>
      </c>
      <c r="F3166" s="12" t="n"/>
      <c r="G3166" s="11" t="n"/>
      <c r="H3166" s="11" t="n"/>
      <c r="I3166" s="16">
        <f>IF(D3166="","",IF(G3166&lt;&gt;"",G3166,IFERROR(INDEX('Sản phẩm'!$E$5:$E$304,MATCH(D3166,'Sản phẩm'!$A$5:$A$304,0)),"")))</f>
        <v/>
      </c>
      <c r="J3166" s="16">
        <f>IF(OR(D3166="",F3166=""),"",F3166*I3166-N(H3166))</f>
        <v/>
      </c>
      <c r="K3166" s="16">
        <f>IF(OR(D3166="",F3166=""),"",F3166*IFERROR(INDEX('Sản phẩm'!$D$5:$D$304,MATCH(D3166,'Sản phẩm'!$A$5:$A$304,0)),""))</f>
        <v/>
      </c>
      <c r="L3166" s="16">
        <f>IF(J3166="","",J3166-K3166)</f>
        <v/>
      </c>
      <c r="M3166" s="14">
        <f>IF(A3166="","",MONTH(A3166))</f>
        <v/>
      </c>
      <c r="N3166" s="14">
        <f>IF(A3166="","",YEAR(A3166))</f>
        <v/>
      </c>
    </row>
    <row r="3167">
      <c r="A3167" s="15" t="n"/>
      <c r="B3167" s="10" t="n"/>
      <c r="C3167" s="10" t="n"/>
      <c r="D3167" s="10" t="n"/>
      <c r="E3167" s="14">
        <f>IF(D3167="","",IFERROR(INDEX('Sản phẩm'!$B$5:$B$304,MATCH(D3167,'Sản phẩm'!$A$5:$A$304,0)),""))</f>
        <v/>
      </c>
      <c r="F3167" s="12" t="n"/>
      <c r="G3167" s="11" t="n"/>
      <c r="H3167" s="11" t="n"/>
      <c r="I3167" s="16">
        <f>IF(D3167="","",IF(G3167&lt;&gt;"",G3167,IFERROR(INDEX('Sản phẩm'!$E$5:$E$304,MATCH(D3167,'Sản phẩm'!$A$5:$A$304,0)),"")))</f>
        <v/>
      </c>
      <c r="J3167" s="16">
        <f>IF(OR(D3167="",F3167=""),"",F3167*I3167-N(H3167))</f>
        <v/>
      </c>
      <c r="K3167" s="16">
        <f>IF(OR(D3167="",F3167=""),"",F3167*IFERROR(INDEX('Sản phẩm'!$D$5:$D$304,MATCH(D3167,'Sản phẩm'!$A$5:$A$304,0)),""))</f>
        <v/>
      </c>
      <c r="L3167" s="16">
        <f>IF(J3167="","",J3167-K3167)</f>
        <v/>
      </c>
      <c r="M3167" s="14">
        <f>IF(A3167="","",MONTH(A3167))</f>
        <v/>
      </c>
      <c r="N3167" s="14">
        <f>IF(A3167="","",YEAR(A3167))</f>
        <v/>
      </c>
    </row>
    <row r="3168">
      <c r="A3168" s="15" t="n"/>
      <c r="B3168" s="10" t="n"/>
      <c r="C3168" s="10" t="n"/>
      <c r="D3168" s="10" t="n"/>
      <c r="E3168" s="14">
        <f>IF(D3168="","",IFERROR(INDEX('Sản phẩm'!$B$5:$B$304,MATCH(D3168,'Sản phẩm'!$A$5:$A$304,0)),""))</f>
        <v/>
      </c>
      <c r="F3168" s="12" t="n"/>
      <c r="G3168" s="11" t="n"/>
      <c r="H3168" s="11" t="n"/>
      <c r="I3168" s="16">
        <f>IF(D3168="","",IF(G3168&lt;&gt;"",G3168,IFERROR(INDEX('Sản phẩm'!$E$5:$E$304,MATCH(D3168,'Sản phẩm'!$A$5:$A$304,0)),"")))</f>
        <v/>
      </c>
      <c r="J3168" s="16">
        <f>IF(OR(D3168="",F3168=""),"",F3168*I3168-N(H3168))</f>
        <v/>
      </c>
      <c r="K3168" s="16">
        <f>IF(OR(D3168="",F3168=""),"",F3168*IFERROR(INDEX('Sản phẩm'!$D$5:$D$304,MATCH(D3168,'Sản phẩm'!$A$5:$A$304,0)),""))</f>
        <v/>
      </c>
      <c r="L3168" s="16">
        <f>IF(J3168="","",J3168-K3168)</f>
        <v/>
      </c>
      <c r="M3168" s="14">
        <f>IF(A3168="","",MONTH(A3168))</f>
        <v/>
      </c>
      <c r="N3168" s="14">
        <f>IF(A3168="","",YEAR(A3168))</f>
        <v/>
      </c>
    </row>
    <row r="3169">
      <c r="A3169" s="15" t="n"/>
      <c r="B3169" s="10" t="n"/>
      <c r="C3169" s="10" t="n"/>
      <c r="D3169" s="10" t="n"/>
      <c r="E3169" s="14">
        <f>IF(D3169="","",IFERROR(INDEX('Sản phẩm'!$B$5:$B$304,MATCH(D3169,'Sản phẩm'!$A$5:$A$304,0)),""))</f>
        <v/>
      </c>
      <c r="F3169" s="12" t="n"/>
      <c r="G3169" s="11" t="n"/>
      <c r="H3169" s="11" t="n"/>
      <c r="I3169" s="16">
        <f>IF(D3169="","",IF(G3169&lt;&gt;"",G3169,IFERROR(INDEX('Sản phẩm'!$E$5:$E$304,MATCH(D3169,'Sản phẩm'!$A$5:$A$304,0)),"")))</f>
        <v/>
      </c>
      <c r="J3169" s="16">
        <f>IF(OR(D3169="",F3169=""),"",F3169*I3169-N(H3169))</f>
        <v/>
      </c>
      <c r="K3169" s="16">
        <f>IF(OR(D3169="",F3169=""),"",F3169*IFERROR(INDEX('Sản phẩm'!$D$5:$D$304,MATCH(D3169,'Sản phẩm'!$A$5:$A$304,0)),""))</f>
        <v/>
      </c>
      <c r="L3169" s="16">
        <f>IF(J3169="","",J3169-K3169)</f>
        <v/>
      </c>
      <c r="M3169" s="14">
        <f>IF(A3169="","",MONTH(A3169))</f>
        <v/>
      </c>
      <c r="N3169" s="14">
        <f>IF(A3169="","",YEAR(A3169))</f>
        <v/>
      </c>
    </row>
    <row r="3170">
      <c r="A3170" s="15" t="n"/>
      <c r="B3170" s="10" t="n"/>
      <c r="C3170" s="10" t="n"/>
      <c r="D3170" s="10" t="n"/>
      <c r="E3170" s="14">
        <f>IF(D3170="","",IFERROR(INDEX('Sản phẩm'!$B$5:$B$304,MATCH(D3170,'Sản phẩm'!$A$5:$A$304,0)),""))</f>
        <v/>
      </c>
      <c r="F3170" s="12" t="n"/>
      <c r="G3170" s="11" t="n"/>
      <c r="H3170" s="11" t="n"/>
      <c r="I3170" s="16">
        <f>IF(D3170="","",IF(G3170&lt;&gt;"",G3170,IFERROR(INDEX('Sản phẩm'!$E$5:$E$304,MATCH(D3170,'Sản phẩm'!$A$5:$A$304,0)),"")))</f>
        <v/>
      </c>
      <c r="J3170" s="16">
        <f>IF(OR(D3170="",F3170=""),"",F3170*I3170-N(H3170))</f>
        <v/>
      </c>
      <c r="K3170" s="16">
        <f>IF(OR(D3170="",F3170=""),"",F3170*IFERROR(INDEX('Sản phẩm'!$D$5:$D$304,MATCH(D3170,'Sản phẩm'!$A$5:$A$304,0)),""))</f>
        <v/>
      </c>
      <c r="L3170" s="16">
        <f>IF(J3170="","",J3170-K3170)</f>
        <v/>
      </c>
      <c r="M3170" s="14">
        <f>IF(A3170="","",MONTH(A3170))</f>
        <v/>
      </c>
      <c r="N3170" s="14">
        <f>IF(A3170="","",YEAR(A3170))</f>
        <v/>
      </c>
    </row>
    <row r="3171">
      <c r="A3171" s="15" t="n"/>
      <c r="B3171" s="10" t="n"/>
      <c r="C3171" s="10" t="n"/>
      <c r="D3171" s="10" t="n"/>
      <c r="E3171" s="14">
        <f>IF(D3171="","",IFERROR(INDEX('Sản phẩm'!$B$5:$B$304,MATCH(D3171,'Sản phẩm'!$A$5:$A$304,0)),""))</f>
        <v/>
      </c>
      <c r="F3171" s="12" t="n"/>
      <c r="G3171" s="11" t="n"/>
      <c r="H3171" s="11" t="n"/>
      <c r="I3171" s="16">
        <f>IF(D3171="","",IF(G3171&lt;&gt;"",G3171,IFERROR(INDEX('Sản phẩm'!$E$5:$E$304,MATCH(D3171,'Sản phẩm'!$A$5:$A$304,0)),"")))</f>
        <v/>
      </c>
      <c r="J3171" s="16">
        <f>IF(OR(D3171="",F3171=""),"",F3171*I3171-N(H3171))</f>
        <v/>
      </c>
      <c r="K3171" s="16">
        <f>IF(OR(D3171="",F3171=""),"",F3171*IFERROR(INDEX('Sản phẩm'!$D$5:$D$304,MATCH(D3171,'Sản phẩm'!$A$5:$A$304,0)),""))</f>
        <v/>
      </c>
      <c r="L3171" s="16">
        <f>IF(J3171="","",J3171-K3171)</f>
        <v/>
      </c>
      <c r="M3171" s="14">
        <f>IF(A3171="","",MONTH(A3171))</f>
        <v/>
      </c>
      <c r="N3171" s="14">
        <f>IF(A3171="","",YEAR(A3171))</f>
        <v/>
      </c>
    </row>
    <row r="3172">
      <c r="A3172" s="15" t="n"/>
      <c r="B3172" s="10" t="n"/>
      <c r="C3172" s="10" t="n"/>
      <c r="D3172" s="10" t="n"/>
      <c r="E3172" s="14">
        <f>IF(D3172="","",IFERROR(INDEX('Sản phẩm'!$B$5:$B$304,MATCH(D3172,'Sản phẩm'!$A$5:$A$304,0)),""))</f>
        <v/>
      </c>
      <c r="F3172" s="12" t="n"/>
      <c r="G3172" s="11" t="n"/>
      <c r="H3172" s="11" t="n"/>
      <c r="I3172" s="16">
        <f>IF(D3172="","",IF(G3172&lt;&gt;"",G3172,IFERROR(INDEX('Sản phẩm'!$E$5:$E$304,MATCH(D3172,'Sản phẩm'!$A$5:$A$304,0)),"")))</f>
        <v/>
      </c>
      <c r="J3172" s="16">
        <f>IF(OR(D3172="",F3172=""),"",F3172*I3172-N(H3172))</f>
        <v/>
      </c>
      <c r="K3172" s="16">
        <f>IF(OR(D3172="",F3172=""),"",F3172*IFERROR(INDEX('Sản phẩm'!$D$5:$D$304,MATCH(D3172,'Sản phẩm'!$A$5:$A$304,0)),""))</f>
        <v/>
      </c>
      <c r="L3172" s="16">
        <f>IF(J3172="","",J3172-K3172)</f>
        <v/>
      </c>
      <c r="M3172" s="14">
        <f>IF(A3172="","",MONTH(A3172))</f>
        <v/>
      </c>
      <c r="N3172" s="14">
        <f>IF(A3172="","",YEAR(A3172))</f>
        <v/>
      </c>
    </row>
    <row r="3173">
      <c r="A3173" s="15" t="n"/>
      <c r="B3173" s="10" t="n"/>
      <c r="C3173" s="10" t="n"/>
      <c r="D3173" s="10" t="n"/>
      <c r="E3173" s="14">
        <f>IF(D3173="","",IFERROR(INDEX('Sản phẩm'!$B$5:$B$304,MATCH(D3173,'Sản phẩm'!$A$5:$A$304,0)),""))</f>
        <v/>
      </c>
      <c r="F3173" s="12" t="n"/>
      <c r="G3173" s="11" t="n"/>
      <c r="H3173" s="11" t="n"/>
      <c r="I3173" s="16">
        <f>IF(D3173="","",IF(G3173&lt;&gt;"",G3173,IFERROR(INDEX('Sản phẩm'!$E$5:$E$304,MATCH(D3173,'Sản phẩm'!$A$5:$A$304,0)),"")))</f>
        <v/>
      </c>
      <c r="J3173" s="16">
        <f>IF(OR(D3173="",F3173=""),"",F3173*I3173-N(H3173))</f>
        <v/>
      </c>
      <c r="K3173" s="16">
        <f>IF(OR(D3173="",F3173=""),"",F3173*IFERROR(INDEX('Sản phẩm'!$D$5:$D$304,MATCH(D3173,'Sản phẩm'!$A$5:$A$304,0)),""))</f>
        <v/>
      </c>
      <c r="L3173" s="16">
        <f>IF(J3173="","",J3173-K3173)</f>
        <v/>
      </c>
      <c r="M3173" s="14">
        <f>IF(A3173="","",MONTH(A3173))</f>
        <v/>
      </c>
      <c r="N3173" s="14">
        <f>IF(A3173="","",YEAR(A3173))</f>
        <v/>
      </c>
    </row>
    <row r="3174">
      <c r="A3174" s="15" t="n"/>
      <c r="B3174" s="10" t="n"/>
      <c r="C3174" s="10" t="n"/>
      <c r="D3174" s="10" t="n"/>
      <c r="E3174" s="14">
        <f>IF(D3174="","",IFERROR(INDEX('Sản phẩm'!$B$5:$B$304,MATCH(D3174,'Sản phẩm'!$A$5:$A$304,0)),""))</f>
        <v/>
      </c>
      <c r="F3174" s="12" t="n"/>
      <c r="G3174" s="11" t="n"/>
      <c r="H3174" s="11" t="n"/>
      <c r="I3174" s="16">
        <f>IF(D3174="","",IF(G3174&lt;&gt;"",G3174,IFERROR(INDEX('Sản phẩm'!$E$5:$E$304,MATCH(D3174,'Sản phẩm'!$A$5:$A$304,0)),"")))</f>
        <v/>
      </c>
      <c r="J3174" s="16">
        <f>IF(OR(D3174="",F3174=""),"",F3174*I3174-N(H3174))</f>
        <v/>
      </c>
      <c r="K3174" s="16">
        <f>IF(OR(D3174="",F3174=""),"",F3174*IFERROR(INDEX('Sản phẩm'!$D$5:$D$304,MATCH(D3174,'Sản phẩm'!$A$5:$A$304,0)),""))</f>
        <v/>
      </c>
      <c r="L3174" s="16">
        <f>IF(J3174="","",J3174-K3174)</f>
        <v/>
      </c>
      <c r="M3174" s="14">
        <f>IF(A3174="","",MONTH(A3174))</f>
        <v/>
      </c>
      <c r="N3174" s="14">
        <f>IF(A3174="","",YEAR(A3174))</f>
        <v/>
      </c>
    </row>
    <row r="3175">
      <c r="A3175" s="15" t="n"/>
      <c r="B3175" s="10" t="n"/>
      <c r="C3175" s="10" t="n"/>
      <c r="D3175" s="10" t="n"/>
      <c r="E3175" s="14">
        <f>IF(D3175="","",IFERROR(INDEX('Sản phẩm'!$B$5:$B$304,MATCH(D3175,'Sản phẩm'!$A$5:$A$304,0)),""))</f>
        <v/>
      </c>
      <c r="F3175" s="12" t="n"/>
      <c r="G3175" s="11" t="n"/>
      <c r="H3175" s="11" t="n"/>
      <c r="I3175" s="16">
        <f>IF(D3175="","",IF(G3175&lt;&gt;"",G3175,IFERROR(INDEX('Sản phẩm'!$E$5:$E$304,MATCH(D3175,'Sản phẩm'!$A$5:$A$304,0)),"")))</f>
        <v/>
      </c>
      <c r="J3175" s="16">
        <f>IF(OR(D3175="",F3175=""),"",F3175*I3175-N(H3175))</f>
        <v/>
      </c>
      <c r="K3175" s="16">
        <f>IF(OR(D3175="",F3175=""),"",F3175*IFERROR(INDEX('Sản phẩm'!$D$5:$D$304,MATCH(D3175,'Sản phẩm'!$A$5:$A$304,0)),""))</f>
        <v/>
      </c>
      <c r="L3175" s="16">
        <f>IF(J3175="","",J3175-K3175)</f>
        <v/>
      </c>
      <c r="M3175" s="14">
        <f>IF(A3175="","",MONTH(A3175))</f>
        <v/>
      </c>
      <c r="N3175" s="14">
        <f>IF(A3175="","",YEAR(A3175))</f>
        <v/>
      </c>
    </row>
    <row r="3176">
      <c r="A3176" s="15" t="n"/>
      <c r="B3176" s="10" t="n"/>
      <c r="C3176" s="10" t="n"/>
      <c r="D3176" s="10" t="n"/>
      <c r="E3176" s="14">
        <f>IF(D3176="","",IFERROR(INDEX('Sản phẩm'!$B$5:$B$304,MATCH(D3176,'Sản phẩm'!$A$5:$A$304,0)),""))</f>
        <v/>
      </c>
      <c r="F3176" s="12" t="n"/>
      <c r="G3176" s="11" t="n"/>
      <c r="H3176" s="11" t="n"/>
      <c r="I3176" s="16">
        <f>IF(D3176="","",IF(G3176&lt;&gt;"",G3176,IFERROR(INDEX('Sản phẩm'!$E$5:$E$304,MATCH(D3176,'Sản phẩm'!$A$5:$A$304,0)),"")))</f>
        <v/>
      </c>
      <c r="J3176" s="16">
        <f>IF(OR(D3176="",F3176=""),"",F3176*I3176-N(H3176))</f>
        <v/>
      </c>
      <c r="K3176" s="16">
        <f>IF(OR(D3176="",F3176=""),"",F3176*IFERROR(INDEX('Sản phẩm'!$D$5:$D$304,MATCH(D3176,'Sản phẩm'!$A$5:$A$304,0)),""))</f>
        <v/>
      </c>
      <c r="L3176" s="16">
        <f>IF(J3176="","",J3176-K3176)</f>
        <v/>
      </c>
      <c r="M3176" s="14">
        <f>IF(A3176="","",MONTH(A3176))</f>
        <v/>
      </c>
      <c r="N3176" s="14">
        <f>IF(A3176="","",YEAR(A3176))</f>
        <v/>
      </c>
    </row>
    <row r="3177">
      <c r="A3177" s="15" t="n"/>
      <c r="B3177" s="10" t="n"/>
      <c r="C3177" s="10" t="n"/>
      <c r="D3177" s="10" t="n"/>
      <c r="E3177" s="14">
        <f>IF(D3177="","",IFERROR(INDEX('Sản phẩm'!$B$5:$B$304,MATCH(D3177,'Sản phẩm'!$A$5:$A$304,0)),""))</f>
        <v/>
      </c>
      <c r="F3177" s="12" t="n"/>
      <c r="G3177" s="11" t="n"/>
      <c r="H3177" s="11" t="n"/>
      <c r="I3177" s="16">
        <f>IF(D3177="","",IF(G3177&lt;&gt;"",G3177,IFERROR(INDEX('Sản phẩm'!$E$5:$E$304,MATCH(D3177,'Sản phẩm'!$A$5:$A$304,0)),"")))</f>
        <v/>
      </c>
      <c r="J3177" s="16">
        <f>IF(OR(D3177="",F3177=""),"",F3177*I3177-N(H3177))</f>
        <v/>
      </c>
      <c r="K3177" s="16">
        <f>IF(OR(D3177="",F3177=""),"",F3177*IFERROR(INDEX('Sản phẩm'!$D$5:$D$304,MATCH(D3177,'Sản phẩm'!$A$5:$A$304,0)),""))</f>
        <v/>
      </c>
      <c r="L3177" s="16">
        <f>IF(J3177="","",J3177-K3177)</f>
        <v/>
      </c>
      <c r="M3177" s="14">
        <f>IF(A3177="","",MONTH(A3177))</f>
        <v/>
      </c>
      <c r="N3177" s="14">
        <f>IF(A3177="","",YEAR(A3177))</f>
        <v/>
      </c>
    </row>
    <row r="3178">
      <c r="A3178" s="15" t="n"/>
      <c r="B3178" s="10" t="n"/>
      <c r="C3178" s="10" t="n"/>
      <c r="D3178" s="10" t="n"/>
      <c r="E3178" s="14">
        <f>IF(D3178="","",IFERROR(INDEX('Sản phẩm'!$B$5:$B$304,MATCH(D3178,'Sản phẩm'!$A$5:$A$304,0)),""))</f>
        <v/>
      </c>
      <c r="F3178" s="12" t="n"/>
      <c r="G3178" s="11" t="n"/>
      <c r="H3178" s="11" t="n"/>
      <c r="I3178" s="16">
        <f>IF(D3178="","",IF(G3178&lt;&gt;"",G3178,IFERROR(INDEX('Sản phẩm'!$E$5:$E$304,MATCH(D3178,'Sản phẩm'!$A$5:$A$304,0)),"")))</f>
        <v/>
      </c>
      <c r="J3178" s="16">
        <f>IF(OR(D3178="",F3178=""),"",F3178*I3178-N(H3178))</f>
        <v/>
      </c>
      <c r="K3178" s="16">
        <f>IF(OR(D3178="",F3178=""),"",F3178*IFERROR(INDEX('Sản phẩm'!$D$5:$D$304,MATCH(D3178,'Sản phẩm'!$A$5:$A$304,0)),""))</f>
        <v/>
      </c>
      <c r="L3178" s="16">
        <f>IF(J3178="","",J3178-K3178)</f>
        <v/>
      </c>
      <c r="M3178" s="14">
        <f>IF(A3178="","",MONTH(A3178))</f>
        <v/>
      </c>
      <c r="N3178" s="14">
        <f>IF(A3178="","",YEAR(A3178))</f>
        <v/>
      </c>
    </row>
    <row r="3179">
      <c r="A3179" s="15" t="n"/>
      <c r="B3179" s="10" t="n"/>
      <c r="C3179" s="10" t="n"/>
      <c r="D3179" s="10" t="n"/>
      <c r="E3179" s="14">
        <f>IF(D3179="","",IFERROR(INDEX('Sản phẩm'!$B$5:$B$304,MATCH(D3179,'Sản phẩm'!$A$5:$A$304,0)),""))</f>
        <v/>
      </c>
      <c r="F3179" s="12" t="n"/>
      <c r="G3179" s="11" t="n"/>
      <c r="H3179" s="11" t="n"/>
      <c r="I3179" s="16">
        <f>IF(D3179="","",IF(G3179&lt;&gt;"",G3179,IFERROR(INDEX('Sản phẩm'!$E$5:$E$304,MATCH(D3179,'Sản phẩm'!$A$5:$A$304,0)),"")))</f>
        <v/>
      </c>
      <c r="J3179" s="16">
        <f>IF(OR(D3179="",F3179=""),"",F3179*I3179-N(H3179))</f>
        <v/>
      </c>
      <c r="K3179" s="16">
        <f>IF(OR(D3179="",F3179=""),"",F3179*IFERROR(INDEX('Sản phẩm'!$D$5:$D$304,MATCH(D3179,'Sản phẩm'!$A$5:$A$304,0)),""))</f>
        <v/>
      </c>
      <c r="L3179" s="16">
        <f>IF(J3179="","",J3179-K3179)</f>
        <v/>
      </c>
      <c r="M3179" s="14">
        <f>IF(A3179="","",MONTH(A3179))</f>
        <v/>
      </c>
      <c r="N3179" s="14">
        <f>IF(A3179="","",YEAR(A3179))</f>
        <v/>
      </c>
    </row>
    <row r="3180">
      <c r="A3180" s="15" t="n"/>
      <c r="B3180" s="10" t="n"/>
      <c r="C3180" s="10" t="n"/>
      <c r="D3180" s="10" t="n"/>
      <c r="E3180" s="14">
        <f>IF(D3180="","",IFERROR(INDEX('Sản phẩm'!$B$5:$B$304,MATCH(D3180,'Sản phẩm'!$A$5:$A$304,0)),""))</f>
        <v/>
      </c>
      <c r="F3180" s="12" t="n"/>
      <c r="G3180" s="11" t="n"/>
      <c r="H3180" s="11" t="n"/>
      <c r="I3180" s="16">
        <f>IF(D3180="","",IF(G3180&lt;&gt;"",G3180,IFERROR(INDEX('Sản phẩm'!$E$5:$E$304,MATCH(D3180,'Sản phẩm'!$A$5:$A$304,0)),"")))</f>
        <v/>
      </c>
      <c r="J3180" s="16">
        <f>IF(OR(D3180="",F3180=""),"",F3180*I3180-N(H3180))</f>
        <v/>
      </c>
      <c r="K3180" s="16">
        <f>IF(OR(D3180="",F3180=""),"",F3180*IFERROR(INDEX('Sản phẩm'!$D$5:$D$304,MATCH(D3180,'Sản phẩm'!$A$5:$A$304,0)),""))</f>
        <v/>
      </c>
      <c r="L3180" s="16">
        <f>IF(J3180="","",J3180-K3180)</f>
        <v/>
      </c>
      <c r="M3180" s="14">
        <f>IF(A3180="","",MONTH(A3180))</f>
        <v/>
      </c>
      <c r="N3180" s="14">
        <f>IF(A3180="","",YEAR(A3180))</f>
        <v/>
      </c>
    </row>
    <row r="3181">
      <c r="A3181" s="15" t="n"/>
      <c r="B3181" s="10" t="n"/>
      <c r="C3181" s="10" t="n"/>
      <c r="D3181" s="10" t="n"/>
      <c r="E3181" s="14">
        <f>IF(D3181="","",IFERROR(INDEX('Sản phẩm'!$B$5:$B$304,MATCH(D3181,'Sản phẩm'!$A$5:$A$304,0)),""))</f>
        <v/>
      </c>
      <c r="F3181" s="12" t="n"/>
      <c r="G3181" s="11" t="n"/>
      <c r="H3181" s="11" t="n"/>
      <c r="I3181" s="16">
        <f>IF(D3181="","",IF(G3181&lt;&gt;"",G3181,IFERROR(INDEX('Sản phẩm'!$E$5:$E$304,MATCH(D3181,'Sản phẩm'!$A$5:$A$304,0)),"")))</f>
        <v/>
      </c>
      <c r="J3181" s="16">
        <f>IF(OR(D3181="",F3181=""),"",F3181*I3181-N(H3181))</f>
        <v/>
      </c>
      <c r="K3181" s="16">
        <f>IF(OR(D3181="",F3181=""),"",F3181*IFERROR(INDEX('Sản phẩm'!$D$5:$D$304,MATCH(D3181,'Sản phẩm'!$A$5:$A$304,0)),""))</f>
        <v/>
      </c>
      <c r="L3181" s="16">
        <f>IF(J3181="","",J3181-K3181)</f>
        <v/>
      </c>
      <c r="M3181" s="14">
        <f>IF(A3181="","",MONTH(A3181))</f>
        <v/>
      </c>
      <c r="N3181" s="14">
        <f>IF(A3181="","",YEAR(A3181))</f>
        <v/>
      </c>
    </row>
    <row r="3182">
      <c r="A3182" s="15" t="n"/>
      <c r="B3182" s="10" t="n"/>
      <c r="C3182" s="10" t="n"/>
      <c r="D3182" s="10" t="n"/>
      <c r="E3182" s="14">
        <f>IF(D3182="","",IFERROR(INDEX('Sản phẩm'!$B$5:$B$304,MATCH(D3182,'Sản phẩm'!$A$5:$A$304,0)),""))</f>
        <v/>
      </c>
      <c r="F3182" s="12" t="n"/>
      <c r="G3182" s="11" t="n"/>
      <c r="H3182" s="11" t="n"/>
      <c r="I3182" s="16">
        <f>IF(D3182="","",IF(G3182&lt;&gt;"",G3182,IFERROR(INDEX('Sản phẩm'!$E$5:$E$304,MATCH(D3182,'Sản phẩm'!$A$5:$A$304,0)),"")))</f>
        <v/>
      </c>
      <c r="J3182" s="16">
        <f>IF(OR(D3182="",F3182=""),"",F3182*I3182-N(H3182))</f>
        <v/>
      </c>
      <c r="K3182" s="16">
        <f>IF(OR(D3182="",F3182=""),"",F3182*IFERROR(INDEX('Sản phẩm'!$D$5:$D$304,MATCH(D3182,'Sản phẩm'!$A$5:$A$304,0)),""))</f>
        <v/>
      </c>
      <c r="L3182" s="16">
        <f>IF(J3182="","",J3182-K3182)</f>
        <v/>
      </c>
      <c r="M3182" s="14">
        <f>IF(A3182="","",MONTH(A3182))</f>
        <v/>
      </c>
      <c r="N3182" s="14">
        <f>IF(A3182="","",YEAR(A3182))</f>
        <v/>
      </c>
    </row>
    <row r="3183">
      <c r="A3183" s="15" t="n"/>
      <c r="B3183" s="10" t="n"/>
      <c r="C3183" s="10" t="n"/>
      <c r="D3183" s="10" t="n"/>
      <c r="E3183" s="14">
        <f>IF(D3183="","",IFERROR(INDEX('Sản phẩm'!$B$5:$B$304,MATCH(D3183,'Sản phẩm'!$A$5:$A$304,0)),""))</f>
        <v/>
      </c>
      <c r="F3183" s="12" t="n"/>
      <c r="G3183" s="11" t="n"/>
      <c r="H3183" s="11" t="n"/>
      <c r="I3183" s="16">
        <f>IF(D3183="","",IF(G3183&lt;&gt;"",G3183,IFERROR(INDEX('Sản phẩm'!$E$5:$E$304,MATCH(D3183,'Sản phẩm'!$A$5:$A$304,0)),"")))</f>
        <v/>
      </c>
      <c r="J3183" s="16">
        <f>IF(OR(D3183="",F3183=""),"",F3183*I3183-N(H3183))</f>
        <v/>
      </c>
      <c r="K3183" s="16">
        <f>IF(OR(D3183="",F3183=""),"",F3183*IFERROR(INDEX('Sản phẩm'!$D$5:$D$304,MATCH(D3183,'Sản phẩm'!$A$5:$A$304,0)),""))</f>
        <v/>
      </c>
      <c r="L3183" s="16">
        <f>IF(J3183="","",J3183-K3183)</f>
        <v/>
      </c>
      <c r="M3183" s="14">
        <f>IF(A3183="","",MONTH(A3183))</f>
        <v/>
      </c>
      <c r="N3183" s="14">
        <f>IF(A3183="","",YEAR(A3183))</f>
        <v/>
      </c>
    </row>
    <row r="3184">
      <c r="A3184" s="15" t="n"/>
      <c r="B3184" s="10" t="n"/>
      <c r="C3184" s="10" t="n"/>
      <c r="D3184" s="10" t="n"/>
      <c r="E3184" s="14">
        <f>IF(D3184="","",IFERROR(INDEX('Sản phẩm'!$B$5:$B$304,MATCH(D3184,'Sản phẩm'!$A$5:$A$304,0)),""))</f>
        <v/>
      </c>
      <c r="F3184" s="12" t="n"/>
      <c r="G3184" s="11" t="n"/>
      <c r="H3184" s="11" t="n"/>
      <c r="I3184" s="16">
        <f>IF(D3184="","",IF(G3184&lt;&gt;"",G3184,IFERROR(INDEX('Sản phẩm'!$E$5:$E$304,MATCH(D3184,'Sản phẩm'!$A$5:$A$304,0)),"")))</f>
        <v/>
      </c>
      <c r="J3184" s="16">
        <f>IF(OR(D3184="",F3184=""),"",F3184*I3184-N(H3184))</f>
        <v/>
      </c>
      <c r="K3184" s="16">
        <f>IF(OR(D3184="",F3184=""),"",F3184*IFERROR(INDEX('Sản phẩm'!$D$5:$D$304,MATCH(D3184,'Sản phẩm'!$A$5:$A$304,0)),""))</f>
        <v/>
      </c>
      <c r="L3184" s="16">
        <f>IF(J3184="","",J3184-K3184)</f>
        <v/>
      </c>
      <c r="M3184" s="14">
        <f>IF(A3184="","",MONTH(A3184))</f>
        <v/>
      </c>
      <c r="N3184" s="14">
        <f>IF(A3184="","",YEAR(A3184))</f>
        <v/>
      </c>
    </row>
    <row r="3185">
      <c r="A3185" s="15" t="n"/>
      <c r="B3185" s="10" t="n"/>
      <c r="C3185" s="10" t="n"/>
      <c r="D3185" s="10" t="n"/>
      <c r="E3185" s="14">
        <f>IF(D3185="","",IFERROR(INDEX('Sản phẩm'!$B$5:$B$304,MATCH(D3185,'Sản phẩm'!$A$5:$A$304,0)),""))</f>
        <v/>
      </c>
      <c r="F3185" s="12" t="n"/>
      <c r="G3185" s="11" t="n"/>
      <c r="H3185" s="11" t="n"/>
      <c r="I3185" s="16">
        <f>IF(D3185="","",IF(G3185&lt;&gt;"",G3185,IFERROR(INDEX('Sản phẩm'!$E$5:$E$304,MATCH(D3185,'Sản phẩm'!$A$5:$A$304,0)),"")))</f>
        <v/>
      </c>
      <c r="J3185" s="16">
        <f>IF(OR(D3185="",F3185=""),"",F3185*I3185-N(H3185))</f>
        <v/>
      </c>
      <c r="K3185" s="16">
        <f>IF(OR(D3185="",F3185=""),"",F3185*IFERROR(INDEX('Sản phẩm'!$D$5:$D$304,MATCH(D3185,'Sản phẩm'!$A$5:$A$304,0)),""))</f>
        <v/>
      </c>
      <c r="L3185" s="16">
        <f>IF(J3185="","",J3185-K3185)</f>
        <v/>
      </c>
      <c r="M3185" s="14">
        <f>IF(A3185="","",MONTH(A3185))</f>
        <v/>
      </c>
      <c r="N3185" s="14">
        <f>IF(A3185="","",YEAR(A3185))</f>
        <v/>
      </c>
    </row>
    <row r="3186">
      <c r="A3186" s="15" t="n"/>
      <c r="B3186" s="10" t="n"/>
      <c r="C3186" s="10" t="n"/>
      <c r="D3186" s="10" t="n"/>
      <c r="E3186" s="14">
        <f>IF(D3186="","",IFERROR(INDEX('Sản phẩm'!$B$5:$B$304,MATCH(D3186,'Sản phẩm'!$A$5:$A$304,0)),""))</f>
        <v/>
      </c>
      <c r="F3186" s="12" t="n"/>
      <c r="G3186" s="11" t="n"/>
      <c r="H3186" s="11" t="n"/>
      <c r="I3186" s="16">
        <f>IF(D3186="","",IF(G3186&lt;&gt;"",G3186,IFERROR(INDEX('Sản phẩm'!$E$5:$E$304,MATCH(D3186,'Sản phẩm'!$A$5:$A$304,0)),"")))</f>
        <v/>
      </c>
      <c r="J3186" s="16">
        <f>IF(OR(D3186="",F3186=""),"",F3186*I3186-N(H3186))</f>
        <v/>
      </c>
      <c r="K3186" s="16">
        <f>IF(OR(D3186="",F3186=""),"",F3186*IFERROR(INDEX('Sản phẩm'!$D$5:$D$304,MATCH(D3186,'Sản phẩm'!$A$5:$A$304,0)),""))</f>
        <v/>
      </c>
      <c r="L3186" s="16">
        <f>IF(J3186="","",J3186-K3186)</f>
        <v/>
      </c>
      <c r="M3186" s="14">
        <f>IF(A3186="","",MONTH(A3186))</f>
        <v/>
      </c>
      <c r="N3186" s="14">
        <f>IF(A3186="","",YEAR(A3186))</f>
        <v/>
      </c>
    </row>
    <row r="3187">
      <c r="A3187" s="15" t="n"/>
      <c r="B3187" s="10" t="n"/>
      <c r="C3187" s="10" t="n"/>
      <c r="D3187" s="10" t="n"/>
      <c r="E3187" s="14">
        <f>IF(D3187="","",IFERROR(INDEX('Sản phẩm'!$B$5:$B$304,MATCH(D3187,'Sản phẩm'!$A$5:$A$304,0)),""))</f>
        <v/>
      </c>
      <c r="F3187" s="12" t="n"/>
      <c r="G3187" s="11" t="n"/>
      <c r="H3187" s="11" t="n"/>
      <c r="I3187" s="16">
        <f>IF(D3187="","",IF(G3187&lt;&gt;"",G3187,IFERROR(INDEX('Sản phẩm'!$E$5:$E$304,MATCH(D3187,'Sản phẩm'!$A$5:$A$304,0)),"")))</f>
        <v/>
      </c>
      <c r="J3187" s="16">
        <f>IF(OR(D3187="",F3187=""),"",F3187*I3187-N(H3187))</f>
        <v/>
      </c>
      <c r="K3187" s="16">
        <f>IF(OR(D3187="",F3187=""),"",F3187*IFERROR(INDEX('Sản phẩm'!$D$5:$D$304,MATCH(D3187,'Sản phẩm'!$A$5:$A$304,0)),""))</f>
        <v/>
      </c>
      <c r="L3187" s="16">
        <f>IF(J3187="","",J3187-K3187)</f>
        <v/>
      </c>
      <c r="M3187" s="14">
        <f>IF(A3187="","",MONTH(A3187))</f>
        <v/>
      </c>
      <c r="N3187" s="14">
        <f>IF(A3187="","",YEAR(A3187))</f>
        <v/>
      </c>
    </row>
    <row r="3188">
      <c r="A3188" s="15" t="n"/>
      <c r="B3188" s="10" t="n"/>
      <c r="C3188" s="10" t="n"/>
      <c r="D3188" s="10" t="n"/>
      <c r="E3188" s="14">
        <f>IF(D3188="","",IFERROR(INDEX('Sản phẩm'!$B$5:$B$304,MATCH(D3188,'Sản phẩm'!$A$5:$A$304,0)),""))</f>
        <v/>
      </c>
      <c r="F3188" s="12" t="n"/>
      <c r="G3188" s="11" t="n"/>
      <c r="H3188" s="11" t="n"/>
      <c r="I3188" s="16">
        <f>IF(D3188="","",IF(G3188&lt;&gt;"",G3188,IFERROR(INDEX('Sản phẩm'!$E$5:$E$304,MATCH(D3188,'Sản phẩm'!$A$5:$A$304,0)),"")))</f>
        <v/>
      </c>
      <c r="J3188" s="16">
        <f>IF(OR(D3188="",F3188=""),"",F3188*I3188-N(H3188))</f>
        <v/>
      </c>
      <c r="K3188" s="16">
        <f>IF(OR(D3188="",F3188=""),"",F3188*IFERROR(INDEX('Sản phẩm'!$D$5:$D$304,MATCH(D3188,'Sản phẩm'!$A$5:$A$304,0)),""))</f>
        <v/>
      </c>
      <c r="L3188" s="16">
        <f>IF(J3188="","",J3188-K3188)</f>
        <v/>
      </c>
      <c r="M3188" s="14">
        <f>IF(A3188="","",MONTH(A3188))</f>
        <v/>
      </c>
      <c r="N3188" s="14">
        <f>IF(A3188="","",YEAR(A3188))</f>
        <v/>
      </c>
    </row>
    <row r="3189">
      <c r="A3189" s="15" t="n"/>
      <c r="B3189" s="10" t="n"/>
      <c r="C3189" s="10" t="n"/>
      <c r="D3189" s="10" t="n"/>
      <c r="E3189" s="14">
        <f>IF(D3189="","",IFERROR(INDEX('Sản phẩm'!$B$5:$B$304,MATCH(D3189,'Sản phẩm'!$A$5:$A$304,0)),""))</f>
        <v/>
      </c>
      <c r="F3189" s="12" t="n"/>
      <c r="G3189" s="11" t="n"/>
      <c r="H3189" s="11" t="n"/>
      <c r="I3189" s="16">
        <f>IF(D3189="","",IF(G3189&lt;&gt;"",G3189,IFERROR(INDEX('Sản phẩm'!$E$5:$E$304,MATCH(D3189,'Sản phẩm'!$A$5:$A$304,0)),"")))</f>
        <v/>
      </c>
      <c r="J3189" s="16">
        <f>IF(OR(D3189="",F3189=""),"",F3189*I3189-N(H3189))</f>
        <v/>
      </c>
      <c r="K3189" s="16">
        <f>IF(OR(D3189="",F3189=""),"",F3189*IFERROR(INDEX('Sản phẩm'!$D$5:$D$304,MATCH(D3189,'Sản phẩm'!$A$5:$A$304,0)),""))</f>
        <v/>
      </c>
      <c r="L3189" s="16">
        <f>IF(J3189="","",J3189-K3189)</f>
        <v/>
      </c>
      <c r="M3189" s="14">
        <f>IF(A3189="","",MONTH(A3189))</f>
        <v/>
      </c>
      <c r="N3189" s="14">
        <f>IF(A3189="","",YEAR(A3189))</f>
        <v/>
      </c>
    </row>
    <row r="3190">
      <c r="A3190" s="15" t="n"/>
      <c r="B3190" s="10" t="n"/>
      <c r="C3190" s="10" t="n"/>
      <c r="D3190" s="10" t="n"/>
      <c r="E3190" s="14">
        <f>IF(D3190="","",IFERROR(INDEX('Sản phẩm'!$B$5:$B$304,MATCH(D3190,'Sản phẩm'!$A$5:$A$304,0)),""))</f>
        <v/>
      </c>
      <c r="F3190" s="12" t="n"/>
      <c r="G3190" s="11" t="n"/>
      <c r="H3190" s="11" t="n"/>
      <c r="I3190" s="16">
        <f>IF(D3190="","",IF(G3190&lt;&gt;"",G3190,IFERROR(INDEX('Sản phẩm'!$E$5:$E$304,MATCH(D3190,'Sản phẩm'!$A$5:$A$304,0)),"")))</f>
        <v/>
      </c>
      <c r="J3190" s="16">
        <f>IF(OR(D3190="",F3190=""),"",F3190*I3190-N(H3190))</f>
        <v/>
      </c>
      <c r="K3190" s="16">
        <f>IF(OR(D3190="",F3190=""),"",F3190*IFERROR(INDEX('Sản phẩm'!$D$5:$D$304,MATCH(D3190,'Sản phẩm'!$A$5:$A$304,0)),""))</f>
        <v/>
      </c>
      <c r="L3190" s="16">
        <f>IF(J3190="","",J3190-K3190)</f>
        <v/>
      </c>
      <c r="M3190" s="14">
        <f>IF(A3190="","",MONTH(A3190))</f>
        <v/>
      </c>
      <c r="N3190" s="14">
        <f>IF(A3190="","",YEAR(A3190))</f>
        <v/>
      </c>
    </row>
    <row r="3191">
      <c r="A3191" s="15" t="n"/>
      <c r="B3191" s="10" t="n"/>
      <c r="C3191" s="10" t="n"/>
      <c r="D3191" s="10" t="n"/>
      <c r="E3191" s="14">
        <f>IF(D3191="","",IFERROR(INDEX('Sản phẩm'!$B$5:$B$304,MATCH(D3191,'Sản phẩm'!$A$5:$A$304,0)),""))</f>
        <v/>
      </c>
      <c r="F3191" s="12" t="n"/>
      <c r="G3191" s="11" t="n"/>
      <c r="H3191" s="11" t="n"/>
      <c r="I3191" s="16">
        <f>IF(D3191="","",IF(G3191&lt;&gt;"",G3191,IFERROR(INDEX('Sản phẩm'!$E$5:$E$304,MATCH(D3191,'Sản phẩm'!$A$5:$A$304,0)),"")))</f>
        <v/>
      </c>
      <c r="J3191" s="16">
        <f>IF(OR(D3191="",F3191=""),"",F3191*I3191-N(H3191))</f>
        <v/>
      </c>
      <c r="K3191" s="16">
        <f>IF(OR(D3191="",F3191=""),"",F3191*IFERROR(INDEX('Sản phẩm'!$D$5:$D$304,MATCH(D3191,'Sản phẩm'!$A$5:$A$304,0)),""))</f>
        <v/>
      </c>
      <c r="L3191" s="16">
        <f>IF(J3191="","",J3191-K3191)</f>
        <v/>
      </c>
      <c r="M3191" s="14">
        <f>IF(A3191="","",MONTH(A3191))</f>
        <v/>
      </c>
      <c r="N3191" s="14">
        <f>IF(A3191="","",YEAR(A3191))</f>
        <v/>
      </c>
    </row>
    <row r="3192">
      <c r="A3192" s="15" t="n"/>
      <c r="B3192" s="10" t="n"/>
      <c r="C3192" s="10" t="n"/>
      <c r="D3192" s="10" t="n"/>
      <c r="E3192" s="14">
        <f>IF(D3192="","",IFERROR(INDEX('Sản phẩm'!$B$5:$B$304,MATCH(D3192,'Sản phẩm'!$A$5:$A$304,0)),""))</f>
        <v/>
      </c>
      <c r="F3192" s="12" t="n"/>
      <c r="G3192" s="11" t="n"/>
      <c r="H3192" s="11" t="n"/>
      <c r="I3192" s="16">
        <f>IF(D3192="","",IF(G3192&lt;&gt;"",G3192,IFERROR(INDEX('Sản phẩm'!$E$5:$E$304,MATCH(D3192,'Sản phẩm'!$A$5:$A$304,0)),"")))</f>
        <v/>
      </c>
      <c r="J3192" s="16">
        <f>IF(OR(D3192="",F3192=""),"",F3192*I3192-N(H3192))</f>
        <v/>
      </c>
      <c r="K3192" s="16">
        <f>IF(OR(D3192="",F3192=""),"",F3192*IFERROR(INDEX('Sản phẩm'!$D$5:$D$304,MATCH(D3192,'Sản phẩm'!$A$5:$A$304,0)),""))</f>
        <v/>
      </c>
      <c r="L3192" s="16">
        <f>IF(J3192="","",J3192-K3192)</f>
        <v/>
      </c>
      <c r="M3192" s="14">
        <f>IF(A3192="","",MONTH(A3192))</f>
        <v/>
      </c>
      <c r="N3192" s="14">
        <f>IF(A3192="","",YEAR(A3192))</f>
        <v/>
      </c>
    </row>
    <row r="3193">
      <c r="A3193" s="15" t="n"/>
      <c r="B3193" s="10" t="n"/>
      <c r="C3193" s="10" t="n"/>
      <c r="D3193" s="10" t="n"/>
      <c r="E3193" s="14">
        <f>IF(D3193="","",IFERROR(INDEX('Sản phẩm'!$B$5:$B$304,MATCH(D3193,'Sản phẩm'!$A$5:$A$304,0)),""))</f>
        <v/>
      </c>
      <c r="F3193" s="12" t="n"/>
      <c r="G3193" s="11" t="n"/>
      <c r="H3193" s="11" t="n"/>
      <c r="I3193" s="16">
        <f>IF(D3193="","",IF(G3193&lt;&gt;"",G3193,IFERROR(INDEX('Sản phẩm'!$E$5:$E$304,MATCH(D3193,'Sản phẩm'!$A$5:$A$304,0)),"")))</f>
        <v/>
      </c>
      <c r="J3193" s="16">
        <f>IF(OR(D3193="",F3193=""),"",F3193*I3193-N(H3193))</f>
        <v/>
      </c>
      <c r="K3193" s="16">
        <f>IF(OR(D3193="",F3193=""),"",F3193*IFERROR(INDEX('Sản phẩm'!$D$5:$D$304,MATCH(D3193,'Sản phẩm'!$A$5:$A$304,0)),""))</f>
        <v/>
      </c>
      <c r="L3193" s="16">
        <f>IF(J3193="","",J3193-K3193)</f>
        <v/>
      </c>
      <c r="M3193" s="14">
        <f>IF(A3193="","",MONTH(A3193))</f>
        <v/>
      </c>
      <c r="N3193" s="14">
        <f>IF(A3193="","",YEAR(A3193))</f>
        <v/>
      </c>
    </row>
    <row r="3194">
      <c r="A3194" s="15" t="n"/>
      <c r="B3194" s="10" t="n"/>
      <c r="C3194" s="10" t="n"/>
      <c r="D3194" s="10" t="n"/>
      <c r="E3194" s="14">
        <f>IF(D3194="","",IFERROR(INDEX('Sản phẩm'!$B$5:$B$304,MATCH(D3194,'Sản phẩm'!$A$5:$A$304,0)),""))</f>
        <v/>
      </c>
      <c r="F3194" s="12" t="n"/>
      <c r="G3194" s="11" t="n"/>
      <c r="H3194" s="11" t="n"/>
      <c r="I3194" s="16">
        <f>IF(D3194="","",IF(G3194&lt;&gt;"",G3194,IFERROR(INDEX('Sản phẩm'!$E$5:$E$304,MATCH(D3194,'Sản phẩm'!$A$5:$A$304,0)),"")))</f>
        <v/>
      </c>
      <c r="J3194" s="16">
        <f>IF(OR(D3194="",F3194=""),"",F3194*I3194-N(H3194))</f>
        <v/>
      </c>
      <c r="K3194" s="16">
        <f>IF(OR(D3194="",F3194=""),"",F3194*IFERROR(INDEX('Sản phẩm'!$D$5:$D$304,MATCH(D3194,'Sản phẩm'!$A$5:$A$304,0)),""))</f>
        <v/>
      </c>
      <c r="L3194" s="16">
        <f>IF(J3194="","",J3194-K3194)</f>
        <v/>
      </c>
      <c r="M3194" s="14">
        <f>IF(A3194="","",MONTH(A3194))</f>
        <v/>
      </c>
      <c r="N3194" s="14">
        <f>IF(A3194="","",YEAR(A3194))</f>
        <v/>
      </c>
    </row>
    <row r="3195">
      <c r="A3195" s="15" t="n"/>
      <c r="B3195" s="10" t="n"/>
      <c r="C3195" s="10" t="n"/>
      <c r="D3195" s="10" t="n"/>
      <c r="E3195" s="14">
        <f>IF(D3195="","",IFERROR(INDEX('Sản phẩm'!$B$5:$B$304,MATCH(D3195,'Sản phẩm'!$A$5:$A$304,0)),""))</f>
        <v/>
      </c>
      <c r="F3195" s="12" t="n"/>
      <c r="G3195" s="11" t="n"/>
      <c r="H3195" s="11" t="n"/>
      <c r="I3195" s="16">
        <f>IF(D3195="","",IF(G3195&lt;&gt;"",G3195,IFERROR(INDEX('Sản phẩm'!$E$5:$E$304,MATCH(D3195,'Sản phẩm'!$A$5:$A$304,0)),"")))</f>
        <v/>
      </c>
      <c r="J3195" s="16">
        <f>IF(OR(D3195="",F3195=""),"",F3195*I3195-N(H3195))</f>
        <v/>
      </c>
      <c r="K3195" s="16">
        <f>IF(OR(D3195="",F3195=""),"",F3195*IFERROR(INDEX('Sản phẩm'!$D$5:$D$304,MATCH(D3195,'Sản phẩm'!$A$5:$A$304,0)),""))</f>
        <v/>
      </c>
      <c r="L3195" s="16">
        <f>IF(J3195="","",J3195-K3195)</f>
        <v/>
      </c>
      <c r="M3195" s="14">
        <f>IF(A3195="","",MONTH(A3195))</f>
        <v/>
      </c>
      <c r="N3195" s="14">
        <f>IF(A3195="","",YEAR(A3195))</f>
        <v/>
      </c>
    </row>
    <row r="3196">
      <c r="A3196" s="15" t="n"/>
      <c r="B3196" s="10" t="n"/>
      <c r="C3196" s="10" t="n"/>
      <c r="D3196" s="10" t="n"/>
      <c r="E3196" s="14">
        <f>IF(D3196="","",IFERROR(INDEX('Sản phẩm'!$B$5:$B$304,MATCH(D3196,'Sản phẩm'!$A$5:$A$304,0)),""))</f>
        <v/>
      </c>
      <c r="F3196" s="12" t="n"/>
      <c r="G3196" s="11" t="n"/>
      <c r="H3196" s="11" t="n"/>
      <c r="I3196" s="16">
        <f>IF(D3196="","",IF(G3196&lt;&gt;"",G3196,IFERROR(INDEX('Sản phẩm'!$E$5:$E$304,MATCH(D3196,'Sản phẩm'!$A$5:$A$304,0)),"")))</f>
        <v/>
      </c>
      <c r="J3196" s="16">
        <f>IF(OR(D3196="",F3196=""),"",F3196*I3196-N(H3196))</f>
        <v/>
      </c>
      <c r="K3196" s="16">
        <f>IF(OR(D3196="",F3196=""),"",F3196*IFERROR(INDEX('Sản phẩm'!$D$5:$D$304,MATCH(D3196,'Sản phẩm'!$A$5:$A$304,0)),""))</f>
        <v/>
      </c>
      <c r="L3196" s="16">
        <f>IF(J3196="","",J3196-K3196)</f>
        <v/>
      </c>
      <c r="M3196" s="14">
        <f>IF(A3196="","",MONTH(A3196))</f>
        <v/>
      </c>
      <c r="N3196" s="14">
        <f>IF(A3196="","",YEAR(A3196))</f>
        <v/>
      </c>
    </row>
    <row r="3197">
      <c r="A3197" s="15" t="n"/>
      <c r="B3197" s="10" t="n"/>
      <c r="C3197" s="10" t="n"/>
      <c r="D3197" s="10" t="n"/>
      <c r="E3197" s="14">
        <f>IF(D3197="","",IFERROR(INDEX('Sản phẩm'!$B$5:$B$304,MATCH(D3197,'Sản phẩm'!$A$5:$A$304,0)),""))</f>
        <v/>
      </c>
      <c r="F3197" s="12" t="n"/>
      <c r="G3197" s="11" t="n"/>
      <c r="H3197" s="11" t="n"/>
      <c r="I3197" s="16">
        <f>IF(D3197="","",IF(G3197&lt;&gt;"",G3197,IFERROR(INDEX('Sản phẩm'!$E$5:$E$304,MATCH(D3197,'Sản phẩm'!$A$5:$A$304,0)),"")))</f>
        <v/>
      </c>
      <c r="J3197" s="16">
        <f>IF(OR(D3197="",F3197=""),"",F3197*I3197-N(H3197))</f>
        <v/>
      </c>
      <c r="K3197" s="16">
        <f>IF(OR(D3197="",F3197=""),"",F3197*IFERROR(INDEX('Sản phẩm'!$D$5:$D$304,MATCH(D3197,'Sản phẩm'!$A$5:$A$304,0)),""))</f>
        <v/>
      </c>
      <c r="L3197" s="16">
        <f>IF(J3197="","",J3197-K3197)</f>
        <v/>
      </c>
      <c r="M3197" s="14">
        <f>IF(A3197="","",MONTH(A3197))</f>
        <v/>
      </c>
      <c r="N3197" s="14">
        <f>IF(A3197="","",YEAR(A3197))</f>
        <v/>
      </c>
    </row>
    <row r="3198">
      <c r="A3198" s="15" t="n"/>
      <c r="B3198" s="10" t="n"/>
      <c r="C3198" s="10" t="n"/>
      <c r="D3198" s="10" t="n"/>
      <c r="E3198" s="14">
        <f>IF(D3198="","",IFERROR(INDEX('Sản phẩm'!$B$5:$B$304,MATCH(D3198,'Sản phẩm'!$A$5:$A$304,0)),""))</f>
        <v/>
      </c>
      <c r="F3198" s="12" t="n"/>
      <c r="G3198" s="11" t="n"/>
      <c r="H3198" s="11" t="n"/>
      <c r="I3198" s="16">
        <f>IF(D3198="","",IF(G3198&lt;&gt;"",G3198,IFERROR(INDEX('Sản phẩm'!$E$5:$E$304,MATCH(D3198,'Sản phẩm'!$A$5:$A$304,0)),"")))</f>
        <v/>
      </c>
      <c r="J3198" s="16">
        <f>IF(OR(D3198="",F3198=""),"",F3198*I3198-N(H3198))</f>
        <v/>
      </c>
      <c r="K3198" s="16">
        <f>IF(OR(D3198="",F3198=""),"",F3198*IFERROR(INDEX('Sản phẩm'!$D$5:$D$304,MATCH(D3198,'Sản phẩm'!$A$5:$A$304,0)),""))</f>
        <v/>
      </c>
      <c r="L3198" s="16">
        <f>IF(J3198="","",J3198-K3198)</f>
        <v/>
      </c>
      <c r="M3198" s="14">
        <f>IF(A3198="","",MONTH(A3198))</f>
        <v/>
      </c>
      <c r="N3198" s="14">
        <f>IF(A3198="","",YEAR(A3198))</f>
        <v/>
      </c>
    </row>
    <row r="3199">
      <c r="A3199" s="15" t="n"/>
      <c r="B3199" s="10" t="n"/>
      <c r="C3199" s="10" t="n"/>
      <c r="D3199" s="10" t="n"/>
      <c r="E3199" s="14">
        <f>IF(D3199="","",IFERROR(INDEX('Sản phẩm'!$B$5:$B$304,MATCH(D3199,'Sản phẩm'!$A$5:$A$304,0)),""))</f>
        <v/>
      </c>
      <c r="F3199" s="12" t="n"/>
      <c r="G3199" s="11" t="n"/>
      <c r="H3199" s="11" t="n"/>
      <c r="I3199" s="16">
        <f>IF(D3199="","",IF(G3199&lt;&gt;"",G3199,IFERROR(INDEX('Sản phẩm'!$E$5:$E$304,MATCH(D3199,'Sản phẩm'!$A$5:$A$304,0)),"")))</f>
        <v/>
      </c>
      <c r="J3199" s="16">
        <f>IF(OR(D3199="",F3199=""),"",F3199*I3199-N(H3199))</f>
        <v/>
      </c>
      <c r="K3199" s="16">
        <f>IF(OR(D3199="",F3199=""),"",F3199*IFERROR(INDEX('Sản phẩm'!$D$5:$D$304,MATCH(D3199,'Sản phẩm'!$A$5:$A$304,0)),""))</f>
        <v/>
      </c>
      <c r="L3199" s="16">
        <f>IF(J3199="","",J3199-K3199)</f>
        <v/>
      </c>
      <c r="M3199" s="14">
        <f>IF(A3199="","",MONTH(A3199))</f>
        <v/>
      </c>
      <c r="N3199" s="14">
        <f>IF(A3199="","",YEAR(A3199))</f>
        <v/>
      </c>
    </row>
    <row r="3200">
      <c r="A3200" s="15" t="n"/>
      <c r="B3200" s="10" t="n"/>
      <c r="C3200" s="10" t="n"/>
      <c r="D3200" s="10" t="n"/>
      <c r="E3200" s="14">
        <f>IF(D3200="","",IFERROR(INDEX('Sản phẩm'!$B$5:$B$304,MATCH(D3200,'Sản phẩm'!$A$5:$A$304,0)),""))</f>
        <v/>
      </c>
      <c r="F3200" s="12" t="n"/>
      <c r="G3200" s="11" t="n"/>
      <c r="H3200" s="11" t="n"/>
      <c r="I3200" s="16">
        <f>IF(D3200="","",IF(G3200&lt;&gt;"",G3200,IFERROR(INDEX('Sản phẩm'!$E$5:$E$304,MATCH(D3200,'Sản phẩm'!$A$5:$A$304,0)),"")))</f>
        <v/>
      </c>
      <c r="J3200" s="16">
        <f>IF(OR(D3200="",F3200=""),"",F3200*I3200-N(H3200))</f>
        <v/>
      </c>
      <c r="K3200" s="16">
        <f>IF(OR(D3200="",F3200=""),"",F3200*IFERROR(INDEX('Sản phẩm'!$D$5:$D$304,MATCH(D3200,'Sản phẩm'!$A$5:$A$304,0)),""))</f>
        <v/>
      </c>
      <c r="L3200" s="16">
        <f>IF(J3200="","",J3200-K3200)</f>
        <v/>
      </c>
      <c r="M3200" s="14">
        <f>IF(A3200="","",MONTH(A3200))</f>
        <v/>
      </c>
      <c r="N3200" s="14">
        <f>IF(A3200="","",YEAR(A3200))</f>
        <v/>
      </c>
    </row>
    <row r="3201">
      <c r="A3201" s="15" t="n"/>
      <c r="B3201" s="10" t="n"/>
      <c r="C3201" s="10" t="n"/>
      <c r="D3201" s="10" t="n"/>
      <c r="E3201" s="14">
        <f>IF(D3201="","",IFERROR(INDEX('Sản phẩm'!$B$5:$B$304,MATCH(D3201,'Sản phẩm'!$A$5:$A$304,0)),""))</f>
        <v/>
      </c>
      <c r="F3201" s="12" t="n"/>
      <c r="G3201" s="11" t="n"/>
      <c r="H3201" s="11" t="n"/>
      <c r="I3201" s="16">
        <f>IF(D3201="","",IF(G3201&lt;&gt;"",G3201,IFERROR(INDEX('Sản phẩm'!$E$5:$E$304,MATCH(D3201,'Sản phẩm'!$A$5:$A$304,0)),"")))</f>
        <v/>
      </c>
      <c r="J3201" s="16">
        <f>IF(OR(D3201="",F3201=""),"",F3201*I3201-N(H3201))</f>
        <v/>
      </c>
      <c r="K3201" s="16">
        <f>IF(OR(D3201="",F3201=""),"",F3201*IFERROR(INDEX('Sản phẩm'!$D$5:$D$304,MATCH(D3201,'Sản phẩm'!$A$5:$A$304,0)),""))</f>
        <v/>
      </c>
      <c r="L3201" s="16">
        <f>IF(J3201="","",J3201-K3201)</f>
        <v/>
      </c>
      <c r="M3201" s="14">
        <f>IF(A3201="","",MONTH(A3201))</f>
        <v/>
      </c>
      <c r="N3201" s="14">
        <f>IF(A3201="","",YEAR(A3201))</f>
        <v/>
      </c>
    </row>
    <row r="3202">
      <c r="A3202" s="15" t="n"/>
      <c r="B3202" s="10" t="n"/>
      <c r="C3202" s="10" t="n"/>
      <c r="D3202" s="10" t="n"/>
      <c r="E3202" s="14">
        <f>IF(D3202="","",IFERROR(INDEX('Sản phẩm'!$B$5:$B$304,MATCH(D3202,'Sản phẩm'!$A$5:$A$304,0)),""))</f>
        <v/>
      </c>
      <c r="F3202" s="12" t="n"/>
      <c r="G3202" s="11" t="n"/>
      <c r="H3202" s="11" t="n"/>
      <c r="I3202" s="16">
        <f>IF(D3202="","",IF(G3202&lt;&gt;"",G3202,IFERROR(INDEX('Sản phẩm'!$E$5:$E$304,MATCH(D3202,'Sản phẩm'!$A$5:$A$304,0)),"")))</f>
        <v/>
      </c>
      <c r="J3202" s="16">
        <f>IF(OR(D3202="",F3202=""),"",F3202*I3202-N(H3202))</f>
        <v/>
      </c>
      <c r="K3202" s="16">
        <f>IF(OR(D3202="",F3202=""),"",F3202*IFERROR(INDEX('Sản phẩm'!$D$5:$D$304,MATCH(D3202,'Sản phẩm'!$A$5:$A$304,0)),""))</f>
        <v/>
      </c>
      <c r="L3202" s="16">
        <f>IF(J3202="","",J3202-K3202)</f>
        <v/>
      </c>
      <c r="M3202" s="14">
        <f>IF(A3202="","",MONTH(A3202))</f>
        <v/>
      </c>
      <c r="N3202" s="14">
        <f>IF(A3202="","",YEAR(A3202))</f>
        <v/>
      </c>
    </row>
    <row r="3203">
      <c r="A3203" s="15" t="n"/>
      <c r="B3203" s="10" t="n"/>
      <c r="C3203" s="10" t="n"/>
      <c r="D3203" s="10" t="n"/>
      <c r="E3203" s="14">
        <f>IF(D3203="","",IFERROR(INDEX('Sản phẩm'!$B$5:$B$304,MATCH(D3203,'Sản phẩm'!$A$5:$A$304,0)),""))</f>
        <v/>
      </c>
      <c r="F3203" s="12" t="n"/>
      <c r="G3203" s="11" t="n"/>
      <c r="H3203" s="11" t="n"/>
      <c r="I3203" s="16">
        <f>IF(D3203="","",IF(G3203&lt;&gt;"",G3203,IFERROR(INDEX('Sản phẩm'!$E$5:$E$304,MATCH(D3203,'Sản phẩm'!$A$5:$A$304,0)),"")))</f>
        <v/>
      </c>
      <c r="J3203" s="16">
        <f>IF(OR(D3203="",F3203=""),"",F3203*I3203-N(H3203))</f>
        <v/>
      </c>
      <c r="K3203" s="16">
        <f>IF(OR(D3203="",F3203=""),"",F3203*IFERROR(INDEX('Sản phẩm'!$D$5:$D$304,MATCH(D3203,'Sản phẩm'!$A$5:$A$304,0)),""))</f>
        <v/>
      </c>
      <c r="L3203" s="16">
        <f>IF(J3203="","",J3203-K3203)</f>
        <v/>
      </c>
      <c r="M3203" s="14">
        <f>IF(A3203="","",MONTH(A3203))</f>
        <v/>
      </c>
      <c r="N3203" s="14">
        <f>IF(A3203="","",YEAR(A3203))</f>
        <v/>
      </c>
    </row>
    <row r="3204">
      <c r="A3204" s="15" t="n"/>
      <c r="B3204" s="10" t="n"/>
      <c r="C3204" s="10" t="n"/>
      <c r="D3204" s="10" t="n"/>
      <c r="E3204" s="14">
        <f>IF(D3204="","",IFERROR(INDEX('Sản phẩm'!$B$5:$B$304,MATCH(D3204,'Sản phẩm'!$A$5:$A$304,0)),""))</f>
        <v/>
      </c>
      <c r="F3204" s="12" t="n"/>
      <c r="G3204" s="11" t="n"/>
      <c r="H3204" s="11" t="n"/>
      <c r="I3204" s="16">
        <f>IF(D3204="","",IF(G3204&lt;&gt;"",G3204,IFERROR(INDEX('Sản phẩm'!$E$5:$E$304,MATCH(D3204,'Sản phẩm'!$A$5:$A$304,0)),"")))</f>
        <v/>
      </c>
      <c r="J3204" s="16">
        <f>IF(OR(D3204="",F3204=""),"",F3204*I3204-N(H3204))</f>
        <v/>
      </c>
      <c r="K3204" s="16">
        <f>IF(OR(D3204="",F3204=""),"",F3204*IFERROR(INDEX('Sản phẩm'!$D$5:$D$304,MATCH(D3204,'Sản phẩm'!$A$5:$A$304,0)),""))</f>
        <v/>
      </c>
      <c r="L3204" s="16">
        <f>IF(J3204="","",J3204-K3204)</f>
        <v/>
      </c>
      <c r="M3204" s="14">
        <f>IF(A3204="","",MONTH(A3204))</f>
        <v/>
      </c>
      <c r="N3204" s="14">
        <f>IF(A3204="","",YEAR(A3204))</f>
        <v/>
      </c>
    </row>
    <row r="3205">
      <c r="A3205" s="15" t="n"/>
      <c r="B3205" s="10" t="n"/>
      <c r="C3205" s="10" t="n"/>
      <c r="D3205" s="10" t="n"/>
      <c r="E3205" s="14">
        <f>IF(D3205="","",IFERROR(INDEX('Sản phẩm'!$B$5:$B$304,MATCH(D3205,'Sản phẩm'!$A$5:$A$304,0)),""))</f>
        <v/>
      </c>
      <c r="F3205" s="12" t="n"/>
      <c r="G3205" s="11" t="n"/>
      <c r="H3205" s="11" t="n"/>
      <c r="I3205" s="16">
        <f>IF(D3205="","",IF(G3205&lt;&gt;"",G3205,IFERROR(INDEX('Sản phẩm'!$E$5:$E$304,MATCH(D3205,'Sản phẩm'!$A$5:$A$304,0)),"")))</f>
        <v/>
      </c>
      <c r="J3205" s="16">
        <f>IF(OR(D3205="",F3205=""),"",F3205*I3205-N(H3205))</f>
        <v/>
      </c>
      <c r="K3205" s="16">
        <f>IF(OR(D3205="",F3205=""),"",F3205*IFERROR(INDEX('Sản phẩm'!$D$5:$D$304,MATCH(D3205,'Sản phẩm'!$A$5:$A$304,0)),""))</f>
        <v/>
      </c>
      <c r="L3205" s="16">
        <f>IF(J3205="","",J3205-K3205)</f>
        <v/>
      </c>
      <c r="M3205" s="14">
        <f>IF(A3205="","",MONTH(A3205))</f>
        <v/>
      </c>
      <c r="N3205" s="14">
        <f>IF(A3205="","",YEAR(A3205))</f>
        <v/>
      </c>
    </row>
    <row r="3206">
      <c r="A3206" s="15" t="n"/>
      <c r="B3206" s="10" t="n"/>
      <c r="C3206" s="10" t="n"/>
      <c r="D3206" s="10" t="n"/>
      <c r="E3206" s="14">
        <f>IF(D3206="","",IFERROR(INDEX('Sản phẩm'!$B$5:$B$304,MATCH(D3206,'Sản phẩm'!$A$5:$A$304,0)),""))</f>
        <v/>
      </c>
      <c r="F3206" s="12" t="n"/>
      <c r="G3206" s="11" t="n"/>
      <c r="H3206" s="11" t="n"/>
      <c r="I3206" s="16">
        <f>IF(D3206="","",IF(G3206&lt;&gt;"",G3206,IFERROR(INDEX('Sản phẩm'!$E$5:$E$304,MATCH(D3206,'Sản phẩm'!$A$5:$A$304,0)),"")))</f>
        <v/>
      </c>
      <c r="J3206" s="16">
        <f>IF(OR(D3206="",F3206=""),"",F3206*I3206-N(H3206))</f>
        <v/>
      </c>
      <c r="K3206" s="16">
        <f>IF(OR(D3206="",F3206=""),"",F3206*IFERROR(INDEX('Sản phẩm'!$D$5:$D$304,MATCH(D3206,'Sản phẩm'!$A$5:$A$304,0)),""))</f>
        <v/>
      </c>
      <c r="L3206" s="16">
        <f>IF(J3206="","",J3206-K3206)</f>
        <v/>
      </c>
      <c r="M3206" s="14">
        <f>IF(A3206="","",MONTH(A3206))</f>
        <v/>
      </c>
      <c r="N3206" s="14">
        <f>IF(A3206="","",YEAR(A3206))</f>
        <v/>
      </c>
    </row>
    <row r="3207">
      <c r="A3207" s="15" t="n"/>
      <c r="B3207" s="10" t="n"/>
      <c r="C3207" s="10" t="n"/>
      <c r="D3207" s="10" t="n"/>
      <c r="E3207" s="14">
        <f>IF(D3207="","",IFERROR(INDEX('Sản phẩm'!$B$5:$B$304,MATCH(D3207,'Sản phẩm'!$A$5:$A$304,0)),""))</f>
        <v/>
      </c>
      <c r="F3207" s="12" t="n"/>
      <c r="G3207" s="11" t="n"/>
      <c r="H3207" s="11" t="n"/>
      <c r="I3207" s="16">
        <f>IF(D3207="","",IF(G3207&lt;&gt;"",G3207,IFERROR(INDEX('Sản phẩm'!$E$5:$E$304,MATCH(D3207,'Sản phẩm'!$A$5:$A$304,0)),"")))</f>
        <v/>
      </c>
      <c r="J3207" s="16">
        <f>IF(OR(D3207="",F3207=""),"",F3207*I3207-N(H3207))</f>
        <v/>
      </c>
      <c r="K3207" s="16">
        <f>IF(OR(D3207="",F3207=""),"",F3207*IFERROR(INDEX('Sản phẩm'!$D$5:$D$304,MATCH(D3207,'Sản phẩm'!$A$5:$A$304,0)),""))</f>
        <v/>
      </c>
      <c r="L3207" s="16">
        <f>IF(J3207="","",J3207-K3207)</f>
        <v/>
      </c>
      <c r="M3207" s="14">
        <f>IF(A3207="","",MONTH(A3207))</f>
        <v/>
      </c>
      <c r="N3207" s="14">
        <f>IF(A3207="","",YEAR(A3207))</f>
        <v/>
      </c>
    </row>
    <row r="3208">
      <c r="A3208" s="15" t="n"/>
      <c r="B3208" s="10" t="n"/>
      <c r="C3208" s="10" t="n"/>
      <c r="D3208" s="10" t="n"/>
      <c r="E3208" s="14">
        <f>IF(D3208="","",IFERROR(INDEX('Sản phẩm'!$B$5:$B$304,MATCH(D3208,'Sản phẩm'!$A$5:$A$304,0)),""))</f>
        <v/>
      </c>
      <c r="F3208" s="12" t="n"/>
      <c r="G3208" s="11" t="n"/>
      <c r="H3208" s="11" t="n"/>
      <c r="I3208" s="16">
        <f>IF(D3208="","",IF(G3208&lt;&gt;"",G3208,IFERROR(INDEX('Sản phẩm'!$E$5:$E$304,MATCH(D3208,'Sản phẩm'!$A$5:$A$304,0)),"")))</f>
        <v/>
      </c>
      <c r="J3208" s="16">
        <f>IF(OR(D3208="",F3208=""),"",F3208*I3208-N(H3208))</f>
        <v/>
      </c>
      <c r="K3208" s="16">
        <f>IF(OR(D3208="",F3208=""),"",F3208*IFERROR(INDEX('Sản phẩm'!$D$5:$D$304,MATCH(D3208,'Sản phẩm'!$A$5:$A$304,0)),""))</f>
        <v/>
      </c>
      <c r="L3208" s="16">
        <f>IF(J3208="","",J3208-K3208)</f>
        <v/>
      </c>
      <c r="M3208" s="14">
        <f>IF(A3208="","",MONTH(A3208))</f>
        <v/>
      </c>
      <c r="N3208" s="14">
        <f>IF(A3208="","",YEAR(A3208))</f>
        <v/>
      </c>
    </row>
    <row r="3209">
      <c r="A3209" s="15" t="n"/>
      <c r="B3209" s="10" t="n"/>
      <c r="C3209" s="10" t="n"/>
      <c r="D3209" s="10" t="n"/>
      <c r="E3209" s="14">
        <f>IF(D3209="","",IFERROR(INDEX('Sản phẩm'!$B$5:$B$304,MATCH(D3209,'Sản phẩm'!$A$5:$A$304,0)),""))</f>
        <v/>
      </c>
      <c r="F3209" s="12" t="n"/>
      <c r="G3209" s="11" t="n"/>
      <c r="H3209" s="11" t="n"/>
      <c r="I3209" s="16">
        <f>IF(D3209="","",IF(G3209&lt;&gt;"",G3209,IFERROR(INDEX('Sản phẩm'!$E$5:$E$304,MATCH(D3209,'Sản phẩm'!$A$5:$A$304,0)),"")))</f>
        <v/>
      </c>
      <c r="J3209" s="16">
        <f>IF(OR(D3209="",F3209=""),"",F3209*I3209-N(H3209))</f>
        <v/>
      </c>
      <c r="K3209" s="16">
        <f>IF(OR(D3209="",F3209=""),"",F3209*IFERROR(INDEX('Sản phẩm'!$D$5:$D$304,MATCH(D3209,'Sản phẩm'!$A$5:$A$304,0)),""))</f>
        <v/>
      </c>
      <c r="L3209" s="16">
        <f>IF(J3209="","",J3209-K3209)</f>
        <v/>
      </c>
      <c r="M3209" s="14">
        <f>IF(A3209="","",MONTH(A3209))</f>
        <v/>
      </c>
      <c r="N3209" s="14">
        <f>IF(A3209="","",YEAR(A3209))</f>
        <v/>
      </c>
    </row>
    <row r="3210">
      <c r="A3210" s="15" t="n"/>
      <c r="B3210" s="10" t="n"/>
      <c r="C3210" s="10" t="n"/>
      <c r="D3210" s="10" t="n"/>
      <c r="E3210" s="14">
        <f>IF(D3210="","",IFERROR(INDEX('Sản phẩm'!$B$5:$B$304,MATCH(D3210,'Sản phẩm'!$A$5:$A$304,0)),""))</f>
        <v/>
      </c>
      <c r="F3210" s="12" t="n"/>
      <c r="G3210" s="11" t="n"/>
      <c r="H3210" s="11" t="n"/>
      <c r="I3210" s="16">
        <f>IF(D3210="","",IF(G3210&lt;&gt;"",G3210,IFERROR(INDEX('Sản phẩm'!$E$5:$E$304,MATCH(D3210,'Sản phẩm'!$A$5:$A$304,0)),"")))</f>
        <v/>
      </c>
      <c r="J3210" s="16">
        <f>IF(OR(D3210="",F3210=""),"",F3210*I3210-N(H3210))</f>
        <v/>
      </c>
      <c r="K3210" s="16">
        <f>IF(OR(D3210="",F3210=""),"",F3210*IFERROR(INDEX('Sản phẩm'!$D$5:$D$304,MATCH(D3210,'Sản phẩm'!$A$5:$A$304,0)),""))</f>
        <v/>
      </c>
      <c r="L3210" s="16">
        <f>IF(J3210="","",J3210-K3210)</f>
        <v/>
      </c>
      <c r="M3210" s="14">
        <f>IF(A3210="","",MONTH(A3210))</f>
        <v/>
      </c>
      <c r="N3210" s="14">
        <f>IF(A3210="","",YEAR(A3210))</f>
        <v/>
      </c>
    </row>
    <row r="3211">
      <c r="A3211" s="15" t="n"/>
      <c r="B3211" s="10" t="n"/>
      <c r="C3211" s="10" t="n"/>
      <c r="D3211" s="10" t="n"/>
      <c r="E3211" s="14">
        <f>IF(D3211="","",IFERROR(INDEX('Sản phẩm'!$B$5:$B$304,MATCH(D3211,'Sản phẩm'!$A$5:$A$304,0)),""))</f>
        <v/>
      </c>
      <c r="F3211" s="12" t="n"/>
      <c r="G3211" s="11" t="n"/>
      <c r="H3211" s="11" t="n"/>
      <c r="I3211" s="16">
        <f>IF(D3211="","",IF(G3211&lt;&gt;"",G3211,IFERROR(INDEX('Sản phẩm'!$E$5:$E$304,MATCH(D3211,'Sản phẩm'!$A$5:$A$304,0)),"")))</f>
        <v/>
      </c>
      <c r="J3211" s="16">
        <f>IF(OR(D3211="",F3211=""),"",F3211*I3211-N(H3211))</f>
        <v/>
      </c>
      <c r="K3211" s="16">
        <f>IF(OR(D3211="",F3211=""),"",F3211*IFERROR(INDEX('Sản phẩm'!$D$5:$D$304,MATCH(D3211,'Sản phẩm'!$A$5:$A$304,0)),""))</f>
        <v/>
      </c>
      <c r="L3211" s="16">
        <f>IF(J3211="","",J3211-K3211)</f>
        <v/>
      </c>
      <c r="M3211" s="14">
        <f>IF(A3211="","",MONTH(A3211))</f>
        <v/>
      </c>
      <c r="N3211" s="14">
        <f>IF(A3211="","",YEAR(A3211))</f>
        <v/>
      </c>
    </row>
    <row r="3212">
      <c r="A3212" s="15" t="n"/>
      <c r="B3212" s="10" t="n"/>
      <c r="C3212" s="10" t="n"/>
      <c r="D3212" s="10" t="n"/>
      <c r="E3212" s="14">
        <f>IF(D3212="","",IFERROR(INDEX('Sản phẩm'!$B$5:$B$304,MATCH(D3212,'Sản phẩm'!$A$5:$A$304,0)),""))</f>
        <v/>
      </c>
      <c r="F3212" s="12" t="n"/>
      <c r="G3212" s="11" t="n"/>
      <c r="H3212" s="11" t="n"/>
      <c r="I3212" s="16">
        <f>IF(D3212="","",IF(G3212&lt;&gt;"",G3212,IFERROR(INDEX('Sản phẩm'!$E$5:$E$304,MATCH(D3212,'Sản phẩm'!$A$5:$A$304,0)),"")))</f>
        <v/>
      </c>
      <c r="J3212" s="16">
        <f>IF(OR(D3212="",F3212=""),"",F3212*I3212-N(H3212))</f>
        <v/>
      </c>
      <c r="K3212" s="16">
        <f>IF(OR(D3212="",F3212=""),"",F3212*IFERROR(INDEX('Sản phẩm'!$D$5:$D$304,MATCH(D3212,'Sản phẩm'!$A$5:$A$304,0)),""))</f>
        <v/>
      </c>
      <c r="L3212" s="16">
        <f>IF(J3212="","",J3212-K3212)</f>
        <v/>
      </c>
      <c r="M3212" s="14">
        <f>IF(A3212="","",MONTH(A3212))</f>
        <v/>
      </c>
      <c r="N3212" s="14">
        <f>IF(A3212="","",YEAR(A3212))</f>
        <v/>
      </c>
    </row>
    <row r="3213">
      <c r="A3213" s="15" t="n"/>
      <c r="B3213" s="10" t="n"/>
      <c r="C3213" s="10" t="n"/>
      <c r="D3213" s="10" t="n"/>
      <c r="E3213" s="14">
        <f>IF(D3213="","",IFERROR(INDEX('Sản phẩm'!$B$5:$B$304,MATCH(D3213,'Sản phẩm'!$A$5:$A$304,0)),""))</f>
        <v/>
      </c>
      <c r="F3213" s="12" t="n"/>
      <c r="G3213" s="11" t="n"/>
      <c r="H3213" s="11" t="n"/>
      <c r="I3213" s="16">
        <f>IF(D3213="","",IF(G3213&lt;&gt;"",G3213,IFERROR(INDEX('Sản phẩm'!$E$5:$E$304,MATCH(D3213,'Sản phẩm'!$A$5:$A$304,0)),"")))</f>
        <v/>
      </c>
      <c r="J3213" s="16">
        <f>IF(OR(D3213="",F3213=""),"",F3213*I3213-N(H3213))</f>
        <v/>
      </c>
      <c r="K3213" s="16">
        <f>IF(OR(D3213="",F3213=""),"",F3213*IFERROR(INDEX('Sản phẩm'!$D$5:$D$304,MATCH(D3213,'Sản phẩm'!$A$5:$A$304,0)),""))</f>
        <v/>
      </c>
      <c r="L3213" s="16">
        <f>IF(J3213="","",J3213-K3213)</f>
        <v/>
      </c>
      <c r="M3213" s="14">
        <f>IF(A3213="","",MONTH(A3213))</f>
        <v/>
      </c>
      <c r="N3213" s="14">
        <f>IF(A3213="","",YEAR(A3213))</f>
        <v/>
      </c>
    </row>
    <row r="3214">
      <c r="A3214" s="15" t="n"/>
      <c r="B3214" s="10" t="n"/>
      <c r="C3214" s="10" t="n"/>
      <c r="D3214" s="10" t="n"/>
      <c r="E3214" s="14">
        <f>IF(D3214="","",IFERROR(INDEX('Sản phẩm'!$B$5:$B$304,MATCH(D3214,'Sản phẩm'!$A$5:$A$304,0)),""))</f>
        <v/>
      </c>
      <c r="F3214" s="12" t="n"/>
      <c r="G3214" s="11" t="n"/>
      <c r="H3214" s="11" t="n"/>
      <c r="I3214" s="16">
        <f>IF(D3214="","",IF(G3214&lt;&gt;"",G3214,IFERROR(INDEX('Sản phẩm'!$E$5:$E$304,MATCH(D3214,'Sản phẩm'!$A$5:$A$304,0)),"")))</f>
        <v/>
      </c>
      <c r="J3214" s="16">
        <f>IF(OR(D3214="",F3214=""),"",F3214*I3214-N(H3214))</f>
        <v/>
      </c>
      <c r="K3214" s="16">
        <f>IF(OR(D3214="",F3214=""),"",F3214*IFERROR(INDEX('Sản phẩm'!$D$5:$D$304,MATCH(D3214,'Sản phẩm'!$A$5:$A$304,0)),""))</f>
        <v/>
      </c>
      <c r="L3214" s="16">
        <f>IF(J3214="","",J3214-K3214)</f>
        <v/>
      </c>
      <c r="M3214" s="14">
        <f>IF(A3214="","",MONTH(A3214))</f>
        <v/>
      </c>
      <c r="N3214" s="14">
        <f>IF(A3214="","",YEAR(A3214))</f>
        <v/>
      </c>
    </row>
    <row r="3215">
      <c r="A3215" s="15" t="n"/>
      <c r="B3215" s="10" t="n"/>
      <c r="C3215" s="10" t="n"/>
      <c r="D3215" s="10" t="n"/>
      <c r="E3215" s="14">
        <f>IF(D3215="","",IFERROR(INDEX('Sản phẩm'!$B$5:$B$304,MATCH(D3215,'Sản phẩm'!$A$5:$A$304,0)),""))</f>
        <v/>
      </c>
      <c r="F3215" s="12" t="n"/>
      <c r="G3215" s="11" t="n"/>
      <c r="H3215" s="11" t="n"/>
      <c r="I3215" s="16">
        <f>IF(D3215="","",IF(G3215&lt;&gt;"",G3215,IFERROR(INDEX('Sản phẩm'!$E$5:$E$304,MATCH(D3215,'Sản phẩm'!$A$5:$A$304,0)),"")))</f>
        <v/>
      </c>
      <c r="J3215" s="16">
        <f>IF(OR(D3215="",F3215=""),"",F3215*I3215-N(H3215))</f>
        <v/>
      </c>
      <c r="K3215" s="16">
        <f>IF(OR(D3215="",F3215=""),"",F3215*IFERROR(INDEX('Sản phẩm'!$D$5:$D$304,MATCH(D3215,'Sản phẩm'!$A$5:$A$304,0)),""))</f>
        <v/>
      </c>
      <c r="L3215" s="16">
        <f>IF(J3215="","",J3215-K3215)</f>
        <v/>
      </c>
      <c r="M3215" s="14">
        <f>IF(A3215="","",MONTH(A3215))</f>
        <v/>
      </c>
      <c r="N3215" s="14">
        <f>IF(A3215="","",YEAR(A3215))</f>
        <v/>
      </c>
    </row>
    <row r="3216">
      <c r="A3216" s="15" t="n"/>
      <c r="B3216" s="10" t="n"/>
      <c r="C3216" s="10" t="n"/>
      <c r="D3216" s="10" t="n"/>
      <c r="E3216" s="14">
        <f>IF(D3216="","",IFERROR(INDEX('Sản phẩm'!$B$5:$B$304,MATCH(D3216,'Sản phẩm'!$A$5:$A$304,0)),""))</f>
        <v/>
      </c>
      <c r="F3216" s="12" t="n"/>
      <c r="G3216" s="11" t="n"/>
      <c r="H3216" s="11" t="n"/>
      <c r="I3216" s="16">
        <f>IF(D3216="","",IF(G3216&lt;&gt;"",G3216,IFERROR(INDEX('Sản phẩm'!$E$5:$E$304,MATCH(D3216,'Sản phẩm'!$A$5:$A$304,0)),"")))</f>
        <v/>
      </c>
      <c r="J3216" s="16">
        <f>IF(OR(D3216="",F3216=""),"",F3216*I3216-N(H3216))</f>
        <v/>
      </c>
      <c r="K3216" s="16">
        <f>IF(OR(D3216="",F3216=""),"",F3216*IFERROR(INDEX('Sản phẩm'!$D$5:$D$304,MATCH(D3216,'Sản phẩm'!$A$5:$A$304,0)),""))</f>
        <v/>
      </c>
      <c r="L3216" s="16">
        <f>IF(J3216="","",J3216-K3216)</f>
        <v/>
      </c>
      <c r="M3216" s="14">
        <f>IF(A3216="","",MONTH(A3216))</f>
        <v/>
      </c>
      <c r="N3216" s="14">
        <f>IF(A3216="","",YEAR(A3216))</f>
        <v/>
      </c>
    </row>
    <row r="3217">
      <c r="A3217" s="15" t="n"/>
      <c r="B3217" s="10" t="n"/>
      <c r="C3217" s="10" t="n"/>
      <c r="D3217" s="10" t="n"/>
      <c r="E3217" s="14">
        <f>IF(D3217="","",IFERROR(INDEX('Sản phẩm'!$B$5:$B$304,MATCH(D3217,'Sản phẩm'!$A$5:$A$304,0)),""))</f>
        <v/>
      </c>
      <c r="F3217" s="12" t="n"/>
      <c r="G3217" s="11" t="n"/>
      <c r="H3217" s="11" t="n"/>
      <c r="I3217" s="16">
        <f>IF(D3217="","",IF(G3217&lt;&gt;"",G3217,IFERROR(INDEX('Sản phẩm'!$E$5:$E$304,MATCH(D3217,'Sản phẩm'!$A$5:$A$304,0)),"")))</f>
        <v/>
      </c>
      <c r="J3217" s="16">
        <f>IF(OR(D3217="",F3217=""),"",F3217*I3217-N(H3217))</f>
        <v/>
      </c>
      <c r="K3217" s="16">
        <f>IF(OR(D3217="",F3217=""),"",F3217*IFERROR(INDEX('Sản phẩm'!$D$5:$D$304,MATCH(D3217,'Sản phẩm'!$A$5:$A$304,0)),""))</f>
        <v/>
      </c>
      <c r="L3217" s="16">
        <f>IF(J3217="","",J3217-K3217)</f>
        <v/>
      </c>
      <c r="M3217" s="14">
        <f>IF(A3217="","",MONTH(A3217))</f>
        <v/>
      </c>
      <c r="N3217" s="14">
        <f>IF(A3217="","",YEAR(A3217))</f>
        <v/>
      </c>
    </row>
    <row r="3218">
      <c r="A3218" s="15" t="n"/>
      <c r="B3218" s="10" t="n"/>
      <c r="C3218" s="10" t="n"/>
      <c r="D3218" s="10" t="n"/>
      <c r="E3218" s="14">
        <f>IF(D3218="","",IFERROR(INDEX('Sản phẩm'!$B$5:$B$304,MATCH(D3218,'Sản phẩm'!$A$5:$A$304,0)),""))</f>
        <v/>
      </c>
      <c r="F3218" s="12" t="n"/>
      <c r="G3218" s="11" t="n"/>
      <c r="H3218" s="11" t="n"/>
      <c r="I3218" s="16">
        <f>IF(D3218="","",IF(G3218&lt;&gt;"",G3218,IFERROR(INDEX('Sản phẩm'!$E$5:$E$304,MATCH(D3218,'Sản phẩm'!$A$5:$A$304,0)),"")))</f>
        <v/>
      </c>
      <c r="J3218" s="16">
        <f>IF(OR(D3218="",F3218=""),"",F3218*I3218-N(H3218))</f>
        <v/>
      </c>
      <c r="K3218" s="16">
        <f>IF(OR(D3218="",F3218=""),"",F3218*IFERROR(INDEX('Sản phẩm'!$D$5:$D$304,MATCH(D3218,'Sản phẩm'!$A$5:$A$304,0)),""))</f>
        <v/>
      </c>
      <c r="L3218" s="16">
        <f>IF(J3218="","",J3218-K3218)</f>
        <v/>
      </c>
      <c r="M3218" s="14">
        <f>IF(A3218="","",MONTH(A3218))</f>
        <v/>
      </c>
      <c r="N3218" s="14">
        <f>IF(A3218="","",YEAR(A3218))</f>
        <v/>
      </c>
    </row>
    <row r="3219">
      <c r="A3219" s="15" t="n"/>
      <c r="B3219" s="10" t="n"/>
      <c r="C3219" s="10" t="n"/>
      <c r="D3219" s="10" t="n"/>
      <c r="E3219" s="14">
        <f>IF(D3219="","",IFERROR(INDEX('Sản phẩm'!$B$5:$B$304,MATCH(D3219,'Sản phẩm'!$A$5:$A$304,0)),""))</f>
        <v/>
      </c>
      <c r="F3219" s="12" t="n"/>
      <c r="G3219" s="11" t="n"/>
      <c r="H3219" s="11" t="n"/>
      <c r="I3219" s="16">
        <f>IF(D3219="","",IF(G3219&lt;&gt;"",G3219,IFERROR(INDEX('Sản phẩm'!$E$5:$E$304,MATCH(D3219,'Sản phẩm'!$A$5:$A$304,0)),"")))</f>
        <v/>
      </c>
      <c r="J3219" s="16">
        <f>IF(OR(D3219="",F3219=""),"",F3219*I3219-N(H3219))</f>
        <v/>
      </c>
      <c r="K3219" s="16">
        <f>IF(OR(D3219="",F3219=""),"",F3219*IFERROR(INDEX('Sản phẩm'!$D$5:$D$304,MATCH(D3219,'Sản phẩm'!$A$5:$A$304,0)),""))</f>
        <v/>
      </c>
      <c r="L3219" s="16">
        <f>IF(J3219="","",J3219-K3219)</f>
        <v/>
      </c>
      <c r="M3219" s="14">
        <f>IF(A3219="","",MONTH(A3219))</f>
        <v/>
      </c>
      <c r="N3219" s="14">
        <f>IF(A3219="","",YEAR(A3219))</f>
        <v/>
      </c>
    </row>
    <row r="3220">
      <c r="A3220" s="15" t="n"/>
      <c r="B3220" s="10" t="n"/>
      <c r="C3220" s="10" t="n"/>
      <c r="D3220" s="10" t="n"/>
      <c r="E3220" s="14">
        <f>IF(D3220="","",IFERROR(INDEX('Sản phẩm'!$B$5:$B$304,MATCH(D3220,'Sản phẩm'!$A$5:$A$304,0)),""))</f>
        <v/>
      </c>
      <c r="F3220" s="12" t="n"/>
      <c r="G3220" s="11" t="n"/>
      <c r="H3220" s="11" t="n"/>
      <c r="I3220" s="16">
        <f>IF(D3220="","",IF(G3220&lt;&gt;"",G3220,IFERROR(INDEX('Sản phẩm'!$E$5:$E$304,MATCH(D3220,'Sản phẩm'!$A$5:$A$304,0)),"")))</f>
        <v/>
      </c>
      <c r="J3220" s="16">
        <f>IF(OR(D3220="",F3220=""),"",F3220*I3220-N(H3220))</f>
        <v/>
      </c>
      <c r="K3220" s="16">
        <f>IF(OR(D3220="",F3220=""),"",F3220*IFERROR(INDEX('Sản phẩm'!$D$5:$D$304,MATCH(D3220,'Sản phẩm'!$A$5:$A$304,0)),""))</f>
        <v/>
      </c>
      <c r="L3220" s="16">
        <f>IF(J3220="","",J3220-K3220)</f>
        <v/>
      </c>
      <c r="M3220" s="14">
        <f>IF(A3220="","",MONTH(A3220))</f>
        <v/>
      </c>
      <c r="N3220" s="14">
        <f>IF(A3220="","",YEAR(A3220))</f>
        <v/>
      </c>
    </row>
    <row r="3221">
      <c r="A3221" s="15" t="n"/>
      <c r="B3221" s="10" t="n"/>
      <c r="C3221" s="10" t="n"/>
      <c r="D3221" s="10" t="n"/>
      <c r="E3221" s="14">
        <f>IF(D3221="","",IFERROR(INDEX('Sản phẩm'!$B$5:$B$304,MATCH(D3221,'Sản phẩm'!$A$5:$A$304,0)),""))</f>
        <v/>
      </c>
      <c r="F3221" s="12" t="n"/>
      <c r="G3221" s="11" t="n"/>
      <c r="H3221" s="11" t="n"/>
      <c r="I3221" s="16">
        <f>IF(D3221="","",IF(G3221&lt;&gt;"",G3221,IFERROR(INDEX('Sản phẩm'!$E$5:$E$304,MATCH(D3221,'Sản phẩm'!$A$5:$A$304,0)),"")))</f>
        <v/>
      </c>
      <c r="J3221" s="16">
        <f>IF(OR(D3221="",F3221=""),"",F3221*I3221-N(H3221))</f>
        <v/>
      </c>
      <c r="K3221" s="16">
        <f>IF(OR(D3221="",F3221=""),"",F3221*IFERROR(INDEX('Sản phẩm'!$D$5:$D$304,MATCH(D3221,'Sản phẩm'!$A$5:$A$304,0)),""))</f>
        <v/>
      </c>
      <c r="L3221" s="16">
        <f>IF(J3221="","",J3221-K3221)</f>
        <v/>
      </c>
      <c r="M3221" s="14">
        <f>IF(A3221="","",MONTH(A3221))</f>
        <v/>
      </c>
      <c r="N3221" s="14">
        <f>IF(A3221="","",YEAR(A3221))</f>
        <v/>
      </c>
    </row>
    <row r="3222">
      <c r="A3222" s="15" t="n"/>
      <c r="B3222" s="10" t="n"/>
      <c r="C3222" s="10" t="n"/>
      <c r="D3222" s="10" t="n"/>
      <c r="E3222" s="14">
        <f>IF(D3222="","",IFERROR(INDEX('Sản phẩm'!$B$5:$B$304,MATCH(D3222,'Sản phẩm'!$A$5:$A$304,0)),""))</f>
        <v/>
      </c>
      <c r="F3222" s="12" t="n"/>
      <c r="G3222" s="11" t="n"/>
      <c r="H3222" s="11" t="n"/>
      <c r="I3222" s="16">
        <f>IF(D3222="","",IF(G3222&lt;&gt;"",G3222,IFERROR(INDEX('Sản phẩm'!$E$5:$E$304,MATCH(D3222,'Sản phẩm'!$A$5:$A$304,0)),"")))</f>
        <v/>
      </c>
      <c r="J3222" s="16">
        <f>IF(OR(D3222="",F3222=""),"",F3222*I3222-N(H3222))</f>
        <v/>
      </c>
      <c r="K3222" s="16">
        <f>IF(OR(D3222="",F3222=""),"",F3222*IFERROR(INDEX('Sản phẩm'!$D$5:$D$304,MATCH(D3222,'Sản phẩm'!$A$5:$A$304,0)),""))</f>
        <v/>
      </c>
      <c r="L3222" s="16">
        <f>IF(J3222="","",J3222-K3222)</f>
        <v/>
      </c>
      <c r="M3222" s="14">
        <f>IF(A3222="","",MONTH(A3222))</f>
        <v/>
      </c>
      <c r="N3222" s="14">
        <f>IF(A3222="","",YEAR(A3222))</f>
        <v/>
      </c>
    </row>
    <row r="3223">
      <c r="A3223" s="15" t="n"/>
      <c r="B3223" s="10" t="n"/>
      <c r="C3223" s="10" t="n"/>
      <c r="D3223" s="10" t="n"/>
      <c r="E3223" s="14">
        <f>IF(D3223="","",IFERROR(INDEX('Sản phẩm'!$B$5:$B$304,MATCH(D3223,'Sản phẩm'!$A$5:$A$304,0)),""))</f>
        <v/>
      </c>
      <c r="F3223" s="12" t="n"/>
      <c r="G3223" s="11" t="n"/>
      <c r="H3223" s="11" t="n"/>
      <c r="I3223" s="16">
        <f>IF(D3223="","",IF(G3223&lt;&gt;"",G3223,IFERROR(INDEX('Sản phẩm'!$E$5:$E$304,MATCH(D3223,'Sản phẩm'!$A$5:$A$304,0)),"")))</f>
        <v/>
      </c>
      <c r="J3223" s="16">
        <f>IF(OR(D3223="",F3223=""),"",F3223*I3223-N(H3223))</f>
        <v/>
      </c>
      <c r="K3223" s="16">
        <f>IF(OR(D3223="",F3223=""),"",F3223*IFERROR(INDEX('Sản phẩm'!$D$5:$D$304,MATCH(D3223,'Sản phẩm'!$A$5:$A$304,0)),""))</f>
        <v/>
      </c>
      <c r="L3223" s="16">
        <f>IF(J3223="","",J3223-K3223)</f>
        <v/>
      </c>
      <c r="M3223" s="14">
        <f>IF(A3223="","",MONTH(A3223))</f>
        <v/>
      </c>
      <c r="N3223" s="14">
        <f>IF(A3223="","",YEAR(A3223))</f>
        <v/>
      </c>
    </row>
    <row r="3224">
      <c r="A3224" s="15" t="n"/>
      <c r="B3224" s="10" t="n"/>
      <c r="C3224" s="10" t="n"/>
      <c r="D3224" s="10" t="n"/>
      <c r="E3224" s="14">
        <f>IF(D3224="","",IFERROR(INDEX('Sản phẩm'!$B$5:$B$304,MATCH(D3224,'Sản phẩm'!$A$5:$A$304,0)),""))</f>
        <v/>
      </c>
      <c r="F3224" s="12" t="n"/>
      <c r="G3224" s="11" t="n"/>
      <c r="H3224" s="11" t="n"/>
      <c r="I3224" s="16">
        <f>IF(D3224="","",IF(G3224&lt;&gt;"",G3224,IFERROR(INDEX('Sản phẩm'!$E$5:$E$304,MATCH(D3224,'Sản phẩm'!$A$5:$A$304,0)),"")))</f>
        <v/>
      </c>
      <c r="J3224" s="16">
        <f>IF(OR(D3224="",F3224=""),"",F3224*I3224-N(H3224))</f>
        <v/>
      </c>
      <c r="K3224" s="16">
        <f>IF(OR(D3224="",F3224=""),"",F3224*IFERROR(INDEX('Sản phẩm'!$D$5:$D$304,MATCH(D3224,'Sản phẩm'!$A$5:$A$304,0)),""))</f>
        <v/>
      </c>
      <c r="L3224" s="16">
        <f>IF(J3224="","",J3224-K3224)</f>
        <v/>
      </c>
      <c r="M3224" s="14">
        <f>IF(A3224="","",MONTH(A3224))</f>
        <v/>
      </c>
      <c r="N3224" s="14">
        <f>IF(A3224="","",YEAR(A3224))</f>
        <v/>
      </c>
    </row>
    <row r="3225">
      <c r="A3225" s="15" t="n"/>
      <c r="B3225" s="10" t="n"/>
      <c r="C3225" s="10" t="n"/>
      <c r="D3225" s="10" t="n"/>
      <c r="E3225" s="14">
        <f>IF(D3225="","",IFERROR(INDEX('Sản phẩm'!$B$5:$B$304,MATCH(D3225,'Sản phẩm'!$A$5:$A$304,0)),""))</f>
        <v/>
      </c>
      <c r="F3225" s="12" t="n"/>
      <c r="G3225" s="11" t="n"/>
      <c r="H3225" s="11" t="n"/>
      <c r="I3225" s="16">
        <f>IF(D3225="","",IF(G3225&lt;&gt;"",G3225,IFERROR(INDEX('Sản phẩm'!$E$5:$E$304,MATCH(D3225,'Sản phẩm'!$A$5:$A$304,0)),"")))</f>
        <v/>
      </c>
      <c r="J3225" s="16">
        <f>IF(OR(D3225="",F3225=""),"",F3225*I3225-N(H3225))</f>
        <v/>
      </c>
      <c r="K3225" s="16">
        <f>IF(OR(D3225="",F3225=""),"",F3225*IFERROR(INDEX('Sản phẩm'!$D$5:$D$304,MATCH(D3225,'Sản phẩm'!$A$5:$A$304,0)),""))</f>
        <v/>
      </c>
      <c r="L3225" s="16">
        <f>IF(J3225="","",J3225-K3225)</f>
        <v/>
      </c>
      <c r="M3225" s="14">
        <f>IF(A3225="","",MONTH(A3225))</f>
        <v/>
      </c>
      <c r="N3225" s="14">
        <f>IF(A3225="","",YEAR(A3225))</f>
        <v/>
      </c>
    </row>
    <row r="3226">
      <c r="A3226" s="15" t="n"/>
      <c r="B3226" s="10" t="n"/>
      <c r="C3226" s="10" t="n"/>
      <c r="D3226" s="10" t="n"/>
      <c r="E3226" s="14">
        <f>IF(D3226="","",IFERROR(INDEX('Sản phẩm'!$B$5:$B$304,MATCH(D3226,'Sản phẩm'!$A$5:$A$304,0)),""))</f>
        <v/>
      </c>
      <c r="F3226" s="12" t="n"/>
      <c r="G3226" s="11" t="n"/>
      <c r="H3226" s="11" t="n"/>
      <c r="I3226" s="16">
        <f>IF(D3226="","",IF(G3226&lt;&gt;"",G3226,IFERROR(INDEX('Sản phẩm'!$E$5:$E$304,MATCH(D3226,'Sản phẩm'!$A$5:$A$304,0)),"")))</f>
        <v/>
      </c>
      <c r="J3226" s="16">
        <f>IF(OR(D3226="",F3226=""),"",F3226*I3226-N(H3226))</f>
        <v/>
      </c>
      <c r="K3226" s="16">
        <f>IF(OR(D3226="",F3226=""),"",F3226*IFERROR(INDEX('Sản phẩm'!$D$5:$D$304,MATCH(D3226,'Sản phẩm'!$A$5:$A$304,0)),""))</f>
        <v/>
      </c>
      <c r="L3226" s="16">
        <f>IF(J3226="","",J3226-K3226)</f>
        <v/>
      </c>
      <c r="M3226" s="14">
        <f>IF(A3226="","",MONTH(A3226))</f>
        <v/>
      </c>
      <c r="N3226" s="14">
        <f>IF(A3226="","",YEAR(A3226))</f>
        <v/>
      </c>
    </row>
    <row r="3227">
      <c r="A3227" s="15" t="n"/>
      <c r="B3227" s="10" t="n"/>
      <c r="C3227" s="10" t="n"/>
      <c r="D3227" s="10" t="n"/>
      <c r="E3227" s="14">
        <f>IF(D3227="","",IFERROR(INDEX('Sản phẩm'!$B$5:$B$304,MATCH(D3227,'Sản phẩm'!$A$5:$A$304,0)),""))</f>
        <v/>
      </c>
      <c r="F3227" s="12" t="n"/>
      <c r="G3227" s="11" t="n"/>
      <c r="H3227" s="11" t="n"/>
      <c r="I3227" s="16">
        <f>IF(D3227="","",IF(G3227&lt;&gt;"",G3227,IFERROR(INDEX('Sản phẩm'!$E$5:$E$304,MATCH(D3227,'Sản phẩm'!$A$5:$A$304,0)),"")))</f>
        <v/>
      </c>
      <c r="J3227" s="16">
        <f>IF(OR(D3227="",F3227=""),"",F3227*I3227-N(H3227))</f>
        <v/>
      </c>
      <c r="K3227" s="16">
        <f>IF(OR(D3227="",F3227=""),"",F3227*IFERROR(INDEX('Sản phẩm'!$D$5:$D$304,MATCH(D3227,'Sản phẩm'!$A$5:$A$304,0)),""))</f>
        <v/>
      </c>
      <c r="L3227" s="16">
        <f>IF(J3227="","",J3227-K3227)</f>
        <v/>
      </c>
      <c r="M3227" s="14">
        <f>IF(A3227="","",MONTH(A3227))</f>
        <v/>
      </c>
      <c r="N3227" s="14">
        <f>IF(A3227="","",YEAR(A3227))</f>
        <v/>
      </c>
    </row>
    <row r="3228">
      <c r="A3228" s="15" t="n"/>
      <c r="B3228" s="10" t="n"/>
      <c r="C3228" s="10" t="n"/>
      <c r="D3228" s="10" t="n"/>
      <c r="E3228" s="14">
        <f>IF(D3228="","",IFERROR(INDEX('Sản phẩm'!$B$5:$B$304,MATCH(D3228,'Sản phẩm'!$A$5:$A$304,0)),""))</f>
        <v/>
      </c>
      <c r="F3228" s="12" t="n"/>
      <c r="G3228" s="11" t="n"/>
      <c r="H3228" s="11" t="n"/>
      <c r="I3228" s="16">
        <f>IF(D3228="","",IF(G3228&lt;&gt;"",G3228,IFERROR(INDEX('Sản phẩm'!$E$5:$E$304,MATCH(D3228,'Sản phẩm'!$A$5:$A$304,0)),"")))</f>
        <v/>
      </c>
      <c r="J3228" s="16">
        <f>IF(OR(D3228="",F3228=""),"",F3228*I3228-N(H3228))</f>
        <v/>
      </c>
      <c r="K3228" s="16">
        <f>IF(OR(D3228="",F3228=""),"",F3228*IFERROR(INDEX('Sản phẩm'!$D$5:$D$304,MATCH(D3228,'Sản phẩm'!$A$5:$A$304,0)),""))</f>
        <v/>
      </c>
      <c r="L3228" s="16">
        <f>IF(J3228="","",J3228-K3228)</f>
        <v/>
      </c>
      <c r="M3228" s="14">
        <f>IF(A3228="","",MONTH(A3228))</f>
        <v/>
      </c>
      <c r="N3228" s="14">
        <f>IF(A3228="","",YEAR(A3228))</f>
        <v/>
      </c>
    </row>
    <row r="3229">
      <c r="A3229" s="15" t="n"/>
      <c r="B3229" s="10" t="n"/>
      <c r="C3229" s="10" t="n"/>
      <c r="D3229" s="10" t="n"/>
      <c r="E3229" s="14">
        <f>IF(D3229="","",IFERROR(INDEX('Sản phẩm'!$B$5:$B$304,MATCH(D3229,'Sản phẩm'!$A$5:$A$304,0)),""))</f>
        <v/>
      </c>
      <c r="F3229" s="12" t="n"/>
      <c r="G3229" s="11" t="n"/>
      <c r="H3229" s="11" t="n"/>
      <c r="I3229" s="16">
        <f>IF(D3229="","",IF(G3229&lt;&gt;"",G3229,IFERROR(INDEX('Sản phẩm'!$E$5:$E$304,MATCH(D3229,'Sản phẩm'!$A$5:$A$304,0)),"")))</f>
        <v/>
      </c>
      <c r="J3229" s="16">
        <f>IF(OR(D3229="",F3229=""),"",F3229*I3229-N(H3229))</f>
        <v/>
      </c>
      <c r="K3229" s="16">
        <f>IF(OR(D3229="",F3229=""),"",F3229*IFERROR(INDEX('Sản phẩm'!$D$5:$D$304,MATCH(D3229,'Sản phẩm'!$A$5:$A$304,0)),""))</f>
        <v/>
      </c>
      <c r="L3229" s="16">
        <f>IF(J3229="","",J3229-K3229)</f>
        <v/>
      </c>
      <c r="M3229" s="14">
        <f>IF(A3229="","",MONTH(A3229))</f>
        <v/>
      </c>
      <c r="N3229" s="14">
        <f>IF(A3229="","",YEAR(A3229))</f>
        <v/>
      </c>
    </row>
    <row r="3230">
      <c r="A3230" s="15" t="n"/>
      <c r="B3230" s="10" t="n"/>
      <c r="C3230" s="10" t="n"/>
      <c r="D3230" s="10" t="n"/>
      <c r="E3230" s="14">
        <f>IF(D3230="","",IFERROR(INDEX('Sản phẩm'!$B$5:$B$304,MATCH(D3230,'Sản phẩm'!$A$5:$A$304,0)),""))</f>
        <v/>
      </c>
      <c r="F3230" s="12" t="n"/>
      <c r="G3230" s="11" t="n"/>
      <c r="H3230" s="11" t="n"/>
      <c r="I3230" s="16">
        <f>IF(D3230="","",IF(G3230&lt;&gt;"",G3230,IFERROR(INDEX('Sản phẩm'!$E$5:$E$304,MATCH(D3230,'Sản phẩm'!$A$5:$A$304,0)),"")))</f>
        <v/>
      </c>
      <c r="J3230" s="16">
        <f>IF(OR(D3230="",F3230=""),"",F3230*I3230-N(H3230))</f>
        <v/>
      </c>
      <c r="K3230" s="16">
        <f>IF(OR(D3230="",F3230=""),"",F3230*IFERROR(INDEX('Sản phẩm'!$D$5:$D$304,MATCH(D3230,'Sản phẩm'!$A$5:$A$304,0)),""))</f>
        <v/>
      </c>
      <c r="L3230" s="16">
        <f>IF(J3230="","",J3230-K3230)</f>
        <v/>
      </c>
      <c r="M3230" s="14">
        <f>IF(A3230="","",MONTH(A3230))</f>
        <v/>
      </c>
      <c r="N3230" s="14">
        <f>IF(A3230="","",YEAR(A3230))</f>
        <v/>
      </c>
    </row>
    <row r="3231">
      <c r="A3231" s="15" t="n"/>
      <c r="B3231" s="10" t="n"/>
      <c r="C3231" s="10" t="n"/>
      <c r="D3231" s="10" t="n"/>
      <c r="E3231" s="14">
        <f>IF(D3231="","",IFERROR(INDEX('Sản phẩm'!$B$5:$B$304,MATCH(D3231,'Sản phẩm'!$A$5:$A$304,0)),""))</f>
        <v/>
      </c>
      <c r="F3231" s="12" t="n"/>
      <c r="G3231" s="11" t="n"/>
      <c r="H3231" s="11" t="n"/>
      <c r="I3231" s="16">
        <f>IF(D3231="","",IF(G3231&lt;&gt;"",G3231,IFERROR(INDEX('Sản phẩm'!$E$5:$E$304,MATCH(D3231,'Sản phẩm'!$A$5:$A$304,0)),"")))</f>
        <v/>
      </c>
      <c r="J3231" s="16">
        <f>IF(OR(D3231="",F3231=""),"",F3231*I3231-N(H3231))</f>
        <v/>
      </c>
      <c r="K3231" s="16">
        <f>IF(OR(D3231="",F3231=""),"",F3231*IFERROR(INDEX('Sản phẩm'!$D$5:$D$304,MATCH(D3231,'Sản phẩm'!$A$5:$A$304,0)),""))</f>
        <v/>
      </c>
      <c r="L3231" s="16">
        <f>IF(J3231="","",J3231-K3231)</f>
        <v/>
      </c>
      <c r="M3231" s="14">
        <f>IF(A3231="","",MONTH(A3231))</f>
        <v/>
      </c>
      <c r="N3231" s="14">
        <f>IF(A3231="","",YEAR(A3231))</f>
        <v/>
      </c>
    </row>
    <row r="3232">
      <c r="A3232" s="15" t="n"/>
      <c r="B3232" s="10" t="n"/>
      <c r="C3232" s="10" t="n"/>
      <c r="D3232" s="10" t="n"/>
      <c r="E3232" s="14">
        <f>IF(D3232="","",IFERROR(INDEX('Sản phẩm'!$B$5:$B$304,MATCH(D3232,'Sản phẩm'!$A$5:$A$304,0)),""))</f>
        <v/>
      </c>
      <c r="F3232" s="12" t="n"/>
      <c r="G3232" s="11" t="n"/>
      <c r="H3232" s="11" t="n"/>
      <c r="I3232" s="16">
        <f>IF(D3232="","",IF(G3232&lt;&gt;"",G3232,IFERROR(INDEX('Sản phẩm'!$E$5:$E$304,MATCH(D3232,'Sản phẩm'!$A$5:$A$304,0)),"")))</f>
        <v/>
      </c>
      <c r="J3232" s="16">
        <f>IF(OR(D3232="",F3232=""),"",F3232*I3232-N(H3232))</f>
        <v/>
      </c>
      <c r="K3232" s="16">
        <f>IF(OR(D3232="",F3232=""),"",F3232*IFERROR(INDEX('Sản phẩm'!$D$5:$D$304,MATCH(D3232,'Sản phẩm'!$A$5:$A$304,0)),""))</f>
        <v/>
      </c>
      <c r="L3232" s="16">
        <f>IF(J3232="","",J3232-K3232)</f>
        <v/>
      </c>
      <c r="M3232" s="14">
        <f>IF(A3232="","",MONTH(A3232))</f>
        <v/>
      </c>
      <c r="N3232" s="14">
        <f>IF(A3232="","",YEAR(A3232))</f>
        <v/>
      </c>
    </row>
    <row r="3233">
      <c r="A3233" s="15" t="n"/>
      <c r="B3233" s="10" t="n"/>
      <c r="C3233" s="10" t="n"/>
      <c r="D3233" s="10" t="n"/>
      <c r="E3233" s="14">
        <f>IF(D3233="","",IFERROR(INDEX('Sản phẩm'!$B$5:$B$304,MATCH(D3233,'Sản phẩm'!$A$5:$A$304,0)),""))</f>
        <v/>
      </c>
      <c r="F3233" s="12" t="n"/>
      <c r="G3233" s="11" t="n"/>
      <c r="H3233" s="11" t="n"/>
      <c r="I3233" s="16">
        <f>IF(D3233="","",IF(G3233&lt;&gt;"",G3233,IFERROR(INDEX('Sản phẩm'!$E$5:$E$304,MATCH(D3233,'Sản phẩm'!$A$5:$A$304,0)),"")))</f>
        <v/>
      </c>
      <c r="J3233" s="16">
        <f>IF(OR(D3233="",F3233=""),"",F3233*I3233-N(H3233))</f>
        <v/>
      </c>
      <c r="K3233" s="16">
        <f>IF(OR(D3233="",F3233=""),"",F3233*IFERROR(INDEX('Sản phẩm'!$D$5:$D$304,MATCH(D3233,'Sản phẩm'!$A$5:$A$304,0)),""))</f>
        <v/>
      </c>
      <c r="L3233" s="16">
        <f>IF(J3233="","",J3233-K3233)</f>
        <v/>
      </c>
      <c r="M3233" s="14">
        <f>IF(A3233="","",MONTH(A3233))</f>
        <v/>
      </c>
      <c r="N3233" s="14">
        <f>IF(A3233="","",YEAR(A3233))</f>
        <v/>
      </c>
    </row>
    <row r="3234">
      <c r="A3234" s="15" t="n"/>
      <c r="B3234" s="10" t="n"/>
      <c r="C3234" s="10" t="n"/>
      <c r="D3234" s="10" t="n"/>
      <c r="E3234" s="14">
        <f>IF(D3234="","",IFERROR(INDEX('Sản phẩm'!$B$5:$B$304,MATCH(D3234,'Sản phẩm'!$A$5:$A$304,0)),""))</f>
        <v/>
      </c>
      <c r="F3234" s="12" t="n"/>
      <c r="G3234" s="11" t="n"/>
      <c r="H3234" s="11" t="n"/>
      <c r="I3234" s="16">
        <f>IF(D3234="","",IF(G3234&lt;&gt;"",G3234,IFERROR(INDEX('Sản phẩm'!$E$5:$E$304,MATCH(D3234,'Sản phẩm'!$A$5:$A$304,0)),"")))</f>
        <v/>
      </c>
      <c r="J3234" s="16">
        <f>IF(OR(D3234="",F3234=""),"",F3234*I3234-N(H3234))</f>
        <v/>
      </c>
      <c r="K3234" s="16">
        <f>IF(OR(D3234="",F3234=""),"",F3234*IFERROR(INDEX('Sản phẩm'!$D$5:$D$304,MATCH(D3234,'Sản phẩm'!$A$5:$A$304,0)),""))</f>
        <v/>
      </c>
      <c r="L3234" s="16">
        <f>IF(J3234="","",J3234-K3234)</f>
        <v/>
      </c>
      <c r="M3234" s="14">
        <f>IF(A3234="","",MONTH(A3234))</f>
        <v/>
      </c>
      <c r="N3234" s="14">
        <f>IF(A3234="","",YEAR(A3234))</f>
        <v/>
      </c>
    </row>
    <row r="3235">
      <c r="A3235" s="15" t="n"/>
      <c r="B3235" s="10" t="n"/>
      <c r="C3235" s="10" t="n"/>
      <c r="D3235" s="10" t="n"/>
      <c r="E3235" s="14">
        <f>IF(D3235="","",IFERROR(INDEX('Sản phẩm'!$B$5:$B$304,MATCH(D3235,'Sản phẩm'!$A$5:$A$304,0)),""))</f>
        <v/>
      </c>
      <c r="F3235" s="12" t="n"/>
      <c r="G3235" s="11" t="n"/>
      <c r="H3235" s="11" t="n"/>
      <c r="I3235" s="16">
        <f>IF(D3235="","",IF(G3235&lt;&gt;"",G3235,IFERROR(INDEX('Sản phẩm'!$E$5:$E$304,MATCH(D3235,'Sản phẩm'!$A$5:$A$304,0)),"")))</f>
        <v/>
      </c>
      <c r="J3235" s="16">
        <f>IF(OR(D3235="",F3235=""),"",F3235*I3235-N(H3235))</f>
        <v/>
      </c>
      <c r="K3235" s="16">
        <f>IF(OR(D3235="",F3235=""),"",F3235*IFERROR(INDEX('Sản phẩm'!$D$5:$D$304,MATCH(D3235,'Sản phẩm'!$A$5:$A$304,0)),""))</f>
        <v/>
      </c>
      <c r="L3235" s="16">
        <f>IF(J3235="","",J3235-K3235)</f>
        <v/>
      </c>
      <c r="M3235" s="14">
        <f>IF(A3235="","",MONTH(A3235))</f>
        <v/>
      </c>
      <c r="N3235" s="14">
        <f>IF(A3235="","",YEAR(A3235))</f>
        <v/>
      </c>
    </row>
    <row r="3236">
      <c r="A3236" s="15" t="n"/>
      <c r="B3236" s="10" t="n"/>
      <c r="C3236" s="10" t="n"/>
      <c r="D3236" s="10" t="n"/>
      <c r="E3236" s="14">
        <f>IF(D3236="","",IFERROR(INDEX('Sản phẩm'!$B$5:$B$304,MATCH(D3236,'Sản phẩm'!$A$5:$A$304,0)),""))</f>
        <v/>
      </c>
      <c r="F3236" s="12" t="n"/>
      <c r="G3236" s="11" t="n"/>
      <c r="H3236" s="11" t="n"/>
      <c r="I3236" s="16">
        <f>IF(D3236="","",IF(G3236&lt;&gt;"",G3236,IFERROR(INDEX('Sản phẩm'!$E$5:$E$304,MATCH(D3236,'Sản phẩm'!$A$5:$A$304,0)),"")))</f>
        <v/>
      </c>
      <c r="J3236" s="16">
        <f>IF(OR(D3236="",F3236=""),"",F3236*I3236-N(H3236))</f>
        <v/>
      </c>
      <c r="K3236" s="16">
        <f>IF(OR(D3236="",F3236=""),"",F3236*IFERROR(INDEX('Sản phẩm'!$D$5:$D$304,MATCH(D3236,'Sản phẩm'!$A$5:$A$304,0)),""))</f>
        <v/>
      </c>
      <c r="L3236" s="16">
        <f>IF(J3236="","",J3236-K3236)</f>
        <v/>
      </c>
      <c r="M3236" s="14">
        <f>IF(A3236="","",MONTH(A3236))</f>
        <v/>
      </c>
      <c r="N3236" s="14">
        <f>IF(A3236="","",YEAR(A3236))</f>
        <v/>
      </c>
    </row>
    <row r="3237">
      <c r="A3237" s="15" t="n"/>
      <c r="B3237" s="10" t="n"/>
      <c r="C3237" s="10" t="n"/>
      <c r="D3237" s="10" t="n"/>
      <c r="E3237" s="14">
        <f>IF(D3237="","",IFERROR(INDEX('Sản phẩm'!$B$5:$B$304,MATCH(D3237,'Sản phẩm'!$A$5:$A$304,0)),""))</f>
        <v/>
      </c>
      <c r="F3237" s="12" t="n"/>
      <c r="G3237" s="11" t="n"/>
      <c r="H3237" s="11" t="n"/>
      <c r="I3237" s="16">
        <f>IF(D3237="","",IF(G3237&lt;&gt;"",G3237,IFERROR(INDEX('Sản phẩm'!$E$5:$E$304,MATCH(D3237,'Sản phẩm'!$A$5:$A$304,0)),"")))</f>
        <v/>
      </c>
      <c r="J3237" s="16">
        <f>IF(OR(D3237="",F3237=""),"",F3237*I3237-N(H3237))</f>
        <v/>
      </c>
      <c r="K3237" s="16">
        <f>IF(OR(D3237="",F3237=""),"",F3237*IFERROR(INDEX('Sản phẩm'!$D$5:$D$304,MATCH(D3237,'Sản phẩm'!$A$5:$A$304,0)),""))</f>
        <v/>
      </c>
      <c r="L3237" s="16">
        <f>IF(J3237="","",J3237-K3237)</f>
        <v/>
      </c>
      <c r="M3237" s="14">
        <f>IF(A3237="","",MONTH(A3237))</f>
        <v/>
      </c>
      <c r="N3237" s="14">
        <f>IF(A3237="","",YEAR(A3237))</f>
        <v/>
      </c>
    </row>
    <row r="3238">
      <c r="A3238" s="15" t="n"/>
      <c r="B3238" s="10" t="n"/>
      <c r="C3238" s="10" t="n"/>
      <c r="D3238" s="10" t="n"/>
      <c r="E3238" s="14">
        <f>IF(D3238="","",IFERROR(INDEX('Sản phẩm'!$B$5:$B$304,MATCH(D3238,'Sản phẩm'!$A$5:$A$304,0)),""))</f>
        <v/>
      </c>
      <c r="F3238" s="12" t="n"/>
      <c r="G3238" s="11" t="n"/>
      <c r="H3238" s="11" t="n"/>
      <c r="I3238" s="16">
        <f>IF(D3238="","",IF(G3238&lt;&gt;"",G3238,IFERROR(INDEX('Sản phẩm'!$E$5:$E$304,MATCH(D3238,'Sản phẩm'!$A$5:$A$304,0)),"")))</f>
        <v/>
      </c>
      <c r="J3238" s="16">
        <f>IF(OR(D3238="",F3238=""),"",F3238*I3238-N(H3238))</f>
        <v/>
      </c>
      <c r="K3238" s="16">
        <f>IF(OR(D3238="",F3238=""),"",F3238*IFERROR(INDEX('Sản phẩm'!$D$5:$D$304,MATCH(D3238,'Sản phẩm'!$A$5:$A$304,0)),""))</f>
        <v/>
      </c>
      <c r="L3238" s="16">
        <f>IF(J3238="","",J3238-K3238)</f>
        <v/>
      </c>
      <c r="M3238" s="14">
        <f>IF(A3238="","",MONTH(A3238))</f>
        <v/>
      </c>
      <c r="N3238" s="14">
        <f>IF(A3238="","",YEAR(A3238))</f>
        <v/>
      </c>
    </row>
    <row r="3239">
      <c r="A3239" s="15" t="n"/>
      <c r="B3239" s="10" t="n"/>
      <c r="C3239" s="10" t="n"/>
      <c r="D3239" s="10" t="n"/>
      <c r="E3239" s="14">
        <f>IF(D3239="","",IFERROR(INDEX('Sản phẩm'!$B$5:$B$304,MATCH(D3239,'Sản phẩm'!$A$5:$A$304,0)),""))</f>
        <v/>
      </c>
      <c r="F3239" s="12" t="n"/>
      <c r="G3239" s="11" t="n"/>
      <c r="H3239" s="11" t="n"/>
      <c r="I3239" s="16">
        <f>IF(D3239="","",IF(G3239&lt;&gt;"",G3239,IFERROR(INDEX('Sản phẩm'!$E$5:$E$304,MATCH(D3239,'Sản phẩm'!$A$5:$A$304,0)),"")))</f>
        <v/>
      </c>
      <c r="J3239" s="16">
        <f>IF(OR(D3239="",F3239=""),"",F3239*I3239-N(H3239))</f>
        <v/>
      </c>
      <c r="K3239" s="16">
        <f>IF(OR(D3239="",F3239=""),"",F3239*IFERROR(INDEX('Sản phẩm'!$D$5:$D$304,MATCH(D3239,'Sản phẩm'!$A$5:$A$304,0)),""))</f>
        <v/>
      </c>
      <c r="L3239" s="16">
        <f>IF(J3239="","",J3239-K3239)</f>
        <v/>
      </c>
      <c r="M3239" s="14">
        <f>IF(A3239="","",MONTH(A3239))</f>
        <v/>
      </c>
      <c r="N3239" s="14">
        <f>IF(A3239="","",YEAR(A3239))</f>
        <v/>
      </c>
    </row>
    <row r="3240">
      <c r="A3240" s="15" t="n"/>
      <c r="B3240" s="10" t="n"/>
      <c r="C3240" s="10" t="n"/>
      <c r="D3240" s="10" t="n"/>
      <c r="E3240" s="14">
        <f>IF(D3240="","",IFERROR(INDEX('Sản phẩm'!$B$5:$B$304,MATCH(D3240,'Sản phẩm'!$A$5:$A$304,0)),""))</f>
        <v/>
      </c>
      <c r="F3240" s="12" t="n"/>
      <c r="G3240" s="11" t="n"/>
      <c r="H3240" s="11" t="n"/>
      <c r="I3240" s="16">
        <f>IF(D3240="","",IF(G3240&lt;&gt;"",G3240,IFERROR(INDEX('Sản phẩm'!$E$5:$E$304,MATCH(D3240,'Sản phẩm'!$A$5:$A$304,0)),"")))</f>
        <v/>
      </c>
      <c r="J3240" s="16">
        <f>IF(OR(D3240="",F3240=""),"",F3240*I3240-N(H3240))</f>
        <v/>
      </c>
      <c r="K3240" s="16">
        <f>IF(OR(D3240="",F3240=""),"",F3240*IFERROR(INDEX('Sản phẩm'!$D$5:$D$304,MATCH(D3240,'Sản phẩm'!$A$5:$A$304,0)),""))</f>
        <v/>
      </c>
      <c r="L3240" s="16">
        <f>IF(J3240="","",J3240-K3240)</f>
        <v/>
      </c>
      <c r="M3240" s="14">
        <f>IF(A3240="","",MONTH(A3240))</f>
        <v/>
      </c>
      <c r="N3240" s="14">
        <f>IF(A3240="","",YEAR(A3240))</f>
        <v/>
      </c>
    </row>
    <row r="3241">
      <c r="A3241" s="15" t="n"/>
      <c r="B3241" s="10" t="n"/>
      <c r="C3241" s="10" t="n"/>
      <c r="D3241" s="10" t="n"/>
      <c r="E3241" s="14">
        <f>IF(D3241="","",IFERROR(INDEX('Sản phẩm'!$B$5:$B$304,MATCH(D3241,'Sản phẩm'!$A$5:$A$304,0)),""))</f>
        <v/>
      </c>
      <c r="F3241" s="12" t="n"/>
      <c r="G3241" s="11" t="n"/>
      <c r="H3241" s="11" t="n"/>
      <c r="I3241" s="16">
        <f>IF(D3241="","",IF(G3241&lt;&gt;"",G3241,IFERROR(INDEX('Sản phẩm'!$E$5:$E$304,MATCH(D3241,'Sản phẩm'!$A$5:$A$304,0)),"")))</f>
        <v/>
      </c>
      <c r="J3241" s="16">
        <f>IF(OR(D3241="",F3241=""),"",F3241*I3241-N(H3241))</f>
        <v/>
      </c>
      <c r="K3241" s="16">
        <f>IF(OR(D3241="",F3241=""),"",F3241*IFERROR(INDEX('Sản phẩm'!$D$5:$D$304,MATCH(D3241,'Sản phẩm'!$A$5:$A$304,0)),""))</f>
        <v/>
      </c>
      <c r="L3241" s="16">
        <f>IF(J3241="","",J3241-K3241)</f>
        <v/>
      </c>
      <c r="M3241" s="14">
        <f>IF(A3241="","",MONTH(A3241))</f>
        <v/>
      </c>
      <c r="N3241" s="14">
        <f>IF(A3241="","",YEAR(A3241))</f>
        <v/>
      </c>
    </row>
    <row r="3242">
      <c r="A3242" s="15" t="n"/>
      <c r="B3242" s="10" t="n"/>
      <c r="C3242" s="10" t="n"/>
      <c r="D3242" s="10" t="n"/>
      <c r="E3242" s="14">
        <f>IF(D3242="","",IFERROR(INDEX('Sản phẩm'!$B$5:$B$304,MATCH(D3242,'Sản phẩm'!$A$5:$A$304,0)),""))</f>
        <v/>
      </c>
      <c r="F3242" s="12" t="n"/>
      <c r="G3242" s="11" t="n"/>
      <c r="H3242" s="11" t="n"/>
      <c r="I3242" s="16">
        <f>IF(D3242="","",IF(G3242&lt;&gt;"",G3242,IFERROR(INDEX('Sản phẩm'!$E$5:$E$304,MATCH(D3242,'Sản phẩm'!$A$5:$A$304,0)),"")))</f>
        <v/>
      </c>
      <c r="J3242" s="16">
        <f>IF(OR(D3242="",F3242=""),"",F3242*I3242-N(H3242))</f>
        <v/>
      </c>
      <c r="K3242" s="16">
        <f>IF(OR(D3242="",F3242=""),"",F3242*IFERROR(INDEX('Sản phẩm'!$D$5:$D$304,MATCH(D3242,'Sản phẩm'!$A$5:$A$304,0)),""))</f>
        <v/>
      </c>
      <c r="L3242" s="16">
        <f>IF(J3242="","",J3242-K3242)</f>
        <v/>
      </c>
      <c r="M3242" s="14">
        <f>IF(A3242="","",MONTH(A3242))</f>
        <v/>
      </c>
      <c r="N3242" s="14">
        <f>IF(A3242="","",YEAR(A3242))</f>
        <v/>
      </c>
    </row>
    <row r="3243">
      <c r="A3243" s="15" t="n"/>
      <c r="B3243" s="10" t="n"/>
      <c r="C3243" s="10" t="n"/>
      <c r="D3243" s="10" t="n"/>
      <c r="E3243" s="14">
        <f>IF(D3243="","",IFERROR(INDEX('Sản phẩm'!$B$5:$B$304,MATCH(D3243,'Sản phẩm'!$A$5:$A$304,0)),""))</f>
        <v/>
      </c>
      <c r="F3243" s="12" t="n"/>
      <c r="G3243" s="11" t="n"/>
      <c r="H3243" s="11" t="n"/>
      <c r="I3243" s="16">
        <f>IF(D3243="","",IF(G3243&lt;&gt;"",G3243,IFERROR(INDEX('Sản phẩm'!$E$5:$E$304,MATCH(D3243,'Sản phẩm'!$A$5:$A$304,0)),"")))</f>
        <v/>
      </c>
      <c r="J3243" s="16">
        <f>IF(OR(D3243="",F3243=""),"",F3243*I3243-N(H3243))</f>
        <v/>
      </c>
      <c r="K3243" s="16">
        <f>IF(OR(D3243="",F3243=""),"",F3243*IFERROR(INDEX('Sản phẩm'!$D$5:$D$304,MATCH(D3243,'Sản phẩm'!$A$5:$A$304,0)),""))</f>
        <v/>
      </c>
      <c r="L3243" s="16">
        <f>IF(J3243="","",J3243-K3243)</f>
        <v/>
      </c>
      <c r="M3243" s="14">
        <f>IF(A3243="","",MONTH(A3243))</f>
        <v/>
      </c>
      <c r="N3243" s="14">
        <f>IF(A3243="","",YEAR(A3243))</f>
        <v/>
      </c>
    </row>
    <row r="3244">
      <c r="A3244" s="15" t="n"/>
      <c r="B3244" s="10" t="n"/>
      <c r="C3244" s="10" t="n"/>
      <c r="D3244" s="10" t="n"/>
      <c r="E3244" s="14">
        <f>IF(D3244="","",IFERROR(INDEX('Sản phẩm'!$B$5:$B$304,MATCH(D3244,'Sản phẩm'!$A$5:$A$304,0)),""))</f>
        <v/>
      </c>
      <c r="F3244" s="12" t="n"/>
      <c r="G3244" s="11" t="n"/>
      <c r="H3244" s="11" t="n"/>
      <c r="I3244" s="16">
        <f>IF(D3244="","",IF(G3244&lt;&gt;"",G3244,IFERROR(INDEX('Sản phẩm'!$E$5:$E$304,MATCH(D3244,'Sản phẩm'!$A$5:$A$304,0)),"")))</f>
        <v/>
      </c>
      <c r="J3244" s="16">
        <f>IF(OR(D3244="",F3244=""),"",F3244*I3244-N(H3244))</f>
        <v/>
      </c>
      <c r="K3244" s="16">
        <f>IF(OR(D3244="",F3244=""),"",F3244*IFERROR(INDEX('Sản phẩm'!$D$5:$D$304,MATCH(D3244,'Sản phẩm'!$A$5:$A$304,0)),""))</f>
        <v/>
      </c>
      <c r="L3244" s="16">
        <f>IF(J3244="","",J3244-K3244)</f>
        <v/>
      </c>
      <c r="M3244" s="14">
        <f>IF(A3244="","",MONTH(A3244))</f>
        <v/>
      </c>
      <c r="N3244" s="14">
        <f>IF(A3244="","",YEAR(A3244))</f>
        <v/>
      </c>
    </row>
    <row r="3245">
      <c r="A3245" s="15" t="n"/>
      <c r="B3245" s="10" t="n"/>
      <c r="C3245" s="10" t="n"/>
      <c r="D3245" s="10" t="n"/>
      <c r="E3245" s="14">
        <f>IF(D3245="","",IFERROR(INDEX('Sản phẩm'!$B$5:$B$304,MATCH(D3245,'Sản phẩm'!$A$5:$A$304,0)),""))</f>
        <v/>
      </c>
      <c r="F3245" s="12" t="n"/>
      <c r="G3245" s="11" t="n"/>
      <c r="H3245" s="11" t="n"/>
      <c r="I3245" s="16">
        <f>IF(D3245="","",IF(G3245&lt;&gt;"",G3245,IFERROR(INDEX('Sản phẩm'!$E$5:$E$304,MATCH(D3245,'Sản phẩm'!$A$5:$A$304,0)),"")))</f>
        <v/>
      </c>
      <c r="J3245" s="16">
        <f>IF(OR(D3245="",F3245=""),"",F3245*I3245-N(H3245))</f>
        <v/>
      </c>
      <c r="K3245" s="16">
        <f>IF(OR(D3245="",F3245=""),"",F3245*IFERROR(INDEX('Sản phẩm'!$D$5:$D$304,MATCH(D3245,'Sản phẩm'!$A$5:$A$304,0)),""))</f>
        <v/>
      </c>
      <c r="L3245" s="16">
        <f>IF(J3245="","",J3245-K3245)</f>
        <v/>
      </c>
      <c r="M3245" s="14">
        <f>IF(A3245="","",MONTH(A3245))</f>
        <v/>
      </c>
      <c r="N3245" s="14">
        <f>IF(A3245="","",YEAR(A3245))</f>
        <v/>
      </c>
    </row>
    <row r="3246">
      <c r="A3246" s="15" t="n"/>
      <c r="B3246" s="10" t="n"/>
      <c r="C3246" s="10" t="n"/>
      <c r="D3246" s="10" t="n"/>
      <c r="E3246" s="14">
        <f>IF(D3246="","",IFERROR(INDEX('Sản phẩm'!$B$5:$B$304,MATCH(D3246,'Sản phẩm'!$A$5:$A$304,0)),""))</f>
        <v/>
      </c>
      <c r="F3246" s="12" t="n"/>
      <c r="G3246" s="11" t="n"/>
      <c r="H3246" s="11" t="n"/>
      <c r="I3246" s="16">
        <f>IF(D3246="","",IF(G3246&lt;&gt;"",G3246,IFERROR(INDEX('Sản phẩm'!$E$5:$E$304,MATCH(D3246,'Sản phẩm'!$A$5:$A$304,0)),"")))</f>
        <v/>
      </c>
      <c r="J3246" s="16">
        <f>IF(OR(D3246="",F3246=""),"",F3246*I3246-N(H3246))</f>
        <v/>
      </c>
      <c r="K3246" s="16">
        <f>IF(OR(D3246="",F3246=""),"",F3246*IFERROR(INDEX('Sản phẩm'!$D$5:$D$304,MATCH(D3246,'Sản phẩm'!$A$5:$A$304,0)),""))</f>
        <v/>
      </c>
      <c r="L3246" s="16">
        <f>IF(J3246="","",J3246-K3246)</f>
        <v/>
      </c>
      <c r="M3246" s="14">
        <f>IF(A3246="","",MONTH(A3246))</f>
        <v/>
      </c>
      <c r="N3246" s="14">
        <f>IF(A3246="","",YEAR(A3246))</f>
        <v/>
      </c>
    </row>
    <row r="3247">
      <c r="A3247" s="15" t="n"/>
      <c r="B3247" s="10" t="n"/>
      <c r="C3247" s="10" t="n"/>
      <c r="D3247" s="10" t="n"/>
      <c r="E3247" s="14">
        <f>IF(D3247="","",IFERROR(INDEX('Sản phẩm'!$B$5:$B$304,MATCH(D3247,'Sản phẩm'!$A$5:$A$304,0)),""))</f>
        <v/>
      </c>
      <c r="F3247" s="12" t="n"/>
      <c r="G3247" s="11" t="n"/>
      <c r="H3247" s="11" t="n"/>
      <c r="I3247" s="16">
        <f>IF(D3247="","",IF(G3247&lt;&gt;"",G3247,IFERROR(INDEX('Sản phẩm'!$E$5:$E$304,MATCH(D3247,'Sản phẩm'!$A$5:$A$304,0)),"")))</f>
        <v/>
      </c>
      <c r="J3247" s="16">
        <f>IF(OR(D3247="",F3247=""),"",F3247*I3247-N(H3247))</f>
        <v/>
      </c>
      <c r="K3247" s="16">
        <f>IF(OR(D3247="",F3247=""),"",F3247*IFERROR(INDEX('Sản phẩm'!$D$5:$D$304,MATCH(D3247,'Sản phẩm'!$A$5:$A$304,0)),""))</f>
        <v/>
      </c>
      <c r="L3247" s="16">
        <f>IF(J3247="","",J3247-K3247)</f>
        <v/>
      </c>
      <c r="M3247" s="14">
        <f>IF(A3247="","",MONTH(A3247))</f>
        <v/>
      </c>
      <c r="N3247" s="14">
        <f>IF(A3247="","",YEAR(A3247))</f>
        <v/>
      </c>
    </row>
    <row r="3248">
      <c r="A3248" s="15" t="n"/>
      <c r="B3248" s="10" t="n"/>
      <c r="C3248" s="10" t="n"/>
      <c r="D3248" s="10" t="n"/>
      <c r="E3248" s="14">
        <f>IF(D3248="","",IFERROR(INDEX('Sản phẩm'!$B$5:$B$304,MATCH(D3248,'Sản phẩm'!$A$5:$A$304,0)),""))</f>
        <v/>
      </c>
      <c r="F3248" s="12" t="n"/>
      <c r="G3248" s="11" t="n"/>
      <c r="H3248" s="11" t="n"/>
      <c r="I3248" s="16">
        <f>IF(D3248="","",IF(G3248&lt;&gt;"",G3248,IFERROR(INDEX('Sản phẩm'!$E$5:$E$304,MATCH(D3248,'Sản phẩm'!$A$5:$A$304,0)),"")))</f>
        <v/>
      </c>
      <c r="J3248" s="16">
        <f>IF(OR(D3248="",F3248=""),"",F3248*I3248-N(H3248))</f>
        <v/>
      </c>
      <c r="K3248" s="16">
        <f>IF(OR(D3248="",F3248=""),"",F3248*IFERROR(INDEX('Sản phẩm'!$D$5:$D$304,MATCH(D3248,'Sản phẩm'!$A$5:$A$304,0)),""))</f>
        <v/>
      </c>
      <c r="L3248" s="16">
        <f>IF(J3248="","",J3248-K3248)</f>
        <v/>
      </c>
      <c r="M3248" s="14">
        <f>IF(A3248="","",MONTH(A3248))</f>
        <v/>
      </c>
      <c r="N3248" s="14">
        <f>IF(A3248="","",YEAR(A3248))</f>
        <v/>
      </c>
    </row>
    <row r="3249">
      <c r="A3249" s="15" t="n"/>
      <c r="B3249" s="10" t="n"/>
      <c r="C3249" s="10" t="n"/>
      <c r="D3249" s="10" t="n"/>
      <c r="E3249" s="14">
        <f>IF(D3249="","",IFERROR(INDEX('Sản phẩm'!$B$5:$B$304,MATCH(D3249,'Sản phẩm'!$A$5:$A$304,0)),""))</f>
        <v/>
      </c>
      <c r="F3249" s="12" t="n"/>
      <c r="G3249" s="11" t="n"/>
      <c r="H3249" s="11" t="n"/>
      <c r="I3249" s="16">
        <f>IF(D3249="","",IF(G3249&lt;&gt;"",G3249,IFERROR(INDEX('Sản phẩm'!$E$5:$E$304,MATCH(D3249,'Sản phẩm'!$A$5:$A$304,0)),"")))</f>
        <v/>
      </c>
      <c r="J3249" s="16">
        <f>IF(OR(D3249="",F3249=""),"",F3249*I3249-N(H3249))</f>
        <v/>
      </c>
      <c r="K3249" s="16">
        <f>IF(OR(D3249="",F3249=""),"",F3249*IFERROR(INDEX('Sản phẩm'!$D$5:$D$304,MATCH(D3249,'Sản phẩm'!$A$5:$A$304,0)),""))</f>
        <v/>
      </c>
      <c r="L3249" s="16">
        <f>IF(J3249="","",J3249-K3249)</f>
        <v/>
      </c>
      <c r="M3249" s="14">
        <f>IF(A3249="","",MONTH(A3249))</f>
        <v/>
      </c>
      <c r="N3249" s="14">
        <f>IF(A3249="","",YEAR(A3249))</f>
        <v/>
      </c>
    </row>
    <row r="3250">
      <c r="A3250" s="15" t="n"/>
      <c r="B3250" s="10" t="n"/>
      <c r="C3250" s="10" t="n"/>
      <c r="D3250" s="10" t="n"/>
      <c r="E3250" s="14">
        <f>IF(D3250="","",IFERROR(INDEX('Sản phẩm'!$B$5:$B$304,MATCH(D3250,'Sản phẩm'!$A$5:$A$304,0)),""))</f>
        <v/>
      </c>
      <c r="F3250" s="12" t="n"/>
      <c r="G3250" s="11" t="n"/>
      <c r="H3250" s="11" t="n"/>
      <c r="I3250" s="16">
        <f>IF(D3250="","",IF(G3250&lt;&gt;"",G3250,IFERROR(INDEX('Sản phẩm'!$E$5:$E$304,MATCH(D3250,'Sản phẩm'!$A$5:$A$304,0)),"")))</f>
        <v/>
      </c>
      <c r="J3250" s="16">
        <f>IF(OR(D3250="",F3250=""),"",F3250*I3250-N(H3250))</f>
        <v/>
      </c>
      <c r="K3250" s="16">
        <f>IF(OR(D3250="",F3250=""),"",F3250*IFERROR(INDEX('Sản phẩm'!$D$5:$D$304,MATCH(D3250,'Sản phẩm'!$A$5:$A$304,0)),""))</f>
        <v/>
      </c>
      <c r="L3250" s="16">
        <f>IF(J3250="","",J3250-K3250)</f>
        <v/>
      </c>
      <c r="M3250" s="14">
        <f>IF(A3250="","",MONTH(A3250))</f>
        <v/>
      </c>
      <c r="N3250" s="14">
        <f>IF(A3250="","",YEAR(A3250))</f>
        <v/>
      </c>
    </row>
    <row r="3251">
      <c r="A3251" s="15" t="n"/>
      <c r="B3251" s="10" t="n"/>
      <c r="C3251" s="10" t="n"/>
      <c r="D3251" s="10" t="n"/>
      <c r="E3251" s="14">
        <f>IF(D3251="","",IFERROR(INDEX('Sản phẩm'!$B$5:$B$304,MATCH(D3251,'Sản phẩm'!$A$5:$A$304,0)),""))</f>
        <v/>
      </c>
      <c r="F3251" s="12" t="n"/>
      <c r="G3251" s="11" t="n"/>
      <c r="H3251" s="11" t="n"/>
      <c r="I3251" s="16">
        <f>IF(D3251="","",IF(G3251&lt;&gt;"",G3251,IFERROR(INDEX('Sản phẩm'!$E$5:$E$304,MATCH(D3251,'Sản phẩm'!$A$5:$A$304,0)),"")))</f>
        <v/>
      </c>
      <c r="J3251" s="16">
        <f>IF(OR(D3251="",F3251=""),"",F3251*I3251-N(H3251))</f>
        <v/>
      </c>
      <c r="K3251" s="16">
        <f>IF(OR(D3251="",F3251=""),"",F3251*IFERROR(INDEX('Sản phẩm'!$D$5:$D$304,MATCH(D3251,'Sản phẩm'!$A$5:$A$304,0)),""))</f>
        <v/>
      </c>
      <c r="L3251" s="16">
        <f>IF(J3251="","",J3251-K3251)</f>
        <v/>
      </c>
      <c r="M3251" s="14">
        <f>IF(A3251="","",MONTH(A3251))</f>
        <v/>
      </c>
      <c r="N3251" s="14">
        <f>IF(A3251="","",YEAR(A3251))</f>
        <v/>
      </c>
    </row>
    <row r="3252">
      <c r="A3252" s="15" t="n"/>
      <c r="B3252" s="10" t="n"/>
      <c r="C3252" s="10" t="n"/>
      <c r="D3252" s="10" t="n"/>
      <c r="E3252" s="14">
        <f>IF(D3252="","",IFERROR(INDEX('Sản phẩm'!$B$5:$B$304,MATCH(D3252,'Sản phẩm'!$A$5:$A$304,0)),""))</f>
        <v/>
      </c>
      <c r="F3252" s="12" t="n"/>
      <c r="G3252" s="11" t="n"/>
      <c r="H3252" s="11" t="n"/>
      <c r="I3252" s="16">
        <f>IF(D3252="","",IF(G3252&lt;&gt;"",G3252,IFERROR(INDEX('Sản phẩm'!$E$5:$E$304,MATCH(D3252,'Sản phẩm'!$A$5:$A$304,0)),"")))</f>
        <v/>
      </c>
      <c r="J3252" s="16">
        <f>IF(OR(D3252="",F3252=""),"",F3252*I3252-N(H3252))</f>
        <v/>
      </c>
      <c r="K3252" s="16">
        <f>IF(OR(D3252="",F3252=""),"",F3252*IFERROR(INDEX('Sản phẩm'!$D$5:$D$304,MATCH(D3252,'Sản phẩm'!$A$5:$A$304,0)),""))</f>
        <v/>
      </c>
      <c r="L3252" s="16">
        <f>IF(J3252="","",J3252-K3252)</f>
        <v/>
      </c>
      <c r="M3252" s="14">
        <f>IF(A3252="","",MONTH(A3252))</f>
        <v/>
      </c>
      <c r="N3252" s="14">
        <f>IF(A3252="","",YEAR(A3252))</f>
        <v/>
      </c>
    </row>
    <row r="3253">
      <c r="A3253" s="15" t="n"/>
      <c r="B3253" s="10" t="n"/>
      <c r="C3253" s="10" t="n"/>
      <c r="D3253" s="10" t="n"/>
      <c r="E3253" s="14">
        <f>IF(D3253="","",IFERROR(INDEX('Sản phẩm'!$B$5:$B$304,MATCH(D3253,'Sản phẩm'!$A$5:$A$304,0)),""))</f>
        <v/>
      </c>
      <c r="F3253" s="12" t="n"/>
      <c r="G3253" s="11" t="n"/>
      <c r="H3253" s="11" t="n"/>
      <c r="I3253" s="16">
        <f>IF(D3253="","",IF(G3253&lt;&gt;"",G3253,IFERROR(INDEX('Sản phẩm'!$E$5:$E$304,MATCH(D3253,'Sản phẩm'!$A$5:$A$304,0)),"")))</f>
        <v/>
      </c>
      <c r="J3253" s="16">
        <f>IF(OR(D3253="",F3253=""),"",F3253*I3253-N(H3253))</f>
        <v/>
      </c>
      <c r="K3253" s="16">
        <f>IF(OR(D3253="",F3253=""),"",F3253*IFERROR(INDEX('Sản phẩm'!$D$5:$D$304,MATCH(D3253,'Sản phẩm'!$A$5:$A$304,0)),""))</f>
        <v/>
      </c>
      <c r="L3253" s="16">
        <f>IF(J3253="","",J3253-K3253)</f>
        <v/>
      </c>
      <c r="M3253" s="14">
        <f>IF(A3253="","",MONTH(A3253))</f>
        <v/>
      </c>
      <c r="N3253" s="14">
        <f>IF(A3253="","",YEAR(A3253))</f>
        <v/>
      </c>
    </row>
    <row r="3254">
      <c r="A3254" s="15" t="n"/>
      <c r="B3254" s="10" t="n"/>
      <c r="C3254" s="10" t="n"/>
      <c r="D3254" s="10" t="n"/>
      <c r="E3254" s="14">
        <f>IF(D3254="","",IFERROR(INDEX('Sản phẩm'!$B$5:$B$304,MATCH(D3254,'Sản phẩm'!$A$5:$A$304,0)),""))</f>
        <v/>
      </c>
      <c r="F3254" s="12" t="n"/>
      <c r="G3254" s="11" t="n"/>
      <c r="H3254" s="11" t="n"/>
      <c r="I3254" s="16">
        <f>IF(D3254="","",IF(G3254&lt;&gt;"",G3254,IFERROR(INDEX('Sản phẩm'!$E$5:$E$304,MATCH(D3254,'Sản phẩm'!$A$5:$A$304,0)),"")))</f>
        <v/>
      </c>
      <c r="J3254" s="16">
        <f>IF(OR(D3254="",F3254=""),"",F3254*I3254-N(H3254))</f>
        <v/>
      </c>
      <c r="K3254" s="16">
        <f>IF(OR(D3254="",F3254=""),"",F3254*IFERROR(INDEX('Sản phẩm'!$D$5:$D$304,MATCH(D3254,'Sản phẩm'!$A$5:$A$304,0)),""))</f>
        <v/>
      </c>
      <c r="L3254" s="16">
        <f>IF(J3254="","",J3254-K3254)</f>
        <v/>
      </c>
      <c r="M3254" s="14">
        <f>IF(A3254="","",MONTH(A3254))</f>
        <v/>
      </c>
      <c r="N3254" s="14">
        <f>IF(A3254="","",YEAR(A3254))</f>
        <v/>
      </c>
    </row>
    <row r="3255">
      <c r="A3255" s="15" t="n"/>
      <c r="B3255" s="10" t="n"/>
      <c r="C3255" s="10" t="n"/>
      <c r="D3255" s="10" t="n"/>
      <c r="E3255" s="14">
        <f>IF(D3255="","",IFERROR(INDEX('Sản phẩm'!$B$5:$B$304,MATCH(D3255,'Sản phẩm'!$A$5:$A$304,0)),""))</f>
        <v/>
      </c>
      <c r="F3255" s="12" t="n"/>
      <c r="G3255" s="11" t="n"/>
      <c r="H3255" s="11" t="n"/>
      <c r="I3255" s="16">
        <f>IF(D3255="","",IF(G3255&lt;&gt;"",G3255,IFERROR(INDEX('Sản phẩm'!$E$5:$E$304,MATCH(D3255,'Sản phẩm'!$A$5:$A$304,0)),"")))</f>
        <v/>
      </c>
      <c r="J3255" s="16">
        <f>IF(OR(D3255="",F3255=""),"",F3255*I3255-N(H3255))</f>
        <v/>
      </c>
      <c r="K3255" s="16">
        <f>IF(OR(D3255="",F3255=""),"",F3255*IFERROR(INDEX('Sản phẩm'!$D$5:$D$304,MATCH(D3255,'Sản phẩm'!$A$5:$A$304,0)),""))</f>
        <v/>
      </c>
      <c r="L3255" s="16">
        <f>IF(J3255="","",J3255-K3255)</f>
        <v/>
      </c>
      <c r="M3255" s="14">
        <f>IF(A3255="","",MONTH(A3255))</f>
        <v/>
      </c>
      <c r="N3255" s="14">
        <f>IF(A3255="","",YEAR(A3255))</f>
        <v/>
      </c>
    </row>
    <row r="3256">
      <c r="A3256" s="15" t="n"/>
      <c r="B3256" s="10" t="n"/>
      <c r="C3256" s="10" t="n"/>
      <c r="D3256" s="10" t="n"/>
      <c r="E3256" s="14">
        <f>IF(D3256="","",IFERROR(INDEX('Sản phẩm'!$B$5:$B$304,MATCH(D3256,'Sản phẩm'!$A$5:$A$304,0)),""))</f>
        <v/>
      </c>
      <c r="F3256" s="12" t="n"/>
      <c r="G3256" s="11" t="n"/>
      <c r="H3256" s="11" t="n"/>
      <c r="I3256" s="16">
        <f>IF(D3256="","",IF(G3256&lt;&gt;"",G3256,IFERROR(INDEX('Sản phẩm'!$E$5:$E$304,MATCH(D3256,'Sản phẩm'!$A$5:$A$304,0)),"")))</f>
        <v/>
      </c>
      <c r="J3256" s="16">
        <f>IF(OR(D3256="",F3256=""),"",F3256*I3256-N(H3256))</f>
        <v/>
      </c>
      <c r="K3256" s="16">
        <f>IF(OR(D3256="",F3256=""),"",F3256*IFERROR(INDEX('Sản phẩm'!$D$5:$D$304,MATCH(D3256,'Sản phẩm'!$A$5:$A$304,0)),""))</f>
        <v/>
      </c>
      <c r="L3256" s="16">
        <f>IF(J3256="","",J3256-K3256)</f>
        <v/>
      </c>
      <c r="M3256" s="14">
        <f>IF(A3256="","",MONTH(A3256))</f>
        <v/>
      </c>
      <c r="N3256" s="14">
        <f>IF(A3256="","",YEAR(A3256))</f>
        <v/>
      </c>
    </row>
    <row r="3257">
      <c r="A3257" s="15" t="n"/>
      <c r="B3257" s="10" t="n"/>
      <c r="C3257" s="10" t="n"/>
      <c r="D3257" s="10" t="n"/>
      <c r="E3257" s="14">
        <f>IF(D3257="","",IFERROR(INDEX('Sản phẩm'!$B$5:$B$304,MATCH(D3257,'Sản phẩm'!$A$5:$A$304,0)),""))</f>
        <v/>
      </c>
      <c r="F3257" s="12" t="n"/>
      <c r="G3257" s="11" t="n"/>
      <c r="H3257" s="11" t="n"/>
      <c r="I3257" s="16">
        <f>IF(D3257="","",IF(G3257&lt;&gt;"",G3257,IFERROR(INDEX('Sản phẩm'!$E$5:$E$304,MATCH(D3257,'Sản phẩm'!$A$5:$A$304,0)),"")))</f>
        <v/>
      </c>
      <c r="J3257" s="16">
        <f>IF(OR(D3257="",F3257=""),"",F3257*I3257-N(H3257))</f>
        <v/>
      </c>
      <c r="K3257" s="16">
        <f>IF(OR(D3257="",F3257=""),"",F3257*IFERROR(INDEX('Sản phẩm'!$D$5:$D$304,MATCH(D3257,'Sản phẩm'!$A$5:$A$304,0)),""))</f>
        <v/>
      </c>
      <c r="L3257" s="16">
        <f>IF(J3257="","",J3257-K3257)</f>
        <v/>
      </c>
      <c r="M3257" s="14">
        <f>IF(A3257="","",MONTH(A3257))</f>
        <v/>
      </c>
      <c r="N3257" s="14">
        <f>IF(A3257="","",YEAR(A3257))</f>
        <v/>
      </c>
    </row>
    <row r="3258">
      <c r="A3258" s="15" t="n"/>
      <c r="B3258" s="10" t="n"/>
      <c r="C3258" s="10" t="n"/>
      <c r="D3258" s="10" t="n"/>
      <c r="E3258" s="14">
        <f>IF(D3258="","",IFERROR(INDEX('Sản phẩm'!$B$5:$B$304,MATCH(D3258,'Sản phẩm'!$A$5:$A$304,0)),""))</f>
        <v/>
      </c>
      <c r="F3258" s="12" t="n"/>
      <c r="G3258" s="11" t="n"/>
      <c r="H3258" s="11" t="n"/>
      <c r="I3258" s="16">
        <f>IF(D3258="","",IF(G3258&lt;&gt;"",G3258,IFERROR(INDEX('Sản phẩm'!$E$5:$E$304,MATCH(D3258,'Sản phẩm'!$A$5:$A$304,0)),"")))</f>
        <v/>
      </c>
      <c r="J3258" s="16">
        <f>IF(OR(D3258="",F3258=""),"",F3258*I3258-N(H3258))</f>
        <v/>
      </c>
      <c r="K3258" s="16">
        <f>IF(OR(D3258="",F3258=""),"",F3258*IFERROR(INDEX('Sản phẩm'!$D$5:$D$304,MATCH(D3258,'Sản phẩm'!$A$5:$A$304,0)),""))</f>
        <v/>
      </c>
      <c r="L3258" s="16">
        <f>IF(J3258="","",J3258-K3258)</f>
        <v/>
      </c>
      <c r="M3258" s="14">
        <f>IF(A3258="","",MONTH(A3258))</f>
        <v/>
      </c>
      <c r="N3258" s="14">
        <f>IF(A3258="","",YEAR(A3258))</f>
        <v/>
      </c>
    </row>
    <row r="3259">
      <c r="A3259" s="15" t="n"/>
      <c r="B3259" s="10" t="n"/>
      <c r="C3259" s="10" t="n"/>
      <c r="D3259" s="10" t="n"/>
      <c r="E3259" s="14">
        <f>IF(D3259="","",IFERROR(INDEX('Sản phẩm'!$B$5:$B$304,MATCH(D3259,'Sản phẩm'!$A$5:$A$304,0)),""))</f>
        <v/>
      </c>
      <c r="F3259" s="12" t="n"/>
      <c r="G3259" s="11" t="n"/>
      <c r="H3259" s="11" t="n"/>
      <c r="I3259" s="16">
        <f>IF(D3259="","",IF(G3259&lt;&gt;"",G3259,IFERROR(INDEX('Sản phẩm'!$E$5:$E$304,MATCH(D3259,'Sản phẩm'!$A$5:$A$304,0)),"")))</f>
        <v/>
      </c>
      <c r="J3259" s="16">
        <f>IF(OR(D3259="",F3259=""),"",F3259*I3259-N(H3259))</f>
        <v/>
      </c>
      <c r="K3259" s="16">
        <f>IF(OR(D3259="",F3259=""),"",F3259*IFERROR(INDEX('Sản phẩm'!$D$5:$D$304,MATCH(D3259,'Sản phẩm'!$A$5:$A$304,0)),""))</f>
        <v/>
      </c>
      <c r="L3259" s="16">
        <f>IF(J3259="","",J3259-K3259)</f>
        <v/>
      </c>
      <c r="M3259" s="14">
        <f>IF(A3259="","",MONTH(A3259))</f>
        <v/>
      </c>
      <c r="N3259" s="14">
        <f>IF(A3259="","",YEAR(A3259))</f>
        <v/>
      </c>
    </row>
    <row r="3260">
      <c r="A3260" s="15" t="n"/>
      <c r="B3260" s="10" t="n"/>
      <c r="C3260" s="10" t="n"/>
      <c r="D3260" s="10" t="n"/>
      <c r="E3260" s="14">
        <f>IF(D3260="","",IFERROR(INDEX('Sản phẩm'!$B$5:$B$304,MATCH(D3260,'Sản phẩm'!$A$5:$A$304,0)),""))</f>
        <v/>
      </c>
      <c r="F3260" s="12" t="n"/>
      <c r="G3260" s="11" t="n"/>
      <c r="H3260" s="11" t="n"/>
      <c r="I3260" s="16">
        <f>IF(D3260="","",IF(G3260&lt;&gt;"",G3260,IFERROR(INDEX('Sản phẩm'!$E$5:$E$304,MATCH(D3260,'Sản phẩm'!$A$5:$A$304,0)),"")))</f>
        <v/>
      </c>
      <c r="J3260" s="16">
        <f>IF(OR(D3260="",F3260=""),"",F3260*I3260-N(H3260))</f>
        <v/>
      </c>
      <c r="K3260" s="16">
        <f>IF(OR(D3260="",F3260=""),"",F3260*IFERROR(INDEX('Sản phẩm'!$D$5:$D$304,MATCH(D3260,'Sản phẩm'!$A$5:$A$304,0)),""))</f>
        <v/>
      </c>
      <c r="L3260" s="16">
        <f>IF(J3260="","",J3260-K3260)</f>
        <v/>
      </c>
      <c r="M3260" s="14">
        <f>IF(A3260="","",MONTH(A3260))</f>
        <v/>
      </c>
      <c r="N3260" s="14">
        <f>IF(A3260="","",YEAR(A3260))</f>
        <v/>
      </c>
    </row>
    <row r="3261">
      <c r="A3261" s="15" t="n"/>
      <c r="B3261" s="10" t="n"/>
      <c r="C3261" s="10" t="n"/>
      <c r="D3261" s="10" t="n"/>
      <c r="E3261" s="14">
        <f>IF(D3261="","",IFERROR(INDEX('Sản phẩm'!$B$5:$B$304,MATCH(D3261,'Sản phẩm'!$A$5:$A$304,0)),""))</f>
        <v/>
      </c>
      <c r="F3261" s="12" t="n"/>
      <c r="G3261" s="11" t="n"/>
      <c r="H3261" s="11" t="n"/>
      <c r="I3261" s="16">
        <f>IF(D3261="","",IF(G3261&lt;&gt;"",G3261,IFERROR(INDEX('Sản phẩm'!$E$5:$E$304,MATCH(D3261,'Sản phẩm'!$A$5:$A$304,0)),"")))</f>
        <v/>
      </c>
      <c r="J3261" s="16">
        <f>IF(OR(D3261="",F3261=""),"",F3261*I3261-N(H3261))</f>
        <v/>
      </c>
      <c r="K3261" s="16">
        <f>IF(OR(D3261="",F3261=""),"",F3261*IFERROR(INDEX('Sản phẩm'!$D$5:$D$304,MATCH(D3261,'Sản phẩm'!$A$5:$A$304,0)),""))</f>
        <v/>
      </c>
      <c r="L3261" s="16">
        <f>IF(J3261="","",J3261-K3261)</f>
        <v/>
      </c>
      <c r="M3261" s="14">
        <f>IF(A3261="","",MONTH(A3261))</f>
        <v/>
      </c>
      <c r="N3261" s="14">
        <f>IF(A3261="","",YEAR(A3261))</f>
        <v/>
      </c>
    </row>
    <row r="3262">
      <c r="A3262" s="15" t="n"/>
      <c r="B3262" s="10" t="n"/>
      <c r="C3262" s="10" t="n"/>
      <c r="D3262" s="10" t="n"/>
      <c r="E3262" s="14">
        <f>IF(D3262="","",IFERROR(INDEX('Sản phẩm'!$B$5:$B$304,MATCH(D3262,'Sản phẩm'!$A$5:$A$304,0)),""))</f>
        <v/>
      </c>
      <c r="F3262" s="12" t="n"/>
      <c r="G3262" s="11" t="n"/>
      <c r="H3262" s="11" t="n"/>
      <c r="I3262" s="16">
        <f>IF(D3262="","",IF(G3262&lt;&gt;"",G3262,IFERROR(INDEX('Sản phẩm'!$E$5:$E$304,MATCH(D3262,'Sản phẩm'!$A$5:$A$304,0)),"")))</f>
        <v/>
      </c>
      <c r="J3262" s="16">
        <f>IF(OR(D3262="",F3262=""),"",F3262*I3262-N(H3262))</f>
        <v/>
      </c>
      <c r="K3262" s="16">
        <f>IF(OR(D3262="",F3262=""),"",F3262*IFERROR(INDEX('Sản phẩm'!$D$5:$D$304,MATCH(D3262,'Sản phẩm'!$A$5:$A$304,0)),""))</f>
        <v/>
      </c>
      <c r="L3262" s="16">
        <f>IF(J3262="","",J3262-K3262)</f>
        <v/>
      </c>
      <c r="M3262" s="14">
        <f>IF(A3262="","",MONTH(A3262))</f>
        <v/>
      </c>
      <c r="N3262" s="14">
        <f>IF(A3262="","",YEAR(A3262))</f>
        <v/>
      </c>
    </row>
    <row r="3263">
      <c r="A3263" s="15" t="n"/>
      <c r="B3263" s="10" t="n"/>
      <c r="C3263" s="10" t="n"/>
      <c r="D3263" s="10" t="n"/>
      <c r="E3263" s="14">
        <f>IF(D3263="","",IFERROR(INDEX('Sản phẩm'!$B$5:$B$304,MATCH(D3263,'Sản phẩm'!$A$5:$A$304,0)),""))</f>
        <v/>
      </c>
      <c r="F3263" s="12" t="n"/>
      <c r="G3263" s="11" t="n"/>
      <c r="H3263" s="11" t="n"/>
      <c r="I3263" s="16">
        <f>IF(D3263="","",IF(G3263&lt;&gt;"",G3263,IFERROR(INDEX('Sản phẩm'!$E$5:$E$304,MATCH(D3263,'Sản phẩm'!$A$5:$A$304,0)),"")))</f>
        <v/>
      </c>
      <c r="J3263" s="16">
        <f>IF(OR(D3263="",F3263=""),"",F3263*I3263-N(H3263))</f>
        <v/>
      </c>
      <c r="K3263" s="16">
        <f>IF(OR(D3263="",F3263=""),"",F3263*IFERROR(INDEX('Sản phẩm'!$D$5:$D$304,MATCH(D3263,'Sản phẩm'!$A$5:$A$304,0)),""))</f>
        <v/>
      </c>
      <c r="L3263" s="16">
        <f>IF(J3263="","",J3263-K3263)</f>
        <v/>
      </c>
      <c r="M3263" s="14">
        <f>IF(A3263="","",MONTH(A3263))</f>
        <v/>
      </c>
      <c r="N3263" s="14">
        <f>IF(A3263="","",YEAR(A3263))</f>
        <v/>
      </c>
    </row>
    <row r="3264">
      <c r="A3264" s="15" t="n"/>
      <c r="B3264" s="10" t="n"/>
      <c r="C3264" s="10" t="n"/>
      <c r="D3264" s="10" t="n"/>
      <c r="E3264" s="14">
        <f>IF(D3264="","",IFERROR(INDEX('Sản phẩm'!$B$5:$B$304,MATCH(D3264,'Sản phẩm'!$A$5:$A$304,0)),""))</f>
        <v/>
      </c>
      <c r="F3264" s="12" t="n"/>
      <c r="G3264" s="11" t="n"/>
      <c r="H3264" s="11" t="n"/>
      <c r="I3264" s="16">
        <f>IF(D3264="","",IF(G3264&lt;&gt;"",G3264,IFERROR(INDEX('Sản phẩm'!$E$5:$E$304,MATCH(D3264,'Sản phẩm'!$A$5:$A$304,0)),"")))</f>
        <v/>
      </c>
      <c r="J3264" s="16">
        <f>IF(OR(D3264="",F3264=""),"",F3264*I3264-N(H3264))</f>
        <v/>
      </c>
      <c r="K3264" s="16">
        <f>IF(OR(D3264="",F3264=""),"",F3264*IFERROR(INDEX('Sản phẩm'!$D$5:$D$304,MATCH(D3264,'Sản phẩm'!$A$5:$A$304,0)),""))</f>
        <v/>
      </c>
      <c r="L3264" s="16">
        <f>IF(J3264="","",J3264-K3264)</f>
        <v/>
      </c>
      <c r="M3264" s="14">
        <f>IF(A3264="","",MONTH(A3264))</f>
        <v/>
      </c>
      <c r="N3264" s="14">
        <f>IF(A3264="","",YEAR(A3264))</f>
        <v/>
      </c>
    </row>
    <row r="3265">
      <c r="A3265" s="15" t="n"/>
      <c r="B3265" s="10" t="n"/>
      <c r="C3265" s="10" t="n"/>
      <c r="D3265" s="10" t="n"/>
      <c r="E3265" s="14">
        <f>IF(D3265="","",IFERROR(INDEX('Sản phẩm'!$B$5:$B$304,MATCH(D3265,'Sản phẩm'!$A$5:$A$304,0)),""))</f>
        <v/>
      </c>
      <c r="F3265" s="12" t="n"/>
      <c r="G3265" s="11" t="n"/>
      <c r="H3265" s="11" t="n"/>
      <c r="I3265" s="16">
        <f>IF(D3265="","",IF(G3265&lt;&gt;"",G3265,IFERROR(INDEX('Sản phẩm'!$E$5:$E$304,MATCH(D3265,'Sản phẩm'!$A$5:$A$304,0)),"")))</f>
        <v/>
      </c>
      <c r="J3265" s="16">
        <f>IF(OR(D3265="",F3265=""),"",F3265*I3265-N(H3265))</f>
        <v/>
      </c>
      <c r="K3265" s="16">
        <f>IF(OR(D3265="",F3265=""),"",F3265*IFERROR(INDEX('Sản phẩm'!$D$5:$D$304,MATCH(D3265,'Sản phẩm'!$A$5:$A$304,0)),""))</f>
        <v/>
      </c>
      <c r="L3265" s="16">
        <f>IF(J3265="","",J3265-K3265)</f>
        <v/>
      </c>
      <c r="M3265" s="14">
        <f>IF(A3265="","",MONTH(A3265))</f>
        <v/>
      </c>
      <c r="N3265" s="14">
        <f>IF(A3265="","",YEAR(A3265))</f>
        <v/>
      </c>
    </row>
    <row r="3266">
      <c r="A3266" s="15" t="n"/>
      <c r="B3266" s="10" t="n"/>
      <c r="C3266" s="10" t="n"/>
      <c r="D3266" s="10" t="n"/>
      <c r="E3266" s="14">
        <f>IF(D3266="","",IFERROR(INDEX('Sản phẩm'!$B$5:$B$304,MATCH(D3266,'Sản phẩm'!$A$5:$A$304,0)),""))</f>
        <v/>
      </c>
      <c r="F3266" s="12" t="n"/>
      <c r="G3266" s="11" t="n"/>
      <c r="H3266" s="11" t="n"/>
      <c r="I3266" s="16">
        <f>IF(D3266="","",IF(G3266&lt;&gt;"",G3266,IFERROR(INDEX('Sản phẩm'!$E$5:$E$304,MATCH(D3266,'Sản phẩm'!$A$5:$A$304,0)),"")))</f>
        <v/>
      </c>
      <c r="J3266" s="16">
        <f>IF(OR(D3266="",F3266=""),"",F3266*I3266-N(H3266))</f>
        <v/>
      </c>
      <c r="K3266" s="16">
        <f>IF(OR(D3266="",F3266=""),"",F3266*IFERROR(INDEX('Sản phẩm'!$D$5:$D$304,MATCH(D3266,'Sản phẩm'!$A$5:$A$304,0)),""))</f>
        <v/>
      </c>
      <c r="L3266" s="16">
        <f>IF(J3266="","",J3266-K3266)</f>
        <v/>
      </c>
      <c r="M3266" s="14">
        <f>IF(A3266="","",MONTH(A3266))</f>
        <v/>
      </c>
      <c r="N3266" s="14">
        <f>IF(A3266="","",YEAR(A3266))</f>
        <v/>
      </c>
    </row>
    <row r="3267">
      <c r="A3267" s="15" t="n"/>
      <c r="B3267" s="10" t="n"/>
      <c r="C3267" s="10" t="n"/>
      <c r="D3267" s="10" t="n"/>
      <c r="E3267" s="14">
        <f>IF(D3267="","",IFERROR(INDEX('Sản phẩm'!$B$5:$B$304,MATCH(D3267,'Sản phẩm'!$A$5:$A$304,0)),""))</f>
        <v/>
      </c>
      <c r="F3267" s="12" t="n"/>
      <c r="G3267" s="11" t="n"/>
      <c r="H3267" s="11" t="n"/>
      <c r="I3267" s="16">
        <f>IF(D3267="","",IF(G3267&lt;&gt;"",G3267,IFERROR(INDEX('Sản phẩm'!$E$5:$E$304,MATCH(D3267,'Sản phẩm'!$A$5:$A$304,0)),"")))</f>
        <v/>
      </c>
      <c r="J3267" s="16">
        <f>IF(OR(D3267="",F3267=""),"",F3267*I3267-N(H3267))</f>
        <v/>
      </c>
      <c r="K3267" s="16">
        <f>IF(OR(D3267="",F3267=""),"",F3267*IFERROR(INDEX('Sản phẩm'!$D$5:$D$304,MATCH(D3267,'Sản phẩm'!$A$5:$A$304,0)),""))</f>
        <v/>
      </c>
      <c r="L3267" s="16">
        <f>IF(J3267="","",J3267-K3267)</f>
        <v/>
      </c>
      <c r="M3267" s="14">
        <f>IF(A3267="","",MONTH(A3267))</f>
        <v/>
      </c>
      <c r="N3267" s="14">
        <f>IF(A3267="","",YEAR(A3267))</f>
        <v/>
      </c>
    </row>
    <row r="3268">
      <c r="A3268" s="15" t="n"/>
      <c r="B3268" s="10" t="n"/>
      <c r="C3268" s="10" t="n"/>
      <c r="D3268" s="10" t="n"/>
      <c r="E3268" s="14">
        <f>IF(D3268="","",IFERROR(INDEX('Sản phẩm'!$B$5:$B$304,MATCH(D3268,'Sản phẩm'!$A$5:$A$304,0)),""))</f>
        <v/>
      </c>
      <c r="F3268" s="12" t="n"/>
      <c r="G3268" s="11" t="n"/>
      <c r="H3268" s="11" t="n"/>
      <c r="I3268" s="16">
        <f>IF(D3268="","",IF(G3268&lt;&gt;"",G3268,IFERROR(INDEX('Sản phẩm'!$E$5:$E$304,MATCH(D3268,'Sản phẩm'!$A$5:$A$304,0)),"")))</f>
        <v/>
      </c>
      <c r="J3268" s="16">
        <f>IF(OR(D3268="",F3268=""),"",F3268*I3268-N(H3268))</f>
        <v/>
      </c>
      <c r="K3268" s="16">
        <f>IF(OR(D3268="",F3268=""),"",F3268*IFERROR(INDEX('Sản phẩm'!$D$5:$D$304,MATCH(D3268,'Sản phẩm'!$A$5:$A$304,0)),""))</f>
        <v/>
      </c>
      <c r="L3268" s="16">
        <f>IF(J3268="","",J3268-K3268)</f>
        <v/>
      </c>
      <c r="M3268" s="14">
        <f>IF(A3268="","",MONTH(A3268))</f>
        <v/>
      </c>
      <c r="N3268" s="14">
        <f>IF(A3268="","",YEAR(A3268))</f>
        <v/>
      </c>
    </row>
    <row r="3269">
      <c r="A3269" s="15" t="n"/>
      <c r="B3269" s="10" t="n"/>
      <c r="C3269" s="10" t="n"/>
      <c r="D3269" s="10" t="n"/>
      <c r="E3269" s="14">
        <f>IF(D3269="","",IFERROR(INDEX('Sản phẩm'!$B$5:$B$304,MATCH(D3269,'Sản phẩm'!$A$5:$A$304,0)),""))</f>
        <v/>
      </c>
      <c r="F3269" s="12" t="n"/>
      <c r="G3269" s="11" t="n"/>
      <c r="H3269" s="11" t="n"/>
      <c r="I3269" s="16">
        <f>IF(D3269="","",IF(G3269&lt;&gt;"",G3269,IFERROR(INDEX('Sản phẩm'!$E$5:$E$304,MATCH(D3269,'Sản phẩm'!$A$5:$A$304,0)),"")))</f>
        <v/>
      </c>
      <c r="J3269" s="16">
        <f>IF(OR(D3269="",F3269=""),"",F3269*I3269-N(H3269))</f>
        <v/>
      </c>
      <c r="K3269" s="16">
        <f>IF(OR(D3269="",F3269=""),"",F3269*IFERROR(INDEX('Sản phẩm'!$D$5:$D$304,MATCH(D3269,'Sản phẩm'!$A$5:$A$304,0)),""))</f>
        <v/>
      </c>
      <c r="L3269" s="16">
        <f>IF(J3269="","",J3269-K3269)</f>
        <v/>
      </c>
      <c r="M3269" s="14">
        <f>IF(A3269="","",MONTH(A3269))</f>
        <v/>
      </c>
      <c r="N3269" s="14">
        <f>IF(A3269="","",YEAR(A3269))</f>
        <v/>
      </c>
    </row>
    <row r="3270">
      <c r="A3270" s="15" t="n"/>
      <c r="B3270" s="10" t="n"/>
      <c r="C3270" s="10" t="n"/>
      <c r="D3270" s="10" t="n"/>
      <c r="E3270" s="14">
        <f>IF(D3270="","",IFERROR(INDEX('Sản phẩm'!$B$5:$B$304,MATCH(D3270,'Sản phẩm'!$A$5:$A$304,0)),""))</f>
        <v/>
      </c>
      <c r="F3270" s="12" t="n"/>
      <c r="G3270" s="11" t="n"/>
      <c r="H3270" s="11" t="n"/>
      <c r="I3270" s="16">
        <f>IF(D3270="","",IF(G3270&lt;&gt;"",G3270,IFERROR(INDEX('Sản phẩm'!$E$5:$E$304,MATCH(D3270,'Sản phẩm'!$A$5:$A$304,0)),"")))</f>
        <v/>
      </c>
      <c r="J3270" s="16">
        <f>IF(OR(D3270="",F3270=""),"",F3270*I3270-N(H3270))</f>
        <v/>
      </c>
      <c r="K3270" s="16">
        <f>IF(OR(D3270="",F3270=""),"",F3270*IFERROR(INDEX('Sản phẩm'!$D$5:$D$304,MATCH(D3270,'Sản phẩm'!$A$5:$A$304,0)),""))</f>
        <v/>
      </c>
      <c r="L3270" s="16">
        <f>IF(J3270="","",J3270-K3270)</f>
        <v/>
      </c>
      <c r="M3270" s="14">
        <f>IF(A3270="","",MONTH(A3270))</f>
        <v/>
      </c>
      <c r="N3270" s="14">
        <f>IF(A3270="","",YEAR(A3270))</f>
        <v/>
      </c>
    </row>
    <row r="3271">
      <c r="A3271" s="15" t="n"/>
      <c r="B3271" s="10" t="n"/>
      <c r="C3271" s="10" t="n"/>
      <c r="D3271" s="10" t="n"/>
      <c r="E3271" s="14">
        <f>IF(D3271="","",IFERROR(INDEX('Sản phẩm'!$B$5:$B$304,MATCH(D3271,'Sản phẩm'!$A$5:$A$304,0)),""))</f>
        <v/>
      </c>
      <c r="F3271" s="12" t="n"/>
      <c r="G3271" s="11" t="n"/>
      <c r="H3271" s="11" t="n"/>
      <c r="I3271" s="16">
        <f>IF(D3271="","",IF(G3271&lt;&gt;"",G3271,IFERROR(INDEX('Sản phẩm'!$E$5:$E$304,MATCH(D3271,'Sản phẩm'!$A$5:$A$304,0)),"")))</f>
        <v/>
      </c>
      <c r="J3271" s="16">
        <f>IF(OR(D3271="",F3271=""),"",F3271*I3271-N(H3271))</f>
        <v/>
      </c>
      <c r="K3271" s="16">
        <f>IF(OR(D3271="",F3271=""),"",F3271*IFERROR(INDEX('Sản phẩm'!$D$5:$D$304,MATCH(D3271,'Sản phẩm'!$A$5:$A$304,0)),""))</f>
        <v/>
      </c>
      <c r="L3271" s="16">
        <f>IF(J3271="","",J3271-K3271)</f>
        <v/>
      </c>
      <c r="M3271" s="14">
        <f>IF(A3271="","",MONTH(A3271))</f>
        <v/>
      </c>
      <c r="N3271" s="14">
        <f>IF(A3271="","",YEAR(A3271))</f>
        <v/>
      </c>
    </row>
    <row r="3272">
      <c r="A3272" s="15" t="n"/>
      <c r="B3272" s="10" t="n"/>
      <c r="C3272" s="10" t="n"/>
      <c r="D3272" s="10" t="n"/>
      <c r="E3272" s="14">
        <f>IF(D3272="","",IFERROR(INDEX('Sản phẩm'!$B$5:$B$304,MATCH(D3272,'Sản phẩm'!$A$5:$A$304,0)),""))</f>
        <v/>
      </c>
      <c r="F3272" s="12" t="n"/>
      <c r="G3272" s="11" t="n"/>
      <c r="H3272" s="11" t="n"/>
      <c r="I3272" s="16">
        <f>IF(D3272="","",IF(G3272&lt;&gt;"",G3272,IFERROR(INDEX('Sản phẩm'!$E$5:$E$304,MATCH(D3272,'Sản phẩm'!$A$5:$A$304,0)),"")))</f>
        <v/>
      </c>
      <c r="J3272" s="16">
        <f>IF(OR(D3272="",F3272=""),"",F3272*I3272-N(H3272))</f>
        <v/>
      </c>
      <c r="K3272" s="16">
        <f>IF(OR(D3272="",F3272=""),"",F3272*IFERROR(INDEX('Sản phẩm'!$D$5:$D$304,MATCH(D3272,'Sản phẩm'!$A$5:$A$304,0)),""))</f>
        <v/>
      </c>
      <c r="L3272" s="16">
        <f>IF(J3272="","",J3272-K3272)</f>
        <v/>
      </c>
      <c r="M3272" s="14">
        <f>IF(A3272="","",MONTH(A3272))</f>
        <v/>
      </c>
      <c r="N3272" s="14">
        <f>IF(A3272="","",YEAR(A3272))</f>
        <v/>
      </c>
    </row>
    <row r="3273">
      <c r="A3273" s="15" t="n"/>
      <c r="B3273" s="10" t="n"/>
      <c r="C3273" s="10" t="n"/>
      <c r="D3273" s="10" t="n"/>
      <c r="E3273" s="14">
        <f>IF(D3273="","",IFERROR(INDEX('Sản phẩm'!$B$5:$B$304,MATCH(D3273,'Sản phẩm'!$A$5:$A$304,0)),""))</f>
        <v/>
      </c>
      <c r="F3273" s="12" t="n"/>
      <c r="G3273" s="11" t="n"/>
      <c r="H3273" s="11" t="n"/>
      <c r="I3273" s="16">
        <f>IF(D3273="","",IF(G3273&lt;&gt;"",G3273,IFERROR(INDEX('Sản phẩm'!$E$5:$E$304,MATCH(D3273,'Sản phẩm'!$A$5:$A$304,0)),"")))</f>
        <v/>
      </c>
      <c r="J3273" s="16">
        <f>IF(OR(D3273="",F3273=""),"",F3273*I3273-N(H3273))</f>
        <v/>
      </c>
      <c r="K3273" s="16">
        <f>IF(OR(D3273="",F3273=""),"",F3273*IFERROR(INDEX('Sản phẩm'!$D$5:$D$304,MATCH(D3273,'Sản phẩm'!$A$5:$A$304,0)),""))</f>
        <v/>
      </c>
      <c r="L3273" s="16">
        <f>IF(J3273="","",J3273-K3273)</f>
        <v/>
      </c>
      <c r="M3273" s="14">
        <f>IF(A3273="","",MONTH(A3273))</f>
        <v/>
      </c>
      <c r="N3273" s="14">
        <f>IF(A3273="","",YEAR(A3273))</f>
        <v/>
      </c>
    </row>
    <row r="3274">
      <c r="A3274" s="15" t="n"/>
      <c r="B3274" s="10" t="n"/>
      <c r="C3274" s="10" t="n"/>
      <c r="D3274" s="10" t="n"/>
      <c r="E3274" s="14">
        <f>IF(D3274="","",IFERROR(INDEX('Sản phẩm'!$B$5:$B$304,MATCH(D3274,'Sản phẩm'!$A$5:$A$304,0)),""))</f>
        <v/>
      </c>
      <c r="F3274" s="12" t="n"/>
      <c r="G3274" s="11" t="n"/>
      <c r="H3274" s="11" t="n"/>
      <c r="I3274" s="16">
        <f>IF(D3274="","",IF(G3274&lt;&gt;"",G3274,IFERROR(INDEX('Sản phẩm'!$E$5:$E$304,MATCH(D3274,'Sản phẩm'!$A$5:$A$304,0)),"")))</f>
        <v/>
      </c>
      <c r="J3274" s="16">
        <f>IF(OR(D3274="",F3274=""),"",F3274*I3274-N(H3274))</f>
        <v/>
      </c>
      <c r="K3274" s="16">
        <f>IF(OR(D3274="",F3274=""),"",F3274*IFERROR(INDEX('Sản phẩm'!$D$5:$D$304,MATCH(D3274,'Sản phẩm'!$A$5:$A$304,0)),""))</f>
        <v/>
      </c>
      <c r="L3274" s="16">
        <f>IF(J3274="","",J3274-K3274)</f>
        <v/>
      </c>
      <c r="M3274" s="14">
        <f>IF(A3274="","",MONTH(A3274))</f>
        <v/>
      </c>
      <c r="N3274" s="14">
        <f>IF(A3274="","",YEAR(A3274))</f>
        <v/>
      </c>
    </row>
    <row r="3275">
      <c r="A3275" s="15" t="n"/>
      <c r="B3275" s="10" t="n"/>
      <c r="C3275" s="10" t="n"/>
      <c r="D3275" s="10" t="n"/>
      <c r="E3275" s="14">
        <f>IF(D3275="","",IFERROR(INDEX('Sản phẩm'!$B$5:$B$304,MATCH(D3275,'Sản phẩm'!$A$5:$A$304,0)),""))</f>
        <v/>
      </c>
      <c r="F3275" s="12" t="n"/>
      <c r="G3275" s="11" t="n"/>
      <c r="H3275" s="11" t="n"/>
      <c r="I3275" s="16">
        <f>IF(D3275="","",IF(G3275&lt;&gt;"",G3275,IFERROR(INDEX('Sản phẩm'!$E$5:$E$304,MATCH(D3275,'Sản phẩm'!$A$5:$A$304,0)),"")))</f>
        <v/>
      </c>
      <c r="J3275" s="16">
        <f>IF(OR(D3275="",F3275=""),"",F3275*I3275-N(H3275))</f>
        <v/>
      </c>
      <c r="K3275" s="16">
        <f>IF(OR(D3275="",F3275=""),"",F3275*IFERROR(INDEX('Sản phẩm'!$D$5:$D$304,MATCH(D3275,'Sản phẩm'!$A$5:$A$304,0)),""))</f>
        <v/>
      </c>
      <c r="L3275" s="16">
        <f>IF(J3275="","",J3275-K3275)</f>
        <v/>
      </c>
      <c r="M3275" s="14">
        <f>IF(A3275="","",MONTH(A3275))</f>
        <v/>
      </c>
      <c r="N3275" s="14">
        <f>IF(A3275="","",YEAR(A3275))</f>
        <v/>
      </c>
    </row>
    <row r="3276">
      <c r="A3276" s="15" t="n"/>
      <c r="B3276" s="10" t="n"/>
      <c r="C3276" s="10" t="n"/>
      <c r="D3276" s="10" t="n"/>
      <c r="E3276" s="14">
        <f>IF(D3276="","",IFERROR(INDEX('Sản phẩm'!$B$5:$B$304,MATCH(D3276,'Sản phẩm'!$A$5:$A$304,0)),""))</f>
        <v/>
      </c>
      <c r="F3276" s="12" t="n"/>
      <c r="G3276" s="11" t="n"/>
      <c r="H3276" s="11" t="n"/>
      <c r="I3276" s="16">
        <f>IF(D3276="","",IF(G3276&lt;&gt;"",G3276,IFERROR(INDEX('Sản phẩm'!$E$5:$E$304,MATCH(D3276,'Sản phẩm'!$A$5:$A$304,0)),"")))</f>
        <v/>
      </c>
      <c r="J3276" s="16">
        <f>IF(OR(D3276="",F3276=""),"",F3276*I3276-N(H3276))</f>
        <v/>
      </c>
      <c r="K3276" s="16">
        <f>IF(OR(D3276="",F3276=""),"",F3276*IFERROR(INDEX('Sản phẩm'!$D$5:$D$304,MATCH(D3276,'Sản phẩm'!$A$5:$A$304,0)),""))</f>
        <v/>
      </c>
      <c r="L3276" s="16">
        <f>IF(J3276="","",J3276-K3276)</f>
        <v/>
      </c>
      <c r="M3276" s="14">
        <f>IF(A3276="","",MONTH(A3276))</f>
        <v/>
      </c>
      <c r="N3276" s="14">
        <f>IF(A3276="","",YEAR(A3276))</f>
        <v/>
      </c>
    </row>
    <row r="3277">
      <c r="A3277" s="15" t="n"/>
      <c r="B3277" s="10" t="n"/>
      <c r="C3277" s="10" t="n"/>
      <c r="D3277" s="10" t="n"/>
      <c r="E3277" s="14">
        <f>IF(D3277="","",IFERROR(INDEX('Sản phẩm'!$B$5:$B$304,MATCH(D3277,'Sản phẩm'!$A$5:$A$304,0)),""))</f>
        <v/>
      </c>
      <c r="F3277" s="12" t="n"/>
      <c r="G3277" s="11" t="n"/>
      <c r="H3277" s="11" t="n"/>
      <c r="I3277" s="16">
        <f>IF(D3277="","",IF(G3277&lt;&gt;"",G3277,IFERROR(INDEX('Sản phẩm'!$E$5:$E$304,MATCH(D3277,'Sản phẩm'!$A$5:$A$304,0)),"")))</f>
        <v/>
      </c>
      <c r="J3277" s="16">
        <f>IF(OR(D3277="",F3277=""),"",F3277*I3277-N(H3277))</f>
        <v/>
      </c>
      <c r="K3277" s="16">
        <f>IF(OR(D3277="",F3277=""),"",F3277*IFERROR(INDEX('Sản phẩm'!$D$5:$D$304,MATCH(D3277,'Sản phẩm'!$A$5:$A$304,0)),""))</f>
        <v/>
      </c>
      <c r="L3277" s="16">
        <f>IF(J3277="","",J3277-K3277)</f>
        <v/>
      </c>
      <c r="M3277" s="14">
        <f>IF(A3277="","",MONTH(A3277))</f>
        <v/>
      </c>
      <c r="N3277" s="14">
        <f>IF(A3277="","",YEAR(A3277))</f>
        <v/>
      </c>
    </row>
    <row r="3278">
      <c r="A3278" s="15" t="n"/>
      <c r="B3278" s="10" t="n"/>
      <c r="C3278" s="10" t="n"/>
      <c r="D3278" s="10" t="n"/>
      <c r="E3278" s="14">
        <f>IF(D3278="","",IFERROR(INDEX('Sản phẩm'!$B$5:$B$304,MATCH(D3278,'Sản phẩm'!$A$5:$A$304,0)),""))</f>
        <v/>
      </c>
      <c r="F3278" s="12" t="n"/>
      <c r="G3278" s="11" t="n"/>
      <c r="H3278" s="11" t="n"/>
      <c r="I3278" s="16">
        <f>IF(D3278="","",IF(G3278&lt;&gt;"",G3278,IFERROR(INDEX('Sản phẩm'!$E$5:$E$304,MATCH(D3278,'Sản phẩm'!$A$5:$A$304,0)),"")))</f>
        <v/>
      </c>
      <c r="J3278" s="16">
        <f>IF(OR(D3278="",F3278=""),"",F3278*I3278-N(H3278))</f>
        <v/>
      </c>
      <c r="K3278" s="16">
        <f>IF(OR(D3278="",F3278=""),"",F3278*IFERROR(INDEX('Sản phẩm'!$D$5:$D$304,MATCH(D3278,'Sản phẩm'!$A$5:$A$304,0)),""))</f>
        <v/>
      </c>
      <c r="L3278" s="16">
        <f>IF(J3278="","",J3278-K3278)</f>
        <v/>
      </c>
      <c r="M3278" s="14">
        <f>IF(A3278="","",MONTH(A3278))</f>
        <v/>
      </c>
      <c r="N3278" s="14">
        <f>IF(A3278="","",YEAR(A3278))</f>
        <v/>
      </c>
    </row>
    <row r="3279">
      <c r="A3279" s="15" t="n"/>
      <c r="B3279" s="10" t="n"/>
      <c r="C3279" s="10" t="n"/>
      <c r="D3279" s="10" t="n"/>
      <c r="E3279" s="14">
        <f>IF(D3279="","",IFERROR(INDEX('Sản phẩm'!$B$5:$B$304,MATCH(D3279,'Sản phẩm'!$A$5:$A$304,0)),""))</f>
        <v/>
      </c>
      <c r="F3279" s="12" t="n"/>
      <c r="G3279" s="11" t="n"/>
      <c r="H3279" s="11" t="n"/>
      <c r="I3279" s="16">
        <f>IF(D3279="","",IF(G3279&lt;&gt;"",G3279,IFERROR(INDEX('Sản phẩm'!$E$5:$E$304,MATCH(D3279,'Sản phẩm'!$A$5:$A$304,0)),"")))</f>
        <v/>
      </c>
      <c r="J3279" s="16">
        <f>IF(OR(D3279="",F3279=""),"",F3279*I3279-N(H3279))</f>
        <v/>
      </c>
      <c r="K3279" s="16">
        <f>IF(OR(D3279="",F3279=""),"",F3279*IFERROR(INDEX('Sản phẩm'!$D$5:$D$304,MATCH(D3279,'Sản phẩm'!$A$5:$A$304,0)),""))</f>
        <v/>
      </c>
      <c r="L3279" s="16">
        <f>IF(J3279="","",J3279-K3279)</f>
        <v/>
      </c>
      <c r="M3279" s="14">
        <f>IF(A3279="","",MONTH(A3279))</f>
        <v/>
      </c>
      <c r="N3279" s="14">
        <f>IF(A3279="","",YEAR(A3279))</f>
        <v/>
      </c>
    </row>
    <row r="3280">
      <c r="A3280" s="15" t="n"/>
      <c r="B3280" s="10" t="n"/>
      <c r="C3280" s="10" t="n"/>
      <c r="D3280" s="10" t="n"/>
      <c r="E3280" s="14">
        <f>IF(D3280="","",IFERROR(INDEX('Sản phẩm'!$B$5:$B$304,MATCH(D3280,'Sản phẩm'!$A$5:$A$304,0)),""))</f>
        <v/>
      </c>
      <c r="F3280" s="12" t="n"/>
      <c r="G3280" s="11" t="n"/>
      <c r="H3280" s="11" t="n"/>
      <c r="I3280" s="16">
        <f>IF(D3280="","",IF(G3280&lt;&gt;"",G3280,IFERROR(INDEX('Sản phẩm'!$E$5:$E$304,MATCH(D3280,'Sản phẩm'!$A$5:$A$304,0)),"")))</f>
        <v/>
      </c>
      <c r="J3280" s="16">
        <f>IF(OR(D3280="",F3280=""),"",F3280*I3280-N(H3280))</f>
        <v/>
      </c>
      <c r="K3280" s="16">
        <f>IF(OR(D3280="",F3280=""),"",F3280*IFERROR(INDEX('Sản phẩm'!$D$5:$D$304,MATCH(D3280,'Sản phẩm'!$A$5:$A$304,0)),""))</f>
        <v/>
      </c>
      <c r="L3280" s="16">
        <f>IF(J3280="","",J3280-K3280)</f>
        <v/>
      </c>
      <c r="M3280" s="14">
        <f>IF(A3280="","",MONTH(A3280))</f>
        <v/>
      </c>
      <c r="N3280" s="14">
        <f>IF(A3280="","",YEAR(A3280))</f>
        <v/>
      </c>
    </row>
    <row r="3281">
      <c r="A3281" s="15" t="n"/>
      <c r="B3281" s="10" t="n"/>
      <c r="C3281" s="10" t="n"/>
      <c r="D3281" s="10" t="n"/>
      <c r="E3281" s="14">
        <f>IF(D3281="","",IFERROR(INDEX('Sản phẩm'!$B$5:$B$304,MATCH(D3281,'Sản phẩm'!$A$5:$A$304,0)),""))</f>
        <v/>
      </c>
      <c r="F3281" s="12" t="n"/>
      <c r="G3281" s="11" t="n"/>
      <c r="H3281" s="11" t="n"/>
      <c r="I3281" s="16">
        <f>IF(D3281="","",IF(G3281&lt;&gt;"",G3281,IFERROR(INDEX('Sản phẩm'!$E$5:$E$304,MATCH(D3281,'Sản phẩm'!$A$5:$A$304,0)),"")))</f>
        <v/>
      </c>
      <c r="J3281" s="16">
        <f>IF(OR(D3281="",F3281=""),"",F3281*I3281-N(H3281))</f>
        <v/>
      </c>
      <c r="K3281" s="16">
        <f>IF(OR(D3281="",F3281=""),"",F3281*IFERROR(INDEX('Sản phẩm'!$D$5:$D$304,MATCH(D3281,'Sản phẩm'!$A$5:$A$304,0)),""))</f>
        <v/>
      </c>
      <c r="L3281" s="16">
        <f>IF(J3281="","",J3281-K3281)</f>
        <v/>
      </c>
      <c r="M3281" s="14">
        <f>IF(A3281="","",MONTH(A3281))</f>
        <v/>
      </c>
      <c r="N3281" s="14">
        <f>IF(A3281="","",YEAR(A3281))</f>
        <v/>
      </c>
    </row>
    <row r="3282">
      <c r="A3282" s="15" t="n"/>
      <c r="B3282" s="10" t="n"/>
      <c r="C3282" s="10" t="n"/>
      <c r="D3282" s="10" t="n"/>
      <c r="E3282" s="14">
        <f>IF(D3282="","",IFERROR(INDEX('Sản phẩm'!$B$5:$B$304,MATCH(D3282,'Sản phẩm'!$A$5:$A$304,0)),""))</f>
        <v/>
      </c>
      <c r="F3282" s="12" t="n"/>
      <c r="G3282" s="11" t="n"/>
      <c r="H3282" s="11" t="n"/>
      <c r="I3282" s="16">
        <f>IF(D3282="","",IF(G3282&lt;&gt;"",G3282,IFERROR(INDEX('Sản phẩm'!$E$5:$E$304,MATCH(D3282,'Sản phẩm'!$A$5:$A$304,0)),"")))</f>
        <v/>
      </c>
      <c r="J3282" s="16">
        <f>IF(OR(D3282="",F3282=""),"",F3282*I3282-N(H3282))</f>
        <v/>
      </c>
      <c r="K3282" s="16">
        <f>IF(OR(D3282="",F3282=""),"",F3282*IFERROR(INDEX('Sản phẩm'!$D$5:$D$304,MATCH(D3282,'Sản phẩm'!$A$5:$A$304,0)),""))</f>
        <v/>
      </c>
      <c r="L3282" s="16">
        <f>IF(J3282="","",J3282-K3282)</f>
        <v/>
      </c>
      <c r="M3282" s="14">
        <f>IF(A3282="","",MONTH(A3282))</f>
        <v/>
      </c>
      <c r="N3282" s="14">
        <f>IF(A3282="","",YEAR(A3282))</f>
        <v/>
      </c>
    </row>
    <row r="3283">
      <c r="A3283" s="15" t="n"/>
      <c r="B3283" s="10" t="n"/>
      <c r="C3283" s="10" t="n"/>
      <c r="D3283" s="10" t="n"/>
      <c r="E3283" s="14">
        <f>IF(D3283="","",IFERROR(INDEX('Sản phẩm'!$B$5:$B$304,MATCH(D3283,'Sản phẩm'!$A$5:$A$304,0)),""))</f>
        <v/>
      </c>
      <c r="F3283" s="12" t="n"/>
      <c r="G3283" s="11" t="n"/>
      <c r="H3283" s="11" t="n"/>
      <c r="I3283" s="16">
        <f>IF(D3283="","",IF(G3283&lt;&gt;"",G3283,IFERROR(INDEX('Sản phẩm'!$E$5:$E$304,MATCH(D3283,'Sản phẩm'!$A$5:$A$304,0)),"")))</f>
        <v/>
      </c>
      <c r="J3283" s="16">
        <f>IF(OR(D3283="",F3283=""),"",F3283*I3283-N(H3283))</f>
        <v/>
      </c>
      <c r="K3283" s="16">
        <f>IF(OR(D3283="",F3283=""),"",F3283*IFERROR(INDEX('Sản phẩm'!$D$5:$D$304,MATCH(D3283,'Sản phẩm'!$A$5:$A$304,0)),""))</f>
        <v/>
      </c>
      <c r="L3283" s="16">
        <f>IF(J3283="","",J3283-K3283)</f>
        <v/>
      </c>
      <c r="M3283" s="14">
        <f>IF(A3283="","",MONTH(A3283))</f>
        <v/>
      </c>
      <c r="N3283" s="14">
        <f>IF(A3283="","",YEAR(A3283))</f>
        <v/>
      </c>
    </row>
    <row r="3284">
      <c r="A3284" s="15" t="n"/>
      <c r="B3284" s="10" t="n"/>
      <c r="C3284" s="10" t="n"/>
      <c r="D3284" s="10" t="n"/>
      <c r="E3284" s="14">
        <f>IF(D3284="","",IFERROR(INDEX('Sản phẩm'!$B$5:$B$304,MATCH(D3284,'Sản phẩm'!$A$5:$A$304,0)),""))</f>
        <v/>
      </c>
      <c r="F3284" s="12" t="n"/>
      <c r="G3284" s="11" t="n"/>
      <c r="H3284" s="11" t="n"/>
      <c r="I3284" s="16">
        <f>IF(D3284="","",IF(G3284&lt;&gt;"",G3284,IFERROR(INDEX('Sản phẩm'!$E$5:$E$304,MATCH(D3284,'Sản phẩm'!$A$5:$A$304,0)),"")))</f>
        <v/>
      </c>
      <c r="J3284" s="16">
        <f>IF(OR(D3284="",F3284=""),"",F3284*I3284-N(H3284))</f>
        <v/>
      </c>
      <c r="K3284" s="16">
        <f>IF(OR(D3284="",F3284=""),"",F3284*IFERROR(INDEX('Sản phẩm'!$D$5:$D$304,MATCH(D3284,'Sản phẩm'!$A$5:$A$304,0)),""))</f>
        <v/>
      </c>
      <c r="L3284" s="16">
        <f>IF(J3284="","",J3284-K3284)</f>
        <v/>
      </c>
      <c r="M3284" s="14">
        <f>IF(A3284="","",MONTH(A3284))</f>
        <v/>
      </c>
      <c r="N3284" s="14">
        <f>IF(A3284="","",YEAR(A3284))</f>
        <v/>
      </c>
    </row>
    <row r="3285">
      <c r="A3285" s="15" t="n"/>
      <c r="B3285" s="10" t="n"/>
      <c r="C3285" s="10" t="n"/>
      <c r="D3285" s="10" t="n"/>
      <c r="E3285" s="14">
        <f>IF(D3285="","",IFERROR(INDEX('Sản phẩm'!$B$5:$B$304,MATCH(D3285,'Sản phẩm'!$A$5:$A$304,0)),""))</f>
        <v/>
      </c>
      <c r="F3285" s="12" t="n"/>
      <c r="G3285" s="11" t="n"/>
      <c r="H3285" s="11" t="n"/>
      <c r="I3285" s="16">
        <f>IF(D3285="","",IF(G3285&lt;&gt;"",G3285,IFERROR(INDEX('Sản phẩm'!$E$5:$E$304,MATCH(D3285,'Sản phẩm'!$A$5:$A$304,0)),"")))</f>
        <v/>
      </c>
      <c r="J3285" s="16">
        <f>IF(OR(D3285="",F3285=""),"",F3285*I3285-N(H3285))</f>
        <v/>
      </c>
      <c r="K3285" s="16">
        <f>IF(OR(D3285="",F3285=""),"",F3285*IFERROR(INDEX('Sản phẩm'!$D$5:$D$304,MATCH(D3285,'Sản phẩm'!$A$5:$A$304,0)),""))</f>
        <v/>
      </c>
      <c r="L3285" s="16">
        <f>IF(J3285="","",J3285-K3285)</f>
        <v/>
      </c>
      <c r="M3285" s="14">
        <f>IF(A3285="","",MONTH(A3285))</f>
        <v/>
      </c>
      <c r="N3285" s="14">
        <f>IF(A3285="","",YEAR(A3285))</f>
        <v/>
      </c>
    </row>
    <row r="3286">
      <c r="A3286" s="15" t="n"/>
      <c r="B3286" s="10" t="n"/>
      <c r="C3286" s="10" t="n"/>
      <c r="D3286" s="10" t="n"/>
      <c r="E3286" s="14">
        <f>IF(D3286="","",IFERROR(INDEX('Sản phẩm'!$B$5:$B$304,MATCH(D3286,'Sản phẩm'!$A$5:$A$304,0)),""))</f>
        <v/>
      </c>
      <c r="F3286" s="12" t="n"/>
      <c r="G3286" s="11" t="n"/>
      <c r="H3286" s="11" t="n"/>
      <c r="I3286" s="16">
        <f>IF(D3286="","",IF(G3286&lt;&gt;"",G3286,IFERROR(INDEX('Sản phẩm'!$E$5:$E$304,MATCH(D3286,'Sản phẩm'!$A$5:$A$304,0)),"")))</f>
        <v/>
      </c>
      <c r="J3286" s="16">
        <f>IF(OR(D3286="",F3286=""),"",F3286*I3286-N(H3286))</f>
        <v/>
      </c>
      <c r="K3286" s="16">
        <f>IF(OR(D3286="",F3286=""),"",F3286*IFERROR(INDEX('Sản phẩm'!$D$5:$D$304,MATCH(D3286,'Sản phẩm'!$A$5:$A$304,0)),""))</f>
        <v/>
      </c>
      <c r="L3286" s="16">
        <f>IF(J3286="","",J3286-K3286)</f>
        <v/>
      </c>
      <c r="M3286" s="14">
        <f>IF(A3286="","",MONTH(A3286))</f>
        <v/>
      </c>
      <c r="N3286" s="14">
        <f>IF(A3286="","",YEAR(A3286))</f>
        <v/>
      </c>
    </row>
    <row r="3287">
      <c r="A3287" s="15" t="n"/>
      <c r="B3287" s="10" t="n"/>
      <c r="C3287" s="10" t="n"/>
      <c r="D3287" s="10" t="n"/>
      <c r="E3287" s="14">
        <f>IF(D3287="","",IFERROR(INDEX('Sản phẩm'!$B$5:$B$304,MATCH(D3287,'Sản phẩm'!$A$5:$A$304,0)),""))</f>
        <v/>
      </c>
      <c r="F3287" s="12" t="n"/>
      <c r="G3287" s="11" t="n"/>
      <c r="H3287" s="11" t="n"/>
      <c r="I3287" s="16">
        <f>IF(D3287="","",IF(G3287&lt;&gt;"",G3287,IFERROR(INDEX('Sản phẩm'!$E$5:$E$304,MATCH(D3287,'Sản phẩm'!$A$5:$A$304,0)),"")))</f>
        <v/>
      </c>
      <c r="J3287" s="16">
        <f>IF(OR(D3287="",F3287=""),"",F3287*I3287-N(H3287))</f>
        <v/>
      </c>
      <c r="K3287" s="16">
        <f>IF(OR(D3287="",F3287=""),"",F3287*IFERROR(INDEX('Sản phẩm'!$D$5:$D$304,MATCH(D3287,'Sản phẩm'!$A$5:$A$304,0)),""))</f>
        <v/>
      </c>
      <c r="L3287" s="16">
        <f>IF(J3287="","",J3287-K3287)</f>
        <v/>
      </c>
      <c r="M3287" s="14">
        <f>IF(A3287="","",MONTH(A3287))</f>
        <v/>
      </c>
      <c r="N3287" s="14">
        <f>IF(A3287="","",YEAR(A3287))</f>
        <v/>
      </c>
    </row>
    <row r="3288">
      <c r="A3288" s="15" t="n"/>
      <c r="B3288" s="10" t="n"/>
      <c r="C3288" s="10" t="n"/>
      <c r="D3288" s="10" t="n"/>
      <c r="E3288" s="14">
        <f>IF(D3288="","",IFERROR(INDEX('Sản phẩm'!$B$5:$B$304,MATCH(D3288,'Sản phẩm'!$A$5:$A$304,0)),""))</f>
        <v/>
      </c>
      <c r="F3288" s="12" t="n"/>
      <c r="G3288" s="11" t="n"/>
      <c r="H3288" s="11" t="n"/>
      <c r="I3288" s="16">
        <f>IF(D3288="","",IF(G3288&lt;&gt;"",G3288,IFERROR(INDEX('Sản phẩm'!$E$5:$E$304,MATCH(D3288,'Sản phẩm'!$A$5:$A$304,0)),"")))</f>
        <v/>
      </c>
      <c r="J3288" s="16">
        <f>IF(OR(D3288="",F3288=""),"",F3288*I3288-N(H3288))</f>
        <v/>
      </c>
      <c r="K3288" s="16">
        <f>IF(OR(D3288="",F3288=""),"",F3288*IFERROR(INDEX('Sản phẩm'!$D$5:$D$304,MATCH(D3288,'Sản phẩm'!$A$5:$A$304,0)),""))</f>
        <v/>
      </c>
      <c r="L3288" s="16">
        <f>IF(J3288="","",J3288-K3288)</f>
        <v/>
      </c>
      <c r="M3288" s="14">
        <f>IF(A3288="","",MONTH(A3288))</f>
        <v/>
      </c>
      <c r="N3288" s="14">
        <f>IF(A3288="","",YEAR(A3288))</f>
        <v/>
      </c>
    </row>
    <row r="3289">
      <c r="A3289" s="15" t="n"/>
      <c r="B3289" s="10" t="n"/>
      <c r="C3289" s="10" t="n"/>
      <c r="D3289" s="10" t="n"/>
      <c r="E3289" s="14">
        <f>IF(D3289="","",IFERROR(INDEX('Sản phẩm'!$B$5:$B$304,MATCH(D3289,'Sản phẩm'!$A$5:$A$304,0)),""))</f>
        <v/>
      </c>
      <c r="F3289" s="12" t="n"/>
      <c r="G3289" s="11" t="n"/>
      <c r="H3289" s="11" t="n"/>
      <c r="I3289" s="16">
        <f>IF(D3289="","",IF(G3289&lt;&gt;"",G3289,IFERROR(INDEX('Sản phẩm'!$E$5:$E$304,MATCH(D3289,'Sản phẩm'!$A$5:$A$304,0)),"")))</f>
        <v/>
      </c>
      <c r="J3289" s="16">
        <f>IF(OR(D3289="",F3289=""),"",F3289*I3289-N(H3289))</f>
        <v/>
      </c>
      <c r="K3289" s="16">
        <f>IF(OR(D3289="",F3289=""),"",F3289*IFERROR(INDEX('Sản phẩm'!$D$5:$D$304,MATCH(D3289,'Sản phẩm'!$A$5:$A$304,0)),""))</f>
        <v/>
      </c>
      <c r="L3289" s="16">
        <f>IF(J3289="","",J3289-K3289)</f>
        <v/>
      </c>
      <c r="M3289" s="14">
        <f>IF(A3289="","",MONTH(A3289))</f>
        <v/>
      </c>
      <c r="N3289" s="14">
        <f>IF(A3289="","",YEAR(A3289))</f>
        <v/>
      </c>
    </row>
    <row r="3290">
      <c r="A3290" s="15" t="n"/>
      <c r="B3290" s="10" t="n"/>
      <c r="C3290" s="10" t="n"/>
      <c r="D3290" s="10" t="n"/>
      <c r="E3290" s="14">
        <f>IF(D3290="","",IFERROR(INDEX('Sản phẩm'!$B$5:$B$304,MATCH(D3290,'Sản phẩm'!$A$5:$A$304,0)),""))</f>
        <v/>
      </c>
      <c r="F3290" s="12" t="n"/>
      <c r="G3290" s="11" t="n"/>
      <c r="H3290" s="11" t="n"/>
      <c r="I3290" s="16">
        <f>IF(D3290="","",IF(G3290&lt;&gt;"",G3290,IFERROR(INDEX('Sản phẩm'!$E$5:$E$304,MATCH(D3290,'Sản phẩm'!$A$5:$A$304,0)),"")))</f>
        <v/>
      </c>
      <c r="J3290" s="16">
        <f>IF(OR(D3290="",F3290=""),"",F3290*I3290-N(H3290))</f>
        <v/>
      </c>
      <c r="K3290" s="16">
        <f>IF(OR(D3290="",F3290=""),"",F3290*IFERROR(INDEX('Sản phẩm'!$D$5:$D$304,MATCH(D3290,'Sản phẩm'!$A$5:$A$304,0)),""))</f>
        <v/>
      </c>
      <c r="L3290" s="16">
        <f>IF(J3290="","",J3290-K3290)</f>
        <v/>
      </c>
      <c r="M3290" s="14">
        <f>IF(A3290="","",MONTH(A3290))</f>
        <v/>
      </c>
      <c r="N3290" s="14">
        <f>IF(A3290="","",YEAR(A3290))</f>
        <v/>
      </c>
    </row>
    <row r="3291">
      <c r="A3291" s="15" t="n"/>
      <c r="B3291" s="10" t="n"/>
      <c r="C3291" s="10" t="n"/>
      <c r="D3291" s="10" t="n"/>
      <c r="E3291" s="14">
        <f>IF(D3291="","",IFERROR(INDEX('Sản phẩm'!$B$5:$B$304,MATCH(D3291,'Sản phẩm'!$A$5:$A$304,0)),""))</f>
        <v/>
      </c>
      <c r="F3291" s="12" t="n"/>
      <c r="G3291" s="11" t="n"/>
      <c r="H3291" s="11" t="n"/>
      <c r="I3291" s="16">
        <f>IF(D3291="","",IF(G3291&lt;&gt;"",G3291,IFERROR(INDEX('Sản phẩm'!$E$5:$E$304,MATCH(D3291,'Sản phẩm'!$A$5:$A$304,0)),"")))</f>
        <v/>
      </c>
      <c r="J3291" s="16">
        <f>IF(OR(D3291="",F3291=""),"",F3291*I3291-N(H3291))</f>
        <v/>
      </c>
      <c r="K3291" s="16">
        <f>IF(OR(D3291="",F3291=""),"",F3291*IFERROR(INDEX('Sản phẩm'!$D$5:$D$304,MATCH(D3291,'Sản phẩm'!$A$5:$A$304,0)),""))</f>
        <v/>
      </c>
      <c r="L3291" s="16">
        <f>IF(J3291="","",J3291-K3291)</f>
        <v/>
      </c>
      <c r="M3291" s="14">
        <f>IF(A3291="","",MONTH(A3291))</f>
        <v/>
      </c>
      <c r="N3291" s="14">
        <f>IF(A3291="","",YEAR(A3291))</f>
        <v/>
      </c>
    </row>
    <row r="3292">
      <c r="A3292" s="15" t="n"/>
      <c r="B3292" s="10" t="n"/>
      <c r="C3292" s="10" t="n"/>
      <c r="D3292" s="10" t="n"/>
      <c r="E3292" s="14">
        <f>IF(D3292="","",IFERROR(INDEX('Sản phẩm'!$B$5:$B$304,MATCH(D3292,'Sản phẩm'!$A$5:$A$304,0)),""))</f>
        <v/>
      </c>
      <c r="F3292" s="12" t="n"/>
      <c r="G3292" s="11" t="n"/>
      <c r="H3292" s="11" t="n"/>
      <c r="I3292" s="16">
        <f>IF(D3292="","",IF(G3292&lt;&gt;"",G3292,IFERROR(INDEX('Sản phẩm'!$E$5:$E$304,MATCH(D3292,'Sản phẩm'!$A$5:$A$304,0)),"")))</f>
        <v/>
      </c>
      <c r="J3292" s="16">
        <f>IF(OR(D3292="",F3292=""),"",F3292*I3292-N(H3292))</f>
        <v/>
      </c>
      <c r="K3292" s="16">
        <f>IF(OR(D3292="",F3292=""),"",F3292*IFERROR(INDEX('Sản phẩm'!$D$5:$D$304,MATCH(D3292,'Sản phẩm'!$A$5:$A$304,0)),""))</f>
        <v/>
      </c>
      <c r="L3292" s="16">
        <f>IF(J3292="","",J3292-K3292)</f>
        <v/>
      </c>
      <c r="M3292" s="14">
        <f>IF(A3292="","",MONTH(A3292))</f>
        <v/>
      </c>
      <c r="N3292" s="14">
        <f>IF(A3292="","",YEAR(A3292))</f>
        <v/>
      </c>
    </row>
    <row r="3293">
      <c r="A3293" s="15" t="n"/>
      <c r="B3293" s="10" t="n"/>
      <c r="C3293" s="10" t="n"/>
      <c r="D3293" s="10" t="n"/>
      <c r="E3293" s="14">
        <f>IF(D3293="","",IFERROR(INDEX('Sản phẩm'!$B$5:$B$304,MATCH(D3293,'Sản phẩm'!$A$5:$A$304,0)),""))</f>
        <v/>
      </c>
      <c r="F3293" s="12" t="n"/>
      <c r="G3293" s="11" t="n"/>
      <c r="H3293" s="11" t="n"/>
      <c r="I3293" s="16">
        <f>IF(D3293="","",IF(G3293&lt;&gt;"",G3293,IFERROR(INDEX('Sản phẩm'!$E$5:$E$304,MATCH(D3293,'Sản phẩm'!$A$5:$A$304,0)),"")))</f>
        <v/>
      </c>
      <c r="J3293" s="16">
        <f>IF(OR(D3293="",F3293=""),"",F3293*I3293-N(H3293))</f>
        <v/>
      </c>
      <c r="K3293" s="16">
        <f>IF(OR(D3293="",F3293=""),"",F3293*IFERROR(INDEX('Sản phẩm'!$D$5:$D$304,MATCH(D3293,'Sản phẩm'!$A$5:$A$304,0)),""))</f>
        <v/>
      </c>
      <c r="L3293" s="16">
        <f>IF(J3293="","",J3293-K3293)</f>
        <v/>
      </c>
      <c r="M3293" s="14">
        <f>IF(A3293="","",MONTH(A3293))</f>
        <v/>
      </c>
      <c r="N3293" s="14">
        <f>IF(A3293="","",YEAR(A3293))</f>
        <v/>
      </c>
    </row>
    <row r="3294">
      <c r="A3294" s="15" t="n"/>
      <c r="B3294" s="10" t="n"/>
      <c r="C3294" s="10" t="n"/>
      <c r="D3294" s="10" t="n"/>
      <c r="E3294" s="14">
        <f>IF(D3294="","",IFERROR(INDEX('Sản phẩm'!$B$5:$B$304,MATCH(D3294,'Sản phẩm'!$A$5:$A$304,0)),""))</f>
        <v/>
      </c>
      <c r="F3294" s="12" t="n"/>
      <c r="G3294" s="11" t="n"/>
      <c r="H3294" s="11" t="n"/>
      <c r="I3294" s="16">
        <f>IF(D3294="","",IF(G3294&lt;&gt;"",G3294,IFERROR(INDEX('Sản phẩm'!$E$5:$E$304,MATCH(D3294,'Sản phẩm'!$A$5:$A$304,0)),"")))</f>
        <v/>
      </c>
      <c r="J3294" s="16">
        <f>IF(OR(D3294="",F3294=""),"",F3294*I3294-N(H3294))</f>
        <v/>
      </c>
      <c r="K3294" s="16">
        <f>IF(OR(D3294="",F3294=""),"",F3294*IFERROR(INDEX('Sản phẩm'!$D$5:$D$304,MATCH(D3294,'Sản phẩm'!$A$5:$A$304,0)),""))</f>
        <v/>
      </c>
      <c r="L3294" s="16">
        <f>IF(J3294="","",J3294-K3294)</f>
        <v/>
      </c>
      <c r="M3294" s="14">
        <f>IF(A3294="","",MONTH(A3294))</f>
        <v/>
      </c>
      <c r="N3294" s="14">
        <f>IF(A3294="","",YEAR(A3294))</f>
        <v/>
      </c>
    </row>
    <row r="3295">
      <c r="A3295" s="15" t="n"/>
      <c r="B3295" s="10" t="n"/>
      <c r="C3295" s="10" t="n"/>
      <c r="D3295" s="10" t="n"/>
      <c r="E3295" s="14">
        <f>IF(D3295="","",IFERROR(INDEX('Sản phẩm'!$B$5:$B$304,MATCH(D3295,'Sản phẩm'!$A$5:$A$304,0)),""))</f>
        <v/>
      </c>
      <c r="F3295" s="12" t="n"/>
      <c r="G3295" s="11" t="n"/>
      <c r="H3295" s="11" t="n"/>
      <c r="I3295" s="16">
        <f>IF(D3295="","",IF(G3295&lt;&gt;"",G3295,IFERROR(INDEX('Sản phẩm'!$E$5:$E$304,MATCH(D3295,'Sản phẩm'!$A$5:$A$304,0)),"")))</f>
        <v/>
      </c>
      <c r="J3295" s="16">
        <f>IF(OR(D3295="",F3295=""),"",F3295*I3295-N(H3295))</f>
        <v/>
      </c>
      <c r="K3295" s="16">
        <f>IF(OR(D3295="",F3295=""),"",F3295*IFERROR(INDEX('Sản phẩm'!$D$5:$D$304,MATCH(D3295,'Sản phẩm'!$A$5:$A$304,0)),""))</f>
        <v/>
      </c>
      <c r="L3295" s="16">
        <f>IF(J3295="","",J3295-K3295)</f>
        <v/>
      </c>
      <c r="M3295" s="14">
        <f>IF(A3295="","",MONTH(A3295))</f>
        <v/>
      </c>
      <c r="N3295" s="14">
        <f>IF(A3295="","",YEAR(A3295))</f>
        <v/>
      </c>
    </row>
    <row r="3296">
      <c r="A3296" s="15" t="n"/>
      <c r="B3296" s="10" t="n"/>
      <c r="C3296" s="10" t="n"/>
      <c r="D3296" s="10" t="n"/>
      <c r="E3296" s="14">
        <f>IF(D3296="","",IFERROR(INDEX('Sản phẩm'!$B$5:$B$304,MATCH(D3296,'Sản phẩm'!$A$5:$A$304,0)),""))</f>
        <v/>
      </c>
      <c r="F3296" s="12" t="n"/>
      <c r="G3296" s="11" t="n"/>
      <c r="H3296" s="11" t="n"/>
      <c r="I3296" s="16">
        <f>IF(D3296="","",IF(G3296&lt;&gt;"",G3296,IFERROR(INDEX('Sản phẩm'!$E$5:$E$304,MATCH(D3296,'Sản phẩm'!$A$5:$A$304,0)),"")))</f>
        <v/>
      </c>
      <c r="J3296" s="16">
        <f>IF(OR(D3296="",F3296=""),"",F3296*I3296-N(H3296))</f>
        <v/>
      </c>
      <c r="K3296" s="16">
        <f>IF(OR(D3296="",F3296=""),"",F3296*IFERROR(INDEX('Sản phẩm'!$D$5:$D$304,MATCH(D3296,'Sản phẩm'!$A$5:$A$304,0)),""))</f>
        <v/>
      </c>
      <c r="L3296" s="16">
        <f>IF(J3296="","",J3296-K3296)</f>
        <v/>
      </c>
      <c r="M3296" s="14">
        <f>IF(A3296="","",MONTH(A3296))</f>
        <v/>
      </c>
      <c r="N3296" s="14">
        <f>IF(A3296="","",YEAR(A3296))</f>
        <v/>
      </c>
    </row>
    <row r="3297">
      <c r="A3297" s="15" t="n"/>
      <c r="B3297" s="10" t="n"/>
      <c r="C3297" s="10" t="n"/>
      <c r="D3297" s="10" t="n"/>
      <c r="E3297" s="14">
        <f>IF(D3297="","",IFERROR(INDEX('Sản phẩm'!$B$5:$B$304,MATCH(D3297,'Sản phẩm'!$A$5:$A$304,0)),""))</f>
        <v/>
      </c>
      <c r="F3297" s="12" t="n"/>
      <c r="G3297" s="11" t="n"/>
      <c r="H3297" s="11" t="n"/>
      <c r="I3297" s="16">
        <f>IF(D3297="","",IF(G3297&lt;&gt;"",G3297,IFERROR(INDEX('Sản phẩm'!$E$5:$E$304,MATCH(D3297,'Sản phẩm'!$A$5:$A$304,0)),"")))</f>
        <v/>
      </c>
      <c r="J3297" s="16">
        <f>IF(OR(D3297="",F3297=""),"",F3297*I3297-N(H3297))</f>
        <v/>
      </c>
      <c r="K3297" s="16">
        <f>IF(OR(D3297="",F3297=""),"",F3297*IFERROR(INDEX('Sản phẩm'!$D$5:$D$304,MATCH(D3297,'Sản phẩm'!$A$5:$A$304,0)),""))</f>
        <v/>
      </c>
      <c r="L3297" s="16">
        <f>IF(J3297="","",J3297-K3297)</f>
        <v/>
      </c>
      <c r="M3297" s="14">
        <f>IF(A3297="","",MONTH(A3297))</f>
        <v/>
      </c>
      <c r="N3297" s="14">
        <f>IF(A3297="","",YEAR(A3297))</f>
        <v/>
      </c>
    </row>
    <row r="3298">
      <c r="A3298" s="15" t="n"/>
      <c r="B3298" s="10" t="n"/>
      <c r="C3298" s="10" t="n"/>
      <c r="D3298" s="10" t="n"/>
      <c r="E3298" s="14">
        <f>IF(D3298="","",IFERROR(INDEX('Sản phẩm'!$B$5:$B$304,MATCH(D3298,'Sản phẩm'!$A$5:$A$304,0)),""))</f>
        <v/>
      </c>
      <c r="F3298" s="12" t="n"/>
      <c r="G3298" s="11" t="n"/>
      <c r="H3298" s="11" t="n"/>
      <c r="I3298" s="16">
        <f>IF(D3298="","",IF(G3298&lt;&gt;"",G3298,IFERROR(INDEX('Sản phẩm'!$E$5:$E$304,MATCH(D3298,'Sản phẩm'!$A$5:$A$304,0)),"")))</f>
        <v/>
      </c>
      <c r="J3298" s="16">
        <f>IF(OR(D3298="",F3298=""),"",F3298*I3298-N(H3298))</f>
        <v/>
      </c>
      <c r="K3298" s="16">
        <f>IF(OR(D3298="",F3298=""),"",F3298*IFERROR(INDEX('Sản phẩm'!$D$5:$D$304,MATCH(D3298,'Sản phẩm'!$A$5:$A$304,0)),""))</f>
        <v/>
      </c>
      <c r="L3298" s="16">
        <f>IF(J3298="","",J3298-K3298)</f>
        <v/>
      </c>
      <c r="M3298" s="14">
        <f>IF(A3298="","",MONTH(A3298))</f>
        <v/>
      </c>
      <c r="N3298" s="14">
        <f>IF(A3298="","",YEAR(A3298))</f>
        <v/>
      </c>
    </row>
    <row r="3299">
      <c r="A3299" s="15" t="n"/>
      <c r="B3299" s="10" t="n"/>
      <c r="C3299" s="10" t="n"/>
      <c r="D3299" s="10" t="n"/>
      <c r="E3299" s="14">
        <f>IF(D3299="","",IFERROR(INDEX('Sản phẩm'!$B$5:$B$304,MATCH(D3299,'Sản phẩm'!$A$5:$A$304,0)),""))</f>
        <v/>
      </c>
      <c r="F3299" s="12" t="n"/>
      <c r="G3299" s="11" t="n"/>
      <c r="H3299" s="11" t="n"/>
      <c r="I3299" s="16">
        <f>IF(D3299="","",IF(G3299&lt;&gt;"",G3299,IFERROR(INDEX('Sản phẩm'!$E$5:$E$304,MATCH(D3299,'Sản phẩm'!$A$5:$A$304,0)),"")))</f>
        <v/>
      </c>
      <c r="J3299" s="16">
        <f>IF(OR(D3299="",F3299=""),"",F3299*I3299-N(H3299))</f>
        <v/>
      </c>
      <c r="K3299" s="16">
        <f>IF(OR(D3299="",F3299=""),"",F3299*IFERROR(INDEX('Sản phẩm'!$D$5:$D$304,MATCH(D3299,'Sản phẩm'!$A$5:$A$304,0)),""))</f>
        <v/>
      </c>
      <c r="L3299" s="16">
        <f>IF(J3299="","",J3299-K3299)</f>
        <v/>
      </c>
      <c r="M3299" s="14">
        <f>IF(A3299="","",MONTH(A3299))</f>
        <v/>
      </c>
      <c r="N3299" s="14">
        <f>IF(A3299="","",YEAR(A3299))</f>
        <v/>
      </c>
    </row>
    <row r="3300">
      <c r="A3300" s="15" t="n"/>
      <c r="B3300" s="10" t="n"/>
      <c r="C3300" s="10" t="n"/>
      <c r="D3300" s="10" t="n"/>
      <c r="E3300" s="14">
        <f>IF(D3300="","",IFERROR(INDEX('Sản phẩm'!$B$5:$B$304,MATCH(D3300,'Sản phẩm'!$A$5:$A$304,0)),""))</f>
        <v/>
      </c>
      <c r="F3300" s="12" t="n"/>
      <c r="G3300" s="11" t="n"/>
      <c r="H3300" s="11" t="n"/>
      <c r="I3300" s="16">
        <f>IF(D3300="","",IF(G3300&lt;&gt;"",G3300,IFERROR(INDEX('Sản phẩm'!$E$5:$E$304,MATCH(D3300,'Sản phẩm'!$A$5:$A$304,0)),"")))</f>
        <v/>
      </c>
      <c r="J3300" s="16">
        <f>IF(OR(D3300="",F3300=""),"",F3300*I3300-N(H3300))</f>
        <v/>
      </c>
      <c r="K3300" s="16">
        <f>IF(OR(D3300="",F3300=""),"",F3300*IFERROR(INDEX('Sản phẩm'!$D$5:$D$304,MATCH(D3300,'Sản phẩm'!$A$5:$A$304,0)),""))</f>
        <v/>
      </c>
      <c r="L3300" s="16">
        <f>IF(J3300="","",J3300-K3300)</f>
        <v/>
      </c>
      <c r="M3300" s="14">
        <f>IF(A3300="","",MONTH(A3300))</f>
        <v/>
      </c>
      <c r="N3300" s="14">
        <f>IF(A3300="","",YEAR(A3300))</f>
        <v/>
      </c>
    </row>
    <row r="3301">
      <c r="A3301" s="15" t="n"/>
      <c r="B3301" s="10" t="n"/>
      <c r="C3301" s="10" t="n"/>
      <c r="D3301" s="10" t="n"/>
      <c r="E3301" s="14">
        <f>IF(D3301="","",IFERROR(INDEX('Sản phẩm'!$B$5:$B$304,MATCH(D3301,'Sản phẩm'!$A$5:$A$304,0)),""))</f>
        <v/>
      </c>
      <c r="F3301" s="12" t="n"/>
      <c r="G3301" s="11" t="n"/>
      <c r="H3301" s="11" t="n"/>
      <c r="I3301" s="16">
        <f>IF(D3301="","",IF(G3301&lt;&gt;"",G3301,IFERROR(INDEX('Sản phẩm'!$E$5:$E$304,MATCH(D3301,'Sản phẩm'!$A$5:$A$304,0)),"")))</f>
        <v/>
      </c>
      <c r="J3301" s="16">
        <f>IF(OR(D3301="",F3301=""),"",F3301*I3301-N(H3301))</f>
        <v/>
      </c>
      <c r="K3301" s="16">
        <f>IF(OR(D3301="",F3301=""),"",F3301*IFERROR(INDEX('Sản phẩm'!$D$5:$D$304,MATCH(D3301,'Sản phẩm'!$A$5:$A$304,0)),""))</f>
        <v/>
      </c>
      <c r="L3301" s="16">
        <f>IF(J3301="","",J3301-K3301)</f>
        <v/>
      </c>
      <c r="M3301" s="14">
        <f>IF(A3301="","",MONTH(A3301))</f>
        <v/>
      </c>
      <c r="N3301" s="14">
        <f>IF(A3301="","",YEAR(A3301))</f>
        <v/>
      </c>
    </row>
    <row r="3302">
      <c r="A3302" s="15" t="n"/>
      <c r="B3302" s="10" t="n"/>
      <c r="C3302" s="10" t="n"/>
      <c r="D3302" s="10" t="n"/>
      <c r="E3302" s="14">
        <f>IF(D3302="","",IFERROR(INDEX('Sản phẩm'!$B$5:$B$304,MATCH(D3302,'Sản phẩm'!$A$5:$A$304,0)),""))</f>
        <v/>
      </c>
      <c r="F3302" s="12" t="n"/>
      <c r="G3302" s="11" t="n"/>
      <c r="H3302" s="11" t="n"/>
      <c r="I3302" s="16">
        <f>IF(D3302="","",IF(G3302&lt;&gt;"",G3302,IFERROR(INDEX('Sản phẩm'!$E$5:$E$304,MATCH(D3302,'Sản phẩm'!$A$5:$A$304,0)),"")))</f>
        <v/>
      </c>
      <c r="J3302" s="16">
        <f>IF(OR(D3302="",F3302=""),"",F3302*I3302-N(H3302))</f>
        <v/>
      </c>
      <c r="K3302" s="16">
        <f>IF(OR(D3302="",F3302=""),"",F3302*IFERROR(INDEX('Sản phẩm'!$D$5:$D$304,MATCH(D3302,'Sản phẩm'!$A$5:$A$304,0)),""))</f>
        <v/>
      </c>
      <c r="L3302" s="16">
        <f>IF(J3302="","",J3302-K3302)</f>
        <v/>
      </c>
      <c r="M3302" s="14">
        <f>IF(A3302="","",MONTH(A3302))</f>
        <v/>
      </c>
      <c r="N3302" s="14">
        <f>IF(A3302="","",YEAR(A3302))</f>
        <v/>
      </c>
    </row>
    <row r="3303">
      <c r="A3303" s="15" t="n"/>
      <c r="B3303" s="10" t="n"/>
      <c r="C3303" s="10" t="n"/>
      <c r="D3303" s="10" t="n"/>
      <c r="E3303" s="14">
        <f>IF(D3303="","",IFERROR(INDEX('Sản phẩm'!$B$5:$B$304,MATCH(D3303,'Sản phẩm'!$A$5:$A$304,0)),""))</f>
        <v/>
      </c>
      <c r="F3303" s="12" t="n"/>
      <c r="G3303" s="11" t="n"/>
      <c r="H3303" s="11" t="n"/>
      <c r="I3303" s="16">
        <f>IF(D3303="","",IF(G3303&lt;&gt;"",G3303,IFERROR(INDEX('Sản phẩm'!$E$5:$E$304,MATCH(D3303,'Sản phẩm'!$A$5:$A$304,0)),"")))</f>
        <v/>
      </c>
      <c r="J3303" s="16">
        <f>IF(OR(D3303="",F3303=""),"",F3303*I3303-N(H3303))</f>
        <v/>
      </c>
      <c r="K3303" s="16">
        <f>IF(OR(D3303="",F3303=""),"",F3303*IFERROR(INDEX('Sản phẩm'!$D$5:$D$304,MATCH(D3303,'Sản phẩm'!$A$5:$A$304,0)),""))</f>
        <v/>
      </c>
      <c r="L3303" s="16">
        <f>IF(J3303="","",J3303-K3303)</f>
        <v/>
      </c>
      <c r="M3303" s="14">
        <f>IF(A3303="","",MONTH(A3303))</f>
        <v/>
      </c>
      <c r="N3303" s="14">
        <f>IF(A3303="","",YEAR(A3303))</f>
        <v/>
      </c>
    </row>
    <row r="3304">
      <c r="A3304" s="15" t="n"/>
      <c r="B3304" s="10" t="n"/>
      <c r="C3304" s="10" t="n"/>
      <c r="D3304" s="10" t="n"/>
      <c r="E3304" s="14">
        <f>IF(D3304="","",IFERROR(INDEX('Sản phẩm'!$B$5:$B$304,MATCH(D3304,'Sản phẩm'!$A$5:$A$304,0)),""))</f>
        <v/>
      </c>
      <c r="F3304" s="12" t="n"/>
      <c r="G3304" s="11" t="n"/>
      <c r="H3304" s="11" t="n"/>
      <c r="I3304" s="16">
        <f>IF(D3304="","",IF(G3304&lt;&gt;"",G3304,IFERROR(INDEX('Sản phẩm'!$E$5:$E$304,MATCH(D3304,'Sản phẩm'!$A$5:$A$304,0)),"")))</f>
        <v/>
      </c>
      <c r="J3304" s="16">
        <f>IF(OR(D3304="",F3304=""),"",F3304*I3304-N(H3304))</f>
        <v/>
      </c>
      <c r="K3304" s="16">
        <f>IF(OR(D3304="",F3304=""),"",F3304*IFERROR(INDEX('Sản phẩm'!$D$5:$D$304,MATCH(D3304,'Sản phẩm'!$A$5:$A$304,0)),""))</f>
        <v/>
      </c>
      <c r="L3304" s="16">
        <f>IF(J3304="","",J3304-K3304)</f>
        <v/>
      </c>
      <c r="M3304" s="14">
        <f>IF(A3304="","",MONTH(A3304))</f>
        <v/>
      </c>
      <c r="N3304" s="14">
        <f>IF(A3304="","",YEAR(A3304))</f>
        <v/>
      </c>
    </row>
    <row r="3305">
      <c r="A3305" s="15" t="n"/>
      <c r="B3305" s="10" t="n"/>
      <c r="C3305" s="10" t="n"/>
      <c r="D3305" s="10" t="n"/>
      <c r="E3305" s="14">
        <f>IF(D3305="","",IFERROR(INDEX('Sản phẩm'!$B$5:$B$304,MATCH(D3305,'Sản phẩm'!$A$5:$A$304,0)),""))</f>
        <v/>
      </c>
      <c r="F3305" s="12" t="n"/>
      <c r="G3305" s="11" t="n"/>
      <c r="H3305" s="11" t="n"/>
      <c r="I3305" s="16">
        <f>IF(D3305="","",IF(G3305&lt;&gt;"",G3305,IFERROR(INDEX('Sản phẩm'!$E$5:$E$304,MATCH(D3305,'Sản phẩm'!$A$5:$A$304,0)),"")))</f>
        <v/>
      </c>
      <c r="J3305" s="16">
        <f>IF(OR(D3305="",F3305=""),"",F3305*I3305-N(H3305))</f>
        <v/>
      </c>
      <c r="K3305" s="16">
        <f>IF(OR(D3305="",F3305=""),"",F3305*IFERROR(INDEX('Sản phẩm'!$D$5:$D$304,MATCH(D3305,'Sản phẩm'!$A$5:$A$304,0)),""))</f>
        <v/>
      </c>
      <c r="L3305" s="16">
        <f>IF(J3305="","",J3305-K3305)</f>
        <v/>
      </c>
      <c r="M3305" s="14">
        <f>IF(A3305="","",MONTH(A3305))</f>
        <v/>
      </c>
      <c r="N3305" s="14">
        <f>IF(A3305="","",YEAR(A3305))</f>
        <v/>
      </c>
    </row>
    <row r="3306">
      <c r="A3306" s="15" t="n"/>
      <c r="B3306" s="10" t="n"/>
      <c r="C3306" s="10" t="n"/>
      <c r="D3306" s="10" t="n"/>
      <c r="E3306" s="14">
        <f>IF(D3306="","",IFERROR(INDEX('Sản phẩm'!$B$5:$B$304,MATCH(D3306,'Sản phẩm'!$A$5:$A$304,0)),""))</f>
        <v/>
      </c>
      <c r="F3306" s="12" t="n"/>
      <c r="G3306" s="11" t="n"/>
      <c r="H3306" s="11" t="n"/>
      <c r="I3306" s="16">
        <f>IF(D3306="","",IF(G3306&lt;&gt;"",G3306,IFERROR(INDEX('Sản phẩm'!$E$5:$E$304,MATCH(D3306,'Sản phẩm'!$A$5:$A$304,0)),"")))</f>
        <v/>
      </c>
      <c r="J3306" s="16">
        <f>IF(OR(D3306="",F3306=""),"",F3306*I3306-N(H3306))</f>
        <v/>
      </c>
      <c r="K3306" s="16">
        <f>IF(OR(D3306="",F3306=""),"",F3306*IFERROR(INDEX('Sản phẩm'!$D$5:$D$304,MATCH(D3306,'Sản phẩm'!$A$5:$A$304,0)),""))</f>
        <v/>
      </c>
      <c r="L3306" s="16">
        <f>IF(J3306="","",J3306-K3306)</f>
        <v/>
      </c>
      <c r="M3306" s="14">
        <f>IF(A3306="","",MONTH(A3306))</f>
        <v/>
      </c>
      <c r="N3306" s="14">
        <f>IF(A3306="","",YEAR(A3306))</f>
        <v/>
      </c>
    </row>
    <row r="3307">
      <c r="A3307" s="15" t="n"/>
      <c r="B3307" s="10" t="n"/>
      <c r="C3307" s="10" t="n"/>
      <c r="D3307" s="10" t="n"/>
      <c r="E3307" s="14">
        <f>IF(D3307="","",IFERROR(INDEX('Sản phẩm'!$B$5:$B$304,MATCH(D3307,'Sản phẩm'!$A$5:$A$304,0)),""))</f>
        <v/>
      </c>
      <c r="F3307" s="12" t="n"/>
      <c r="G3307" s="11" t="n"/>
      <c r="H3307" s="11" t="n"/>
      <c r="I3307" s="16">
        <f>IF(D3307="","",IF(G3307&lt;&gt;"",G3307,IFERROR(INDEX('Sản phẩm'!$E$5:$E$304,MATCH(D3307,'Sản phẩm'!$A$5:$A$304,0)),"")))</f>
        <v/>
      </c>
      <c r="J3307" s="16">
        <f>IF(OR(D3307="",F3307=""),"",F3307*I3307-N(H3307))</f>
        <v/>
      </c>
      <c r="K3307" s="16">
        <f>IF(OR(D3307="",F3307=""),"",F3307*IFERROR(INDEX('Sản phẩm'!$D$5:$D$304,MATCH(D3307,'Sản phẩm'!$A$5:$A$304,0)),""))</f>
        <v/>
      </c>
      <c r="L3307" s="16">
        <f>IF(J3307="","",J3307-K3307)</f>
        <v/>
      </c>
      <c r="M3307" s="14">
        <f>IF(A3307="","",MONTH(A3307))</f>
        <v/>
      </c>
      <c r="N3307" s="14">
        <f>IF(A3307="","",YEAR(A3307))</f>
        <v/>
      </c>
    </row>
    <row r="3308">
      <c r="A3308" s="15" t="n"/>
      <c r="B3308" s="10" t="n"/>
      <c r="C3308" s="10" t="n"/>
      <c r="D3308" s="10" t="n"/>
      <c r="E3308" s="14">
        <f>IF(D3308="","",IFERROR(INDEX('Sản phẩm'!$B$5:$B$304,MATCH(D3308,'Sản phẩm'!$A$5:$A$304,0)),""))</f>
        <v/>
      </c>
      <c r="F3308" s="12" t="n"/>
      <c r="G3308" s="11" t="n"/>
      <c r="H3308" s="11" t="n"/>
      <c r="I3308" s="16">
        <f>IF(D3308="","",IF(G3308&lt;&gt;"",G3308,IFERROR(INDEX('Sản phẩm'!$E$5:$E$304,MATCH(D3308,'Sản phẩm'!$A$5:$A$304,0)),"")))</f>
        <v/>
      </c>
      <c r="J3308" s="16">
        <f>IF(OR(D3308="",F3308=""),"",F3308*I3308-N(H3308))</f>
        <v/>
      </c>
      <c r="K3308" s="16">
        <f>IF(OR(D3308="",F3308=""),"",F3308*IFERROR(INDEX('Sản phẩm'!$D$5:$D$304,MATCH(D3308,'Sản phẩm'!$A$5:$A$304,0)),""))</f>
        <v/>
      </c>
      <c r="L3308" s="16">
        <f>IF(J3308="","",J3308-K3308)</f>
        <v/>
      </c>
      <c r="M3308" s="14">
        <f>IF(A3308="","",MONTH(A3308))</f>
        <v/>
      </c>
      <c r="N3308" s="14">
        <f>IF(A3308="","",YEAR(A3308))</f>
        <v/>
      </c>
    </row>
    <row r="3309">
      <c r="A3309" s="15" t="n"/>
      <c r="B3309" s="10" t="n"/>
      <c r="C3309" s="10" t="n"/>
      <c r="D3309" s="10" t="n"/>
      <c r="E3309" s="14">
        <f>IF(D3309="","",IFERROR(INDEX('Sản phẩm'!$B$5:$B$304,MATCH(D3309,'Sản phẩm'!$A$5:$A$304,0)),""))</f>
        <v/>
      </c>
      <c r="F3309" s="12" t="n"/>
      <c r="G3309" s="11" t="n"/>
      <c r="H3309" s="11" t="n"/>
      <c r="I3309" s="16">
        <f>IF(D3309="","",IF(G3309&lt;&gt;"",G3309,IFERROR(INDEX('Sản phẩm'!$E$5:$E$304,MATCH(D3309,'Sản phẩm'!$A$5:$A$304,0)),"")))</f>
        <v/>
      </c>
      <c r="J3309" s="16">
        <f>IF(OR(D3309="",F3309=""),"",F3309*I3309-N(H3309))</f>
        <v/>
      </c>
      <c r="K3309" s="16">
        <f>IF(OR(D3309="",F3309=""),"",F3309*IFERROR(INDEX('Sản phẩm'!$D$5:$D$304,MATCH(D3309,'Sản phẩm'!$A$5:$A$304,0)),""))</f>
        <v/>
      </c>
      <c r="L3309" s="16">
        <f>IF(J3309="","",J3309-K3309)</f>
        <v/>
      </c>
      <c r="M3309" s="14">
        <f>IF(A3309="","",MONTH(A3309))</f>
        <v/>
      </c>
      <c r="N3309" s="14">
        <f>IF(A3309="","",YEAR(A3309))</f>
        <v/>
      </c>
    </row>
    <row r="3310">
      <c r="A3310" s="15" t="n"/>
      <c r="B3310" s="10" t="n"/>
      <c r="C3310" s="10" t="n"/>
      <c r="D3310" s="10" t="n"/>
      <c r="E3310" s="14">
        <f>IF(D3310="","",IFERROR(INDEX('Sản phẩm'!$B$5:$B$304,MATCH(D3310,'Sản phẩm'!$A$5:$A$304,0)),""))</f>
        <v/>
      </c>
      <c r="F3310" s="12" t="n"/>
      <c r="G3310" s="11" t="n"/>
      <c r="H3310" s="11" t="n"/>
      <c r="I3310" s="16">
        <f>IF(D3310="","",IF(G3310&lt;&gt;"",G3310,IFERROR(INDEX('Sản phẩm'!$E$5:$E$304,MATCH(D3310,'Sản phẩm'!$A$5:$A$304,0)),"")))</f>
        <v/>
      </c>
      <c r="J3310" s="16">
        <f>IF(OR(D3310="",F3310=""),"",F3310*I3310-N(H3310))</f>
        <v/>
      </c>
      <c r="K3310" s="16">
        <f>IF(OR(D3310="",F3310=""),"",F3310*IFERROR(INDEX('Sản phẩm'!$D$5:$D$304,MATCH(D3310,'Sản phẩm'!$A$5:$A$304,0)),""))</f>
        <v/>
      </c>
      <c r="L3310" s="16">
        <f>IF(J3310="","",J3310-K3310)</f>
        <v/>
      </c>
      <c r="M3310" s="14">
        <f>IF(A3310="","",MONTH(A3310))</f>
        <v/>
      </c>
      <c r="N3310" s="14">
        <f>IF(A3310="","",YEAR(A3310))</f>
        <v/>
      </c>
    </row>
    <row r="3311">
      <c r="A3311" s="15" t="n"/>
      <c r="B3311" s="10" t="n"/>
      <c r="C3311" s="10" t="n"/>
      <c r="D3311" s="10" t="n"/>
      <c r="E3311" s="14">
        <f>IF(D3311="","",IFERROR(INDEX('Sản phẩm'!$B$5:$B$304,MATCH(D3311,'Sản phẩm'!$A$5:$A$304,0)),""))</f>
        <v/>
      </c>
      <c r="F3311" s="12" t="n"/>
      <c r="G3311" s="11" t="n"/>
      <c r="H3311" s="11" t="n"/>
      <c r="I3311" s="16">
        <f>IF(D3311="","",IF(G3311&lt;&gt;"",G3311,IFERROR(INDEX('Sản phẩm'!$E$5:$E$304,MATCH(D3311,'Sản phẩm'!$A$5:$A$304,0)),"")))</f>
        <v/>
      </c>
      <c r="J3311" s="16">
        <f>IF(OR(D3311="",F3311=""),"",F3311*I3311-N(H3311))</f>
        <v/>
      </c>
      <c r="K3311" s="16">
        <f>IF(OR(D3311="",F3311=""),"",F3311*IFERROR(INDEX('Sản phẩm'!$D$5:$D$304,MATCH(D3311,'Sản phẩm'!$A$5:$A$304,0)),""))</f>
        <v/>
      </c>
      <c r="L3311" s="16">
        <f>IF(J3311="","",J3311-K3311)</f>
        <v/>
      </c>
      <c r="M3311" s="14">
        <f>IF(A3311="","",MONTH(A3311))</f>
        <v/>
      </c>
      <c r="N3311" s="14">
        <f>IF(A3311="","",YEAR(A3311))</f>
        <v/>
      </c>
    </row>
    <row r="3312">
      <c r="A3312" s="15" t="n"/>
      <c r="B3312" s="10" t="n"/>
      <c r="C3312" s="10" t="n"/>
      <c r="D3312" s="10" t="n"/>
      <c r="E3312" s="14">
        <f>IF(D3312="","",IFERROR(INDEX('Sản phẩm'!$B$5:$B$304,MATCH(D3312,'Sản phẩm'!$A$5:$A$304,0)),""))</f>
        <v/>
      </c>
      <c r="F3312" s="12" t="n"/>
      <c r="G3312" s="11" t="n"/>
      <c r="H3312" s="11" t="n"/>
      <c r="I3312" s="16">
        <f>IF(D3312="","",IF(G3312&lt;&gt;"",G3312,IFERROR(INDEX('Sản phẩm'!$E$5:$E$304,MATCH(D3312,'Sản phẩm'!$A$5:$A$304,0)),"")))</f>
        <v/>
      </c>
      <c r="J3312" s="16">
        <f>IF(OR(D3312="",F3312=""),"",F3312*I3312-N(H3312))</f>
        <v/>
      </c>
      <c r="K3312" s="16">
        <f>IF(OR(D3312="",F3312=""),"",F3312*IFERROR(INDEX('Sản phẩm'!$D$5:$D$304,MATCH(D3312,'Sản phẩm'!$A$5:$A$304,0)),""))</f>
        <v/>
      </c>
      <c r="L3312" s="16">
        <f>IF(J3312="","",J3312-K3312)</f>
        <v/>
      </c>
      <c r="M3312" s="14">
        <f>IF(A3312="","",MONTH(A3312))</f>
        <v/>
      </c>
      <c r="N3312" s="14">
        <f>IF(A3312="","",YEAR(A3312))</f>
        <v/>
      </c>
    </row>
    <row r="3313">
      <c r="A3313" s="15" t="n"/>
      <c r="B3313" s="10" t="n"/>
      <c r="C3313" s="10" t="n"/>
      <c r="D3313" s="10" t="n"/>
      <c r="E3313" s="14">
        <f>IF(D3313="","",IFERROR(INDEX('Sản phẩm'!$B$5:$B$304,MATCH(D3313,'Sản phẩm'!$A$5:$A$304,0)),""))</f>
        <v/>
      </c>
      <c r="F3313" s="12" t="n"/>
      <c r="G3313" s="11" t="n"/>
      <c r="H3313" s="11" t="n"/>
      <c r="I3313" s="16">
        <f>IF(D3313="","",IF(G3313&lt;&gt;"",G3313,IFERROR(INDEX('Sản phẩm'!$E$5:$E$304,MATCH(D3313,'Sản phẩm'!$A$5:$A$304,0)),"")))</f>
        <v/>
      </c>
      <c r="J3313" s="16">
        <f>IF(OR(D3313="",F3313=""),"",F3313*I3313-N(H3313))</f>
        <v/>
      </c>
      <c r="K3313" s="16">
        <f>IF(OR(D3313="",F3313=""),"",F3313*IFERROR(INDEX('Sản phẩm'!$D$5:$D$304,MATCH(D3313,'Sản phẩm'!$A$5:$A$304,0)),""))</f>
        <v/>
      </c>
      <c r="L3313" s="16">
        <f>IF(J3313="","",J3313-K3313)</f>
        <v/>
      </c>
      <c r="M3313" s="14">
        <f>IF(A3313="","",MONTH(A3313))</f>
        <v/>
      </c>
      <c r="N3313" s="14">
        <f>IF(A3313="","",YEAR(A3313))</f>
        <v/>
      </c>
    </row>
    <row r="3314">
      <c r="A3314" s="15" t="n"/>
      <c r="B3314" s="10" t="n"/>
      <c r="C3314" s="10" t="n"/>
      <c r="D3314" s="10" t="n"/>
      <c r="E3314" s="14">
        <f>IF(D3314="","",IFERROR(INDEX('Sản phẩm'!$B$5:$B$304,MATCH(D3314,'Sản phẩm'!$A$5:$A$304,0)),""))</f>
        <v/>
      </c>
      <c r="F3314" s="12" t="n"/>
      <c r="G3314" s="11" t="n"/>
      <c r="H3314" s="11" t="n"/>
      <c r="I3314" s="16">
        <f>IF(D3314="","",IF(G3314&lt;&gt;"",G3314,IFERROR(INDEX('Sản phẩm'!$E$5:$E$304,MATCH(D3314,'Sản phẩm'!$A$5:$A$304,0)),"")))</f>
        <v/>
      </c>
      <c r="J3314" s="16">
        <f>IF(OR(D3314="",F3314=""),"",F3314*I3314-N(H3314))</f>
        <v/>
      </c>
      <c r="K3314" s="16">
        <f>IF(OR(D3314="",F3314=""),"",F3314*IFERROR(INDEX('Sản phẩm'!$D$5:$D$304,MATCH(D3314,'Sản phẩm'!$A$5:$A$304,0)),""))</f>
        <v/>
      </c>
      <c r="L3314" s="16">
        <f>IF(J3314="","",J3314-K3314)</f>
        <v/>
      </c>
      <c r="M3314" s="14">
        <f>IF(A3314="","",MONTH(A3314))</f>
        <v/>
      </c>
      <c r="N3314" s="14">
        <f>IF(A3314="","",YEAR(A3314))</f>
        <v/>
      </c>
    </row>
    <row r="3315">
      <c r="A3315" s="15" t="n"/>
      <c r="B3315" s="10" t="n"/>
      <c r="C3315" s="10" t="n"/>
      <c r="D3315" s="10" t="n"/>
      <c r="E3315" s="14">
        <f>IF(D3315="","",IFERROR(INDEX('Sản phẩm'!$B$5:$B$304,MATCH(D3315,'Sản phẩm'!$A$5:$A$304,0)),""))</f>
        <v/>
      </c>
      <c r="F3315" s="12" t="n"/>
      <c r="G3315" s="11" t="n"/>
      <c r="H3315" s="11" t="n"/>
      <c r="I3315" s="16">
        <f>IF(D3315="","",IF(G3315&lt;&gt;"",G3315,IFERROR(INDEX('Sản phẩm'!$E$5:$E$304,MATCH(D3315,'Sản phẩm'!$A$5:$A$304,0)),"")))</f>
        <v/>
      </c>
      <c r="J3315" s="16">
        <f>IF(OR(D3315="",F3315=""),"",F3315*I3315-N(H3315))</f>
        <v/>
      </c>
      <c r="K3315" s="16">
        <f>IF(OR(D3315="",F3315=""),"",F3315*IFERROR(INDEX('Sản phẩm'!$D$5:$D$304,MATCH(D3315,'Sản phẩm'!$A$5:$A$304,0)),""))</f>
        <v/>
      </c>
      <c r="L3315" s="16">
        <f>IF(J3315="","",J3315-K3315)</f>
        <v/>
      </c>
      <c r="M3315" s="14">
        <f>IF(A3315="","",MONTH(A3315))</f>
        <v/>
      </c>
      <c r="N3315" s="14">
        <f>IF(A3315="","",YEAR(A3315))</f>
        <v/>
      </c>
    </row>
    <row r="3316">
      <c r="A3316" s="15" t="n"/>
      <c r="B3316" s="10" t="n"/>
      <c r="C3316" s="10" t="n"/>
      <c r="D3316" s="10" t="n"/>
      <c r="E3316" s="14">
        <f>IF(D3316="","",IFERROR(INDEX('Sản phẩm'!$B$5:$B$304,MATCH(D3316,'Sản phẩm'!$A$5:$A$304,0)),""))</f>
        <v/>
      </c>
      <c r="F3316" s="12" t="n"/>
      <c r="G3316" s="11" t="n"/>
      <c r="H3316" s="11" t="n"/>
      <c r="I3316" s="16">
        <f>IF(D3316="","",IF(G3316&lt;&gt;"",G3316,IFERROR(INDEX('Sản phẩm'!$E$5:$E$304,MATCH(D3316,'Sản phẩm'!$A$5:$A$304,0)),"")))</f>
        <v/>
      </c>
      <c r="J3316" s="16">
        <f>IF(OR(D3316="",F3316=""),"",F3316*I3316-N(H3316))</f>
        <v/>
      </c>
      <c r="K3316" s="16">
        <f>IF(OR(D3316="",F3316=""),"",F3316*IFERROR(INDEX('Sản phẩm'!$D$5:$D$304,MATCH(D3316,'Sản phẩm'!$A$5:$A$304,0)),""))</f>
        <v/>
      </c>
      <c r="L3316" s="16">
        <f>IF(J3316="","",J3316-K3316)</f>
        <v/>
      </c>
      <c r="M3316" s="14">
        <f>IF(A3316="","",MONTH(A3316))</f>
        <v/>
      </c>
      <c r="N3316" s="14">
        <f>IF(A3316="","",YEAR(A3316))</f>
        <v/>
      </c>
    </row>
    <row r="3317">
      <c r="A3317" s="15" t="n"/>
      <c r="B3317" s="10" t="n"/>
      <c r="C3317" s="10" t="n"/>
      <c r="D3317" s="10" t="n"/>
      <c r="E3317" s="14">
        <f>IF(D3317="","",IFERROR(INDEX('Sản phẩm'!$B$5:$B$304,MATCH(D3317,'Sản phẩm'!$A$5:$A$304,0)),""))</f>
        <v/>
      </c>
      <c r="F3317" s="12" t="n"/>
      <c r="G3317" s="11" t="n"/>
      <c r="H3317" s="11" t="n"/>
      <c r="I3317" s="16">
        <f>IF(D3317="","",IF(G3317&lt;&gt;"",G3317,IFERROR(INDEX('Sản phẩm'!$E$5:$E$304,MATCH(D3317,'Sản phẩm'!$A$5:$A$304,0)),"")))</f>
        <v/>
      </c>
      <c r="J3317" s="16">
        <f>IF(OR(D3317="",F3317=""),"",F3317*I3317-N(H3317))</f>
        <v/>
      </c>
      <c r="K3317" s="16">
        <f>IF(OR(D3317="",F3317=""),"",F3317*IFERROR(INDEX('Sản phẩm'!$D$5:$D$304,MATCH(D3317,'Sản phẩm'!$A$5:$A$304,0)),""))</f>
        <v/>
      </c>
      <c r="L3317" s="16">
        <f>IF(J3317="","",J3317-K3317)</f>
        <v/>
      </c>
      <c r="M3317" s="14">
        <f>IF(A3317="","",MONTH(A3317))</f>
        <v/>
      </c>
      <c r="N3317" s="14">
        <f>IF(A3317="","",YEAR(A3317))</f>
        <v/>
      </c>
    </row>
    <row r="3318">
      <c r="A3318" s="15" t="n"/>
      <c r="B3318" s="10" t="n"/>
      <c r="C3318" s="10" t="n"/>
      <c r="D3318" s="10" t="n"/>
      <c r="E3318" s="14">
        <f>IF(D3318="","",IFERROR(INDEX('Sản phẩm'!$B$5:$B$304,MATCH(D3318,'Sản phẩm'!$A$5:$A$304,0)),""))</f>
        <v/>
      </c>
      <c r="F3318" s="12" t="n"/>
      <c r="G3318" s="11" t="n"/>
      <c r="H3318" s="11" t="n"/>
      <c r="I3318" s="16">
        <f>IF(D3318="","",IF(G3318&lt;&gt;"",G3318,IFERROR(INDEX('Sản phẩm'!$E$5:$E$304,MATCH(D3318,'Sản phẩm'!$A$5:$A$304,0)),"")))</f>
        <v/>
      </c>
      <c r="J3318" s="16">
        <f>IF(OR(D3318="",F3318=""),"",F3318*I3318-N(H3318))</f>
        <v/>
      </c>
      <c r="K3318" s="16">
        <f>IF(OR(D3318="",F3318=""),"",F3318*IFERROR(INDEX('Sản phẩm'!$D$5:$D$304,MATCH(D3318,'Sản phẩm'!$A$5:$A$304,0)),""))</f>
        <v/>
      </c>
      <c r="L3318" s="16">
        <f>IF(J3318="","",J3318-K3318)</f>
        <v/>
      </c>
      <c r="M3318" s="14">
        <f>IF(A3318="","",MONTH(A3318))</f>
        <v/>
      </c>
      <c r="N3318" s="14">
        <f>IF(A3318="","",YEAR(A3318))</f>
        <v/>
      </c>
    </row>
    <row r="3319">
      <c r="A3319" s="15" t="n"/>
      <c r="B3319" s="10" t="n"/>
      <c r="C3319" s="10" t="n"/>
      <c r="D3319" s="10" t="n"/>
      <c r="E3319" s="14">
        <f>IF(D3319="","",IFERROR(INDEX('Sản phẩm'!$B$5:$B$304,MATCH(D3319,'Sản phẩm'!$A$5:$A$304,0)),""))</f>
        <v/>
      </c>
      <c r="F3319" s="12" t="n"/>
      <c r="G3319" s="11" t="n"/>
      <c r="H3319" s="11" t="n"/>
      <c r="I3319" s="16">
        <f>IF(D3319="","",IF(G3319&lt;&gt;"",G3319,IFERROR(INDEX('Sản phẩm'!$E$5:$E$304,MATCH(D3319,'Sản phẩm'!$A$5:$A$304,0)),"")))</f>
        <v/>
      </c>
      <c r="J3319" s="16">
        <f>IF(OR(D3319="",F3319=""),"",F3319*I3319-N(H3319))</f>
        <v/>
      </c>
      <c r="K3319" s="16">
        <f>IF(OR(D3319="",F3319=""),"",F3319*IFERROR(INDEX('Sản phẩm'!$D$5:$D$304,MATCH(D3319,'Sản phẩm'!$A$5:$A$304,0)),""))</f>
        <v/>
      </c>
      <c r="L3319" s="16">
        <f>IF(J3319="","",J3319-K3319)</f>
        <v/>
      </c>
      <c r="M3319" s="14">
        <f>IF(A3319="","",MONTH(A3319))</f>
        <v/>
      </c>
      <c r="N3319" s="14">
        <f>IF(A3319="","",YEAR(A3319))</f>
        <v/>
      </c>
    </row>
    <row r="3320">
      <c r="A3320" s="15" t="n"/>
      <c r="B3320" s="10" t="n"/>
      <c r="C3320" s="10" t="n"/>
      <c r="D3320" s="10" t="n"/>
      <c r="E3320" s="14">
        <f>IF(D3320="","",IFERROR(INDEX('Sản phẩm'!$B$5:$B$304,MATCH(D3320,'Sản phẩm'!$A$5:$A$304,0)),""))</f>
        <v/>
      </c>
      <c r="F3320" s="12" t="n"/>
      <c r="G3320" s="11" t="n"/>
      <c r="H3320" s="11" t="n"/>
      <c r="I3320" s="16">
        <f>IF(D3320="","",IF(G3320&lt;&gt;"",G3320,IFERROR(INDEX('Sản phẩm'!$E$5:$E$304,MATCH(D3320,'Sản phẩm'!$A$5:$A$304,0)),"")))</f>
        <v/>
      </c>
      <c r="J3320" s="16">
        <f>IF(OR(D3320="",F3320=""),"",F3320*I3320-N(H3320))</f>
        <v/>
      </c>
      <c r="K3320" s="16">
        <f>IF(OR(D3320="",F3320=""),"",F3320*IFERROR(INDEX('Sản phẩm'!$D$5:$D$304,MATCH(D3320,'Sản phẩm'!$A$5:$A$304,0)),""))</f>
        <v/>
      </c>
      <c r="L3320" s="16">
        <f>IF(J3320="","",J3320-K3320)</f>
        <v/>
      </c>
      <c r="M3320" s="14">
        <f>IF(A3320="","",MONTH(A3320))</f>
        <v/>
      </c>
      <c r="N3320" s="14">
        <f>IF(A3320="","",YEAR(A3320))</f>
        <v/>
      </c>
    </row>
    <row r="3321">
      <c r="A3321" s="15" t="n"/>
      <c r="B3321" s="10" t="n"/>
      <c r="C3321" s="10" t="n"/>
      <c r="D3321" s="10" t="n"/>
      <c r="E3321" s="14">
        <f>IF(D3321="","",IFERROR(INDEX('Sản phẩm'!$B$5:$B$304,MATCH(D3321,'Sản phẩm'!$A$5:$A$304,0)),""))</f>
        <v/>
      </c>
      <c r="F3321" s="12" t="n"/>
      <c r="G3321" s="11" t="n"/>
      <c r="H3321" s="11" t="n"/>
      <c r="I3321" s="16">
        <f>IF(D3321="","",IF(G3321&lt;&gt;"",G3321,IFERROR(INDEX('Sản phẩm'!$E$5:$E$304,MATCH(D3321,'Sản phẩm'!$A$5:$A$304,0)),"")))</f>
        <v/>
      </c>
      <c r="J3321" s="16">
        <f>IF(OR(D3321="",F3321=""),"",F3321*I3321-N(H3321))</f>
        <v/>
      </c>
      <c r="K3321" s="16">
        <f>IF(OR(D3321="",F3321=""),"",F3321*IFERROR(INDEX('Sản phẩm'!$D$5:$D$304,MATCH(D3321,'Sản phẩm'!$A$5:$A$304,0)),""))</f>
        <v/>
      </c>
      <c r="L3321" s="16">
        <f>IF(J3321="","",J3321-K3321)</f>
        <v/>
      </c>
      <c r="M3321" s="14">
        <f>IF(A3321="","",MONTH(A3321))</f>
        <v/>
      </c>
      <c r="N3321" s="14">
        <f>IF(A3321="","",YEAR(A3321))</f>
        <v/>
      </c>
    </row>
    <row r="3322">
      <c r="A3322" s="15" t="n"/>
      <c r="B3322" s="10" t="n"/>
      <c r="C3322" s="10" t="n"/>
      <c r="D3322" s="10" t="n"/>
      <c r="E3322" s="14">
        <f>IF(D3322="","",IFERROR(INDEX('Sản phẩm'!$B$5:$B$304,MATCH(D3322,'Sản phẩm'!$A$5:$A$304,0)),""))</f>
        <v/>
      </c>
      <c r="F3322" s="12" t="n"/>
      <c r="G3322" s="11" t="n"/>
      <c r="H3322" s="11" t="n"/>
      <c r="I3322" s="16">
        <f>IF(D3322="","",IF(G3322&lt;&gt;"",G3322,IFERROR(INDEX('Sản phẩm'!$E$5:$E$304,MATCH(D3322,'Sản phẩm'!$A$5:$A$304,0)),"")))</f>
        <v/>
      </c>
      <c r="J3322" s="16">
        <f>IF(OR(D3322="",F3322=""),"",F3322*I3322-N(H3322))</f>
        <v/>
      </c>
      <c r="K3322" s="16">
        <f>IF(OR(D3322="",F3322=""),"",F3322*IFERROR(INDEX('Sản phẩm'!$D$5:$D$304,MATCH(D3322,'Sản phẩm'!$A$5:$A$304,0)),""))</f>
        <v/>
      </c>
      <c r="L3322" s="16">
        <f>IF(J3322="","",J3322-K3322)</f>
        <v/>
      </c>
      <c r="M3322" s="14">
        <f>IF(A3322="","",MONTH(A3322))</f>
        <v/>
      </c>
      <c r="N3322" s="14">
        <f>IF(A3322="","",YEAR(A3322))</f>
        <v/>
      </c>
    </row>
    <row r="3323">
      <c r="A3323" s="15" t="n"/>
      <c r="B3323" s="10" t="n"/>
      <c r="C3323" s="10" t="n"/>
      <c r="D3323" s="10" t="n"/>
      <c r="E3323" s="14">
        <f>IF(D3323="","",IFERROR(INDEX('Sản phẩm'!$B$5:$B$304,MATCH(D3323,'Sản phẩm'!$A$5:$A$304,0)),""))</f>
        <v/>
      </c>
      <c r="F3323" s="12" t="n"/>
      <c r="G3323" s="11" t="n"/>
      <c r="H3323" s="11" t="n"/>
      <c r="I3323" s="16">
        <f>IF(D3323="","",IF(G3323&lt;&gt;"",G3323,IFERROR(INDEX('Sản phẩm'!$E$5:$E$304,MATCH(D3323,'Sản phẩm'!$A$5:$A$304,0)),"")))</f>
        <v/>
      </c>
      <c r="J3323" s="16">
        <f>IF(OR(D3323="",F3323=""),"",F3323*I3323-N(H3323))</f>
        <v/>
      </c>
      <c r="K3323" s="16">
        <f>IF(OR(D3323="",F3323=""),"",F3323*IFERROR(INDEX('Sản phẩm'!$D$5:$D$304,MATCH(D3323,'Sản phẩm'!$A$5:$A$304,0)),""))</f>
        <v/>
      </c>
      <c r="L3323" s="16">
        <f>IF(J3323="","",J3323-K3323)</f>
        <v/>
      </c>
      <c r="M3323" s="14">
        <f>IF(A3323="","",MONTH(A3323))</f>
        <v/>
      </c>
      <c r="N3323" s="14">
        <f>IF(A3323="","",YEAR(A3323))</f>
        <v/>
      </c>
    </row>
    <row r="3324">
      <c r="A3324" s="15" t="n"/>
      <c r="B3324" s="10" t="n"/>
      <c r="C3324" s="10" t="n"/>
      <c r="D3324" s="10" t="n"/>
      <c r="E3324" s="14">
        <f>IF(D3324="","",IFERROR(INDEX('Sản phẩm'!$B$5:$B$304,MATCH(D3324,'Sản phẩm'!$A$5:$A$304,0)),""))</f>
        <v/>
      </c>
      <c r="F3324" s="12" t="n"/>
      <c r="G3324" s="11" t="n"/>
      <c r="H3324" s="11" t="n"/>
      <c r="I3324" s="16">
        <f>IF(D3324="","",IF(G3324&lt;&gt;"",G3324,IFERROR(INDEX('Sản phẩm'!$E$5:$E$304,MATCH(D3324,'Sản phẩm'!$A$5:$A$304,0)),"")))</f>
        <v/>
      </c>
      <c r="J3324" s="16">
        <f>IF(OR(D3324="",F3324=""),"",F3324*I3324-N(H3324))</f>
        <v/>
      </c>
      <c r="K3324" s="16">
        <f>IF(OR(D3324="",F3324=""),"",F3324*IFERROR(INDEX('Sản phẩm'!$D$5:$D$304,MATCH(D3324,'Sản phẩm'!$A$5:$A$304,0)),""))</f>
        <v/>
      </c>
      <c r="L3324" s="16">
        <f>IF(J3324="","",J3324-K3324)</f>
        <v/>
      </c>
      <c r="M3324" s="14">
        <f>IF(A3324="","",MONTH(A3324))</f>
        <v/>
      </c>
      <c r="N3324" s="14">
        <f>IF(A3324="","",YEAR(A3324))</f>
        <v/>
      </c>
    </row>
    <row r="3325">
      <c r="A3325" s="15" t="n"/>
      <c r="B3325" s="10" t="n"/>
      <c r="C3325" s="10" t="n"/>
      <c r="D3325" s="10" t="n"/>
      <c r="E3325" s="14">
        <f>IF(D3325="","",IFERROR(INDEX('Sản phẩm'!$B$5:$B$304,MATCH(D3325,'Sản phẩm'!$A$5:$A$304,0)),""))</f>
        <v/>
      </c>
      <c r="F3325" s="12" t="n"/>
      <c r="G3325" s="11" t="n"/>
      <c r="H3325" s="11" t="n"/>
      <c r="I3325" s="16">
        <f>IF(D3325="","",IF(G3325&lt;&gt;"",G3325,IFERROR(INDEX('Sản phẩm'!$E$5:$E$304,MATCH(D3325,'Sản phẩm'!$A$5:$A$304,0)),"")))</f>
        <v/>
      </c>
      <c r="J3325" s="16">
        <f>IF(OR(D3325="",F3325=""),"",F3325*I3325-N(H3325))</f>
        <v/>
      </c>
      <c r="K3325" s="16">
        <f>IF(OR(D3325="",F3325=""),"",F3325*IFERROR(INDEX('Sản phẩm'!$D$5:$D$304,MATCH(D3325,'Sản phẩm'!$A$5:$A$304,0)),""))</f>
        <v/>
      </c>
      <c r="L3325" s="16">
        <f>IF(J3325="","",J3325-K3325)</f>
        <v/>
      </c>
      <c r="M3325" s="14">
        <f>IF(A3325="","",MONTH(A3325))</f>
        <v/>
      </c>
      <c r="N3325" s="14">
        <f>IF(A3325="","",YEAR(A3325))</f>
        <v/>
      </c>
    </row>
    <row r="3326">
      <c r="A3326" s="15" t="n"/>
      <c r="B3326" s="10" t="n"/>
      <c r="C3326" s="10" t="n"/>
      <c r="D3326" s="10" t="n"/>
      <c r="E3326" s="14">
        <f>IF(D3326="","",IFERROR(INDEX('Sản phẩm'!$B$5:$B$304,MATCH(D3326,'Sản phẩm'!$A$5:$A$304,0)),""))</f>
        <v/>
      </c>
      <c r="F3326" s="12" t="n"/>
      <c r="G3326" s="11" t="n"/>
      <c r="H3326" s="11" t="n"/>
      <c r="I3326" s="16">
        <f>IF(D3326="","",IF(G3326&lt;&gt;"",G3326,IFERROR(INDEX('Sản phẩm'!$E$5:$E$304,MATCH(D3326,'Sản phẩm'!$A$5:$A$304,0)),"")))</f>
        <v/>
      </c>
      <c r="J3326" s="16">
        <f>IF(OR(D3326="",F3326=""),"",F3326*I3326-N(H3326))</f>
        <v/>
      </c>
      <c r="K3326" s="16">
        <f>IF(OR(D3326="",F3326=""),"",F3326*IFERROR(INDEX('Sản phẩm'!$D$5:$D$304,MATCH(D3326,'Sản phẩm'!$A$5:$A$304,0)),""))</f>
        <v/>
      </c>
      <c r="L3326" s="16">
        <f>IF(J3326="","",J3326-K3326)</f>
        <v/>
      </c>
      <c r="M3326" s="14">
        <f>IF(A3326="","",MONTH(A3326))</f>
        <v/>
      </c>
      <c r="N3326" s="14">
        <f>IF(A3326="","",YEAR(A3326))</f>
        <v/>
      </c>
    </row>
    <row r="3327">
      <c r="A3327" s="15" t="n"/>
      <c r="B3327" s="10" t="n"/>
      <c r="C3327" s="10" t="n"/>
      <c r="D3327" s="10" t="n"/>
      <c r="E3327" s="14">
        <f>IF(D3327="","",IFERROR(INDEX('Sản phẩm'!$B$5:$B$304,MATCH(D3327,'Sản phẩm'!$A$5:$A$304,0)),""))</f>
        <v/>
      </c>
      <c r="F3327" s="12" t="n"/>
      <c r="G3327" s="11" t="n"/>
      <c r="H3327" s="11" t="n"/>
      <c r="I3327" s="16">
        <f>IF(D3327="","",IF(G3327&lt;&gt;"",G3327,IFERROR(INDEX('Sản phẩm'!$E$5:$E$304,MATCH(D3327,'Sản phẩm'!$A$5:$A$304,0)),"")))</f>
        <v/>
      </c>
      <c r="J3327" s="16">
        <f>IF(OR(D3327="",F3327=""),"",F3327*I3327-N(H3327))</f>
        <v/>
      </c>
      <c r="K3327" s="16">
        <f>IF(OR(D3327="",F3327=""),"",F3327*IFERROR(INDEX('Sản phẩm'!$D$5:$D$304,MATCH(D3327,'Sản phẩm'!$A$5:$A$304,0)),""))</f>
        <v/>
      </c>
      <c r="L3327" s="16">
        <f>IF(J3327="","",J3327-K3327)</f>
        <v/>
      </c>
      <c r="M3327" s="14">
        <f>IF(A3327="","",MONTH(A3327))</f>
        <v/>
      </c>
      <c r="N3327" s="14">
        <f>IF(A3327="","",YEAR(A3327))</f>
        <v/>
      </c>
    </row>
    <row r="3328">
      <c r="A3328" s="15" t="n"/>
      <c r="B3328" s="10" t="n"/>
      <c r="C3328" s="10" t="n"/>
      <c r="D3328" s="10" t="n"/>
      <c r="E3328" s="14">
        <f>IF(D3328="","",IFERROR(INDEX('Sản phẩm'!$B$5:$B$304,MATCH(D3328,'Sản phẩm'!$A$5:$A$304,0)),""))</f>
        <v/>
      </c>
      <c r="F3328" s="12" t="n"/>
      <c r="G3328" s="11" t="n"/>
      <c r="H3328" s="11" t="n"/>
      <c r="I3328" s="16">
        <f>IF(D3328="","",IF(G3328&lt;&gt;"",G3328,IFERROR(INDEX('Sản phẩm'!$E$5:$E$304,MATCH(D3328,'Sản phẩm'!$A$5:$A$304,0)),"")))</f>
        <v/>
      </c>
      <c r="J3328" s="16">
        <f>IF(OR(D3328="",F3328=""),"",F3328*I3328-N(H3328))</f>
        <v/>
      </c>
      <c r="K3328" s="16">
        <f>IF(OR(D3328="",F3328=""),"",F3328*IFERROR(INDEX('Sản phẩm'!$D$5:$D$304,MATCH(D3328,'Sản phẩm'!$A$5:$A$304,0)),""))</f>
        <v/>
      </c>
      <c r="L3328" s="16">
        <f>IF(J3328="","",J3328-K3328)</f>
        <v/>
      </c>
      <c r="M3328" s="14">
        <f>IF(A3328="","",MONTH(A3328))</f>
        <v/>
      </c>
      <c r="N3328" s="14">
        <f>IF(A3328="","",YEAR(A3328))</f>
        <v/>
      </c>
    </row>
    <row r="3329">
      <c r="A3329" s="15" t="n"/>
      <c r="B3329" s="10" t="n"/>
      <c r="C3329" s="10" t="n"/>
      <c r="D3329" s="10" t="n"/>
      <c r="E3329" s="14">
        <f>IF(D3329="","",IFERROR(INDEX('Sản phẩm'!$B$5:$B$304,MATCH(D3329,'Sản phẩm'!$A$5:$A$304,0)),""))</f>
        <v/>
      </c>
      <c r="F3329" s="12" t="n"/>
      <c r="G3329" s="11" t="n"/>
      <c r="H3329" s="11" t="n"/>
      <c r="I3329" s="16">
        <f>IF(D3329="","",IF(G3329&lt;&gt;"",G3329,IFERROR(INDEX('Sản phẩm'!$E$5:$E$304,MATCH(D3329,'Sản phẩm'!$A$5:$A$304,0)),"")))</f>
        <v/>
      </c>
      <c r="J3329" s="16">
        <f>IF(OR(D3329="",F3329=""),"",F3329*I3329-N(H3329))</f>
        <v/>
      </c>
      <c r="K3329" s="16">
        <f>IF(OR(D3329="",F3329=""),"",F3329*IFERROR(INDEX('Sản phẩm'!$D$5:$D$304,MATCH(D3329,'Sản phẩm'!$A$5:$A$304,0)),""))</f>
        <v/>
      </c>
      <c r="L3329" s="16">
        <f>IF(J3329="","",J3329-K3329)</f>
        <v/>
      </c>
      <c r="M3329" s="14">
        <f>IF(A3329="","",MONTH(A3329))</f>
        <v/>
      </c>
      <c r="N3329" s="14">
        <f>IF(A3329="","",YEAR(A3329))</f>
        <v/>
      </c>
    </row>
    <row r="3330">
      <c r="A3330" s="15" t="n"/>
      <c r="B3330" s="10" t="n"/>
      <c r="C3330" s="10" t="n"/>
      <c r="D3330" s="10" t="n"/>
      <c r="E3330" s="14">
        <f>IF(D3330="","",IFERROR(INDEX('Sản phẩm'!$B$5:$B$304,MATCH(D3330,'Sản phẩm'!$A$5:$A$304,0)),""))</f>
        <v/>
      </c>
      <c r="F3330" s="12" t="n"/>
      <c r="G3330" s="11" t="n"/>
      <c r="H3330" s="11" t="n"/>
      <c r="I3330" s="16">
        <f>IF(D3330="","",IF(G3330&lt;&gt;"",G3330,IFERROR(INDEX('Sản phẩm'!$E$5:$E$304,MATCH(D3330,'Sản phẩm'!$A$5:$A$304,0)),"")))</f>
        <v/>
      </c>
      <c r="J3330" s="16">
        <f>IF(OR(D3330="",F3330=""),"",F3330*I3330-N(H3330))</f>
        <v/>
      </c>
      <c r="K3330" s="16">
        <f>IF(OR(D3330="",F3330=""),"",F3330*IFERROR(INDEX('Sản phẩm'!$D$5:$D$304,MATCH(D3330,'Sản phẩm'!$A$5:$A$304,0)),""))</f>
        <v/>
      </c>
      <c r="L3330" s="16">
        <f>IF(J3330="","",J3330-K3330)</f>
        <v/>
      </c>
      <c r="M3330" s="14">
        <f>IF(A3330="","",MONTH(A3330))</f>
        <v/>
      </c>
      <c r="N3330" s="14">
        <f>IF(A3330="","",YEAR(A3330))</f>
        <v/>
      </c>
    </row>
    <row r="3331">
      <c r="A3331" s="15" t="n"/>
      <c r="B3331" s="10" t="n"/>
      <c r="C3331" s="10" t="n"/>
      <c r="D3331" s="10" t="n"/>
      <c r="E3331" s="14">
        <f>IF(D3331="","",IFERROR(INDEX('Sản phẩm'!$B$5:$B$304,MATCH(D3331,'Sản phẩm'!$A$5:$A$304,0)),""))</f>
        <v/>
      </c>
      <c r="F3331" s="12" t="n"/>
      <c r="G3331" s="11" t="n"/>
      <c r="H3331" s="11" t="n"/>
      <c r="I3331" s="16">
        <f>IF(D3331="","",IF(G3331&lt;&gt;"",G3331,IFERROR(INDEX('Sản phẩm'!$E$5:$E$304,MATCH(D3331,'Sản phẩm'!$A$5:$A$304,0)),"")))</f>
        <v/>
      </c>
      <c r="J3331" s="16">
        <f>IF(OR(D3331="",F3331=""),"",F3331*I3331-N(H3331))</f>
        <v/>
      </c>
      <c r="K3331" s="16">
        <f>IF(OR(D3331="",F3331=""),"",F3331*IFERROR(INDEX('Sản phẩm'!$D$5:$D$304,MATCH(D3331,'Sản phẩm'!$A$5:$A$304,0)),""))</f>
        <v/>
      </c>
      <c r="L3331" s="16">
        <f>IF(J3331="","",J3331-K3331)</f>
        <v/>
      </c>
      <c r="M3331" s="14">
        <f>IF(A3331="","",MONTH(A3331))</f>
        <v/>
      </c>
      <c r="N3331" s="14">
        <f>IF(A3331="","",YEAR(A3331))</f>
        <v/>
      </c>
    </row>
    <row r="3332">
      <c r="A3332" s="15" t="n"/>
      <c r="B3332" s="10" t="n"/>
      <c r="C3332" s="10" t="n"/>
      <c r="D3332" s="10" t="n"/>
      <c r="E3332" s="14">
        <f>IF(D3332="","",IFERROR(INDEX('Sản phẩm'!$B$5:$B$304,MATCH(D3332,'Sản phẩm'!$A$5:$A$304,0)),""))</f>
        <v/>
      </c>
      <c r="F3332" s="12" t="n"/>
      <c r="G3332" s="11" t="n"/>
      <c r="H3332" s="11" t="n"/>
      <c r="I3332" s="16">
        <f>IF(D3332="","",IF(G3332&lt;&gt;"",G3332,IFERROR(INDEX('Sản phẩm'!$E$5:$E$304,MATCH(D3332,'Sản phẩm'!$A$5:$A$304,0)),"")))</f>
        <v/>
      </c>
      <c r="J3332" s="16">
        <f>IF(OR(D3332="",F3332=""),"",F3332*I3332-N(H3332))</f>
        <v/>
      </c>
      <c r="K3332" s="16">
        <f>IF(OR(D3332="",F3332=""),"",F3332*IFERROR(INDEX('Sản phẩm'!$D$5:$D$304,MATCH(D3332,'Sản phẩm'!$A$5:$A$304,0)),""))</f>
        <v/>
      </c>
      <c r="L3332" s="16">
        <f>IF(J3332="","",J3332-K3332)</f>
        <v/>
      </c>
      <c r="M3332" s="14">
        <f>IF(A3332="","",MONTH(A3332))</f>
        <v/>
      </c>
      <c r="N3332" s="14">
        <f>IF(A3332="","",YEAR(A3332))</f>
        <v/>
      </c>
    </row>
    <row r="3333">
      <c r="A3333" s="15" t="n"/>
      <c r="B3333" s="10" t="n"/>
      <c r="C3333" s="10" t="n"/>
      <c r="D3333" s="10" t="n"/>
      <c r="E3333" s="14">
        <f>IF(D3333="","",IFERROR(INDEX('Sản phẩm'!$B$5:$B$304,MATCH(D3333,'Sản phẩm'!$A$5:$A$304,0)),""))</f>
        <v/>
      </c>
      <c r="F3333" s="12" t="n"/>
      <c r="G3333" s="11" t="n"/>
      <c r="H3333" s="11" t="n"/>
      <c r="I3333" s="16">
        <f>IF(D3333="","",IF(G3333&lt;&gt;"",G3333,IFERROR(INDEX('Sản phẩm'!$E$5:$E$304,MATCH(D3333,'Sản phẩm'!$A$5:$A$304,0)),"")))</f>
        <v/>
      </c>
      <c r="J3333" s="16">
        <f>IF(OR(D3333="",F3333=""),"",F3333*I3333-N(H3333))</f>
        <v/>
      </c>
      <c r="K3333" s="16">
        <f>IF(OR(D3333="",F3333=""),"",F3333*IFERROR(INDEX('Sản phẩm'!$D$5:$D$304,MATCH(D3333,'Sản phẩm'!$A$5:$A$304,0)),""))</f>
        <v/>
      </c>
      <c r="L3333" s="16">
        <f>IF(J3333="","",J3333-K3333)</f>
        <v/>
      </c>
      <c r="M3333" s="14">
        <f>IF(A3333="","",MONTH(A3333))</f>
        <v/>
      </c>
      <c r="N3333" s="14">
        <f>IF(A3333="","",YEAR(A3333))</f>
        <v/>
      </c>
    </row>
    <row r="3334">
      <c r="A3334" s="15" t="n"/>
      <c r="B3334" s="10" t="n"/>
      <c r="C3334" s="10" t="n"/>
      <c r="D3334" s="10" t="n"/>
      <c r="E3334" s="14">
        <f>IF(D3334="","",IFERROR(INDEX('Sản phẩm'!$B$5:$B$304,MATCH(D3334,'Sản phẩm'!$A$5:$A$304,0)),""))</f>
        <v/>
      </c>
      <c r="F3334" s="12" t="n"/>
      <c r="G3334" s="11" t="n"/>
      <c r="H3334" s="11" t="n"/>
      <c r="I3334" s="16">
        <f>IF(D3334="","",IF(G3334&lt;&gt;"",G3334,IFERROR(INDEX('Sản phẩm'!$E$5:$E$304,MATCH(D3334,'Sản phẩm'!$A$5:$A$304,0)),"")))</f>
        <v/>
      </c>
      <c r="J3334" s="16">
        <f>IF(OR(D3334="",F3334=""),"",F3334*I3334-N(H3334))</f>
        <v/>
      </c>
      <c r="K3334" s="16">
        <f>IF(OR(D3334="",F3334=""),"",F3334*IFERROR(INDEX('Sản phẩm'!$D$5:$D$304,MATCH(D3334,'Sản phẩm'!$A$5:$A$304,0)),""))</f>
        <v/>
      </c>
      <c r="L3334" s="16">
        <f>IF(J3334="","",J3334-K3334)</f>
        <v/>
      </c>
      <c r="M3334" s="14">
        <f>IF(A3334="","",MONTH(A3334))</f>
        <v/>
      </c>
      <c r="N3334" s="14">
        <f>IF(A3334="","",YEAR(A3334))</f>
        <v/>
      </c>
    </row>
    <row r="3335">
      <c r="A3335" s="15" t="n"/>
      <c r="B3335" s="10" t="n"/>
      <c r="C3335" s="10" t="n"/>
      <c r="D3335" s="10" t="n"/>
      <c r="E3335" s="14">
        <f>IF(D3335="","",IFERROR(INDEX('Sản phẩm'!$B$5:$B$304,MATCH(D3335,'Sản phẩm'!$A$5:$A$304,0)),""))</f>
        <v/>
      </c>
      <c r="F3335" s="12" t="n"/>
      <c r="G3335" s="11" t="n"/>
      <c r="H3335" s="11" t="n"/>
      <c r="I3335" s="16">
        <f>IF(D3335="","",IF(G3335&lt;&gt;"",G3335,IFERROR(INDEX('Sản phẩm'!$E$5:$E$304,MATCH(D3335,'Sản phẩm'!$A$5:$A$304,0)),"")))</f>
        <v/>
      </c>
      <c r="J3335" s="16">
        <f>IF(OR(D3335="",F3335=""),"",F3335*I3335-N(H3335))</f>
        <v/>
      </c>
      <c r="K3335" s="16">
        <f>IF(OR(D3335="",F3335=""),"",F3335*IFERROR(INDEX('Sản phẩm'!$D$5:$D$304,MATCH(D3335,'Sản phẩm'!$A$5:$A$304,0)),""))</f>
        <v/>
      </c>
      <c r="L3335" s="16">
        <f>IF(J3335="","",J3335-K3335)</f>
        <v/>
      </c>
      <c r="M3335" s="14">
        <f>IF(A3335="","",MONTH(A3335))</f>
        <v/>
      </c>
      <c r="N3335" s="14">
        <f>IF(A3335="","",YEAR(A3335))</f>
        <v/>
      </c>
    </row>
    <row r="3336">
      <c r="A3336" s="15" t="n"/>
      <c r="B3336" s="10" t="n"/>
      <c r="C3336" s="10" t="n"/>
      <c r="D3336" s="10" t="n"/>
      <c r="E3336" s="14">
        <f>IF(D3336="","",IFERROR(INDEX('Sản phẩm'!$B$5:$B$304,MATCH(D3336,'Sản phẩm'!$A$5:$A$304,0)),""))</f>
        <v/>
      </c>
      <c r="F3336" s="12" t="n"/>
      <c r="G3336" s="11" t="n"/>
      <c r="H3336" s="11" t="n"/>
      <c r="I3336" s="16">
        <f>IF(D3336="","",IF(G3336&lt;&gt;"",G3336,IFERROR(INDEX('Sản phẩm'!$E$5:$E$304,MATCH(D3336,'Sản phẩm'!$A$5:$A$304,0)),"")))</f>
        <v/>
      </c>
      <c r="J3336" s="16">
        <f>IF(OR(D3336="",F3336=""),"",F3336*I3336-N(H3336))</f>
        <v/>
      </c>
      <c r="K3336" s="16">
        <f>IF(OR(D3336="",F3336=""),"",F3336*IFERROR(INDEX('Sản phẩm'!$D$5:$D$304,MATCH(D3336,'Sản phẩm'!$A$5:$A$304,0)),""))</f>
        <v/>
      </c>
      <c r="L3336" s="16">
        <f>IF(J3336="","",J3336-K3336)</f>
        <v/>
      </c>
      <c r="M3336" s="14">
        <f>IF(A3336="","",MONTH(A3336))</f>
        <v/>
      </c>
      <c r="N3336" s="14">
        <f>IF(A3336="","",YEAR(A3336))</f>
        <v/>
      </c>
    </row>
    <row r="3337">
      <c r="A3337" s="15" t="n"/>
      <c r="B3337" s="10" t="n"/>
      <c r="C3337" s="10" t="n"/>
      <c r="D3337" s="10" t="n"/>
      <c r="E3337" s="14">
        <f>IF(D3337="","",IFERROR(INDEX('Sản phẩm'!$B$5:$B$304,MATCH(D3337,'Sản phẩm'!$A$5:$A$304,0)),""))</f>
        <v/>
      </c>
      <c r="F3337" s="12" t="n"/>
      <c r="G3337" s="11" t="n"/>
      <c r="H3337" s="11" t="n"/>
      <c r="I3337" s="16">
        <f>IF(D3337="","",IF(G3337&lt;&gt;"",G3337,IFERROR(INDEX('Sản phẩm'!$E$5:$E$304,MATCH(D3337,'Sản phẩm'!$A$5:$A$304,0)),"")))</f>
        <v/>
      </c>
      <c r="J3337" s="16">
        <f>IF(OR(D3337="",F3337=""),"",F3337*I3337-N(H3337))</f>
        <v/>
      </c>
      <c r="K3337" s="16">
        <f>IF(OR(D3337="",F3337=""),"",F3337*IFERROR(INDEX('Sản phẩm'!$D$5:$D$304,MATCH(D3337,'Sản phẩm'!$A$5:$A$304,0)),""))</f>
        <v/>
      </c>
      <c r="L3337" s="16">
        <f>IF(J3337="","",J3337-K3337)</f>
        <v/>
      </c>
      <c r="M3337" s="14">
        <f>IF(A3337="","",MONTH(A3337))</f>
        <v/>
      </c>
      <c r="N3337" s="14">
        <f>IF(A3337="","",YEAR(A3337))</f>
        <v/>
      </c>
    </row>
    <row r="3338">
      <c r="A3338" s="15" t="n"/>
      <c r="B3338" s="10" t="n"/>
      <c r="C3338" s="10" t="n"/>
      <c r="D3338" s="10" t="n"/>
      <c r="E3338" s="14">
        <f>IF(D3338="","",IFERROR(INDEX('Sản phẩm'!$B$5:$B$304,MATCH(D3338,'Sản phẩm'!$A$5:$A$304,0)),""))</f>
        <v/>
      </c>
      <c r="F3338" s="12" t="n"/>
      <c r="G3338" s="11" t="n"/>
      <c r="H3338" s="11" t="n"/>
      <c r="I3338" s="16">
        <f>IF(D3338="","",IF(G3338&lt;&gt;"",G3338,IFERROR(INDEX('Sản phẩm'!$E$5:$E$304,MATCH(D3338,'Sản phẩm'!$A$5:$A$304,0)),"")))</f>
        <v/>
      </c>
      <c r="J3338" s="16">
        <f>IF(OR(D3338="",F3338=""),"",F3338*I3338-N(H3338))</f>
        <v/>
      </c>
      <c r="K3338" s="16">
        <f>IF(OR(D3338="",F3338=""),"",F3338*IFERROR(INDEX('Sản phẩm'!$D$5:$D$304,MATCH(D3338,'Sản phẩm'!$A$5:$A$304,0)),""))</f>
        <v/>
      </c>
      <c r="L3338" s="16">
        <f>IF(J3338="","",J3338-K3338)</f>
        <v/>
      </c>
      <c r="M3338" s="14">
        <f>IF(A3338="","",MONTH(A3338))</f>
        <v/>
      </c>
      <c r="N3338" s="14">
        <f>IF(A3338="","",YEAR(A3338))</f>
        <v/>
      </c>
    </row>
    <row r="3339">
      <c r="A3339" s="15" t="n"/>
      <c r="B3339" s="10" t="n"/>
      <c r="C3339" s="10" t="n"/>
      <c r="D3339" s="10" t="n"/>
      <c r="E3339" s="14">
        <f>IF(D3339="","",IFERROR(INDEX('Sản phẩm'!$B$5:$B$304,MATCH(D3339,'Sản phẩm'!$A$5:$A$304,0)),""))</f>
        <v/>
      </c>
      <c r="F3339" s="12" t="n"/>
      <c r="G3339" s="11" t="n"/>
      <c r="H3339" s="11" t="n"/>
      <c r="I3339" s="16">
        <f>IF(D3339="","",IF(G3339&lt;&gt;"",G3339,IFERROR(INDEX('Sản phẩm'!$E$5:$E$304,MATCH(D3339,'Sản phẩm'!$A$5:$A$304,0)),"")))</f>
        <v/>
      </c>
      <c r="J3339" s="16">
        <f>IF(OR(D3339="",F3339=""),"",F3339*I3339-N(H3339))</f>
        <v/>
      </c>
      <c r="K3339" s="16">
        <f>IF(OR(D3339="",F3339=""),"",F3339*IFERROR(INDEX('Sản phẩm'!$D$5:$D$304,MATCH(D3339,'Sản phẩm'!$A$5:$A$304,0)),""))</f>
        <v/>
      </c>
      <c r="L3339" s="16">
        <f>IF(J3339="","",J3339-K3339)</f>
        <v/>
      </c>
      <c r="M3339" s="14">
        <f>IF(A3339="","",MONTH(A3339))</f>
        <v/>
      </c>
      <c r="N3339" s="14">
        <f>IF(A3339="","",YEAR(A3339))</f>
        <v/>
      </c>
    </row>
    <row r="3340">
      <c r="A3340" s="15" t="n"/>
      <c r="B3340" s="10" t="n"/>
      <c r="C3340" s="10" t="n"/>
      <c r="D3340" s="10" t="n"/>
      <c r="E3340" s="14">
        <f>IF(D3340="","",IFERROR(INDEX('Sản phẩm'!$B$5:$B$304,MATCH(D3340,'Sản phẩm'!$A$5:$A$304,0)),""))</f>
        <v/>
      </c>
      <c r="F3340" s="12" t="n"/>
      <c r="G3340" s="11" t="n"/>
      <c r="H3340" s="11" t="n"/>
      <c r="I3340" s="16">
        <f>IF(D3340="","",IF(G3340&lt;&gt;"",G3340,IFERROR(INDEX('Sản phẩm'!$E$5:$E$304,MATCH(D3340,'Sản phẩm'!$A$5:$A$304,0)),"")))</f>
        <v/>
      </c>
      <c r="J3340" s="16">
        <f>IF(OR(D3340="",F3340=""),"",F3340*I3340-N(H3340))</f>
        <v/>
      </c>
      <c r="K3340" s="16">
        <f>IF(OR(D3340="",F3340=""),"",F3340*IFERROR(INDEX('Sản phẩm'!$D$5:$D$304,MATCH(D3340,'Sản phẩm'!$A$5:$A$304,0)),""))</f>
        <v/>
      </c>
      <c r="L3340" s="16">
        <f>IF(J3340="","",J3340-K3340)</f>
        <v/>
      </c>
      <c r="M3340" s="14">
        <f>IF(A3340="","",MONTH(A3340))</f>
        <v/>
      </c>
      <c r="N3340" s="14">
        <f>IF(A3340="","",YEAR(A3340))</f>
        <v/>
      </c>
    </row>
    <row r="3341">
      <c r="A3341" s="15" t="n"/>
      <c r="B3341" s="10" t="n"/>
      <c r="C3341" s="10" t="n"/>
      <c r="D3341" s="10" t="n"/>
      <c r="E3341" s="14">
        <f>IF(D3341="","",IFERROR(INDEX('Sản phẩm'!$B$5:$B$304,MATCH(D3341,'Sản phẩm'!$A$5:$A$304,0)),""))</f>
        <v/>
      </c>
      <c r="F3341" s="12" t="n"/>
      <c r="G3341" s="11" t="n"/>
      <c r="H3341" s="11" t="n"/>
      <c r="I3341" s="16">
        <f>IF(D3341="","",IF(G3341&lt;&gt;"",G3341,IFERROR(INDEX('Sản phẩm'!$E$5:$E$304,MATCH(D3341,'Sản phẩm'!$A$5:$A$304,0)),"")))</f>
        <v/>
      </c>
      <c r="J3341" s="16">
        <f>IF(OR(D3341="",F3341=""),"",F3341*I3341-N(H3341))</f>
        <v/>
      </c>
      <c r="K3341" s="16">
        <f>IF(OR(D3341="",F3341=""),"",F3341*IFERROR(INDEX('Sản phẩm'!$D$5:$D$304,MATCH(D3341,'Sản phẩm'!$A$5:$A$304,0)),""))</f>
        <v/>
      </c>
      <c r="L3341" s="16">
        <f>IF(J3341="","",J3341-K3341)</f>
        <v/>
      </c>
      <c r="M3341" s="14">
        <f>IF(A3341="","",MONTH(A3341))</f>
        <v/>
      </c>
      <c r="N3341" s="14">
        <f>IF(A3341="","",YEAR(A3341))</f>
        <v/>
      </c>
    </row>
    <row r="3342">
      <c r="A3342" s="15" t="n"/>
      <c r="B3342" s="10" t="n"/>
      <c r="C3342" s="10" t="n"/>
      <c r="D3342" s="10" t="n"/>
      <c r="E3342" s="14">
        <f>IF(D3342="","",IFERROR(INDEX('Sản phẩm'!$B$5:$B$304,MATCH(D3342,'Sản phẩm'!$A$5:$A$304,0)),""))</f>
        <v/>
      </c>
      <c r="F3342" s="12" t="n"/>
      <c r="G3342" s="11" t="n"/>
      <c r="H3342" s="11" t="n"/>
      <c r="I3342" s="16">
        <f>IF(D3342="","",IF(G3342&lt;&gt;"",G3342,IFERROR(INDEX('Sản phẩm'!$E$5:$E$304,MATCH(D3342,'Sản phẩm'!$A$5:$A$304,0)),"")))</f>
        <v/>
      </c>
      <c r="J3342" s="16">
        <f>IF(OR(D3342="",F3342=""),"",F3342*I3342-N(H3342))</f>
        <v/>
      </c>
      <c r="K3342" s="16">
        <f>IF(OR(D3342="",F3342=""),"",F3342*IFERROR(INDEX('Sản phẩm'!$D$5:$D$304,MATCH(D3342,'Sản phẩm'!$A$5:$A$304,0)),""))</f>
        <v/>
      </c>
      <c r="L3342" s="16">
        <f>IF(J3342="","",J3342-K3342)</f>
        <v/>
      </c>
      <c r="M3342" s="14">
        <f>IF(A3342="","",MONTH(A3342))</f>
        <v/>
      </c>
      <c r="N3342" s="14">
        <f>IF(A3342="","",YEAR(A3342))</f>
        <v/>
      </c>
    </row>
    <row r="3343">
      <c r="A3343" s="15" t="n"/>
      <c r="B3343" s="10" t="n"/>
      <c r="C3343" s="10" t="n"/>
      <c r="D3343" s="10" t="n"/>
      <c r="E3343" s="14">
        <f>IF(D3343="","",IFERROR(INDEX('Sản phẩm'!$B$5:$B$304,MATCH(D3343,'Sản phẩm'!$A$5:$A$304,0)),""))</f>
        <v/>
      </c>
      <c r="F3343" s="12" t="n"/>
      <c r="G3343" s="11" t="n"/>
      <c r="H3343" s="11" t="n"/>
      <c r="I3343" s="16">
        <f>IF(D3343="","",IF(G3343&lt;&gt;"",G3343,IFERROR(INDEX('Sản phẩm'!$E$5:$E$304,MATCH(D3343,'Sản phẩm'!$A$5:$A$304,0)),"")))</f>
        <v/>
      </c>
      <c r="J3343" s="16">
        <f>IF(OR(D3343="",F3343=""),"",F3343*I3343-N(H3343))</f>
        <v/>
      </c>
      <c r="K3343" s="16">
        <f>IF(OR(D3343="",F3343=""),"",F3343*IFERROR(INDEX('Sản phẩm'!$D$5:$D$304,MATCH(D3343,'Sản phẩm'!$A$5:$A$304,0)),""))</f>
        <v/>
      </c>
      <c r="L3343" s="16">
        <f>IF(J3343="","",J3343-K3343)</f>
        <v/>
      </c>
      <c r="M3343" s="14">
        <f>IF(A3343="","",MONTH(A3343))</f>
        <v/>
      </c>
      <c r="N3343" s="14">
        <f>IF(A3343="","",YEAR(A3343))</f>
        <v/>
      </c>
    </row>
    <row r="3344">
      <c r="A3344" s="15" t="n"/>
      <c r="B3344" s="10" t="n"/>
      <c r="C3344" s="10" t="n"/>
      <c r="D3344" s="10" t="n"/>
      <c r="E3344" s="14">
        <f>IF(D3344="","",IFERROR(INDEX('Sản phẩm'!$B$5:$B$304,MATCH(D3344,'Sản phẩm'!$A$5:$A$304,0)),""))</f>
        <v/>
      </c>
      <c r="F3344" s="12" t="n"/>
      <c r="G3344" s="11" t="n"/>
      <c r="H3344" s="11" t="n"/>
      <c r="I3344" s="16">
        <f>IF(D3344="","",IF(G3344&lt;&gt;"",G3344,IFERROR(INDEX('Sản phẩm'!$E$5:$E$304,MATCH(D3344,'Sản phẩm'!$A$5:$A$304,0)),"")))</f>
        <v/>
      </c>
      <c r="J3344" s="16">
        <f>IF(OR(D3344="",F3344=""),"",F3344*I3344-N(H3344))</f>
        <v/>
      </c>
      <c r="K3344" s="16">
        <f>IF(OR(D3344="",F3344=""),"",F3344*IFERROR(INDEX('Sản phẩm'!$D$5:$D$304,MATCH(D3344,'Sản phẩm'!$A$5:$A$304,0)),""))</f>
        <v/>
      </c>
      <c r="L3344" s="16">
        <f>IF(J3344="","",J3344-K3344)</f>
        <v/>
      </c>
      <c r="M3344" s="14">
        <f>IF(A3344="","",MONTH(A3344))</f>
        <v/>
      </c>
      <c r="N3344" s="14">
        <f>IF(A3344="","",YEAR(A3344))</f>
        <v/>
      </c>
    </row>
    <row r="3345">
      <c r="A3345" s="15" t="n"/>
      <c r="B3345" s="10" t="n"/>
      <c r="C3345" s="10" t="n"/>
      <c r="D3345" s="10" t="n"/>
      <c r="E3345" s="14">
        <f>IF(D3345="","",IFERROR(INDEX('Sản phẩm'!$B$5:$B$304,MATCH(D3345,'Sản phẩm'!$A$5:$A$304,0)),""))</f>
        <v/>
      </c>
      <c r="F3345" s="12" t="n"/>
      <c r="G3345" s="11" t="n"/>
      <c r="H3345" s="11" t="n"/>
      <c r="I3345" s="16">
        <f>IF(D3345="","",IF(G3345&lt;&gt;"",G3345,IFERROR(INDEX('Sản phẩm'!$E$5:$E$304,MATCH(D3345,'Sản phẩm'!$A$5:$A$304,0)),"")))</f>
        <v/>
      </c>
      <c r="J3345" s="16">
        <f>IF(OR(D3345="",F3345=""),"",F3345*I3345-N(H3345))</f>
        <v/>
      </c>
      <c r="K3345" s="16">
        <f>IF(OR(D3345="",F3345=""),"",F3345*IFERROR(INDEX('Sản phẩm'!$D$5:$D$304,MATCH(D3345,'Sản phẩm'!$A$5:$A$304,0)),""))</f>
        <v/>
      </c>
      <c r="L3345" s="16">
        <f>IF(J3345="","",J3345-K3345)</f>
        <v/>
      </c>
      <c r="M3345" s="14">
        <f>IF(A3345="","",MONTH(A3345))</f>
        <v/>
      </c>
      <c r="N3345" s="14">
        <f>IF(A3345="","",YEAR(A3345))</f>
        <v/>
      </c>
    </row>
    <row r="3346">
      <c r="A3346" s="15" t="n"/>
      <c r="B3346" s="10" t="n"/>
      <c r="C3346" s="10" t="n"/>
      <c r="D3346" s="10" t="n"/>
      <c r="E3346" s="14">
        <f>IF(D3346="","",IFERROR(INDEX('Sản phẩm'!$B$5:$B$304,MATCH(D3346,'Sản phẩm'!$A$5:$A$304,0)),""))</f>
        <v/>
      </c>
      <c r="F3346" s="12" t="n"/>
      <c r="G3346" s="11" t="n"/>
      <c r="H3346" s="11" t="n"/>
      <c r="I3346" s="16">
        <f>IF(D3346="","",IF(G3346&lt;&gt;"",G3346,IFERROR(INDEX('Sản phẩm'!$E$5:$E$304,MATCH(D3346,'Sản phẩm'!$A$5:$A$304,0)),"")))</f>
        <v/>
      </c>
      <c r="J3346" s="16">
        <f>IF(OR(D3346="",F3346=""),"",F3346*I3346-N(H3346))</f>
        <v/>
      </c>
      <c r="K3346" s="16">
        <f>IF(OR(D3346="",F3346=""),"",F3346*IFERROR(INDEX('Sản phẩm'!$D$5:$D$304,MATCH(D3346,'Sản phẩm'!$A$5:$A$304,0)),""))</f>
        <v/>
      </c>
      <c r="L3346" s="16">
        <f>IF(J3346="","",J3346-K3346)</f>
        <v/>
      </c>
      <c r="M3346" s="14">
        <f>IF(A3346="","",MONTH(A3346))</f>
        <v/>
      </c>
      <c r="N3346" s="14">
        <f>IF(A3346="","",YEAR(A3346))</f>
        <v/>
      </c>
    </row>
    <row r="3347">
      <c r="A3347" s="15" t="n"/>
      <c r="B3347" s="10" t="n"/>
      <c r="C3347" s="10" t="n"/>
      <c r="D3347" s="10" t="n"/>
      <c r="E3347" s="14">
        <f>IF(D3347="","",IFERROR(INDEX('Sản phẩm'!$B$5:$B$304,MATCH(D3347,'Sản phẩm'!$A$5:$A$304,0)),""))</f>
        <v/>
      </c>
      <c r="F3347" s="12" t="n"/>
      <c r="G3347" s="11" t="n"/>
      <c r="H3347" s="11" t="n"/>
      <c r="I3347" s="16">
        <f>IF(D3347="","",IF(G3347&lt;&gt;"",G3347,IFERROR(INDEX('Sản phẩm'!$E$5:$E$304,MATCH(D3347,'Sản phẩm'!$A$5:$A$304,0)),"")))</f>
        <v/>
      </c>
      <c r="J3347" s="16">
        <f>IF(OR(D3347="",F3347=""),"",F3347*I3347-N(H3347))</f>
        <v/>
      </c>
      <c r="K3347" s="16">
        <f>IF(OR(D3347="",F3347=""),"",F3347*IFERROR(INDEX('Sản phẩm'!$D$5:$D$304,MATCH(D3347,'Sản phẩm'!$A$5:$A$304,0)),""))</f>
        <v/>
      </c>
      <c r="L3347" s="16">
        <f>IF(J3347="","",J3347-K3347)</f>
        <v/>
      </c>
      <c r="M3347" s="14">
        <f>IF(A3347="","",MONTH(A3347))</f>
        <v/>
      </c>
      <c r="N3347" s="14">
        <f>IF(A3347="","",YEAR(A3347))</f>
        <v/>
      </c>
    </row>
    <row r="3348">
      <c r="A3348" s="15" t="n"/>
      <c r="B3348" s="10" t="n"/>
      <c r="C3348" s="10" t="n"/>
      <c r="D3348" s="10" t="n"/>
      <c r="E3348" s="14">
        <f>IF(D3348="","",IFERROR(INDEX('Sản phẩm'!$B$5:$B$304,MATCH(D3348,'Sản phẩm'!$A$5:$A$304,0)),""))</f>
        <v/>
      </c>
      <c r="F3348" s="12" t="n"/>
      <c r="G3348" s="11" t="n"/>
      <c r="H3348" s="11" t="n"/>
      <c r="I3348" s="16">
        <f>IF(D3348="","",IF(G3348&lt;&gt;"",G3348,IFERROR(INDEX('Sản phẩm'!$E$5:$E$304,MATCH(D3348,'Sản phẩm'!$A$5:$A$304,0)),"")))</f>
        <v/>
      </c>
      <c r="J3348" s="16">
        <f>IF(OR(D3348="",F3348=""),"",F3348*I3348-N(H3348))</f>
        <v/>
      </c>
      <c r="K3348" s="16">
        <f>IF(OR(D3348="",F3348=""),"",F3348*IFERROR(INDEX('Sản phẩm'!$D$5:$D$304,MATCH(D3348,'Sản phẩm'!$A$5:$A$304,0)),""))</f>
        <v/>
      </c>
      <c r="L3348" s="16">
        <f>IF(J3348="","",J3348-K3348)</f>
        <v/>
      </c>
      <c r="M3348" s="14">
        <f>IF(A3348="","",MONTH(A3348))</f>
        <v/>
      </c>
      <c r="N3348" s="14">
        <f>IF(A3348="","",YEAR(A3348))</f>
        <v/>
      </c>
    </row>
    <row r="3349">
      <c r="A3349" s="15" t="n"/>
      <c r="B3349" s="10" t="n"/>
      <c r="C3349" s="10" t="n"/>
      <c r="D3349" s="10" t="n"/>
      <c r="E3349" s="14">
        <f>IF(D3349="","",IFERROR(INDEX('Sản phẩm'!$B$5:$B$304,MATCH(D3349,'Sản phẩm'!$A$5:$A$304,0)),""))</f>
        <v/>
      </c>
      <c r="F3349" s="12" t="n"/>
      <c r="G3349" s="11" t="n"/>
      <c r="H3349" s="11" t="n"/>
      <c r="I3349" s="16">
        <f>IF(D3349="","",IF(G3349&lt;&gt;"",G3349,IFERROR(INDEX('Sản phẩm'!$E$5:$E$304,MATCH(D3349,'Sản phẩm'!$A$5:$A$304,0)),"")))</f>
        <v/>
      </c>
      <c r="J3349" s="16">
        <f>IF(OR(D3349="",F3349=""),"",F3349*I3349-N(H3349))</f>
        <v/>
      </c>
      <c r="K3349" s="16">
        <f>IF(OR(D3349="",F3349=""),"",F3349*IFERROR(INDEX('Sản phẩm'!$D$5:$D$304,MATCH(D3349,'Sản phẩm'!$A$5:$A$304,0)),""))</f>
        <v/>
      </c>
      <c r="L3349" s="16">
        <f>IF(J3349="","",J3349-K3349)</f>
        <v/>
      </c>
      <c r="M3349" s="14">
        <f>IF(A3349="","",MONTH(A3349))</f>
        <v/>
      </c>
      <c r="N3349" s="14">
        <f>IF(A3349="","",YEAR(A3349))</f>
        <v/>
      </c>
    </row>
    <row r="3350">
      <c r="A3350" s="15" t="n"/>
      <c r="B3350" s="10" t="n"/>
      <c r="C3350" s="10" t="n"/>
      <c r="D3350" s="10" t="n"/>
      <c r="E3350" s="14">
        <f>IF(D3350="","",IFERROR(INDEX('Sản phẩm'!$B$5:$B$304,MATCH(D3350,'Sản phẩm'!$A$5:$A$304,0)),""))</f>
        <v/>
      </c>
      <c r="F3350" s="12" t="n"/>
      <c r="G3350" s="11" t="n"/>
      <c r="H3350" s="11" t="n"/>
      <c r="I3350" s="16">
        <f>IF(D3350="","",IF(G3350&lt;&gt;"",G3350,IFERROR(INDEX('Sản phẩm'!$E$5:$E$304,MATCH(D3350,'Sản phẩm'!$A$5:$A$304,0)),"")))</f>
        <v/>
      </c>
      <c r="J3350" s="16">
        <f>IF(OR(D3350="",F3350=""),"",F3350*I3350-N(H3350))</f>
        <v/>
      </c>
      <c r="K3350" s="16">
        <f>IF(OR(D3350="",F3350=""),"",F3350*IFERROR(INDEX('Sản phẩm'!$D$5:$D$304,MATCH(D3350,'Sản phẩm'!$A$5:$A$304,0)),""))</f>
        <v/>
      </c>
      <c r="L3350" s="16">
        <f>IF(J3350="","",J3350-K3350)</f>
        <v/>
      </c>
      <c r="M3350" s="14">
        <f>IF(A3350="","",MONTH(A3350))</f>
        <v/>
      </c>
      <c r="N3350" s="14">
        <f>IF(A3350="","",YEAR(A3350))</f>
        <v/>
      </c>
    </row>
    <row r="3351">
      <c r="A3351" s="15" t="n"/>
      <c r="B3351" s="10" t="n"/>
      <c r="C3351" s="10" t="n"/>
      <c r="D3351" s="10" t="n"/>
      <c r="E3351" s="14">
        <f>IF(D3351="","",IFERROR(INDEX('Sản phẩm'!$B$5:$B$304,MATCH(D3351,'Sản phẩm'!$A$5:$A$304,0)),""))</f>
        <v/>
      </c>
      <c r="F3351" s="12" t="n"/>
      <c r="G3351" s="11" t="n"/>
      <c r="H3351" s="11" t="n"/>
      <c r="I3351" s="16">
        <f>IF(D3351="","",IF(G3351&lt;&gt;"",G3351,IFERROR(INDEX('Sản phẩm'!$E$5:$E$304,MATCH(D3351,'Sản phẩm'!$A$5:$A$304,0)),"")))</f>
        <v/>
      </c>
      <c r="J3351" s="16">
        <f>IF(OR(D3351="",F3351=""),"",F3351*I3351-N(H3351))</f>
        <v/>
      </c>
      <c r="K3351" s="16">
        <f>IF(OR(D3351="",F3351=""),"",F3351*IFERROR(INDEX('Sản phẩm'!$D$5:$D$304,MATCH(D3351,'Sản phẩm'!$A$5:$A$304,0)),""))</f>
        <v/>
      </c>
      <c r="L3351" s="16">
        <f>IF(J3351="","",J3351-K3351)</f>
        <v/>
      </c>
      <c r="M3351" s="14">
        <f>IF(A3351="","",MONTH(A3351))</f>
        <v/>
      </c>
      <c r="N3351" s="14">
        <f>IF(A3351="","",YEAR(A3351))</f>
        <v/>
      </c>
    </row>
    <row r="3352">
      <c r="A3352" s="15" t="n"/>
      <c r="B3352" s="10" t="n"/>
      <c r="C3352" s="10" t="n"/>
      <c r="D3352" s="10" t="n"/>
      <c r="E3352" s="14">
        <f>IF(D3352="","",IFERROR(INDEX('Sản phẩm'!$B$5:$B$304,MATCH(D3352,'Sản phẩm'!$A$5:$A$304,0)),""))</f>
        <v/>
      </c>
      <c r="F3352" s="12" t="n"/>
      <c r="G3352" s="11" t="n"/>
      <c r="H3352" s="11" t="n"/>
      <c r="I3352" s="16">
        <f>IF(D3352="","",IF(G3352&lt;&gt;"",G3352,IFERROR(INDEX('Sản phẩm'!$E$5:$E$304,MATCH(D3352,'Sản phẩm'!$A$5:$A$304,0)),"")))</f>
        <v/>
      </c>
      <c r="J3352" s="16">
        <f>IF(OR(D3352="",F3352=""),"",F3352*I3352-N(H3352))</f>
        <v/>
      </c>
      <c r="K3352" s="16">
        <f>IF(OR(D3352="",F3352=""),"",F3352*IFERROR(INDEX('Sản phẩm'!$D$5:$D$304,MATCH(D3352,'Sản phẩm'!$A$5:$A$304,0)),""))</f>
        <v/>
      </c>
      <c r="L3352" s="16">
        <f>IF(J3352="","",J3352-K3352)</f>
        <v/>
      </c>
      <c r="M3352" s="14">
        <f>IF(A3352="","",MONTH(A3352))</f>
        <v/>
      </c>
      <c r="N3352" s="14">
        <f>IF(A3352="","",YEAR(A3352))</f>
        <v/>
      </c>
    </row>
    <row r="3353">
      <c r="A3353" s="15" t="n"/>
      <c r="B3353" s="10" t="n"/>
      <c r="C3353" s="10" t="n"/>
      <c r="D3353" s="10" t="n"/>
      <c r="E3353" s="14">
        <f>IF(D3353="","",IFERROR(INDEX('Sản phẩm'!$B$5:$B$304,MATCH(D3353,'Sản phẩm'!$A$5:$A$304,0)),""))</f>
        <v/>
      </c>
      <c r="F3353" s="12" t="n"/>
      <c r="G3353" s="11" t="n"/>
      <c r="H3353" s="11" t="n"/>
      <c r="I3353" s="16">
        <f>IF(D3353="","",IF(G3353&lt;&gt;"",G3353,IFERROR(INDEX('Sản phẩm'!$E$5:$E$304,MATCH(D3353,'Sản phẩm'!$A$5:$A$304,0)),"")))</f>
        <v/>
      </c>
      <c r="J3353" s="16">
        <f>IF(OR(D3353="",F3353=""),"",F3353*I3353-N(H3353))</f>
        <v/>
      </c>
      <c r="K3353" s="16">
        <f>IF(OR(D3353="",F3353=""),"",F3353*IFERROR(INDEX('Sản phẩm'!$D$5:$D$304,MATCH(D3353,'Sản phẩm'!$A$5:$A$304,0)),""))</f>
        <v/>
      </c>
      <c r="L3353" s="16">
        <f>IF(J3353="","",J3353-K3353)</f>
        <v/>
      </c>
      <c r="M3353" s="14">
        <f>IF(A3353="","",MONTH(A3353))</f>
        <v/>
      </c>
      <c r="N3353" s="14">
        <f>IF(A3353="","",YEAR(A3353))</f>
        <v/>
      </c>
    </row>
    <row r="3354">
      <c r="A3354" s="15" t="n"/>
      <c r="B3354" s="10" t="n"/>
      <c r="C3354" s="10" t="n"/>
      <c r="D3354" s="10" t="n"/>
      <c r="E3354" s="14">
        <f>IF(D3354="","",IFERROR(INDEX('Sản phẩm'!$B$5:$B$304,MATCH(D3354,'Sản phẩm'!$A$5:$A$304,0)),""))</f>
        <v/>
      </c>
      <c r="F3354" s="12" t="n"/>
      <c r="G3354" s="11" t="n"/>
      <c r="H3354" s="11" t="n"/>
      <c r="I3354" s="16">
        <f>IF(D3354="","",IF(G3354&lt;&gt;"",G3354,IFERROR(INDEX('Sản phẩm'!$E$5:$E$304,MATCH(D3354,'Sản phẩm'!$A$5:$A$304,0)),"")))</f>
        <v/>
      </c>
      <c r="J3354" s="16">
        <f>IF(OR(D3354="",F3354=""),"",F3354*I3354-N(H3354))</f>
        <v/>
      </c>
      <c r="K3354" s="16">
        <f>IF(OR(D3354="",F3354=""),"",F3354*IFERROR(INDEX('Sản phẩm'!$D$5:$D$304,MATCH(D3354,'Sản phẩm'!$A$5:$A$304,0)),""))</f>
        <v/>
      </c>
      <c r="L3354" s="16">
        <f>IF(J3354="","",J3354-K3354)</f>
        <v/>
      </c>
      <c r="M3354" s="14">
        <f>IF(A3354="","",MONTH(A3354))</f>
        <v/>
      </c>
      <c r="N3354" s="14">
        <f>IF(A3354="","",YEAR(A3354))</f>
        <v/>
      </c>
    </row>
    <row r="3355">
      <c r="A3355" s="15" t="n"/>
      <c r="B3355" s="10" t="n"/>
      <c r="C3355" s="10" t="n"/>
      <c r="D3355" s="10" t="n"/>
      <c r="E3355" s="14">
        <f>IF(D3355="","",IFERROR(INDEX('Sản phẩm'!$B$5:$B$304,MATCH(D3355,'Sản phẩm'!$A$5:$A$304,0)),""))</f>
        <v/>
      </c>
      <c r="F3355" s="12" t="n"/>
      <c r="G3355" s="11" t="n"/>
      <c r="H3355" s="11" t="n"/>
      <c r="I3355" s="16">
        <f>IF(D3355="","",IF(G3355&lt;&gt;"",G3355,IFERROR(INDEX('Sản phẩm'!$E$5:$E$304,MATCH(D3355,'Sản phẩm'!$A$5:$A$304,0)),"")))</f>
        <v/>
      </c>
      <c r="J3355" s="16">
        <f>IF(OR(D3355="",F3355=""),"",F3355*I3355-N(H3355))</f>
        <v/>
      </c>
      <c r="K3355" s="16">
        <f>IF(OR(D3355="",F3355=""),"",F3355*IFERROR(INDEX('Sản phẩm'!$D$5:$D$304,MATCH(D3355,'Sản phẩm'!$A$5:$A$304,0)),""))</f>
        <v/>
      </c>
      <c r="L3355" s="16">
        <f>IF(J3355="","",J3355-K3355)</f>
        <v/>
      </c>
      <c r="M3355" s="14">
        <f>IF(A3355="","",MONTH(A3355))</f>
        <v/>
      </c>
      <c r="N3355" s="14">
        <f>IF(A3355="","",YEAR(A3355))</f>
        <v/>
      </c>
    </row>
    <row r="3356">
      <c r="A3356" s="15" t="n"/>
      <c r="B3356" s="10" t="n"/>
      <c r="C3356" s="10" t="n"/>
      <c r="D3356" s="10" t="n"/>
      <c r="E3356" s="14">
        <f>IF(D3356="","",IFERROR(INDEX('Sản phẩm'!$B$5:$B$304,MATCH(D3356,'Sản phẩm'!$A$5:$A$304,0)),""))</f>
        <v/>
      </c>
      <c r="F3356" s="12" t="n"/>
      <c r="G3356" s="11" t="n"/>
      <c r="H3356" s="11" t="n"/>
      <c r="I3356" s="16">
        <f>IF(D3356="","",IF(G3356&lt;&gt;"",G3356,IFERROR(INDEX('Sản phẩm'!$E$5:$E$304,MATCH(D3356,'Sản phẩm'!$A$5:$A$304,0)),"")))</f>
        <v/>
      </c>
      <c r="J3356" s="16">
        <f>IF(OR(D3356="",F3356=""),"",F3356*I3356-N(H3356))</f>
        <v/>
      </c>
      <c r="K3356" s="16">
        <f>IF(OR(D3356="",F3356=""),"",F3356*IFERROR(INDEX('Sản phẩm'!$D$5:$D$304,MATCH(D3356,'Sản phẩm'!$A$5:$A$304,0)),""))</f>
        <v/>
      </c>
      <c r="L3356" s="16">
        <f>IF(J3356="","",J3356-K3356)</f>
        <v/>
      </c>
      <c r="M3356" s="14">
        <f>IF(A3356="","",MONTH(A3356))</f>
        <v/>
      </c>
      <c r="N3356" s="14">
        <f>IF(A3356="","",YEAR(A3356))</f>
        <v/>
      </c>
    </row>
    <row r="3357">
      <c r="A3357" s="15" t="n"/>
      <c r="B3357" s="10" t="n"/>
      <c r="C3357" s="10" t="n"/>
      <c r="D3357" s="10" t="n"/>
      <c r="E3357" s="14">
        <f>IF(D3357="","",IFERROR(INDEX('Sản phẩm'!$B$5:$B$304,MATCH(D3357,'Sản phẩm'!$A$5:$A$304,0)),""))</f>
        <v/>
      </c>
      <c r="F3357" s="12" t="n"/>
      <c r="G3357" s="11" t="n"/>
      <c r="H3357" s="11" t="n"/>
      <c r="I3357" s="16">
        <f>IF(D3357="","",IF(G3357&lt;&gt;"",G3357,IFERROR(INDEX('Sản phẩm'!$E$5:$E$304,MATCH(D3357,'Sản phẩm'!$A$5:$A$304,0)),"")))</f>
        <v/>
      </c>
      <c r="J3357" s="16">
        <f>IF(OR(D3357="",F3357=""),"",F3357*I3357-N(H3357))</f>
        <v/>
      </c>
      <c r="K3357" s="16">
        <f>IF(OR(D3357="",F3357=""),"",F3357*IFERROR(INDEX('Sản phẩm'!$D$5:$D$304,MATCH(D3357,'Sản phẩm'!$A$5:$A$304,0)),""))</f>
        <v/>
      </c>
      <c r="L3357" s="16">
        <f>IF(J3357="","",J3357-K3357)</f>
        <v/>
      </c>
      <c r="M3357" s="14">
        <f>IF(A3357="","",MONTH(A3357))</f>
        <v/>
      </c>
      <c r="N3357" s="14">
        <f>IF(A3357="","",YEAR(A3357))</f>
        <v/>
      </c>
    </row>
    <row r="3358">
      <c r="A3358" s="15" t="n"/>
      <c r="B3358" s="10" t="n"/>
      <c r="C3358" s="10" t="n"/>
      <c r="D3358" s="10" t="n"/>
      <c r="E3358" s="14">
        <f>IF(D3358="","",IFERROR(INDEX('Sản phẩm'!$B$5:$B$304,MATCH(D3358,'Sản phẩm'!$A$5:$A$304,0)),""))</f>
        <v/>
      </c>
      <c r="F3358" s="12" t="n"/>
      <c r="G3358" s="11" t="n"/>
      <c r="H3358" s="11" t="n"/>
      <c r="I3358" s="16">
        <f>IF(D3358="","",IF(G3358&lt;&gt;"",G3358,IFERROR(INDEX('Sản phẩm'!$E$5:$E$304,MATCH(D3358,'Sản phẩm'!$A$5:$A$304,0)),"")))</f>
        <v/>
      </c>
      <c r="J3358" s="16">
        <f>IF(OR(D3358="",F3358=""),"",F3358*I3358-N(H3358))</f>
        <v/>
      </c>
      <c r="K3358" s="16">
        <f>IF(OR(D3358="",F3358=""),"",F3358*IFERROR(INDEX('Sản phẩm'!$D$5:$D$304,MATCH(D3358,'Sản phẩm'!$A$5:$A$304,0)),""))</f>
        <v/>
      </c>
      <c r="L3358" s="16">
        <f>IF(J3358="","",J3358-K3358)</f>
        <v/>
      </c>
      <c r="M3358" s="14">
        <f>IF(A3358="","",MONTH(A3358))</f>
        <v/>
      </c>
      <c r="N3358" s="14">
        <f>IF(A3358="","",YEAR(A3358))</f>
        <v/>
      </c>
    </row>
    <row r="3359">
      <c r="A3359" s="15" t="n"/>
      <c r="B3359" s="10" t="n"/>
      <c r="C3359" s="10" t="n"/>
      <c r="D3359" s="10" t="n"/>
      <c r="E3359" s="14">
        <f>IF(D3359="","",IFERROR(INDEX('Sản phẩm'!$B$5:$B$304,MATCH(D3359,'Sản phẩm'!$A$5:$A$304,0)),""))</f>
        <v/>
      </c>
      <c r="F3359" s="12" t="n"/>
      <c r="G3359" s="11" t="n"/>
      <c r="H3359" s="11" t="n"/>
      <c r="I3359" s="16">
        <f>IF(D3359="","",IF(G3359&lt;&gt;"",G3359,IFERROR(INDEX('Sản phẩm'!$E$5:$E$304,MATCH(D3359,'Sản phẩm'!$A$5:$A$304,0)),"")))</f>
        <v/>
      </c>
      <c r="J3359" s="16">
        <f>IF(OR(D3359="",F3359=""),"",F3359*I3359-N(H3359))</f>
        <v/>
      </c>
      <c r="K3359" s="16">
        <f>IF(OR(D3359="",F3359=""),"",F3359*IFERROR(INDEX('Sản phẩm'!$D$5:$D$304,MATCH(D3359,'Sản phẩm'!$A$5:$A$304,0)),""))</f>
        <v/>
      </c>
      <c r="L3359" s="16">
        <f>IF(J3359="","",J3359-K3359)</f>
        <v/>
      </c>
      <c r="M3359" s="14">
        <f>IF(A3359="","",MONTH(A3359))</f>
        <v/>
      </c>
      <c r="N3359" s="14">
        <f>IF(A3359="","",YEAR(A3359))</f>
        <v/>
      </c>
    </row>
    <row r="3360">
      <c r="A3360" s="15" t="n"/>
      <c r="B3360" s="10" t="n"/>
      <c r="C3360" s="10" t="n"/>
      <c r="D3360" s="10" t="n"/>
      <c r="E3360" s="14">
        <f>IF(D3360="","",IFERROR(INDEX('Sản phẩm'!$B$5:$B$304,MATCH(D3360,'Sản phẩm'!$A$5:$A$304,0)),""))</f>
        <v/>
      </c>
      <c r="F3360" s="12" t="n"/>
      <c r="G3360" s="11" t="n"/>
      <c r="H3360" s="11" t="n"/>
      <c r="I3360" s="16">
        <f>IF(D3360="","",IF(G3360&lt;&gt;"",G3360,IFERROR(INDEX('Sản phẩm'!$E$5:$E$304,MATCH(D3360,'Sản phẩm'!$A$5:$A$304,0)),"")))</f>
        <v/>
      </c>
      <c r="J3360" s="16">
        <f>IF(OR(D3360="",F3360=""),"",F3360*I3360-N(H3360))</f>
        <v/>
      </c>
      <c r="K3360" s="16">
        <f>IF(OR(D3360="",F3360=""),"",F3360*IFERROR(INDEX('Sản phẩm'!$D$5:$D$304,MATCH(D3360,'Sản phẩm'!$A$5:$A$304,0)),""))</f>
        <v/>
      </c>
      <c r="L3360" s="16">
        <f>IF(J3360="","",J3360-K3360)</f>
        <v/>
      </c>
      <c r="M3360" s="14">
        <f>IF(A3360="","",MONTH(A3360))</f>
        <v/>
      </c>
      <c r="N3360" s="14">
        <f>IF(A3360="","",YEAR(A3360))</f>
        <v/>
      </c>
    </row>
    <row r="3361">
      <c r="A3361" s="15" t="n"/>
      <c r="B3361" s="10" t="n"/>
      <c r="C3361" s="10" t="n"/>
      <c r="D3361" s="10" t="n"/>
      <c r="E3361" s="14">
        <f>IF(D3361="","",IFERROR(INDEX('Sản phẩm'!$B$5:$B$304,MATCH(D3361,'Sản phẩm'!$A$5:$A$304,0)),""))</f>
        <v/>
      </c>
      <c r="F3361" s="12" t="n"/>
      <c r="G3361" s="11" t="n"/>
      <c r="H3361" s="11" t="n"/>
      <c r="I3361" s="16">
        <f>IF(D3361="","",IF(G3361&lt;&gt;"",G3361,IFERROR(INDEX('Sản phẩm'!$E$5:$E$304,MATCH(D3361,'Sản phẩm'!$A$5:$A$304,0)),"")))</f>
        <v/>
      </c>
      <c r="J3361" s="16">
        <f>IF(OR(D3361="",F3361=""),"",F3361*I3361-N(H3361))</f>
        <v/>
      </c>
      <c r="K3361" s="16">
        <f>IF(OR(D3361="",F3361=""),"",F3361*IFERROR(INDEX('Sản phẩm'!$D$5:$D$304,MATCH(D3361,'Sản phẩm'!$A$5:$A$304,0)),""))</f>
        <v/>
      </c>
      <c r="L3361" s="16">
        <f>IF(J3361="","",J3361-K3361)</f>
        <v/>
      </c>
      <c r="M3361" s="14">
        <f>IF(A3361="","",MONTH(A3361))</f>
        <v/>
      </c>
      <c r="N3361" s="14">
        <f>IF(A3361="","",YEAR(A3361))</f>
        <v/>
      </c>
    </row>
    <row r="3362">
      <c r="A3362" s="15" t="n"/>
      <c r="B3362" s="10" t="n"/>
      <c r="C3362" s="10" t="n"/>
      <c r="D3362" s="10" t="n"/>
      <c r="E3362" s="14">
        <f>IF(D3362="","",IFERROR(INDEX('Sản phẩm'!$B$5:$B$304,MATCH(D3362,'Sản phẩm'!$A$5:$A$304,0)),""))</f>
        <v/>
      </c>
      <c r="F3362" s="12" t="n"/>
      <c r="G3362" s="11" t="n"/>
      <c r="H3362" s="11" t="n"/>
      <c r="I3362" s="16">
        <f>IF(D3362="","",IF(G3362&lt;&gt;"",G3362,IFERROR(INDEX('Sản phẩm'!$E$5:$E$304,MATCH(D3362,'Sản phẩm'!$A$5:$A$304,0)),"")))</f>
        <v/>
      </c>
      <c r="J3362" s="16">
        <f>IF(OR(D3362="",F3362=""),"",F3362*I3362-N(H3362))</f>
        <v/>
      </c>
      <c r="K3362" s="16">
        <f>IF(OR(D3362="",F3362=""),"",F3362*IFERROR(INDEX('Sản phẩm'!$D$5:$D$304,MATCH(D3362,'Sản phẩm'!$A$5:$A$304,0)),""))</f>
        <v/>
      </c>
      <c r="L3362" s="16">
        <f>IF(J3362="","",J3362-K3362)</f>
        <v/>
      </c>
      <c r="M3362" s="14">
        <f>IF(A3362="","",MONTH(A3362))</f>
        <v/>
      </c>
      <c r="N3362" s="14">
        <f>IF(A3362="","",YEAR(A3362))</f>
        <v/>
      </c>
    </row>
    <row r="3363">
      <c r="A3363" s="15" t="n"/>
      <c r="B3363" s="10" t="n"/>
      <c r="C3363" s="10" t="n"/>
      <c r="D3363" s="10" t="n"/>
      <c r="E3363" s="14">
        <f>IF(D3363="","",IFERROR(INDEX('Sản phẩm'!$B$5:$B$304,MATCH(D3363,'Sản phẩm'!$A$5:$A$304,0)),""))</f>
        <v/>
      </c>
      <c r="F3363" s="12" t="n"/>
      <c r="G3363" s="11" t="n"/>
      <c r="H3363" s="11" t="n"/>
      <c r="I3363" s="16">
        <f>IF(D3363="","",IF(G3363&lt;&gt;"",G3363,IFERROR(INDEX('Sản phẩm'!$E$5:$E$304,MATCH(D3363,'Sản phẩm'!$A$5:$A$304,0)),"")))</f>
        <v/>
      </c>
      <c r="J3363" s="16">
        <f>IF(OR(D3363="",F3363=""),"",F3363*I3363-N(H3363))</f>
        <v/>
      </c>
      <c r="K3363" s="16">
        <f>IF(OR(D3363="",F3363=""),"",F3363*IFERROR(INDEX('Sản phẩm'!$D$5:$D$304,MATCH(D3363,'Sản phẩm'!$A$5:$A$304,0)),""))</f>
        <v/>
      </c>
      <c r="L3363" s="16">
        <f>IF(J3363="","",J3363-K3363)</f>
        <v/>
      </c>
      <c r="M3363" s="14">
        <f>IF(A3363="","",MONTH(A3363))</f>
        <v/>
      </c>
      <c r="N3363" s="14">
        <f>IF(A3363="","",YEAR(A3363))</f>
        <v/>
      </c>
    </row>
    <row r="3364">
      <c r="A3364" s="15" t="n"/>
      <c r="B3364" s="10" t="n"/>
      <c r="C3364" s="10" t="n"/>
      <c r="D3364" s="10" t="n"/>
      <c r="E3364" s="14">
        <f>IF(D3364="","",IFERROR(INDEX('Sản phẩm'!$B$5:$B$304,MATCH(D3364,'Sản phẩm'!$A$5:$A$304,0)),""))</f>
        <v/>
      </c>
      <c r="F3364" s="12" t="n"/>
      <c r="G3364" s="11" t="n"/>
      <c r="H3364" s="11" t="n"/>
      <c r="I3364" s="16">
        <f>IF(D3364="","",IF(G3364&lt;&gt;"",G3364,IFERROR(INDEX('Sản phẩm'!$E$5:$E$304,MATCH(D3364,'Sản phẩm'!$A$5:$A$304,0)),"")))</f>
        <v/>
      </c>
      <c r="J3364" s="16">
        <f>IF(OR(D3364="",F3364=""),"",F3364*I3364-N(H3364))</f>
        <v/>
      </c>
      <c r="K3364" s="16">
        <f>IF(OR(D3364="",F3364=""),"",F3364*IFERROR(INDEX('Sản phẩm'!$D$5:$D$304,MATCH(D3364,'Sản phẩm'!$A$5:$A$304,0)),""))</f>
        <v/>
      </c>
      <c r="L3364" s="16">
        <f>IF(J3364="","",J3364-K3364)</f>
        <v/>
      </c>
      <c r="M3364" s="14">
        <f>IF(A3364="","",MONTH(A3364))</f>
        <v/>
      </c>
      <c r="N3364" s="14">
        <f>IF(A3364="","",YEAR(A3364))</f>
        <v/>
      </c>
    </row>
    <row r="3365">
      <c r="A3365" s="15" t="n"/>
      <c r="B3365" s="10" t="n"/>
      <c r="C3365" s="10" t="n"/>
      <c r="D3365" s="10" t="n"/>
      <c r="E3365" s="14">
        <f>IF(D3365="","",IFERROR(INDEX('Sản phẩm'!$B$5:$B$304,MATCH(D3365,'Sản phẩm'!$A$5:$A$304,0)),""))</f>
        <v/>
      </c>
      <c r="F3365" s="12" t="n"/>
      <c r="G3365" s="11" t="n"/>
      <c r="H3365" s="11" t="n"/>
      <c r="I3365" s="16">
        <f>IF(D3365="","",IF(G3365&lt;&gt;"",G3365,IFERROR(INDEX('Sản phẩm'!$E$5:$E$304,MATCH(D3365,'Sản phẩm'!$A$5:$A$304,0)),"")))</f>
        <v/>
      </c>
      <c r="J3365" s="16">
        <f>IF(OR(D3365="",F3365=""),"",F3365*I3365-N(H3365))</f>
        <v/>
      </c>
      <c r="K3365" s="16">
        <f>IF(OR(D3365="",F3365=""),"",F3365*IFERROR(INDEX('Sản phẩm'!$D$5:$D$304,MATCH(D3365,'Sản phẩm'!$A$5:$A$304,0)),""))</f>
        <v/>
      </c>
      <c r="L3365" s="16">
        <f>IF(J3365="","",J3365-K3365)</f>
        <v/>
      </c>
      <c r="M3365" s="14">
        <f>IF(A3365="","",MONTH(A3365))</f>
        <v/>
      </c>
      <c r="N3365" s="14">
        <f>IF(A3365="","",YEAR(A3365))</f>
        <v/>
      </c>
    </row>
    <row r="3366">
      <c r="A3366" s="15" t="n"/>
      <c r="B3366" s="10" t="n"/>
      <c r="C3366" s="10" t="n"/>
      <c r="D3366" s="10" t="n"/>
      <c r="E3366" s="14">
        <f>IF(D3366="","",IFERROR(INDEX('Sản phẩm'!$B$5:$B$304,MATCH(D3366,'Sản phẩm'!$A$5:$A$304,0)),""))</f>
        <v/>
      </c>
      <c r="F3366" s="12" t="n"/>
      <c r="G3366" s="11" t="n"/>
      <c r="H3366" s="11" t="n"/>
      <c r="I3366" s="16">
        <f>IF(D3366="","",IF(G3366&lt;&gt;"",G3366,IFERROR(INDEX('Sản phẩm'!$E$5:$E$304,MATCH(D3366,'Sản phẩm'!$A$5:$A$304,0)),"")))</f>
        <v/>
      </c>
      <c r="J3366" s="16">
        <f>IF(OR(D3366="",F3366=""),"",F3366*I3366-N(H3366))</f>
        <v/>
      </c>
      <c r="K3366" s="16">
        <f>IF(OR(D3366="",F3366=""),"",F3366*IFERROR(INDEX('Sản phẩm'!$D$5:$D$304,MATCH(D3366,'Sản phẩm'!$A$5:$A$304,0)),""))</f>
        <v/>
      </c>
      <c r="L3366" s="16">
        <f>IF(J3366="","",J3366-K3366)</f>
        <v/>
      </c>
      <c r="M3366" s="14">
        <f>IF(A3366="","",MONTH(A3366))</f>
        <v/>
      </c>
      <c r="N3366" s="14">
        <f>IF(A3366="","",YEAR(A3366))</f>
        <v/>
      </c>
    </row>
    <row r="3367">
      <c r="A3367" s="15" t="n"/>
      <c r="B3367" s="10" t="n"/>
      <c r="C3367" s="10" t="n"/>
      <c r="D3367" s="10" t="n"/>
      <c r="E3367" s="14">
        <f>IF(D3367="","",IFERROR(INDEX('Sản phẩm'!$B$5:$B$304,MATCH(D3367,'Sản phẩm'!$A$5:$A$304,0)),""))</f>
        <v/>
      </c>
      <c r="F3367" s="12" t="n"/>
      <c r="G3367" s="11" t="n"/>
      <c r="H3367" s="11" t="n"/>
      <c r="I3367" s="16">
        <f>IF(D3367="","",IF(G3367&lt;&gt;"",G3367,IFERROR(INDEX('Sản phẩm'!$E$5:$E$304,MATCH(D3367,'Sản phẩm'!$A$5:$A$304,0)),"")))</f>
        <v/>
      </c>
      <c r="J3367" s="16">
        <f>IF(OR(D3367="",F3367=""),"",F3367*I3367-N(H3367))</f>
        <v/>
      </c>
      <c r="K3367" s="16">
        <f>IF(OR(D3367="",F3367=""),"",F3367*IFERROR(INDEX('Sản phẩm'!$D$5:$D$304,MATCH(D3367,'Sản phẩm'!$A$5:$A$304,0)),""))</f>
        <v/>
      </c>
      <c r="L3367" s="16">
        <f>IF(J3367="","",J3367-K3367)</f>
        <v/>
      </c>
      <c r="M3367" s="14">
        <f>IF(A3367="","",MONTH(A3367))</f>
        <v/>
      </c>
      <c r="N3367" s="14">
        <f>IF(A3367="","",YEAR(A3367))</f>
        <v/>
      </c>
    </row>
    <row r="3368">
      <c r="A3368" s="15" t="n"/>
      <c r="B3368" s="10" t="n"/>
      <c r="C3368" s="10" t="n"/>
      <c r="D3368" s="10" t="n"/>
      <c r="E3368" s="14">
        <f>IF(D3368="","",IFERROR(INDEX('Sản phẩm'!$B$5:$B$304,MATCH(D3368,'Sản phẩm'!$A$5:$A$304,0)),""))</f>
        <v/>
      </c>
      <c r="F3368" s="12" t="n"/>
      <c r="G3368" s="11" t="n"/>
      <c r="H3368" s="11" t="n"/>
      <c r="I3368" s="16">
        <f>IF(D3368="","",IF(G3368&lt;&gt;"",G3368,IFERROR(INDEX('Sản phẩm'!$E$5:$E$304,MATCH(D3368,'Sản phẩm'!$A$5:$A$304,0)),"")))</f>
        <v/>
      </c>
      <c r="J3368" s="16">
        <f>IF(OR(D3368="",F3368=""),"",F3368*I3368-N(H3368))</f>
        <v/>
      </c>
      <c r="K3368" s="16">
        <f>IF(OR(D3368="",F3368=""),"",F3368*IFERROR(INDEX('Sản phẩm'!$D$5:$D$304,MATCH(D3368,'Sản phẩm'!$A$5:$A$304,0)),""))</f>
        <v/>
      </c>
      <c r="L3368" s="16">
        <f>IF(J3368="","",J3368-K3368)</f>
        <v/>
      </c>
      <c r="M3368" s="14">
        <f>IF(A3368="","",MONTH(A3368))</f>
        <v/>
      </c>
      <c r="N3368" s="14">
        <f>IF(A3368="","",YEAR(A3368))</f>
        <v/>
      </c>
    </row>
    <row r="3369">
      <c r="A3369" s="15" t="n"/>
      <c r="B3369" s="10" t="n"/>
      <c r="C3369" s="10" t="n"/>
      <c r="D3369" s="10" t="n"/>
      <c r="E3369" s="14">
        <f>IF(D3369="","",IFERROR(INDEX('Sản phẩm'!$B$5:$B$304,MATCH(D3369,'Sản phẩm'!$A$5:$A$304,0)),""))</f>
        <v/>
      </c>
      <c r="F3369" s="12" t="n"/>
      <c r="G3369" s="11" t="n"/>
      <c r="H3369" s="11" t="n"/>
      <c r="I3369" s="16">
        <f>IF(D3369="","",IF(G3369&lt;&gt;"",G3369,IFERROR(INDEX('Sản phẩm'!$E$5:$E$304,MATCH(D3369,'Sản phẩm'!$A$5:$A$304,0)),"")))</f>
        <v/>
      </c>
      <c r="J3369" s="16">
        <f>IF(OR(D3369="",F3369=""),"",F3369*I3369-N(H3369))</f>
        <v/>
      </c>
      <c r="K3369" s="16">
        <f>IF(OR(D3369="",F3369=""),"",F3369*IFERROR(INDEX('Sản phẩm'!$D$5:$D$304,MATCH(D3369,'Sản phẩm'!$A$5:$A$304,0)),""))</f>
        <v/>
      </c>
      <c r="L3369" s="16">
        <f>IF(J3369="","",J3369-K3369)</f>
        <v/>
      </c>
      <c r="M3369" s="14">
        <f>IF(A3369="","",MONTH(A3369))</f>
        <v/>
      </c>
      <c r="N3369" s="14">
        <f>IF(A3369="","",YEAR(A3369))</f>
        <v/>
      </c>
    </row>
    <row r="3370">
      <c r="A3370" s="15" t="n"/>
      <c r="B3370" s="10" t="n"/>
      <c r="C3370" s="10" t="n"/>
      <c r="D3370" s="10" t="n"/>
      <c r="E3370" s="14">
        <f>IF(D3370="","",IFERROR(INDEX('Sản phẩm'!$B$5:$B$304,MATCH(D3370,'Sản phẩm'!$A$5:$A$304,0)),""))</f>
        <v/>
      </c>
      <c r="F3370" s="12" t="n"/>
      <c r="G3370" s="11" t="n"/>
      <c r="H3370" s="11" t="n"/>
      <c r="I3370" s="16">
        <f>IF(D3370="","",IF(G3370&lt;&gt;"",G3370,IFERROR(INDEX('Sản phẩm'!$E$5:$E$304,MATCH(D3370,'Sản phẩm'!$A$5:$A$304,0)),"")))</f>
        <v/>
      </c>
      <c r="J3370" s="16">
        <f>IF(OR(D3370="",F3370=""),"",F3370*I3370-N(H3370))</f>
        <v/>
      </c>
      <c r="K3370" s="16">
        <f>IF(OR(D3370="",F3370=""),"",F3370*IFERROR(INDEX('Sản phẩm'!$D$5:$D$304,MATCH(D3370,'Sản phẩm'!$A$5:$A$304,0)),""))</f>
        <v/>
      </c>
      <c r="L3370" s="16">
        <f>IF(J3370="","",J3370-K3370)</f>
        <v/>
      </c>
      <c r="M3370" s="14">
        <f>IF(A3370="","",MONTH(A3370))</f>
        <v/>
      </c>
      <c r="N3370" s="14">
        <f>IF(A3370="","",YEAR(A3370))</f>
        <v/>
      </c>
    </row>
    <row r="3371">
      <c r="A3371" s="15" t="n"/>
      <c r="B3371" s="10" t="n"/>
      <c r="C3371" s="10" t="n"/>
      <c r="D3371" s="10" t="n"/>
      <c r="E3371" s="14">
        <f>IF(D3371="","",IFERROR(INDEX('Sản phẩm'!$B$5:$B$304,MATCH(D3371,'Sản phẩm'!$A$5:$A$304,0)),""))</f>
        <v/>
      </c>
      <c r="F3371" s="12" t="n"/>
      <c r="G3371" s="11" t="n"/>
      <c r="H3371" s="11" t="n"/>
      <c r="I3371" s="16">
        <f>IF(D3371="","",IF(G3371&lt;&gt;"",G3371,IFERROR(INDEX('Sản phẩm'!$E$5:$E$304,MATCH(D3371,'Sản phẩm'!$A$5:$A$304,0)),"")))</f>
        <v/>
      </c>
      <c r="J3371" s="16">
        <f>IF(OR(D3371="",F3371=""),"",F3371*I3371-N(H3371))</f>
        <v/>
      </c>
      <c r="K3371" s="16">
        <f>IF(OR(D3371="",F3371=""),"",F3371*IFERROR(INDEX('Sản phẩm'!$D$5:$D$304,MATCH(D3371,'Sản phẩm'!$A$5:$A$304,0)),""))</f>
        <v/>
      </c>
      <c r="L3371" s="16">
        <f>IF(J3371="","",J3371-K3371)</f>
        <v/>
      </c>
      <c r="M3371" s="14">
        <f>IF(A3371="","",MONTH(A3371))</f>
        <v/>
      </c>
      <c r="N3371" s="14">
        <f>IF(A3371="","",YEAR(A3371))</f>
        <v/>
      </c>
    </row>
    <row r="3372">
      <c r="A3372" s="15" t="n"/>
      <c r="B3372" s="10" t="n"/>
      <c r="C3372" s="10" t="n"/>
      <c r="D3372" s="10" t="n"/>
      <c r="E3372" s="14">
        <f>IF(D3372="","",IFERROR(INDEX('Sản phẩm'!$B$5:$B$304,MATCH(D3372,'Sản phẩm'!$A$5:$A$304,0)),""))</f>
        <v/>
      </c>
      <c r="F3372" s="12" t="n"/>
      <c r="G3372" s="11" t="n"/>
      <c r="H3372" s="11" t="n"/>
      <c r="I3372" s="16">
        <f>IF(D3372="","",IF(G3372&lt;&gt;"",G3372,IFERROR(INDEX('Sản phẩm'!$E$5:$E$304,MATCH(D3372,'Sản phẩm'!$A$5:$A$304,0)),"")))</f>
        <v/>
      </c>
      <c r="J3372" s="16">
        <f>IF(OR(D3372="",F3372=""),"",F3372*I3372-N(H3372))</f>
        <v/>
      </c>
      <c r="K3372" s="16">
        <f>IF(OR(D3372="",F3372=""),"",F3372*IFERROR(INDEX('Sản phẩm'!$D$5:$D$304,MATCH(D3372,'Sản phẩm'!$A$5:$A$304,0)),""))</f>
        <v/>
      </c>
      <c r="L3372" s="16">
        <f>IF(J3372="","",J3372-K3372)</f>
        <v/>
      </c>
      <c r="M3372" s="14">
        <f>IF(A3372="","",MONTH(A3372))</f>
        <v/>
      </c>
      <c r="N3372" s="14">
        <f>IF(A3372="","",YEAR(A3372))</f>
        <v/>
      </c>
    </row>
    <row r="3373">
      <c r="A3373" s="15" t="n"/>
      <c r="B3373" s="10" t="n"/>
      <c r="C3373" s="10" t="n"/>
      <c r="D3373" s="10" t="n"/>
      <c r="E3373" s="14">
        <f>IF(D3373="","",IFERROR(INDEX('Sản phẩm'!$B$5:$B$304,MATCH(D3373,'Sản phẩm'!$A$5:$A$304,0)),""))</f>
        <v/>
      </c>
      <c r="F3373" s="12" t="n"/>
      <c r="G3373" s="11" t="n"/>
      <c r="H3373" s="11" t="n"/>
      <c r="I3373" s="16">
        <f>IF(D3373="","",IF(G3373&lt;&gt;"",G3373,IFERROR(INDEX('Sản phẩm'!$E$5:$E$304,MATCH(D3373,'Sản phẩm'!$A$5:$A$304,0)),"")))</f>
        <v/>
      </c>
      <c r="J3373" s="16">
        <f>IF(OR(D3373="",F3373=""),"",F3373*I3373-N(H3373))</f>
        <v/>
      </c>
      <c r="K3373" s="16">
        <f>IF(OR(D3373="",F3373=""),"",F3373*IFERROR(INDEX('Sản phẩm'!$D$5:$D$304,MATCH(D3373,'Sản phẩm'!$A$5:$A$304,0)),""))</f>
        <v/>
      </c>
      <c r="L3373" s="16">
        <f>IF(J3373="","",J3373-K3373)</f>
        <v/>
      </c>
      <c r="M3373" s="14">
        <f>IF(A3373="","",MONTH(A3373))</f>
        <v/>
      </c>
      <c r="N3373" s="14">
        <f>IF(A3373="","",YEAR(A3373))</f>
        <v/>
      </c>
    </row>
    <row r="3374">
      <c r="A3374" s="15" t="n"/>
      <c r="B3374" s="10" t="n"/>
      <c r="C3374" s="10" t="n"/>
      <c r="D3374" s="10" t="n"/>
      <c r="E3374" s="14">
        <f>IF(D3374="","",IFERROR(INDEX('Sản phẩm'!$B$5:$B$304,MATCH(D3374,'Sản phẩm'!$A$5:$A$304,0)),""))</f>
        <v/>
      </c>
      <c r="F3374" s="12" t="n"/>
      <c r="G3374" s="11" t="n"/>
      <c r="H3374" s="11" t="n"/>
      <c r="I3374" s="16">
        <f>IF(D3374="","",IF(G3374&lt;&gt;"",G3374,IFERROR(INDEX('Sản phẩm'!$E$5:$E$304,MATCH(D3374,'Sản phẩm'!$A$5:$A$304,0)),"")))</f>
        <v/>
      </c>
      <c r="J3374" s="16">
        <f>IF(OR(D3374="",F3374=""),"",F3374*I3374-N(H3374))</f>
        <v/>
      </c>
      <c r="K3374" s="16">
        <f>IF(OR(D3374="",F3374=""),"",F3374*IFERROR(INDEX('Sản phẩm'!$D$5:$D$304,MATCH(D3374,'Sản phẩm'!$A$5:$A$304,0)),""))</f>
        <v/>
      </c>
      <c r="L3374" s="16">
        <f>IF(J3374="","",J3374-K3374)</f>
        <v/>
      </c>
      <c r="M3374" s="14">
        <f>IF(A3374="","",MONTH(A3374))</f>
        <v/>
      </c>
      <c r="N3374" s="14">
        <f>IF(A3374="","",YEAR(A3374))</f>
        <v/>
      </c>
    </row>
    <row r="3375">
      <c r="A3375" s="15" t="n"/>
      <c r="B3375" s="10" t="n"/>
      <c r="C3375" s="10" t="n"/>
      <c r="D3375" s="10" t="n"/>
      <c r="E3375" s="14">
        <f>IF(D3375="","",IFERROR(INDEX('Sản phẩm'!$B$5:$B$304,MATCH(D3375,'Sản phẩm'!$A$5:$A$304,0)),""))</f>
        <v/>
      </c>
      <c r="F3375" s="12" t="n"/>
      <c r="G3375" s="11" t="n"/>
      <c r="H3375" s="11" t="n"/>
      <c r="I3375" s="16">
        <f>IF(D3375="","",IF(G3375&lt;&gt;"",G3375,IFERROR(INDEX('Sản phẩm'!$E$5:$E$304,MATCH(D3375,'Sản phẩm'!$A$5:$A$304,0)),"")))</f>
        <v/>
      </c>
      <c r="J3375" s="16">
        <f>IF(OR(D3375="",F3375=""),"",F3375*I3375-N(H3375))</f>
        <v/>
      </c>
      <c r="K3375" s="16">
        <f>IF(OR(D3375="",F3375=""),"",F3375*IFERROR(INDEX('Sản phẩm'!$D$5:$D$304,MATCH(D3375,'Sản phẩm'!$A$5:$A$304,0)),""))</f>
        <v/>
      </c>
      <c r="L3375" s="16">
        <f>IF(J3375="","",J3375-K3375)</f>
        <v/>
      </c>
      <c r="M3375" s="14">
        <f>IF(A3375="","",MONTH(A3375))</f>
        <v/>
      </c>
      <c r="N3375" s="14">
        <f>IF(A3375="","",YEAR(A3375))</f>
        <v/>
      </c>
    </row>
    <row r="3376">
      <c r="A3376" s="15" t="n"/>
      <c r="B3376" s="10" t="n"/>
      <c r="C3376" s="10" t="n"/>
      <c r="D3376" s="10" t="n"/>
      <c r="E3376" s="14">
        <f>IF(D3376="","",IFERROR(INDEX('Sản phẩm'!$B$5:$B$304,MATCH(D3376,'Sản phẩm'!$A$5:$A$304,0)),""))</f>
        <v/>
      </c>
      <c r="F3376" s="12" t="n"/>
      <c r="G3376" s="11" t="n"/>
      <c r="H3376" s="11" t="n"/>
      <c r="I3376" s="16">
        <f>IF(D3376="","",IF(G3376&lt;&gt;"",G3376,IFERROR(INDEX('Sản phẩm'!$E$5:$E$304,MATCH(D3376,'Sản phẩm'!$A$5:$A$304,0)),"")))</f>
        <v/>
      </c>
      <c r="J3376" s="16">
        <f>IF(OR(D3376="",F3376=""),"",F3376*I3376-N(H3376))</f>
        <v/>
      </c>
      <c r="K3376" s="16">
        <f>IF(OR(D3376="",F3376=""),"",F3376*IFERROR(INDEX('Sản phẩm'!$D$5:$D$304,MATCH(D3376,'Sản phẩm'!$A$5:$A$304,0)),""))</f>
        <v/>
      </c>
      <c r="L3376" s="16">
        <f>IF(J3376="","",J3376-K3376)</f>
        <v/>
      </c>
      <c r="M3376" s="14">
        <f>IF(A3376="","",MONTH(A3376))</f>
        <v/>
      </c>
      <c r="N3376" s="14">
        <f>IF(A3376="","",YEAR(A3376))</f>
        <v/>
      </c>
    </row>
    <row r="3377">
      <c r="A3377" s="15" t="n"/>
      <c r="B3377" s="10" t="n"/>
      <c r="C3377" s="10" t="n"/>
      <c r="D3377" s="10" t="n"/>
      <c r="E3377" s="14">
        <f>IF(D3377="","",IFERROR(INDEX('Sản phẩm'!$B$5:$B$304,MATCH(D3377,'Sản phẩm'!$A$5:$A$304,0)),""))</f>
        <v/>
      </c>
      <c r="F3377" s="12" t="n"/>
      <c r="G3377" s="11" t="n"/>
      <c r="H3377" s="11" t="n"/>
      <c r="I3377" s="16">
        <f>IF(D3377="","",IF(G3377&lt;&gt;"",G3377,IFERROR(INDEX('Sản phẩm'!$E$5:$E$304,MATCH(D3377,'Sản phẩm'!$A$5:$A$304,0)),"")))</f>
        <v/>
      </c>
      <c r="J3377" s="16">
        <f>IF(OR(D3377="",F3377=""),"",F3377*I3377-N(H3377))</f>
        <v/>
      </c>
      <c r="K3377" s="16">
        <f>IF(OR(D3377="",F3377=""),"",F3377*IFERROR(INDEX('Sản phẩm'!$D$5:$D$304,MATCH(D3377,'Sản phẩm'!$A$5:$A$304,0)),""))</f>
        <v/>
      </c>
      <c r="L3377" s="16">
        <f>IF(J3377="","",J3377-K3377)</f>
        <v/>
      </c>
      <c r="M3377" s="14">
        <f>IF(A3377="","",MONTH(A3377))</f>
        <v/>
      </c>
      <c r="N3377" s="14">
        <f>IF(A3377="","",YEAR(A3377))</f>
        <v/>
      </c>
    </row>
    <row r="3378">
      <c r="A3378" s="15" t="n"/>
      <c r="B3378" s="10" t="n"/>
      <c r="C3378" s="10" t="n"/>
      <c r="D3378" s="10" t="n"/>
      <c r="E3378" s="14">
        <f>IF(D3378="","",IFERROR(INDEX('Sản phẩm'!$B$5:$B$304,MATCH(D3378,'Sản phẩm'!$A$5:$A$304,0)),""))</f>
        <v/>
      </c>
      <c r="F3378" s="12" t="n"/>
      <c r="G3378" s="11" t="n"/>
      <c r="H3378" s="11" t="n"/>
      <c r="I3378" s="16">
        <f>IF(D3378="","",IF(G3378&lt;&gt;"",G3378,IFERROR(INDEX('Sản phẩm'!$E$5:$E$304,MATCH(D3378,'Sản phẩm'!$A$5:$A$304,0)),"")))</f>
        <v/>
      </c>
      <c r="J3378" s="16">
        <f>IF(OR(D3378="",F3378=""),"",F3378*I3378-N(H3378))</f>
        <v/>
      </c>
      <c r="K3378" s="16">
        <f>IF(OR(D3378="",F3378=""),"",F3378*IFERROR(INDEX('Sản phẩm'!$D$5:$D$304,MATCH(D3378,'Sản phẩm'!$A$5:$A$304,0)),""))</f>
        <v/>
      </c>
      <c r="L3378" s="16">
        <f>IF(J3378="","",J3378-K3378)</f>
        <v/>
      </c>
      <c r="M3378" s="14">
        <f>IF(A3378="","",MONTH(A3378))</f>
        <v/>
      </c>
      <c r="N3378" s="14">
        <f>IF(A3378="","",YEAR(A3378))</f>
        <v/>
      </c>
    </row>
    <row r="3379">
      <c r="A3379" s="15" t="n"/>
      <c r="B3379" s="10" t="n"/>
      <c r="C3379" s="10" t="n"/>
      <c r="D3379" s="10" t="n"/>
      <c r="E3379" s="14">
        <f>IF(D3379="","",IFERROR(INDEX('Sản phẩm'!$B$5:$B$304,MATCH(D3379,'Sản phẩm'!$A$5:$A$304,0)),""))</f>
        <v/>
      </c>
      <c r="F3379" s="12" t="n"/>
      <c r="G3379" s="11" t="n"/>
      <c r="H3379" s="11" t="n"/>
      <c r="I3379" s="16">
        <f>IF(D3379="","",IF(G3379&lt;&gt;"",G3379,IFERROR(INDEX('Sản phẩm'!$E$5:$E$304,MATCH(D3379,'Sản phẩm'!$A$5:$A$304,0)),"")))</f>
        <v/>
      </c>
      <c r="J3379" s="16">
        <f>IF(OR(D3379="",F3379=""),"",F3379*I3379-N(H3379))</f>
        <v/>
      </c>
      <c r="K3379" s="16">
        <f>IF(OR(D3379="",F3379=""),"",F3379*IFERROR(INDEX('Sản phẩm'!$D$5:$D$304,MATCH(D3379,'Sản phẩm'!$A$5:$A$304,0)),""))</f>
        <v/>
      </c>
      <c r="L3379" s="16">
        <f>IF(J3379="","",J3379-K3379)</f>
        <v/>
      </c>
      <c r="M3379" s="14">
        <f>IF(A3379="","",MONTH(A3379))</f>
        <v/>
      </c>
      <c r="N3379" s="14">
        <f>IF(A3379="","",YEAR(A3379))</f>
        <v/>
      </c>
    </row>
    <row r="3380">
      <c r="A3380" s="15" t="n"/>
      <c r="B3380" s="10" t="n"/>
      <c r="C3380" s="10" t="n"/>
      <c r="D3380" s="10" t="n"/>
      <c r="E3380" s="14">
        <f>IF(D3380="","",IFERROR(INDEX('Sản phẩm'!$B$5:$B$304,MATCH(D3380,'Sản phẩm'!$A$5:$A$304,0)),""))</f>
        <v/>
      </c>
      <c r="F3380" s="12" t="n"/>
      <c r="G3380" s="11" t="n"/>
      <c r="H3380" s="11" t="n"/>
      <c r="I3380" s="16">
        <f>IF(D3380="","",IF(G3380&lt;&gt;"",G3380,IFERROR(INDEX('Sản phẩm'!$E$5:$E$304,MATCH(D3380,'Sản phẩm'!$A$5:$A$304,0)),"")))</f>
        <v/>
      </c>
      <c r="J3380" s="16">
        <f>IF(OR(D3380="",F3380=""),"",F3380*I3380-N(H3380))</f>
        <v/>
      </c>
      <c r="K3380" s="16">
        <f>IF(OR(D3380="",F3380=""),"",F3380*IFERROR(INDEX('Sản phẩm'!$D$5:$D$304,MATCH(D3380,'Sản phẩm'!$A$5:$A$304,0)),""))</f>
        <v/>
      </c>
      <c r="L3380" s="16">
        <f>IF(J3380="","",J3380-K3380)</f>
        <v/>
      </c>
      <c r="M3380" s="14">
        <f>IF(A3380="","",MONTH(A3380))</f>
        <v/>
      </c>
      <c r="N3380" s="14">
        <f>IF(A3380="","",YEAR(A3380))</f>
        <v/>
      </c>
    </row>
    <row r="3381">
      <c r="A3381" s="15" t="n"/>
      <c r="B3381" s="10" t="n"/>
      <c r="C3381" s="10" t="n"/>
      <c r="D3381" s="10" t="n"/>
      <c r="E3381" s="14">
        <f>IF(D3381="","",IFERROR(INDEX('Sản phẩm'!$B$5:$B$304,MATCH(D3381,'Sản phẩm'!$A$5:$A$304,0)),""))</f>
        <v/>
      </c>
      <c r="F3381" s="12" t="n"/>
      <c r="G3381" s="11" t="n"/>
      <c r="H3381" s="11" t="n"/>
      <c r="I3381" s="16">
        <f>IF(D3381="","",IF(G3381&lt;&gt;"",G3381,IFERROR(INDEX('Sản phẩm'!$E$5:$E$304,MATCH(D3381,'Sản phẩm'!$A$5:$A$304,0)),"")))</f>
        <v/>
      </c>
      <c r="J3381" s="16">
        <f>IF(OR(D3381="",F3381=""),"",F3381*I3381-N(H3381))</f>
        <v/>
      </c>
      <c r="K3381" s="16">
        <f>IF(OR(D3381="",F3381=""),"",F3381*IFERROR(INDEX('Sản phẩm'!$D$5:$D$304,MATCH(D3381,'Sản phẩm'!$A$5:$A$304,0)),""))</f>
        <v/>
      </c>
      <c r="L3381" s="16">
        <f>IF(J3381="","",J3381-K3381)</f>
        <v/>
      </c>
      <c r="M3381" s="14">
        <f>IF(A3381="","",MONTH(A3381))</f>
        <v/>
      </c>
      <c r="N3381" s="14">
        <f>IF(A3381="","",YEAR(A3381))</f>
        <v/>
      </c>
    </row>
    <row r="3382">
      <c r="A3382" s="15" t="n"/>
      <c r="B3382" s="10" t="n"/>
      <c r="C3382" s="10" t="n"/>
      <c r="D3382" s="10" t="n"/>
      <c r="E3382" s="14">
        <f>IF(D3382="","",IFERROR(INDEX('Sản phẩm'!$B$5:$B$304,MATCH(D3382,'Sản phẩm'!$A$5:$A$304,0)),""))</f>
        <v/>
      </c>
      <c r="F3382" s="12" t="n"/>
      <c r="G3382" s="11" t="n"/>
      <c r="H3382" s="11" t="n"/>
      <c r="I3382" s="16">
        <f>IF(D3382="","",IF(G3382&lt;&gt;"",G3382,IFERROR(INDEX('Sản phẩm'!$E$5:$E$304,MATCH(D3382,'Sản phẩm'!$A$5:$A$304,0)),"")))</f>
        <v/>
      </c>
      <c r="J3382" s="16">
        <f>IF(OR(D3382="",F3382=""),"",F3382*I3382-N(H3382))</f>
        <v/>
      </c>
      <c r="K3382" s="16">
        <f>IF(OR(D3382="",F3382=""),"",F3382*IFERROR(INDEX('Sản phẩm'!$D$5:$D$304,MATCH(D3382,'Sản phẩm'!$A$5:$A$304,0)),""))</f>
        <v/>
      </c>
      <c r="L3382" s="16">
        <f>IF(J3382="","",J3382-K3382)</f>
        <v/>
      </c>
      <c r="M3382" s="14">
        <f>IF(A3382="","",MONTH(A3382))</f>
        <v/>
      </c>
      <c r="N3382" s="14">
        <f>IF(A3382="","",YEAR(A3382))</f>
        <v/>
      </c>
    </row>
    <row r="3383">
      <c r="A3383" s="15" t="n"/>
      <c r="B3383" s="10" t="n"/>
      <c r="C3383" s="10" t="n"/>
      <c r="D3383" s="10" t="n"/>
      <c r="E3383" s="14">
        <f>IF(D3383="","",IFERROR(INDEX('Sản phẩm'!$B$5:$B$304,MATCH(D3383,'Sản phẩm'!$A$5:$A$304,0)),""))</f>
        <v/>
      </c>
      <c r="F3383" s="12" t="n"/>
      <c r="G3383" s="11" t="n"/>
      <c r="H3383" s="11" t="n"/>
      <c r="I3383" s="16">
        <f>IF(D3383="","",IF(G3383&lt;&gt;"",G3383,IFERROR(INDEX('Sản phẩm'!$E$5:$E$304,MATCH(D3383,'Sản phẩm'!$A$5:$A$304,0)),"")))</f>
        <v/>
      </c>
      <c r="J3383" s="16">
        <f>IF(OR(D3383="",F3383=""),"",F3383*I3383-N(H3383))</f>
        <v/>
      </c>
      <c r="K3383" s="16">
        <f>IF(OR(D3383="",F3383=""),"",F3383*IFERROR(INDEX('Sản phẩm'!$D$5:$D$304,MATCH(D3383,'Sản phẩm'!$A$5:$A$304,0)),""))</f>
        <v/>
      </c>
      <c r="L3383" s="16">
        <f>IF(J3383="","",J3383-K3383)</f>
        <v/>
      </c>
      <c r="M3383" s="14">
        <f>IF(A3383="","",MONTH(A3383))</f>
        <v/>
      </c>
      <c r="N3383" s="14">
        <f>IF(A3383="","",YEAR(A3383))</f>
        <v/>
      </c>
    </row>
    <row r="3384">
      <c r="A3384" s="15" t="n"/>
      <c r="B3384" s="10" t="n"/>
      <c r="C3384" s="10" t="n"/>
      <c r="D3384" s="10" t="n"/>
      <c r="E3384" s="14">
        <f>IF(D3384="","",IFERROR(INDEX('Sản phẩm'!$B$5:$B$304,MATCH(D3384,'Sản phẩm'!$A$5:$A$304,0)),""))</f>
        <v/>
      </c>
      <c r="F3384" s="12" t="n"/>
      <c r="G3384" s="11" t="n"/>
      <c r="H3384" s="11" t="n"/>
      <c r="I3384" s="16">
        <f>IF(D3384="","",IF(G3384&lt;&gt;"",G3384,IFERROR(INDEX('Sản phẩm'!$E$5:$E$304,MATCH(D3384,'Sản phẩm'!$A$5:$A$304,0)),"")))</f>
        <v/>
      </c>
      <c r="J3384" s="16">
        <f>IF(OR(D3384="",F3384=""),"",F3384*I3384-N(H3384))</f>
        <v/>
      </c>
      <c r="K3384" s="16">
        <f>IF(OR(D3384="",F3384=""),"",F3384*IFERROR(INDEX('Sản phẩm'!$D$5:$D$304,MATCH(D3384,'Sản phẩm'!$A$5:$A$304,0)),""))</f>
        <v/>
      </c>
      <c r="L3384" s="16">
        <f>IF(J3384="","",J3384-K3384)</f>
        <v/>
      </c>
      <c r="M3384" s="14">
        <f>IF(A3384="","",MONTH(A3384))</f>
        <v/>
      </c>
      <c r="N3384" s="14">
        <f>IF(A3384="","",YEAR(A3384))</f>
        <v/>
      </c>
    </row>
    <row r="3385">
      <c r="A3385" s="15" t="n"/>
      <c r="B3385" s="10" t="n"/>
      <c r="C3385" s="10" t="n"/>
      <c r="D3385" s="10" t="n"/>
      <c r="E3385" s="14">
        <f>IF(D3385="","",IFERROR(INDEX('Sản phẩm'!$B$5:$B$304,MATCH(D3385,'Sản phẩm'!$A$5:$A$304,0)),""))</f>
        <v/>
      </c>
      <c r="F3385" s="12" t="n"/>
      <c r="G3385" s="11" t="n"/>
      <c r="H3385" s="11" t="n"/>
      <c r="I3385" s="16">
        <f>IF(D3385="","",IF(G3385&lt;&gt;"",G3385,IFERROR(INDEX('Sản phẩm'!$E$5:$E$304,MATCH(D3385,'Sản phẩm'!$A$5:$A$304,0)),"")))</f>
        <v/>
      </c>
      <c r="J3385" s="16">
        <f>IF(OR(D3385="",F3385=""),"",F3385*I3385-N(H3385))</f>
        <v/>
      </c>
      <c r="K3385" s="16">
        <f>IF(OR(D3385="",F3385=""),"",F3385*IFERROR(INDEX('Sản phẩm'!$D$5:$D$304,MATCH(D3385,'Sản phẩm'!$A$5:$A$304,0)),""))</f>
        <v/>
      </c>
      <c r="L3385" s="16">
        <f>IF(J3385="","",J3385-K3385)</f>
        <v/>
      </c>
      <c r="M3385" s="14">
        <f>IF(A3385="","",MONTH(A3385))</f>
        <v/>
      </c>
      <c r="N3385" s="14">
        <f>IF(A3385="","",YEAR(A3385))</f>
        <v/>
      </c>
    </row>
    <row r="3386">
      <c r="A3386" s="15" t="n"/>
      <c r="B3386" s="10" t="n"/>
      <c r="C3386" s="10" t="n"/>
      <c r="D3386" s="10" t="n"/>
      <c r="E3386" s="14">
        <f>IF(D3386="","",IFERROR(INDEX('Sản phẩm'!$B$5:$B$304,MATCH(D3386,'Sản phẩm'!$A$5:$A$304,0)),""))</f>
        <v/>
      </c>
      <c r="F3386" s="12" t="n"/>
      <c r="G3386" s="11" t="n"/>
      <c r="H3386" s="11" t="n"/>
      <c r="I3386" s="16">
        <f>IF(D3386="","",IF(G3386&lt;&gt;"",G3386,IFERROR(INDEX('Sản phẩm'!$E$5:$E$304,MATCH(D3386,'Sản phẩm'!$A$5:$A$304,0)),"")))</f>
        <v/>
      </c>
      <c r="J3386" s="16">
        <f>IF(OR(D3386="",F3386=""),"",F3386*I3386-N(H3386))</f>
        <v/>
      </c>
      <c r="K3386" s="16">
        <f>IF(OR(D3386="",F3386=""),"",F3386*IFERROR(INDEX('Sản phẩm'!$D$5:$D$304,MATCH(D3386,'Sản phẩm'!$A$5:$A$304,0)),""))</f>
        <v/>
      </c>
      <c r="L3386" s="16">
        <f>IF(J3386="","",J3386-K3386)</f>
        <v/>
      </c>
      <c r="M3386" s="14">
        <f>IF(A3386="","",MONTH(A3386))</f>
        <v/>
      </c>
      <c r="N3386" s="14">
        <f>IF(A3386="","",YEAR(A3386))</f>
        <v/>
      </c>
    </row>
    <row r="3387">
      <c r="A3387" s="15" t="n"/>
      <c r="B3387" s="10" t="n"/>
      <c r="C3387" s="10" t="n"/>
      <c r="D3387" s="10" t="n"/>
      <c r="E3387" s="14">
        <f>IF(D3387="","",IFERROR(INDEX('Sản phẩm'!$B$5:$B$304,MATCH(D3387,'Sản phẩm'!$A$5:$A$304,0)),""))</f>
        <v/>
      </c>
      <c r="F3387" s="12" t="n"/>
      <c r="G3387" s="11" t="n"/>
      <c r="H3387" s="11" t="n"/>
      <c r="I3387" s="16">
        <f>IF(D3387="","",IF(G3387&lt;&gt;"",G3387,IFERROR(INDEX('Sản phẩm'!$E$5:$E$304,MATCH(D3387,'Sản phẩm'!$A$5:$A$304,0)),"")))</f>
        <v/>
      </c>
      <c r="J3387" s="16">
        <f>IF(OR(D3387="",F3387=""),"",F3387*I3387-N(H3387))</f>
        <v/>
      </c>
      <c r="K3387" s="16">
        <f>IF(OR(D3387="",F3387=""),"",F3387*IFERROR(INDEX('Sản phẩm'!$D$5:$D$304,MATCH(D3387,'Sản phẩm'!$A$5:$A$304,0)),""))</f>
        <v/>
      </c>
      <c r="L3387" s="16">
        <f>IF(J3387="","",J3387-K3387)</f>
        <v/>
      </c>
      <c r="M3387" s="14">
        <f>IF(A3387="","",MONTH(A3387))</f>
        <v/>
      </c>
      <c r="N3387" s="14">
        <f>IF(A3387="","",YEAR(A3387))</f>
        <v/>
      </c>
    </row>
    <row r="3388">
      <c r="A3388" s="15" t="n"/>
      <c r="B3388" s="10" t="n"/>
      <c r="C3388" s="10" t="n"/>
      <c r="D3388" s="10" t="n"/>
      <c r="E3388" s="14">
        <f>IF(D3388="","",IFERROR(INDEX('Sản phẩm'!$B$5:$B$304,MATCH(D3388,'Sản phẩm'!$A$5:$A$304,0)),""))</f>
        <v/>
      </c>
      <c r="F3388" s="12" t="n"/>
      <c r="G3388" s="11" t="n"/>
      <c r="H3388" s="11" t="n"/>
      <c r="I3388" s="16">
        <f>IF(D3388="","",IF(G3388&lt;&gt;"",G3388,IFERROR(INDEX('Sản phẩm'!$E$5:$E$304,MATCH(D3388,'Sản phẩm'!$A$5:$A$304,0)),"")))</f>
        <v/>
      </c>
      <c r="J3388" s="16">
        <f>IF(OR(D3388="",F3388=""),"",F3388*I3388-N(H3388))</f>
        <v/>
      </c>
      <c r="K3388" s="16">
        <f>IF(OR(D3388="",F3388=""),"",F3388*IFERROR(INDEX('Sản phẩm'!$D$5:$D$304,MATCH(D3388,'Sản phẩm'!$A$5:$A$304,0)),""))</f>
        <v/>
      </c>
      <c r="L3388" s="16">
        <f>IF(J3388="","",J3388-K3388)</f>
        <v/>
      </c>
      <c r="M3388" s="14">
        <f>IF(A3388="","",MONTH(A3388))</f>
        <v/>
      </c>
      <c r="N3388" s="14">
        <f>IF(A3388="","",YEAR(A3388))</f>
        <v/>
      </c>
    </row>
    <row r="3389">
      <c r="A3389" s="15" t="n"/>
      <c r="B3389" s="10" t="n"/>
      <c r="C3389" s="10" t="n"/>
      <c r="D3389" s="10" t="n"/>
      <c r="E3389" s="14">
        <f>IF(D3389="","",IFERROR(INDEX('Sản phẩm'!$B$5:$B$304,MATCH(D3389,'Sản phẩm'!$A$5:$A$304,0)),""))</f>
        <v/>
      </c>
      <c r="F3389" s="12" t="n"/>
      <c r="G3389" s="11" t="n"/>
      <c r="H3389" s="11" t="n"/>
      <c r="I3389" s="16">
        <f>IF(D3389="","",IF(G3389&lt;&gt;"",G3389,IFERROR(INDEX('Sản phẩm'!$E$5:$E$304,MATCH(D3389,'Sản phẩm'!$A$5:$A$304,0)),"")))</f>
        <v/>
      </c>
      <c r="J3389" s="16">
        <f>IF(OR(D3389="",F3389=""),"",F3389*I3389-N(H3389))</f>
        <v/>
      </c>
      <c r="K3389" s="16">
        <f>IF(OR(D3389="",F3389=""),"",F3389*IFERROR(INDEX('Sản phẩm'!$D$5:$D$304,MATCH(D3389,'Sản phẩm'!$A$5:$A$304,0)),""))</f>
        <v/>
      </c>
      <c r="L3389" s="16">
        <f>IF(J3389="","",J3389-K3389)</f>
        <v/>
      </c>
      <c r="M3389" s="14">
        <f>IF(A3389="","",MONTH(A3389))</f>
        <v/>
      </c>
      <c r="N3389" s="14">
        <f>IF(A3389="","",YEAR(A3389))</f>
        <v/>
      </c>
    </row>
    <row r="3390">
      <c r="A3390" s="15" t="n"/>
      <c r="B3390" s="10" t="n"/>
      <c r="C3390" s="10" t="n"/>
      <c r="D3390" s="10" t="n"/>
      <c r="E3390" s="14">
        <f>IF(D3390="","",IFERROR(INDEX('Sản phẩm'!$B$5:$B$304,MATCH(D3390,'Sản phẩm'!$A$5:$A$304,0)),""))</f>
        <v/>
      </c>
      <c r="F3390" s="12" t="n"/>
      <c r="G3390" s="11" t="n"/>
      <c r="H3390" s="11" t="n"/>
      <c r="I3390" s="16">
        <f>IF(D3390="","",IF(G3390&lt;&gt;"",G3390,IFERROR(INDEX('Sản phẩm'!$E$5:$E$304,MATCH(D3390,'Sản phẩm'!$A$5:$A$304,0)),"")))</f>
        <v/>
      </c>
      <c r="J3390" s="16">
        <f>IF(OR(D3390="",F3390=""),"",F3390*I3390-N(H3390))</f>
        <v/>
      </c>
      <c r="K3390" s="16">
        <f>IF(OR(D3390="",F3390=""),"",F3390*IFERROR(INDEX('Sản phẩm'!$D$5:$D$304,MATCH(D3390,'Sản phẩm'!$A$5:$A$304,0)),""))</f>
        <v/>
      </c>
      <c r="L3390" s="16">
        <f>IF(J3390="","",J3390-K3390)</f>
        <v/>
      </c>
      <c r="M3390" s="14">
        <f>IF(A3390="","",MONTH(A3390))</f>
        <v/>
      </c>
      <c r="N3390" s="14">
        <f>IF(A3390="","",YEAR(A3390))</f>
        <v/>
      </c>
    </row>
    <row r="3391">
      <c r="A3391" s="15" t="n"/>
      <c r="B3391" s="10" t="n"/>
      <c r="C3391" s="10" t="n"/>
      <c r="D3391" s="10" t="n"/>
      <c r="E3391" s="14">
        <f>IF(D3391="","",IFERROR(INDEX('Sản phẩm'!$B$5:$B$304,MATCH(D3391,'Sản phẩm'!$A$5:$A$304,0)),""))</f>
        <v/>
      </c>
      <c r="F3391" s="12" t="n"/>
      <c r="G3391" s="11" t="n"/>
      <c r="H3391" s="11" t="n"/>
      <c r="I3391" s="16">
        <f>IF(D3391="","",IF(G3391&lt;&gt;"",G3391,IFERROR(INDEX('Sản phẩm'!$E$5:$E$304,MATCH(D3391,'Sản phẩm'!$A$5:$A$304,0)),"")))</f>
        <v/>
      </c>
      <c r="J3391" s="16">
        <f>IF(OR(D3391="",F3391=""),"",F3391*I3391-N(H3391))</f>
        <v/>
      </c>
      <c r="K3391" s="16">
        <f>IF(OR(D3391="",F3391=""),"",F3391*IFERROR(INDEX('Sản phẩm'!$D$5:$D$304,MATCH(D3391,'Sản phẩm'!$A$5:$A$304,0)),""))</f>
        <v/>
      </c>
      <c r="L3391" s="16">
        <f>IF(J3391="","",J3391-K3391)</f>
        <v/>
      </c>
      <c r="M3391" s="14">
        <f>IF(A3391="","",MONTH(A3391))</f>
        <v/>
      </c>
      <c r="N3391" s="14">
        <f>IF(A3391="","",YEAR(A3391))</f>
        <v/>
      </c>
    </row>
    <row r="3392">
      <c r="A3392" s="15" t="n"/>
      <c r="B3392" s="10" t="n"/>
      <c r="C3392" s="10" t="n"/>
      <c r="D3392" s="10" t="n"/>
      <c r="E3392" s="14">
        <f>IF(D3392="","",IFERROR(INDEX('Sản phẩm'!$B$5:$B$304,MATCH(D3392,'Sản phẩm'!$A$5:$A$304,0)),""))</f>
        <v/>
      </c>
      <c r="F3392" s="12" t="n"/>
      <c r="G3392" s="11" t="n"/>
      <c r="H3392" s="11" t="n"/>
      <c r="I3392" s="16">
        <f>IF(D3392="","",IF(G3392&lt;&gt;"",G3392,IFERROR(INDEX('Sản phẩm'!$E$5:$E$304,MATCH(D3392,'Sản phẩm'!$A$5:$A$304,0)),"")))</f>
        <v/>
      </c>
      <c r="J3392" s="16">
        <f>IF(OR(D3392="",F3392=""),"",F3392*I3392-N(H3392))</f>
        <v/>
      </c>
      <c r="K3392" s="16">
        <f>IF(OR(D3392="",F3392=""),"",F3392*IFERROR(INDEX('Sản phẩm'!$D$5:$D$304,MATCH(D3392,'Sản phẩm'!$A$5:$A$304,0)),""))</f>
        <v/>
      </c>
      <c r="L3392" s="16">
        <f>IF(J3392="","",J3392-K3392)</f>
        <v/>
      </c>
      <c r="M3392" s="14">
        <f>IF(A3392="","",MONTH(A3392))</f>
        <v/>
      </c>
      <c r="N3392" s="14">
        <f>IF(A3392="","",YEAR(A3392))</f>
        <v/>
      </c>
    </row>
    <row r="3393">
      <c r="A3393" s="15" t="n"/>
      <c r="B3393" s="10" t="n"/>
      <c r="C3393" s="10" t="n"/>
      <c r="D3393" s="10" t="n"/>
      <c r="E3393" s="14">
        <f>IF(D3393="","",IFERROR(INDEX('Sản phẩm'!$B$5:$B$304,MATCH(D3393,'Sản phẩm'!$A$5:$A$304,0)),""))</f>
        <v/>
      </c>
      <c r="F3393" s="12" t="n"/>
      <c r="G3393" s="11" t="n"/>
      <c r="H3393" s="11" t="n"/>
      <c r="I3393" s="16">
        <f>IF(D3393="","",IF(G3393&lt;&gt;"",G3393,IFERROR(INDEX('Sản phẩm'!$E$5:$E$304,MATCH(D3393,'Sản phẩm'!$A$5:$A$304,0)),"")))</f>
        <v/>
      </c>
      <c r="J3393" s="16">
        <f>IF(OR(D3393="",F3393=""),"",F3393*I3393-N(H3393))</f>
        <v/>
      </c>
      <c r="K3393" s="16">
        <f>IF(OR(D3393="",F3393=""),"",F3393*IFERROR(INDEX('Sản phẩm'!$D$5:$D$304,MATCH(D3393,'Sản phẩm'!$A$5:$A$304,0)),""))</f>
        <v/>
      </c>
      <c r="L3393" s="16">
        <f>IF(J3393="","",J3393-K3393)</f>
        <v/>
      </c>
      <c r="M3393" s="14">
        <f>IF(A3393="","",MONTH(A3393))</f>
        <v/>
      </c>
      <c r="N3393" s="14">
        <f>IF(A3393="","",YEAR(A3393))</f>
        <v/>
      </c>
    </row>
    <row r="3394">
      <c r="A3394" s="15" t="n"/>
      <c r="B3394" s="10" t="n"/>
      <c r="C3394" s="10" t="n"/>
      <c r="D3394" s="10" t="n"/>
      <c r="E3394" s="14">
        <f>IF(D3394="","",IFERROR(INDEX('Sản phẩm'!$B$5:$B$304,MATCH(D3394,'Sản phẩm'!$A$5:$A$304,0)),""))</f>
        <v/>
      </c>
      <c r="F3394" s="12" t="n"/>
      <c r="G3394" s="11" t="n"/>
      <c r="H3394" s="11" t="n"/>
      <c r="I3394" s="16">
        <f>IF(D3394="","",IF(G3394&lt;&gt;"",G3394,IFERROR(INDEX('Sản phẩm'!$E$5:$E$304,MATCH(D3394,'Sản phẩm'!$A$5:$A$304,0)),"")))</f>
        <v/>
      </c>
      <c r="J3394" s="16">
        <f>IF(OR(D3394="",F3394=""),"",F3394*I3394-N(H3394))</f>
        <v/>
      </c>
      <c r="K3394" s="16">
        <f>IF(OR(D3394="",F3394=""),"",F3394*IFERROR(INDEX('Sản phẩm'!$D$5:$D$304,MATCH(D3394,'Sản phẩm'!$A$5:$A$304,0)),""))</f>
        <v/>
      </c>
      <c r="L3394" s="16">
        <f>IF(J3394="","",J3394-K3394)</f>
        <v/>
      </c>
      <c r="M3394" s="14">
        <f>IF(A3394="","",MONTH(A3394))</f>
        <v/>
      </c>
      <c r="N3394" s="14">
        <f>IF(A3394="","",YEAR(A3394))</f>
        <v/>
      </c>
    </row>
    <row r="3395">
      <c r="A3395" s="15" t="n"/>
      <c r="B3395" s="10" t="n"/>
      <c r="C3395" s="10" t="n"/>
      <c r="D3395" s="10" t="n"/>
      <c r="E3395" s="14">
        <f>IF(D3395="","",IFERROR(INDEX('Sản phẩm'!$B$5:$B$304,MATCH(D3395,'Sản phẩm'!$A$5:$A$304,0)),""))</f>
        <v/>
      </c>
      <c r="F3395" s="12" t="n"/>
      <c r="G3395" s="11" t="n"/>
      <c r="H3395" s="11" t="n"/>
      <c r="I3395" s="16">
        <f>IF(D3395="","",IF(G3395&lt;&gt;"",G3395,IFERROR(INDEX('Sản phẩm'!$E$5:$E$304,MATCH(D3395,'Sản phẩm'!$A$5:$A$304,0)),"")))</f>
        <v/>
      </c>
      <c r="J3395" s="16">
        <f>IF(OR(D3395="",F3395=""),"",F3395*I3395-N(H3395))</f>
        <v/>
      </c>
      <c r="K3395" s="16">
        <f>IF(OR(D3395="",F3395=""),"",F3395*IFERROR(INDEX('Sản phẩm'!$D$5:$D$304,MATCH(D3395,'Sản phẩm'!$A$5:$A$304,0)),""))</f>
        <v/>
      </c>
      <c r="L3395" s="16">
        <f>IF(J3395="","",J3395-K3395)</f>
        <v/>
      </c>
      <c r="M3395" s="14">
        <f>IF(A3395="","",MONTH(A3395))</f>
        <v/>
      </c>
      <c r="N3395" s="14">
        <f>IF(A3395="","",YEAR(A3395))</f>
        <v/>
      </c>
    </row>
    <row r="3396">
      <c r="A3396" s="15" t="n"/>
      <c r="B3396" s="10" t="n"/>
      <c r="C3396" s="10" t="n"/>
      <c r="D3396" s="10" t="n"/>
      <c r="E3396" s="14">
        <f>IF(D3396="","",IFERROR(INDEX('Sản phẩm'!$B$5:$B$304,MATCH(D3396,'Sản phẩm'!$A$5:$A$304,0)),""))</f>
        <v/>
      </c>
      <c r="F3396" s="12" t="n"/>
      <c r="G3396" s="11" t="n"/>
      <c r="H3396" s="11" t="n"/>
      <c r="I3396" s="16">
        <f>IF(D3396="","",IF(G3396&lt;&gt;"",G3396,IFERROR(INDEX('Sản phẩm'!$E$5:$E$304,MATCH(D3396,'Sản phẩm'!$A$5:$A$304,0)),"")))</f>
        <v/>
      </c>
      <c r="J3396" s="16">
        <f>IF(OR(D3396="",F3396=""),"",F3396*I3396-N(H3396))</f>
        <v/>
      </c>
      <c r="K3396" s="16">
        <f>IF(OR(D3396="",F3396=""),"",F3396*IFERROR(INDEX('Sản phẩm'!$D$5:$D$304,MATCH(D3396,'Sản phẩm'!$A$5:$A$304,0)),""))</f>
        <v/>
      </c>
      <c r="L3396" s="16">
        <f>IF(J3396="","",J3396-K3396)</f>
        <v/>
      </c>
      <c r="M3396" s="14">
        <f>IF(A3396="","",MONTH(A3396))</f>
        <v/>
      </c>
      <c r="N3396" s="14">
        <f>IF(A3396="","",YEAR(A3396))</f>
        <v/>
      </c>
    </row>
    <row r="3397">
      <c r="A3397" s="15" t="n"/>
      <c r="B3397" s="10" t="n"/>
      <c r="C3397" s="10" t="n"/>
      <c r="D3397" s="10" t="n"/>
      <c r="E3397" s="14">
        <f>IF(D3397="","",IFERROR(INDEX('Sản phẩm'!$B$5:$B$304,MATCH(D3397,'Sản phẩm'!$A$5:$A$304,0)),""))</f>
        <v/>
      </c>
      <c r="F3397" s="12" t="n"/>
      <c r="G3397" s="11" t="n"/>
      <c r="H3397" s="11" t="n"/>
      <c r="I3397" s="16">
        <f>IF(D3397="","",IF(G3397&lt;&gt;"",G3397,IFERROR(INDEX('Sản phẩm'!$E$5:$E$304,MATCH(D3397,'Sản phẩm'!$A$5:$A$304,0)),"")))</f>
        <v/>
      </c>
      <c r="J3397" s="16">
        <f>IF(OR(D3397="",F3397=""),"",F3397*I3397-N(H3397))</f>
        <v/>
      </c>
      <c r="K3397" s="16">
        <f>IF(OR(D3397="",F3397=""),"",F3397*IFERROR(INDEX('Sản phẩm'!$D$5:$D$304,MATCH(D3397,'Sản phẩm'!$A$5:$A$304,0)),""))</f>
        <v/>
      </c>
      <c r="L3397" s="16">
        <f>IF(J3397="","",J3397-K3397)</f>
        <v/>
      </c>
      <c r="M3397" s="14">
        <f>IF(A3397="","",MONTH(A3397))</f>
        <v/>
      </c>
      <c r="N3397" s="14">
        <f>IF(A3397="","",YEAR(A3397))</f>
        <v/>
      </c>
    </row>
    <row r="3398">
      <c r="A3398" s="15" t="n"/>
      <c r="B3398" s="10" t="n"/>
      <c r="C3398" s="10" t="n"/>
      <c r="D3398" s="10" t="n"/>
      <c r="E3398" s="14">
        <f>IF(D3398="","",IFERROR(INDEX('Sản phẩm'!$B$5:$B$304,MATCH(D3398,'Sản phẩm'!$A$5:$A$304,0)),""))</f>
        <v/>
      </c>
      <c r="F3398" s="12" t="n"/>
      <c r="G3398" s="11" t="n"/>
      <c r="H3398" s="11" t="n"/>
      <c r="I3398" s="16">
        <f>IF(D3398="","",IF(G3398&lt;&gt;"",G3398,IFERROR(INDEX('Sản phẩm'!$E$5:$E$304,MATCH(D3398,'Sản phẩm'!$A$5:$A$304,0)),"")))</f>
        <v/>
      </c>
      <c r="J3398" s="16">
        <f>IF(OR(D3398="",F3398=""),"",F3398*I3398-N(H3398))</f>
        <v/>
      </c>
      <c r="K3398" s="16">
        <f>IF(OR(D3398="",F3398=""),"",F3398*IFERROR(INDEX('Sản phẩm'!$D$5:$D$304,MATCH(D3398,'Sản phẩm'!$A$5:$A$304,0)),""))</f>
        <v/>
      </c>
      <c r="L3398" s="16">
        <f>IF(J3398="","",J3398-K3398)</f>
        <v/>
      </c>
      <c r="M3398" s="14">
        <f>IF(A3398="","",MONTH(A3398))</f>
        <v/>
      </c>
      <c r="N3398" s="14">
        <f>IF(A3398="","",YEAR(A3398))</f>
        <v/>
      </c>
    </row>
    <row r="3399">
      <c r="A3399" s="15" t="n"/>
      <c r="B3399" s="10" t="n"/>
      <c r="C3399" s="10" t="n"/>
      <c r="D3399" s="10" t="n"/>
      <c r="E3399" s="14">
        <f>IF(D3399="","",IFERROR(INDEX('Sản phẩm'!$B$5:$B$304,MATCH(D3399,'Sản phẩm'!$A$5:$A$304,0)),""))</f>
        <v/>
      </c>
      <c r="F3399" s="12" t="n"/>
      <c r="G3399" s="11" t="n"/>
      <c r="H3399" s="11" t="n"/>
      <c r="I3399" s="16">
        <f>IF(D3399="","",IF(G3399&lt;&gt;"",G3399,IFERROR(INDEX('Sản phẩm'!$E$5:$E$304,MATCH(D3399,'Sản phẩm'!$A$5:$A$304,0)),"")))</f>
        <v/>
      </c>
      <c r="J3399" s="16">
        <f>IF(OR(D3399="",F3399=""),"",F3399*I3399-N(H3399))</f>
        <v/>
      </c>
      <c r="K3399" s="16">
        <f>IF(OR(D3399="",F3399=""),"",F3399*IFERROR(INDEX('Sản phẩm'!$D$5:$D$304,MATCH(D3399,'Sản phẩm'!$A$5:$A$304,0)),""))</f>
        <v/>
      </c>
      <c r="L3399" s="16">
        <f>IF(J3399="","",J3399-K3399)</f>
        <v/>
      </c>
      <c r="M3399" s="14">
        <f>IF(A3399="","",MONTH(A3399))</f>
        <v/>
      </c>
      <c r="N3399" s="14">
        <f>IF(A3399="","",YEAR(A3399))</f>
        <v/>
      </c>
    </row>
    <row r="3400">
      <c r="A3400" s="15" t="n"/>
      <c r="B3400" s="10" t="n"/>
      <c r="C3400" s="10" t="n"/>
      <c r="D3400" s="10" t="n"/>
      <c r="E3400" s="14">
        <f>IF(D3400="","",IFERROR(INDEX('Sản phẩm'!$B$5:$B$304,MATCH(D3400,'Sản phẩm'!$A$5:$A$304,0)),""))</f>
        <v/>
      </c>
      <c r="F3400" s="12" t="n"/>
      <c r="G3400" s="11" t="n"/>
      <c r="H3400" s="11" t="n"/>
      <c r="I3400" s="16">
        <f>IF(D3400="","",IF(G3400&lt;&gt;"",G3400,IFERROR(INDEX('Sản phẩm'!$E$5:$E$304,MATCH(D3400,'Sản phẩm'!$A$5:$A$304,0)),"")))</f>
        <v/>
      </c>
      <c r="J3400" s="16">
        <f>IF(OR(D3400="",F3400=""),"",F3400*I3400-N(H3400))</f>
        <v/>
      </c>
      <c r="K3400" s="16">
        <f>IF(OR(D3400="",F3400=""),"",F3400*IFERROR(INDEX('Sản phẩm'!$D$5:$D$304,MATCH(D3400,'Sản phẩm'!$A$5:$A$304,0)),""))</f>
        <v/>
      </c>
      <c r="L3400" s="16">
        <f>IF(J3400="","",J3400-K3400)</f>
        <v/>
      </c>
      <c r="M3400" s="14">
        <f>IF(A3400="","",MONTH(A3400))</f>
        <v/>
      </c>
      <c r="N3400" s="14">
        <f>IF(A3400="","",YEAR(A3400))</f>
        <v/>
      </c>
    </row>
    <row r="3401">
      <c r="A3401" s="15" t="n"/>
      <c r="B3401" s="10" t="n"/>
      <c r="C3401" s="10" t="n"/>
      <c r="D3401" s="10" t="n"/>
      <c r="E3401" s="14">
        <f>IF(D3401="","",IFERROR(INDEX('Sản phẩm'!$B$5:$B$304,MATCH(D3401,'Sản phẩm'!$A$5:$A$304,0)),""))</f>
        <v/>
      </c>
      <c r="F3401" s="12" t="n"/>
      <c r="G3401" s="11" t="n"/>
      <c r="H3401" s="11" t="n"/>
      <c r="I3401" s="16">
        <f>IF(D3401="","",IF(G3401&lt;&gt;"",G3401,IFERROR(INDEX('Sản phẩm'!$E$5:$E$304,MATCH(D3401,'Sản phẩm'!$A$5:$A$304,0)),"")))</f>
        <v/>
      </c>
      <c r="J3401" s="16">
        <f>IF(OR(D3401="",F3401=""),"",F3401*I3401-N(H3401))</f>
        <v/>
      </c>
      <c r="K3401" s="16">
        <f>IF(OR(D3401="",F3401=""),"",F3401*IFERROR(INDEX('Sản phẩm'!$D$5:$D$304,MATCH(D3401,'Sản phẩm'!$A$5:$A$304,0)),""))</f>
        <v/>
      </c>
      <c r="L3401" s="16">
        <f>IF(J3401="","",J3401-K3401)</f>
        <v/>
      </c>
      <c r="M3401" s="14">
        <f>IF(A3401="","",MONTH(A3401))</f>
        <v/>
      </c>
      <c r="N3401" s="14">
        <f>IF(A3401="","",YEAR(A3401))</f>
        <v/>
      </c>
    </row>
    <row r="3402">
      <c r="A3402" s="15" t="n"/>
      <c r="B3402" s="10" t="n"/>
      <c r="C3402" s="10" t="n"/>
      <c r="D3402" s="10" t="n"/>
      <c r="E3402" s="14">
        <f>IF(D3402="","",IFERROR(INDEX('Sản phẩm'!$B$5:$B$304,MATCH(D3402,'Sản phẩm'!$A$5:$A$304,0)),""))</f>
        <v/>
      </c>
      <c r="F3402" s="12" t="n"/>
      <c r="G3402" s="11" t="n"/>
      <c r="H3402" s="11" t="n"/>
      <c r="I3402" s="16">
        <f>IF(D3402="","",IF(G3402&lt;&gt;"",G3402,IFERROR(INDEX('Sản phẩm'!$E$5:$E$304,MATCH(D3402,'Sản phẩm'!$A$5:$A$304,0)),"")))</f>
        <v/>
      </c>
      <c r="J3402" s="16">
        <f>IF(OR(D3402="",F3402=""),"",F3402*I3402-N(H3402))</f>
        <v/>
      </c>
      <c r="K3402" s="16">
        <f>IF(OR(D3402="",F3402=""),"",F3402*IFERROR(INDEX('Sản phẩm'!$D$5:$D$304,MATCH(D3402,'Sản phẩm'!$A$5:$A$304,0)),""))</f>
        <v/>
      </c>
      <c r="L3402" s="16">
        <f>IF(J3402="","",J3402-K3402)</f>
        <v/>
      </c>
      <c r="M3402" s="14">
        <f>IF(A3402="","",MONTH(A3402))</f>
        <v/>
      </c>
      <c r="N3402" s="14">
        <f>IF(A3402="","",YEAR(A3402))</f>
        <v/>
      </c>
    </row>
    <row r="3403">
      <c r="A3403" s="15" t="n"/>
      <c r="B3403" s="10" t="n"/>
      <c r="C3403" s="10" t="n"/>
      <c r="D3403" s="10" t="n"/>
      <c r="E3403" s="14">
        <f>IF(D3403="","",IFERROR(INDEX('Sản phẩm'!$B$5:$B$304,MATCH(D3403,'Sản phẩm'!$A$5:$A$304,0)),""))</f>
        <v/>
      </c>
      <c r="F3403" s="12" t="n"/>
      <c r="G3403" s="11" t="n"/>
      <c r="H3403" s="11" t="n"/>
      <c r="I3403" s="16">
        <f>IF(D3403="","",IF(G3403&lt;&gt;"",G3403,IFERROR(INDEX('Sản phẩm'!$E$5:$E$304,MATCH(D3403,'Sản phẩm'!$A$5:$A$304,0)),"")))</f>
        <v/>
      </c>
      <c r="J3403" s="16">
        <f>IF(OR(D3403="",F3403=""),"",F3403*I3403-N(H3403))</f>
        <v/>
      </c>
      <c r="K3403" s="16">
        <f>IF(OR(D3403="",F3403=""),"",F3403*IFERROR(INDEX('Sản phẩm'!$D$5:$D$304,MATCH(D3403,'Sản phẩm'!$A$5:$A$304,0)),""))</f>
        <v/>
      </c>
      <c r="L3403" s="16">
        <f>IF(J3403="","",J3403-K3403)</f>
        <v/>
      </c>
      <c r="M3403" s="14">
        <f>IF(A3403="","",MONTH(A3403))</f>
        <v/>
      </c>
      <c r="N3403" s="14">
        <f>IF(A3403="","",YEAR(A3403))</f>
        <v/>
      </c>
    </row>
    <row r="3404">
      <c r="A3404" s="15" t="n"/>
      <c r="B3404" s="10" t="n"/>
      <c r="C3404" s="10" t="n"/>
      <c r="D3404" s="10" t="n"/>
      <c r="E3404" s="14">
        <f>IF(D3404="","",IFERROR(INDEX('Sản phẩm'!$B$5:$B$304,MATCH(D3404,'Sản phẩm'!$A$5:$A$304,0)),""))</f>
        <v/>
      </c>
      <c r="F3404" s="12" t="n"/>
      <c r="G3404" s="11" t="n"/>
      <c r="H3404" s="11" t="n"/>
      <c r="I3404" s="16">
        <f>IF(D3404="","",IF(G3404&lt;&gt;"",G3404,IFERROR(INDEX('Sản phẩm'!$E$5:$E$304,MATCH(D3404,'Sản phẩm'!$A$5:$A$304,0)),"")))</f>
        <v/>
      </c>
      <c r="J3404" s="16">
        <f>IF(OR(D3404="",F3404=""),"",F3404*I3404-N(H3404))</f>
        <v/>
      </c>
      <c r="K3404" s="16">
        <f>IF(OR(D3404="",F3404=""),"",F3404*IFERROR(INDEX('Sản phẩm'!$D$5:$D$304,MATCH(D3404,'Sản phẩm'!$A$5:$A$304,0)),""))</f>
        <v/>
      </c>
      <c r="L3404" s="16">
        <f>IF(J3404="","",J3404-K3404)</f>
        <v/>
      </c>
      <c r="M3404" s="14">
        <f>IF(A3404="","",MONTH(A3404))</f>
        <v/>
      </c>
      <c r="N3404" s="14">
        <f>IF(A3404="","",YEAR(A3404))</f>
        <v/>
      </c>
    </row>
    <row r="3405">
      <c r="A3405" s="15" t="n"/>
      <c r="B3405" s="10" t="n"/>
      <c r="C3405" s="10" t="n"/>
      <c r="D3405" s="10" t="n"/>
      <c r="E3405" s="14">
        <f>IF(D3405="","",IFERROR(INDEX('Sản phẩm'!$B$5:$B$304,MATCH(D3405,'Sản phẩm'!$A$5:$A$304,0)),""))</f>
        <v/>
      </c>
      <c r="F3405" s="12" t="n"/>
      <c r="G3405" s="11" t="n"/>
      <c r="H3405" s="11" t="n"/>
      <c r="I3405" s="16">
        <f>IF(D3405="","",IF(G3405&lt;&gt;"",G3405,IFERROR(INDEX('Sản phẩm'!$E$5:$E$304,MATCH(D3405,'Sản phẩm'!$A$5:$A$304,0)),"")))</f>
        <v/>
      </c>
      <c r="J3405" s="16">
        <f>IF(OR(D3405="",F3405=""),"",F3405*I3405-N(H3405))</f>
        <v/>
      </c>
      <c r="K3405" s="16">
        <f>IF(OR(D3405="",F3405=""),"",F3405*IFERROR(INDEX('Sản phẩm'!$D$5:$D$304,MATCH(D3405,'Sản phẩm'!$A$5:$A$304,0)),""))</f>
        <v/>
      </c>
      <c r="L3405" s="16">
        <f>IF(J3405="","",J3405-K3405)</f>
        <v/>
      </c>
      <c r="M3405" s="14">
        <f>IF(A3405="","",MONTH(A3405))</f>
        <v/>
      </c>
      <c r="N3405" s="14">
        <f>IF(A3405="","",YEAR(A3405))</f>
        <v/>
      </c>
    </row>
    <row r="3406">
      <c r="A3406" s="15" t="n"/>
      <c r="B3406" s="10" t="n"/>
      <c r="C3406" s="10" t="n"/>
      <c r="D3406" s="10" t="n"/>
      <c r="E3406" s="14">
        <f>IF(D3406="","",IFERROR(INDEX('Sản phẩm'!$B$5:$B$304,MATCH(D3406,'Sản phẩm'!$A$5:$A$304,0)),""))</f>
        <v/>
      </c>
      <c r="F3406" s="12" t="n"/>
      <c r="G3406" s="11" t="n"/>
      <c r="H3406" s="11" t="n"/>
      <c r="I3406" s="16">
        <f>IF(D3406="","",IF(G3406&lt;&gt;"",G3406,IFERROR(INDEX('Sản phẩm'!$E$5:$E$304,MATCH(D3406,'Sản phẩm'!$A$5:$A$304,0)),"")))</f>
        <v/>
      </c>
      <c r="J3406" s="16">
        <f>IF(OR(D3406="",F3406=""),"",F3406*I3406-N(H3406))</f>
        <v/>
      </c>
      <c r="K3406" s="16">
        <f>IF(OR(D3406="",F3406=""),"",F3406*IFERROR(INDEX('Sản phẩm'!$D$5:$D$304,MATCH(D3406,'Sản phẩm'!$A$5:$A$304,0)),""))</f>
        <v/>
      </c>
      <c r="L3406" s="16">
        <f>IF(J3406="","",J3406-K3406)</f>
        <v/>
      </c>
      <c r="M3406" s="14">
        <f>IF(A3406="","",MONTH(A3406))</f>
        <v/>
      </c>
      <c r="N3406" s="14">
        <f>IF(A3406="","",YEAR(A3406))</f>
        <v/>
      </c>
    </row>
    <row r="3407">
      <c r="A3407" s="15" t="n"/>
      <c r="B3407" s="10" t="n"/>
      <c r="C3407" s="10" t="n"/>
      <c r="D3407" s="10" t="n"/>
      <c r="E3407" s="14">
        <f>IF(D3407="","",IFERROR(INDEX('Sản phẩm'!$B$5:$B$304,MATCH(D3407,'Sản phẩm'!$A$5:$A$304,0)),""))</f>
        <v/>
      </c>
      <c r="F3407" s="12" t="n"/>
      <c r="G3407" s="11" t="n"/>
      <c r="H3407" s="11" t="n"/>
      <c r="I3407" s="16">
        <f>IF(D3407="","",IF(G3407&lt;&gt;"",G3407,IFERROR(INDEX('Sản phẩm'!$E$5:$E$304,MATCH(D3407,'Sản phẩm'!$A$5:$A$304,0)),"")))</f>
        <v/>
      </c>
      <c r="J3407" s="16">
        <f>IF(OR(D3407="",F3407=""),"",F3407*I3407-N(H3407))</f>
        <v/>
      </c>
      <c r="K3407" s="16">
        <f>IF(OR(D3407="",F3407=""),"",F3407*IFERROR(INDEX('Sản phẩm'!$D$5:$D$304,MATCH(D3407,'Sản phẩm'!$A$5:$A$304,0)),""))</f>
        <v/>
      </c>
      <c r="L3407" s="16">
        <f>IF(J3407="","",J3407-K3407)</f>
        <v/>
      </c>
      <c r="M3407" s="14">
        <f>IF(A3407="","",MONTH(A3407))</f>
        <v/>
      </c>
      <c r="N3407" s="14">
        <f>IF(A3407="","",YEAR(A3407))</f>
        <v/>
      </c>
    </row>
    <row r="3408">
      <c r="A3408" s="15" t="n"/>
      <c r="B3408" s="10" t="n"/>
      <c r="C3408" s="10" t="n"/>
      <c r="D3408" s="10" t="n"/>
      <c r="E3408" s="14">
        <f>IF(D3408="","",IFERROR(INDEX('Sản phẩm'!$B$5:$B$304,MATCH(D3408,'Sản phẩm'!$A$5:$A$304,0)),""))</f>
        <v/>
      </c>
      <c r="F3408" s="12" t="n"/>
      <c r="G3408" s="11" t="n"/>
      <c r="H3408" s="11" t="n"/>
      <c r="I3408" s="16">
        <f>IF(D3408="","",IF(G3408&lt;&gt;"",G3408,IFERROR(INDEX('Sản phẩm'!$E$5:$E$304,MATCH(D3408,'Sản phẩm'!$A$5:$A$304,0)),"")))</f>
        <v/>
      </c>
      <c r="J3408" s="16">
        <f>IF(OR(D3408="",F3408=""),"",F3408*I3408-N(H3408))</f>
        <v/>
      </c>
      <c r="K3408" s="16">
        <f>IF(OR(D3408="",F3408=""),"",F3408*IFERROR(INDEX('Sản phẩm'!$D$5:$D$304,MATCH(D3408,'Sản phẩm'!$A$5:$A$304,0)),""))</f>
        <v/>
      </c>
      <c r="L3408" s="16">
        <f>IF(J3408="","",J3408-K3408)</f>
        <v/>
      </c>
      <c r="M3408" s="14">
        <f>IF(A3408="","",MONTH(A3408))</f>
        <v/>
      </c>
      <c r="N3408" s="14">
        <f>IF(A3408="","",YEAR(A3408))</f>
        <v/>
      </c>
    </row>
    <row r="3409">
      <c r="A3409" s="15" t="n"/>
      <c r="B3409" s="10" t="n"/>
      <c r="C3409" s="10" t="n"/>
      <c r="D3409" s="10" t="n"/>
      <c r="E3409" s="14">
        <f>IF(D3409="","",IFERROR(INDEX('Sản phẩm'!$B$5:$B$304,MATCH(D3409,'Sản phẩm'!$A$5:$A$304,0)),""))</f>
        <v/>
      </c>
      <c r="F3409" s="12" t="n"/>
      <c r="G3409" s="11" t="n"/>
      <c r="H3409" s="11" t="n"/>
      <c r="I3409" s="16">
        <f>IF(D3409="","",IF(G3409&lt;&gt;"",G3409,IFERROR(INDEX('Sản phẩm'!$E$5:$E$304,MATCH(D3409,'Sản phẩm'!$A$5:$A$304,0)),"")))</f>
        <v/>
      </c>
      <c r="J3409" s="16">
        <f>IF(OR(D3409="",F3409=""),"",F3409*I3409-N(H3409))</f>
        <v/>
      </c>
      <c r="K3409" s="16">
        <f>IF(OR(D3409="",F3409=""),"",F3409*IFERROR(INDEX('Sản phẩm'!$D$5:$D$304,MATCH(D3409,'Sản phẩm'!$A$5:$A$304,0)),""))</f>
        <v/>
      </c>
      <c r="L3409" s="16">
        <f>IF(J3409="","",J3409-K3409)</f>
        <v/>
      </c>
      <c r="M3409" s="14">
        <f>IF(A3409="","",MONTH(A3409))</f>
        <v/>
      </c>
      <c r="N3409" s="14">
        <f>IF(A3409="","",YEAR(A3409))</f>
        <v/>
      </c>
    </row>
    <row r="3410">
      <c r="A3410" s="15" t="n"/>
      <c r="B3410" s="10" t="n"/>
      <c r="C3410" s="10" t="n"/>
      <c r="D3410" s="10" t="n"/>
      <c r="E3410" s="14">
        <f>IF(D3410="","",IFERROR(INDEX('Sản phẩm'!$B$5:$B$304,MATCH(D3410,'Sản phẩm'!$A$5:$A$304,0)),""))</f>
        <v/>
      </c>
      <c r="F3410" s="12" t="n"/>
      <c r="G3410" s="11" t="n"/>
      <c r="H3410" s="11" t="n"/>
      <c r="I3410" s="16">
        <f>IF(D3410="","",IF(G3410&lt;&gt;"",G3410,IFERROR(INDEX('Sản phẩm'!$E$5:$E$304,MATCH(D3410,'Sản phẩm'!$A$5:$A$304,0)),"")))</f>
        <v/>
      </c>
      <c r="J3410" s="16">
        <f>IF(OR(D3410="",F3410=""),"",F3410*I3410-N(H3410))</f>
        <v/>
      </c>
      <c r="K3410" s="16">
        <f>IF(OR(D3410="",F3410=""),"",F3410*IFERROR(INDEX('Sản phẩm'!$D$5:$D$304,MATCH(D3410,'Sản phẩm'!$A$5:$A$304,0)),""))</f>
        <v/>
      </c>
      <c r="L3410" s="16">
        <f>IF(J3410="","",J3410-K3410)</f>
        <v/>
      </c>
      <c r="M3410" s="14">
        <f>IF(A3410="","",MONTH(A3410))</f>
        <v/>
      </c>
      <c r="N3410" s="14">
        <f>IF(A3410="","",YEAR(A3410))</f>
        <v/>
      </c>
    </row>
    <row r="3411">
      <c r="A3411" s="15" t="n"/>
      <c r="B3411" s="10" t="n"/>
      <c r="C3411" s="10" t="n"/>
      <c r="D3411" s="10" t="n"/>
      <c r="E3411" s="14">
        <f>IF(D3411="","",IFERROR(INDEX('Sản phẩm'!$B$5:$B$304,MATCH(D3411,'Sản phẩm'!$A$5:$A$304,0)),""))</f>
        <v/>
      </c>
      <c r="F3411" s="12" t="n"/>
      <c r="G3411" s="11" t="n"/>
      <c r="H3411" s="11" t="n"/>
      <c r="I3411" s="16">
        <f>IF(D3411="","",IF(G3411&lt;&gt;"",G3411,IFERROR(INDEX('Sản phẩm'!$E$5:$E$304,MATCH(D3411,'Sản phẩm'!$A$5:$A$304,0)),"")))</f>
        <v/>
      </c>
      <c r="J3411" s="16">
        <f>IF(OR(D3411="",F3411=""),"",F3411*I3411-N(H3411))</f>
        <v/>
      </c>
      <c r="K3411" s="16">
        <f>IF(OR(D3411="",F3411=""),"",F3411*IFERROR(INDEX('Sản phẩm'!$D$5:$D$304,MATCH(D3411,'Sản phẩm'!$A$5:$A$304,0)),""))</f>
        <v/>
      </c>
      <c r="L3411" s="16">
        <f>IF(J3411="","",J3411-K3411)</f>
        <v/>
      </c>
      <c r="M3411" s="14">
        <f>IF(A3411="","",MONTH(A3411))</f>
        <v/>
      </c>
      <c r="N3411" s="14">
        <f>IF(A3411="","",YEAR(A3411))</f>
        <v/>
      </c>
    </row>
    <row r="3412">
      <c r="A3412" s="15" t="n"/>
      <c r="B3412" s="10" t="n"/>
      <c r="C3412" s="10" t="n"/>
      <c r="D3412" s="10" t="n"/>
      <c r="E3412" s="14">
        <f>IF(D3412="","",IFERROR(INDEX('Sản phẩm'!$B$5:$B$304,MATCH(D3412,'Sản phẩm'!$A$5:$A$304,0)),""))</f>
        <v/>
      </c>
      <c r="F3412" s="12" t="n"/>
      <c r="G3412" s="11" t="n"/>
      <c r="H3412" s="11" t="n"/>
      <c r="I3412" s="16">
        <f>IF(D3412="","",IF(G3412&lt;&gt;"",G3412,IFERROR(INDEX('Sản phẩm'!$E$5:$E$304,MATCH(D3412,'Sản phẩm'!$A$5:$A$304,0)),"")))</f>
        <v/>
      </c>
      <c r="J3412" s="16">
        <f>IF(OR(D3412="",F3412=""),"",F3412*I3412-N(H3412))</f>
        <v/>
      </c>
      <c r="K3412" s="16">
        <f>IF(OR(D3412="",F3412=""),"",F3412*IFERROR(INDEX('Sản phẩm'!$D$5:$D$304,MATCH(D3412,'Sản phẩm'!$A$5:$A$304,0)),""))</f>
        <v/>
      </c>
      <c r="L3412" s="16">
        <f>IF(J3412="","",J3412-K3412)</f>
        <v/>
      </c>
      <c r="M3412" s="14">
        <f>IF(A3412="","",MONTH(A3412))</f>
        <v/>
      </c>
      <c r="N3412" s="14">
        <f>IF(A3412="","",YEAR(A3412))</f>
        <v/>
      </c>
    </row>
    <row r="3413">
      <c r="A3413" s="15" t="n"/>
      <c r="B3413" s="10" t="n"/>
      <c r="C3413" s="10" t="n"/>
      <c r="D3413" s="10" t="n"/>
      <c r="E3413" s="14">
        <f>IF(D3413="","",IFERROR(INDEX('Sản phẩm'!$B$5:$B$304,MATCH(D3413,'Sản phẩm'!$A$5:$A$304,0)),""))</f>
        <v/>
      </c>
      <c r="F3413" s="12" t="n"/>
      <c r="G3413" s="11" t="n"/>
      <c r="H3413" s="11" t="n"/>
      <c r="I3413" s="16">
        <f>IF(D3413="","",IF(G3413&lt;&gt;"",G3413,IFERROR(INDEX('Sản phẩm'!$E$5:$E$304,MATCH(D3413,'Sản phẩm'!$A$5:$A$304,0)),"")))</f>
        <v/>
      </c>
      <c r="J3413" s="16">
        <f>IF(OR(D3413="",F3413=""),"",F3413*I3413-N(H3413))</f>
        <v/>
      </c>
      <c r="K3413" s="16">
        <f>IF(OR(D3413="",F3413=""),"",F3413*IFERROR(INDEX('Sản phẩm'!$D$5:$D$304,MATCH(D3413,'Sản phẩm'!$A$5:$A$304,0)),""))</f>
        <v/>
      </c>
      <c r="L3413" s="16">
        <f>IF(J3413="","",J3413-K3413)</f>
        <v/>
      </c>
      <c r="M3413" s="14">
        <f>IF(A3413="","",MONTH(A3413))</f>
        <v/>
      </c>
      <c r="N3413" s="14">
        <f>IF(A3413="","",YEAR(A3413))</f>
        <v/>
      </c>
    </row>
    <row r="3414">
      <c r="A3414" s="15" t="n"/>
      <c r="B3414" s="10" t="n"/>
      <c r="C3414" s="10" t="n"/>
      <c r="D3414" s="10" t="n"/>
      <c r="E3414" s="14">
        <f>IF(D3414="","",IFERROR(INDEX('Sản phẩm'!$B$5:$B$304,MATCH(D3414,'Sản phẩm'!$A$5:$A$304,0)),""))</f>
        <v/>
      </c>
      <c r="F3414" s="12" t="n"/>
      <c r="G3414" s="11" t="n"/>
      <c r="H3414" s="11" t="n"/>
      <c r="I3414" s="16">
        <f>IF(D3414="","",IF(G3414&lt;&gt;"",G3414,IFERROR(INDEX('Sản phẩm'!$E$5:$E$304,MATCH(D3414,'Sản phẩm'!$A$5:$A$304,0)),"")))</f>
        <v/>
      </c>
      <c r="J3414" s="16">
        <f>IF(OR(D3414="",F3414=""),"",F3414*I3414-N(H3414))</f>
        <v/>
      </c>
      <c r="K3414" s="16">
        <f>IF(OR(D3414="",F3414=""),"",F3414*IFERROR(INDEX('Sản phẩm'!$D$5:$D$304,MATCH(D3414,'Sản phẩm'!$A$5:$A$304,0)),""))</f>
        <v/>
      </c>
      <c r="L3414" s="16">
        <f>IF(J3414="","",J3414-K3414)</f>
        <v/>
      </c>
      <c r="M3414" s="14">
        <f>IF(A3414="","",MONTH(A3414))</f>
        <v/>
      </c>
      <c r="N3414" s="14">
        <f>IF(A3414="","",YEAR(A3414))</f>
        <v/>
      </c>
    </row>
    <row r="3415">
      <c r="A3415" s="15" t="n"/>
      <c r="B3415" s="10" t="n"/>
      <c r="C3415" s="10" t="n"/>
      <c r="D3415" s="10" t="n"/>
      <c r="E3415" s="14">
        <f>IF(D3415="","",IFERROR(INDEX('Sản phẩm'!$B$5:$B$304,MATCH(D3415,'Sản phẩm'!$A$5:$A$304,0)),""))</f>
        <v/>
      </c>
      <c r="F3415" s="12" t="n"/>
      <c r="G3415" s="11" t="n"/>
      <c r="H3415" s="11" t="n"/>
      <c r="I3415" s="16">
        <f>IF(D3415="","",IF(G3415&lt;&gt;"",G3415,IFERROR(INDEX('Sản phẩm'!$E$5:$E$304,MATCH(D3415,'Sản phẩm'!$A$5:$A$304,0)),"")))</f>
        <v/>
      </c>
      <c r="J3415" s="16">
        <f>IF(OR(D3415="",F3415=""),"",F3415*I3415-N(H3415))</f>
        <v/>
      </c>
      <c r="K3415" s="16">
        <f>IF(OR(D3415="",F3415=""),"",F3415*IFERROR(INDEX('Sản phẩm'!$D$5:$D$304,MATCH(D3415,'Sản phẩm'!$A$5:$A$304,0)),""))</f>
        <v/>
      </c>
      <c r="L3415" s="16">
        <f>IF(J3415="","",J3415-K3415)</f>
        <v/>
      </c>
      <c r="M3415" s="14">
        <f>IF(A3415="","",MONTH(A3415))</f>
        <v/>
      </c>
      <c r="N3415" s="14">
        <f>IF(A3415="","",YEAR(A3415))</f>
        <v/>
      </c>
    </row>
    <row r="3416">
      <c r="A3416" s="15" t="n"/>
      <c r="B3416" s="10" t="n"/>
      <c r="C3416" s="10" t="n"/>
      <c r="D3416" s="10" t="n"/>
      <c r="E3416" s="14">
        <f>IF(D3416="","",IFERROR(INDEX('Sản phẩm'!$B$5:$B$304,MATCH(D3416,'Sản phẩm'!$A$5:$A$304,0)),""))</f>
        <v/>
      </c>
      <c r="F3416" s="12" t="n"/>
      <c r="G3416" s="11" t="n"/>
      <c r="H3416" s="11" t="n"/>
      <c r="I3416" s="16">
        <f>IF(D3416="","",IF(G3416&lt;&gt;"",G3416,IFERROR(INDEX('Sản phẩm'!$E$5:$E$304,MATCH(D3416,'Sản phẩm'!$A$5:$A$304,0)),"")))</f>
        <v/>
      </c>
      <c r="J3416" s="16">
        <f>IF(OR(D3416="",F3416=""),"",F3416*I3416-N(H3416))</f>
        <v/>
      </c>
      <c r="K3416" s="16">
        <f>IF(OR(D3416="",F3416=""),"",F3416*IFERROR(INDEX('Sản phẩm'!$D$5:$D$304,MATCH(D3416,'Sản phẩm'!$A$5:$A$304,0)),""))</f>
        <v/>
      </c>
      <c r="L3416" s="16">
        <f>IF(J3416="","",J3416-K3416)</f>
        <v/>
      </c>
      <c r="M3416" s="14">
        <f>IF(A3416="","",MONTH(A3416))</f>
        <v/>
      </c>
      <c r="N3416" s="14">
        <f>IF(A3416="","",YEAR(A3416))</f>
        <v/>
      </c>
    </row>
    <row r="3417">
      <c r="A3417" s="15" t="n"/>
      <c r="B3417" s="10" t="n"/>
      <c r="C3417" s="10" t="n"/>
      <c r="D3417" s="10" t="n"/>
      <c r="E3417" s="14">
        <f>IF(D3417="","",IFERROR(INDEX('Sản phẩm'!$B$5:$B$304,MATCH(D3417,'Sản phẩm'!$A$5:$A$304,0)),""))</f>
        <v/>
      </c>
      <c r="F3417" s="12" t="n"/>
      <c r="G3417" s="11" t="n"/>
      <c r="H3417" s="11" t="n"/>
      <c r="I3417" s="16">
        <f>IF(D3417="","",IF(G3417&lt;&gt;"",G3417,IFERROR(INDEX('Sản phẩm'!$E$5:$E$304,MATCH(D3417,'Sản phẩm'!$A$5:$A$304,0)),"")))</f>
        <v/>
      </c>
      <c r="J3417" s="16">
        <f>IF(OR(D3417="",F3417=""),"",F3417*I3417-N(H3417))</f>
        <v/>
      </c>
      <c r="K3417" s="16">
        <f>IF(OR(D3417="",F3417=""),"",F3417*IFERROR(INDEX('Sản phẩm'!$D$5:$D$304,MATCH(D3417,'Sản phẩm'!$A$5:$A$304,0)),""))</f>
        <v/>
      </c>
      <c r="L3417" s="16">
        <f>IF(J3417="","",J3417-K3417)</f>
        <v/>
      </c>
      <c r="M3417" s="14">
        <f>IF(A3417="","",MONTH(A3417))</f>
        <v/>
      </c>
      <c r="N3417" s="14">
        <f>IF(A3417="","",YEAR(A3417))</f>
        <v/>
      </c>
    </row>
    <row r="3418">
      <c r="A3418" s="15" t="n"/>
      <c r="B3418" s="10" t="n"/>
      <c r="C3418" s="10" t="n"/>
      <c r="D3418" s="10" t="n"/>
      <c r="E3418" s="14">
        <f>IF(D3418="","",IFERROR(INDEX('Sản phẩm'!$B$5:$B$304,MATCH(D3418,'Sản phẩm'!$A$5:$A$304,0)),""))</f>
        <v/>
      </c>
      <c r="F3418" s="12" t="n"/>
      <c r="G3418" s="11" t="n"/>
      <c r="H3418" s="11" t="n"/>
      <c r="I3418" s="16">
        <f>IF(D3418="","",IF(G3418&lt;&gt;"",G3418,IFERROR(INDEX('Sản phẩm'!$E$5:$E$304,MATCH(D3418,'Sản phẩm'!$A$5:$A$304,0)),"")))</f>
        <v/>
      </c>
      <c r="J3418" s="16">
        <f>IF(OR(D3418="",F3418=""),"",F3418*I3418-N(H3418))</f>
        <v/>
      </c>
      <c r="K3418" s="16">
        <f>IF(OR(D3418="",F3418=""),"",F3418*IFERROR(INDEX('Sản phẩm'!$D$5:$D$304,MATCH(D3418,'Sản phẩm'!$A$5:$A$304,0)),""))</f>
        <v/>
      </c>
      <c r="L3418" s="16">
        <f>IF(J3418="","",J3418-K3418)</f>
        <v/>
      </c>
      <c r="M3418" s="14">
        <f>IF(A3418="","",MONTH(A3418))</f>
        <v/>
      </c>
      <c r="N3418" s="14">
        <f>IF(A3418="","",YEAR(A3418))</f>
        <v/>
      </c>
    </row>
    <row r="3419">
      <c r="A3419" s="15" t="n"/>
      <c r="B3419" s="10" t="n"/>
      <c r="C3419" s="10" t="n"/>
      <c r="D3419" s="10" t="n"/>
      <c r="E3419" s="14">
        <f>IF(D3419="","",IFERROR(INDEX('Sản phẩm'!$B$5:$B$304,MATCH(D3419,'Sản phẩm'!$A$5:$A$304,0)),""))</f>
        <v/>
      </c>
      <c r="F3419" s="12" t="n"/>
      <c r="G3419" s="11" t="n"/>
      <c r="H3419" s="11" t="n"/>
      <c r="I3419" s="16">
        <f>IF(D3419="","",IF(G3419&lt;&gt;"",G3419,IFERROR(INDEX('Sản phẩm'!$E$5:$E$304,MATCH(D3419,'Sản phẩm'!$A$5:$A$304,0)),"")))</f>
        <v/>
      </c>
      <c r="J3419" s="16">
        <f>IF(OR(D3419="",F3419=""),"",F3419*I3419-N(H3419))</f>
        <v/>
      </c>
      <c r="K3419" s="16">
        <f>IF(OR(D3419="",F3419=""),"",F3419*IFERROR(INDEX('Sản phẩm'!$D$5:$D$304,MATCH(D3419,'Sản phẩm'!$A$5:$A$304,0)),""))</f>
        <v/>
      </c>
      <c r="L3419" s="16">
        <f>IF(J3419="","",J3419-K3419)</f>
        <v/>
      </c>
      <c r="M3419" s="14">
        <f>IF(A3419="","",MONTH(A3419))</f>
        <v/>
      </c>
      <c r="N3419" s="14">
        <f>IF(A3419="","",YEAR(A3419))</f>
        <v/>
      </c>
    </row>
    <row r="3420">
      <c r="A3420" s="15" t="n"/>
      <c r="B3420" s="10" t="n"/>
      <c r="C3420" s="10" t="n"/>
      <c r="D3420" s="10" t="n"/>
      <c r="E3420" s="14">
        <f>IF(D3420="","",IFERROR(INDEX('Sản phẩm'!$B$5:$B$304,MATCH(D3420,'Sản phẩm'!$A$5:$A$304,0)),""))</f>
        <v/>
      </c>
      <c r="F3420" s="12" t="n"/>
      <c r="G3420" s="11" t="n"/>
      <c r="H3420" s="11" t="n"/>
      <c r="I3420" s="16">
        <f>IF(D3420="","",IF(G3420&lt;&gt;"",G3420,IFERROR(INDEX('Sản phẩm'!$E$5:$E$304,MATCH(D3420,'Sản phẩm'!$A$5:$A$304,0)),"")))</f>
        <v/>
      </c>
      <c r="J3420" s="16">
        <f>IF(OR(D3420="",F3420=""),"",F3420*I3420-N(H3420))</f>
        <v/>
      </c>
      <c r="K3420" s="16">
        <f>IF(OR(D3420="",F3420=""),"",F3420*IFERROR(INDEX('Sản phẩm'!$D$5:$D$304,MATCH(D3420,'Sản phẩm'!$A$5:$A$304,0)),""))</f>
        <v/>
      </c>
      <c r="L3420" s="16">
        <f>IF(J3420="","",J3420-K3420)</f>
        <v/>
      </c>
      <c r="M3420" s="14">
        <f>IF(A3420="","",MONTH(A3420))</f>
        <v/>
      </c>
      <c r="N3420" s="14">
        <f>IF(A3420="","",YEAR(A3420))</f>
        <v/>
      </c>
    </row>
    <row r="3421">
      <c r="A3421" s="15" t="n"/>
      <c r="B3421" s="10" t="n"/>
      <c r="C3421" s="10" t="n"/>
      <c r="D3421" s="10" t="n"/>
      <c r="E3421" s="14">
        <f>IF(D3421="","",IFERROR(INDEX('Sản phẩm'!$B$5:$B$304,MATCH(D3421,'Sản phẩm'!$A$5:$A$304,0)),""))</f>
        <v/>
      </c>
      <c r="F3421" s="12" t="n"/>
      <c r="G3421" s="11" t="n"/>
      <c r="H3421" s="11" t="n"/>
      <c r="I3421" s="16">
        <f>IF(D3421="","",IF(G3421&lt;&gt;"",G3421,IFERROR(INDEX('Sản phẩm'!$E$5:$E$304,MATCH(D3421,'Sản phẩm'!$A$5:$A$304,0)),"")))</f>
        <v/>
      </c>
      <c r="J3421" s="16">
        <f>IF(OR(D3421="",F3421=""),"",F3421*I3421-N(H3421))</f>
        <v/>
      </c>
      <c r="K3421" s="16">
        <f>IF(OR(D3421="",F3421=""),"",F3421*IFERROR(INDEX('Sản phẩm'!$D$5:$D$304,MATCH(D3421,'Sản phẩm'!$A$5:$A$304,0)),""))</f>
        <v/>
      </c>
      <c r="L3421" s="16">
        <f>IF(J3421="","",J3421-K3421)</f>
        <v/>
      </c>
      <c r="M3421" s="14">
        <f>IF(A3421="","",MONTH(A3421))</f>
        <v/>
      </c>
      <c r="N3421" s="14">
        <f>IF(A3421="","",YEAR(A3421))</f>
        <v/>
      </c>
    </row>
    <row r="3422">
      <c r="A3422" s="15" t="n"/>
      <c r="B3422" s="10" t="n"/>
      <c r="C3422" s="10" t="n"/>
      <c r="D3422" s="10" t="n"/>
      <c r="E3422" s="14">
        <f>IF(D3422="","",IFERROR(INDEX('Sản phẩm'!$B$5:$B$304,MATCH(D3422,'Sản phẩm'!$A$5:$A$304,0)),""))</f>
        <v/>
      </c>
      <c r="F3422" s="12" t="n"/>
      <c r="G3422" s="11" t="n"/>
      <c r="H3422" s="11" t="n"/>
      <c r="I3422" s="16">
        <f>IF(D3422="","",IF(G3422&lt;&gt;"",G3422,IFERROR(INDEX('Sản phẩm'!$E$5:$E$304,MATCH(D3422,'Sản phẩm'!$A$5:$A$304,0)),"")))</f>
        <v/>
      </c>
      <c r="J3422" s="16">
        <f>IF(OR(D3422="",F3422=""),"",F3422*I3422-N(H3422))</f>
        <v/>
      </c>
      <c r="K3422" s="16">
        <f>IF(OR(D3422="",F3422=""),"",F3422*IFERROR(INDEX('Sản phẩm'!$D$5:$D$304,MATCH(D3422,'Sản phẩm'!$A$5:$A$304,0)),""))</f>
        <v/>
      </c>
      <c r="L3422" s="16">
        <f>IF(J3422="","",J3422-K3422)</f>
        <v/>
      </c>
      <c r="M3422" s="14">
        <f>IF(A3422="","",MONTH(A3422))</f>
        <v/>
      </c>
      <c r="N3422" s="14">
        <f>IF(A3422="","",YEAR(A3422))</f>
        <v/>
      </c>
    </row>
    <row r="3423">
      <c r="A3423" s="15" t="n"/>
      <c r="B3423" s="10" t="n"/>
      <c r="C3423" s="10" t="n"/>
      <c r="D3423" s="10" t="n"/>
      <c r="E3423" s="14">
        <f>IF(D3423="","",IFERROR(INDEX('Sản phẩm'!$B$5:$B$304,MATCH(D3423,'Sản phẩm'!$A$5:$A$304,0)),""))</f>
        <v/>
      </c>
      <c r="F3423" s="12" t="n"/>
      <c r="G3423" s="11" t="n"/>
      <c r="H3423" s="11" t="n"/>
      <c r="I3423" s="16">
        <f>IF(D3423="","",IF(G3423&lt;&gt;"",G3423,IFERROR(INDEX('Sản phẩm'!$E$5:$E$304,MATCH(D3423,'Sản phẩm'!$A$5:$A$304,0)),"")))</f>
        <v/>
      </c>
      <c r="J3423" s="16">
        <f>IF(OR(D3423="",F3423=""),"",F3423*I3423-N(H3423))</f>
        <v/>
      </c>
      <c r="K3423" s="16">
        <f>IF(OR(D3423="",F3423=""),"",F3423*IFERROR(INDEX('Sản phẩm'!$D$5:$D$304,MATCH(D3423,'Sản phẩm'!$A$5:$A$304,0)),""))</f>
        <v/>
      </c>
      <c r="L3423" s="16">
        <f>IF(J3423="","",J3423-K3423)</f>
        <v/>
      </c>
      <c r="M3423" s="14">
        <f>IF(A3423="","",MONTH(A3423))</f>
        <v/>
      </c>
      <c r="N3423" s="14">
        <f>IF(A3423="","",YEAR(A3423))</f>
        <v/>
      </c>
    </row>
    <row r="3424">
      <c r="A3424" s="15" t="n"/>
      <c r="B3424" s="10" t="n"/>
      <c r="C3424" s="10" t="n"/>
      <c r="D3424" s="10" t="n"/>
      <c r="E3424" s="14">
        <f>IF(D3424="","",IFERROR(INDEX('Sản phẩm'!$B$5:$B$304,MATCH(D3424,'Sản phẩm'!$A$5:$A$304,0)),""))</f>
        <v/>
      </c>
      <c r="F3424" s="12" t="n"/>
      <c r="G3424" s="11" t="n"/>
      <c r="H3424" s="11" t="n"/>
      <c r="I3424" s="16">
        <f>IF(D3424="","",IF(G3424&lt;&gt;"",G3424,IFERROR(INDEX('Sản phẩm'!$E$5:$E$304,MATCH(D3424,'Sản phẩm'!$A$5:$A$304,0)),"")))</f>
        <v/>
      </c>
      <c r="J3424" s="16">
        <f>IF(OR(D3424="",F3424=""),"",F3424*I3424-N(H3424))</f>
        <v/>
      </c>
      <c r="K3424" s="16">
        <f>IF(OR(D3424="",F3424=""),"",F3424*IFERROR(INDEX('Sản phẩm'!$D$5:$D$304,MATCH(D3424,'Sản phẩm'!$A$5:$A$304,0)),""))</f>
        <v/>
      </c>
      <c r="L3424" s="16">
        <f>IF(J3424="","",J3424-K3424)</f>
        <v/>
      </c>
      <c r="M3424" s="14">
        <f>IF(A3424="","",MONTH(A3424))</f>
        <v/>
      </c>
      <c r="N3424" s="14">
        <f>IF(A3424="","",YEAR(A3424))</f>
        <v/>
      </c>
    </row>
    <row r="3425">
      <c r="A3425" s="15" t="n"/>
      <c r="B3425" s="10" t="n"/>
      <c r="C3425" s="10" t="n"/>
      <c r="D3425" s="10" t="n"/>
      <c r="E3425" s="14">
        <f>IF(D3425="","",IFERROR(INDEX('Sản phẩm'!$B$5:$B$304,MATCH(D3425,'Sản phẩm'!$A$5:$A$304,0)),""))</f>
        <v/>
      </c>
      <c r="F3425" s="12" t="n"/>
      <c r="G3425" s="11" t="n"/>
      <c r="H3425" s="11" t="n"/>
      <c r="I3425" s="16">
        <f>IF(D3425="","",IF(G3425&lt;&gt;"",G3425,IFERROR(INDEX('Sản phẩm'!$E$5:$E$304,MATCH(D3425,'Sản phẩm'!$A$5:$A$304,0)),"")))</f>
        <v/>
      </c>
      <c r="J3425" s="16">
        <f>IF(OR(D3425="",F3425=""),"",F3425*I3425-N(H3425))</f>
        <v/>
      </c>
      <c r="K3425" s="16">
        <f>IF(OR(D3425="",F3425=""),"",F3425*IFERROR(INDEX('Sản phẩm'!$D$5:$D$304,MATCH(D3425,'Sản phẩm'!$A$5:$A$304,0)),""))</f>
        <v/>
      </c>
      <c r="L3425" s="16">
        <f>IF(J3425="","",J3425-K3425)</f>
        <v/>
      </c>
      <c r="M3425" s="14">
        <f>IF(A3425="","",MONTH(A3425))</f>
        <v/>
      </c>
      <c r="N3425" s="14">
        <f>IF(A3425="","",YEAR(A3425))</f>
        <v/>
      </c>
    </row>
    <row r="3426">
      <c r="A3426" s="15" t="n"/>
      <c r="B3426" s="10" t="n"/>
      <c r="C3426" s="10" t="n"/>
      <c r="D3426" s="10" t="n"/>
      <c r="E3426" s="14">
        <f>IF(D3426="","",IFERROR(INDEX('Sản phẩm'!$B$5:$B$304,MATCH(D3426,'Sản phẩm'!$A$5:$A$304,0)),""))</f>
        <v/>
      </c>
      <c r="F3426" s="12" t="n"/>
      <c r="G3426" s="11" t="n"/>
      <c r="H3426" s="11" t="n"/>
      <c r="I3426" s="16">
        <f>IF(D3426="","",IF(G3426&lt;&gt;"",G3426,IFERROR(INDEX('Sản phẩm'!$E$5:$E$304,MATCH(D3426,'Sản phẩm'!$A$5:$A$304,0)),"")))</f>
        <v/>
      </c>
      <c r="J3426" s="16">
        <f>IF(OR(D3426="",F3426=""),"",F3426*I3426-N(H3426))</f>
        <v/>
      </c>
      <c r="K3426" s="16">
        <f>IF(OR(D3426="",F3426=""),"",F3426*IFERROR(INDEX('Sản phẩm'!$D$5:$D$304,MATCH(D3426,'Sản phẩm'!$A$5:$A$304,0)),""))</f>
        <v/>
      </c>
      <c r="L3426" s="16">
        <f>IF(J3426="","",J3426-K3426)</f>
        <v/>
      </c>
      <c r="M3426" s="14">
        <f>IF(A3426="","",MONTH(A3426))</f>
        <v/>
      </c>
      <c r="N3426" s="14">
        <f>IF(A3426="","",YEAR(A3426))</f>
        <v/>
      </c>
    </row>
    <row r="3427">
      <c r="A3427" s="15" t="n"/>
      <c r="B3427" s="10" t="n"/>
      <c r="C3427" s="10" t="n"/>
      <c r="D3427" s="10" t="n"/>
      <c r="E3427" s="14">
        <f>IF(D3427="","",IFERROR(INDEX('Sản phẩm'!$B$5:$B$304,MATCH(D3427,'Sản phẩm'!$A$5:$A$304,0)),""))</f>
        <v/>
      </c>
      <c r="F3427" s="12" t="n"/>
      <c r="G3427" s="11" t="n"/>
      <c r="H3427" s="11" t="n"/>
      <c r="I3427" s="16">
        <f>IF(D3427="","",IF(G3427&lt;&gt;"",G3427,IFERROR(INDEX('Sản phẩm'!$E$5:$E$304,MATCH(D3427,'Sản phẩm'!$A$5:$A$304,0)),"")))</f>
        <v/>
      </c>
      <c r="J3427" s="16">
        <f>IF(OR(D3427="",F3427=""),"",F3427*I3427-N(H3427))</f>
        <v/>
      </c>
      <c r="K3427" s="16">
        <f>IF(OR(D3427="",F3427=""),"",F3427*IFERROR(INDEX('Sản phẩm'!$D$5:$D$304,MATCH(D3427,'Sản phẩm'!$A$5:$A$304,0)),""))</f>
        <v/>
      </c>
      <c r="L3427" s="16">
        <f>IF(J3427="","",J3427-K3427)</f>
        <v/>
      </c>
      <c r="M3427" s="14">
        <f>IF(A3427="","",MONTH(A3427))</f>
        <v/>
      </c>
      <c r="N3427" s="14">
        <f>IF(A3427="","",YEAR(A3427))</f>
        <v/>
      </c>
    </row>
    <row r="3428">
      <c r="A3428" s="15" t="n"/>
      <c r="B3428" s="10" t="n"/>
      <c r="C3428" s="10" t="n"/>
      <c r="D3428" s="10" t="n"/>
      <c r="E3428" s="14">
        <f>IF(D3428="","",IFERROR(INDEX('Sản phẩm'!$B$5:$B$304,MATCH(D3428,'Sản phẩm'!$A$5:$A$304,0)),""))</f>
        <v/>
      </c>
      <c r="F3428" s="12" t="n"/>
      <c r="G3428" s="11" t="n"/>
      <c r="H3428" s="11" t="n"/>
      <c r="I3428" s="16">
        <f>IF(D3428="","",IF(G3428&lt;&gt;"",G3428,IFERROR(INDEX('Sản phẩm'!$E$5:$E$304,MATCH(D3428,'Sản phẩm'!$A$5:$A$304,0)),"")))</f>
        <v/>
      </c>
      <c r="J3428" s="16">
        <f>IF(OR(D3428="",F3428=""),"",F3428*I3428-N(H3428))</f>
        <v/>
      </c>
      <c r="K3428" s="16">
        <f>IF(OR(D3428="",F3428=""),"",F3428*IFERROR(INDEX('Sản phẩm'!$D$5:$D$304,MATCH(D3428,'Sản phẩm'!$A$5:$A$304,0)),""))</f>
        <v/>
      </c>
      <c r="L3428" s="16">
        <f>IF(J3428="","",J3428-K3428)</f>
        <v/>
      </c>
      <c r="M3428" s="14">
        <f>IF(A3428="","",MONTH(A3428))</f>
        <v/>
      </c>
      <c r="N3428" s="14">
        <f>IF(A3428="","",YEAR(A3428))</f>
        <v/>
      </c>
    </row>
    <row r="3429">
      <c r="A3429" s="15" t="n"/>
      <c r="B3429" s="10" t="n"/>
      <c r="C3429" s="10" t="n"/>
      <c r="D3429" s="10" t="n"/>
      <c r="E3429" s="14">
        <f>IF(D3429="","",IFERROR(INDEX('Sản phẩm'!$B$5:$B$304,MATCH(D3429,'Sản phẩm'!$A$5:$A$304,0)),""))</f>
        <v/>
      </c>
      <c r="F3429" s="12" t="n"/>
      <c r="G3429" s="11" t="n"/>
      <c r="H3429" s="11" t="n"/>
      <c r="I3429" s="16">
        <f>IF(D3429="","",IF(G3429&lt;&gt;"",G3429,IFERROR(INDEX('Sản phẩm'!$E$5:$E$304,MATCH(D3429,'Sản phẩm'!$A$5:$A$304,0)),"")))</f>
        <v/>
      </c>
      <c r="J3429" s="16">
        <f>IF(OR(D3429="",F3429=""),"",F3429*I3429-N(H3429))</f>
        <v/>
      </c>
      <c r="K3429" s="16">
        <f>IF(OR(D3429="",F3429=""),"",F3429*IFERROR(INDEX('Sản phẩm'!$D$5:$D$304,MATCH(D3429,'Sản phẩm'!$A$5:$A$304,0)),""))</f>
        <v/>
      </c>
      <c r="L3429" s="16">
        <f>IF(J3429="","",J3429-K3429)</f>
        <v/>
      </c>
      <c r="M3429" s="14">
        <f>IF(A3429="","",MONTH(A3429))</f>
        <v/>
      </c>
      <c r="N3429" s="14">
        <f>IF(A3429="","",YEAR(A3429))</f>
        <v/>
      </c>
    </row>
    <row r="3430">
      <c r="A3430" s="15" t="n"/>
      <c r="B3430" s="10" t="n"/>
      <c r="C3430" s="10" t="n"/>
      <c r="D3430" s="10" t="n"/>
      <c r="E3430" s="14">
        <f>IF(D3430="","",IFERROR(INDEX('Sản phẩm'!$B$5:$B$304,MATCH(D3430,'Sản phẩm'!$A$5:$A$304,0)),""))</f>
        <v/>
      </c>
      <c r="F3430" s="12" t="n"/>
      <c r="G3430" s="11" t="n"/>
      <c r="H3430" s="11" t="n"/>
      <c r="I3430" s="16">
        <f>IF(D3430="","",IF(G3430&lt;&gt;"",G3430,IFERROR(INDEX('Sản phẩm'!$E$5:$E$304,MATCH(D3430,'Sản phẩm'!$A$5:$A$304,0)),"")))</f>
        <v/>
      </c>
      <c r="J3430" s="16">
        <f>IF(OR(D3430="",F3430=""),"",F3430*I3430-N(H3430))</f>
        <v/>
      </c>
      <c r="K3430" s="16">
        <f>IF(OR(D3430="",F3430=""),"",F3430*IFERROR(INDEX('Sản phẩm'!$D$5:$D$304,MATCH(D3430,'Sản phẩm'!$A$5:$A$304,0)),""))</f>
        <v/>
      </c>
      <c r="L3430" s="16">
        <f>IF(J3430="","",J3430-K3430)</f>
        <v/>
      </c>
      <c r="M3430" s="14">
        <f>IF(A3430="","",MONTH(A3430))</f>
        <v/>
      </c>
      <c r="N3430" s="14">
        <f>IF(A3430="","",YEAR(A3430))</f>
        <v/>
      </c>
    </row>
    <row r="3431">
      <c r="A3431" s="15" t="n"/>
      <c r="B3431" s="10" t="n"/>
      <c r="C3431" s="10" t="n"/>
      <c r="D3431" s="10" t="n"/>
      <c r="E3431" s="14">
        <f>IF(D3431="","",IFERROR(INDEX('Sản phẩm'!$B$5:$B$304,MATCH(D3431,'Sản phẩm'!$A$5:$A$304,0)),""))</f>
        <v/>
      </c>
      <c r="F3431" s="12" t="n"/>
      <c r="G3431" s="11" t="n"/>
      <c r="H3431" s="11" t="n"/>
      <c r="I3431" s="16">
        <f>IF(D3431="","",IF(G3431&lt;&gt;"",G3431,IFERROR(INDEX('Sản phẩm'!$E$5:$E$304,MATCH(D3431,'Sản phẩm'!$A$5:$A$304,0)),"")))</f>
        <v/>
      </c>
      <c r="J3431" s="16">
        <f>IF(OR(D3431="",F3431=""),"",F3431*I3431-N(H3431))</f>
        <v/>
      </c>
      <c r="K3431" s="16">
        <f>IF(OR(D3431="",F3431=""),"",F3431*IFERROR(INDEX('Sản phẩm'!$D$5:$D$304,MATCH(D3431,'Sản phẩm'!$A$5:$A$304,0)),""))</f>
        <v/>
      </c>
      <c r="L3431" s="16">
        <f>IF(J3431="","",J3431-K3431)</f>
        <v/>
      </c>
      <c r="M3431" s="14">
        <f>IF(A3431="","",MONTH(A3431))</f>
        <v/>
      </c>
      <c r="N3431" s="14">
        <f>IF(A3431="","",YEAR(A3431))</f>
        <v/>
      </c>
    </row>
    <row r="3432">
      <c r="A3432" s="15" t="n"/>
      <c r="B3432" s="10" t="n"/>
      <c r="C3432" s="10" t="n"/>
      <c r="D3432" s="10" t="n"/>
      <c r="E3432" s="14">
        <f>IF(D3432="","",IFERROR(INDEX('Sản phẩm'!$B$5:$B$304,MATCH(D3432,'Sản phẩm'!$A$5:$A$304,0)),""))</f>
        <v/>
      </c>
      <c r="F3432" s="12" t="n"/>
      <c r="G3432" s="11" t="n"/>
      <c r="H3432" s="11" t="n"/>
      <c r="I3432" s="16">
        <f>IF(D3432="","",IF(G3432&lt;&gt;"",G3432,IFERROR(INDEX('Sản phẩm'!$E$5:$E$304,MATCH(D3432,'Sản phẩm'!$A$5:$A$304,0)),"")))</f>
        <v/>
      </c>
      <c r="J3432" s="16">
        <f>IF(OR(D3432="",F3432=""),"",F3432*I3432-N(H3432))</f>
        <v/>
      </c>
      <c r="K3432" s="16">
        <f>IF(OR(D3432="",F3432=""),"",F3432*IFERROR(INDEX('Sản phẩm'!$D$5:$D$304,MATCH(D3432,'Sản phẩm'!$A$5:$A$304,0)),""))</f>
        <v/>
      </c>
      <c r="L3432" s="16">
        <f>IF(J3432="","",J3432-K3432)</f>
        <v/>
      </c>
      <c r="M3432" s="14">
        <f>IF(A3432="","",MONTH(A3432))</f>
        <v/>
      </c>
      <c r="N3432" s="14">
        <f>IF(A3432="","",YEAR(A3432))</f>
        <v/>
      </c>
    </row>
    <row r="3433">
      <c r="A3433" s="15" t="n"/>
      <c r="B3433" s="10" t="n"/>
      <c r="C3433" s="10" t="n"/>
      <c r="D3433" s="10" t="n"/>
      <c r="E3433" s="14">
        <f>IF(D3433="","",IFERROR(INDEX('Sản phẩm'!$B$5:$B$304,MATCH(D3433,'Sản phẩm'!$A$5:$A$304,0)),""))</f>
        <v/>
      </c>
      <c r="F3433" s="12" t="n"/>
      <c r="G3433" s="11" t="n"/>
      <c r="H3433" s="11" t="n"/>
      <c r="I3433" s="16">
        <f>IF(D3433="","",IF(G3433&lt;&gt;"",G3433,IFERROR(INDEX('Sản phẩm'!$E$5:$E$304,MATCH(D3433,'Sản phẩm'!$A$5:$A$304,0)),"")))</f>
        <v/>
      </c>
      <c r="J3433" s="16">
        <f>IF(OR(D3433="",F3433=""),"",F3433*I3433-N(H3433))</f>
        <v/>
      </c>
      <c r="K3433" s="16">
        <f>IF(OR(D3433="",F3433=""),"",F3433*IFERROR(INDEX('Sản phẩm'!$D$5:$D$304,MATCH(D3433,'Sản phẩm'!$A$5:$A$304,0)),""))</f>
        <v/>
      </c>
      <c r="L3433" s="16">
        <f>IF(J3433="","",J3433-K3433)</f>
        <v/>
      </c>
      <c r="M3433" s="14">
        <f>IF(A3433="","",MONTH(A3433))</f>
        <v/>
      </c>
      <c r="N3433" s="14">
        <f>IF(A3433="","",YEAR(A3433))</f>
        <v/>
      </c>
    </row>
    <row r="3434">
      <c r="A3434" s="15" t="n"/>
      <c r="B3434" s="10" t="n"/>
      <c r="C3434" s="10" t="n"/>
      <c r="D3434" s="10" t="n"/>
      <c r="E3434" s="14">
        <f>IF(D3434="","",IFERROR(INDEX('Sản phẩm'!$B$5:$B$304,MATCH(D3434,'Sản phẩm'!$A$5:$A$304,0)),""))</f>
        <v/>
      </c>
      <c r="F3434" s="12" t="n"/>
      <c r="G3434" s="11" t="n"/>
      <c r="H3434" s="11" t="n"/>
      <c r="I3434" s="16">
        <f>IF(D3434="","",IF(G3434&lt;&gt;"",G3434,IFERROR(INDEX('Sản phẩm'!$E$5:$E$304,MATCH(D3434,'Sản phẩm'!$A$5:$A$304,0)),"")))</f>
        <v/>
      </c>
      <c r="J3434" s="16">
        <f>IF(OR(D3434="",F3434=""),"",F3434*I3434-N(H3434))</f>
        <v/>
      </c>
      <c r="K3434" s="16">
        <f>IF(OR(D3434="",F3434=""),"",F3434*IFERROR(INDEX('Sản phẩm'!$D$5:$D$304,MATCH(D3434,'Sản phẩm'!$A$5:$A$304,0)),""))</f>
        <v/>
      </c>
      <c r="L3434" s="16">
        <f>IF(J3434="","",J3434-K3434)</f>
        <v/>
      </c>
      <c r="M3434" s="14">
        <f>IF(A3434="","",MONTH(A3434))</f>
        <v/>
      </c>
      <c r="N3434" s="14">
        <f>IF(A3434="","",YEAR(A3434))</f>
        <v/>
      </c>
    </row>
    <row r="3435">
      <c r="A3435" s="15" t="n"/>
      <c r="B3435" s="10" t="n"/>
      <c r="C3435" s="10" t="n"/>
      <c r="D3435" s="10" t="n"/>
      <c r="E3435" s="14">
        <f>IF(D3435="","",IFERROR(INDEX('Sản phẩm'!$B$5:$B$304,MATCH(D3435,'Sản phẩm'!$A$5:$A$304,0)),""))</f>
        <v/>
      </c>
      <c r="F3435" s="12" t="n"/>
      <c r="G3435" s="11" t="n"/>
      <c r="H3435" s="11" t="n"/>
      <c r="I3435" s="16">
        <f>IF(D3435="","",IF(G3435&lt;&gt;"",G3435,IFERROR(INDEX('Sản phẩm'!$E$5:$E$304,MATCH(D3435,'Sản phẩm'!$A$5:$A$304,0)),"")))</f>
        <v/>
      </c>
      <c r="J3435" s="16">
        <f>IF(OR(D3435="",F3435=""),"",F3435*I3435-N(H3435))</f>
        <v/>
      </c>
      <c r="K3435" s="16">
        <f>IF(OR(D3435="",F3435=""),"",F3435*IFERROR(INDEX('Sản phẩm'!$D$5:$D$304,MATCH(D3435,'Sản phẩm'!$A$5:$A$304,0)),""))</f>
        <v/>
      </c>
      <c r="L3435" s="16">
        <f>IF(J3435="","",J3435-K3435)</f>
        <v/>
      </c>
      <c r="M3435" s="14">
        <f>IF(A3435="","",MONTH(A3435))</f>
        <v/>
      </c>
      <c r="N3435" s="14">
        <f>IF(A3435="","",YEAR(A3435))</f>
        <v/>
      </c>
    </row>
    <row r="3436">
      <c r="A3436" s="15" t="n"/>
      <c r="B3436" s="10" t="n"/>
      <c r="C3436" s="10" t="n"/>
      <c r="D3436" s="10" t="n"/>
      <c r="E3436" s="14">
        <f>IF(D3436="","",IFERROR(INDEX('Sản phẩm'!$B$5:$B$304,MATCH(D3436,'Sản phẩm'!$A$5:$A$304,0)),""))</f>
        <v/>
      </c>
      <c r="F3436" s="12" t="n"/>
      <c r="G3436" s="11" t="n"/>
      <c r="H3436" s="11" t="n"/>
      <c r="I3436" s="16">
        <f>IF(D3436="","",IF(G3436&lt;&gt;"",G3436,IFERROR(INDEX('Sản phẩm'!$E$5:$E$304,MATCH(D3436,'Sản phẩm'!$A$5:$A$304,0)),"")))</f>
        <v/>
      </c>
      <c r="J3436" s="16">
        <f>IF(OR(D3436="",F3436=""),"",F3436*I3436-N(H3436))</f>
        <v/>
      </c>
      <c r="K3436" s="16">
        <f>IF(OR(D3436="",F3436=""),"",F3436*IFERROR(INDEX('Sản phẩm'!$D$5:$D$304,MATCH(D3436,'Sản phẩm'!$A$5:$A$304,0)),""))</f>
        <v/>
      </c>
      <c r="L3436" s="16">
        <f>IF(J3436="","",J3436-K3436)</f>
        <v/>
      </c>
      <c r="M3436" s="14">
        <f>IF(A3436="","",MONTH(A3436))</f>
        <v/>
      </c>
      <c r="N3436" s="14">
        <f>IF(A3436="","",YEAR(A3436))</f>
        <v/>
      </c>
    </row>
    <row r="3437">
      <c r="A3437" s="15" t="n"/>
      <c r="B3437" s="10" t="n"/>
      <c r="C3437" s="10" t="n"/>
      <c r="D3437" s="10" t="n"/>
      <c r="E3437" s="14">
        <f>IF(D3437="","",IFERROR(INDEX('Sản phẩm'!$B$5:$B$304,MATCH(D3437,'Sản phẩm'!$A$5:$A$304,0)),""))</f>
        <v/>
      </c>
      <c r="F3437" s="12" t="n"/>
      <c r="G3437" s="11" t="n"/>
      <c r="H3437" s="11" t="n"/>
      <c r="I3437" s="16">
        <f>IF(D3437="","",IF(G3437&lt;&gt;"",G3437,IFERROR(INDEX('Sản phẩm'!$E$5:$E$304,MATCH(D3437,'Sản phẩm'!$A$5:$A$304,0)),"")))</f>
        <v/>
      </c>
      <c r="J3437" s="16">
        <f>IF(OR(D3437="",F3437=""),"",F3437*I3437-N(H3437))</f>
        <v/>
      </c>
      <c r="K3437" s="16">
        <f>IF(OR(D3437="",F3437=""),"",F3437*IFERROR(INDEX('Sản phẩm'!$D$5:$D$304,MATCH(D3437,'Sản phẩm'!$A$5:$A$304,0)),""))</f>
        <v/>
      </c>
      <c r="L3437" s="16">
        <f>IF(J3437="","",J3437-K3437)</f>
        <v/>
      </c>
      <c r="M3437" s="14">
        <f>IF(A3437="","",MONTH(A3437))</f>
        <v/>
      </c>
      <c r="N3437" s="14">
        <f>IF(A3437="","",YEAR(A3437))</f>
        <v/>
      </c>
    </row>
    <row r="3438">
      <c r="A3438" s="15" t="n"/>
      <c r="B3438" s="10" t="n"/>
      <c r="C3438" s="10" t="n"/>
      <c r="D3438" s="10" t="n"/>
      <c r="E3438" s="14">
        <f>IF(D3438="","",IFERROR(INDEX('Sản phẩm'!$B$5:$B$304,MATCH(D3438,'Sản phẩm'!$A$5:$A$304,0)),""))</f>
        <v/>
      </c>
      <c r="F3438" s="12" t="n"/>
      <c r="G3438" s="11" t="n"/>
      <c r="H3438" s="11" t="n"/>
      <c r="I3438" s="16">
        <f>IF(D3438="","",IF(G3438&lt;&gt;"",G3438,IFERROR(INDEX('Sản phẩm'!$E$5:$E$304,MATCH(D3438,'Sản phẩm'!$A$5:$A$304,0)),"")))</f>
        <v/>
      </c>
      <c r="J3438" s="16">
        <f>IF(OR(D3438="",F3438=""),"",F3438*I3438-N(H3438))</f>
        <v/>
      </c>
      <c r="K3438" s="16">
        <f>IF(OR(D3438="",F3438=""),"",F3438*IFERROR(INDEX('Sản phẩm'!$D$5:$D$304,MATCH(D3438,'Sản phẩm'!$A$5:$A$304,0)),""))</f>
        <v/>
      </c>
      <c r="L3438" s="16">
        <f>IF(J3438="","",J3438-K3438)</f>
        <v/>
      </c>
      <c r="M3438" s="14">
        <f>IF(A3438="","",MONTH(A3438))</f>
        <v/>
      </c>
      <c r="N3438" s="14">
        <f>IF(A3438="","",YEAR(A3438))</f>
        <v/>
      </c>
    </row>
    <row r="3439">
      <c r="A3439" s="15" t="n"/>
      <c r="B3439" s="10" t="n"/>
      <c r="C3439" s="10" t="n"/>
      <c r="D3439" s="10" t="n"/>
      <c r="E3439" s="14">
        <f>IF(D3439="","",IFERROR(INDEX('Sản phẩm'!$B$5:$B$304,MATCH(D3439,'Sản phẩm'!$A$5:$A$304,0)),""))</f>
        <v/>
      </c>
      <c r="F3439" s="12" t="n"/>
      <c r="G3439" s="11" t="n"/>
      <c r="H3439" s="11" t="n"/>
      <c r="I3439" s="16">
        <f>IF(D3439="","",IF(G3439&lt;&gt;"",G3439,IFERROR(INDEX('Sản phẩm'!$E$5:$E$304,MATCH(D3439,'Sản phẩm'!$A$5:$A$304,0)),"")))</f>
        <v/>
      </c>
      <c r="J3439" s="16">
        <f>IF(OR(D3439="",F3439=""),"",F3439*I3439-N(H3439))</f>
        <v/>
      </c>
      <c r="K3439" s="16">
        <f>IF(OR(D3439="",F3439=""),"",F3439*IFERROR(INDEX('Sản phẩm'!$D$5:$D$304,MATCH(D3439,'Sản phẩm'!$A$5:$A$304,0)),""))</f>
        <v/>
      </c>
      <c r="L3439" s="16">
        <f>IF(J3439="","",J3439-K3439)</f>
        <v/>
      </c>
      <c r="M3439" s="14">
        <f>IF(A3439="","",MONTH(A3439))</f>
        <v/>
      </c>
      <c r="N3439" s="14">
        <f>IF(A3439="","",YEAR(A3439))</f>
        <v/>
      </c>
    </row>
    <row r="3440">
      <c r="A3440" s="15" t="n"/>
      <c r="B3440" s="10" t="n"/>
      <c r="C3440" s="10" t="n"/>
      <c r="D3440" s="10" t="n"/>
      <c r="E3440" s="14">
        <f>IF(D3440="","",IFERROR(INDEX('Sản phẩm'!$B$5:$B$304,MATCH(D3440,'Sản phẩm'!$A$5:$A$304,0)),""))</f>
        <v/>
      </c>
      <c r="F3440" s="12" t="n"/>
      <c r="G3440" s="11" t="n"/>
      <c r="H3440" s="11" t="n"/>
      <c r="I3440" s="16">
        <f>IF(D3440="","",IF(G3440&lt;&gt;"",G3440,IFERROR(INDEX('Sản phẩm'!$E$5:$E$304,MATCH(D3440,'Sản phẩm'!$A$5:$A$304,0)),"")))</f>
        <v/>
      </c>
      <c r="J3440" s="16">
        <f>IF(OR(D3440="",F3440=""),"",F3440*I3440-N(H3440))</f>
        <v/>
      </c>
      <c r="K3440" s="16">
        <f>IF(OR(D3440="",F3440=""),"",F3440*IFERROR(INDEX('Sản phẩm'!$D$5:$D$304,MATCH(D3440,'Sản phẩm'!$A$5:$A$304,0)),""))</f>
        <v/>
      </c>
      <c r="L3440" s="16">
        <f>IF(J3440="","",J3440-K3440)</f>
        <v/>
      </c>
      <c r="M3440" s="14">
        <f>IF(A3440="","",MONTH(A3440))</f>
        <v/>
      </c>
      <c r="N3440" s="14">
        <f>IF(A3440="","",YEAR(A3440))</f>
        <v/>
      </c>
    </row>
    <row r="3441">
      <c r="A3441" s="15" t="n"/>
      <c r="B3441" s="10" t="n"/>
      <c r="C3441" s="10" t="n"/>
      <c r="D3441" s="10" t="n"/>
      <c r="E3441" s="14">
        <f>IF(D3441="","",IFERROR(INDEX('Sản phẩm'!$B$5:$B$304,MATCH(D3441,'Sản phẩm'!$A$5:$A$304,0)),""))</f>
        <v/>
      </c>
      <c r="F3441" s="12" t="n"/>
      <c r="G3441" s="11" t="n"/>
      <c r="H3441" s="11" t="n"/>
      <c r="I3441" s="16">
        <f>IF(D3441="","",IF(G3441&lt;&gt;"",G3441,IFERROR(INDEX('Sản phẩm'!$E$5:$E$304,MATCH(D3441,'Sản phẩm'!$A$5:$A$304,0)),"")))</f>
        <v/>
      </c>
      <c r="J3441" s="16">
        <f>IF(OR(D3441="",F3441=""),"",F3441*I3441-N(H3441))</f>
        <v/>
      </c>
      <c r="K3441" s="16">
        <f>IF(OR(D3441="",F3441=""),"",F3441*IFERROR(INDEX('Sản phẩm'!$D$5:$D$304,MATCH(D3441,'Sản phẩm'!$A$5:$A$304,0)),""))</f>
        <v/>
      </c>
      <c r="L3441" s="16">
        <f>IF(J3441="","",J3441-K3441)</f>
        <v/>
      </c>
      <c r="M3441" s="14">
        <f>IF(A3441="","",MONTH(A3441))</f>
        <v/>
      </c>
      <c r="N3441" s="14">
        <f>IF(A3441="","",YEAR(A3441))</f>
        <v/>
      </c>
    </row>
    <row r="3442">
      <c r="A3442" s="15" t="n"/>
      <c r="B3442" s="10" t="n"/>
      <c r="C3442" s="10" t="n"/>
      <c r="D3442" s="10" t="n"/>
      <c r="E3442" s="14">
        <f>IF(D3442="","",IFERROR(INDEX('Sản phẩm'!$B$5:$B$304,MATCH(D3442,'Sản phẩm'!$A$5:$A$304,0)),""))</f>
        <v/>
      </c>
      <c r="F3442" s="12" t="n"/>
      <c r="G3442" s="11" t="n"/>
      <c r="H3442" s="11" t="n"/>
      <c r="I3442" s="16">
        <f>IF(D3442="","",IF(G3442&lt;&gt;"",G3442,IFERROR(INDEX('Sản phẩm'!$E$5:$E$304,MATCH(D3442,'Sản phẩm'!$A$5:$A$304,0)),"")))</f>
        <v/>
      </c>
      <c r="J3442" s="16">
        <f>IF(OR(D3442="",F3442=""),"",F3442*I3442-N(H3442))</f>
        <v/>
      </c>
      <c r="K3442" s="16">
        <f>IF(OR(D3442="",F3442=""),"",F3442*IFERROR(INDEX('Sản phẩm'!$D$5:$D$304,MATCH(D3442,'Sản phẩm'!$A$5:$A$304,0)),""))</f>
        <v/>
      </c>
      <c r="L3442" s="16">
        <f>IF(J3442="","",J3442-K3442)</f>
        <v/>
      </c>
      <c r="M3442" s="14">
        <f>IF(A3442="","",MONTH(A3442))</f>
        <v/>
      </c>
      <c r="N3442" s="14">
        <f>IF(A3442="","",YEAR(A3442))</f>
        <v/>
      </c>
    </row>
    <row r="3443">
      <c r="A3443" s="15" t="n"/>
      <c r="B3443" s="10" t="n"/>
      <c r="C3443" s="10" t="n"/>
      <c r="D3443" s="10" t="n"/>
      <c r="E3443" s="14">
        <f>IF(D3443="","",IFERROR(INDEX('Sản phẩm'!$B$5:$B$304,MATCH(D3443,'Sản phẩm'!$A$5:$A$304,0)),""))</f>
        <v/>
      </c>
      <c r="F3443" s="12" t="n"/>
      <c r="G3443" s="11" t="n"/>
      <c r="H3443" s="11" t="n"/>
      <c r="I3443" s="16">
        <f>IF(D3443="","",IF(G3443&lt;&gt;"",G3443,IFERROR(INDEX('Sản phẩm'!$E$5:$E$304,MATCH(D3443,'Sản phẩm'!$A$5:$A$304,0)),"")))</f>
        <v/>
      </c>
      <c r="J3443" s="16">
        <f>IF(OR(D3443="",F3443=""),"",F3443*I3443-N(H3443))</f>
        <v/>
      </c>
      <c r="K3443" s="16">
        <f>IF(OR(D3443="",F3443=""),"",F3443*IFERROR(INDEX('Sản phẩm'!$D$5:$D$304,MATCH(D3443,'Sản phẩm'!$A$5:$A$304,0)),""))</f>
        <v/>
      </c>
      <c r="L3443" s="16">
        <f>IF(J3443="","",J3443-K3443)</f>
        <v/>
      </c>
      <c r="M3443" s="14">
        <f>IF(A3443="","",MONTH(A3443))</f>
        <v/>
      </c>
      <c r="N3443" s="14">
        <f>IF(A3443="","",YEAR(A3443))</f>
        <v/>
      </c>
    </row>
    <row r="3444">
      <c r="A3444" s="15" t="n"/>
      <c r="B3444" s="10" t="n"/>
      <c r="C3444" s="10" t="n"/>
      <c r="D3444" s="10" t="n"/>
      <c r="E3444" s="14">
        <f>IF(D3444="","",IFERROR(INDEX('Sản phẩm'!$B$5:$B$304,MATCH(D3444,'Sản phẩm'!$A$5:$A$304,0)),""))</f>
        <v/>
      </c>
      <c r="F3444" s="12" t="n"/>
      <c r="G3444" s="11" t="n"/>
      <c r="H3444" s="11" t="n"/>
      <c r="I3444" s="16">
        <f>IF(D3444="","",IF(G3444&lt;&gt;"",G3444,IFERROR(INDEX('Sản phẩm'!$E$5:$E$304,MATCH(D3444,'Sản phẩm'!$A$5:$A$304,0)),"")))</f>
        <v/>
      </c>
      <c r="J3444" s="16">
        <f>IF(OR(D3444="",F3444=""),"",F3444*I3444-N(H3444))</f>
        <v/>
      </c>
      <c r="K3444" s="16">
        <f>IF(OR(D3444="",F3444=""),"",F3444*IFERROR(INDEX('Sản phẩm'!$D$5:$D$304,MATCH(D3444,'Sản phẩm'!$A$5:$A$304,0)),""))</f>
        <v/>
      </c>
      <c r="L3444" s="16">
        <f>IF(J3444="","",J3444-K3444)</f>
        <v/>
      </c>
      <c r="M3444" s="14">
        <f>IF(A3444="","",MONTH(A3444))</f>
        <v/>
      </c>
      <c r="N3444" s="14">
        <f>IF(A3444="","",YEAR(A3444))</f>
        <v/>
      </c>
    </row>
    <row r="3445">
      <c r="A3445" s="15" t="n"/>
      <c r="B3445" s="10" t="n"/>
      <c r="C3445" s="10" t="n"/>
      <c r="D3445" s="10" t="n"/>
      <c r="E3445" s="14">
        <f>IF(D3445="","",IFERROR(INDEX('Sản phẩm'!$B$5:$B$304,MATCH(D3445,'Sản phẩm'!$A$5:$A$304,0)),""))</f>
        <v/>
      </c>
      <c r="F3445" s="12" t="n"/>
      <c r="G3445" s="11" t="n"/>
      <c r="H3445" s="11" t="n"/>
      <c r="I3445" s="16">
        <f>IF(D3445="","",IF(G3445&lt;&gt;"",G3445,IFERROR(INDEX('Sản phẩm'!$E$5:$E$304,MATCH(D3445,'Sản phẩm'!$A$5:$A$304,0)),"")))</f>
        <v/>
      </c>
      <c r="J3445" s="16">
        <f>IF(OR(D3445="",F3445=""),"",F3445*I3445-N(H3445))</f>
        <v/>
      </c>
      <c r="K3445" s="16">
        <f>IF(OR(D3445="",F3445=""),"",F3445*IFERROR(INDEX('Sản phẩm'!$D$5:$D$304,MATCH(D3445,'Sản phẩm'!$A$5:$A$304,0)),""))</f>
        <v/>
      </c>
      <c r="L3445" s="16">
        <f>IF(J3445="","",J3445-K3445)</f>
        <v/>
      </c>
      <c r="M3445" s="14">
        <f>IF(A3445="","",MONTH(A3445))</f>
        <v/>
      </c>
      <c r="N3445" s="14">
        <f>IF(A3445="","",YEAR(A3445))</f>
        <v/>
      </c>
    </row>
    <row r="3446">
      <c r="A3446" s="15" t="n"/>
      <c r="B3446" s="10" t="n"/>
      <c r="C3446" s="10" t="n"/>
      <c r="D3446" s="10" t="n"/>
      <c r="E3446" s="14">
        <f>IF(D3446="","",IFERROR(INDEX('Sản phẩm'!$B$5:$B$304,MATCH(D3446,'Sản phẩm'!$A$5:$A$304,0)),""))</f>
        <v/>
      </c>
      <c r="F3446" s="12" t="n"/>
      <c r="G3446" s="11" t="n"/>
      <c r="H3446" s="11" t="n"/>
      <c r="I3446" s="16">
        <f>IF(D3446="","",IF(G3446&lt;&gt;"",G3446,IFERROR(INDEX('Sản phẩm'!$E$5:$E$304,MATCH(D3446,'Sản phẩm'!$A$5:$A$304,0)),"")))</f>
        <v/>
      </c>
      <c r="J3446" s="16">
        <f>IF(OR(D3446="",F3446=""),"",F3446*I3446-N(H3446))</f>
        <v/>
      </c>
      <c r="K3446" s="16">
        <f>IF(OR(D3446="",F3446=""),"",F3446*IFERROR(INDEX('Sản phẩm'!$D$5:$D$304,MATCH(D3446,'Sản phẩm'!$A$5:$A$304,0)),""))</f>
        <v/>
      </c>
      <c r="L3446" s="16">
        <f>IF(J3446="","",J3446-K3446)</f>
        <v/>
      </c>
      <c r="M3446" s="14">
        <f>IF(A3446="","",MONTH(A3446))</f>
        <v/>
      </c>
      <c r="N3446" s="14">
        <f>IF(A3446="","",YEAR(A3446))</f>
        <v/>
      </c>
    </row>
    <row r="3447">
      <c r="A3447" s="15" t="n"/>
      <c r="B3447" s="10" t="n"/>
      <c r="C3447" s="10" t="n"/>
      <c r="D3447" s="10" t="n"/>
      <c r="E3447" s="14">
        <f>IF(D3447="","",IFERROR(INDEX('Sản phẩm'!$B$5:$B$304,MATCH(D3447,'Sản phẩm'!$A$5:$A$304,0)),""))</f>
        <v/>
      </c>
      <c r="F3447" s="12" t="n"/>
      <c r="G3447" s="11" t="n"/>
      <c r="H3447" s="11" t="n"/>
      <c r="I3447" s="16">
        <f>IF(D3447="","",IF(G3447&lt;&gt;"",G3447,IFERROR(INDEX('Sản phẩm'!$E$5:$E$304,MATCH(D3447,'Sản phẩm'!$A$5:$A$304,0)),"")))</f>
        <v/>
      </c>
      <c r="J3447" s="16">
        <f>IF(OR(D3447="",F3447=""),"",F3447*I3447-N(H3447))</f>
        <v/>
      </c>
      <c r="K3447" s="16">
        <f>IF(OR(D3447="",F3447=""),"",F3447*IFERROR(INDEX('Sản phẩm'!$D$5:$D$304,MATCH(D3447,'Sản phẩm'!$A$5:$A$304,0)),""))</f>
        <v/>
      </c>
      <c r="L3447" s="16">
        <f>IF(J3447="","",J3447-K3447)</f>
        <v/>
      </c>
      <c r="M3447" s="14">
        <f>IF(A3447="","",MONTH(A3447))</f>
        <v/>
      </c>
      <c r="N3447" s="14">
        <f>IF(A3447="","",YEAR(A3447))</f>
        <v/>
      </c>
    </row>
    <row r="3448">
      <c r="A3448" s="15" t="n"/>
      <c r="B3448" s="10" t="n"/>
      <c r="C3448" s="10" t="n"/>
      <c r="D3448" s="10" t="n"/>
      <c r="E3448" s="14">
        <f>IF(D3448="","",IFERROR(INDEX('Sản phẩm'!$B$5:$B$304,MATCH(D3448,'Sản phẩm'!$A$5:$A$304,0)),""))</f>
        <v/>
      </c>
      <c r="F3448" s="12" t="n"/>
      <c r="G3448" s="11" t="n"/>
      <c r="H3448" s="11" t="n"/>
      <c r="I3448" s="16">
        <f>IF(D3448="","",IF(G3448&lt;&gt;"",G3448,IFERROR(INDEX('Sản phẩm'!$E$5:$E$304,MATCH(D3448,'Sản phẩm'!$A$5:$A$304,0)),"")))</f>
        <v/>
      </c>
      <c r="J3448" s="16">
        <f>IF(OR(D3448="",F3448=""),"",F3448*I3448-N(H3448))</f>
        <v/>
      </c>
      <c r="K3448" s="16">
        <f>IF(OR(D3448="",F3448=""),"",F3448*IFERROR(INDEX('Sản phẩm'!$D$5:$D$304,MATCH(D3448,'Sản phẩm'!$A$5:$A$304,0)),""))</f>
        <v/>
      </c>
      <c r="L3448" s="16">
        <f>IF(J3448="","",J3448-K3448)</f>
        <v/>
      </c>
      <c r="M3448" s="14">
        <f>IF(A3448="","",MONTH(A3448))</f>
        <v/>
      </c>
      <c r="N3448" s="14">
        <f>IF(A3448="","",YEAR(A3448))</f>
        <v/>
      </c>
    </row>
    <row r="3449">
      <c r="A3449" s="15" t="n"/>
      <c r="B3449" s="10" t="n"/>
      <c r="C3449" s="10" t="n"/>
      <c r="D3449" s="10" t="n"/>
      <c r="E3449" s="14">
        <f>IF(D3449="","",IFERROR(INDEX('Sản phẩm'!$B$5:$B$304,MATCH(D3449,'Sản phẩm'!$A$5:$A$304,0)),""))</f>
        <v/>
      </c>
      <c r="F3449" s="12" t="n"/>
      <c r="G3449" s="11" t="n"/>
      <c r="H3449" s="11" t="n"/>
      <c r="I3449" s="16">
        <f>IF(D3449="","",IF(G3449&lt;&gt;"",G3449,IFERROR(INDEX('Sản phẩm'!$E$5:$E$304,MATCH(D3449,'Sản phẩm'!$A$5:$A$304,0)),"")))</f>
        <v/>
      </c>
      <c r="J3449" s="16">
        <f>IF(OR(D3449="",F3449=""),"",F3449*I3449-N(H3449))</f>
        <v/>
      </c>
      <c r="K3449" s="16">
        <f>IF(OR(D3449="",F3449=""),"",F3449*IFERROR(INDEX('Sản phẩm'!$D$5:$D$304,MATCH(D3449,'Sản phẩm'!$A$5:$A$304,0)),""))</f>
        <v/>
      </c>
      <c r="L3449" s="16">
        <f>IF(J3449="","",J3449-K3449)</f>
        <v/>
      </c>
      <c r="M3449" s="14">
        <f>IF(A3449="","",MONTH(A3449))</f>
        <v/>
      </c>
      <c r="N3449" s="14">
        <f>IF(A3449="","",YEAR(A3449))</f>
        <v/>
      </c>
    </row>
    <row r="3450">
      <c r="A3450" s="15" t="n"/>
      <c r="B3450" s="10" t="n"/>
      <c r="C3450" s="10" t="n"/>
      <c r="D3450" s="10" t="n"/>
      <c r="E3450" s="14">
        <f>IF(D3450="","",IFERROR(INDEX('Sản phẩm'!$B$5:$B$304,MATCH(D3450,'Sản phẩm'!$A$5:$A$304,0)),""))</f>
        <v/>
      </c>
      <c r="F3450" s="12" t="n"/>
      <c r="G3450" s="11" t="n"/>
      <c r="H3450" s="11" t="n"/>
      <c r="I3450" s="16">
        <f>IF(D3450="","",IF(G3450&lt;&gt;"",G3450,IFERROR(INDEX('Sản phẩm'!$E$5:$E$304,MATCH(D3450,'Sản phẩm'!$A$5:$A$304,0)),"")))</f>
        <v/>
      </c>
      <c r="J3450" s="16">
        <f>IF(OR(D3450="",F3450=""),"",F3450*I3450-N(H3450))</f>
        <v/>
      </c>
      <c r="K3450" s="16">
        <f>IF(OR(D3450="",F3450=""),"",F3450*IFERROR(INDEX('Sản phẩm'!$D$5:$D$304,MATCH(D3450,'Sản phẩm'!$A$5:$A$304,0)),""))</f>
        <v/>
      </c>
      <c r="L3450" s="16">
        <f>IF(J3450="","",J3450-K3450)</f>
        <v/>
      </c>
      <c r="M3450" s="14">
        <f>IF(A3450="","",MONTH(A3450))</f>
        <v/>
      </c>
      <c r="N3450" s="14">
        <f>IF(A3450="","",YEAR(A3450))</f>
        <v/>
      </c>
    </row>
    <row r="3451">
      <c r="A3451" s="15" t="n"/>
      <c r="B3451" s="10" t="n"/>
      <c r="C3451" s="10" t="n"/>
      <c r="D3451" s="10" t="n"/>
      <c r="E3451" s="14">
        <f>IF(D3451="","",IFERROR(INDEX('Sản phẩm'!$B$5:$B$304,MATCH(D3451,'Sản phẩm'!$A$5:$A$304,0)),""))</f>
        <v/>
      </c>
      <c r="F3451" s="12" t="n"/>
      <c r="G3451" s="11" t="n"/>
      <c r="H3451" s="11" t="n"/>
      <c r="I3451" s="16">
        <f>IF(D3451="","",IF(G3451&lt;&gt;"",G3451,IFERROR(INDEX('Sản phẩm'!$E$5:$E$304,MATCH(D3451,'Sản phẩm'!$A$5:$A$304,0)),"")))</f>
        <v/>
      </c>
      <c r="J3451" s="16">
        <f>IF(OR(D3451="",F3451=""),"",F3451*I3451-N(H3451))</f>
        <v/>
      </c>
      <c r="K3451" s="16">
        <f>IF(OR(D3451="",F3451=""),"",F3451*IFERROR(INDEX('Sản phẩm'!$D$5:$D$304,MATCH(D3451,'Sản phẩm'!$A$5:$A$304,0)),""))</f>
        <v/>
      </c>
      <c r="L3451" s="16">
        <f>IF(J3451="","",J3451-K3451)</f>
        <v/>
      </c>
      <c r="M3451" s="14">
        <f>IF(A3451="","",MONTH(A3451))</f>
        <v/>
      </c>
      <c r="N3451" s="14">
        <f>IF(A3451="","",YEAR(A3451))</f>
        <v/>
      </c>
    </row>
    <row r="3452">
      <c r="A3452" s="15" t="n"/>
      <c r="B3452" s="10" t="n"/>
      <c r="C3452" s="10" t="n"/>
      <c r="D3452" s="10" t="n"/>
      <c r="E3452" s="14">
        <f>IF(D3452="","",IFERROR(INDEX('Sản phẩm'!$B$5:$B$304,MATCH(D3452,'Sản phẩm'!$A$5:$A$304,0)),""))</f>
        <v/>
      </c>
      <c r="F3452" s="12" t="n"/>
      <c r="G3452" s="11" t="n"/>
      <c r="H3452" s="11" t="n"/>
      <c r="I3452" s="16">
        <f>IF(D3452="","",IF(G3452&lt;&gt;"",G3452,IFERROR(INDEX('Sản phẩm'!$E$5:$E$304,MATCH(D3452,'Sản phẩm'!$A$5:$A$304,0)),"")))</f>
        <v/>
      </c>
      <c r="J3452" s="16">
        <f>IF(OR(D3452="",F3452=""),"",F3452*I3452-N(H3452))</f>
        <v/>
      </c>
      <c r="K3452" s="16">
        <f>IF(OR(D3452="",F3452=""),"",F3452*IFERROR(INDEX('Sản phẩm'!$D$5:$D$304,MATCH(D3452,'Sản phẩm'!$A$5:$A$304,0)),""))</f>
        <v/>
      </c>
      <c r="L3452" s="16">
        <f>IF(J3452="","",J3452-K3452)</f>
        <v/>
      </c>
      <c r="M3452" s="14">
        <f>IF(A3452="","",MONTH(A3452))</f>
        <v/>
      </c>
      <c r="N3452" s="14">
        <f>IF(A3452="","",YEAR(A3452))</f>
        <v/>
      </c>
    </row>
    <row r="3453">
      <c r="A3453" s="15" t="n"/>
      <c r="B3453" s="10" t="n"/>
      <c r="C3453" s="10" t="n"/>
      <c r="D3453" s="10" t="n"/>
      <c r="E3453" s="14">
        <f>IF(D3453="","",IFERROR(INDEX('Sản phẩm'!$B$5:$B$304,MATCH(D3453,'Sản phẩm'!$A$5:$A$304,0)),""))</f>
        <v/>
      </c>
      <c r="F3453" s="12" t="n"/>
      <c r="G3453" s="11" t="n"/>
      <c r="H3453" s="11" t="n"/>
      <c r="I3453" s="16">
        <f>IF(D3453="","",IF(G3453&lt;&gt;"",G3453,IFERROR(INDEX('Sản phẩm'!$E$5:$E$304,MATCH(D3453,'Sản phẩm'!$A$5:$A$304,0)),"")))</f>
        <v/>
      </c>
      <c r="J3453" s="16">
        <f>IF(OR(D3453="",F3453=""),"",F3453*I3453-N(H3453))</f>
        <v/>
      </c>
      <c r="K3453" s="16">
        <f>IF(OR(D3453="",F3453=""),"",F3453*IFERROR(INDEX('Sản phẩm'!$D$5:$D$304,MATCH(D3453,'Sản phẩm'!$A$5:$A$304,0)),""))</f>
        <v/>
      </c>
      <c r="L3453" s="16">
        <f>IF(J3453="","",J3453-K3453)</f>
        <v/>
      </c>
      <c r="M3453" s="14">
        <f>IF(A3453="","",MONTH(A3453))</f>
        <v/>
      </c>
      <c r="N3453" s="14">
        <f>IF(A3453="","",YEAR(A3453))</f>
        <v/>
      </c>
    </row>
    <row r="3454">
      <c r="A3454" s="15" t="n"/>
      <c r="B3454" s="10" t="n"/>
      <c r="C3454" s="10" t="n"/>
      <c r="D3454" s="10" t="n"/>
      <c r="E3454" s="14">
        <f>IF(D3454="","",IFERROR(INDEX('Sản phẩm'!$B$5:$B$304,MATCH(D3454,'Sản phẩm'!$A$5:$A$304,0)),""))</f>
        <v/>
      </c>
      <c r="F3454" s="12" t="n"/>
      <c r="G3454" s="11" t="n"/>
      <c r="H3454" s="11" t="n"/>
      <c r="I3454" s="16">
        <f>IF(D3454="","",IF(G3454&lt;&gt;"",G3454,IFERROR(INDEX('Sản phẩm'!$E$5:$E$304,MATCH(D3454,'Sản phẩm'!$A$5:$A$304,0)),"")))</f>
        <v/>
      </c>
      <c r="J3454" s="16">
        <f>IF(OR(D3454="",F3454=""),"",F3454*I3454-N(H3454))</f>
        <v/>
      </c>
      <c r="K3454" s="16">
        <f>IF(OR(D3454="",F3454=""),"",F3454*IFERROR(INDEX('Sản phẩm'!$D$5:$D$304,MATCH(D3454,'Sản phẩm'!$A$5:$A$304,0)),""))</f>
        <v/>
      </c>
      <c r="L3454" s="16">
        <f>IF(J3454="","",J3454-K3454)</f>
        <v/>
      </c>
      <c r="M3454" s="14">
        <f>IF(A3454="","",MONTH(A3454))</f>
        <v/>
      </c>
      <c r="N3454" s="14">
        <f>IF(A3454="","",YEAR(A3454))</f>
        <v/>
      </c>
    </row>
    <row r="3455">
      <c r="A3455" s="15" t="n"/>
      <c r="B3455" s="10" t="n"/>
      <c r="C3455" s="10" t="n"/>
      <c r="D3455" s="10" t="n"/>
      <c r="E3455" s="14">
        <f>IF(D3455="","",IFERROR(INDEX('Sản phẩm'!$B$5:$B$304,MATCH(D3455,'Sản phẩm'!$A$5:$A$304,0)),""))</f>
        <v/>
      </c>
      <c r="F3455" s="12" t="n"/>
      <c r="G3455" s="11" t="n"/>
      <c r="H3455" s="11" t="n"/>
      <c r="I3455" s="16">
        <f>IF(D3455="","",IF(G3455&lt;&gt;"",G3455,IFERROR(INDEX('Sản phẩm'!$E$5:$E$304,MATCH(D3455,'Sản phẩm'!$A$5:$A$304,0)),"")))</f>
        <v/>
      </c>
      <c r="J3455" s="16">
        <f>IF(OR(D3455="",F3455=""),"",F3455*I3455-N(H3455))</f>
        <v/>
      </c>
      <c r="K3455" s="16">
        <f>IF(OR(D3455="",F3455=""),"",F3455*IFERROR(INDEX('Sản phẩm'!$D$5:$D$304,MATCH(D3455,'Sản phẩm'!$A$5:$A$304,0)),""))</f>
        <v/>
      </c>
      <c r="L3455" s="16">
        <f>IF(J3455="","",J3455-K3455)</f>
        <v/>
      </c>
      <c r="M3455" s="14">
        <f>IF(A3455="","",MONTH(A3455))</f>
        <v/>
      </c>
      <c r="N3455" s="14">
        <f>IF(A3455="","",YEAR(A3455))</f>
        <v/>
      </c>
    </row>
    <row r="3456">
      <c r="A3456" s="15" t="n"/>
      <c r="B3456" s="10" t="n"/>
      <c r="C3456" s="10" t="n"/>
      <c r="D3456" s="10" t="n"/>
      <c r="E3456" s="14">
        <f>IF(D3456="","",IFERROR(INDEX('Sản phẩm'!$B$5:$B$304,MATCH(D3456,'Sản phẩm'!$A$5:$A$304,0)),""))</f>
        <v/>
      </c>
      <c r="F3456" s="12" t="n"/>
      <c r="G3456" s="11" t="n"/>
      <c r="H3456" s="11" t="n"/>
      <c r="I3456" s="16">
        <f>IF(D3456="","",IF(G3456&lt;&gt;"",G3456,IFERROR(INDEX('Sản phẩm'!$E$5:$E$304,MATCH(D3456,'Sản phẩm'!$A$5:$A$304,0)),"")))</f>
        <v/>
      </c>
      <c r="J3456" s="16">
        <f>IF(OR(D3456="",F3456=""),"",F3456*I3456-N(H3456))</f>
        <v/>
      </c>
      <c r="K3456" s="16">
        <f>IF(OR(D3456="",F3456=""),"",F3456*IFERROR(INDEX('Sản phẩm'!$D$5:$D$304,MATCH(D3456,'Sản phẩm'!$A$5:$A$304,0)),""))</f>
        <v/>
      </c>
      <c r="L3456" s="16">
        <f>IF(J3456="","",J3456-K3456)</f>
        <v/>
      </c>
      <c r="M3456" s="14">
        <f>IF(A3456="","",MONTH(A3456))</f>
        <v/>
      </c>
      <c r="N3456" s="14">
        <f>IF(A3456="","",YEAR(A3456))</f>
        <v/>
      </c>
    </row>
    <row r="3457">
      <c r="A3457" s="15" t="n"/>
      <c r="B3457" s="10" t="n"/>
      <c r="C3457" s="10" t="n"/>
      <c r="D3457" s="10" t="n"/>
      <c r="E3457" s="14">
        <f>IF(D3457="","",IFERROR(INDEX('Sản phẩm'!$B$5:$B$304,MATCH(D3457,'Sản phẩm'!$A$5:$A$304,0)),""))</f>
        <v/>
      </c>
      <c r="F3457" s="12" t="n"/>
      <c r="G3457" s="11" t="n"/>
      <c r="H3457" s="11" t="n"/>
      <c r="I3457" s="16">
        <f>IF(D3457="","",IF(G3457&lt;&gt;"",G3457,IFERROR(INDEX('Sản phẩm'!$E$5:$E$304,MATCH(D3457,'Sản phẩm'!$A$5:$A$304,0)),"")))</f>
        <v/>
      </c>
      <c r="J3457" s="16">
        <f>IF(OR(D3457="",F3457=""),"",F3457*I3457-N(H3457))</f>
        <v/>
      </c>
      <c r="K3457" s="16">
        <f>IF(OR(D3457="",F3457=""),"",F3457*IFERROR(INDEX('Sản phẩm'!$D$5:$D$304,MATCH(D3457,'Sản phẩm'!$A$5:$A$304,0)),""))</f>
        <v/>
      </c>
      <c r="L3457" s="16">
        <f>IF(J3457="","",J3457-K3457)</f>
        <v/>
      </c>
      <c r="M3457" s="14">
        <f>IF(A3457="","",MONTH(A3457))</f>
        <v/>
      </c>
      <c r="N3457" s="14">
        <f>IF(A3457="","",YEAR(A3457))</f>
        <v/>
      </c>
    </row>
    <row r="3458">
      <c r="A3458" s="15" t="n"/>
      <c r="B3458" s="10" t="n"/>
      <c r="C3458" s="10" t="n"/>
      <c r="D3458" s="10" t="n"/>
      <c r="E3458" s="14">
        <f>IF(D3458="","",IFERROR(INDEX('Sản phẩm'!$B$5:$B$304,MATCH(D3458,'Sản phẩm'!$A$5:$A$304,0)),""))</f>
        <v/>
      </c>
      <c r="F3458" s="12" t="n"/>
      <c r="G3458" s="11" t="n"/>
      <c r="H3458" s="11" t="n"/>
      <c r="I3458" s="16">
        <f>IF(D3458="","",IF(G3458&lt;&gt;"",G3458,IFERROR(INDEX('Sản phẩm'!$E$5:$E$304,MATCH(D3458,'Sản phẩm'!$A$5:$A$304,0)),"")))</f>
        <v/>
      </c>
      <c r="J3458" s="16">
        <f>IF(OR(D3458="",F3458=""),"",F3458*I3458-N(H3458))</f>
        <v/>
      </c>
      <c r="K3458" s="16">
        <f>IF(OR(D3458="",F3458=""),"",F3458*IFERROR(INDEX('Sản phẩm'!$D$5:$D$304,MATCH(D3458,'Sản phẩm'!$A$5:$A$304,0)),""))</f>
        <v/>
      </c>
      <c r="L3458" s="16">
        <f>IF(J3458="","",J3458-K3458)</f>
        <v/>
      </c>
      <c r="M3458" s="14">
        <f>IF(A3458="","",MONTH(A3458))</f>
        <v/>
      </c>
      <c r="N3458" s="14">
        <f>IF(A3458="","",YEAR(A3458))</f>
        <v/>
      </c>
    </row>
    <row r="3459">
      <c r="A3459" s="15" t="n"/>
      <c r="B3459" s="10" t="n"/>
      <c r="C3459" s="10" t="n"/>
      <c r="D3459" s="10" t="n"/>
      <c r="E3459" s="14">
        <f>IF(D3459="","",IFERROR(INDEX('Sản phẩm'!$B$5:$B$304,MATCH(D3459,'Sản phẩm'!$A$5:$A$304,0)),""))</f>
        <v/>
      </c>
      <c r="F3459" s="12" t="n"/>
      <c r="G3459" s="11" t="n"/>
      <c r="H3459" s="11" t="n"/>
      <c r="I3459" s="16">
        <f>IF(D3459="","",IF(G3459&lt;&gt;"",G3459,IFERROR(INDEX('Sản phẩm'!$E$5:$E$304,MATCH(D3459,'Sản phẩm'!$A$5:$A$304,0)),"")))</f>
        <v/>
      </c>
      <c r="J3459" s="16">
        <f>IF(OR(D3459="",F3459=""),"",F3459*I3459-N(H3459))</f>
        <v/>
      </c>
      <c r="K3459" s="16">
        <f>IF(OR(D3459="",F3459=""),"",F3459*IFERROR(INDEX('Sản phẩm'!$D$5:$D$304,MATCH(D3459,'Sản phẩm'!$A$5:$A$304,0)),""))</f>
        <v/>
      </c>
      <c r="L3459" s="16">
        <f>IF(J3459="","",J3459-K3459)</f>
        <v/>
      </c>
      <c r="M3459" s="14">
        <f>IF(A3459="","",MONTH(A3459))</f>
        <v/>
      </c>
      <c r="N3459" s="14">
        <f>IF(A3459="","",YEAR(A3459))</f>
        <v/>
      </c>
    </row>
    <row r="3460">
      <c r="A3460" s="15" t="n"/>
      <c r="B3460" s="10" t="n"/>
      <c r="C3460" s="10" t="n"/>
      <c r="D3460" s="10" t="n"/>
      <c r="E3460" s="14">
        <f>IF(D3460="","",IFERROR(INDEX('Sản phẩm'!$B$5:$B$304,MATCH(D3460,'Sản phẩm'!$A$5:$A$304,0)),""))</f>
        <v/>
      </c>
      <c r="F3460" s="12" t="n"/>
      <c r="G3460" s="11" t="n"/>
      <c r="H3460" s="11" t="n"/>
      <c r="I3460" s="16">
        <f>IF(D3460="","",IF(G3460&lt;&gt;"",G3460,IFERROR(INDEX('Sản phẩm'!$E$5:$E$304,MATCH(D3460,'Sản phẩm'!$A$5:$A$304,0)),"")))</f>
        <v/>
      </c>
      <c r="J3460" s="16">
        <f>IF(OR(D3460="",F3460=""),"",F3460*I3460-N(H3460))</f>
        <v/>
      </c>
      <c r="K3460" s="16">
        <f>IF(OR(D3460="",F3460=""),"",F3460*IFERROR(INDEX('Sản phẩm'!$D$5:$D$304,MATCH(D3460,'Sản phẩm'!$A$5:$A$304,0)),""))</f>
        <v/>
      </c>
      <c r="L3460" s="16">
        <f>IF(J3460="","",J3460-K3460)</f>
        <v/>
      </c>
      <c r="M3460" s="14">
        <f>IF(A3460="","",MONTH(A3460))</f>
        <v/>
      </c>
      <c r="N3460" s="14">
        <f>IF(A3460="","",YEAR(A3460))</f>
        <v/>
      </c>
    </row>
    <row r="3461">
      <c r="A3461" s="15" t="n"/>
      <c r="B3461" s="10" t="n"/>
      <c r="C3461" s="10" t="n"/>
      <c r="D3461" s="10" t="n"/>
      <c r="E3461" s="14">
        <f>IF(D3461="","",IFERROR(INDEX('Sản phẩm'!$B$5:$B$304,MATCH(D3461,'Sản phẩm'!$A$5:$A$304,0)),""))</f>
        <v/>
      </c>
      <c r="F3461" s="12" t="n"/>
      <c r="G3461" s="11" t="n"/>
      <c r="H3461" s="11" t="n"/>
      <c r="I3461" s="16">
        <f>IF(D3461="","",IF(G3461&lt;&gt;"",G3461,IFERROR(INDEX('Sản phẩm'!$E$5:$E$304,MATCH(D3461,'Sản phẩm'!$A$5:$A$304,0)),"")))</f>
        <v/>
      </c>
      <c r="J3461" s="16">
        <f>IF(OR(D3461="",F3461=""),"",F3461*I3461-N(H3461))</f>
        <v/>
      </c>
      <c r="K3461" s="16">
        <f>IF(OR(D3461="",F3461=""),"",F3461*IFERROR(INDEX('Sản phẩm'!$D$5:$D$304,MATCH(D3461,'Sản phẩm'!$A$5:$A$304,0)),""))</f>
        <v/>
      </c>
      <c r="L3461" s="16">
        <f>IF(J3461="","",J3461-K3461)</f>
        <v/>
      </c>
      <c r="M3461" s="14">
        <f>IF(A3461="","",MONTH(A3461))</f>
        <v/>
      </c>
      <c r="N3461" s="14">
        <f>IF(A3461="","",YEAR(A3461))</f>
        <v/>
      </c>
    </row>
    <row r="3462">
      <c r="A3462" s="15" t="n"/>
      <c r="B3462" s="10" t="n"/>
      <c r="C3462" s="10" t="n"/>
      <c r="D3462" s="10" t="n"/>
      <c r="E3462" s="14">
        <f>IF(D3462="","",IFERROR(INDEX('Sản phẩm'!$B$5:$B$304,MATCH(D3462,'Sản phẩm'!$A$5:$A$304,0)),""))</f>
        <v/>
      </c>
      <c r="F3462" s="12" t="n"/>
      <c r="G3462" s="11" t="n"/>
      <c r="H3462" s="11" t="n"/>
      <c r="I3462" s="16">
        <f>IF(D3462="","",IF(G3462&lt;&gt;"",G3462,IFERROR(INDEX('Sản phẩm'!$E$5:$E$304,MATCH(D3462,'Sản phẩm'!$A$5:$A$304,0)),"")))</f>
        <v/>
      </c>
      <c r="J3462" s="16">
        <f>IF(OR(D3462="",F3462=""),"",F3462*I3462-N(H3462))</f>
        <v/>
      </c>
      <c r="K3462" s="16">
        <f>IF(OR(D3462="",F3462=""),"",F3462*IFERROR(INDEX('Sản phẩm'!$D$5:$D$304,MATCH(D3462,'Sản phẩm'!$A$5:$A$304,0)),""))</f>
        <v/>
      </c>
      <c r="L3462" s="16">
        <f>IF(J3462="","",J3462-K3462)</f>
        <v/>
      </c>
      <c r="M3462" s="14">
        <f>IF(A3462="","",MONTH(A3462))</f>
        <v/>
      </c>
      <c r="N3462" s="14">
        <f>IF(A3462="","",YEAR(A3462))</f>
        <v/>
      </c>
    </row>
    <row r="3463">
      <c r="A3463" s="15" t="n"/>
      <c r="B3463" s="10" t="n"/>
      <c r="C3463" s="10" t="n"/>
      <c r="D3463" s="10" t="n"/>
      <c r="E3463" s="14">
        <f>IF(D3463="","",IFERROR(INDEX('Sản phẩm'!$B$5:$B$304,MATCH(D3463,'Sản phẩm'!$A$5:$A$304,0)),""))</f>
        <v/>
      </c>
      <c r="F3463" s="12" t="n"/>
      <c r="G3463" s="11" t="n"/>
      <c r="H3463" s="11" t="n"/>
      <c r="I3463" s="16">
        <f>IF(D3463="","",IF(G3463&lt;&gt;"",G3463,IFERROR(INDEX('Sản phẩm'!$E$5:$E$304,MATCH(D3463,'Sản phẩm'!$A$5:$A$304,0)),"")))</f>
        <v/>
      </c>
      <c r="J3463" s="16">
        <f>IF(OR(D3463="",F3463=""),"",F3463*I3463-N(H3463))</f>
        <v/>
      </c>
      <c r="K3463" s="16">
        <f>IF(OR(D3463="",F3463=""),"",F3463*IFERROR(INDEX('Sản phẩm'!$D$5:$D$304,MATCH(D3463,'Sản phẩm'!$A$5:$A$304,0)),""))</f>
        <v/>
      </c>
      <c r="L3463" s="16">
        <f>IF(J3463="","",J3463-K3463)</f>
        <v/>
      </c>
      <c r="M3463" s="14">
        <f>IF(A3463="","",MONTH(A3463))</f>
        <v/>
      </c>
      <c r="N3463" s="14">
        <f>IF(A3463="","",YEAR(A3463))</f>
        <v/>
      </c>
    </row>
    <row r="3464">
      <c r="A3464" s="15" t="n"/>
      <c r="B3464" s="10" t="n"/>
      <c r="C3464" s="10" t="n"/>
      <c r="D3464" s="10" t="n"/>
      <c r="E3464" s="14">
        <f>IF(D3464="","",IFERROR(INDEX('Sản phẩm'!$B$5:$B$304,MATCH(D3464,'Sản phẩm'!$A$5:$A$304,0)),""))</f>
        <v/>
      </c>
      <c r="F3464" s="12" t="n"/>
      <c r="G3464" s="11" t="n"/>
      <c r="H3464" s="11" t="n"/>
      <c r="I3464" s="16">
        <f>IF(D3464="","",IF(G3464&lt;&gt;"",G3464,IFERROR(INDEX('Sản phẩm'!$E$5:$E$304,MATCH(D3464,'Sản phẩm'!$A$5:$A$304,0)),"")))</f>
        <v/>
      </c>
      <c r="J3464" s="16">
        <f>IF(OR(D3464="",F3464=""),"",F3464*I3464-N(H3464))</f>
        <v/>
      </c>
      <c r="K3464" s="16">
        <f>IF(OR(D3464="",F3464=""),"",F3464*IFERROR(INDEX('Sản phẩm'!$D$5:$D$304,MATCH(D3464,'Sản phẩm'!$A$5:$A$304,0)),""))</f>
        <v/>
      </c>
      <c r="L3464" s="16">
        <f>IF(J3464="","",J3464-K3464)</f>
        <v/>
      </c>
      <c r="M3464" s="14">
        <f>IF(A3464="","",MONTH(A3464))</f>
        <v/>
      </c>
      <c r="N3464" s="14">
        <f>IF(A3464="","",YEAR(A3464))</f>
        <v/>
      </c>
    </row>
    <row r="3465">
      <c r="A3465" s="15" t="n"/>
      <c r="B3465" s="10" t="n"/>
      <c r="C3465" s="10" t="n"/>
      <c r="D3465" s="10" t="n"/>
      <c r="E3465" s="14">
        <f>IF(D3465="","",IFERROR(INDEX('Sản phẩm'!$B$5:$B$304,MATCH(D3465,'Sản phẩm'!$A$5:$A$304,0)),""))</f>
        <v/>
      </c>
      <c r="F3465" s="12" t="n"/>
      <c r="G3465" s="11" t="n"/>
      <c r="H3465" s="11" t="n"/>
      <c r="I3465" s="16">
        <f>IF(D3465="","",IF(G3465&lt;&gt;"",G3465,IFERROR(INDEX('Sản phẩm'!$E$5:$E$304,MATCH(D3465,'Sản phẩm'!$A$5:$A$304,0)),"")))</f>
        <v/>
      </c>
      <c r="J3465" s="16">
        <f>IF(OR(D3465="",F3465=""),"",F3465*I3465-N(H3465))</f>
        <v/>
      </c>
      <c r="K3465" s="16">
        <f>IF(OR(D3465="",F3465=""),"",F3465*IFERROR(INDEX('Sản phẩm'!$D$5:$D$304,MATCH(D3465,'Sản phẩm'!$A$5:$A$304,0)),""))</f>
        <v/>
      </c>
      <c r="L3465" s="16">
        <f>IF(J3465="","",J3465-K3465)</f>
        <v/>
      </c>
      <c r="M3465" s="14">
        <f>IF(A3465="","",MONTH(A3465))</f>
        <v/>
      </c>
      <c r="N3465" s="14">
        <f>IF(A3465="","",YEAR(A3465))</f>
        <v/>
      </c>
    </row>
    <row r="3466">
      <c r="A3466" s="15" t="n"/>
      <c r="B3466" s="10" t="n"/>
      <c r="C3466" s="10" t="n"/>
      <c r="D3466" s="10" t="n"/>
      <c r="E3466" s="14">
        <f>IF(D3466="","",IFERROR(INDEX('Sản phẩm'!$B$5:$B$304,MATCH(D3466,'Sản phẩm'!$A$5:$A$304,0)),""))</f>
        <v/>
      </c>
      <c r="F3466" s="12" t="n"/>
      <c r="G3466" s="11" t="n"/>
      <c r="H3466" s="11" t="n"/>
      <c r="I3466" s="16">
        <f>IF(D3466="","",IF(G3466&lt;&gt;"",G3466,IFERROR(INDEX('Sản phẩm'!$E$5:$E$304,MATCH(D3466,'Sản phẩm'!$A$5:$A$304,0)),"")))</f>
        <v/>
      </c>
      <c r="J3466" s="16">
        <f>IF(OR(D3466="",F3466=""),"",F3466*I3466-N(H3466))</f>
        <v/>
      </c>
      <c r="K3466" s="16">
        <f>IF(OR(D3466="",F3466=""),"",F3466*IFERROR(INDEX('Sản phẩm'!$D$5:$D$304,MATCH(D3466,'Sản phẩm'!$A$5:$A$304,0)),""))</f>
        <v/>
      </c>
      <c r="L3466" s="16">
        <f>IF(J3466="","",J3466-K3466)</f>
        <v/>
      </c>
      <c r="M3466" s="14">
        <f>IF(A3466="","",MONTH(A3466))</f>
        <v/>
      </c>
      <c r="N3466" s="14">
        <f>IF(A3466="","",YEAR(A3466))</f>
        <v/>
      </c>
    </row>
    <row r="3467">
      <c r="A3467" s="15" t="n"/>
      <c r="B3467" s="10" t="n"/>
      <c r="C3467" s="10" t="n"/>
      <c r="D3467" s="10" t="n"/>
      <c r="E3467" s="14">
        <f>IF(D3467="","",IFERROR(INDEX('Sản phẩm'!$B$5:$B$304,MATCH(D3467,'Sản phẩm'!$A$5:$A$304,0)),""))</f>
        <v/>
      </c>
      <c r="F3467" s="12" t="n"/>
      <c r="G3467" s="11" t="n"/>
      <c r="H3467" s="11" t="n"/>
      <c r="I3467" s="16">
        <f>IF(D3467="","",IF(G3467&lt;&gt;"",G3467,IFERROR(INDEX('Sản phẩm'!$E$5:$E$304,MATCH(D3467,'Sản phẩm'!$A$5:$A$304,0)),"")))</f>
        <v/>
      </c>
      <c r="J3467" s="16">
        <f>IF(OR(D3467="",F3467=""),"",F3467*I3467-N(H3467))</f>
        <v/>
      </c>
      <c r="K3467" s="16">
        <f>IF(OR(D3467="",F3467=""),"",F3467*IFERROR(INDEX('Sản phẩm'!$D$5:$D$304,MATCH(D3467,'Sản phẩm'!$A$5:$A$304,0)),""))</f>
        <v/>
      </c>
      <c r="L3467" s="16">
        <f>IF(J3467="","",J3467-K3467)</f>
        <v/>
      </c>
      <c r="M3467" s="14">
        <f>IF(A3467="","",MONTH(A3467))</f>
        <v/>
      </c>
      <c r="N3467" s="14">
        <f>IF(A3467="","",YEAR(A3467))</f>
        <v/>
      </c>
    </row>
    <row r="3468">
      <c r="A3468" s="15" t="n"/>
      <c r="B3468" s="10" t="n"/>
      <c r="C3468" s="10" t="n"/>
      <c r="D3468" s="10" t="n"/>
      <c r="E3468" s="14">
        <f>IF(D3468="","",IFERROR(INDEX('Sản phẩm'!$B$5:$B$304,MATCH(D3468,'Sản phẩm'!$A$5:$A$304,0)),""))</f>
        <v/>
      </c>
      <c r="F3468" s="12" t="n"/>
      <c r="G3468" s="11" t="n"/>
      <c r="H3468" s="11" t="n"/>
      <c r="I3468" s="16">
        <f>IF(D3468="","",IF(G3468&lt;&gt;"",G3468,IFERROR(INDEX('Sản phẩm'!$E$5:$E$304,MATCH(D3468,'Sản phẩm'!$A$5:$A$304,0)),"")))</f>
        <v/>
      </c>
      <c r="J3468" s="16">
        <f>IF(OR(D3468="",F3468=""),"",F3468*I3468-N(H3468))</f>
        <v/>
      </c>
      <c r="K3468" s="16">
        <f>IF(OR(D3468="",F3468=""),"",F3468*IFERROR(INDEX('Sản phẩm'!$D$5:$D$304,MATCH(D3468,'Sản phẩm'!$A$5:$A$304,0)),""))</f>
        <v/>
      </c>
      <c r="L3468" s="16">
        <f>IF(J3468="","",J3468-K3468)</f>
        <v/>
      </c>
      <c r="M3468" s="14">
        <f>IF(A3468="","",MONTH(A3468))</f>
        <v/>
      </c>
      <c r="N3468" s="14">
        <f>IF(A3468="","",YEAR(A3468))</f>
        <v/>
      </c>
    </row>
    <row r="3469">
      <c r="A3469" s="15" t="n"/>
      <c r="B3469" s="10" t="n"/>
      <c r="C3469" s="10" t="n"/>
      <c r="D3469" s="10" t="n"/>
      <c r="E3469" s="14">
        <f>IF(D3469="","",IFERROR(INDEX('Sản phẩm'!$B$5:$B$304,MATCH(D3469,'Sản phẩm'!$A$5:$A$304,0)),""))</f>
        <v/>
      </c>
      <c r="F3469" s="12" t="n"/>
      <c r="G3469" s="11" t="n"/>
      <c r="H3469" s="11" t="n"/>
      <c r="I3469" s="16">
        <f>IF(D3469="","",IF(G3469&lt;&gt;"",G3469,IFERROR(INDEX('Sản phẩm'!$E$5:$E$304,MATCH(D3469,'Sản phẩm'!$A$5:$A$304,0)),"")))</f>
        <v/>
      </c>
      <c r="J3469" s="16">
        <f>IF(OR(D3469="",F3469=""),"",F3469*I3469-N(H3469))</f>
        <v/>
      </c>
      <c r="K3469" s="16">
        <f>IF(OR(D3469="",F3469=""),"",F3469*IFERROR(INDEX('Sản phẩm'!$D$5:$D$304,MATCH(D3469,'Sản phẩm'!$A$5:$A$304,0)),""))</f>
        <v/>
      </c>
      <c r="L3469" s="16">
        <f>IF(J3469="","",J3469-K3469)</f>
        <v/>
      </c>
      <c r="M3469" s="14">
        <f>IF(A3469="","",MONTH(A3469))</f>
        <v/>
      </c>
      <c r="N3469" s="14">
        <f>IF(A3469="","",YEAR(A3469))</f>
        <v/>
      </c>
    </row>
    <row r="3470">
      <c r="A3470" s="15" t="n"/>
      <c r="B3470" s="10" t="n"/>
      <c r="C3470" s="10" t="n"/>
      <c r="D3470" s="10" t="n"/>
      <c r="E3470" s="14">
        <f>IF(D3470="","",IFERROR(INDEX('Sản phẩm'!$B$5:$B$304,MATCH(D3470,'Sản phẩm'!$A$5:$A$304,0)),""))</f>
        <v/>
      </c>
      <c r="F3470" s="12" t="n"/>
      <c r="G3470" s="11" t="n"/>
      <c r="H3470" s="11" t="n"/>
      <c r="I3470" s="16">
        <f>IF(D3470="","",IF(G3470&lt;&gt;"",G3470,IFERROR(INDEX('Sản phẩm'!$E$5:$E$304,MATCH(D3470,'Sản phẩm'!$A$5:$A$304,0)),"")))</f>
        <v/>
      </c>
      <c r="J3470" s="16">
        <f>IF(OR(D3470="",F3470=""),"",F3470*I3470-N(H3470))</f>
        <v/>
      </c>
      <c r="K3470" s="16">
        <f>IF(OR(D3470="",F3470=""),"",F3470*IFERROR(INDEX('Sản phẩm'!$D$5:$D$304,MATCH(D3470,'Sản phẩm'!$A$5:$A$304,0)),""))</f>
        <v/>
      </c>
      <c r="L3470" s="16">
        <f>IF(J3470="","",J3470-K3470)</f>
        <v/>
      </c>
      <c r="M3470" s="14">
        <f>IF(A3470="","",MONTH(A3470))</f>
        <v/>
      </c>
      <c r="N3470" s="14">
        <f>IF(A3470="","",YEAR(A3470))</f>
        <v/>
      </c>
    </row>
    <row r="3471">
      <c r="A3471" s="15" t="n"/>
      <c r="B3471" s="10" t="n"/>
      <c r="C3471" s="10" t="n"/>
      <c r="D3471" s="10" t="n"/>
      <c r="E3471" s="14">
        <f>IF(D3471="","",IFERROR(INDEX('Sản phẩm'!$B$5:$B$304,MATCH(D3471,'Sản phẩm'!$A$5:$A$304,0)),""))</f>
        <v/>
      </c>
      <c r="F3471" s="12" t="n"/>
      <c r="G3471" s="11" t="n"/>
      <c r="H3471" s="11" t="n"/>
      <c r="I3471" s="16">
        <f>IF(D3471="","",IF(G3471&lt;&gt;"",G3471,IFERROR(INDEX('Sản phẩm'!$E$5:$E$304,MATCH(D3471,'Sản phẩm'!$A$5:$A$304,0)),"")))</f>
        <v/>
      </c>
      <c r="J3471" s="16">
        <f>IF(OR(D3471="",F3471=""),"",F3471*I3471-N(H3471))</f>
        <v/>
      </c>
      <c r="K3471" s="16">
        <f>IF(OR(D3471="",F3471=""),"",F3471*IFERROR(INDEX('Sản phẩm'!$D$5:$D$304,MATCH(D3471,'Sản phẩm'!$A$5:$A$304,0)),""))</f>
        <v/>
      </c>
      <c r="L3471" s="16">
        <f>IF(J3471="","",J3471-K3471)</f>
        <v/>
      </c>
      <c r="M3471" s="14">
        <f>IF(A3471="","",MONTH(A3471))</f>
        <v/>
      </c>
      <c r="N3471" s="14">
        <f>IF(A3471="","",YEAR(A3471))</f>
        <v/>
      </c>
    </row>
    <row r="3472">
      <c r="A3472" s="15" t="n"/>
      <c r="B3472" s="10" t="n"/>
      <c r="C3472" s="10" t="n"/>
      <c r="D3472" s="10" t="n"/>
      <c r="E3472" s="14">
        <f>IF(D3472="","",IFERROR(INDEX('Sản phẩm'!$B$5:$B$304,MATCH(D3472,'Sản phẩm'!$A$5:$A$304,0)),""))</f>
        <v/>
      </c>
      <c r="F3472" s="12" t="n"/>
      <c r="G3472" s="11" t="n"/>
      <c r="H3472" s="11" t="n"/>
      <c r="I3472" s="16">
        <f>IF(D3472="","",IF(G3472&lt;&gt;"",G3472,IFERROR(INDEX('Sản phẩm'!$E$5:$E$304,MATCH(D3472,'Sản phẩm'!$A$5:$A$304,0)),"")))</f>
        <v/>
      </c>
      <c r="J3472" s="16">
        <f>IF(OR(D3472="",F3472=""),"",F3472*I3472-N(H3472))</f>
        <v/>
      </c>
      <c r="K3472" s="16">
        <f>IF(OR(D3472="",F3472=""),"",F3472*IFERROR(INDEX('Sản phẩm'!$D$5:$D$304,MATCH(D3472,'Sản phẩm'!$A$5:$A$304,0)),""))</f>
        <v/>
      </c>
      <c r="L3472" s="16">
        <f>IF(J3472="","",J3472-K3472)</f>
        <v/>
      </c>
      <c r="M3472" s="14">
        <f>IF(A3472="","",MONTH(A3472))</f>
        <v/>
      </c>
      <c r="N3472" s="14">
        <f>IF(A3472="","",YEAR(A3472))</f>
        <v/>
      </c>
    </row>
    <row r="3473">
      <c r="A3473" s="15" t="n"/>
      <c r="B3473" s="10" t="n"/>
      <c r="C3473" s="10" t="n"/>
      <c r="D3473" s="10" t="n"/>
      <c r="E3473" s="14">
        <f>IF(D3473="","",IFERROR(INDEX('Sản phẩm'!$B$5:$B$304,MATCH(D3473,'Sản phẩm'!$A$5:$A$304,0)),""))</f>
        <v/>
      </c>
      <c r="F3473" s="12" t="n"/>
      <c r="G3473" s="11" t="n"/>
      <c r="H3473" s="11" t="n"/>
      <c r="I3473" s="16">
        <f>IF(D3473="","",IF(G3473&lt;&gt;"",G3473,IFERROR(INDEX('Sản phẩm'!$E$5:$E$304,MATCH(D3473,'Sản phẩm'!$A$5:$A$304,0)),"")))</f>
        <v/>
      </c>
      <c r="J3473" s="16">
        <f>IF(OR(D3473="",F3473=""),"",F3473*I3473-N(H3473))</f>
        <v/>
      </c>
      <c r="K3473" s="16">
        <f>IF(OR(D3473="",F3473=""),"",F3473*IFERROR(INDEX('Sản phẩm'!$D$5:$D$304,MATCH(D3473,'Sản phẩm'!$A$5:$A$304,0)),""))</f>
        <v/>
      </c>
      <c r="L3473" s="16">
        <f>IF(J3473="","",J3473-K3473)</f>
        <v/>
      </c>
      <c r="M3473" s="14">
        <f>IF(A3473="","",MONTH(A3473))</f>
        <v/>
      </c>
      <c r="N3473" s="14">
        <f>IF(A3473="","",YEAR(A3473))</f>
        <v/>
      </c>
    </row>
    <row r="3474">
      <c r="A3474" s="15" t="n"/>
      <c r="B3474" s="10" t="n"/>
      <c r="C3474" s="10" t="n"/>
      <c r="D3474" s="10" t="n"/>
      <c r="E3474" s="14">
        <f>IF(D3474="","",IFERROR(INDEX('Sản phẩm'!$B$5:$B$304,MATCH(D3474,'Sản phẩm'!$A$5:$A$304,0)),""))</f>
        <v/>
      </c>
      <c r="F3474" s="12" t="n"/>
      <c r="G3474" s="11" t="n"/>
      <c r="H3474" s="11" t="n"/>
      <c r="I3474" s="16">
        <f>IF(D3474="","",IF(G3474&lt;&gt;"",G3474,IFERROR(INDEX('Sản phẩm'!$E$5:$E$304,MATCH(D3474,'Sản phẩm'!$A$5:$A$304,0)),"")))</f>
        <v/>
      </c>
      <c r="J3474" s="16">
        <f>IF(OR(D3474="",F3474=""),"",F3474*I3474-N(H3474))</f>
        <v/>
      </c>
      <c r="K3474" s="16">
        <f>IF(OR(D3474="",F3474=""),"",F3474*IFERROR(INDEX('Sản phẩm'!$D$5:$D$304,MATCH(D3474,'Sản phẩm'!$A$5:$A$304,0)),""))</f>
        <v/>
      </c>
      <c r="L3474" s="16">
        <f>IF(J3474="","",J3474-K3474)</f>
        <v/>
      </c>
      <c r="M3474" s="14">
        <f>IF(A3474="","",MONTH(A3474))</f>
        <v/>
      </c>
      <c r="N3474" s="14">
        <f>IF(A3474="","",YEAR(A3474))</f>
        <v/>
      </c>
    </row>
    <row r="3475">
      <c r="A3475" s="15" t="n"/>
      <c r="B3475" s="10" t="n"/>
      <c r="C3475" s="10" t="n"/>
      <c r="D3475" s="10" t="n"/>
      <c r="E3475" s="14">
        <f>IF(D3475="","",IFERROR(INDEX('Sản phẩm'!$B$5:$B$304,MATCH(D3475,'Sản phẩm'!$A$5:$A$304,0)),""))</f>
        <v/>
      </c>
      <c r="F3475" s="12" t="n"/>
      <c r="G3475" s="11" t="n"/>
      <c r="H3475" s="11" t="n"/>
      <c r="I3475" s="16">
        <f>IF(D3475="","",IF(G3475&lt;&gt;"",G3475,IFERROR(INDEX('Sản phẩm'!$E$5:$E$304,MATCH(D3475,'Sản phẩm'!$A$5:$A$304,0)),"")))</f>
        <v/>
      </c>
      <c r="J3475" s="16">
        <f>IF(OR(D3475="",F3475=""),"",F3475*I3475-N(H3475))</f>
        <v/>
      </c>
      <c r="K3475" s="16">
        <f>IF(OR(D3475="",F3475=""),"",F3475*IFERROR(INDEX('Sản phẩm'!$D$5:$D$304,MATCH(D3475,'Sản phẩm'!$A$5:$A$304,0)),""))</f>
        <v/>
      </c>
      <c r="L3475" s="16">
        <f>IF(J3475="","",J3475-K3475)</f>
        <v/>
      </c>
      <c r="M3475" s="14">
        <f>IF(A3475="","",MONTH(A3475))</f>
        <v/>
      </c>
      <c r="N3475" s="14">
        <f>IF(A3475="","",YEAR(A3475))</f>
        <v/>
      </c>
    </row>
    <row r="3476">
      <c r="A3476" s="15" t="n"/>
      <c r="B3476" s="10" t="n"/>
      <c r="C3476" s="10" t="n"/>
      <c r="D3476" s="10" t="n"/>
      <c r="E3476" s="14">
        <f>IF(D3476="","",IFERROR(INDEX('Sản phẩm'!$B$5:$B$304,MATCH(D3476,'Sản phẩm'!$A$5:$A$304,0)),""))</f>
        <v/>
      </c>
      <c r="F3476" s="12" t="n"/>
      <c r="G3476" s="11" t="n"/>
      <c r="H3476" s="11" t="n"/>
      <c r="I3476" s="16">
        <f>IF(D3476="","",IF(G3476&lt;&gt;"",G3476,IFERROR(INDEX('Sản phẩm'!$E$5:$E$304,MATCH(D3476,'Sản phẩm'!$A$5:$A$304,0)),"")))</f>
        <v/>
      </c>
      <c r="J3476" s="16">
        <f>IF(OR(D3476="",F3476=""),"",F3476*I3476-N(H3476))</f>
        <v/>
      </c>
      <c r="K3476" s="16">
        <f>IF(OR(D3476="",F3476=""),"",F3476*IFERROR(INDEX('Sản phẩm'!$D$5:$D$304,MATCH(D3476,'Sản phẩm'!$A$5:$A$304,0)),""))</f>
        <v/>
      </c>
      <c r="L3476" s="16">
        <f>IF(J3476="","",J3476-K3476)</f>
        <v/>
      </c>
      <c r="M3476" s="14">
        <f>IF(A3476="","",MONTH(A3476))</f>
        <v/>
      </c>
      <c r="N3476" s="14">
        <f>IF(A3476="","",YEAR(A3476))</f>
        <v/>
      </c>
    </row>
    <row r="3477">
      <c r="A3477" s="15" t="n"/>
      <c r="B3477" s="10" t="n"/>
      <c r="C3477" s="10" t="n"/>
      <c r="D3477" s="10" t="n"/>
      <c r="E3477" s="14">
        <f>IF(D3477="","",IFERROR(INDEX('Sản phẩm'!$B$5:$B$304,MATCH(D3477,'Sản phẩm'!$A$5:$A$304,0)),""))</f>
        <v/>
      </c>
      <c r="F3477" s="12" t="n"/>
      <c r="G3477" s="11" t="n"/>
      <c r="H3477" s="11" t="n"/>
      <c r="I3477" s="16">
        <f>IF(D3477="","",IF(G3477&lt;&gt;"",G3477,IFERROR(INDEX('Sản phẩm'!$E$5:$E$304,MATCH(D3477,'Sản phẩm'!$A$5:$A$304,0)),"")))</f>
        <v/>
      </c>
      <c r="J3477" s="16">
        <f>IF(OR(D3477="",F3477=""),"",F3477*I3477-N(H3477))</f>
        <v/>
      </c>
      <c r="K3477" s="16">
        <f>IF(OR(D3477="",F3477=""),"",F3477*IFERROR(INDEX('Sản phẩm'!$D$5:$D$304,MATCH(D3477,'Sản phẩm'!$A$5:$A$304,0)),""))</f>
        <v/>
      </c>
      <c r="L3477" s="16">
        <f>IF(J3477="","",J3477-K3477)</f>
        <v/>
      </c>
      <c r="M3477" s="14">
        <f>IF(A3477="","",MONTH(A3477))</f>
        <v/>
      </c>
      <c r="N3477" s="14">
        <f>IF(A3477="","",YEAR(A3477))</f>
        <v/>
      </c>
    </row>
    <row r="3478">
      <c r="A3478" s="15" t="n"/>
      <c r="B3478" s="10" t="n"/>
      <c r="C3478" s="10" t="n"/>
      <c r="D3478" s="10" t="n"/>
      <c r="E3478" s="14">
        <f>IF(D3478="","",IFERROR(INDEX('Sản phẩm'!$B$5:$B$304,MATCH(D3478,'Sản phẩm'!$A$5:$A$304,0)),""))</f>
        <v/>
      </c>
      <c r="F3478" s="12" t="n"/>
      <c r="G3478" s="11" t="n"/>
      <c r="H3478" s="11" t="n"/>
      <c r="I3478" s="16">
        <f>IF(D3478="","",IF(G3478&lt;&gt;"",G3478,IFERROR(INDEX('Sản phẩm'!$E$5:$E$304,MATCH(D3478,'Sản phẩm'!$A$5:$A$304,0)),"")))</f>
        <v/>
      </c>
      <c r="J3478" s="16">
        <f>IF(OR(D3478="",F3478=""),"",F3478*I3478-N(H3478))</f>
        <v/>
      </c>
      <c r="K3478" s="16">
        <f>IF(OR(D3478="",F3478=""),"",F3478*IFERROR(INDEX('Sản phẩm'!$D$5:$D$304,MATCH(D3478,'Sản phẩm'!$A$5:$A$304,0)),""))</f>
        <v/>
      </c>
      <c r="L3478" s="16">
        <f>IF(J3478="","",J3478-K3478)</f>
        <v/>
      </c>
      <c r="M3478" s="14">
        <f>IF(A3478="","",MONTH(A3478))</f>
        <v/>
      </c>
      <c r="N3478" s="14">
        <f>IF(A3478="","",YEAR(A3478))</f>
        <v/>
      </c>
    </row>
    <row r="3479">
      <c r="A3479" s="15" t="n"/>
      <c r="B3479" s="10" t="n"/>
      <c r="C3479" s="10" t="n"/>
      <c r="D3479" s="10" t="n"/>
      <c r="E3479" s="14">
        <f>IF(D3479="","",IFERROR(INDEX('Sản phẩm'!$B$5:$B$304,MATCH(D3479,'Sản phẩm'!$A$5:$A$304,0)),""))</f>
        <v/>
      </c>
      <c r="F3479" s="12" t="n"/>
      <c r="G3479" s="11" t="n"/>
      <c r="H3479" s="11" t="n"/>
      <c r="I3479" s="16">
        <f>IF(D3479="","",IF(G3479&lt;&gt;"",G3479,IFERROR(INDEX('Sản phẩm'!$E$5:$E$304,MATCH(D3479,'Sản phẩm'!$A$5:$A$304,0)),"")))</f>
        <v/>
      </c>
      <c r="J3479" s="16">
        <f>IF(OR(D3479="",F3479=""),"",F3479*I3479-N(H3479))</f>
        <v/>
      </c>
      <c r="K3479" s="16">
        <f>IF(OR(D3479="",F3479=""),"",F3479*IFERROR(INDEX('Sản phẩm'!$D$5:$D$304,MATCH(D3479,'Sản phẩm'!$A$5:$A$304,0)),""))</f>
        <v/>
      </c>
      <c r="L3479" s="16">
        <f>IF(J3479="","",J3479-K3479)</f>
        <v/>
      </c>
      <c r="M3479" s="14">
        <f>IF(A3479="","",MONTH(A3479))</f>
        <v/>
      </c>
      <c r="N3479" s="14">
        <f>IF(A3479="","",YEAR(A3479))</f>
        <v/>
      </c>
    </row>
    <row r="3480">
      <c r="A3480" s="15" t="n"/>
      <c r="B3480" s="10" t="n"/>
      <c r="C3480" s="10" t="n"/>
      <c r="D3480" s="10" t="n"/>
      <c r="E3480" s="14">
        <f>IF(D3480="","",IFERROR(INDEX('Sản phẩm'!$B$5:$B$304,MATCH(D3480,'Sản phẩm'!$A$5:$A$304,0)),""))</f>
        <v/>
      </c>
      <c r="F3480" s="12" t="n"/>
      <c r="G3480" s="11" t="n"/>
      <c r="H3480" s="11" t="n"/>
      <c r="I3480" s="16">
        <f>IF(D3480="","",IF(G3480&lt;&gt;"",G3480,IFERROR(INDEX('Sản phẩm'!$E$5:$E$304,MATCH(D3480,'Sản phẩm'!$A$5:$A$304,0)),"")))</f>
        <v/>
      </c>
      <c r="J3480" s="16">
        <f>IF(OR(D3480="",F3480=""),"",F3480*I3480-N(H3480))</f>
        <v/>
      </c>
      <c r="K3480" s="16">
        <f>IF(OR(D3480="",F3480=""),"",F3480*IFERROR(INDEX('Sản phẩm'!$D$5:$D$304,MATCH(D3480,'Sản phẩm'!$A$5:$A$304,0)),""))</f>
        <v/>
      </c>
      <c r="L3480" s="16">
        <f>IF(J3480="","",J3480-K3480)</f>
        <v/>
      </c>
      <c r="M3480" s="14">
        <f>IF(A3480="","",MONTH(A3480))</f>
        <v/>
      </c>
      <c r="N3480" s="14">
        <f>IF(A3480="","",YEAR(A3480))</f>
        <v/>
      </c>
    </row>
    <row r="3481">
      <c r="A3481" s="15" t="n"/>
      <c r="B3481" s="10" t="n"/>
      <c r="C3481" s="10" t="n"/>
      <c r="D3481" s="10" t="n"/>
      <c r="E3481" s="14">
        <f>IF(D3481="","",IFERROR(INDEX('Sản phẩm'!$B$5:$B$304,MATCH(D3481,'Sản phẩm'!$A$5:$A$304,0)),""))</f>
        <v/>
      </c>
      <c r="F3481" s="12" t="n"/>
      <c r="G3481" s="11" t="n"/>
      <c r="H3481" s="11" t="n"/>
      <c r="I3481" s="16">
        <f>IF(D3481="","",IF(G3481&lt;&gt;"",G3481,IFERROR(INDEX('Sản phẩm'!$E$5:$E$304,MATCH(D3481,'Sản phẩm'!$A$5:$A$304,0)),"")))</f>
        <v/>
      </c>
      <c r="J3481" s="16">
        <f>IF(OR(D3481="",F3481=""),"",F3481*I3481-N(H3481))</f>
        <v/>
      </c>
      <c r="K3481" s="16">
        <f>IF(OR(D3481="",F3481=""),"",F3481*IFERROR(INDEX('Sản phẩm'!$D$5:$D$304,MATCH(D3481,'Sản phẩm'!$A$5:$A$304,0)),""))</f>
        <v/>
      </c>
      <c r="L3481" s="16">
        <f>IF(J3481="","",J3481-K3481)</f>
        <v/>
      </c>
      <c r="M3481" s="14">
        <f>IF(A3481="","",MONTH(A3481))</f>
        <v/>
      </c>
      <c r="N3481" s="14">
        <f>IF(A3481="","",YEAR(A3481))</f>
        <v/>
      </c>
    </row>
    <row r="3482">
      <c r="A3482" s="15" t="n"/>
      <c r="B3482" s="10" t="n"/>
      <c r="C3482" s="10" t="n"/>
      <c r="D3482" s="10" t="n"/>
      <c r="E3482" s="14">
        <f>IF(D3482="","",IFERROR(INDEX('Sản phẩm'!$B$5:$B$304,MATCH(D3482,'Sản phẩm'!$A$5:$A$304,0)),""))</f>
        <v/>
      </c>
      <c r="F3482" s="12" t="n"/>
      <c r="G3482" s="11" t="n"/>
      <c r="H3482" s="11" t="n"/>
      <c r="I3482" s="16">
        <f>IF(D3482="","",IF(G3482&lt;&gt;"",G3482,IFERROR(INDEX('Sản phẩm'!$E$5:$E$304,MATCH(D3482,'Sản phẩm'!$A$5:$A$304,0)),"")))</f>
        <v/>
      </c>
      <c r="J3482" s="16">
        <f>IF(OR(D3482="",F3482=""),"",F3482*I3482-N(H3482))</f>
        <v/>
      </c>
      <c r="K3482" s="16">
        <f>IF(OR(D3482="",F3482=""),"",F3482*IFERROR(INDEX('Sản phẩm'!$D$5:$D$304,MATCH(D3482,'Sản phẩm'!$A$5:$A$304,0)),""))</f>
        <v/>
      </c>
      <c r="L3482" s="16">
        <f>IF(J3482="","",J3482-K3482)</f>
        <v/>
      </c>
      <c r="M3482" s="14">
        <f>IF(A3482="","",MONTH(A3482))</f>
        <v/>
      </c>
      <c r="N3482" s="14">
        <f>IF(A3482="","",YEAR(A3482))</f>
        <v/>
      </c>
    </row>
    <row r="3483">
      <c r="A3483" s="15" t="n"/>
      <c r="B3483" s="10" t="n"/>
      <c r="C3483" s="10" t="n"/>
      <c r="D3483" s="10" t="n"/>
      <c r="E3483" s="14">
        <f>IF(D3483="","",IFERROR(INDEX('Sản phẩm'!$B$5:$B$304,MATCH(D3483,'Sản phẩm'!$A$5:$A$304,0)),""))</f>
        <v/>
      </c>
      <c r="F3483" s="12" t="n"/>
      <c r="G3483" s="11" t="n"/>
      <c r="H3483" s="11" t="n"/>
      <c r="I3483" s="16">
        <f>IF(D3483="","",IF(G3483&lt;&gt;"",G3483,IFERROR(INDEX('Sản phẩm'!$E$5:$E$304,MATCH(D3483,'Sản phẩm'!$A$5:$A$304,0)),"")))</f>
        <v/>
      </c>
      <c r="J3483" s="16">
        <f>IF(OR(D3483="",F3483=""),"",F3483*I3483-N(H3483))</f>
        <v/>
      </c>
      <c r="K3483" s="16">
        <f>IF(OR(D3483="",F3483=""),"",F3483*IFERROR(INDEX('Sản phẩm'!$D$5:$D$304,MATCH(D3483,'Sản phẩm'!$A$5:$A$304,0)),""))</f>
        <v/>
      </c>
      <c r="L3483" s="16">
        <f>IF(J3483="","",J3483-K3483)</f>
        <v/>
      </c>
      <c r="M3483" s="14">
        <f>IF(A3483="","",MONTH(A3483))</f>
        <v/>
      </c>
      <c r="N3483" s="14">
        <f>IF(A3483="","",YEAR(A3483))</f>
        <v/>
      </c>
    </row>
    <row r="3484">
      <c r="A3484" s="15" t="n"/>
      <c r="B3484" s="10" t="n"/>
      <c r="C3484" s="10" t="n"/>
      <c r="D3484" s="10" t="n"/>
      <c r="E3484" s="14">
        <f>IF(D3484="","",IFERROR(INDEX('Sản phẩm'!$B$5:$B$304,MATCH(D3484,'Sản phẩm'!$A$5:$A$304,0)),""))</f>
        <v/>
      </c>
      <c r="F3484" s="12" t="n"/>
      <c r="G3484" s="11" t="n"/>
      <c r="H3484" s="11" t="n"/>
      <c r="I3484" s="16">
        <f>IF(D3484="","",IF(G3484&lt;&gt;"",G3484,IFERROR(INDEX('Sản phẩm'!$E$5:$E$304,MATCH(D3484,'Sản phẩm'!$A$5:$A$304,0)),"")))</f>
        <v/>
      </c>
      <c r="J3484" s="16">
        <f>IF(OR(D3484="",F3484=""),"",F3484*I3484-N(H3484))</f>
        <v/>
      </c>
      <c r="K3484" s="16">
        <f>IF(OR(D3484="",F3484=""),"",F3484*IFERROR(INDEX('Sản phẩm'!$D$5:$D$304,MATCH(D3484,'Sản phẩm'!$A$5:$A$304,0)),""))</f>
        <v/>
      </c>
      <c r="L3484" s="16">
        <f>IF(J3484="","",J3484-K3484)</f>
        <v/>
      </c>
      <c r="M3484" s="14">
        <f>IF(A3484="","",MONTH(A3484))</f>
        <v/>
      </c>
      <c r="N3484" s="14">
        <f>IF(A3484="","",YEAR(A3484))</f>
        <v/>
      </c>
    </row>
    <row r="3485">
      <c r="A3485" s="15" t="n"/>
      <c r="B3485" s="10" t="n"/>
      <c r="C3485" s="10" t="n"/>
      <c r="D3485" s="10" t="n"/>
      <c r="E3485" s="14">
        <f>IF(D3485="","",IFERROR(INDEX('Sản phẩm'!$B$5:$B$304,MATCH(D3485,'Sản phẩm'!$A$5:$A$304,0)),""))</f>
        <v/>
      </c>
      <c r="F3485" s="12" t="n"/>
      <c r="G3485" s="11" t="n"/>
      <c r="H3485" s="11" t="n"/>
      <c r="I3485" s="16">
        <f>IF(D3485="","",IF(G3485&lt;&gt;"",G3485,IFERROR(INDEX('Sản phẩm'!$E$5:$E$304,MATCH(D3485,'Sản phẩm'!$A$5:$A$304,0)),"")))</f>
        <v/>
      </c>
      <c r="J3485" s="16">
        <f>IF(OR(D3485="",F3485=""),"",F3485*I3485-N(H3485))</f>
        <v/>
      </c>
      <c r="K3485" s="16">
        <f>IF(OR(D3485="",F3485=""),"",F3485*IFERROR(INDEX('Sản phẩm'!$D$5:$D$304,MATCH(D3485,'Sản phẩm'!$A$5:$A$304,0)),""))</f>
        <v/>
      </c>
      <c r="L3485" s="16">
        <f>IF(J3485="","",J3485-K3485)</f>
        <v/>
      </c>
      <c r="M3485" s="14">
        <f>IF(A3485="","",MONTH(A3485))</f>
        <v/>
      </c>
      <c r="N3485" s="14">
        <f>IF(A3485="","",YEAR(A3485))</f>
        <v/>
      </c>
    </row>
    <row r="3486">
      <c r="A3486" s="15" t="n"/>
      <c r="B3486" s="10" t="n"/>
      <c r="C3486" s="10" t="n"/>
      <c r="D3486" s="10" t="n"/>
      <c r="E3486" s="14">
        <f>IF(D3486="","",IFERROR(INDEX('Sản phẩm'!$B$5:$B$304,MATCH(D3486,'Sản phẩm'!$A$5:$A$304,0)),""))</f>
        <v/>
      </c>
      <c r="F3486" s="12" t="n"/>
      <c r="G3486" s="11" t="n"/>
      <c r="H3486" s="11" t="n"/>
      <c r="I3486" s="16">
        <f>IF(D3486="","",IF(G3486&lt;&gt;"",G3486,IFERROR(INDEX('Sản phẩm'!$E$5:$E$304,MATCH(D3486,'Sản phẩm'!$A$5:$A$304,0)),"")))</f>
        <v/>
      </c>
      <c r="J3486" s="16">
        <f>IF(OR(D3486="",F3486=""),"",F3486*I3486-N(H3486))</f>
        <v/>
      </c>
      <c r="K3486" s="16">
        <f>IF(OR(D3486="",F3486=""),"",F3486*IFERROR(INDEX('Sản phẩm'!$D$5:$D$304,MATCH(D3486,'Sản phẩm'!$A$5:$A$304,0)),""))</f>
        <v/>
      </c>
      <c r="L3486" s="16">
        <f>IF(J3486="","",J3486-K3486)</f>
        <v/>
      </c>
      <c r="M3486" s="14">
        <f>IF(A3486="","",MONTH(A3486))</f>
        <v/>
      </c>
      <c r="N3486" s="14">
        <f>IF(A3486="","",YEAR(A3486))</f>
        <v/>
      </c>
    </row>
    <row r="3487">
      <c r="A3487" s="15" t="n"/>
      <c r="B3487" s="10" t="n"/>
      <c r="C3487" s="10" t="n"/>
      <c r="D3487" s="10" t="n"/>
      <c r="E3487" s="14">
        <f>IF(D3487="","",IFERROR(INDEX('Sản phẩm'!$B$5:$B$304,MATCH(D3487,'Sản phẩm'!$A$5:$A$304,0)),""))</f>
        <v/>
      </c>
      <c r="F3487" s="12" t="n"/>
      <c r="G3487" s="11" t="n"/>
      <c r="H3487" s="11" t="n"/>
      <c r="I3487" s="16">
        <f>IF(D3487="","",IF(G3487&lt;&gt;"",G3487,IFERROR(INDEX('Sản phẩm'!$E$5:$E$304,MATCH(D3487,'Sản phẩm'!$A$5:$A$304,0)),"")))</f>
        <v/>
      </c>
      <c r="J3487" s="16">
        <f>IF(OR(D3487="",F3487=""),"",F3487*I3487-N(H3487))</f>
        <v/>
      </c>
      <c r="K3487" s="16">
        <f>IF(OR(D3487="",F3487=""),"",F3487*IFERROR(INDEX('Sản phẩm'!$D$5:$D$304,MATCH(D3487,'Sản phẩm'!$A$5:$A$304,0)),""))</f>
        <v/>
      </c>
      <c r="L3487" s="16">
        <f>IF(J3487="","",J3487-K3487)</f>
        <v/>
      </c>
      <c r="M3487" s="14">
        <f>IF(A3487="","",MONTH(A3487))</f>
        <v/>
      </c>
      <c r="N3487" s="14">
        <f>IF(A3487="","",YEAR(A3487))</f>
        <v/>
      </c>
    </row>
    <row r="3488">
      <c r="A3488" s="15" t="n"/>
      <c r="B3488" s="10" t="n"/>
      <c r="C3488" s="10" t="n"/>
      <c r="D3488" s="10" t="n"/>
      <c r="E3488" s="14">
        <f>IF(D3488="","",IFERROR(INDEX('Sản phẩm'!$B$5:$B$304,MATCH(D3488,'Sản phẩm'!$A$5:$A$304,0)),""))</f>
        <v/>
      </c>
      <c r="F3488" s="12" t="n"/>
      <c r="G3488" s="11" t="n"/>
      <c r="H3488" s="11" t="n"/>
      <c r="I3488" s="16">
        <f>IF(D3488="","",IF(G3488&lt;&gt;"",G3488,IFERROR(INDEX('Sản phẩm'!$E$5:$E$304,MATCH(D3488,'Sản phẩm'!$A$5:$A$304,0)),"")))</f>
        <v/>
      </c>
      <c r="J3488" s="16">
        <f>IF(OR(D3488="",F3488=""),"",F3488*I3488-N(H3488))</f>
        <v/>
      </c>
      <c r="K3488" s="16">
        <f>IF(OR(D3488="",F3488=""),"",F3488*IFERROR(INDEX('Sản phẩm'!$D$5:$D$304,MATCH(D3488,'Sản phẩm'!$A$5:$A$304,0)),""))</f>
        <v/>
      </c>
      <c r="L3488" s="16">
        <f>IF(J3488="","",J3488-K3488)</f>
        <v/>
      </c>
      <c r="M3488" s="14">
        <f>IF(A3488="","",MONTH(A3488))</f>
        <v/>
      </c>
      <c r="N3488" s="14">
        <f>IF(A3488="","",YEAR(A3488))</f>
        <v/>
      </c>
    </row>
    <row r="3489">
      <c r="A3489" s="15" t="n"/>
      <c r="B3489" s="10" t="n"/>
      <c r="C3489" s="10" t="n"/>
      <c r="D3489" s="10" t="n"/>
      <c r="E3489" s="14">
        <f>IF(D3489="","",IFERROR(INDEX('Sản phẩm'!$B$5:$B$304,MATCH(D3489,'Sản phẩm'!$A$5:$A$304,0)),""))</f>
        <v/>
      </c>
      <c r="F3489" s="12" t="n"/>
      <c r="G3489" s="11" t="n"/>
      <c r="H3489" s="11" t="n"/>
      <c r="I3489" s="16">
        <f>IF(D3489="","",IF(G3489&lt;&gt;"",G3489,IFERROR(INDEX('Sản phẩm'!$E$5:$E$304,MATCH(D3489,'Sản phẩm'!$A$5:$A$304,0)),"")))</f>
        <v/>
      </c>
      <c r="J3489" s="16">
        <f>IF(OR(D3489="",F3489=""),"",F3489*I3489-N(H3489))</f>
        <v/>
      </c>
      <c r="K3489" s="16">
        <f>IF(OR(D3489="",F3489=""),"",F3489*IFERROR(INDEX('Sản phẩm'!$D$5:$D$304,MATCH(D3489,'Sản phẩm'!$A$5:$A$304,0)),""))</f>
        <v/>
      </c>
      <c r="L3489" s="16">
        <f>IF(J3489="","",J3489-K3489)</f>
        <v/>
      </c>
      <c r="M3489" s="14">
        <f>IF(A3489="","",MONTH(A3489))</f>
        <v/>
      </c>
      <c r="N3489" s="14">
        <f>IF(A3489="","",YEAR(A3489))</f>
        <v/>
      </c>
    </row>
    <row r="3490">
      <c r="A3490" s="15" t="n"/>
      <c r="B3490" s="10" t="n"/>
      <c r="C3490" s="10" t="n"/>
      <c r="D3490" s="10" t="n"/>
      <c r="E3490" s="14">
        <f>IF(D3490="","",IFERROR(INDEX('Sản phẩm'!$B$5:$B$304,MATCH(D3490,'Sản phẩm'!$A$5:$A$304,0)),""))</f>
        <v/>
      </c>
      <c r="F3490" s="12" t="n"/>
      <c r="G3490" s="11" t="n"/>
      <c r="H3490" s="11" t="n"/>
      <c r="I3490" s="16">
        <f>IF(D3490="","",IF(G3490&lt;&gt;"",G3490,IFERROR(INDEX('Sản phẩm'!$E$5:$E$304,MATCH(D3490,'Sản phẩm'!$A$5:$A$304,0)),"")))</f>
        <v/>
      </c>
      <c r="J3490" s="16">
        <f>IF(OR(D3490="",F3490=""),"",F3490*I3490-N(H3490))</f>
        <v/>
      </c>
      <c r="K3490" s="16">
        <f>IF(OR(D3490="",F3490=""),"",F3490*IFERROR(INDEX('Sản phẩm'!$D$5:$D$304,MATCH(D3490,'Sản phẩm'!$A$5:$A$304,0)),""))</f>
        <v/>
      </c>
      <c r="L3490" s="16">
        <f>IF(J3490="","",J3490-K3490)</f>
        <v/>
      </c>
      <c r="M3490" s="14">
        <f>IF(A3490="","",MONTH(A3490))</f>
        <v/>
      </c>
      <c r="N3490" s="14">
        <f>IF(A3490="","",YEAR(A3490))</f>
        <v/>
      </c>
    </row>
    <row r="3491">
      <c r="A3491" s="15" t="n"/>
      <c r="B3491" s="10" t="n"/>
      <c r="C3491" s="10" t="n"/>
      <c r="D3491" s="10" t="n"/>
      <c r="E3491" s="14">
        <f>IF(D3491="","",IFERROR(INDEX('Sản phẩm'!$B$5:$B$304,MATCH(D3491,'Sản phẩm'!$A$5:$A$304,0)),""))</f>
        <v/>
      </c>
      <c r="F3491" s="12" t="n"/>
      <c r="G3491" s="11" t="n"/>
      <c r="H3491" s="11" t="n"/>
      <c r="I3491" s="16">
        <f>IF(D3491="","",IF(G3491&lt;&gt;"",G3491,IFERROR(INDEX('Sản phẩm'!$E$5:$E$304,MATCH(D3491,'Sản phẩm'!$A$5:$A$304,0)),"")))</f>
        <v/>
      </c>
      <c r="J3491" s="16">
        <f>IF(OR(D3491="",F3491=""),"",F3491*I3491-N(H3491))</f>
        <v/>
      </c>
      <c r="K3491" s="16">
        <f>IF(OR(D3491="",F3491=""),"",F3491*IFERROR(INDEX('Sản phẩm'!$D$5:$D$304,MATCH(D3491,'Sản phẩm'!$A$5:$A$304,0)),""))</f>
        <v/>
      </c>
      <c r="L3491" s="16">
        <f>IF(J3491="","",J3491-K3491)</f>
        <v/>
      </c>
      <c r="M3491" s="14">
        <f>IF(A3491="","",MONTH(A3491))</f>
        <v/>
      </c>
      <c r="N3491" s="14">
        <f>IF(A3491="","",YEAR(A3491))</f>
        <v/>
      </c>
    </row>
    <row r="3492">
      <c r="A3492" s="15" t="n"/>
      <c r="B3492" s="10" t="n"/>
      <c r="C3492" s="10" t="n"/>
      <c r="D3492" s="10" t="n"/>
      <c r="E3492" s="14">
        <f>IF(D3492="","",IFERROR(INDEX('Sản phẩm'!$B$5:$B$304,MATCH(D3492,'Sản phẩm'!$A$5:$A$304,0)),""))</f>
        <v/>
      </c>
      <c r="F3492" s="12" t="n"/>
      <c r="G3492" s="11" t="n"/>
      <c r="H3492" s="11" t="n"/>
      <c r="I3492" s="16">
        <f>IF(D3492="","",IF(G3492&lt;&gt;"",G3492,IFERROR(INDEX('Sản phẩm'!$E$5:$E$304,MATCH(D3492,'Sản phẩm'!$A$5:$A$304,0)),"")))</f>
        <v/>
      </c>
      <c r="J3492" s="16">
        <f>IF(OR(D3492="",F3492=""),"",F3492*I3492-N(H3492))</f>
        <v/>
      </c>
      <c r="K3492" s="16">
        <f>IF(OR(D3492="",F3492=""),"",F3492*IFERROR(INDEX('Sản phẩm'!$D$5:$D$304,MATCH(D3492,'Sản phẩm'!$A$5:$A$304,0)),""))</f>
        <v/>
      </c>
      <c r="L3492" s="16">
        <f>IF(J3492="","",J3492-K3492)</f>
        <v/>
      </c>
      <c r="M3492" s="14">
        <f>IF(A3492="","",MONTH(A3492))</f>
        <v/>
      </c>
      <c r="N3492" s="14">
        <f>IF(A3492="","",YEAR(A3492))</f>
        <v/>
      </c>
    </row>
    <row r="3493">
      <c r="A3493" s="15" t="n"/>
      <c r="B3493" s="10" t="n"/>
      <c r="C3493" s="10" t="n"/>
      <c r="D3493" s="10" t="n"/>
      <c r="E3493" s="14">
        <f>IF(D3493="","",IFERROR(INDEX('Sản phẩm'!$B$5:$B$304,MATCH(D3493,'Sản phẩm'!$A$5:$A$304,0)),""))</f>
        <v/>
      </c>
      <c r="F3493" s="12" t="n"/>
      <c r="G3493" s="11" t="n"/>
      <c r="H3493" s="11" t="n"/>
      <c r="I3493" s="16">
        <f>IF(D3493="","",IF(G3493&lt;&gt;"",G3493,IFERROR(INDEX('Sản phẩm'!$E$5:$E$304,MATCH(D3493,'Sản phẩm'!$A$5:$A$304,0)),"")))</f>
        <v/>
      </c>
      <c r="J3493" s="16">
        <f>IF(OR(D3493="",F3493=""),"",F3493*I3493-N(H3493))</f>
        <v/>
      </c>
      <c r="K3493" s="16">
        <f>IF(OR(D3493="",F3493=""),"",F3493*IFERROR(INDEX('Sản phẩm'!$D$5:$D$304,MATCH(D3493,'Sản phẩm'!$A$5:$A$304,0)),""))</f>
        <v/>
      </c>
      <c r="L3493" s="16">
        <f>IF(J3493="","",J3493-K3493)</f>
        <v/>
      </c>
      <c r="M3493" s="14">
        <f>IF(A3493="","",MONTH(A3493))</f>
        <v/>
      </c>
      <c r="N3493" s="14">
        <f>IF(A3493="","",YEAR(A3493))</f>
        <v/>
      </c>
    </row>
    <row r="3494">
      <c r="A3494" s="15" t="n"/>
      <c r="B3494" s="10" t="n"/>
      <c r="C3494" s="10" t="n"/>
      <c r="D3494" s="10" t="n"/>
      <c r="E3494" s="14">
        <f>IF(D3494="","",IFERROR(INDEX('Sản phẩm'!$B$5:$B$304,MATCH(D3494,'Sản phẩm'!$A$5:$A$304,0)),""))</f>
        <v/>
      </c>
      <c r="F3494" s="12" t="n"/>
      <c r="G3494" s="11" t="n"/>
      <c r="H3494" s="11" t="n"/>
      <c r="I3494" s="16">
        <f>IF(D3494="","",IF(G3494&lt;&gt;"",G3494,IFERROR(INDEX('Sản phẩm'!$E$5:$E$304,MATCH(D3494,'Sản phẩm'!$A$5:$A$304,0)),"")))</f>
        <v/>
      </c>
      <c r="J3494" s="16">
        <f>IF(OR(D3494="",F3494=""),"",F3494*I3494-N(H3494))</f>
        <v/>
      </c>
      <c r="K3494" s="16">
        <f>IF(OR(D3494="",F3494=""),"",F3494*IFERROR(INDEX('Sản phẩm'!$D$5:$D$304,MATCH(D3494,'Sản phẩm'!$A$5:$A$304,0)),""))</f>
        <v/>
      </c>
      <c r="L3494" s="16">
        <f>IF(J3494="","",J3494-K3494)</f>
        <v/>
      </c>
      <c r="M3494" s="14">
        <f>IF(A3494="","",MONTH(A3494))</f>
        <v/>
      </c>
      <c r="N3494" s="14">
        <f>IF(A3494="","",YEAR(A3494))</f>
        <v/>
      </c>
    </row>
    <row r="3495">
      <c r="A3495" s="15" t="n"/>
      <c r="B3495" s="10" t="n"/>
      <c r="C3495" s="10" t="n"/>
      <c r="D3495" s="10" t="n"/>
      <c r="E3495" s="14">
        <f>IF(D3495="","",IFERROR(INDEX('Sản phẩm'!$B$5:$B$304,MATCH(D3495,'Sản phẩm'!$A$5:$A$304,0)),""))</f>
        <v/>
      </c>
      <c r="F3495" s="12" t="n"/>
      <c r="G3495" s="11" t="n"/>
      <c r="H3495" s="11" t="n"/>
      <c r="I3495" s="16">
        <f>IF(D3495="","",IF(G3495&lt;&gt;"",G3495,IFERROR(INDEX('Sản phẩm'!$E$5:$E$304,MATCH(D3495,'Sản phẩm'!$A$5:$A$304,0)),"")))</f>
        <v/>
      </c>
      <c r="J3495" s="16">
        <f>IF(OR(D3495="",F3495=""),"",F3495*I3495-N(H3495))</f>
        <v/>
      </c>
      <c r="K3495" s="16">
        <f>IF(OR(D3495="",F3495=""),"",F3495*IFERROR(INDEX('Sản phẩm'!$D$5:$D$304,MATCH(D3495,'Sản phẩm'!$A$5:$A$304,0)),""))</f>
        <v/>
      </c>
      <c r="L3495" s="16">
        <f>IF(J3495="","",J3495-K3495)</f>
        <v/>
      </c>
      <c r="M3495" s="14">
        <f>IF(A3495="","",MONTH(A3495))</f>
        <v/>
      </c>
      <c r="N3495" s="14">
        <f>IF(A3495="","",YEAR(A3495))</f>
        <v/>
      </c>
    </row>
    <row r="3496">
      <c r="A3496" s="15" t="n"/>
      <c r="B3496" s="10" t="n"/>
      <c r="C3496" s="10" t="n"/>
      <c r="D3496" s="10" t="n"/>
      <c r="E3496" s="14">
        <f>IF(D3496="","",IFERROR(INDEX('Sản phẩm'!$B$5:$B$304,MATCH(D3496,'Sản phẩm'!$A$5:$A$304,0)),""))</f>
        <v/>
      </c>
      <c r="F3496" s="12" t="n"/>
      <c r="G3496" s="11" t="n"/>
      <c r="H3496" s="11" t="n"/>
      <c r="I3496" s="16">
        <f>IF(D3496="","",IF(G3496&lt;&gt;"",G3496,IFERROR(INDEX('Sản phẩm'!$E$5:$E$304,MATCH(D3496,'Sản phẩm'!$A$5:$A$304,0)),"")))</f>
        <v/>
      </c>
      <c r="J3496" s="16">
        <f>IF(OR(D3496="",F3496=""),"",F3496*I3496-N(H3496))</f>
        <v/>
      </c>
      <c r="K3496" s="16">
        <f>IF(OR(D3496="",F3496=""),"",F3496*IFERROR(INDEX('Sản phẩm'!$D$5:$D$304,MATCH(D3496,'Sản phẩm'!$A$5:$A$304,0)),""))</f>
        <v/>
      </c>
      <c r="L3496" s="16">
        <f>IF(J3496="","",J3496-K3496)</f>
        <v/>
      </c>
      <c r="M3496" s="14">
        <f>IF(A3496="","",MONTH(A3496))</f>
        <v/>
      </c>
      <c r="N3496" s="14">
        <f>IF(A3496="","",YEAR(A3496))</f>
        <v/>
      </c>
    </row>
    <row r="3497">
      <c r="A3497" s="15" t="n"/>
      <c r="B3497" s="10" t="n"/>
      <c r="C3497" s="10" t="n"/>
      <c r="D3497" s="10" t="n"/>
      <c r="E3497" s="14">
        <f>IF(D3497="","",IFERROR(INDEX('Sản phẩm'!$B$5:$B$304,MATCH(D3497,'Sản phẩm'!$A$5:$A$304,0)),""))</f>
        <v/>
      </c>
      <c r="F3497" s="12" t="n"/>
      <c r="G3497" s="11" t="n"/>
      <c r="H3497" s="11" t="n"/>
      <c r="I3497" s="16">
        <f>IF(D3497="","",IF(G3497&lt;&gt;"",G3497,IFERROR(INDEX('Sản phẩm'!$E$5:$E$304,MATCH(D3497,'Sản phẩm'!$A$5:$A$304,0)),"")))</f>
        <v/>
      </c>
      <c r="J3497" s="16">
        <f>IF(OR(D3497="",F3497=""),"",F3497*I3497-N(H3497))</f>
        <v/>
      </c>
      <c r="K3497" s="16">
        <f>IF(OR(D3497="",F3497=""),"",F3497*IFERROR(INDEX('Sản phẩm'!$D$5:$D$304,MATCH(D3497,'Sản phẩm'!$A$5:$A$304,0)),""))</f>
        <v/>
      </c>
      <c r="L3497" s="16">
        <f>IF(J3497="","",J3497-K3497)</f>
        <v/>
      </c>
      <c r="M3497" s="14">
        <f>IF(A3497="","",MONTH(A3497))</f>
        <v/>
      </c>
      <c r="N3497" s="14">
        <f>IF(A3497="","",YEAR(A3497))</f>
        <v/>
      </c>
    </row>
    <row r="3498">
      <c r="A3498" s="15" t="n"/>
      <c r="B3498" s="10" t="n"/>
      <c r="C3498" s="10" t="n"/>
      <c r="D3498" s="10" t="n"/>
      <c r="E3498" s="14">
        <f>IF(D3498="","",IFERROR(INDEX('Sản phẩm'!$B$5:$B$304,MATCH(D3498,'Sản phẩm'!$A$5:$A$304,0)),""))</f>
        <v/>
      </c>
      <c r="F3498" s="12" t="n"/>
      <c r="G3498" s="11" t="n"/>
      <c r="H3498" s="11" t="n"/>
      <c r="I3498" s="16">
        <f>IF(D3498="","",IF(G3498&lt;&gt;"",G3498,IFERROR(INDEX('Sản phẩm'!$E$5:$E$304,MATCH(D3498,'Sản phẩm'!$A$5:$A$304,0)),"")))</f>
        <v/>
      </c>
      <c r="J3498" s="16">
        <f>IF(OR(D3498="",F3498=""),"",F3498*I3498-N(H3498))</f>
        <v/>
      </c>
      <c r="K3498" s="16">
        <f>IF(OR(D3498="",F3498=""),"",F3498*IFERROR(INDEX('Sản phẩm'!$D$5:$D$304,MATCH(D3498,'Sản phẩm'!$A$5:$A$304,0)),""))</f>
        <v/>
      </c>
      <c r="L3498" s="16">
        <f>IF(J3498="","",J3498-K3498)</f>
        <v/>
      </c>
      <c r="M3498" s="14">
        <f>IF(A3498="","",MONTH(A3498))</f>
        <v/>
      </c>
      <c r="N3498" s="14">
        <f>IF(A3498="","",YEAR(A3498))</f>
        <v/>
      </c>
    </row>
    <row r="3499">
      <c r="A3499" s="15" t="n"/>
      <c r="B3499" s="10" t="n"/>
      <c r="C3499" s="10" t="n"/>
      <c r="D3499" s="10" t="n"/>
      <c r="E3499" s="14">
        <f>IF(D3499="","",IFERROR(INDEX('Sản phẩm'!$B$5:$B$304,MATCH(D3499,'Sản phẩm'!$A$5:$A$304,0)),""))</f>
        <v/>
      </c>
      <c r="F3499" s="12" t="n"/>
      <c r="G3499" s="11" t="n"/>
      <c r="H3499" s="11" t="n"/>
      <c r="I3499" s="16">
        <f>IF(D3499="","",IF(G3499&lt;&gt;"",G3499,IFERROR(INDEX('Sản phẩm'!$E$5:$E$304,MATCH(D3499,'Sản phẩm'!$A$5:$A$304,0)),"")))</f>
        <v/>
      </c>
      <c r="J3499" s="16">
        <f>IF(OR(D3499="",F3499=""),"",F3499*I3499-N(H3499))</f>
        <v/>
      </c>
      <c r="K3499" s="16">
        <f>IF(OR(D3499="",F3499=""),"",F3499*IFERROR(INDEX('Sản phẩm'!$D$5:$D$304,MATCH(D3499,'Sản phẩm'!$A$5:$A$304,0)),""))</f>
        <v/>
      </c>
      <c r="L3499" s="16">
        <f>IF(J3499="","",J3499-K3499)</f>
        <v/>
      </c>
      <c r="M3499" s="14">
        <f>IF(A3499="","",MONTH(A3499))</f>
        <v/>
      </c>
      <c r="N3499" s="14">
        <f>IF(A3499="","",YEAR(A3499))</f>
        <v/>
      </c>
    </row>
    <row r="3500">
      <c r="A3500" s="15" t="n"/>
      <c r="B3500" s="10" t="n"/>
      <c r="C3500" s="10" t="n"/>
      <c r="D3500" s="10" t="n"/>
      <c r="E3500" s="14">
        <f>IF(D3500="","",IFERROR(INDEX('Sản phẩm'!$B$5:$B$304,MATCH(D3500,'Sản phẩm'!$A$5:$A$304,0)),""))</f>
        <v/>
      </c>
      <c r="F3500" s="12" t="n"/>
      <c r="G3500" s="11" t="n"/>
      <c r="H3500" s="11" t="n"/>
      <c r="I3500" s="16">
        <f>IF(D3500="","",IF(G3500&lt;&gt;"",G3500,IFERROR(INDEX('Sản phẩm'!$E$5:$E$304,MATCH(D3500,'Sản phẩm'!$A$5:$A$304,0)),"")))</f>
        <v/>
      </c>
      <c r="J3500" s="16">
        <f>IF(OR(D3500="",F3500=""),"",F3500*I3500-N(H3500))</f>
        <v/>
      </c>
      <c r="K3500" s="16">
        <f>IF(OR(D3500="",F3500=""),"",F3500*IFERROR(INDEX('Sản phẩm'!$D$5:$D$304,MATCH(D3500,'Sản phẩm'!$A$5:$A$304,0)),""))</f>
        <v/>
      </c>
      <c r="L3500" s="16">
        <f>IF(J3500="","",J3500-K3500)</f>
        <v/>
      </c>
      <c r="M3500" s="14">
        <f>IF(A3500="","",MONTH(A3500))</f>
        <v/>
      </c>
      <c r="N3500" s="14">
        <f>IF(A3500="","",YEAR(A3500))</f>
        <v/>
      </c>
    </row>
    <row r="3501">
      <c r="A3501" s="15" t="n"/>
      <c r="B3501" s="10" t="n"/>
      <c r="C3501" s="10" t="n"/>
      <c r="D3501" s="10" t="n"/>
      <c r="E3501" s="14">
        <f>IF(D3501="","",IFERROR(INDEX('Sản phẩm'!$B$5:$B$304,MATCH(D3501,'Sản phẩm'!$A$5:$A$304,0)),""))</f>
        <v/>
      </c>
      <c r="F3501" s="12" t="n"/>
      <c r="G3501" s="11" t="n"/>
      <c r="H3501" s="11" t="n"/>
      <c r="I3501" s="16">
        <f>IF(D3501="","",IF(G3501&lt;&gt;"",G3501,IFERROR(INDEX('Sản phẩm'!$E$5:$E$304,MATCH(D3501,'Sản phẩm'!$A$5:$A$304,0)),"")))</f>
        <v/>
      </c>
      <c r="J3501" s="16">
        <f>IF(OR(D3501="",F3501=""),"",F3501*I3501-N(H3501))</f>
        <v/>
      </c>
      <c r="K3501" s="16">
        <f>IF(OR(D3501="",F3501=""),"",F3501*IFERROR(INDEX('Sản phẩm'!$D$5:$D$304,MATCH(D3501,'Sản phẩm'!$A$5:$A$304,0)),""))</f>
        <v/>
      </c>
      <c r="L3501" s="16">
        <f>IF(J3501="","",J3501-K3501)</f>
        <v/>
      </c>
      <c r="M3501" s="14">
        <f>IF(A3501="","",MONTH(A3501))</f>
        <v/>
      </c>
      <c r="N3501" s="14">
        <f>IF(A3501="","",YEAR(A3501))</f>
        <v/>
      </c>
    </row>
    <row r="3502">
      <c r="A3502" s="15" t="n"/>
      <c r="B3502" s="10" t="n"/>
      <c r="C3502" s="10" t="n"/>
      <c r="D3502" s="10" t="n"/>
      <c r="E3502" s="14">
        <f>IF(D3502="","",IFERROR(INDEX('Sản phẩm'!$B$5:$B$304,MATCH(D3502,'Sản phẩm'!$A$5:$A$304,0)),""))</f>
        <v/>
      </c>
      <c r="F3502" s="12" t="n"/>
      <c r="G3502" s="11" t="n"/>
      <c r="H3502" s="11" t="n"/>
      <c r="I3502" s="16">
        <f>IF(D3502="","",IF(G3502&lt;&gt;"",G3502,IFERROR(INDEX('Sản phẩm'!$E$5:$E$304,MATCH(D3502,'Sản phẩm'!$A$5:$A$304,0)),"")))</f>
        <v/>
      </c>
      <c r="J3502" s="16">
        <f>IF(OR(D3502="",F3502=""),"",F3502*I3502-N(H3502))</f>
        <v/>
      </c>
      <c r="K3502" s="16">
        <f>IF(OR(D3502="",F3502=""),"",F3502*IFERROR(INDEX('Sản phẩm'!$D$5:$D$304,MATCH(D3502,'Sản phẩm'!$A$5:$A$304,0)),""))</f>
        <v/>
      </c>
      <c r="L3502" s="16">
        <f>IF(J3502="","",J3502-K3502)</f>
        <v/>
      </c>
      <c r="M3502" s="14">
        <f>IF(A3502="","",MONTH(A3502))</f>
        <v/>
      </c>
      <c r="N3502" s="14">
        <f>IF(A3502="","",YEAR(A3502))</f>
        <v/>
      </c>
    </row>
    <row r="3503">
      <c r="A3503" s="15" t="n"/>
      <c r="B3503" s="10" t="n"/>
      <c r="C3503" s="10" t="n"/>
      <c r="D3503" s="10" t="n"/>
      <c r="E3503" s="14">
        <f>IF(D3503="","",IFERROR(INDEX('Sản phẩm'!$B$5:$B$304,MATCH(D3503,'Sản phẩm'!$A$5:$A$304,0)),""))</f>
        <v/>
      </c>
      <c r="F3503" s="12" t="n"/>
      <c r="G3503" s="11" t="n"/>
      <c r="H3503" s="11" t="n"/>
      <c r="I3503" s="16">
        <f>IF(D3503="","",IF(G3503&lt;&gt;"",G3503,IFERROR(INDEX('Sản phẩm'!$E$5:$E$304,MATCH(D3503,'Sản phẩm'!$A$5:$A$304,0)),"")))</f>
        <v/>
      </c>
      <c r="J3503" s="16">
        <f>IF(OR(D3503="",F3503=""),"",F3503*I3503-N(H3503))</f>
        <v/>
      </c>
      <c r="K3503" s="16">
        <f>IF(OR(D3503="",F3503=""),"",F3503*IFERROR(INDEX('Sản phẩm'!$D$5:$D$304,MATCH(D3503,'Sản phẩm'!$A$5:$A$304,0)),""))</f>
        <v/>
      </c>
      <c r="L3503" s="16">
        <f>IF(J3503="","",J3503-K3503)</f>
        <v/>
      </c>
      <c r="M3503" s="14">
        <f>IF(A3503="","",MONTH(A3503))</f>
        <v/>
      </c>
      <c r="N3503" s="14">
        <f>IF(A3503="","",YEAR(A3503))</f>
        <v/>
      </c>
    </row>
    <row r="3504">
      <c r="A3504" s="15" t="n"/>
      <c r="B3504" s="10" t="n"/>
      <c r="C3504" s="10" t="n"/>
      <c r="D3504" s="10" t="n"/>
      <c r="E3504" s="14">
        <f>IF(D3504="","",IFERROR(INDEX('Sản phẩm'!$B$5:$B$304,MATCH(D3504,'Sản phẩm'!$A$5:$A$304,0)),""))</f>
        <v/>
      </c>
      <c r="F3504" s="12" t="n"/>
      <c r="G3504" s="11" t="n"/>
      <c r="H3504" s="11" t="n"/>
      <c r="I3504" s="16">
        <f>IF(D3504="","",IF(G3504&lt;&gt;"",G3504,IFERROR(INDEX('Sản phẩm'!$E$5:$E$304,MATCH(D3504,'Sản phẩm'!$A$5:$A$304,0)),"")))</f>
        <v/>
      </c>
      <c r="J3504" s="16">
        <f>IF(OR(D3504="",F3504=""),"",F3504*I3504-N(H3504))</f>
        <v/>
      </c>
      <c r="K3504" s="16">
        <f>IF(OR(D3504="",F3504=""),"",F3504*IFERROR(INDEX('Sản phẩm'!$D$5:$D$304,MATCH(D3504,'Sản phẩm'!$A$5:$A$304,0)),""))</f>
        <v/>
      </c>
      <c r="L3504" s="16">
        <f>IF(J3504="","",J3504-K3504)</f>
        <v/>
      </c>
      <c r="M3504" s="14">
        <f>IF(A3504="","",MONTH(A3504))</f>
        <v/>
      </c>
      <c r="N3504" s="14">
        <f>IF(A3504="","",YEAR(A3504))</f>
        <v/>
      </c>
    </row>
    <row r="3505">
      <c r="A3505" s="15" t="n"/>
      <c r="B3505" s="10" t="n"/>
      <c r="C3505" s="10" t="n"/>
      <c r="D3505" s="10" t="n"/>
      <c r="E3505" s="14">
        <f>IF(D3505="","",IFERROR(INDEX('Sản phẩm'!$B$5:$B$304,MATCH(D3505,'Sản phẩm'!$A$5:$A$304,0)),""))</f>
        <v/>
      </c>
      <c r="F3505" s="12" t="n"/>
      <c r="G3505" s="11" t="n"/>
      <c r="H3505" s="11" t="n"/>
      <c r="I3505" s="16">
        <f>IF(D3505="","",IF(G3505&lt;&gt;"",G3505,IFERROR(INDEX('Sản phẩm'!$E$5:$E$304,MATCH(D3505,'Sản phẩm'!$A$5:$A$304,0)),"")))</f>
        <v/>
      </c>
      <c r="J3505" s="16">
        <f>IF(OR(D3505="",F3505=""),"",F3505*I3505-N(H3505))</f>
        <v/>
      </c>
      <c r="K3505" s="16">
        <f>IF(OR(D3505="",F3505=""),"",F3505*IFERROR(INDEX('Sản phẩm'!$D$5:$D$304,MATCH(D3505,'Sản phẩm'!$A$5:$A$304,0)),""))</f>
        <v/>
      </c>
      <c r="L3505" s="16">
        <f>IF(J3505="","",J3505-K3505)</f>
        <v/>
      </c>
      <c r="M3505" s="14">
        <f>IF(A3505="","",MONTH(A3505))</f>
        <v/>
      </c>
      <c r="N3505" s="14">
        <f>IF(A3505="","",YEAR(A3505))</f>
        <v/>
      </c>
    </row>
    <row r="3506">
      <c r="A3506" s="15" t="n"/>
      <c r="B3506" s="10" t="n"/>
      <c r="C3506" s="10" t="n"/>
      <c r="D3506" s="10" t="n"/>
      <c r="E3506" s="14">
        <f>IF(D3506="","",IFERROR(INDEX('Sản phẩm'!$B$5:$B$304,MATCH(D3506,'Sản phẩm'!$A$5:$A$304,0)),""))</f>
        <v/>
      </c>
      <c r="F3506" s="12" t="n"/>
      <c r="G3506" s="11" t="n"/>
      <c r="H3506" s="11" t="n"/>
      <c r="I3506" s="16">
        <f>IF(D3506="","",IF(G3506&lt;&gt;"",G3506,IFERROR(INDEX('Sản phẩm'!$E$5:$E$304,MATCH(D3506,'Sản phẩm'!$A$5:$A$304,0)),"")))</f>
        <v/>
      </c>
      <c r="J3506" s="16">
        <f>IF(OR(D3506="",F3506=""),"",F3506*I3506-N(H3506))</f>
        <v/>
      </c>
      <c r="K3506" s="16">
        <f>IF(OR(D3506="",F3506=""),"",F3506*IFERROR(INDEX('Sản phẩm'!$D$5:$D$304,MATCH(D3506,'Sản phẩm'!$A$5:$A$304,0)),""))</f>
        <v/>
      </c>
      <c r="L3506" s="16">
        <f>IF(J3506="","",J3506-K3506)</f>
        <v/>
      </c>
      <c r="M3506" s="14">
        <f>IF(A3506="","",MONTH(A3506))</f>
        <v/>
      </c>
      <c r="N3506" s="14">
        <f>IF(A3506="","",YEAR(A3506))</f>
        <v/>
      </c>
    </row>
    <row r="3507">
      <c r="A3507" s="15" t="n"/>
      <c r="B3507" s="10" t="n"/>
      <c r="C3507" s="10" t="n"/>
      <c r="D3507" s="10" t="n"/>
      <c r="E3507" s="14">
        <f>IF(D3507="","",IFERROR(INDEX('Sản phẩm'!$B$5:$B$304,MATCH(D3507,'Sản phẩm'!$A$5:$A$304,0)),""))</f>
        <v/>
      </c>
      <c r="F3507" s="12" t="n"/>
      <c r="G3507" s="11" t="n"/>
      <c r="H3507" s="11" t="n"/>
      <c r="I3507" s="16">
        <f>IF(D3507="","",IF(G3507&lt;&gt;"",G3507,IFERROR(INDEX('Sản phẩm'!$E$5:$E$304,MATCH(D3507,'Sản phẩm'!$A$5:$A$304,0)),"")))</f>
        <v/>
      </c>
      <c r="J3507" s="16">
        <f>IF(OR(D3507="",F3507=""),"",F3507*I3507-N(H3507))</f>
        <v/>
      </c>
      <c r="K3507" s="16">
        <f>IF(OR(D3507="",F3507=""),"",F3507*IFERROR(INDEX('Sản phẩm'!$D$5:$D$304,MATCH(D3507,'Sản phẩm'!$A$5:$A$304,0)),""))</f>
        <v/>
      </c>
      <c r="L3507" s="16">
        <f>IF(J3507="","",J3507-K3507)</f>
        <v/>
      </c>
      <c r="M3507" s="14">
        <f>IF(A3507="","",MONTH(A3507))</f>
        <v/>
      </c>
      <c r="N3507" s="14">
        <f>IF(A3507="","",YEAR(A3507))</f>
        <v/>
      </c>
    </row>
    <row r="3508">
      <c r="A3508" s="15" t="n"/>
      <c r="B3508" s="10" t="n"/>
      <c r="C3508" s="10" t="n"/>
      <c r="D3508" s="10" t="n"/>
      <c r="E3508" s="14">
        <f>IF(D3508="","",IFERROR(INDEX('Sản phẩm'!$B$5:$B$304,MATCH(D3508,'Sản phẩm'!$A$5:$A$304,0)),""))</f>
        <v/>
      </c>
      <c r="F3508" s="12" t="n"/>
      <c r="G3508" s="11" t="n"/>
      <c r="H3508" s="11" t="n"/>
      <c r="I3508" s="16">
        <f>IF(D3508="","",IF(G3508&lt;&gt;"",G3508,IFERROR(INDEX('Sản phẩm'!$E$5:$E$304,MATCH(D3508,'Sản phẩm'!$A$5:$A$304,0)),"")))</f>
        <v/>
      </c>
      <c r="J3508" s="16">
        <f>IF(OR(D3508="",F3508=""),"",F3508*I3508-N(H3508))</f>
        <v/>
      </c>
      <c r="K3508" s="16">
        <f>IF(OR(D3508="",F3508=""),"",F3508*IFERROR(INDEX('Sản phẩm'!$D$5:$D$304,MATCH(D3508,'Sản phẩm'!$A$5:$A$304,0)),""))</f>
        <v/>
      </c>
      <c r="L3508" s="16">
        <f>IF(J3508="","",J3508-K3508)</f>
        <v/>
      </c>
      <c r="M3508" s="14">
        <f>IF(A3508="","",MONTH(A3508))</f>
        <v/>
      </c>
      <c r="N3508" s="14">
        <f>IF(A3508="","",YEAR(A3508))</f>
        <v/>
      </c>
    </row>
    <row r="3509">
      <c r="A3509" s="15" t="n"/>
      <c r="B3509" s="10" t="n"/>
      <c r="C3509" s="10" t="n"/>
      <c r="D3509" s="10" t="n"/>
      <c r="E3509" s="14">
        <f>IF(D3509="","",IFERROR(INDEX('Sản phẩm'!$B$5:$B$304,MATCH(D3509,'Sản phẩm'!$A$5:$A$304,0)),""))</f>
        <v/>
      </c>
      <c r="F3509" s="12" t="n"/>
      <c r="G3509" s="11" t="n"/>
      <c r="H3509" s="11" t="n"/>
      <c r="I3509" s="16">
        <f>IF(D3509="","",IF(G3509&lt;&gt;"",G3509,IFERROR(INDEX('Sản phẩm'!$E$5:$E$304,MATCH(D3509,'Sản phẩm'!$A$5:$A$304,0)),"")))</f>
        <v/>
      </c>
      <c r="J3509" s="16">
        <f>IF(OR(D3509="",F3509=""),"",F3509*I3509-N(H3509))</f>
        <v/>
      </c>
      <c r="K3509" s="16">
        <f>IF(OR(D3509="",F3509=""),"",F3509*IFERROR(INDEX('Sản phẩm'!$D$5:$D$304,MATCH(D3509,'Sản phẩm'!$A$5:$A$304,0)),""))</f>
        <v/>
      </c>
      <c r="L3509" s="16">
        <f>IF(J3509="","",J3509-K3509)</f>
        <v/>
      </c>
      <c r="M3509" s="14">
        <f>IF(A3509="","",MONTH(A3509))</f>
        <v/>
      </c>
      <c r="N3509" s="14">
        <f>IF(A3509="","",YEAR(A3509))</f>
        <v/>
      </c>
    </row>
    <row r="3510">
      <c r="A3510" s="15" t="n"/>
      <c r="B3510" s="10" t="n"/>
      <c r="C3510" s="10" t="n"/>
      <c r="D3510" s="10" t="n"/>
      <c r="E3510" s="14">
        <f>IF(D3510="","",IFERROR(INDEX('Sản phẩm'!$B$5:$B$304,MATCH(D3510,'Sản phẩm'!$A$5:$A$304,0)),""))</f>
        <v/>
      </c>
      <c r="F3510" s="12" t="n"/>
      <c r="G3510" s="11" t="n"/>
      <c r="H3510" s="11" t="n"/>
      <c r="I3510" s="16">
        <f>IF(D3510="","",IF(G3510&lt;&gt;"",G3510,IFERROR(INDEX('Sản phẩm'!$E$5:$E$304,MATCH(D3510,'Sản phẩm'!$A$5:$A$304,0)),"")))</f>
        <v/>
      </c>
      <c r="J3510" s="16">
        <f>IF(OR(D3510="",F3510=""),"",F3510*I3510-N(H3510))</f>
        <v/>
      </c>
      <c r="K3510" s="16">
        <f>IF(OR(D3510="",F3510=""),"",F3510*IFERROR(INDEX('Sản phẩm'!$D$5:$D$304,MATCH(D3510,'Sản phẩm'!$A$5:$A$304,0)),""))</f>
        <v/>
      </c>
      <c r="L3510" s="16">
        <f>IF(J3510="","",J3510-K3510)</f>
        <v/>
      </c>
      <c r="M3510" s="14">
        <f>IF(A3510="","",MONTH(A3510))</f>
        <v/>
      </c>
      <c r="N3510" s="14">
        <f>IF(A3510="","",YEAR(A3510))</f>
        <v/>
      </c>
    </row>
    <row r="3511">
      <c r="A3511" s="15" t="n"/>
      <c r="B3511" s="10" t="n"/>
      <c r="C3511" s="10" t="n"/>
      <c r="D3511" s="10" t="n"/>
      <c r="E3511" s="14">
        <f>IF(D3511="","",IFERROR(INDEX('Sản phẩm'!$B$5:$B$304,MATCH(D3511,'Sản phẩm'!$A$5:$A$304,0)),""))</f>
        <v/>
      </c>
      <c r="F3511" s="12" t="n"/>
      <c r="G3511" s="11" t="n"/>
      <c r="H3511" s="11" t="n"/>
      <c r="I3511" s="16">
        <f>IF(D3511="","",IF(G3511&lt;&gt;"",G3511,IFERROR(INDEX('Sản phẩm'!$E$5:$E$304,MATCH(D3511,'Sản phẩm'!$A$5:$A$304,0)),"")))</f>
        <v/>
      </c>
      <c r="J3511" s="16">
        <f>IF(OR(D3511="",F3511=""),"",F3511*I3511-N(H3511))</f>
        <v/>
      </c>
      <c r="K3511" s="16">
        <f>IF(OR(D3511="",F3511=""),"",F3511*IFERROR(INDEX('Sản phẩm'!$D$5:$D$304,MATCH(D3511,'Sản phẩm'!$A$5:$A$304,0)),""))</f>
        <v/>
      </c>
      <c r="L3511" s="16">
        <f>IF(J3511="","",J3511-K3511)</f>
        <v/>
      </c>
      <c r="M3511" s="14">
        <f>IF(A3511="","",MONTH(A3511))</f>
        <v/>
      </c>
      <c r="N3511" s="14">
        <f>IF(A3511="","",YEAR(A3511))</f>
        <v/>
      </c>
    </row>
    <row r="3512">
      <c r="A3512" s="15" t="n"/>
      <c r="B3512" s="10" t="n"/>
      <c r="C3512" s="10" t="n"/>
      <c r="D3512" s="10" t="n"/>
      <c r="E3512" s="14">
        <f>IF(D3512="","",IFERROR(INDEX('Sản phẩm'!$B$5:$B$304,MATCH(D3512,'Sản phẩm'!$A$5:$A$304,0)),""))</f>
        <v/>
      </c>
      <c r="F3512" s="12" t="n"/>
      <c r="G3512" s="11" t="n"/>
      <c r="H3512" s="11" t="n"/>
      <c r="I3512" s="16">
        <f>IF(D3512="","",IF(G3512&lt;&gt;"",G3512,IFERROR(INDEX('Sản phẩm'!$E$5:$E$304,MATCH(D3512,'Sản phẩm'!$A$5:$A$304,0)),"")))</f>
        <v/>
      </c>
      <c r="J3512" s="16">
        <f>IF(OR(D3512="",F3512=""),"",F3512*I3512-N(H3512))</f>
        <v/>
      </c>
      <c r="K3512" s="16">
        <f>IF(OR(D3512="",F3512=""),"",F3512*IFERROR(INDEX('Sản phẩm'!$D$5:$D$304,MATCH(D3512,'Sản phẩm'!$A$5:$A$304,0)),""))</f>
        <v/>
      </c>
      <c r="L3512" s="16">
        <f>IF(J3512="","",J3512-K3512)</f>
        <v/>
      </c>
      <c r="M3512" s="14">
        <f>IF(A3512="","",MONTH(A3512))</f>
        <v/>
      </c>
      <c r="N3512" s="14">
        <f>IF(A3512="","",YEAR(A3512))</f>
        <v/>
      </c>
    </row>
    <row r="3513">
      <c r="A3513" s="15" t="n"/>
      <c r="B3513" s="10" t="n"/>
      <c r="C3513" s="10" t="n"/>
      <c r="D3513" s="10" t="n"/>
      <c r="E3513" s="14">
        <f>IF(D3513="","",IFERROR(INDEX('Sản phẩm'!$B$5:$B$304,MATCH(D3513,'Sản phẩm'!$A$5:$A$304,0)),""))</f>
        <v/>
      </c>
      <c r="F3513" s="12" t="n"/>
      <c r="G3513" s="11" t="n"/>
      <c r="H3513" s="11" t="n"/>
      <c r="I3513" s="16">
        <f>IF(D3513="","",IF(G3513&lt;&gt;"",G3513,IFERROR(INDEX('Sản phẩm'!$E$5:$E$304,MATCH(D3513,'Sản phẩm'!$A$5:$A$304,0)),"")))</f>
        <v/>
      </c>
      <c r="J3513" s="16">
        <f>IF(OR(D3513="",F3513=""),"",F3513*I3513-N(H3513))</f>
        <v/>
      </c>
      <c r="K3513" s="16">
        <f>IF(OR(D3513="",F3513=""),"",F3513*IFERROR(INDEX('Sản phẩm'!$D$5:$D$304,MATCH(D3513,'Sản phẩm'!$A$5:$A$304,0)),""))</f>
        <v/>
      </c>
      <c r="L3513" s="16">
        <f>IF(J3513="","",J3513-K3513)</f>
        <v/>
      </c>
      <c r="M3513" s="14">
        <f>IF(A3513="","",MONTH(A3513))</f>
        <v/>
      </c>
      <c r="N3513" s="14">
        <f>IF(A3513="","",YEAR(A3513))</f>
        <v/>
      </c>
    </row>
    <row r="3514">
      <c r="A3514" s="15" t="n"/>
      <c r="B3514" s="10" t="n"/>
      <c r="C3514" s="10" t="n"/>
      <c r="D3514" s="10" t="n"/>
      <c r="E3514" s="14">
        <f>IF(D3514="","",IFERROR(INDEX('Sản phẩm'!$B$5:$B$304,MATCH(D3514,'Sản phẩm'!$A$5:$A$304,0)),""))</f>
        <v/>
      </c>
      <c r="F3514" s="12" t="n"/>
      <c r="G3514" s="11" t="n"/>
      <c r="H3514" s="11" t="n"/>
      <c r="I3514" s="16">
        <f>IF(D3514="","",IF(G3514&lt;&gt;"",G3514,IFERROR(INDEX('Sản phẩm'!$E$5:$E$304,MATCH(D3514,'Sản phẩm'!$A$5:$A$304,0)),"")))</f>
        <v/>
      </c>
      <c r="J3514" s="16">
        <f>IF(OR(D3514="",F3514=""),"",F3514*I3514-N(H3514))</f>
        <v/>
      </c>
      <c r="K3514" s="16">
        <f>IF(OR(D3514="",F3514=""),"",F3514*IFERROR(INDEX('Sản phẩm'!$D$5:$D$304,MATCH(D3514,'Sản phẩm'!$A$5:$A$304,0)),""))</f>
        <v/>
      </c>
      <c r="L3514" s="16">
        <f>IF(J3514="","",J3514-K3514)</f>
        <v/>
      </c>
      <c r="M3514" s="14">
        <f>IF(A3514="","",MONTH(A3514))</f>
        <v/>
      </c>
      <c r="N3514" s="14">
        <f>IF(A3514="","",YEAR(A3514))</f>
        <v/>
      </c>
    </row>
    <row r="3515">
      <c r="A3515" s="15" t="n"/>
      <c r="B3515" s="10" t="n"/>
      <c r="C3515" s="10" t="n"/>
      <c r="D3515" s="10" t="n"/>
      <c r="E3515" s="14">
        <f>IF(D3515="","",IFERROR(INDEX('Sản phẩm'!$B$5:$B$304,MATCH(D3515,'Sản phẩm'!$A$5:$A$304,0)),""))</f>
        <v/>
      </c>
      <c r="F3515" s="12" t="n"/>
      <c r="G3515" s="11" t="n"/>
      <c r="H3515" s="11" t="n"/>
      <c r="I3515" s="16">
        <f>IF(D3515="","",IF(G3515&lt;&gt;"",G3515,IFERROR(INDEX('Sản phẩm'!$E$5:$E$304,MATCH(D3515,'Sản phẩm'!$A$5:$A$304,0)),"")))</f>
        <v/>
      </c>
      <c r="J3515" s="16">
        <f>IF(OR(D3515="",F3515=""),"",F3515*I3515-N(H3515))</f>
        <v/>
      </c>
      <c r="K3515" s="16">
        <f>IF(OR(D3515="",F3515=""),"",F3515*IFERROR(INDEX('Sản phẩm'!$D$5:$D$304,MATCH(D3515,'Sản phẩm'!$A$5:$A$304,0)),""))</f>
        <v/>
      </c>
      <c r="L3515" s="16">
        <f>IF(J3515="","",J3515-K3515)</f>
        <v/>
      </c>
      <c r="M3515" s="14">
        <f>IF(A3515="","",MONTH(A3515))</f>
        <v/>
      </c>
      <c r="N3515" s="14">
        <f>IF(A3515="","",YEAR(A3515))</f>
        <v/>
      </c>
    </row>
    <row r="3516">
      <c r="A3516" s="15" t="n"/>
      <c r="B3516" s="10" t="n"/>
      <c r="C3516" s="10" t="n"/>
      <c r="D3516" s="10" t="n"/>
      <c r="E3516" s="14">
        <f>IF(D3516="","",IFERROR(INDEX('Sản phẩm'!$B$5:$B$304,MATCH(D3516,'Sản phẩm'!$A$5:$A$304,0)),""))</f>
        <v/>
      </c>
      <c r="F3516" s="12" t="n"/>
      <c r="G3516" s="11" t="n"/>
      <c r="H3516" s="11" t="n"/>
      <c r="I3516" s="16">
        <f>IF(D3516="","",IF(G3516&lt;&gt;"",G3516,IFERROR(INDEX('Sản phẩm'!$E$5:$E$304,MATCH(D3516,'Sản phẩm'!$A$5:$A$304,0)),"")))</f>
        <v/>
      </c>
      <c r="J3516" s="16">
        <f>IF(OR(D3516="",F3516=""),"",F3516*I3516-N(H3516))</f>
        <v/>
      </c>
      <c r="K3516" s="16">
        <f>IF(OR(D3516="",F3516=""),"",F3516*IFERROR(INDEX('Sản phẩm'!$D$5:$D$304,MATCH(D3516,'Sản phẩm'!$A$5:$A$304,0)),""))</f>
        <v/>
      </c>
      <c r="L3516" s="16">
        <f>IF(J3516="","",J3516-K3516)</f>
        <v/>
      </c>
      <c r="M3516" s="14">
        <f>IF(A3516="","",MONTH(A3516))</f>
        <v/>
      </c>
      <c r="N3516" s="14">
        <f>IF(A3516="","",YEAR(A3516))</f>
        <v/>
      </c>
    </row>
    <row r="3517">
      <c r="A3517" s="15" t="n"/>
      <c r="B3517" s="10" t="n"/>
      <c r="C3517" s="10" t="n"/>
      <c r="D3517" s="10" t="n"/>
      <c r="E3517" s="14">
        <f>IF(D3517="","",IFERROR(INDEX('Sản phẩm'!$B$5:$B$304,MATCH(D3517,'Sản phẩm'!$A$5:$A$304,0)),""))</f>
        <v/>
      </c>
      <c r="F3517" s="12" t="n"/>
      <c r="G3517" s="11" t="n"/>
      <c r="H3517" s="11" t="n"/>
      <c r="I3517" s="16">
        <f>IF(D3517="","",IF(G3517&lt;&gt;"",G3517,IFERROR(INDEX('Sản phẩm'!$E$5:$E$304,MATCH(D3517,'Sản phẩm'!$A$5:$A$304,0)),"")))</f>
        <v/>
      </c>
      <c r="J3517" s="16">
        <f>IF(OR(D3517="",F3517=""),"",F3517*I3517-N(H3517))</f>
        <v/>
      </c>
      <c r="K3517" s="16">
        <f>IF(OR(D3517="",F3517=""),"",F3517*IFERROR(INDEX('Sản phẩm'!$D$5:$D$304,MATCH(D3517,'Sản phẩm'!$A$5:$A$304,0)),""))</f>
        <v/>
      </c>
      <c r="L3517" s="16">
        <f>IF(J3517="","",J3517-K3517)</f>
        <v/>
      </c>
      <c r="M3517" s="14">
        <f>IF(A3517="","",MONTH(A3517))</f>
        <v/>
      </c>
      <c r="N3517" s="14">
        <f>IF(A3517="","",YEAR(A3517))</f>
        <v/>
      </c>
    </row>
    <row r="3518">
      <c r="A3518" s="15" t="n"/>
      <c r="B3518" s="10" t="n"/>
      <c r="C3518" s="10" t="n"/>
      <c r="D3518" s="10" t="n"/>
      <c r="E3518" s="14">
        <f>IF(D3518="","",IFERROR(INDEX('Sản phẩm'!$B$5:$B$304,MATCH(D3518,'Sản phẩm'!$A$5:$A$304,0)),""))</f>
        <v/>
      </c>
      <c r="F3518" s="12" t="n"/>
      <c r="G3518" s="11" t="n"/>
      <c r="H3518" s="11" t="n"/>
      <c r="I3518" s="16">
        <f>IF(D3518="","",IF(G3518&lt;&gt;"",G3518,IFERROR(INDEX('Sản phẩm'!$E$5:$E$304,MATCH(D3518,'Sản phẩm'!$A$5:$A$304,0)),"")))</f>
        <v/>
      </c>
      <c r="J3518" s="16">
        <f>IF(OR(D3518="",F3518=""),"",F3518*I3518-N(H3518))</f>
        <v/>
      </c>
      <c r="K3518" s="16">
        <f>IF(OR(D3518="",F3518=""),"",F3518*IFERROR(INDEX('Sản phẩm'!$D$5:$D$304,MATCH(D3518,'Sản phẩm'!$A$5:$A$304,0)),""))</f>
        <v/>
      </c>
      <c r="L3518" s="16">
        <f>IF(J3518="","",J3518-K3518)</f>
        <v/>
      </c>
      <c r="M3518" s="14">
        <f>IF(A3518="","",MONTH(A3518))</f>
        <v/>
      </c>
      <c r="N3518" s="14">
        <f>IF(A3518="","",YEAR(A3518))</f>
        <v/>
      </c>
    </row>
    <row r="3519">
      <c r="A3519" s="15" t="n"/>
      <c r="B3519" s="10" t="n"/>
      <c r="C3519" s="10" t="n"/>
      <c r="D3519" s="10" t="n"/>
      <c r="E3519" s="14">
        <f>IF(D3519="","",IFERROR(INDEX('Sản phẩm'!$B$5:$B$304,MATCH(D3519,'Sản phẩm'!$A$5:$A$304,0)),""))</f>
        <v/>
      </c>
      <c r="F3519" s="12" t="n"/>
      <c r="G3519" s="11" t="n"/>
      <c r="H3519" s="11" t="n"/>
      <c r="I3519" s="16">
        <f>IF(D3519="","",IF(G3519&lt;&gt;"",G3519,IFERROR(INDEX('Sản phẩm'!$E$5:$E$304,MATCH(D3519,'Sản phẩm'!$A$5:$A$304,0)),"")))</f>
        <v/>
      </c>
      <c r="J3519" s="16">
        <f>IF(OR(D3519="",F3519=""),"",F3519*I3519-N(H3519))</f>
        <v/>
      </c>
      <c r="K3519" s="16">
        <f>IF(OR(D3519="",F3519=""),"",F3519*IFERROR(INDEX('Sản phẩm'!$D$5:$D$304,MATCH(D3519,'Sản phẩm'!$A$5:$A$304,0)),""))</f>
        <v/>
      </c>
      <c r="L3519" s="16">
        <f>IF(J3519="","",J3519-K3519)</f>
        <v/>
      </c>
      <c r="M3519" s="14">
        <f>IF(A3519="","",MONTH(A3519))</f>
        <v/>
      </c>
      <c r="N3519" s="14">
        <f>IF(A3519="","",YEAR(A3519))</f>
        <v/>
      </c>
    </row>
    <row r="3520">
      <c r="A3520" s="15" t="n"/>
      <c r="B3520" s="10" t="n"/>
      <c r="C3520" s="10" t="n"/>
      <c r="D3520" s="10" t="n"/>
      <c r="E3520" s="14">
        <f>IF(D3520="","",IFERROR(INDEX('Sản phẩm'!$B$5:$B$304,MATCH(D3520,'Sản phẩm'!$A$5:$A$304,0)),""))</f>
        <v/>
      </c>
      <c r="F3520" s="12" t="n"/>
      <c r="G3520" s="11" t="n"/>
      <c r="H3520" s="11" t="n"/>
      <c r="I3520" s="16">
        <f>IF(D3520="","",IF(G3520&lt;&gt;"",G3520,IFERROR(INDEX('Sản phẩm'!$E$5:$E$304,MATCH(D3520,'Sản phẩm'!$A$5:$A$304,0)),"")))</f>
        <v/>
      </c>
      <c r="J3520" s="16">
        <f>IF(OR(D3520="",F3520=""),"",F3520*I3520-N(H3520))</f>
        <v/>
      </c>
      <c r="K3520" s="16">
        <f>IF(OR(D3520="",F3520=""),"",F3520*IFERROR(INDEX('Sản phẩm'!$D$5:$D$304,MATCH(D3520,'Sản phẩm'!$A$5:$A$304,0)),""))</f>
        <v/>
      </c>
      <c r="L3520" s="16">
        <f>IF(J3520="","",J3520-K3520)</f>
        <v/>
      </c>
      <c r="M3520" s="14">
        <f>IF(A3520="","",MONTH(A3520))</f>
        <v/>
      </c>
      <c r="N3520" s="14">
        <f>IF(A3520="","",YEAR(A3520))</f>
        <v/>
      </c>
    </row>
    <row r="3521">
      <c r="A3521" s="15" t="n"/>
      <c r="B3521" s="10" t="n"/>
      <c r="C3521" s="10" t="n"/>
      <c r="D3521" s="10" t="n"/>
      <c r="E3521" s="14">
        <f>IF(D3521="","",IFERROR(INDEX('Sản phẩm'!$B$5:$B$304,MATCH(D3521,'Sản phẩm'!$A$5:$A$304,0)),""))</f>
        <v/>
      </c>
      <c r="F3521" s="12" t="n"/>
      <c r="G3521" s="11" t="n"/>
      <c r="H3521" s="11" t="n"/>
      <c r="I3521" s="16">
        <f>IF(D3521="","",IF(G3521&lt;&gt;"",G3521,IFERROR(INDEX('Sản phẩm'!$E$5:$E$304,MATCH(D3521,'Sản phẩm'!$A$5:$A$304,0)),"")))</f>
        <v/>
      </c>
      <c r="J3521" s="16">
        <f>IF(OR(D3521="",F3521=""),"",F3521*I3521-N(H3521))</f>
        <v/>
      </c>
      <c r="K3521" s="16">
        <f>IF(OR(D3521="",F3521=""),"",F3521*IFERROR(INDEX('Sản phẩm'!$D$5:$D$304,MATCH(D3521,'Sản phẩm'!$A$5:$A$304,0)),""))</f>
        <v/>
      </c>
      <c r="L3521" s="16">
        <f>IF(J3521="","",J3521-K3521)</f>
        <v/>
      </c>
      <c r="M3521" s="14">
        <f>IF(A3521="","",MONTH(A3521))</f>
        <v/>
      </c>
      <c r="N3521" s="14">
        <f>IF(A3521="","",YEAR(A3521))</f>
        <v/>
      </c>
    </row>
    <row r="3522">
      <c r="A3522" s="15" t="n"/>
      <c r="B3522" s="10" t="n"/>
      <c r="C3522" s="10" t="n"/>
      <c r="D3522" s="10" t="n"/>
      <c r="E3522" s="14">
        <f>IF(D3522="","",IFERROR(INDEX('Sản phẩm'!$B$5:$B$304,MATCH(D3522,'Sản phẩm'!$A$5:$A$304,0)),""))</f>
        <v/>
      </c>
      <c r="F3522" s="12" t="n"/>
      <c r="G3522" s="11" t="n"/>
      <c r="H3522" s="11" t="n"/>
      <c r="I3522" s="16">
        <f>IF(D3522="","",IF(G3522&lt;&gt;"",G3522,IFERROR(INDEX('Sản phẩm'!$E$5:$E$304,MATCH(D3522,'Sản phẩm'!$A$5:$A$304,0)),"")))</f>
        <v/>
      </c>
      <c r="J3522" s="16">
        <f>IF(OR(D3522="",F3522=""),"",F3522*I3522-N(H3522))</f>
        <v/>
      </c>
      <c r="K3522" s="16">
        <f>IF(OR(D3522="",F3522=""),"",F3522*IFERROR(INDEX('Sản phẩm'!$D$5:$D$304,MATCH(D3522,'Sản phẩm'!$A$5:$A$304,0)),""))</f>
        <v/>
      </c>
      <c r="L3522" s="16">
        <f>IF(J3522="","",J3522-K3522)</f>
        <v/>
      </c>
      <c r="M3522" s="14">
        <f>IF(A3522="","",MONTH(A3522))</f>
        <v/>
      </c>
      <c r="N3522" s="14">
        <f>IF(A3522="","",YEAR(A3522))</f>
        <v/>
      </c>
    </row>
    <row r="3523">
      <c r="A3523" s="15" t="n"/>
      <c r="B3523" s="10" t="n"/>
      <c r="C3523" s="10" t="n"/>
      <c r="D3523" s="10" t="n"/>
      <c r="E3523" s="14">
        <f>IF(D3523="","",IFERROR(INDEX('Sản phẩm'!$B$5:$B$304,MATCH(D3523,'Sản phẩm'!$A$5:$A$304,0)),""))</f>
        <v/>
      </c>
      <c r="F3523" s="12" t="n"/>
      <c r="G3523" s="11" t="n"/>
      <c r="H3523" s="11" t="n"/>
      <c r="I3523" s="16">
        <f>IF(D3523="","",IF(G3523&lt;&gt;"",G3523,IFERROR(INDEX('Sản phẩm'!$E$5:$E$304,MATCH(D3523,'Sản phẩm'!$A$5:$A$304,0)),"")))</f>
        <v/>
      </c>
      <c r="J3523" s="16">
        <f>IF(OR(D3523="",F3523=""),"",F3523*I3523-N(H3523))</f>
        <v/>
      </c>
      <c r="K3523" s="16">
        <f>IF(OR(D3523="",F3523=""),"",F3523*IFERROR(INDEX('Sản phẩm'!$D$5:$D$304,MATCH(D3523,'Sản phẩm'!$A$5:$A$304,0)),""))</f>
        <v/>
      </c>
      <c r="L3523" s="16">
        <f>IF(J3523="","",J3523-K3523)</f>
        <v/>
      </c>
      <c r="M3523" s="14">
        <f>IF(A3523="","",MONTH(A3523))</f>
        <v/>
      </c>
      <c r="N3523" s="14">
        <f>IF(A3523="","",YEAR(A3523))</f>
        <v/>
      </c>
    </row>
    <row r="3524">
      <c r="A3524" s="15" t="n"/>
      <c r="B3524" s="10" t="n"/>
      <c r="C3524" s="10" t="n"/>
      <c r="D3524" s="10" t="n"/>
      <c r="E3524" s="14">
        <f>IF(D3524="","",IFERROR(INDEX('Sản phẩm'!$B$5:$B$304,MATCH(D3524,'Sản phẩm'!$A$5:$A$304,0)),""))</f>
        <v/>
      </c>
      <c r="F3524" s="12" t="n"/>
      <c r="G3524" s="11" t="n"/>
      <c r="H3524" s="11" t="n"/>
      <c r="I3524" s="16">
        <f>IF(D3524="","",IF(G3524&lt;&gt;"",G3524,IFERROR(INDEX('Sản phẩm'!$E$5:$E$304,MATCH(D3524,'Sản phẩm'!$A$5:$A$304,0)),"")))</f>
        <v/>
      </c>
      <c r="J3524" s="16">
        <f>IF(OR(D3524="",F3524=""),"",F3524*I3524-N(H3524))</f>
        <v/>
      </c>
      <c r="K3524" s="16">
        <f>IF(OR(D3524="",F3524=""),"",F3524*IFERROR(INDEX('Sản phẩm'!$D$5:$D$304,MATCH(D3524,'Sản phẩm'!$A$5:$A$304,0)),""))</f>
        <v/>
      </c>
      <c r="L3524" s="16">
        <f>IF(J3524="","",J3524-K3524)</f>
        <v/>
      </c>
      <c r="M3524" s="14">
        <f>IF(A3524="","",MONTH(A3524))</f>
        <v/>
      </c>
      <c r="N3524" s="14">
        <f>IF(A3524="","",YEAR(A3524))</f>
        <v/>
      </c>
    </row>
    <row r="3525">
      <c r="A3525" s="15" t="n"/>
      <c r="B3525" s="10" t="n"/>
      <c r="C3525" s="10" t="n"/>
      <c r="D3525" s="10" t="n"/>
      <c r="E3525" s="14">
        <f>IF(D3525="","",IFERROR(INDEX('Sản phẩm'!$B$5:$B$304,MATCH(D3525,'Sản phẩm'!$A$5:$A$304,0)),""))</f>
        <v/>
      </c>
      <c r="F3525" s="12" t="n"/>
      <c r="G3525" s="11" t="n"/>
      <c r="H3525" s="11" t="n"/>
      <c r="I3525" s="16">
        <f>IF(D3525="","",IF(G3525&lt;&gt;"",G3525,IFERROR(INDEX('Sản phẩm'!$E$5:$E$304,MATCH(D3525,'Sản phẩm'!$A$5:$A$304,0)),"")))</f>
        <v/>
      </c>
      <c r="J3525" s="16">
        <f>IF(OR(D3525="",F3525=""),"",F3525*I3525-N(H3525))</f>
        <v/>
      </c>
      <c r="K3525" s="16">
        <f>IF(OR(D3525="",F3525=""),"",F3525*IFERROR(INDEX('Sản phẩm'!$D$5:$D$304,MATCH(D3525,'Sản phẩm'!$A$5:$A$304,0)),""))</f>
        <v/>
      </c>
      <c r="L3525" s="16">
        <f>IF(J3525="","",J3525-K3525)</f>
        <v/>
      </c>
      <c r="M3525" s="14">
        <f>IF(A3525="","",MONTH(A3525))</f>
        <v/>
      </c>
      <c r="N3525" s="14">
        <f>IF(A3525="","",YEAR(A3525))</f>
        <v/>
      </c>
    </row>
    <row r="3526">
      <c r="A3526" s="15" t="n"/>
      <c r="B3526" s="10" t="n"/>
      <c r="C3526" s="10" t="n"/>
      <c r="D3526" s="10" t="n"/>
      <c r="E3526" s="14">
        <f>IF(D3526="","",IFERROR(INDEX('Sản phẩm'!$B$5:$B$304,MATCH(D3526,'Sản phẩm'!$A$5:$A$304,0)),""))</f>
        <v/>
      </c>
      <c r="F3526" s="12" t="n"/>
      <c r="G3526" s="11" t="n"/>
      <c r="H3526" s="11" t="n"/>
      <c r="I3526" s="16">
        <f>IF(D3526="","",IF(G3526&lt;&gt;"",G3526,IFERROR(INDEX('Sản phẩm'!$E$5:$E$304,MATCH(D3526,'Sản phẩm'!$A$5:$A$304,0)),"")))</f>
        <v/>
      </c>
      <c r="J3526" s="16">
        <f>IF(OR(D3526="",F3526=""),"",F3526*I3526-N(H3526))</f>
        <v/>
      </c>
      <c r="K3526" s="16">
        <f>IF(OR(D3526="",F3526=""),"",F3526*IFERROR(INDEX('Sản phẩm'!$D$5:$D$304,MATCH(D3526,'Sản phẩm'!$A$5:$A$304,0)),""))</f>
        <v/>
      </c>
      <c r="L3526" s="16">
        <f>IF(J3526="","",J3526-K3526)</f>
        <v/>
      </c>
      <c r="M3526" s="14">
        <f>IF(A3526="","",MONTH(A3526))</f>
        <v/>
      </c>
      <c r="N3526" s="14">
        <f>IF(A3526="","",YEAR(A3526))</f>
        <v/>
      </c>
    </row>
    <row r="3527">
      <c r="A3527" s="15" t="n"/>
      <c r="B3527" s="10" t="n"/>
      <c r="C3527" s="10" t="n"/>
      <c r="D3527" s="10" t="n"/>
      <c r="E3527" s="14">
        <f>IF(D3527="","",IFERROR(INDEX('Sản phẩm'!$B$5:$B$304,MATCH(D3527,'Sản phẩm'!$A$5:$A$304,0)),""))</f>
        <v/>
      </c>
      <c r="F3527" s="12" t="n"/>
      <c r="G3527" s="11" t="n"/>
      <c r="H3527" s="11" t="n"/>
      <c r="I3527" s="16">
        <f>IF(D3527="","",IF(G3527&lt;&gt;"",G3527,IFERROR(INDEX('Sản phẩm'!$E$5:$E$304,MATCH(D3527,'Sản phẩm'!$A$5:$A$304,0)),"")))</f>
        <v/>
      </c>
      <c r="J3527" s="16">
        <f>IF(OR(D3527="",F3527=""),"",F3527*I3527-N(H3527))</f>
        <v/>
      </c>
      <c r="K3527" s="16">
        <f>IF(OR(D3527="",F3527=""),"",F3527*IFERROR(INDEX('Sản phẩm'!$D$5:$D$304,MATCH(D3527,'Sản phẩm'!$A$5:$A$304,0)),""))</f>
        <v/>
      </c>
      <c r="L3527" s="16">
        <f>IF(J3527="","",J3527-K3527)</f>
        <v/>
      </c>
      <c r="M3527" s="14">
        <f>IF(A3527="","",MONTH(A3527))</f>
        <v/>
      </c>
      <c r="N3527" s="14">
        <f>IF(A3527="","",YEAR(A3527))</f>
        <v/>
      </c>
    </row>
    <row r="3528">
      <c r="A3528" s="15" t="n"/>
      <c r="B3528" s="10" t="n"/>
      <c r="C3528" s="10" t="n"/>
      <c r="D3528" s="10" t="n"/>
      <c r="E3528" s="14">
        <f>IF(D3528="","",IFERROR(INDEX('Sản phẩm'!$B$5:$B$304,MATCH(D3528,'Sản phẩm'!$A$5:$A$304,0)),""))</f>
        <v/>
      </c>
      <c r="F3528" s="12" t="n"/>
      <c r="G3528" s="11" t="n"/>
      <c r="H3528" s="11" t="n"/>
      <c r="I3528" s="16">
        <f>IF(D3528="","",IF(G3528&lt;&gt;"",G3528,IFERROR(INDEX('Sản phẩm'!$E$5:$E$304,MATCH(D3528,'Sản phẩm'!$A$5:$A$304,0)),"")))</f>
        <v/>
      </c>
      <c r="J3528" s="16">
        <f>IF(OR(D3528="",F3528=""),"",F3528*I3528-N(H3528))</f>
        <v/>
      </c>
      <c r="K3528" s="16">
        <f>IF(OR(D3528="",F3528=""),"",F3528*IFERROR(INDEX('Sản phẩm'!$D$5:$D$304,MATCH(D3528,'Sản phẩm'!$A$5:$A$304,0)),""))</f>
        <v/>
      </c>
      <c r="L3528" s="16">
        <f>IF(J3528="","",J3528-K3528)</f>
        <v/>
      </c>
      <c r="M3528" s="14">
        <f>IF(A3528="","",MONTH(A3528))</f>
        <v/>
      </c>
      <c r="N3528" s="14">
        <f>IF(A3528="","",YEAR(A3528))</f>
        <v/>
      </c>
    </row>
    <row r="3529">
      <c r="A3529" s="15" t="n"/>
      <c r="B3529" s="10" t="n"/>
      <c r="C3529" s="10" t="n"/>
      <c r="D3529" s="10" t="n"/>
      <c r="E3529" s="14">
        <f>IF(D3529="","",IFERROR(INDEX('Sản phẩm'!$B$5:$B$304,MATCH(D3529,'Sản phẩm'!$A$5:$A$304,0)),""))</f>
        <v/>
      </c>
      <c r="F3529" s="12" t="n"/>
      <c r="G3529" s="11" t="n"/>
      <c r="H3529" s="11" t="n"/>
      <c r="I3529" s="16">
        <f>IF(D3529="","",IF(G3529&lt;&gt;"",G3529,IFERROR(INDEX('Sản phẩm'!$E$5:$E$304,MATCH(D3529,'Sản phẩm'!$A$5:$A$304,0)),"")))</f>
        <v/>
      </c>
      <c r="J3529" s="16">
        <f>IF(OR(D3529="",F3529=""),"",F3529*I3529-N(H3529))</f>
        <v/>
      </c>
      <c r="K3529" s="16">
        <f>IF(OR(D3529="",F3529=""),"",F3529*IFERROR(INDEX('Sản phẩm'!$D$5:$D$304,MATCH(D3529,'Sản phẩm'!$A$5:$A$304,0)),""))</f>
        <v/>
      </c>
      <c r="L3529" s="16">
        <f>IF(J3529="","",J3529-K3529)</f>
        <v/>
      </c>
      <c r="M3529" s="14">
        <f>IF(A3529="","",MONTH(A3529))</f>
        <v/>
      </c>
      <c r="N3529" s="14">
        <f>IF(A3529="","",YEAR(A3529))</f>
        <v/>
      </c>
    </row>
    <row r="3530">
      <c r="A3530" s="15" t="n"/>
      <c r="B3530" s="10" t="n"/>
      <c r="C3530" s="10" t="n"/>
      <c r="D3530" s="10" t="n"/>
      <c r="E3530" s="14">
        <f>IF(D3530="","",IFERROR(INDEX('Sản phẩm'!$B$5:$B$304,MATCH(D3530,'Sản phẩm'!$A$5:$A$304,0)),""))</f>
        <v/>
      </c>
      <c r="F3530" s="12" t="n"/>
      <c r="G3530" s="11" t="n"/>
      <c r="H3530" s="11" t="n"/>
      <c r="I3530" s="16">
        <f>IF(D3530="","",IF(G3530&lt;&gt;"",G3530,IFERROR(INDEX('Sản phẩm'!$E$5:$E$304,MATCH(D3530,'Sản phẩm'!$A$5:$A$304,0)),"")))</f>
        <v/>
      </c>
      <c r="J3530" s="16">
        <f>IF(OR(D3530="",F3530=""),"",F3530*I3530-N(H3530))</f>
        <v/>
      </c>
      <c r="K3530" s="16">
        <f>IF(OR(D3530="",F3530=""),"",F3530*IFERROR(INDEX('Sản phẩm'!$D$5:$D$304,MATCH(D3530,'Sản phẩm'!$A$5:$A$304,0)),""))</f>
        <v/>
      </c>
      <c r="L3530" s="16">
        <f>IF(J3530="","",J3530-K3530)</f>
        <v/>
      </c>
      <c r="M3530" s="14">
        <f>IF(A3530="","",MONTH(A3530))</f>
        <v/>
      </c>
      <c r="N3530" s="14">
        <f>IF(A3530="","",YEAR(A3530))</f>
        <v/>
      </c>
    </row>
    <row r="3531">
      <c r="A3531" s="15" t="n"/>
      <c r="B3531" s="10" t="n"/>
      <c r="C3531" s="10" t="n"/>
      <c r="D3531" s="10" t="n"/>
      <c r="E3531" s="14">
        <f>IF(D3531="","",IFERROR(INDEX('Sản phẩm'!$B$5:$B$304,MATCH(D3531,'Sản phẩm'!$A$5:$A$304,0)),""))</f>
        <v/>
      </c>
      <c r="F3531" s="12" t="n"/>
      <c r="G3531" s="11" t="n"/>
      <c r="H3531" s="11" t="n"/>
      <c r="I3531" s="16">
        <f>IF(D3531="","",IF(G3531&lt;&gt;"",G3531,IFERROR(INDEX('Sản phẩm'!$E$5:$E$304,MATCH(D3531,'Sản phẩm'!$A$5:$A$304,0)),"")))</f>
        <v/>
      </c>
      <c r="J3531" s="16">
        <f>IF(OR(D3531="",F3531=""),"",F3531*I3531-N(H3531))</f>
        <v/>
      </c>
      <c r="K3531" s="16">
        <f>IF(OR(D3531="",F3531=""),"",F3531*IFERROR(INDEX('Sản phẩm'!$D$5:$D$304,MATCH(D3531,'Sản phẩm'!$A$5:$A$304,0)),""))</f>
        <v/>
      </c>
      <c r="L3531" s="16">
        <f>IF(J3531="","",J3531-K3531)</f>
        <v/>
      </c>
      <c r="M3531" s="14">
        <f>IF(A3531="","",MONTH(A3531))</f>
        <v/>
      </c>
      <c r="N3531" s="14">
        <f>IF(A3531="","",YEAR(A3531))</f>
        <v/>
      </c>
    </row>
    <row r="3532">
      <c r="A3532" s="15" t="n"/>
      <c r="B3532" s="10" t="n"/>
      <c r="C3532" s="10" t="n"/>
      <c r="D3532" s="10" t="n"/>
      <c r="E3532" s="14">
        <f>IF(D3532="","",IFERROR(INDEX('Sản phẩm'!$B$5:$B$304,MATCH(D3532,'Sản phẩm'!$A$5:$A$304,0)),""))</f>
        <v/>
      </c>
      <c r="F3532" s="12" t="n"/>
      <c r="G3532" s="11" t="n"/>
      <c r="H3532" s="11" t="n"/>
      <c r="I3532" s="16">
        <f>IF(D3532="","",IF(G3532&lt;&gt;"",G3532,IFERROR(INDEX('Sản phẩm'!$E$5:$E$304,MATCH(D3532,'Sản phẩm'!$A$5:$A$304,0)),"")))</f>
        <v/>
      </c>
      <c r="J3532" s="16">
        <f>IF(OR(D3532="",F3532=""),"",F3532*I3532-N(H3532))</f>
        <v/>
      </c>
      <c r="K3532" s="16">
        <f>IF(OR(D3532="",F3532=""),"",F3532*IFERROR(INDEX('Sản phẩm'!$D$5:$D$304,MATCH(D3532,'Sản phẩm'!$A$5:$A$304,0)),""))</f>
        <v/>
      </c>
      <c r="L3532" s="16">
        <f>IF(J3532="","",J3532-K3532)</f>
        <v/>
      </c>
      <c r="M3532" s="14">
        <f>IF(A3532="","",MONTH(A3532))</f>
        <v/>
      </c>
      <c r="N3532" s="14">
        <f>IF(A3532="","",YEAR(A3532))</f>
        <v/>
      </c>
    </row>
    <row r="3533">
      <c r="A3533" s="15" t="n"/>
      <c r="B3533" s="10" t="n"/>
      <c r="C3533" s="10" t="n"/>
      <c r="D3533" s="10" t="n"/>
      <c r="E3533" s="14">
        <f>IF(D3533="","",IFERROR(INDEX('Sản phẩm'!$B$5:$B$304,MATCH(D3533,'Sản phẩm'!$A$5:$A$304,0)),""))</f>
        <v/>
      </c>
      <c r="F3533" s="12" t="n"/>
      <c r="G3533" s="11" t="n"/>
      <c r="H3533" s="11" t="n"/>
      <c r="I3533" s="16">
        <f>IF(D3533="","",IF(G3533&lt;&gt;"",G3533,IFERROR(INDEX('Sản phẩm'!$E$5:$E$304,MATCH(D3533,'Sản phẩm'!$A$5:$A$304,0)),"")))</f>
        <v/>
      </c>
      <c r="J3533" s="16">
        <f>IF(OR(D3533="",F3533=""),"",F3533*I3533-N(H3533))</f>
        <v/>
      </c>
      <c r="K3533" s="16">
        <f>IF(OR(D3533="",F3533=""),"",F3533*IFERROR(INDEX('Sản phẩm'!$D$5:$D$304,MATCH(D3533,'Sản phẩm'!$A$5:$A$304,0)),""))</f>
        <v/>
      </c>
      <c r="L3533" s="16">
        <f>IF(J3533="","",J3533-K3533)</f>
        <v/>
      </c>
      <c r="M3533" s="14">
        <f>IF(A3533="","",MONTH(A3533))</f>
        <v/>
      </c>
      <c r="N3533" s="14">
        <f>IF(A3533="","",YEAR(A3533))</f>
        <v/>
      </c>
    </row>
    <row r="3534">
      <c r="A3534" s="15" t="n"/>
      <c r="B3534" s="10" t="n"/>
      <c r="C3534" s="10" t="n"/>
      <c r="D3534" s="10" t="n"/>
      <c r="E3534" s="14">
        <f>IF(D3534="","",IFERROR(INDEX('Sản phẩm'!$B$5:$B$304,MATCH(D3534,'Sản phẩm'!$A$5:$A$304,0)),""))</f>
        <v/>
      </c>
      <c r="F3534" s="12" t="n"/>
      <c r="G3534" s="11" t="n"/>
      <c r="H3534" s="11" t="n"/>
      <c r="I3534" s="16">
        <f>IF(D3534="","",IF(G3534&lt;&gt;"",G3534,IFERROR(INDEX('Sản phẩm'!$E$5:$E$304,MATCH(D3534,'Sản phẩm'!$A$5:$A$304,0)),"")))</f>
        <v/>
      </c>
      <c r="J3534" s="16">
        <f>IF(OR(D3534="",F3534=""),"",F3534*I3534-N(H3534))</f>
        <v/>
      </c>
      <c r="K3534" s="16">
        <f>IF(OR(D3534="",F3534=""),"",F3534*IFERROR(INDEX('Sản phẩm'!$D$5:$D$304,MATCH(D3534,'Sản phẩm'!$A$5:$A$304,0)),""))</f>
        <v/>
      </c>
      <c r="L3534" s="16">
        <f>IF(J3534="","",J3534-K3534)</f>
        <v/>
      </c>
      <c r="M3534" s="14">
        <f>IF(A3534="","",MONTH(A3534))</f>
        <v/>
      </c>
      <c r="N3534" s="14">
        <f>IF(A3534="","",YEAR(A3534))</f>
        <v/>
      </c>
    </row>
    <row r="3535">
      <c r="A3535" s="15" t="n"/>
      <c r="B3535" s="10" t="n"/>
      <c r="C3535" s="10" t="n"/>
      <c r="D3535" s="10" t="n"/>
      <c r="E3535" s="14">
        <f>IF(D3535="","",IFERROR(INDEX('Sản phẩm'!$B$5:$B$304,MATCH(D3535,'Sản phẩm'!$A$5:$A$304,0)),""))</f>
        <v/>
      </c>
      <c r="F3535" s="12" t="n"/>
      <c r="G3535" s="11" t="n"/>
      <c r="H3535" s="11" t="n"/>
      <c r="I3535" s="16">
        <f>IF(D3535="","",IF(G3535&lt;&gt;"",G3535,IFERROR(INDEX('Sản phẩm'!$E$5:$E$304,MATCH(D3535,'Sản phẩm'!$A$5:$A$304,0)),"")))</f>
        <v/>
      </c>
      <c r="J3535" s="16">
        <f>IF(OR(D3535="",F3535=""),"",F3535*I3535-N(H3535))</f>
        <v/>
      </c>
      <c r="K3535" s="16">
        <f>IF(OR(D3535="",F3535=""),"",F3535*IFERROR(INDEX('Sản phẩm'!$D$5:$D$304,MATCH(D3535,'Sản phẩm'!$A$5:$A$304,0)),""))</f>
        <v/>
      </c>
      <c r="L3535" s="16">
        <f>IF(J3535="","",J3535-K3535)</f>
        <v/>
      </c>
      <c r="M3535" s="14">
        <f>IF(A3535="","",MONTH(A3535))</f>
        <v/>
      </c>
      <c r="N3535" s="14">
        <f>IF(A3535="","",YEAR(A3535))</f>
        <v/>
      </c>
    </row>
    <row r="3536">
      <c r="A3536" s="15" t="n"/>
      <c r="B3536" s="10" t="n"/>
      <c r="C3536" s="10" t="n"/>
      <c r="D3536" s="10" t="n"/>
      <c r="E3536" s="14">
        <f>IF(D3536="","",IFERROR(INDEX('Sản phẩm'!$B$5:$B$304,MATCH(D3536,'Sản phẩm'!$A$5:$A$304,0)),""))</f>
        <v/>
      </c>
      <c r="F3536" s="12" t="n"/>
      <c r="G3536" s="11" t="n"/>
      <c r="H3536" s="11" t="n"/>
      <c r="I3536" s="16">
        <f>IF(D3536="","",IF(G3536&lt;&gt;"",G3536,IFERROR(INDEX('Sản phẩm'!$E$5:$E$304,MATCH(D3536,'Sản phẩm'!$A$5:$A$304,0)),"")))</f>
        <v/>
      </c>
      <c r="J3536" s="16">
        <f>IF(OR(D3536="",F3536=""),"",F3536*I3536-N(H3536))</f>
        <v/>
      </c>
      <c r="K3536" s="16">
        <f>IF(OR(D3536="",F3536=""),"",F3536*IFERROR(INDEX('Sản phẩm'!$D$5:$D$304,MATCH(D3536,'Sản phẩm'!$A$5:$A$304,0)),""))</f>
        <v/>
      </c>
      <c r="L3536" s="16">
        <f>IF(J3536="","",J3536-K3536)</f>
        <v/>
      </c>
      <c r="M3536" s="14">
        <f>IF(A3536="","",MONTH(A3536))</f>
        <v/>
      </c>
      <c r="N3536" s="14">
        <f>IF(A3536="","",YEAR(A3536))</f>
        <v/>
      </c>
    </row>
    <row r="3537">
      <c r="A3537" s="15" t="n"/>
      <c r="B3537" s="10" t="n"/>
      <c r="C3537" s="10" t="n"/>
      <c r="D3537" s="10" t="n"/>
      <c r="E3537" s="14">
        <f>IF(D3537="","",IFERROR(INDEX('Sản phẩm'!$B$5:$B$304,MATCH(D3537,'Sản phẩm'!$A$5:$A$304,0)),""))</f>
        <v/>
      </c>
      <c r="F3537" s="12" t="n"/>
      <c r="G3537" s="11" t="n"/>
      <c r="H3537" s="11" t="n"/>
      <c r="I3537" s="16">
        <f>IF(D3537="","",IF(G3537&lt;&gt;"",G3537,IFERROR(INDEX('Sản phẩm'!$E$5:$E$304,MATCH(D3537,'Sản phẩm'!$A$5:$A$304,0)),"")))</f>
        <v/>
      </c>
      <c r="J3537" s="16">
        <f>IF(OR(D3537="",F3537=""),"",F3537*I3537-N(H3537))</f>
        <v/>
      </c>
      <c r="K3537" s="16">
        <f>IF(OR(D3537="",F3537=""),"",F3537*IFERROR(INDEX('Sản phẩm'!$D$5:$D$304,MATCH(D3537,'Sản phẩm'!$A$5:$A$304,0)),""))</f>
        <v/>
      </c>
      <c r="L3537" s="16">
        <f>IF(J3537="","",J3537-K3537)</f>
        <v/>
      </c>
      <c r="M3537" s="14">
        <f>IF(A3537="","",MONTH(A3537))</f>
        <v/>
      </c>
      <c r="N3537" s="14">
        <f>IF(A3537="","",YEAR(A3537))</f>
        <v/>
      </c>
    </row>
    <row r="3538">
      <c r="A3538" s="15" t="n"/>
      <c r="B3538" s="10" t="n"/>
      <c r="C3538" s="10" t="n"/>
      <c r="D3538" s="10" t="n"/>
      <c r="E3538" s="14">
        <f>IF(D3538="","",IFERROR(INDEX('Sản phẩm'!$B$5:$B$304,MATCH(D3538,'Sản phẩm'!$A$5:$A$304,0)),""))</f>
        <v/>
      </c>
      <c r="F3538" s="12" t="n"/>
      <c r="G3538" s="11" t="n"/>
      <c r="H3538" s="11" t="n"/>
      <c r="I3538" s="16">
        <f>IF(D3538="","",IF(G3538&lt;&gt;"",G3538,IFERROR(INDEX('Sản phẩm'!$E$5:$E$304,MATCH(D3538,'Sản phẩm'!$A$5:$A$304,0)),"")))</f>
        <v/>
      </c>
      <c r="J3538" s="16">
        <f>IF(OR(D3538="",F3538=""),"",F3538*I3538-N(H3538))</f>
        <v/>
      </c>
      <c r="K3538" s="16">
        <f>IF(OR(D3538="",F3538=""),"",F3538*IFERROR(INDEX('Sản phẩm'!$D$5:$D$304,MATCH(D3538,'Sản phẩm'!$A$5:$A$304,0)),""))</f>
        <v/>
      </c>
      <c r="L3538" s="16">
        <f>IF(J3538="","",J3538-K3538)</f>
        <v/>
      </c>
      <c r="M3538" s="14">
        <f>IF(A3538="","",MONTH(A3538))</f>
        <v/>
      </c>
      <c r="N3538" s="14">
        <f>IF(A3538="","",YEAR(A3538))</f>
        <v/>
      </c>
    </row>
    <row r="3539">
      <c r="A3539" s="15" t="n"/>
      <c r="B3539" s="10" t="n"/>
      <c r="C3539" s="10" t="n"/>
      <c r="D3539" s="10" t="n"/>
      <c r="E3539" s="14">
        <f>IF(D3539="","",IFERROR(INDEX('Sản phẩm'!$B$5:$B$304,MATCH(D3539,'Sản phẩm'!$A$5:$A$304,0)),""))</f>
        <v/>
      </c>
      <c r="F3539" s="12" t="n"/>
      <c r="G3539" s="11" t="n"/>
      <c r="H3539" s="11" t="n"/>
      <c r="I3539" s="16">
        <f>IF(D3539="","",IF(G3539&lt;&gt;"",G3539,IFERROR(INDEX('Sản phẩm'!$E$5:$E$304,MATCH(D3539,'Sản phẩm'!$A$5:$A$304,0)),"")))</f>
        <v/>
      </c>
      <c r="J3539" s="16">
        <f>IF(OR(D3539="",F3539=""),"",F3539*I3539-N(H3539))</f>
        <v/>
      </c>
      <c r="K3539" s="16">
        <f>IF(OR(D3539="",F3539=""),"",F3539*IFERROR(INDEX('Sản phẩm'!$D$5:$D$304,MATCH(D3539,'Sản phẩm'!$A$5:$A$304,0)),""))</f>
        <v/>
      </c>
      <c r="L3539" s="16">
        <f>IF(J3539="","",J3539-K3539)</f>
        <v/>
      </c>
      <c r="M3539" s="14">
        <f>IF(A3539="","",MONTH(A3539))</f>
        <v/>
      </c>
      <c r="N3539" s="14">
        <f>IF(A3539="","",YEAR(A3539))</f>
        <v/>
      </c>
    </row>
    <row r="3540">
      <c r="A3540" s="15" t="n"/>
      <c r="B3540" s="10" t="n"/>
      <c r="C3540" s="10" t="n"/>
      <c r="D3540" s="10" t="n"/>
      <c r="E3540" s="14">
        <f>IF(D3540="","",IFERROR(INDEX('Sản phẩm'!$B$5:$B$304,MATCH(D3540,'Sản phẩm'!$A$5:$A$304,0)),""))</f>
        <v/>
      </c>
      <c r="F3540" s="12" t="n"/>
      <c r="G3540" s="11" t="n"/>
      <c r="H3540" s="11" t="n"/>
      <c r="I3540" s="16">
        <f>IF(D3540="","",IF(G3540&lt;&gt;"",G3540,IFERROR(INDEX('Sản phẩm'!$E$5:$E$304,MATCH(D3540,'Sản phẩm'!$A$5:$A$304,0)),"")))</f>
        <v/>
      </c>
      <c r="J3540" s="16">
        <f>IF(OR(D3540="",F3540=""),"",F3540*I3540-N(H3540))</f>
        <v/>
      </c>
      <c r="K3540" s="16">
        <f>IF(OR(D3540="",F3540=""),"",F3540*IFERROR(INDEX('Sản phẩm'!$D$5:$D$304,MATCH(D3540,'Sản phẩm'!$A$5:$A$304,0)),""))</f>
        <v/>
      </c>
      <c r="L3540" s="16">
        <f>IF(J3540="","",J3540-K3540)</f>
        <v/>
      </c>
      <c r="M3540" s="14">
        <f>IF(A3540="","",MONTH(A3540))</f>
        <v/>
      </c>
      <c r="N3540" s="14">
        <f>IF(A3540="","",YEAR(A3540))</f>
        <v/>
      </c>
    </row>
    <row r="3541">
      <c r="A3541" s="15" t="n"/>
      <c r="B3541" s="10" t="n"/>
      <c r="C3541" s="10" t="n"/>
      <c r="D3541" s="10" t="n"/>
      <c r="E3541" s="14">
        <f>IF(D3541="","",IFERROR(INDEX('Sản phẩm'!$B$5:$B$304,MATCH(D3541,'Sản phẩm'!$A$5:$A$304,0)),""))</f>
        <v/>
      </c>
      <c r="F3541" s="12" t="n"/>
      <c r="G3541" s="11" t="n"/>
      <c r="H3541" s="11" t="n"/>
      <c r="I3541" s="16">
        <f>IF(D3541="","",IF(G3541&lt;&gt;"",G3541,IFERROR(INDEX('Sản phẩm'!$E$5:$E$304,MATCH(D3541,'Sản phẩm'!$A$5:$A$304,0)),"")))</f>
        <v/>
      </c>
      <c r="J3541" s="16">
        <f>IF(OR(D3541="",F3541=""),"",F3541*I3541-N(H3541))</f>
        <v/>
      </c>
      <c r="K3541" s="16">
        <f>IF(OR(D3541="",F3541=""),"",F3541*IFERROR(INDEX('Sản phẩm'!$D$5:$D$304,MATCH(D3541,'Sản phẩm'!$A$5:$A$304,0)),""))</f>
        <v/>
      </c>
      <c r="L3541" s="16">
        <f>IF(J3541="","",J3541-K3541)</f>
        <v/>
      </c>
      <c r="M3541" s="14">
        <f>IF(A3541="","",MONTH(A3541))</f>
        <v/>
      </c>
      <c r="N3541" s="14">
        <f>IF(A3541="","",YEAR(A3541))</f>
        <v/>
      </c>
    </row>
    <row r="3542">
      <c r="A3542" s="15" t="n"/>
      <c r="B3542" s="10" t="n"/>
      <c r="C3542" s="10" t="n"/>
      <c r="D3542" s="10" t="n"/>
      <c r="E3542" s="14">
        <f>IF(D3542="","",IFERROR(INDEX('Sản phẩm'!$B$5:$B$304,MATCH(D3542,'Sản phẩm'!$A$5:$A$304,0)),""))</f>
        <v/>
      </c>
      <c r="F3542" s="12" t="n"/>
      <c r="G3542" s="11" t="n"/>
      <c r="H3542" s="11" t="n"/>
      <c r="I3542" s="16">
        <f>IF(D3542="","",IF(G3542&lt;&gt;"",G3542,IFERROR(INDEX('Sản phẩm'!$E$5:$E$304,MATCH(D3542,'Sản phẩm'!$A$5:$A$304,0)),"")))</f>
        <v/>
      </c>
      <c r="J3542" s="16">
        <f>IF(OR(D3542="",F3542=""),"",F3542*I3542-N(H3542))</f>
        <v/>
      </c>
      <c r="K3542" s="16">
        <f>IF(OR(D3542="",F3542=""),"",F3542*IFERROR(INDEX('Sản phẩm'!$D$5:$D$304,MATCH(D3542,'Sản phẩm'!$A$5:$A$304,0)),""))</f>
        <v/>
      </c>
      <c r="L3542" s="16">
        <f>IF(J3542="","",J3542-K3542)</f>
        <v/>
      </c>
      <c r="M3542" s="14">
        <f>IF(A3542="","",MONTH(A3542))</f>
        <v/>
      </c>
      <c r="N3542" s="14">
        <f>IF(A3542="","",YEAR(A3542))</f>
        <v/>
      </c>
    </row>
    <row r="3543">
      <c r="A3543" s="15" t="n"/>
      <c r="B3543" s="10" t="n"/>
      <c r="C3543" s="10" t="n"/>
      <c r="D3543" s="10" t="n"/>
      <c r="E3543" s="14">
        <f>IF(D3543="","",IFERROR(INDEX('Sản phẩm'!$B$5:$B$304,MATCH(D3543,'Sản phẩm'!$A$5:$A$304,0)),""))</f>
        <v/>
      </c>
      <c r="F3543" s="12" t="n"/>
      <c r="G3543" s="11" t="n"/>
      <c r="H3543" s="11" t="n"/>
      <c r="I3543" s="16">
        <f>IF(D3543="","",IF(G3543&lt;&gt;"",G3543,IFERROR(INDEX('Sản phẩm'!$E$5:$E$304,MATCH(D3543,'Sản phẩm'!$A$5:$A$304,0)),"")))</f>
        <v/>
      </c>
      <c r="J3543" s="16">
        <f>IF(OR(D3543="",F3543=""),"",F3543*I3543-N(H3543))</f>
        <v/>
      </c>
      <c r="K3543" s="16">
        <f>IF(OR(D3543="",F3543=""),"",F3543*IFERROR(INDEX('Sản phẩm'!$D$5:$D$304,MATCH(D3543,'Sản phẩm'!$A$5:$A$304,0)),""))</f>
        <v/>
      </c>
      <c r="L3543" s="16">
        <f>IF(J3543="","",J3543-K3543)</f>
        <v/>
      </c>
      <c r="M3543" s="14">
        <f>IF(A3543="","",MONTH(A3543))</f>
        <v/>
      </c>
      <c r="N3543" s="14">
        <f>IF(A3543="","",YEAR(A3543))</f>
        <v/>
      </c>
    </row>
    <row r="3544">
      <c r="A3544" s="15" t="n"/>
      <c r="B3544" s="10" t="n"/>
      <c r="C3544" s="10" t="n"/>
      <c r="D3544" s="10" t="n"/>
      <c r="E3544" s="14">
        <f>IF(D3544="","",IFERROR(INDEX('Sản phẩm'!$B$5:$B$304,MATCH(D3544,'Sản phẩm'!$A$5:$A$304,0)),""))</f>
        <v/>
      </c>
      <c r="F3544" s="12" t="n"/>
      <c r="G3544" s="11" t="n"/>
      <c r="H3544" s="11" t="n"/>
      <c r="I3544" s="16">
        <f>IF(D3544="","",IF(G3544&lt;&gt;"",G3544,IFERROR(INDEX('Sản phẩm'!$E$5:$E$304,MATCH(D3544,'Sản phẩm'!$A$5:$A$304,0)),"")))</f>
        <v/>
      </c>
      <c r="J3544" s="16">
        <f>IF(OR(D3544="",F3544=""),"",F3544*I3544-N(H3544))</f>
        <v/>
      </c>
      <c r="K3544" s="16">
        <f>IF(OR(D3544="",F3544=""),"",F3544*IFERROR(INDEX('Sản phẩm'!$D$5:$D$304,MATCH(D3544,'Sản phẩm'!$A$5:$A$304,0)),""))</f>
        <v/>
      </c>
      <c r="L3544" s="16">
        <f>IF(J3544="","",J3544-K3544)</f>
        <v/>
      </c>
      <c r="M3544" s="14">
        <f>IF(A3544="","",MONTH(A3544))</f>
        <v/>
      </c>
      <c r="N3544" s="14">
        <f>IF(A3544="","",YEAR(A3544))</f>
        <v/>
      </c>
    </row>
    <row r="3545">
      <c r="A3545" s="15" t="n"/>
      <c r="B3545" s="10" t="n"/>
      <c r="C3545" s="10" t="n"/>
      <c r="D3545" s="10" t="n"/>
      <c r="E3545" s="14">
        <f>IF(D3545="","",IFERROR(INDEX('Sản phẩm'!$B$5:$B$304,MATCH(D3545,'Sản phẩm'!$A$5:$A$304,0)),""))</f>
        <v/>
      </c>
      <c r="F3545" s="12" t="n"/>
      <c r="G3545" s="11" t="n"/>
      <c r="H3545" s="11" t="n"/>
      <c r="I3545" s="16">
        <f>IF(D3545="","",IF(G3545&lt;&gt;"",G3545,IFERROR(INDEX('Sản phẩm'!$E$5:$E$304,MATCH(D3545,'Sản phẩm'!$A$5:$A$304,0)),"")))</f>
        <v/>
      </c>
      <c r="J3545" s="16">
        <f>IF(OR(D3545="",F3545=""),"",F3545*I3545-N(H3545))</f>
        <v/>
      </c>
      <c r="K3545" s="16">
        <f>IF(OR(D3545="",F3545=""),"",F3545*IFERROR(INDEX('Sản phẩm'!$D$5:$D$304,MATCH(D3545,'Sản phẩm'!$A$5:$A$304,0)),""))</f>
        <v/>
      </c>
      <c r="L3545" s="16">
        <f>IF(J3545="","",J3545-K3545)</f>
        <v/>
      </c>
      <c r="M3545" s="14">
        <f>IF(A3545="","",MONTH(A3545))</f>
        <v/>
      </c>
      <c r="N3545" s="14">
        <f>IF(A3545="","",YEAR(A3545))</f>
        <v/>
      </c>
    </row>
    <row r="3546">
      <c r="A3546" s="15" t="n"/>
      <c r="B3546" s="10" t="n"/>
      <c r="C3546" s="10" t="n"/>
      <c r="D3546" s="10" t="n"/>
      <c r="E3546" s="14">
        <f>IF(D3546="","",IFERROR(INDEX('Sản phẩm'!$B$5:$B$304,MATCH(D3546,'Sản phẩm'!$A$5:$A$304,0)),""))</f>
        <v/>
      </c>
      <c r="F3546" s="12" t="n"/>
      <c r="G3546" s="11" t="n"/>
      <c r="H3546" s="11" t="n"/>
      <c r="I3546" s="16">
        <f>IF(D3546="","",IF(G3546&lt;&gt;"",G3546,IFERROR(INDEX('Sản phẩm'!$E$5:$E$304,MATCH(D3546,'Sản phẩm'!$A$5:$A$304,0)),"")))</f>
        <v/>
      </c>
      <c r="J3546" s="16">
        <f>IF(OR(D3546="",F3546=""),"",F3546*I3546-N(H3546))</f>
        <v/>
      </c>
      <c r="K3546" s="16">
        <f>IF(OR(D3546="",F3546=""),"",F3546*IFERROR(INDEX('Sản phẩm'!$D$5:$D$304,MATCH(D3546,'Sản phẩm'!$A$5:$A$304,0)),""))</f>
        <v/>
      </c>
      <c r="L3546" s="16">
        <f>IF(J3546="","",J3546-K3546)</f>
        <v/>
      </c>
      <c r="M3546" s="14">
        <f>IF(A3546="","",MONTH(A3546))</f>
        <v/>
      </c>
      <c r="N3546" s="14">
        <f>IF(A3546="","",YEAR(A3546))</f>
        <v/>
      </c>
    </row>
    <row r="3547">
      <c r="A3547" s="15" t="n"/>
      <c r="B3547" s="10" t="n"/>
      <c r="C3547" s="10" t="n"/>
      <c r="D3547" s="10" t="n"/>
      <c r="E3547" s="14">
        <f>IF(D3547="","",IFERROR(INDEX('Sản phẩm'!$B$5:$B$304,MATCH(D3547,'Sản phẩm'!$A$5:$A$304,0)),""))</f>
        <v/>
      </c>
      <c r="F3547" s="12" t="n"/>
      <c r="G3547" s="11" t="n"/>
      <c r="H3547" s="11" t="n"/>
      <c r="I3547" s="16">
        <f>IF(D3547="","",IF(G3547&lt;&gt;"",G3547,IFERROR(INDEX('Sản phẩm'!$E$5:$E$304,MATCH(D3547,'Sản phẩm'!$A$5:$A$304,0)),"")))</f>
        <v/>
      </c>
      <c r="J3547" s="16">
        <f>IF(OR(D3547="",F3547=""),"",F3547*I3547-N(H3547))</f>
        <v/>
      </c>
      <c r="K3547" s="16">
        <f>IF(OR(D3547="",F3547=""),"",F3547*IFERROR(INDEX('Sản phẩm'!$D$5:$D$304,MATCH(D3547,'Sản phẩm'!$A$5:$A$304,0)),""))</f>
        <v/>
      </c>
      <c r="L3547" s="16">
        <f>IF(J3547="","",J3547-K3547)</f>
        <v/>
      </c>
      <c r="M3547" s="14">
        <f>IF(A3547="","",MONTH(A3547))</f>
        <v/>
      </c>
      <c r="N3547" s="14">
        <f>IF(A3547="","",YEAR(A3547))</f>
        <v/>
      </c>
    </row>
    <row r="3548">
      <c r="A3548" s="15" t="n"/>
      <c r="B3548" s="10" t="n"/>
      <c r="C3548" s="10" t="n"/>
      <c r="D3548" s="10" t="n"/>
      <c r="E3548" s="14">
        <f>IF(D3548="","",IFERROR(INDEX('Sản phẩm'!$B$5:$B$304,MATCH(D3548,'Sản phẩm'!$A$5:$A$304,0)),""))</f>
        <v/>
      </c>
      <c r="F3548" s="12" t="n"/>
      <c r="G3548" s="11" t="n"/>
      <c r="H3548" s="11" t="n"/>
      <c r="I3548" s="16">
        <f>IF(D3548="","",IF(G3548&lt;&gt;"",G3548,IFERROR(INDEX('Sản phẩm'!$E$5:$E$304,MATCH(D3548,'Sản phẩm'!$A$5:$A$304,0)),"")))</f>
        <v/>
      </c>
      <c r="J3548" s="16">
        <f>IF(OR(D3548="",F3548=""),"",F3548*I3548-N(H3548))</f>
        <v/>
      </c>
      <c r="K3548" s="16">
        <f>IF(OR(D3548="",F3548=""),"",F3548*IFERROR(INDEX('Sản phẩm'!$D$5:$D$304,MATCH(D3548,'Sản phẩm'!$A$5:$A$304,0)),""))</f>
        <v/>
      </c>
      <c r="L3548" s="16">
        <f>IF(J3548="","",J3548-K3548)</f>
        <v/>
      </c>
      <c r="M3548" s="14">
        <f>IF(A3548="","",MONTH(A3548))</f>
        <v/>
      </c>
      <c r="N3548" s="14">
        <f>IF(A3548="","",YEAR(A3548))</f>
        <v/>
      </c>
    </row>
    <row r="3549">
      <c r="A3549" s="15" t="n"/>
      <c r="B3549" s="10" t="n"/>
      <c r="C3549" s="10" t="n"/>
      <c r="D3549" s="10" t="n"/>
      <c r="E3549" s="14">
        <f>IF(D3549="","",IFERROR(INDEX('Sản phẩm'!$B$5:$B$304,MATCH(D3549,'Sản phẩm'!$A$5:$A$304,0)),""))</f>
        <v/>
      </c>
      <c r="F3549" s="12" t="n"/>
      <c r="G3549" s="11" t="n"/>
      <c r="H3549" s="11" t="n"/>
      <c r="I3549" s="16">
        <f>IF(D3549="","",IF(G3549&lt;&gt;"",G3549,IFERROR(INDEX('Sản phẩm'!$E$5:$E$304,MATCH(D3549,'Sản phẩm'!$A$5:$A$304,0)),"")))</f>
        <v/>
      </c>
      <c r="J3549" s="16">
        <f>IF(OR(D3549="",F3549=""),"",F3549*I3549-N(H3549))</f>
        <v/>
      </c>
      <c r="K3549" s="16">
        <f>IF(OR(D3549="",F3549=""),"",F3549*IFERROR(INDEX('Sản phẩm'!$D$5:$D$304,MATCH(D3549,'Sản phẩm'!$A$5:$A$304,0)),""))</f>
        <v/>
      </c>
      <c r="L3549" s="16">
        <f>IF(J3549="","",J3549-K3549)</f>
        <v/>
      </c>
      <c r="M3549" s="14">
        <f>IF(A3549="","",MONTH(A3549))</f>
        <v/>
      </c>
      <c r="N3549" s="14">
        <f>IF(A3549="","",YEAR(A3549))</f>
        <v/>
      </c>
    </row>
    <row r="3550">
      <c r="A3550" s="15" t="n"/>
      <c r="B3550" s="10" t="n"/>
      <c r="C3550" s="10" t="n"/>
      <c r="D3550" s="10" t="n"/>
      <c r="E3550" s="14">
        <f>IF(D3550="","",IFERROR(INDEX('Sản phẩm'!$B$5:$B$304,MATCH(D3550,'Sản phẩm'!$A$5:$A$304,0)),""))</f>
        <v/>
      </c>
      <c r="F3550" s="12" t="n"/>
      <c r="G3550" s="11" t="n"/>
      <c r="H3550" s="11" t="n"/>
      <c r="I3550" s="16">
        <f>IF(D3550="","",IF(G3550&lt;&gt;"",G3550,IFERROR(INDEX('Sản phẩm'!$E$5:$E$304,MATCH(D3550,'Sản phẩm'!$A$5:$A$304,0)),"")))</f>
        <v/>
      </c>
      <c r="J3550" s="16">
        <f>IF(OR(D3550="",F3550=""),"",F3550*I3550-N(H3550))</f>
        <v/>
      </c>
      <c r="K3550" s="16">
        <f>IF(OR(D3550="",F3550=""),"",F3550*IFERROR(INDEX('Sản phẩm'!$D$5:$D$304,MATCH(D3550,'Sản phẩm'!$A$5:$A$304,0)),""))</f>
        <v/>
      </c>
      <c r="L3550" s="16">
        <f>IF(J3550="","",J3550-K3550)</f>
        <v/>
      </c>
      <c r="M3550" s="14">
        <f>IF(A3550="","",MONTH(A3550))</f>
        <v/>
      </c>
      <c r="N3550" s="14">
        <f>IF(A3550="","",YEAR(A3550))</f>
        <v/>
      </c>
    </row>
    <row r="3551">
      <c r="A3551" s="15" t="n"/>
      <c r="B3551" s="10" t="n"/>
      <c r="C3551" s="10" t="n"/>
      <c r="D3551" s="10" t="n"/>
      <c r="E3551" s="14">
        <f>IF(D3551="","",IFERROR(INDEX('Sản phẩm'!$B$5:$B$304,MATCH(D3551,'Sản phẩm'!$A$5:$A$304,0)),""))</f>
        <v/>
      </c>
      <c r="F3551" s="12" t="n"/>
      <c r="G3551" s="11" t="n"/>
      <c r="H3551" s="11" t="n"/>
      <c r="I3551" s="16">
        <f>IF(D3551="","",IF(G3551&lt;&gt;"",G3551,IFERROR(INDEX('Sản phẩm'!$E$5:$E$304,MATCH(D3551,'Sản phẩm'!$A$5:$A$304,0)),"")))</f>
        <v/>
      </c>
      <c r="J3551" s="16">
        <f>IF(OR(D3551="",F3551=""),"",F3551*I3551-N(H3551))</f>
        <v/>
      </c>
      <c r="K3551" s="16">
        <f>IF(OR(D3551="",F3551=""),"",F3551*IFERROR(INDEX('Sản phẩm'!$D$5:$D$304,MATCH(D3551,'Sản phẩm'!$A$5:$A$304,0)),""))</f>
        <v/>
      </c>
      <c r="L3551" s="16">
        <f>IF(J3551="","",J3551-K3551)</f>
        <v/>
      </c>
      <c r="M3551" s="14">
        <f>IF(A3551="","",MONTH(A3551))</f>
        <v/>
      </c>
      <c r="N3551" s="14">
        <f>IF(A3551="","",YEAR(A3551))</f>
        <v/>
      </c>
    </row>
    <row r="3552">
      <c r="A3552" s="15" t="n"/>
      <c r="B3552" s="10" t="n"/>
      <c r="C3552" s="10" t="n"/>
      <c r="D3552" s="10" t="n"/>
      <c r="E3552" s="14">
        <f>IF(D3552="","",IFERROR(INDEX('Sản phẩm'!$B$5:$B$304,MATCH(D3552,'Sản phẩm'!$A$5:$A$304,0)),""))</f>
        <v/>
      </c>
      <c r="F3552" s="12" t="n"/>
      <c r="G3552" s="11" t="n"/>
      <c r="H3552" s="11" t="n"/>
      <c r="I3552" s="16">
        <f>IF(D3552="","",IF(G3552&lt;&gt;"",G3552,IFERROR(INDEX('Sản phẩm'!$E$5:$E$304,MATCH(D3552,'Sản phẩm'!$A$5:$A$304,0)),"")))</f>
        <v/>
      </c>
      <c r="J3552" s="16">
        <f>IF(OR(D3552="",F3552=""),"",F3552*I3552-N(H3552))</f>
        <v/>
      </c>
      <c r="K3552" s="16">
        <f>IF(OR(D3552="",F3552=""),"",F3552*IFERROR(INDEX('Sản phẩm'!$D$5:$D$304,MATCH(D3552,'Sản phẩm'!$A$5:$A$304,0)),""))</f>
        <v/>
      </c>
      <c r="L3552" s="16">
        <f>IF(J3552="","",J3552-K3552)</f>
        <v/>
      </c>
      <c r="M3552" s="14">
        <f>IF(A3552="","",MONTH(A3552))</f>
        <v/>
      </c>
      <c r="N3552" s="14">
        <f>IF(A3552="","",YEAR(A3552))</f>
        <v/>
      </c>
    </row>
    <row r="3553">
      <c r="A3553" s="15" t="n"/>
      <c r="B3553" s="10" t="n"/>
      <c r="C3553" s="10" t="n"/>
      <c r="D3553" s="10" t="n"/>
      <c r="E3553" s="14">
        <f>IF(D3553="","",IFERROR(INDEX('Sản phẩm'!$B$5:$B$304,MATCH(D3553,'Sản phẩm'!$A$5:$A$304,0)),""))</f>
        <v/>
      </c>
      <c r="F3553" s="12" t="n"/>
      <c r="G3553" s="11" t="n"/>
      <c r="H3553" s="11" t="n"/>
      <c r="I3553" s="16">
        <f>IF(D3553="","",IF(G3553&lt;&gt;"",G3553,IFERROR(INDEX('Sản phẩm'!$E$5:$E$304,MATCH(D3553,'Sản phẩm'!$A$5:$A$304,0)),"")))</f>
        <v/>
      </c>
      <c r="J3553" s="16">
        <f>IF(OR(D3553="",F3553=""),"",F3553*I3553-N(H3553))</f>
        <v/>
      </c>
      <c r="K3553" s="16">
        <f>IF(OR(D3553="",F3553=""),"",F3553*IFERROR(INDEX('Sản phẩm'!$D$5:$D$304,MATCH(D3553,'Sản phẩm'!$A$5:$A$304,0)),""))</f>
        <v/>
      </c>
      <c r="L3553" s="16">
        <f>IF(J3553="","",J3553-K3553)</f>
        <v/>
      </c>
      <c r="M3553" s="14">
        <f>IF(A3553="","",MONTH(A3553))</f>
        <v/>
      </c>
      <c r="N3553" s="14">
        <f>IF(A3553="","",YEAR(A3553))</f>
        <v/>
      </c>
    </row>
    <row r="3554">
      <c r="A3554" s="15" t="n"/>
      <c r="B3554" s="10" t="n"/>
      <c r="C3554" s="10" t="n"/>
      <c r="D3554" s="10" t="n"/>
      <c r="E3554" s="14">
        <f>IF(D3554="","",IFERROR(INDEX('Sản phẩm'!$B$5:$B$304,MATCH(D3554,'Sản phẩm'!$A$5:$A$304,0)),""))</f>
        <v/>
      </c>
      <c r="F3554" s="12" t="n"/>
      <c r="G3554" s="11" t="n"/>
      <c r="H3554" s="11" t="n"/>
      <c r="I3554" s="16">
        <f>IF(D3554="","",IF(G3554&lt;&gt;"",G3554,IFERROR(INDEX('Sản phẩm'!$E$5:$E$304,MATCH(D3554,'Sản phẩm'!$A$5:$A$304,0)),"")))</f>
        <v/>
      </c>
      <c r="J3554" s="16">
        <f>IF(OR(D3554="",F3554=""),"",F3554*I3554-N(H3554))</f>
        <v/>
      </c>
      <c r="K3554" s="16">
        <f>IF(OR(D3554="",F3554=""),"",F3554*IFERROR(INDEX('Sản phẩm'!$D$5:$D$304,MATCH(D3554,'Sản phẩm'!$A$5:$A$304,0)),""))</f>
        <v/>
      </c>
      <c r="L3554" s="16">
        <f>IF(J3554="","",J3554-K3554)</f>
        <v/>
      </c>
      <c r="M3554" s="14">
        <f>IF(A3554="","",MONTH(A3554))</f>
        <v/>
      </c>
      <c r="N3554" s="14">
        <f>IF(A3554="","",YEAR(A3554))</f>
        <v/>
      </c>
    </row>
    <row r="3555">
      <c r="A3555" s="15" t="n"/>
      <c r="B3555" s="10" t="n"/>
      <c r="C3555" s="10" t="n"/>
      <c r="D3555" s="10" t="n"/>
      <c r="E3555" s="14">
        <f>IF(D3555="","",IFERROR(INDEX('Sản phẩm'!$B$5:$B$304,MATCH(D3555,'Sản phẩm'!$A$5:$A$304,0)),""))</f>
        <v/>
      </c>
      <c r="F3555" s="12" t="n"/>
      <c r="G3555" s="11" t="n"/>
      <c r="H3555" s="11" t="n"/>
      <c r="I3555" s="16">
        <f>IF(D3555="","",IF(G3555&lt;&gt;"",G3555,IFERROR(INDEX('Sản phẩm'!$E$5:$E$304,MATCH(D3555,'Sản phẩm'!$A$5:$A$304,0)),"")))</f>
        <v/>
      </c>
      <c r="J3555" s="16">
        <f>IF(OR(D3555="",F3555=""),"",F3555*I3555-N(H3555))</f>
        <v/>
      </c>
      <c r="K3555" s="16">
        <f>IF(OR(D3555="",F3555=""),"",F3555*IFERROR(INDEX('Sản phẩm'!$D$5:$D$304,MATCH(D3555,'Sản phẩm'!$A$5:$A$304,0)),""))</f>
        <v/>
      </c>
      <c r="L3555" s="16">
        <f>IF(J3555="","",J3555-K3555)</f>
        <v/>
      </c>
      <c r="M3555" s="14">
        <f>IF(A3555="","",MONTH(A3555))</f>
        <v/>
      </c>
      <c r="N3555" s="14">
        <f>IF(A3555="","",YEAR(A3555))</f>
        <v/>
      </c>
    </row>
    <row r="3556">
      <c r="A3556" s="15" t="n"/>
      <c r="B3556" s="10" t="n"/>
      <c r="C3556" s="10" t="n"/>
      <c r="D3556" s="10" t="n"/>
      <c r="E3556" s="14">
        <f>IF(D3556="","",IFERROR(INDEX('Sản phẩm'!$B$5:$B$304,MATCH(D3556,'Sản phẩm'!$A$5:$A$304,0)),""))</f>
        <v/>
      </c>
      <c r="F3556" s="12" t="n"/>
      <c r="G3556" s="11" t="n"/>
      <c r="H3556" s="11" t="n"/>
      <c r="I3556" s="16">
        <f>IF(D3556="","",IF(G3556&lt;&gt;"",G3556,IFERROR(INDEX('Sản phẩm'!$E$5:$E$304,MATCH(D3556,'Sản phẩm'!$A$5:$A$304,0)),"")))</f>
        <v/>
      </c>
      <c r="J3556" s="16">
        <f>IF(OR(D3556="",F3556=""),"",F3556*I3556-N(H3556))</f>
        <v/>
      </c>
      <c r="K3556" s="16">
        <f>IF(OR(D3556="",F3556=""),"",F3556*IFERROR(INDEX('Sản phẩm'!$D$5:$D$304,MATCH(D3556,'Sản phẩm'!$A$5:$A$304,0)),""))</f>
        <v/>
      </c>
      <c r="L3556" s="16">
        <f>IF(J3556="","",J3556-K3556)</f>
        <v/>
      </c>
      <c r="M3556" s="14">
        <f>IF(A3556="","",MONTH(A3556))</f>
        <v/>
      </c>
      <c r="N3556" s="14">
        <f>IF(A3556="","",YEAR(A3556))</f>
        <v/>
      </c>
    </row>
    <row r="3557">
      <c r="A3557" s="15" t="n"/>
      <c r="B3557" s="10" t="n"/>
      <c r="C3557" s="10" t="n"/>
      <c r="D3557" s="10" t="n"/>
      <c r="E3557" s="14">
        <f>IF(D3557="","",IFERROR(INDEX('Sản phẩm'!$B$5:$B$304,MATCH(D3557,'Sản phẩm'!$A$5:$A$304,0)),""))</f>
        <v/>
      </c>
      <c r="F3557" s="12" t="n"/>
      <c r="G3557" s="11" t="n"/>
      <c r="H3557" s="11" t="n"/>
      <c r="I3557" s="16">
        <f>IF(D3557="","",IF(G3557&lt;&gt;"",G3557,IFERROR(INDEX('Sản phẩm'!$E$5:$E$304,MATCH(D3557,'Sản phẩm'!$A$5:$A$304,0)),"")))</f>
        <v/>
      </c>
      <c r="J3557" s="16">
        <f>IF(OR(D3557="",F3557=""),"",F3557*I3557-N(H3557))</f>
        <v/>
      </c>
      <c r="K3557" s="16">
        <f>IF(OR(D3557="",F3557=""),"",F3557*IFERROR(INDEX('Sản phẩm'!$D$5:$D$304,MATCH(D3557,'Sản phẩm'!$A$5:$A$304,0)),""))</f>
        <v/>
      </c>
      <c r="L3557" s="16">
        <f>IF(J3557="","",J3557-K3557)</f>
        <v/>
      </c>
      <c r="M3557" s="14">
        <f>IF(A3557="","",MONTH(A3557))</f>
        <v/>
      </c>
      <c r="N3557" s="14">
        <f>IF(A3557="","",YEAR(A3557))</f>
        <v/>
      </c>
    </row>
    <row r="3558">
      <c r="A3558" s="15" t="n"/>
      <c r="B3558" s="10" t="n"/>
      <c r="C3558" s="10" t="n"/>
      <c r="D3558" s="10" t="n"/>
      <c r="E3558" s="14">
        <f>IF(D3558="","",IFERROR(INDEX('Sản phẩm'!$B$5:$B$304,MATCH(D3558,'Sản phẩm'!$A$5:$A$304,0)),""))</f>
        <v/>
      </c>
      <c r="F3558" s="12" t="n"/>
      <c r="G3558" s="11" t="n"/>
      <c r="H3558" s="11" t="n"/>
      <c r="I3558" s="16">
        <f>IF(D3558="","",IF(G3558&lt;&gt;"",G3558,IFERROR(INDEX('Sản phẩm'!$E$5:$E$304,MATCH(D3558,'Sản phẩm'!$A$5:$A$304,0)),"")))</f>
        <v/>
      </c>
      <c r="J3558" s="16">
        <f>IF(OR(D3558="",F3558=""),"",F3558*I3558-N(H3558))</f>
        <v/>
      </c>
      <c r="K3558" s="16">
        <f>IF(OR(D3558="",F3558=""),"",F3558*IFERROR(INDEX('Sản phẩm'!$D$5:$D$304,MATCH(D3558,'Sản phẩm'!$A$5:$A$304,0)),""))</f>
        <v/>
      </c>
      <c r="L3558" s="16">
        <f>IF(J3558="","",J3558-K3558)</f>
        <v/>
      </c>
      <c r="M3558" s="14">
        <f>IF(A3558="","",MONTH(A3558))</f>
        <v/>
      </c>
      <c r="N3558" s="14">
        <f>IF(A3558="","",YEAR(A3558))</f>
        <v/>
      </c>
    </row>
    <row r="3559">
      <c r="A3559" s="15" t="n"/>
      <c r="B3559" s="10" t="n"/>
      <c r="C3559" s="10" t="n"/>
      <c r="D3559" s="10" t="n"/>
      <c r="E3559" s="14">
        <f>IF(D3559="","",IFERROR(INDEX('Sản phẩm'!$B$5:$B$304,MATCH(D3559,'Sản phẩm'!$A$5:$A$304,0)),""))</f>
        <v/>
      </c>
      <c r="F3559" s="12" t="n"/>
      <c r="G3559" s="11" t="n"/>
      <c r="H3559" s="11" t="n"/>
      <c r="I3559" s="16">
        <f>IF(D3559="","",IF(G3559&lt;&gt;"",G3559,IFERROR(INDEX('Sản phẩm'!$E$5:$E$304,MATCH(D3559,'Sản phẩm'!$A$5:$A$304,0)),"")))</f>
        <v/>
      </c>
      <c r="J3559" s="16">
        <f>IF(OR(D3559="",F3559=""),"",F3559*I3559-N(H3559))</f>
        <v/>
      </c>
      <c r="K3559" s="16">
        <f>IF(OR(D3559="",F3559=""),"",F3559*IFERROR(INDEX('Sản phẩm'!$D$5:$D$304,MATCH(D3559,'Sản phẩm'!$A$5:$A$304,0)),""))</f>
        <v/>
      </c>
      <c r="L3559" s="16">
        <f>IF(J3559="","",J3559-K3559)</f>
        <v/>
      </c>
      <c r="M3559" s="14">
        <f>IF(A3559="","",MONTH(A3559))</f>
        <v/>
      </c>
      <c r="N3559" s="14">
        <f>IF(A3559="","",YEAR(A3559))</f>
        <v/>
      </c>
    </row>
    <row r="3560">
      <c r="A3560" s="15" t="n"/>
      <c r="B3560" s="10" t="n"/>
      <c r="C3560" s="10" t="n"/>
      <c r="D3560" s="10" t="n"/>
      <c r="E3560" s="14">
        <f>IF(D3560="","",IFERROR(INDEX('Sản phẩm'!$B$5:$B$304,MATCH(D3560,'Sản phẩm'!$A$5:$A$304,0)),""))</f>
        <v/>
      </c>
      <c r="F3560" s="12" t="n"/>
      <c r="G3560" s="11" t="n"/>
      <c r="H3560" s="11" t="n"/>
      <c r="I3560" s="16">
        <f>IF(D3560="","",IF(G3560&lt;&gt;"",G3560,IFERROR(INDEX('Sản phẩm'!$E$5:$E$304,MATCH(D3560,'Sản phẩm'!$A$5:$A$304,0)),"")))</f>
        <v/>
      </c>
      <c r="J3560" s="16">
        <f>IF(OR(D3560="",F3560=""),"",F3560*I3560-N(H3560))</f>
        <v/>
      </c>
      <c r="K3560" s="16">
        <f>IF(OR(D3560="",F3560=""),"",F3560*IFERROR(INDEX('Sản phẩm'!$D$5:$D$304,MATCH(D3560,'Sản phẩm'!$A$5:$A$304,0)),""))</f>
        <v/>
      </c>
      <c r="L3560" s="16">
        <f>IF(J3560="","",J3560-K3560)</f>
        <v/>
      </c>
      <c r="M3560" s="14">
        <f>IF(A3560="","",MONTH(A3560))</f>
        <v/>
      </c>
      <c r="N3560" s="14">
        <f>IF(A3560="","",YEAR(A3560))</f>
        <v/>
      </c>
    </row>
    <row r="3561">
      <c r="A3561" s="15" t="n"/>
      <c r="B3561" s="10" t="n"/>
      <c r="C3561" s="10" t="n"/>
      <c r="D3561" s="10" t="n"/>
      <c r="E3561" s="14">
        <f>IF(D3561="","",IFERROR(INDEX('Sản phẩm'!$B$5:$B$304,MATCH(D3561,'Sản phẩm'!$A$5:$A$304,0)),""))</f>
        <v/>
      </c>
      <c r="F3561" s="12" t="n"/>
      <c r="G3561" s="11" t="n"/>
      <c r="H3561" s="11" t="n"/>
      <c r="I3561" s="16">
        <f>IF(D3561="","",IF(G3561&lt;&gt;"",G3561,IFERROR(INDEX('Sản phẩm'!$E$5:$E$304,MATCH(D3561,'Sản phẩm'!$A$5:$A$304,0)),"")))</f>
        <v/>
      </c>
      <c r="J3561" s="16">
        <f>IF(OR(D3561="",F3561=""),"",F3561*I3561-N(H3561))</f>
        <v/>
      </c>
      <c r="K3561" s="16">
        <f>IF(OR(D3561="",F3561=""),"",F3561*IFERROR(INDEX('Sản phẩm'!$D$5:$D$304,MATCH(D3561,'Sản phẩm'!$A$5:$A$304,0)),""))</f>
        <v/>
      </c>
      <c r="L3561" s="16">
        <f>IF(J3561="","",J3561-K3561)</f>
        <v/>
      </c>
      <c r="M3561" s="14">
        <f>IF(A3561="","",MONTH(A3561))</f>
        <v/>
      </c>
      <c r="N3561" s="14">
        <f>IF(A3561="","",YEAR(A3561))</f>
        <v/>
      </c>
    </row>
    <row r="3562">
      <c r="A3562" s="15" t="n"/>
      <c r="B3562" s="10" t="n"/>
      <c r="C3562" s="10" t="n"/>
      <c r="D3562" s="10" t="n"/>
      <c r="E3562" s="14">
        <f>IF(D3562="","",IFERROR(INDEX('Sản phẩm'!$B$5:$B$304,MATCH(D3562,'Sản phẩm'!$A$5:$A$304,0)),""))</f>
        <v/>
      </c>
      <c r="F3562" s="12" t="n"/>
      <c r="G3562" s="11" t="n"/>
      <c r="H3562" s="11" t="n"/>
      <c r="I3562" s="16">
        <f>IF(D3562="","",IF(G3562&lt;&gt;"",G3562,IFERROR(INDEX('Sản phẩm'!$E$5:$E$304,MATCH(D3562,'Sản phẩm'!$A$5:$A$304,0)),"")))</f>
        <v/>
      </c>
      <c r="J3562" s="16">
        <f>IF(OR(D3562="",F3562=""),"",F3562*I3562-N(H3562))</f>
        <v/>
      </c>
      <c r="K3562" s="16">
        <f>IF(OR(D3562="",F3562=""),"",F3562*IFERROR(INDEX('Sản phẩm'!$D$5:$D$304,MATCH(D3562,'Sản phẩm'!$A$5:$A$304,0)),""))</f>
        <v/>
      </c>
      <c r="L3562" s="16">
        <f>IF(J3562="","",J3562-K3562)</f>
        <v/>
      </c>
      <c r="M3562" s="14">
        <f>IF(A3562="","",MONTH(A3562))</f>
        <v/>
      </c>
      <c r="N3562" s="14">
        <f>IF(A3562="","",YEAR(A3562))</f>
        <v/>
      </c>
    </row>
    <row r="3563">
      <c r="A3563" s="15" t="n"/>
      <c r="B3563" s="10" t="n"/>
      <c r="C3563" s="10" t="n"/>
      <c r="D3563" s="10" t="n"/>
      <c r="E3563" s="14">
        <f>IF(D3563="","",IFERROR(INDEX('Sản phẩm'!$B$5:$B$304,MATCH(D3563,'Sản phẩm'!$A$5:$A$304,0)),""))</f>
        <v/>
      </c>
      <c r="F3563" s="12" t="n"/>
      <c r="G3563" s="11" t="n"/>
      <c r="H3563" s="11" t="n"/>
      <c r="I3563" s="16">
        <f>IF(D3563="","",IF(G3563&lt;&gt;"",G3563,IFERROR(INDEX('Sản phẩm'!$E$5:$E$304,MATCH(D3563,'Sản phẩm'!$A$5:$A$304,0)),"")))</f>
        <v/>
      </c>
      <c r="J3563" s="16">
        <f>IF(OR(D3563="",F3563=""),"",F3563*I3563-N(H3563))</f>
        <v/>
      </c>
      <c r="K3563" s="16">
        <f>IF(OR(D3563="",F3563=""),"",F3563*IFERROR(INDEX('Sản phẩm'!$D$5:$D$304,MATCH(D3563,'Sản phẩm'!$A$5:$A$304,0)),""))</f>
        <v/>
      </c>
      <c r="L3563" s="16">
        <f>IF(J3563="","",J3563-K3563)</f>
        <v/>
      </c>
      <c r="M3563" s="14">
        <f>IF(A3563="","",MONTH(A3563))</f>
        <v/>
      </c>
      <c r="N3563" s="14">
        <f>IF(A3563="","",YEAR(A3563))</f>
        <v/>
      </c>
    </row>
    <row r="3564">
      <c r="A3564" s="15" t="n"/>
      <c r="B3564" s="10" t="n"/>
      <c r="C3564" s="10" t="n"/>
      <c r="D3564" s="10" t="n"/>
      <c r="E3564" s="14">
        <f>IF(D3564="","",IFERROR(INDEX('Sản phẩm'!$B$5:$B$304,MATCH(D3564,'Sản phẩm'!$A$5:$A$304,0)),""))</f>
        <v/>
      </c>
      <c r="F3564" s="12" t="n"/>
      <c r="G3564" s="11" t="n"/>
      <c r="H3564" s="11" t="n"/>
      <c r="I3564" s="16">
        <f>IF(D3564="","",IF(G3564&lt;&gt;"",G3564,IFERROR(INDEX('Sản phẩm'!$E$5:$E$304,MATCH(D3564,'Sản phẩm'!$A$5:$A$304,0)),"")))</f>
        <v/>
      </c>
      <c r="J3564" s="16">
        <f>IF(OR(D3564="",F3564=""),"",F3564*I3564-N(H3564))</f>
        <v/>
      </c>
      <c r="K3564" s="16">
        <f>IF(OR(D3564="",F3564=""),"",F3564*IFERROR(INDEX('Sản phẩm'!$D$5:$D$304,MATCH(D3564,'Sản phẩm'!$A$5:$A$304,0)),""))</f>
        <v/>
      </c>
      <c r="L3564" s="16">
        <f>IF(J3564="","",J3564-K3564)</f>
        <v/>
      </c>
      <c r="M3564" s="14">
        <f>IF(A3564="","",MONTH(A3564))</f>
        <v/>
      </c>
      <c r="N3564" s="14">
        <f>IF(A3564="","",YEAR(A3564))</f>
        <v/>
      </c>
    </row>
    <row r="3565">
      <c r="A3565" s="15" t="n"/>
      <c r="B3565" s="10" t="n"/>
      <c r="C3565" s="10" t="n"/>
      <c r="D3565" s="10" t="n"/>
      <c r="E3565" s="14">
        <f>IF(D3565="","",IFERROR(INDEX('Sản phẩm'!$B$5:$B$304,MATCH(D3565,'Sản phẩm'!$A$5:$A$304,0)),""))</f>
        <v/>
      </c>
      <c r="F3565" s="12" t="n"/>
      <c r="G3565" s="11" t="n"/>
      <c r="H3565" s="11" t="n"/>
      <c r="I3565" s="16">
        <f>IF(D3565="","",IF(G3565&lt;&gt;"",G3565,IFERROR(INDEX('Sản phẩm'!$E$5:$E$304,MATCH(D3565,'Sản phẩm'!$A$5:$A$304,0)),"")))</f>
        <v/>
      </c>
      <c r="J3565" s="16">
        <f>IF(OR(D3565="",F3565=""),"",F3565*I3565-N(H3565))</f>
        <v/>
      </c>
      <c r="K3565" s="16">
        <f>IF(OR(D3565="",F3565=""),"",F3565*IFERROR(INDEX('Sản phẩm'!$D$5:$D$304,MATCH(D3565,'Sản phẩm'!$A$5:$A$304,0)),""))</f>
        <v/>
      </c>
      <c r="L3565" s="16">
        <f>IF(J3565="","",J3565-K3565)</f>
        <v/>
      </c>
      <c r="M3565" s="14">
        <f>IF(A3565="","",MONTH(A3565))</f>
        <v/>
      </c>
      <c r="N3565" s="14">
        <f>IF(A3565="","",YEAR(A3565))</f>
        <v/>
      </c>
    </row>
    <row r="3566">
      <c r="A3566" s="15" t="n"/>
      <c r="B3566" s="10" t="n"/>
      <c r="C3566" s="10" t="n"/>
      <c r="D3566" s="10" t="n"/>
      <c r="E3566" s="14">
        <f>IF(D3566="","",IFERROR(INDEX('Sản phẩm'!$B$5:$B$304,MATCH(D3566,'Sản phẩm'!$A$5:$A$304,0)),""))</f>
        <v/>
      </c>
      <c r="F3566" s="12" t="n"/>
      <c r="G3566" s="11" t="n"/>
      <c r="H3566" s="11" t="n"/>
      <c r="I3566" s="16">
        <f>IF(D3566="","",IF(G3566&lt;&gt;"",G3566,IFERROR(INDEX('Sản phẩm'!$E$5:$E$304,MATCH(D3566,'Sản phẩm'!$A$5:$A$304,0)),"")))</f>
        <v/>
      </c>
      <c r="J3566" s="16">
        <f>IF(OR(D3566="",F3566=""),"",F3566*I3566-N(H3566))</f>
        <v/>
      </c>
      <c r="K3566" s="16">
        <f>IF(OR(D3566="",F3566=""),"",F3566*IFERROR(INDEX('Sản phẩm'!$D$5:$D$304,MATCH(D3566,'Sản phẩm'!$A$5:$A$304,0)),""))</f>
        <v/>
      </c>
      <c r="L3566" s="16">
        <f>IF(J3566="","",J3566-K3566)</f>
        <v/>
      </c>
      <c r="M3566" s="14">
        <f>IF(A3566="","",MONTH(A3566))</f>
        <v/>
      </c>
      <c r="N3566" s="14">
        <f>IF(A3566="","",YEAR(A3566))</f>
        <v/>
      </c>
    </row>
    <row r="3567">
      <c r="A3567" s="15" t="n"/>
      <c r="B3567" s="10" t="n"/>
      <c r="C3567" s="10" t="n"/>
      <c r="D3567" s="10" t="n"/>
      <c r="E3567" s="14">
        <f>IF(D3567="","",IFERROR(INDEX('Sản phẩm'!$B$5:$B$304,MATCH(D3567,'Sản phẩm'!$A$5:$A$304,0)),""))</f>
        <v/>
      </c>
      <c r="F3567" s="12" t="n"/>
      <c r="G3567" s="11" t="n"/>
      <c r="H3567" s="11" t="n"/>
      <c r="I3567" s="16">
        <f>IF(D3567="","",IF(G3567&lt;&gt;"",G3567,IFERROR(INDEX('Sản phẩm'!$E$5:$E$304,MATCH(D3567,'Sản phẩm'!$A$5:$A$304,0)),"")))</f>
        <v/>
      </c>
      <c r="J3567" s="16">
        <f>IF(OR(D3567="",F3567=""),"",F3567*I3567-N(H3567))</f>
        <v/>
      </c>
      <c r="K3567" s="16">
        <f>IF(OR(D3567="",F3567=""),"",F3567*IFERROR(INDEX('Sản phẩm'!$D$5:$D$304,MATCH(D3567,'Sản phẩm'!$A$5:$A$304,0)),""))</f>
        <v/>
      </c>
      <c r="L3567" s="16">
        <f>IF(J3567="","",J3567-K3567)</f>
        <v/>
      </c>
      <c r="M3567" s="14">
        <f>IF(A3567="","",MONTH(A3567))</f>
        <v/>
      </c>
      <c r="N3567" s="14">
        <f>IF(A3567="","",YEAR(A3567))</f>
        <v/>
      </c>
    </row>
    <row r="3568">
      <c r="A3568" s="15" t="n"/>
      <c r="B3568" s="10" t="n"/>
      <c r="C3568" s="10" t="n"/>
      <c r="D3568" s="10" t="n"/>
      <c r="E3568" s="14">
        <f>IF(D3568="","",IFERROR(INDEX('Sản phẩm'!$B$5:$B$304,MATCH(D3568,'Sản phẩm'!$A$5:$A$304,0)),""))</f>
        <v/>
      </c>
      <c r="F3568" s="12" t="n"/>
      <c r="G3568" s="11" t="n"/>
      <c r="H3568" s="11" t="n"/>
      <c r="I3568" s="16">
        <f>IF(D3568="","",IF(G3568&lt;&gt;"",G3568,IFERROR(INDEX('Sản phẩm'!$E$5:$E$304,MATCH(D3568,'Sản phẩm'!$A$5:$A$304,0)),"")))</f>
        <v/>
      </c>
      <c r="J3568" s="16">
        <f>IF(OR(D3568="",F3568=""),"",F3568*I3568-N(H3568))</f>
        <v/>
      </c>
      <c r="K3568" s="16">
        <f>IF(OR(D3568="",F3568=""),"",F3568*IFERROR(INDEX('Sản phẩm'!$D$5:$D$304,MATCH(D3568,'Sản phẩm'!$A$5:$A$304,0)),""))</f>
        <v/>
      </c>
      <c r="L3568" s="16">
        <f>IF(J3568="","",J3568-K3568)</f>
        <v/>
      </c>
      <c r="M3568" s="14">
        <f>IF(A3568="","",MONTH(A3568))</f>
        <v/>
      </c>
      <c r="N3568" s="14">
        <f>IF(A3568="","",YEAR(A3568))</f>
        <v/>
      </c>
    </row>
    <row r="3569">
      <c r="A3569" s="15" t="n"/>
      <c r="B3569" s="10" t="n"/>
      <c r="C3569" s="10" t="n"/>
      <c r="D3569" s="10" t="n"/>
      <c r="E3569" s="14">
        <f>IF(D3569="","",IFERROR(INDEX('Sản phẩm'!$B$5:$B$304,MATCH(D3569,'Sản phẩm'!$A$5:$A$304,0)),""))</f>
        <v/>
      </c>
      <c r="F3569" s="12" t="n"/>
      <c r="G3569" s="11" t="n"/>
      <c r="H3569" s="11" t="n"/>
      <c r="I3569" s="16">
        <f>IF(D3569="","",IF(G3569&lt;&gt;"",G3569,IFERROR(INDEX('Sản phẩm'!$E$5:$E$304,MATCH(D3569,'Sản phẩm'!$A$5:$A$304,0)),"")))</f>
        <v/>
      </c>
      <c r="J3569" s="16">
        <f>IF(OR(D3569="",F3569=""),"",F3569*I3569-N(H3569))</f>
        <v/>
      </c>
      <c r="K3569" s="16">
        <f>IF(OR(D3569="",F3569=""),"",F3569*IFERROR(INDEX('Sản phẩm'!$D$5:$D$304,MATCH(D3569,'Sản phẩm'!$A$5:$A$304,0)),""))</f>
        <v/>
      </c>
      <c r="L3569" s="16">
        <f>IF(J3569="","",J3569-K3569)</f>
        <v/>
      </c>
      <c r="M3569" s="14">
        <f>IF(A3569="","",MONTH(A3569))</f>
        <v/>
      </c>
      <c r="N3569" s="14">
        <f>IF(A3569="","",YEAR(A3569))</f>
        <v/>
      </c>
    </row>
    <row r="3570">
      <c r="A3570" s="15" t="n"/>
      <c r="B3570" s="10" t="n"/>
      <c r="C3570" s="10" t="n"/>
      <c r="D3570" s="10" t="n"/>
      <c r="E3570" s="14">
        <f>IF(D3570="","",IFERROR(INDEX('Sản phẩm'!$B$5:$B$304,MATCH(D3570,'Sản phẩm'!$A$5:$A$304,0)),""))</f>
        <v/>
      </c>
      <c r="F3570" s="12" t="n"/>
      <c r="G3570" s="11" t="n"/>
      <c r="H3570" s="11" t="n"/>
      <c r="I3570" s="16">
        <f>IF(D3570="","",IF(G3570&lt;&gt;"",G3570,IFERROR(INDEX('Sản phẩm'!$E$5:$E$304,MATCH(D3570,'Sản phẩm'!$A$5:$A$304,0)),"")))</f>
        <v/>
      </c>
      <c r="J3570" s="16">
        <f>IF(OR(D3570="",F3570=""),"",F3570*I3570-N(H3570))</f>
        <v/>
      </c>
      <c r="K3570" s="16">
        <f>IF(OR(D3570="",F3570=""),"",F3570*IFERROR(INDEX('Sản phẩm'!$D$5:$D$304,MATCH(D3570,'Sản phẩm'!$A$5:$A$304,0)),""))</f>
        <v/>
      </c>
      <c r="L3570" s="16">
        <f>IF(J3570="","",J3570-K3570)</f>
        <v/>
      </c>
      <c r="M3570" s="14">
        <f>IF(A3570="","",MONTH(A3570))</f>
        <v/>
      </c>
      <c r="N3570" s="14">
        <f>IF(A3570="","",YEAR(A3570))</f>
        <v/>
      </c>
    </row>
    <row r="3571">
      <c r="A3571" s="15" t="n"/>
      <c r="B3571" s="10" t="n"/>
      <c r="C3571" s="10" t="n"/>
      <c r="D3571" s="10" t="n"/>
      <c r="E3571" s="14">
        <f>IF(D3571="","",IFERROR(INDEX('Sản phẩm'!$B$5:$B$304,MATCH(D3571,'Sản phẩm'!$A$5:$A$304,0)),""))</f>
        <v/>
      </c>
      <c r="F3571" s="12" t="n"/>
      <c r="G3571" s="11" t="n"/>
      <c r="H3571" s="11" t="n"/>
      <c r="I3571" s="16">
        <f>IF(D3571="","",IF(G3571&lt;&gt;"",G3571,IFERROR(INDEX('Sản phẩm'!$E$5:$E$304,MATCH(D3571,'Sản phẩm'!$A$5:$A$304,0)),"")))</f>
        <v/>
      </c>
      <c r="J3571" s="16">
        <f>IF(OR(D3571="",F3571=""),"",F3571*I3571-N(H3571))</f>
        <v/>
      </c>
      <c r="K3571" s="16">
        <f>IF(OR(D3571="",F3571=""),"",F3571*IFERROR(INDEX('Sản phẩm'!$D$5:$D$304,MATCH(D3571,'Sản phẩm'!$A$5:$A$304,0)),""))</f>
        <v/>
      </c>
      <c r="L3571" s="16">
        <f>IF(J3571="","",J3571-K3571)</f>
        <v/>
      </c>
      <c r="M3571" s="14">
        <f>IF(A3571="","",MONTH(A3571))</f>
        <v/>
      </c>
      <c r="N3571" s="14">
        <f>IF(A3571="","",YEAR(A3571))</f>
        <v/>
      </c>
    </row>
    <row r="3572">
      <c r="A3572" s="15" t="n"/>
      <c r="B3572" s="10" t="n"/>
      <c r="C3572" s="10" t="n"/>
      <c r="D3572" s="10" t="n"/>
      <c r="E3572" s="14">
        <f>IF(D3572="","",IFERROR(INDEX('Sản phẩm'!$B$5:$B$304,MATCH(D3572,'Sản phẩm'!$A$5:$A$304,0)),""))</f>
        <v/>
      </c>
      <c r="F3572" s="12" t="n"/>
      <c r="G3572" s="11" t="n"/>
      <c r="H3572" s="11" t="n"/>
      <c r="I3572" s="16">
        <f>IF(D3572="","",IF(G3572&lt;&gt;"",G3572,IFERROR(INDEX('Sản phẩm'!$E$5:$E$304,MATCH(D3572,'Sản phẩm'!$A$5:$A$304,0)),"")))</f>
        <v/>
      </c>
      <c r="J3572" s="16">
        <f>IF(OR(D3572="",F3572=""),"",F3572*I3572-N(H3572))</f>
        <v/>
      </c>
      <c r="K3572" s="16">
        <f>IF(OR(D3572="",F3572=""),"",F3572*IFERROR(INDEX('Sản phẩm'!$D$5:$D$304,MATCH(D3572,'Sản phẩm'!$A$5:$A$304,0)),""))</f>
        <v/>
      </c>
      <c r="L3572" s="16">
        <f>IF(J3572="","",J3572-K3572)</f>
        <v/>
      </c>
      <c r="M3572" s="14">
        <f>IF(A3572="","",MONTH(A3572))</f>
        <v/>
      </c>
      <c r="N3572" s="14">
        <f>IF(A3572="","",YEAR(A3572))</f>
        <v/>
      </c>
    </row>
    <row r="3573">
      <c r="A3573" s="15" t="n"/>
      <c r="B3573" s="10" t="n"/>
      <c r="C3573" s="10" t="n"/>
      <c r="D3573" s="10" t="n"/>
      <c r="E3573" s="14">
        <f>IF(D3573="","",IFERROR(INDEX('Sản phẩm'!$B$5:$B$304,MATCH(D3573,'Sản phẩm'!$A$5:$A$304,0)),""))</f>
        <v/>
      </c>
      <c r="F3573" s="12" t="n"/>
      <c r="G3573" s="11" t="n"/>
      <c r="H3573" s="11" t="n"/>
      <c r="I3573" s="16">
        <f>IF(D3573="","",IF(G3573&lt;&gt;"",G3573,IFERROR(INDEX('Sản phẩm'!$E$5:$E$304,MATCH(D3573,'Sản phẩm'!$A$5:$A$304,0)),"")))</f>
        <v/>
      </c>
      <c r="J3573" s="16">
        <f>IF(OR(D3573="",F3573=""),"",F3573*I3573-N(H3573))</f>
        <v/>
      </c>
      <c r="K3573" s="16">
        <f>IF(OR(D3573="",F3573=""),"",F3573*IFERROR(INDEX('Sản phẩm'!$D$5:$D$304,MATCH(D3573,'Sản phẩm'!$A$5:$A$304,0)),""))</f>
        <v/>
      </c>
      <c r="L3573" s="16">
        <f>IF(J3573="","",J3573-K3573)</f>
        <v/>
      </c>
      <c r="M3573" s="14">
        <f>IF(A3573="","",MONTH(A3573))</f>
        <v/>
      </c>
      <c r="N3573" s="14">
        <f>IF(A3573="","",YEAR(A3573))</f>
        <v/>
      </c>
    </row>
    <row r="3574">
      <c r="A3574" s="15" t="n"/>
      <c r="B3574" s="10" t="n"/>
      <c r="C3574" s="10" t="n"/>
      <c r="D3574" s="10" t="n"/>
      <c r="E3574" s="14">
        <f>IF(D3574="","",IFERROR(INDEX('Sản phẩm'!$B$5:$B$304,MATCH(D3574,'Sản phẩm'!$A$5:$A$304,0)),""))</f>
        <v/>
      </c>
      <c r="F3574" s="12" t="n"/>
      <c r="G3574" s="11" t="n"/>
      <c r="H3574" s="11" t="n"/>
      <c r="I3574" s="16">
        <f>IF(D3574="","",IF(G3574&lt;&gt;"",G3574,IFERROR(INDEX('Sản phẩm'!$E$5:$E$304,MATCH(D3574,'Sản phẩm'!$A$5:$A$304,0)),"")))</f>
        <v/>
      </c>
      <c r="J3574" s="16">
        <f>IF(OR(D3574="",F3574=""),"",F3574*I3574-N(H3574))</f>
        <v/>
      </c>
      <c r="K3574" s="16">
        <f>IF(OR(D3574="",F3574=""),"",F3574*IFERROR(INDEX('Sản phẩm'!$D$5:$D$304,MATCH(D3574,'Sản phẩm'!$A$5:$A$304,0)),""))</f>
        <v/>
      </c>
      <c r="L3574" s="16">
        <f>IF(J3574="","",J3574-K3574)</f>
        <v/>
      </c>
      <c r="M3574" s="14">
        <f>IF(A3574="","",MONTH(A3574))</f>
        <v/>
      </c>
      <c r="N3574" s="14">
        <f>IF(A3574="","",YEAR(A3574))</f>
        <v/>
      </c>
    </row>
    <row r="3575">
      <c r="A3575" s="15" t="n"/>
      <c r="B3575" s="10" t="n"/>
      <c r="C3575" s="10" t="n"/>
      <c r="D3575" s="10" t="n"/>
      <c r="E3575" s="14">
        <f>IF(D3575="","",IFERROR(INDEX('Sản phẩm'!$B$5:$B$304,MATCH(D3575,'Sản phẩm'!$A$5:$A$304,0)),""))</f>
        <v/>
      </c>
      <c r="F3575" s="12" t="n"/>
      <c r="G3575" s="11" t="n"/>
      <c r="H3575" s="11" t="n"/>
      <c r="I3575" s="16">
        <f>IF(D3575="","",IF(G3575&lt;&gt;"",G3575,IFERROR(INDEX('Sản phẩm'!$E$5:$E$304,MATCH(D3575,'Sản phẩm'!$A$5:$A$304,0)),"")))</f>
        <v/>
      </c>
      <c r="J3575" s="16">
        <f>IF(OR(D3575="",F3575=""),"",F3575*I3575-N(H3575))</f>
        <v/>
      </c>
      <c r="K3575" s="16">
        <f>IF(OR(D3575="",F3575=""),"",F3575*IFERROR(INDEX('Sản phẩm'!$D$5:$D$304,MATCH(D3575,'Sản phẩm'!$A$5:$A$304,0)),""))</f>
        <v/>
      </c>
      <c r="L3575" s="16">
        <f>IF(J3575="","",J3575-K3575)</f>
        <v/>
      </c>
      <c r="M3575" s="14">
        <f>IF(A3575="","",MONTH(A3575))</f>
        <v/>
      </c>
      <c r="N3575" s="14">
        <f>IF(A3575="","",YEAR(A3575))</f>
        <v/>
      </c>
    </row>
    <row r="3576">
      <c r="A3576" s="15" t="n"/>
      <c r="B3576" s="10" t="n"/>
      <c r="C3576" s="10" t="n"/>
      <c r="D3576" s="10" t="n"/>
      <c r="E3576" s="14">
        <f>IF(D3576="","",IFERROR(INDEX('Sản phẩm'!$B$5:$B$304,MATCH(D3576,'Sản phẩm'!$A$5:$A$304,0)),""))</f>
        <v/>
      </c>
      <c r="F3576" s="12" t="n"/>
      <c r="G3576" s="11" t="n"/>
      <c r="H3576" s="11" t="n"/>
      <c r="I3576" s="16">
        <f>IF(D3576="","",IF(G3576&lt;&gt;"",G3576,IFERROR(INDEX('Sản phẩm'!$E$5:$E$304,MATCH(D3576,'Sản phẩm'!$A$5:$A$304,0)),"")))</f>
        <v/>
      </c>
      <c r="J3576" s="16">
        <f>IF(OR(D3576="",F3576=""),"",F3576*I3576-N(H3576))</f>
        <v/>
      </c>
      <c r="K3576" s="16">
        <f>IF(OR(D3576="",F3576=""),"",F3576*IFERROR(INDEX('Sản phẩm'!$D$5:$D$304,MATCH(D3576,'Sản phẩm'!$A$5:$A$304,0)),""))</f>
        <v/>
      </c>
      <c r="L3576" s="16">
        <f>IF(J3576="","",J3576-K3576)</f>
        <v/>
      </c>
      <c r="M3576" s="14">
        <f>IF(A3576="","",MONTH(A3576))</f>
        <v/>
      </c>
      <c r="N3576" s="14">
        <f>IF(A3576="","",YEAR(A3576))</f>
        <v/>
      </c>
    </row>
    <row r="3577">
      <c r="A3577" s="15" t="n"/>
      <c r="B3577" s="10" t="n"/>
      <c r="C3577" s="10" t="n"/>
      <c r="D3577" s="10" t="n"/>
      <c r="E3577" s="14">
        <f>IF(D3577="","",IFERROR(INDEX('Sản phẩm'!$B$5:$B$304,MATCH(D3577,'Sản phẩm'!$A$5:$A$304,0)),""))</f>
        <v/>
      </c>
      <c r="F3577" s="12" t="n"/>
      <c r="G3577" s="11" t="n"/>
      <c r="H3577" s="11" t="n"/>
      <c r="I3577" s="16">
        <f>IF(D3577="","",IF(G3577&lt;&gt;"",G3577,IFERROR(INDEX('Sản phẩm'!$E$5:$E$304,MATCH(D3577,'Sản phẩm'!$A$5:$A$304,0)),"")))</f>
        <v/>
      </c>
      <c r="J3577" s="16">
        <f>IF(OR(D3577="",F3577=""),"",F3577*I3577-N(H3577))</f>
        <v/>
      </c>
      <c r="K3577" s="16">
        <f>IF(OR(D3577="",F3577=""),"",F3577*IFERROR(INDEX('Sản phẩm'!$D$5:$D$304,MATCH(D3577,'Sản phẩm'!$A$5:$A$304,0)),""))</f>
        <v/>
      </c>
      <c r="L3577" s="16">
        <f>IF(J3577="","",J3577-K3577)</f>
        <v/>
      </c>
      <c r="M3577" s="14">
        <f>IF(A3577="","",MONTH(A3577))</f>
        <v/>
      </c>
      <c r="N3577" s="14">
        <f>IF(A3577="","",YEAR(A3577))</f>
        <v/>
      </c>
    </row>
    <row r="3578">
      <c r="A3578" s="15" t="n"/>
      <c r="B3578" s="10" t="n"/>
      <c r="C3578" s="10" t="n"/>
      <c r="D3578" s="10" t="n"/>
      <c r="E3578" s="14">
        <f>IF(D3578="","",IFERROR(INDEX('Sản phẩm'!$B$5:$B$304,MATCH(D3578,'Sản phẩm'!$A$5:$A$304,0)),""))</f>
        <v/>
      </c>
      <c r="F3578" s="12" t="n"/>
      <c r="G3578" s="11" t="n"/>
      <c r="H3578" s="11" t="n"/>
      <c r="I3578" s="16">
        <f>IF(D3578="","",IF(G3578&lt;&gt;"",G3578,IFERROR(INDEX('Sản phẩm'!$E$5:$E$304,MATCH(D3578,'Sản phẩm'!$A$5:$A$304,0)),"")))</f>
        <v/>
      </c>
      <c r="J3578" s="16">
        <f>IF(OR(D3578="",F3578=""),"",F3578*I3578-N(H3578))</f>
        <v/>
      </c>
      <c r="K3578" s="16">
        <f>IF(OR(D3578="",F3578=""),"",F3578*IFERROR(INDEX('Sản phẩm'!$D$5:$D$304,MATCH(D3578,'Sản phẩm'!$A$5:$A$304,0)),""))</f>
        <v/>
      </c>
      <c r="L3578" s="16">
        <f>IF(J3578="","",J3578-K3578)</f>
        <v/>
      </c>
      <c r="M3578" s="14">
        <f>IF(A3578="","",MONTH(A3578))</f>
        <v/>
      </c>
      <c r="N3578" s="14">
        <f>IF(A3578="","",YEAR(A3578))</f>
        <v/>
      </c>
    </row>
    <row r="3579">
      <c r="A3579" s="15" t="n"/>
      <c r="B3579" s="10" t="n"/>
      <c r="C3579" s="10" t="n"/>
      <c r="D3579" s="10" t="n"/>
      <c r="E3579" s="14">
        <f>IF(D3579="","",IFERROR(INDEX('Sản phẩm'!$B$5:$B$304,MATCH(D3579,'Sản phẩm'!$A$5:$A$304,0)),""))</f>
        <v/>
      </c>
      <c r="F3579" s="12" t="n"/>
      <c r="G3579" s="11" t="n"/>
      <c r="H3579" s="11" t="n"/>
      <c r="I3579" s="16">
        <f>IF(D3579="","",IF(G3579&lt;&gt;"",G3579,IFERROR(INDEX('Sản phẩm'!$E$5:$E$304,MATCH(D3579,'Sản phẩm'!$A$5:$A$304,0)),"")))</f>
        <v/>
      </c>
      <c r="J3579" s="16">
        <f>IF(OR(D3579="",F3579=""),"",F3579*I3579-N(H3579))</f>
        <v/>
      </c>
      <c r="K3579" s="16">
        <f>IF(OR(D3579="",F3579=""),"",F3579*IFERROR(INDEX('Sản phẩm'!$D$5:$D$304,MATCH(D3579,'Sản phẩm'!$A$5:$A$304,0)),""))</f>
        <v/>
      </c>
      <c r="L3579" s="16">
        <f>IF(J3579="","",J3579-K3579)</f>
        <v/>
      </c>
      <c r="M3579" s="14">
        <f>IF(A3579="","",MONTH(A3579))</f>
        <v/>
      </c>
      <c r="N3579" s="14">
        <f>IF(A3579="","",YEAR(A3579))</f>
        <v/>
      </c>
    </row>
    <row r="3580">
      <c r="A3580" s="15" t="n"/>
      <c r="B3580" s="10" t="n"/>
      <c r="C3580" s="10" t="n"/>
      <c r="D3580" s="10" t="n"/>
      <c r="E3580" s="14">
        <f>IF(D3580="","",IFERROR(INDEX('Sản phẩm'!$B$5:$B$304,MATCH(D3580,'Sản phẩm'!$A$5:$A$304,0)),""))</f>
        <v/>
      </c>
      <c r="F3580" s="12" t="n"/>
      <c r="G3580" s="11" t="n"/>
      <c r="H3580" s="11" t="n"/>
      <c r="I3580" s="16">
        <f>IF(D3580="","",IF(G3580&lt;&gt;"",G3580,IFERROR(INDEX('Sản phẩm'!$E$5:$E$304,MATCH(D3580,'Sản phẩm'!$A$5:$A$304,0)),"")))</f>
        <v/>
      </c>
      <c r="J3580" s="16">
        <f>IF(OR(D3580="",F3580=""),"",F3580*I3580-N(H3580))</f>
        <v/>
      </c>
      <c r="K3580" s="16">
        <f>IF(OR(D3580="",F3580=""),"",F3580*IFERROR(INDEX('Sản phẩm'!$D$5:$D$304,MATCH(D3580,'Sản phẩm'!$A$5:$A$304,0)),""))</f>
        <v/>
      </c>
      <c r="L3580" s="16">
        <f>IF(J3580="","",J3580-K3580)</f>
        <v/>
      </c>
      <c r="M3580" s="14">
        <f>IF(A3580="","",MONTH(A3580))</f>
        <v/>
      </c>
      <c r="N3580" s="14">
        <f>IF(A3580="","",YEAR(A3580))</f>
        <v/>
      </c>
    </row>
    <row r="3581">
      <c r="A3581" s="15" t="n"/>
      <c r="B3581" s="10" t="n"/>
      <c r="C3581" s="10" t="n"/>
      <c r="D3581" s="10" t="n"/>
      <c r="E3581" s="14">
        <f>IF(D3581="","",IFERROR(INDEX('Sản phẩm'!$B$5:$B$304,MATCH(D3581,'Sản phẩm'!$A$5:$A$304,0)),""))</f>
        <v/>
      </c>
      <c r="F3581" s="12" t="n"/>
      <c r="G3581" s="11" t="n"/>
      <c r="H3581" s="11" t="n"/>
      <c r="I3581" s="16">
        <f>IF(D3581="","",IF(G3581&lt;&gt;"",G3581,IFERROR(INDEX('Sản phẩm'!$E$5:$E$304,MATCH(D3581,'Sản phẩm'!$A$5:$A$304,0)),"")))</f>
        <v/>
      </c>
      <c r="J3581" s="16">
        <f>IF(OR(D3581="",F3581=""),"",F3581*I3581-N(H3581))</f>
        <v/>
      </c>
      <c r="K3581" s="16">
        <f>IF(OR(D3581="",F3581=""),"",F3581*IFERROR(INDEX('Sản phẩm'!$D$5:$D$304,MATCH(D3581,'Sản phẩm'!$A$5:$A$304,0)),""))</f>
        <v/>
      </c>
      <c r="L3581" s="16">
        <f>IF(J3581="","",J3581-K3581)</f>
        <v/>
      </c>
      <c r="M3581" s="14">
        <f>IF(A3581="","",MONTH(A3581))</f>
        <v/>
      </c>
      <c r="N3581" s="14">
        <f>IF(A3581="","",YEAR(A3581))</f>
        <v/>
      </c>
    </row>
    <row r="3582">
      <c r="A3582" s="15" t="n"/>
      <c r="B3582" s="10" t="n"/>
      <c r="C3582" s="10" t="n"/>
      <c r="D3582" s="10" t="n"/>
      <c r="E3582" s="14">
        <f>IF(D3582="","",IFERROR(INDEX('Sản phẩm'!$B$5:$B$304,MATCH(D3582,'Sản phẩm'!$A$5:$A$304,0)),""))</f>
        <v/>
      </c>
      <c r="F3582" s="12" t="n"/>
      <c r="G3582" s="11" t="n"/>
      <c r="H3582" s="11" t="n"/>
      <c r="I3582" s="16">
        <f>IF(D3582="","",IF(G3582&lt;&gt;"",G3582,IFERROR(INDEX('Sản phẩm'!$E$5:$E$304,MATCH(D3582,'Sản phẩm'!$A$5:$A$304,0)),"")))</f>
        <v/>
      </c>
      <c r="J3582" s="16">
        <f>IF(OR(D3582="",F3582=""),"",F3582*I3582-N(H3582))</f>
        <v/>
      </c>
      <c r="K3582" s="16">
        <f>IF(OR(D3582="",F3582=""),"",F3582*IFERROR(INDEX('Sản phẩm'!$D$5:$D$304,MATCH(D3582,'Sản phẩm'!$A$5:$A$304,0)),""))</f>
        <v/>
      </c>
      <c r="L3582" s="16">
        <f>IF(J3582="","",J3582-K3582)</f>
        <v/>
      </c>
      <c r="M3582" s="14">
        <f>IF(A3582="","",MONTH(A3582))</f>
        <v/>
      </c>
      <c r="N3582" s="14">
        <f>IF(A3582="","",YEAR(A3582))</f>
        <v/>
      </c>
    </row>
    <row r="3583">
      <c r="A3583" s="15" t="n"/>
      <c r="B3583" s="10" t="n"/>
      <c r="C3583" s="10" t="n"/>
      <c r="D3583" s="10" t="n"/>
      <c r="E3583" s="14">
        <f>IF(D3583="","",IFERROR(INDEX('Sản phẩm'!$B$5:$B$304,MATCH(D3583,'Sản phẩm'!$A$5:$A$304,0)),""))</f>
        <v/>
      </c>
      <c r="F3583" s="12" t="n"/>
      <c r="G3583" s="11" t="n"/>
      <c r="H3583" s="11" t="n"/>
      <c r="I3583" s="16">
        <f>IF(D3583="","",IF(G3583&lt;&gt;"",G3583,IFERROR(INDEX('Sản phẩm'!$E$5:$E$304,MATCH(D3583,'Sản phẩm'!$A$5:$A$304,0)),"")))</f>
        <v/>
      </c>
      <c r="J3583" s="16">
        <f>IF(OR(D3583="",F3583=""),"",F3583*I3583-N(H3583))</f>
        <v/>
      </c>
      <c r="K3583" s="16">
        <f>IF(OR(D3583="",F3583=""),"",F3583*IFERROR(INDEX('Sản phẩm'!$D$5:$D$304,MATCH(D3583,'Sản phẩm'!$A$5:$A$304,0)),""))</f>
        <v/>
      </c>
      <c r="L3583" s="16">
        <f>IF(J3583="","",J3583-K3583)</f>
        <v/>
      </c>
      <c r="M3583" s="14">
        <f>IF(A3583="","",MONTH(A3583))</f>
        <v/>
      </c>
      <c r="N3583" s="14">
        <f>IF(A3583="","",YEAR(A3583))</f>
        <v/>
      </c>
    </row>
    <row r="3584">
      <c r="A3584" s="15" t="n"/>
      <c r="B3584" s="10" t="n"/>
      <c r="C3584" s="10" t="n"/>
      <c r="D3584" s="10" t="n"/>
      <c r="E3584" s="14">
        <f>IF(D3584="","",IFERROR(INDEX('Sản phẩm'!$B$5:$B$304,MATCH(D3584,'Sản phẩm'!$A$5:$A$304,0)),""))</f>
        <v/>
      </c>
      <c r="F3584" s="12" t="n"/>
      <c r="G3584" s="11" t="n"/>
      <c r="H3584" s="11" t="n"/>
      <c r="I3584" s="16">
        <f>IF(D3584="","",IF(G3584&lt;&gt;"",G3584,IFERROR(INDEX('Sản phẩm'!$E$5:$E$304,MATCH(D3584,'Sản phẩm'!$A$5:$A$304,0)),"")))</f>
        <v/>
      </c>
      <c r="J3584" s="16">
        <f>IF(OR(D3584="",F3584=""),"",F3584*I3584-N(H3584))</f>
        <v/>
      </c>
      <c r="K3584" s="16">
        <f>IF(OR(D3584="",F3584=""),"",F3584*IFERROR(INDEX('Sản phẩm'!$D$5:$D$304,MATCH(D3584,'Sản phẩm'!$A$5:$A$304,0)),""))</f>
        <v/>
      </c>
      <c r="L3584" s="16">
        <f>IF(J3584="","",J3584-K3584)</f>
        <v/>
      </c>
      <c r="M3584" s="14">
        <f>IF(A3584="","",MONTH(A3584))</f>
        <v/>
      </c>
      <c r="N3584" s="14">
        <f>IF(A3584="","",YEAR(A3584))</f>
        <v/>
      </c>
    </row>
    <row r="3585">
      <c r="A3585" s="15" t="n"/>
      <c r="B3585" s="10" t="n"/>
      <c r="C3585" s="10" t="n"/>
      <c r="D3585" s="10" t="n"/>
      <c r="E3585" s="14">
        <f>IF(D3585="","",IFERROR(INDEX('Sản phẩm'!$B$5:$B$304,MATCH(D3585,'Sản phẩm'!$A$5:$A$304,0)),""))</f>
        <v/>
      </c>
      <c r="F3585" s="12" t="n"/>
      <c r="G3585" s="11" t="n"/>
      <c r="H3585" s="11" t="n"/>
      <c r="I3585" s="16">
        <f>IF(D3585="","",IF(G3585&lt;&gt;"",G3585,IFERROR(INDEX('Sản phẩm'!$E$5:$E$304,MATCH(D3585,'Sản phẩm'!$A$5:$A$304,0)),"")))</f>
        <v/>
      </c>
      <c r="J3585" s="16">
        <f>IF(OR(D3585="",F3585=""),"",F3585*I3585-N(H3585))</f>
        <v/>
      </c>
      <c r="K3585" s="16">
        <f>IF(OR(D3585="",F3585=""),"",F3585*IFERROR(INDEX('Sản phẩm'!$D$5:$D$304,MATCH(D3585,'Sản phẩm'!$A$5:$A$304,0)),""))</f>
        <v/>
      </c>
      <c r="L3585" s="16">
        <f>IF(J3585="","",J3585-K3585)</f>
        <v/>
      </c>
      <c r="M3585" s="14">
        <f>IF(A3585="","",MONTH(A3585))</f>
        <v/>
      </c>
      <c r="N3585" s="14">
        <f>IF(A3585="","",YEAR(A3585))</f>
        <v/>
      </c>
    </row>
    <row r="3586">
      <c r="A3586" s="15" t="n"/>
      <c r="B3586" s="10" t="n"/>
      <c r="C3586" s="10" t="n"/>
      <c r="D3586" s="10" t="n"/>
      <c r="E3586" s="14">
        <f>IF(D3586="","",IFERROR(INDEX('Sản phẩm'!$B$5:$B$304,MATCH(D3586,'Sản phẩm'!$A$5:$A$304,0)),""))</f>
        <v/>
      </c>
      <c r="F3586" s="12" t="n"/>
      <c r="G3586" s="11" t="n"/>
      <c r="H3586" s="11" t="n"/>
      <c r="I3586" s="16">
        <f>IF(D3586="","",IF(G3586&lt;&gt;"",G3586,IFERROR(INDEX('Sản phẩm'!$E$5:$E$304,MATCH(D3586,'Sản phẩm'!$A$5:$A$304,0)),"")))</f>
        <v/>
      </c>
      <c r="J3586" s="16">
        <f>IF(OR(D3586="",F3586=""),"",F3586*I3586-N(H3586))</f>
        <v/>
      </c>
      <c r="K3586" s="16">
        <f>IF(OR(D3586="",F3586=""),"",F3586*IFERROR(INDEX('Sản phẩm'!$D$5:$D$304,MATCH(D3586,'Sản phẩm'!$A$5:$A$304,0)),""))</f>
        <v/>
      </c>
      <c r="L3586" s="16">
        <f>IF(J3586="","",J3586-K3586)</f>
        <v/>
      </c>
      <c r="M3586" s="14">
        <f>IF(A3586="","",MONTH(A3586))</f>
        <v/>
      </c>
      <c r="N3586" s="14">
        <f>IF(A3586="","",YEAR(A3586))</f>
        <v/>
      </c>
    </row>
    <row r="3587">
      <c r="A3587" s="15" t="n"/>
      <c r="B3587" s="10" t="n"/>
      <c r="C3587" s="10" t="n"/>
      <c r="D3587" s="10" t="n"/>
      <c r="E3587" s="14">
        <f>IF(D3587="","",IFERROR(INDEX('Sản phẩm'!$B$5:$B$304,MATCH(D3587,'Sản phẩm'!$A$5:$A$304,0)),""))</f>
        <v/>
      </c>
      <c r="F3587" s="12" t="n"/>
      <c r="G3587" s="11" t="n"/>
      <c r="H3587" s="11" t="n"/>
      <c r="I3587" s="16">
        <f>IF(D3587="","",IF(G3587&lt;&gt;"",G3587,IFERROR(INDEX('Sản phẩm'!$E$5:$E$304,MATCH(D3587,'Sản phẩm'!$A$5:$A$304,0)),"")))</f>
        <v/>
      </c>
      <c r="J3587" s="16">
        <f>IF(OR(D3587="",F3587=""),"",F3587*I3587-N(H3587))</f>
        <v/>
      </c>
      <c r="K3587" s="16">
        <f>IF(OR(D3587="",F3587=""),"",F3587*IFERROR(INDEX('Sản phẩm'!$D$5:$D$304,MATCH(D3587,'Sản phẩm'!$A$5:$A$304,0)),""))</f>
        <v/>
      </c>
      <c r="L3587" s="16">
        <f>IF(J3587="","",J3587-K3587)</f>
        <v/>
      </c>
      <c r="M3587" s="14">
        <f>IF(A3587="","",MONTH(A3587))</f>
        <v/>
      </c>
      <c r="N3587" s="14">
        <f>IF(A3587="","",YEAR(A3587))</f>
        <v/>
      </c>
    </row>
    <row r="3588">
      <c r="A3588" s="15" t="n"/>
      <c r="B3588" s="10" t="n"/>
      <c r="C3588" s="10" t="n"/>
      <c r="D3588" s="10" t="n"/>
      <c r="E3588" s="14">
        <f>IF(D3588="","",IFERROR(INDEX('Sản phẩm'!$B$5:$B$304,MATCH(D3588,'Sản phẩm'!$A$5:$A$304,0)),""))</f>
        <v/>
      </c>
      <c r="F3588" s="12" t="n"/>
      <c r="G3588" s="11" t="n"/>
      <c r="H3588" s="11" t="n"/>
      <c r="I3588" s="16">
        <f>IF(D3588="","",IF(G3588&lt;&gt;"",G3588,IFERROR(INDEX('Sản phẩm'!$E$5:$E$304,MATCH(D3588,'Sản phẩm'!$A$5:$A$304,0)),"")))</f>
        <v/>
      </c>
      <c r="J3588" s="16">
        <f>IF(OR(D3588="",F3588=""),"",F3588*I3588-N(H3588))</f>
        <v/>
      </c>
      <c r="K3588" s="16">
        <f>IF(OR(D3588="",F3588=""),"",F3588*IFERROR(INDEX('Sản phẩm'!$D$5:$D$304,MATCH(D3588,'Sản phẩm'!$A$5:$A$304,0)),""))</f>
        <v/>
      </c>
      <c r="L3588" s="16">
        <f>IF(J3588="","",J3588-K3588)</f>
        <v/>
      </c>
      <c r="M3588" s="14">
        <f>IF(A3588="","",MONTH(A3588))</f>
        <v/>
      </c>
      <c r="N3588" s="14">
        <f>IF(A3588="","",YEAR(A3588))</f>
        <v/>
      </c>
    </row>
    <row r="3589">
      <c r="A3589" s="15" t="n"/>
      <c r="B3589" s="10" t="n"/>
      <c r="C3589" s="10" t="n"/>
      <c r="D3589" s="10" t="n"/>
      <c r="E3589" s="14">
        <f>IF(D3589="","",IFERROR(INDEX('Sản phẩm'!$B$5:$B$304,MATCH(D3589,'Sản phẩm'!$A$5:$A$304,0)),""))</f>
        <v/>
      </c>
      <c r="F3589" s="12" t="n"/>
      <c r="G3589" s="11" t="n"/>
      <c r="H3589" s="11" t="n"/>
      <c r="I3589" s="16">
        <f>IF(D3589="","",IF(G3589&lt;&gt;"",G3589,IFERROR(INDEX('Sản phẩm'!$E$5:$E$304,MATCH(D3589,'Sản phẩm'!$A$5:$A$304,0)),"")))</f>
        <v/>
      </c>
      <c r="J3589" s="16">
        <f>IF(OR(D3589="",F3589=""),"",F3589*I3589-N(H3589))</f>
        <v/>
      </c>
      <c r="K3589" s="16">
        <f>IF(OR(D3589="",F3589=""),"",F3589*IFERROR(INDEX('Sản phẩm'!$D$5:$D$304,MATCH(D3589,'Sản phẩm'!$A$5:$A$304,0)),""))</f>
        <v/>
      </c>
      <c r="L3589" s="16">
        <f>IF(J3589="","",J3589-K3589)</f>
        <v/>
      </c>
      <c r="M3589" s="14">
        <f>IF(A3589="","",MONTH(A3589))</f>
        <v/>
      </c>
      <c r="N3589" s="14">
        <f>IF(A3589="","",YEAR(A3589))</f>
        <v/>
      </c>
    </row>
    <row r="3590">
      <c r="A3590" s="15" t="n"/>
      <c r="B3590" s="10" t="n"/>
      <c r="C3590" s="10" t="n"/>
      <c r="D3590" s="10" t="n"/>
      <c r="E3590" s="14">
        <f>IF(D3590="","",IFERROR(INDEX('Sản phẩm'!$B$5:$B$304,MATCH(D3590,'Sản phẩm'!$A$5:$A$304,0)),""))</f>
        <v/>
      </c>
      <c r="F3590" s="12" t="n"/>
      <c r="G3590" s="11" t="n"/>
      <c r="H3590" s="11" t="n"/>
      <c r="I3590" s="16">
        <f>IF(D3590="","",IF(G3590&lt;&gt;"",G3590,IFERROR(INDEX('Sản phẩm'!$E$5:$E$304,MATCH(D3590,'Sản phẩm'!$A$5:$A$304,0)),"")))</f>
        <v/>
      </c>
      <c r="J3590" s="16">
        <f>IF(OR(D3590="",F3590=""),"",F3590*I3590-N(H3590))</f>
        <v/>
      </c>
      <c r="K3590" s="16">
        <f>IF(OR(D3590="",F3590=""),"",F3590*IFERROR(INDEX('Sản phẩm'!$D$5:$D$304,MATCH(D3590,'Sản phẩm'!$A$5:$A$304,0)),""))</f>
        <v/>
      </c>
      <c r="L3590" s="16">
        <f>IF(J3590="","",J3590-K3590)</f>
        <v/>
      </c>
      <c r="M3590" s="14">
        <f>IF(A3590="","",MONTH(A3590))</f>
        <v/>
      </c>
      <c r="N3590" s="14">
        <f>IF(A3590="","",YEAR(A3590))</f>
        <v/>
      </c>
    </row>
    <row r="3591">
      <c r="A3591" s="15" t="n"/>
      <c r="B3591" s="10" t="n"/>
      <c r="C3591" s="10" t="n"/>
      <c r="D3591" s="10" t="n"/>
      <c r="E3591" s="14">
        <f>IF(D3591="","",IFERROR(INDEX('Sản phẩm'!$B$5:$B$304,MATCH(D3591,'Sản phẩm'!$A$5:$A$304,0)),""))</f>
        <v/>
      </c>
      <c r="F3591" s="12" t="n"/>
      <c r="G3591" s="11" t="n"/>
      <c r="H3591" s="11" t="n"/>
      <c r="I3591" s="16">
        <f>IF(D3591="","",IF(G3591&lt;&gt;"",G3591,IFERROR(INDEX('Sản phẩm'!$E$5:$E$304,MATCH(D3591,'Sản phẩm'!$A$5:$A$304,0)),"")))</f>
        <v/>
      </c>
      <c r="J3591" s="16">
        <f>IF(OR(D3591="",F3591=""),"",F3591*I3591-N(H3591))</f>
        <v/>
      </c>
      <c r="K3591" s="16">
        <f>IF(OR(D3591="",F3591=""),"",F3591*IFERROR(INDEX('Sản phẩm'!$D$5:$D$304,MATCH(D3591,'Sản phẩm'!$A$5:$A$304,0)),""))</f>
        <v/>
      </c>
      <c r="L3591" s="16">
        <f>IF(J3591="","",J3591-K3591)</f>
        <v/>
      </c>
      <c r="M3591" s="14">
        <f>IF(A3591="","",MONTH(A3591))</f>
        <v/>
      </c>
      <c r="N3591" s="14">
        <f>IF(A3591="","",YEAR(A3591))</f>
        <v/>
      </c>
    </row>
    <row r="3592">
      <c r="A3592" s="15" t="n"/>
      <c r="B3592" s="10" t="n"/>
      <c r="C3592" s="10" t="n"/>
      <c r="D3592" s="10" t="n"/>
      <c r="E3592" s="14">
        <f>IF(D3592="","",IFERROR(INDEX('Sản phẩm'!$B$5:$B$304,MATCH(D3592,'Sản phẩm'!$A$5:$A$304,0)),""))</f>
        <v/>
      </c>
      <c r="F3592" s="12" t="n"/>
      <c r="G3592" s="11" t="n"/>
      <c r="H3592" s="11" t="n"/>
      <c r="I3592" s="16">
        <f>IF(D3592="","",IF(G3592&lt;&gt;"",G3592,IFERROR(INDEX('Sản phẩm'!$E$5:$E$304,MATCH(D3592,'Sản phẩm'!$A$5:$A$304,0)),"")))</f>
        <v/>
      </c>
      <c r="J3592" s="16">
        <f>IF(OR(D3592="",F3592=""),"",F3592*I3592-N(H3592))</f>
        <v/>
      </c>
      <c r="K3592" s="16">
        <f>IF(OR(D3592="",F3592=""),"",F3592*IFERROR(INDEX('Sản phẩm'!$D$5:$D$304,MATCH(D3592,'Sản phẩm'!$A$5:$A$304,0)),""))</f>
        <v/>
      </c>
      <c r="L3592" s="16">
        <f>IF(J3592="","",J3592-K3592)</f>
        <v/>
      </c>
      <c r="M3592" s="14">
        <f>IF(A3592="","",MONTH(A3592))</f>
        <v/>
      </c>
      <c r="N3592" s="14">
        <f>IF(A3592="","",YEAR(A3592))</f>
        <v/>
      </c>
    </row>
    <row r="3593">
      <c r="A3593" s="15" t="n"/>
      <c r="B3593" s="10" t="n"/>
      <c r="C3593" s="10" t="n"/>
      <c r="D3593" s="10" t="n"/>
      <c r="E3593" s="14">
        <f>IF(D3593="","",IFERROR(INDEX('Sản phẩm'!$B$5:$B$304,MATCH(D3593,'Sản phẩm'!$A$5:$A$304,0)),""))</f>
        <v/>
      </c>
      <c r="F3593" s="12" t="n"/>
      <c r="G3593" s="11" t="n"/>
      <c r="H3593" s="11" t="n"/>
      <c r="I3593" s="16">
        <f>IF(D3593="","",IF(G3593&lt;&gt;"",G3593,IFERROR(INDEX('Sản phẩm'!$E$5:$E$304,MATCH(D3593,'Sản phẩm'!$A$5:$A$304,0)),"")))</f>
        <v/>
      </c>
      <c r="J3593" s="16">
        <f>IF(OR(D3593="",F3593=""),"",F3593*I3593-N(H3593))</f>
        <v/>
      </c>
      <c r="K3593" s="16">
        <f>IF(OR(D3593="",F3593=""),"",F3593*IFERROR(INDEX('Sản phẩm'!$D$5:$D$304,MATCH(D3593,'Sản phẩm'!$A$5:$A$304,0)),""))</f>
        <v/>
      </c>
      <c r="L3593" s="16">
        <f>IF(J3593="","",J3593-K3593)</f>
        <v/>
      </c>
      <c r="M3593" s="14">
        <f>IF(A3593="","",MONTH(A3593))</f>
        <v/>
      </c>
      <c r="N3593" s="14">
        <f>IF(A3593="","",YEAR(A3593))</f>
        <v/>
      </c>
    </row>
    <row r="3594">
      <c r="A3594" s="15" t="n"/>
      <c r="B3594" s="10" t="n"/>
      <c r="C3594" s="10" t="n"/>
      <c r="D3594" s="10" t="n"/>
      <c r="E3594" s="14">
        <f>IF(D3594="","",IFERROR(INDEX('Sản phẩm'!$B$5:$B$304,MATCH(D3594,'Sản phẩm'!$A$5:$A$304,0)),""))</f>
        <v/>
      </c>
      <c r="F3594" s="12" t="n"/>
      <c r="G3594" s="11" t="n"/>
      <c r="H3594" s="11" t="n"/>
      <c r="I3594" s="16">
        <f>IF(D3594="","",IF(G3594&lt;&gt;"",G3594,IFERROR(INDEX('Sản phẩm'!$E$5:$E$304,MATCH(D3594,'Sản phẩm'!$A$5:$A$304,0)),"")))</f>
        <v/>
      </c>
      <c r="J3594" s="16">
        <f>IF(OR(D3594="",F3594=""),"",F3594*I3594-N(H3594))</f>
        <v/>
      </c>
      <c r="K3594" s="16">
        <f>IF(OR(D3594="",F3594=""),"",F3594*IFERROR(INDEX('Sản phẩm'!$D$5:$D$304,MATCH(D3594,'Sản phẩm'!$A$5:$A$304,0)),""))</f>
        <v/>
      </c>
      <c r="L3594" s="16">
        <f>IF(J3594="","",J3594-K3594)</f>
        <v/>
      </c>
      <c r="M3594" s="14">
        <f>IF(A3594="","",MONTH(A3594))</f>
        <v/>
      </c>
      <c r="N3594" s="14">
        <f>IF(A3594="","",YEAR(A3594))</f>
        <v/>
      </c>
    </row>
    <row r="3595">
      <c r="A3595" s="15" t="n"/>
      <c r="B3595" s="10" t="n"/>
      <c r="C3595" s="10" t="n"/>
      <c r="D3595" s="10" t="n"/>
      <c r="E3595" s="14">
        <f>IF(D3595="","",IFERROR(INDEX('Sản phẩm'!$B$5:$B$304,MATCH(D3595,'Sản phẩm'!$A$5:$A$304,0)),""))</f>
        <v/>
      </c>
      <c r="F3595" s="12" t="n"/>
      <c r="G3595" s="11" t="n"/>
      <c r="H3595" s="11" t="n"/>
      <c r="I3595" s="16">
        <f>IF(D3595="","",IF(G3595&lt;&gt;"",G3595,IFERROR(INDEX('Sản phẩm'!$E$5:$E$304,MATCH(D3595,'Sản phẩm'!$A$5:$A$304,0)),"")))</f>
        <v/>
      </c>
      <c r="J3595" s="16">
        <f>IF(OR(D3595="",F3595=""),"",F3595*I3595-N(H3595))</f>
        <v/>
      </c>
      <c r="K3595" s="16">
        <f>IF(OR(D3595="",F3595=""),"",F3595*IFERROR(INDEX('Sản phẩm'!$D$5:$D$304,MATCH(D3595,'Sản phẩm'!$A$5:$A$304,0)),""))</f>
        <v/>
      </c>
      <c r="L3595" s="16">
        <f>IF(J3595="","",J3595-K3595)</f>
        <v/>
      </c>
      <c r="M3595" s="14">
        <f>IF(A3595="","",MONTH(A3595))</f>
        <v/>
      </c>
      <c r="N3595" s="14">
        <f>IF(A3595="","",YEAR(A3595))</f>
        <v/>
      </c>
    </row>
    <row r="3596">
      <c r="A3596" s="15" t="n"/>
      <c r="B3596" s="10" t="n"/>
      <c r="C3596" s="10" t="n"/>
      <c r="D3596" s="10" t="n"/>
      <c r="E3596" s="14">
        <f>IF(D3596="","",IFERROR(INDEX('Sản phẩm'!$B$5:$B$304,MATCH(D3596,'Sản phẩm'!$A$5:$A$304,0)),""))</f>
        <v/>
      </c>
      <c r="F3596" s="12" t="n"/>
      <c r="G3596" s="11" t="n"/>
      <c r="H3596" s="11" t="n"/>
      <c r="I3596" s="16">
        <f>IF(D3596="","",IF(G3596&lt;&gt;"",G3596,IFERROR(INDEX('Sản phẩm'!$E$5:$E$304,MATCH(D3596,'Sản phẩm'!$A$5:$A$304,0)),"")))</f>
        <v/>
      </c>
      <c r="J3596" s="16">
        <f>IF(OR(D3596="",F3596=""),"",F3596*I3596-N(H3596))</f>
        <v/>
      </c>
      <c r="K3596" s="16">
        <f>IF(OR(D3596="",F3596=""),"",F3596*IFERROR(INDEX('Sản phẩm'!$D$5:$D$304,MATCH(D3596,'Sản phẩm'!$A$5:$A$304,0)),""))</f>
        <v/>
      </c>
      <c r="L3596" s="16">
        <f>IF(J3596="","",J3596-K3596)</f>
        <v/>
      </c>
      <c r="M3596" s="14">
        <f>IF(A3596="","",MONTH(A3596))</f>
        <v/>
      </c>
      <c r="N3596" s="14">
        <f>IF(A3596="","",YEAR(A3596))</f>
        <v/>
      </c>
    </row>
    <row r="3597">
      <c r="A3597" s="15" t="n"/>
      <c r="B3597" s="10" t="n"/>
      <c r="C3597" s="10" t="n"/>
      <c r="D3597" s="10" t="n"/>
      <c r="E3597" s="14">
        <f>IF(D3597="","",IFERROR(INDEX('Sản phẩm'!$B$5:$B$304,MATCH(D3597,'Sản phẩm'!$A$5:$A$304,0)),""))</f>
        <v/>
      </c>
      <c r="F3597" s="12" t="n"/>
      <c r="G3597" s="11" t="n"/>
      <c r="H3597" s="11" t="n"/>
      <c r="I3597" s="16">
        <f>IF(D3597="","",IF(G3597&lt;&gt;"",G3597,IFERROR(INDEX('Sản phẩm'!$E$5:$E$304,MATCH(D3597,'Sản phẩm'!$A$5:$A$304,0)),"")))</f>
        <v/>
      </c>
      <c r="J3597" s="16">
        <f>IF(OR(D3597="",F3597=""),"",F3597*I3597-N(H3597))</f>
        <v/>
      </c>
      <c r="K3597" s="16">
        <f>IF(OR(D3597="",F3597=""),"",F3597*IFERROR(INDEX('Sản phẩm'!$D$5:$D$304,MATCH(D3597,'Sản phẩm'!$A$5:$A$304,0)),""))</f>
        <v/>
      </c>
      <c r="L3597" s="16">
        <f>IF(J3597="","",J3597-K3597)</f>
        <v/>
      </c>
      <c r="M3597" s="14">
        <f>IF(A3597="","",MONTH(A3597))</f>
        <v/>
      </c>
      <c r="N3597" s="14">
        <f>IF(A3597="","",YEAR(A3597))</f>
        <v/>
      </c>
    </row>
    <row r="3598">
      <c r="A3598" s="15" t="n"/>
      <c r="B3598" s="10" t="n"/>
      <c r="C3598" s="10" t="n"/>
      <c r="D3598" s="10" t="n"/>
      <c r="E3598" s="14">
        <f>IF(D3598="","",IFERROR(INDEX('Sản phẩm'!$B$5:$B$304,MATCH(D3598,'Sản phẩm'!$A$5:$A$304,0)),""))</f>
        <v/>
      </c>
      <c r="F3598" s="12" t="n"/>
      <c r="G3598" s="11" t="n"/>
      <c r="H3598" s="11" t="n"/>
      <c r="I3598" s="16">
        <f>IF(D3598="","",IF(G3598&lt;&gt;"",G3598,IFERROR(INDEX('Sản phẩm'!$E$5:$E$304,MATCH(D3598,'Sản phẩm'!$A$5:$A$304,0)),"")))</f>
        <v/>
      </c>
      <c r="J3598" s="16">
        <f>IF(OR(D3598="",F3598=""),"",F3598*I3598-N(H3598))</f>
        <v/>
      </c>
      <c r="K3598" s="16">
        <f>IF(OR(D3598="",F3598=""),"",F3598*IFERROR(INDEX('Sản phẩm'!$D$5:$D$304,MATCH(D3598,'Sản phẩm'!$A$5:$A$304,0)),""))</f>
        <v/>
      </c>
      <c r="L3598" s="16">
        <f>IF(J3598="","",J3598-K3598)</f>
        <v/>
      </c>
      <c r="M3598" s="14">
        <f>IF(A3598="","",MONTH(A3598))</f>
        <v/>
      </c>
      <c r="N3598" s="14">
        <f>IF(A3598="","",YEAR(A3598))</f>
        <v/>
      </c>
    </row>
    <row r="3599">
      <c r="A3599" s="15" t="n"/>
      <c r="B3599" s="10" t="n"/>
      <c r="C3599" s="10" t="n"/>
      <c r="D3599" s="10" t="n"/>
      <c r="E3599" s="14">
        <f>IF(D3599="","",IFERROR(INDEX('Sản phẩm'!$B$5:$B$304,MATCH(D3599,'Sản phẩm'!$A$5:$A$304,0)),""))</f>
        <v/>
      </c>
      <c r="F3599" s="12" t="n"/>
      <c r="G3599" s="11" t="n"/>
      <c r="H3599" s="11" t="n"/>
      <c r="I3599" s="16">
        <f>IF(D3599="","",IF(G3599&lt;&gt;"",G3599,IFERROR(INDEX('Sản phẩm'!$E$5:$E$304,MATCH(D3599,'Sản phẩm'!$A$5:$A$304,0)),"")))</f>
        <v/>
      </c>
      <c r="J3599" s="16">
        <f>IF(OR(D3599="",F3599=""),"",F3599*I3599-N(H3599))</f>
        <v/>
      </c>
      <c r="K3599" s="16">
        <f>IF(OR(D3599="",F3599=""),"",F3599*IFERROR(INDEX('Sản phẩm'!$D$5:$D$304,MATCH(D3599,'Sản phẩm'!$A$5:$A$304,0)),""))</f>
        <v/>
      </c>
      <c r="L3599" s="16">
        <f>IF(J3599="","",J3599-K3599)</f>
        <v/>
      </c>
      <c r="M3599" s="14">
        <f>IF(A3599="","",MONTH(A3599))</f>
        <v/>
      </c>
      <c r="N3599" s="14">
        <f>IF(A3599="","",YEAR(A3599))</f>
        <v/>
      </c>
    </row>
    <row r="3600">
      <c r="A3600" s="15" t="n"/>
      <c r="B3600" s="10" t="n"/>
      <c r="C3600" s="10" t="n"/>
      <c r="D3600" s="10" t="n"/>
      <c r="E3600" s="14">
        <f>IF(D3600="","",IFERROR(INDEX('Sản phẩm'!$B$5:$B$304,MATCH(D3600,'Sản phẩm'!$A$5:$A$304,0)),""))</f>
        <v/>
      </c>
      <c r="F3600" s="12" t="n"/>
      <c r="G3600" s="11" t="n"/>
      <c r="H3600" s="11" t="n"/>
      <c r="I3600" s="16">
        <f>IF(D3600="","",IF(G3600&lt;&gt;"",G3600,IFERROR(INDEX('Sản phẩm'!$E$5:$E$304,MATCH(D3600,'Sản phẩm'!$A$5:$A$304,0)),"")))</f>
        <v/>
      </c>
      <c r="J3600" s="16">
        <f>IF(OR(D3600="",F3600=""),"",F3600*I3600-N(H3600))</f>
        <v/>
      </c>
      <c r="K3600" s="16">
        <f>IF(OR(D3600="",F3600=""),"",F3600*IFERROR(INDEX('Sản phẩm'!$D$5:$D$304,MATCH(D3600,'Sản phẩm'!$A$5:$A$304,0)),""))</f>
        <v/>
      </c>
      <c r="L3600" s="16">
        <f>IF(J3600="","",J3600-K3600)</f>
        <v/>
      </c>
      <c r="M3600" s="14">
        <f>IF(A3600="","",MONTH(A3600))</f>
        <v/>
      </c>
      <c r="N3600" s="14">
        <f>IF(A3600="","",YEAR(A3600))</f>
        <v/>
      </c>
    </row>
    <row r="3601">
      <c r="A3601" s="15" t="n"/>
      <c r="B3601" s="10" t="n"/>
      <c r="C3601" s="10" t="n"/>
      <c r="D3601" s="10" t="n"/>
      <c r="E3601" s="14">
        <f>IF(D3601="","",IFERROR(INDEX('Sản phẩm'!$B$5:$B$304,MATCH(D3601,'Sản phẩm'!$A$5:$A$304,0)),""))</f>
        <v/>
      </c>
      <c r="F3601" s="12" t="n"/>
      <c r="G3601" s="11" t="n"/>
      <c r="H3601" s="11" t="n"/>
      <c r="I3601" s="16">
        <f>IF(D3601="","",IF(G3601&lt;&gt;"",G3601,IFERROR(INDEX('Sản phẩm'!$E$5:$E$304,MATCH(D3601,'Sản phẩm'!$A$5:$A$304,0)),"")))</f>
        <v/>
      </c>
      <c r="J3601" s="16">
        <f>IF(OR(D3601="",F3601=""),"",F3601*I3601-N(H3601))</f>
        <v/>
      </c>
      <c r="K3601" s="16">
        <f>IF(OR(D3601="",F3601=""),"",F3601*IFERROR(INDEX('Sản phẩm'!$D$5:$D$304,MATCH(D3601,'Sản phẩm'!$A$5:$A$304,0)),""))</f>
        <v/>
      </c>
      <c r="L3601" s="16">
        <f>IF(J3601="","",J3601-K3601)</f>
        <v/>
      </c>
      <c r="M3601" s="14">
        <f>IF(A3601="","",MONTH(A3601))</f>
        <v/>
      </c>
      <c r="N3601" s="14">
        <f>IF(A3601="","",YEAR(A3601))</f>
        <v/>
      </c>
    </row>
    <row r="3602">
      <c r="A3602" s="15" t="n"/>
      <c r="B3602" s="10" t="n"/>
      <c r="C3602" s="10" t="n"/>
      <c r="D3602" s="10" t="n"/>
      <c r="E3602" s="14">
        <f>IF(D3602="","",IFERROR(INDEX('Sản phẩm'!$B$5:$B$304,MATCH(D3602,'Sản phẩm'!$A$5:$A$304,0)),""))</f>
        <v/>
      </c>
      <c r="F3602" s="12" t="n"/>
      <c r="G3602" s="11" t="n"/>
      <c r="H3602" s="11" t="n"/>
      <c r="I3602" s="16">
        <f>IF(D3602="","",IF(G3602&lt;&gt;"",G3602,IFERROR(INDEX('Sản phẩm'!$E$5:$E$304,MATCH(D3602,'Sản phẩm'!$A$5:$A$304,0)),"")))</f>
        <v/>
      </c>
      <c r="J3602" s="16">
        <f>IF(OR(D3602="",F3602=""),"",F3602*I3602-N(H3602))</f>
        <v/>
      </c>
      <c r="K3602" s="16">
        <f>IF(OR(D3602="",F3602=""),"",F3602*IFERROR(INDEX('Sản phẩm'!$D$5:$D$304,MATCH(D3602,'Sản phẩm'!$A$5:$A$304,0)),""))</f>
        <v/>
      </c>
      <c r="L3602" s="16">
        <f>IF(J3602="","",J3602-K3602)</f>
        <v/>
      </c>
      <c r="M3602" s="14">
        <f>IF(A3602="","",MONTH(A3602))</f>
        <v/>
      </c>
      <c r="N3602" s="14">
        <f>IF(A3602="","",YEAR(A3602))</f>
        <v/>
      </c>
    </row>
    <row r="3603">
      <c r="A3603" s="15" t="n"/>
      <c r="B3603" s="10" t="n"/>
      <c r="C3603" s="10" t="n"/>
      <c r="D3603" s="10" t="n"/>
      <c r="E3603" s="14">
        <f>IF(D3603="","",IFERROR(INDEX('Sản phẩm'!$B$5:$B$304,MATCH(D3603,'Sản phẩm'!$A$5:$A$304,0)),""))</f>
        <v/>
      </c>
      <c r="F3603" s="12" t="n"/>
      <c r="G3603" s="11" t="n"/>
      <c r="H3603" s="11" t="n"/>
      <c r="I3603" s="16">
        <f>IF(D3603="","",IF(G3603&lt;&gt;"",G3603,IFERROR(INDEX('Sản phẩm'!$E$5:$E$304,MATCH(D3603,'Sản phẩm'!$A$5:$A$304,0)),"")))</f>
        <v/>
      </c>
      <c r="J3603" s="16">
        <f>IF(OR(D3603="",F3603=""),"",F3603*I3603-N(H3603))</f>
        <v/>
      </c>
      <c r="K3603" s="16">
        <f>IF(OR(D3603="",F3603=""),"",F3603*IFERROR(INDEX('Sản phẩm'!$D$5:$D$304,MATCH(D3603,'Sản phẩm'!$A$5:$A$304,0)),""))</f>
        <v/>
      </c>
      <c r="L3603" s="16">
        <f>IF(J3603="","",J3603-K3603)</f>
        <v/>
      </c>
      <c r="M3603" s="14">
        <f>IF(A3603="","",MONTH(A3603))</f>
        <v/>
      </c>
      <c r="N3603" s="14">
        <f>IF(A3603="","",YEAR(A3603))</f>
        <v/>
      </c>
    </row>
    <row r="3604">
      <c r="A3604" s="15" t="n"/>
      <c r="B3604" s="10" t="n"/>
      <c r="C3604" s="10" t="n"/>
      <c r="D3604" s="10" t="n"/>
      <c r="E3604" s="14">
        <f>IF(D3604="","",IFERROR(INDEX('Sản phẩm'!$B$5:$B$304,MATCH(D3604,'Sản phẩm'!$A$5:$A$304,0)),""))</f>
        <v/>
      </c>
      <c r="F3604" s="12" t="n"/>
      <c r="G3604" s="11" t="n"/>
      <c r="H3604" s="11" t="n"/>
      <c r="I3604" s="16">
        <f>IF(D3604="","",IF(G3604&lt;&gt;"",G3604,IFERROR(INDEX('Sản phẩm'!$E$5:$E$304,MATCH(D3604,'Sản phẩm'!$A$5:$A$304,0)),"")))</f>
        <v/>
      </c>
      <c r="J3604" s="16">
        <f>IF(OR(D3604="",F3604=""),"",F3604*I3604-N(H3604))</f>
        <v/>
      </c>
      <c r="K3604" s="16">
        <f>IF(OR(D3604="",F3604=""),"",F3604*IFERROR(INDEX('Sản phẩm'!$D$5:$D$304,MATCH(D3604,'Sản phẩm'!$A$5:$A$304,0)),""))</f>
        <v/>
      </c>
      <c r="L3604" s="16">
        <f>IF(J3604="","",J3604-K3604)</f>
        <v/>
      </c>
      <c r="M3604" s="14">
        <f>IF(A3604="","",MONTH(A3604))</f>
        <v/>
      </c>
      <c r="N3604" s="14">
        <f>IF(A3604="","",YEAR(A3604))</f>
        <v/>
      </c>
    </row>
    <row r="3605">
      <c r="A3605" s="15" t="n"/>
      <c r="B3605" s="10" t="n"/>
      <c r="C3605" s="10" t="n"/>
      <c r="D3605" s="10" t="n"/>
      <c r="E3605" s="14">
        <f>IF(D3605="","",IFERROR(INDEX('Sản phẩm'!$B$5:$B$304,MATCH(D3605,'Sản phẩm'!$A$5:$A$304,0)),""))</f>
        <v/>
      </c>
      <c r="F3605" s="12" t="n"/>
      <c r="G3605" s="11" t="n"/>
      <c r="H3605" s="11" t="n"/>
      <c r="I3605" s="16">
        <f>IF(D3605="","",IF(G3605&lt;&gt;"",G3605,IFERROR(INDEX('Sản phẩm'!$E$5:$E$304,MATCH(D3605,'Sản phẩm'!$A$5:$A$304,0)),"")))</f>
        <v/>
      </c>
      <c r="J3605" s="16">
        <f>IF(OR(D3605="",F3605=""),"",F3605*I3605-N(H3605))</f>
        <v/>
      </c>
      <c r="K3605" s="16">
        <f>IF(OR(D3605="",F3605=""),"",F3605*IFERROR(INDEX('Sản phẩm'!$D$5:$D$304,MATCH(D3605,'Sản phẩm'!$A$5:$A$304,0)),""))</f>
        <v/>
      </c>
      <c r="L3605" s="16">
        <f>IF(J3605="","",J3605-K3605)</f>
        <v/>
      </c>
      <c r="M3605" s="14">
        <f>IF(A3605="","",MONTH(A3605))</f>
        <v/>
      </c>
      <c r="N3605" s="14">
        <f>IF(A3605="","",YEAR(A3605))</f>
        <v/>
      </c>
    </row>
    <row r="3606">
      <c r="A3606" s="15" t="n"/>
      <c r="B3606" s="10" t="n"/>
      <c r="C3606" s="10" t="n"/>
      <c r="D3606" s="10" t="n"/>
      <c r="E3606" s="14">
        <f>IF(D3606="","",IFERROR(INDEX('Sản phẩm'!$B$5:$B$304,MATCH(D3606,'Sản phẩm'!$A$5:$A$304,0)),""))</f>
        <v/>
      </c>
      <c r="F3606" s="12" t="n"/>
      <c r="G3606" s="11" t="n"/>
      <c r="H3606" s="11" t="n"/>
      <c r="I3606" s="16">
        <f>IF(D3606="","",IF(G3606&lt;&gt;"",G3606,IFERROR(INDEX('Sản phẩm'!$E$5:$E$304,MATCH(D3606,'Sản phẩm'!$A$5:$A$304,0)),"")))</f>
        <v/>
      </c>
      <c r="J3606" s="16">
        <f>IF(OR(D3606="",F3606=""),"",F3606*I3606-N(H3606))</f>
        <v/>
      </c>
      <c r="K3606" s="16">
        <f>IF(OR(D3606="",F3606=""),"",F3606*IFERROR(INDEX('Sản phẩm'!$D$5:$D$304,MATCH(D3606,'Sản phẩm'!$A$5:$A$304,0)),""))</f>
        <v/>
      </c>
      <c r="L3606" s="16">
        <f>IF(J3606="","",J3606-K3606)</f>
        <v/>
      </c>
      <c r="M3606" s="14">
        <f>IF(A3606="","",MONTH(A3606))</f>
        <v/>
      </c>
      <c r="N3606" s="14">
        <f>IF(A3606="","",YEAR(A3606))</f>
        <v/>
      </c>
    </row>
    <row r="3607">
      <c r="A3607" s="15" t="n"/>
      <c r="B3607" s="10" t="n"/>
      <c r="C3607" s="10" t="n"/>
      <c r="D3607" s="10" t="n"/>
      <c r="E3607" s="14">
        <f>IF(D3607="","",IFERROR(INDEX('Sản phẩm'!$B$5:$B$304,MATCH(D3607,'Sản phẩm'!$A$5:$A$304,0)),""))</f>
        <v/>
      </c>
      <c r="F3607" s="12" t="n"/>
      <c r="G3607" s="11" t="n"/>
      <c r="H3607" s="11" t="n"/>
      <c r="I3607" s="16">
        <f>IF(D3607="","",IF(G3607&lt;&gt;"",G3607,IFERROR(INDEX('Sản phẩm'!$E$5:$E$304,MATCH(D3607,'Sản phẩm'!$A$5:$A$304,0)),"")))</f>
        <v/>
      </c>
      <c r="J3607" s="16">
        <f>IF(OR(D3607="",F3607=""),"",F3607*I3607-N(H3607))</f>
        <v/>
      </c>
      <c r="K3607" s="16">
        <f>IF(OR(D3607="",F3607=""),"",F3607*IFERROR(INDEX('Sản phẩm'!$D$5:$D$304,MATCH(D3607,'Sản phẩm'!$A$5:$A$304,0)),""))</f>
        <v/>
      </c>
      <c r="L3607" s="16">
        <f>IF(J3607="","",J3607-K3607)</f>
        <v/>
      </c>
      <c r="M3607" s="14">
        <f>IF(A3607="","",MONTH(A3607))</f>
        <v/>
      </c>
      <c r="N3607" s="14">
        <f>IF(A3607="","",YEAR(A3607))</f>
        <v/>
      </c>
    </row>
    <row r="3608">
      <c r="A3608" s="15" t="n"/>
      <c r="B3608" s="10" t="n"/>
      <c r="C3608" s="10" t="n"/>
      <c r="D3608" s="10" t="n"/>
      <c r="E3608" s="14">
        <f>IF(D3608="","",IFERROR(INDEX('Sản phẩm'!$B$5:$B$304,MATCH(D3608,'Sản phẩm'!$A$5:$A$304,0)),""))</f>
        <v/>
      </c>
      <c r="F3608" s="12" t="n"/>
      <c r="G3608" s="11" t="n"/>
      <c r="H3608" s="11" t="n"/>
      <c r="I3608" s="16">
        <f>IF(D3608="","",IF(G3608&lt;&gt;"",G3608,IFERROR(INDEX('Sản phẩm'!$E$5:$E$304,MATCH(D3608,'Sản phẩm'!$A$5:$A$304,0)),"")))</f>
        <v/>
      </c>
      <c r="J3608" s="16">
        <f>IF(OR(D3608="",F3608=""),"",F3608*I3608-N(H3608))</f>
        <v/>
      </c>
      <c r="K3608" s="16">
        <f>IF(OR(D3608="",F3608=""),"",F3608*IFERROR(INDEX('Sản phẩm'!$D$5:$D$304,MATCH(D3608,'Sản phẩm'!$A$5:$A$304,0)),""))</f>
        <v/>
      </c>
      <c r="L3608" s="16">
        <f>IF(J3608="","",J3608-K3608)</f>
        <v/>
      </c>
      <c r="M3608" s="14">
        <f>IF(A3608="","",MONTH(A3608))</f>
        <v/>
      </c>
      <c r="N3608" s="14">
        <f>IF(A3608="","",YEAR(A3608))</f>
        <v/>
      </c>
    </row>
    <row r="3609">
      <c r="A3609" s="15" t="n"/>
      <c r="B3609" s="10" t="n"/>
      <c r="C3609" s="10" t="n"/>
      <c r="D3609" s="10" t="n"/>
      <c r="E3609" s="14">
        <f>IF(D3609="","",IFERROR(INDEX('Sản phẩm'!$B$5:$B$304,MATCH(D3609,'Sản phẩm'!$A$5:$A$304,0)),""))</f>
        <v/>
      </c>
      <c r="F3609" s="12" t="n"/>
      <c r="G3609" s="11" t="n"/>
      <c r="H3609" s="11" t="n"/>
      <c r="I3609" s="16">
        <f>IF(D3609="","",IF(G3609&lt;&gt;"",G3609,IFERROR(INDEX('Sản phẩm'!$E$5:$E$304,MATCH(D3609,'Sản phẩm'!$A$5:$A$304,0)),"")))</f>
        <v/>
      </c>
      <c r="J3609" s="16">
        <f>IF(OR(D3609="",F3609=""),"",F3609*I3609-N(H3609))</f>
        <v/>
      </c>
      <c r="K3609" s="16">
        <f>IF(OR(D3609="",F3609=""),"",F3609*IFERROR(INDEX('Sản phẩm'!$D$5:$D$304,MATCH(D3609,'Sản phẩm'!$A$5:$A$304,0)),""))</f>
        <v/>
      </c>
      <c r="L3609" s="16">
        <f>IF(J3609="","",J3609-K3609)</f>
        <v/>
      </c>
      <c r="M3609" s="14">
        <f>IF(A3609="","",MONTH(A3609))</f>
        <v/>
      </c>
      <c r="N3609" s="14">
        <f>IF(A3609="","",YEAR(A3609))</f>
        <v/>
      </c>
    </row>
    <row r="3610">
      <c r="A3610" s="15" t="n"/>
      <c r="B3610" s="10" t="n"/>
      <c r="C3610" s="10" t="n"/>
      <c r="D3610" s="10" t="n"/>
      <c r="E3610" s="14">
        <f>IF(D3610="","",IFERROR(INDEX('Sản phẩm'!$B$5:$B$304,MATCH(D3610,'Sản phẩm'!$A$5:$A$304,0)),""))</f>
        <v/>
      </c>
      <c r="F3610" s="12" t="n"/>
      <c r="G3610" s="11" t="n"/>
      <c r="H3610" s="11" t="n"/>
      <c r="I3610" s="16">
        <f>IF(D3610="","",IF(G3610&lt;&gt;"",G3610,IFERROR(INDEX('Sản phẩm'!$E$5:$E$304,MATCH(D3610,'Sản phẩm'!$A$5:$A$304,0)),"")))</f>
        <v/>
      </c>
      <c r="J3610" s="16">
        <f>IF(OR(D3610="",F3610=""),"",F3610*I3610-N(H3610))</f>
        <v/>
      </c>
      <c r="K3610" s="16">
        <f>IF(OR(D3610="",F3610=""),"",F3610*IFERROR(INDEX('Sản phẩm'!$D$5:$D$304,MATCH(D3610,'Sản phẩm'!$A$5:$A$304,0)),""))</f>
        <v/>
      </c>
      <c r="L3610" s="16">
        <f>IF(J3610="","",J3610-K3610)</f>
        <v/>
      </c>
      <c r="M3610" s="14">
        <f>IF(A3610="","",MONTH(A3610))</f>
        <v/>
      </c>
      <c r="N3610" s="14">
        <f>IF(A3610="","",YEAR(A3610))</f>
        <v/>
      </c>
    </row>
    <row r="3611">
      <c r="A3611" s="15" t="n"/>
      <c r="B3611" s="10" t="n"/>
      <c r="C3611" s="10" t="n"/>
      <c r="D3611" s="10" t="n"/>
      <c r="E3611" s="14">
        <f>IF(D3611="","",IFERROR(INDEX('Sản phẩm'!$B$5:$B$304,MATCH(D3611,'Sản phẩm'!$A$5:$A$304,0)),""))</f>
        <v/>
      </c>
      <c r="F3611" s="12" t="n"/>
      <c r="G3611" s="11" t="n"/>
      <c r="H3611" s="11" t="n"/>
      <c r="I3611" s="16">
        <f>IF(D3611="","",IF(G3611&lt;&gt;"",G3611,IFERROR(INDEX('Sản phẩm'!$E$5:$E$304,MATCH(D3611,'Sản phẩm'!$A$5:$A$304,0)),"")))</f>
        <v/>
      </c>
      <c r="J3611" s="16">
        <f>IF(OR(D3611="",F3611=""),"",F3611*I3611-N(H3611))</f>
        <v/>
      </c>
      <c r="K3611" s="16">
        <f>IF(OR(D3611="",F3611=""),"",F3611*IFERROR(INDEX('Sản phẩm'!$D$5:$D$304,MATCH(D3611,'Sản phẩm'!$A$5:$A$304,0)),""))</f>
        <v/>
      </c>
      <c r="L3611" s="16">
        <f>IF(J3611="","",J3611-K3611)</f>
        <v/>
      </c>
      <c r="M3611" s="14">
        <f>IF(A3611="","",MONTH(A3611))</f>
        <v/>
      </c>
      <c r="N3611" s="14">
        <f>IF(A3611="","",YEAR(A3611))</f>
        <v/>
      </c>
    </row>
    <row r="3612">
      <c r="A3612" s="15" t="n"/>
      <c r="B3612" s="10" t="n"/>
      <c r="C3612" s="10" t="n"/>
      <c r="D3612" s="10" t="n"/>
      <c r="E3612" s="14">
        <f>IF(D3612="","",IFERROR(INDEX('Sản phẩm'!$B$5:$B$304,MATCH(D3612,'Sản phẩm'!$A$5:$A$304,0)),""))</f>
        <v/>
      </c>
      <c r="F3612" s="12" t="n"/>
      <c r="G3612" s="11" t="n"/>
      <c r="H3612" s="11" t="n"/>
      <c r="I3612" s="16">
        <f>IF(D3612="","",IF(G3612&lt;&gt;"",G3612,IFERROR(INDEX('Sản phẩm'!$E$5:$E$304,MATCH(D3612,'Sản phẩm'!$A$5:$A$304,0)),"")))</f>
        <v/>
      </c>
      <c r="J3612" s="16">
        <f>IF(OR(D3612="",F3612=""),"",F3612*I3612-N(H3612))</f>
        <v/>
      </c>
      <c r="K3612" s="16">
        <f>IF(OR(D3612="",F3612=""),"",F3612*IFERROR(INDEX('Sản phẩm'!$D$5:$D$304,MATCH(D3612,'Sản phẩm'!$A$5:$A$304,0)),""))</f>
        <v/>
      </c>
      <c r="L3612" s="16">
        <f>IF(J3612="","",J3612-K3612)</f>
        <v/>
      </c>
      <c r="M3612" s="14">
        <f>IF(A3612="","",MONTH(A3612))</f>
        <v/>
      </c>
      <c r="N3612" s="14">
        <f>IF(A3612="","",YEAR(A3612))</f>
        <v/>
      </c>
    </row>
    <row r="3613">
      <c r="A3613" s="15" t="n"/>
      <c r="B3613" s="10" t="n"/>
      <c r="C3613" s="10" t="n"/>
      <c r="D3613" s="10" t="n"/>
      <c r="E3613" s="14">
        <f>IF(D3613="","",IFERROR(INDEX('Sản phẩm'!$B$5:$B$304,MATCH(D3613,'Sản phẩm'!$A$5:$A$304,0)),""))</f>
        <v/>
      </c>
      <c r="F3613" s="12" t="n"/>
      <c r="G3613" s="11" t="n"/>
      <c r="H3613" s="11" t="n"/>
      <c r="I3613" s="16">
        <f>IF(D3613="","",IF(G3613&lt;&gt;"",G3613,IFERROR(INDEX('Sản phẩm'!$E$5:$E$304,MATCH(D3613,'Sản phẩm'!$A$5:$A$304,0)),"")))</f>
        <v/>
      </c>
      <c r="J3613" s="16">
        <f>IF(OR(D3613="",F3613=""),"",F3613*I3613-N(H3613))</f>
        <v/>
      </c>
      <c r="K3613" s="16">
        <f>IF(OR(D3613="",F3613=""),"",F3613*IFERROR(INDEX('Sản phẩm'!$D$5:$D$304,MATCH(D3613,'Sản phẩm'!$A$5:$A$304,0)),""))</f>
        <v/>
      </c>
      <c r="L3613" s="16">
        <f>IF(J3613="","",J3613-K3613)</f>
        <v/>
      </c>
      <c r="M3613" s="14">
        <f>IF(A3613="","",MONTH(A3613))</f>
        <v/>
      </c>
      <c r="N3613" s="14">
        <f>IF(A3613="","",YEAR(A3613))</f>
        <v/>
      </c>
    </row>
    <row r="3614">
      <c r="A3614" s="15" t="n"/>
      <c r="B3614" s="10" t="n"/>
      <c r="C3614" s="10" t="n"/>
      <c r="D3614" s="10" t="n"/>
      <c r="E3614" s="14">
        <f>IF(D3614="","",IFERROR(INDEX('Sản phẩm'!$B$5:$B$304,MATCH(D3614,'Sản phẩm'!$A$5:$A$304,0)),""))</f>
        <v/>
      </c>
      <c r="F3614" s="12" t="n"/>
      <c r="G3614" s="11" t="n"/>
      <c r="H3614" s="11" t="n"/>
      <c r="I3614" s="16">
        <f>IF(D3614="","",IF(G3614&lt;&gt;"",G3614,IFERROR(INDEX('Sản phẩm'!$E$5:$E$304,MATCH(D3614,'Sản phẩm'!$A$5:$A$304,0)),"")))</f>
        <v/>
      </c>
      <c r="J3614" s="16">
        <f>IF(OR(D3614="",F3614=""),"",F3614*I3614-N(H3614))</f>
        <v/>
      </c>
      <c r="K3614" s="16">
        <f>IF(OR(D3614="",F3614=""),"",F3614*IFERROR(INDEX('Sản phẩm'!$D$5:$D$304,MATCH(D3614,'Sản phẩm'!$A$5:$A$304,0)),""))</f>
        <v/>
      </c>
      <c r="L3614" s="16">
        <f>IF(J3614="","",J3614-K3614)</f>
        <v/>
      </c>
      <c r="M3614" s="14">
        <f>IF(A3614="","",MONTH(A3614))</f>
        <v/>
      </c>
      <c r="N3614" s="14">
        <f>IF(A3614="","",YEAR(A3614))</f>
        <v/>
      </c>
    </row>
    <row r="3615">
      <c r="A3615" s="15" t="n"/>
      <c r="B3615" s="10" t="n"/>
      <c r="C3615" s="10" t="n"/>
      <c r="D3615" s="10" t="n"/>
      <c r="E3615" s="14">
        <f>IF(D3615="","",IFERROR(INDEX('Sản phẩm'!$B$5:$B$304,MATCH(D3615,'Sản phẩm'!$A$5:$A$304,0)),""))</f>
        <v/>
      </c>
      <c r="F3615" s="12" t="n"/>
      <c r="G3615" s="11" t="n"/>
      <c r="H3615" s="11" t="n"/>
      <c r="I3615" s="16">
        <f>IF(D3615="","",IF(G3615&lt;&gt;"",G3615,IFERROR(INDEX('Sản phẩm'!$E$5:$E$304,MATCH(D3615,'Sản phẩm'!$A$5:$A$304,0)),"")))</f>
        <v/>
      </c>
      <c r="J3615" s="16">
        <f>IF(OR(D3615="",F3615=""),"",F3615*I3615-N(H3615))</f>
        <v/>
      </c>
      <c r="K3615" s="16">
        <f>IF(OR(D3615="",F3615=""),"",F3615*IFERROR(INDEX('Sản phẩm'!$D$5:$D$304,MATCH(D3615,'Sản phẩm'!$A$5:$A$304,0)),""))</f>
        <v/>
      </c>
      <c r="L3615" s="16">
        <f>IF(J3615="","",J3615-K3615)</f>
        <v/>
      </c>
      <c r="M3615" s="14">
        <f>IF(A3615="","",MONTH(A3615))</f>
        <v/>
      </c>
      <c r="N3615" s="14">
        <f>IF(A3615="","",YEAR(A3615))</f>
        <v/>
      </c>
    </row>
    <row r="3616">
      <c r="A3616" s="15" t="n"/>
      <c r="B3616" s="10" t="n"/>
      <c r="C3616" s="10" t="n"/>
      <c r="D3616" s="10" t="n"/>
      <c r="E3616" s="14">
        <f>IF(D3616="","",IFERROR(INDEX('Sản phẩm'!$B$5:$B$304,MATCH(D3616,'Sản phẩm'!$A$5:$A$304,0)),""))</f>
        <v/>
      </c>
      <c r="F3616" s="12" t="n"/>
      <c r="G3616" s="11" t="n"/>
      <c r="H3616" s="11" t="n"/>
      <c r="I3616" s="16">
        <f>IF(D3616="","",IF(G3616&lt;&gt;"",G3616,IFERROR(INDEX('Sản phẩm'!$E$5:$E$304,MATCH(D3616,'Sản phẩm'!$A$5:$A$304,0)),"")))</f>
        <v/>
      </c>
      <c r="J3616" s="16">
        <f>IF(OR(D3616="",F3616=""),"",F3616*I3616-N(H3616))</f>
        <v/>
      </c>
      <c r="K3616" s="16">
        <f>IF(OR(D3616="",F3616=""),"",F3616*IFERROR(INDEX('Sản phẩm'!$D$5:$D$304,MATCH(D3616,'Sản phẩm'!$A$5:$A$304,0)),""))</f>
        <v/>
      </c>
      <c r="L3616" s="16">
        <f>IF(J3616="","",J3616-K3616)</f>
        <v/>
      </c>
      <c r="M3616" s="14">
        <f>IF(A3616="","",MONTH(A3616))</f>
        <v/>
      </c>
      <c r="N3616" s="14">
        <f>IF(A3616="","",YEAR(A3616))</f>
        <v/>
      </c>
    </row>
    <row r="3617">
      <c r="A3617" s="15" t="n"/>
      <c r="B3617" s="10" t="n"/>
      <c r="C3617" s="10" t="n"/>
      <c r="D3617" s="10" t="n"/>
      <c r="E3617" s="14">
        <f>IF(D3617="","",IFERROR(INDEX('Sản phẩm'!$B$5:$B$304,MATCH(D3617,'Sản phẩm'!$A$5:$A$304,0)),""))</f>
        <v/>
      </c>
      <c r="F3617" s="12" t="n"/>
      <c r="G3617" s="11" t="n"/>
      <c r="H3617" s="11" t="n"/>
      <c r="I3617" s="16">
        <f>IF(D3617="","",IF(G3617&lt;&gt;"",G3617,IFERROR(INDEX('Sản phẩm'!$E$5:$E$304,MATCH(D3617,'Sản phẩm'!$A$5:$A$304,0)),"")))</f>
        <v/>
      </c>
      <c r="J3617" s="16">
        <f>IF(OR(D3617="",F3617=""),"",F3617*I3617-N(H3617))</f>
        <v/>
      </c>
      <c r="K3617" s="16">
        <f>IF(OR(D3617="",F3617=""),"",F3617*IFERROR(INDEX('Sản phẩm'!$D$5:$D$304,MATCH(D3617,'Sản phẩm'!$A$5:$A$304,0)),""))</f>
        <v/>
      </c>
      <c r="L3617" s="16">
        <f>IF(J3617="","",J3617-K3617)</f>
        <v/>
      </c>
      <c r="M3617" s="14">
        <f>IF(A3617="","",MONTH(A3617))</f>
        <v/>
      </c>
      <c r="N3617" s="14">
        <f>IF(A3617="","",YEAR(A3617))</f>
        <v/>
      </c>
    </row>
    <row r="3618">
      <c r="A3618" s="15" t="n"/>
      <c r="B3618" s="10" t="n"/>
      <c r="C3618" s="10" t="n"/>
      <c r="D3618" s="10" t="n"/>
      <c r="E3618" s="14">
        <f>IF(D3618="","",IFERROR(INDEX('Sản phẩm'!$B$5:$B$304,MATCH(D3618,'Sản phẩm'!$A$5:$A$304,0)),""))</f>
        <v/>
      </c>
      <c r="F3618" s="12" t="n"/>
      <c r="G3618" s="11" t="n"/>
      <c r="H3618" s="11" t="n"/>
      <c r="I3618" s="16">
        <f>IF(D3618="","",IF(G3618&lt;&gt;"",G3618,IFERROR(INDEX('Sản phẩm'!$E$5:$E$304,MATCH(D3618,'Sản phẩm'!$A$5:$A$304,0)),"")))</f>
        <v/>
      </c>
      <c r="J3618" s="16">
        <f>IF(OR(D3618="",F3618=""),"",F3618*I3618-N(H3618))</f>
        <v/>
      </c>
      <c r="K3618" s="16">
        <f>IF(OR(D3618="",F3618=""),"",F3618*IFERROR(INDEX('Sản phẩm'!$D$5:$D$304,MATCH(D3618,'Sản phẩm'!$A$5:$A$304,0)),""))</f>
        <v/>
      </c>
      <c r="L3618" s="16">
        <f>IF(J3618="","",J3618-K3618)</f>
        <v/>
      </c>
      <c r="M3618" s="14">
        <f>IF(A3618="","",MONTH(A3618))</f>
        <v/>
      </c>
      <c r="N3618" s="14">
        <f>IF(A3618="","",YEAR(A3618))</f>
        <v/>
      </c>
    </row>
    <row r="3619">
      <c r="A3619" s="15" t="n"/>
      <c r="B3619" s="10" t="n"/>
      <c r="C3619" s="10" t="n"/>
      <c r="D3619" s="10" t="n"/>
      <c r="E3619" s="14">
        <f>IF(D3619="","",IFERROR(INDEX('Sản phẩm'!$B$5:$B$304,MATCH(D3619,'Sản phẩm'!$A$5:$A$304,0)),""))</f>
        <v/>
      </c>
      <c r="F3619" s="12" t="n"/>
      <c r="G3619" s="11" t="n"/>
      <c r="H3619" s="11" t="n"/>
      <c r="I3619" s="16">
        <f>IF(D3619="","",IF(G3619&lt;&gt;"",G3619,IFERROR(INDEX('Sản phẩm'!$E$5:$E$304,MATCH(D3619,'Sản phẩm'!$A$5:$A$304,0)),"")))</f>
        <v/>
      </c>
      <c r="J3619" s="16">
        <f>IF(OR(D3619="",F3619=""),"",F3619*I3619-N(H3619))</f>
        <v/>
      </c>
      <c r="K3619" s="16">
        <f>IF(OR(D3619="",F3619=""),"",F3619*IFERROR(INDEX('Sản phẩm'!$D$5:$D$304,MATCH(D3619,'Sản phẩm'!$A$5:$A$304,0)),""))</f>
        <v/>
      </c>
      <c r="L3619" s="16">
        <f>IF(J3619="","",J3619-K3619)</f>
        <v/>
      </c>
      <c r="M3619" s="14">
        <f>IF(A3619="","",MONTH(A3619))</f>
        <v/>
      </c>
      <c r="N3619" s="14">
        <f>IF(A3619="","",YEAR(A3619))</f>
        <v/>
      </c>
    </row>
    <row r="3620">
      <c r="A3620" s="15" t="n"/>
      <c r="B3620" s="10" t="n"/>
      <c r="C3620" s="10" t="n"/>
      <c r="D3620" s="10" t="n"/>
      <c r="E3620" s="14">
        <f>IF(D3620="","",IFERROR(INDEX('Sản phẩm'!$B$5:$B$304,MATCH(D3620,'Sản phẩm'!$A$5:$A$304,0)),""))</f>
        <v/>
      </c>
      <c r="F3620" s="12" t="n"/>
      <c r="G3620" s="11" t="n"/>
      <c r="H3620" s="11" t="n"/>
      <c r="I3620" s="16">
        <f>IF(D3620="","",IF(G3620&lt;&gt;"",G3620,IFERROR(INDEX('Sản phẩm'!$E$5:$E$304,MATCH(D3620,'Sản phẩm'!$A$5:$A$304,0)),"")))</f>
        <v/>
      </c>
      <c r="J3620" s="16">
        <f>IF(OR(D3620="",F3620=""),"",F3620*I3620-N(H3620))</f>
        <v/>
      </c>
      <c r="K3620" s="16">
        <f>IF(OR(D3620="",F3620=""),"",F3620*IFERROR(INDEX('Sản phẩm'!$D$5:$D$304,MATCH(D3620,'Sản phẩm'!$A$5:$A$304,0)),""))</f>
        <v/>
      </c>
      <c r="L3620" s="16">
        <f>IF(J3620="","",J3620-K3620)</f>
        <v/>
      </c>
      <c r="M3620" s="14">
        <f>IF(A3620="","",MONTH(A3620))</f>
        <v/>
      </c>
      <c r="N3620" s="14">
        <f>IF(A3620="","",YEAR(A3620))</f>
        <v/>
      </c>
    </row>
    <row r="3621">
      <c r="A3621" s="15" t="n"/>
      <c r="B3621" s="10" t="n"/>
      <c r="C3621" s="10" t="n"/>
      <c r="D3621" s="10" t="n"/>
      <c r="E3621" s="14">
        <f>IF(D3621="","",IFERROR(INDEX('Sản phẩm'!$B$5:$B$304,MATCH(D3621,'Sản phẩm'!$A$5:$A$304,0)),""))</f>
        <v/>
      </c>
      <c r="F3621" s="12" t="n"/>
      <c r="G3621" s="11" t="n"/>
      <c r="H3621" s="11" t="n"/>
      <c r="I3621" s="16">
        <f>IF(D3621="","",IF(G3621&lt;&gt;"",G3621,IFERROR(INDEX('Sản phẩm'!$E$5:$E$304,MATCH(D3621,'Sản phẩm'!$A$5:$A$304,0)),"")))</f>
        <v/>
      </c>
      <c r="J3621" s="16">
        <f>IF(OR(D3621="",F3621=""),"",F3621*I3621-N(H3621))</f>
        <v/>
      </c>
      <c r="K3621" s="16">
        <f>IF(OR(D3621="",F3621=""),"",F3621*IFERROR(INDEX('Sản phẩm'!$D$5:$D$304,MATCH(D3621,'Sản phẩm'!$A$5:$A$304,0)),""))</f>
        <v/>
      </c>
      <c r="L3621" s="16">
        <f>IF(J3621="","",J3621-K3621)</f>
        <v/>
      </c>
      <c r="M3621" s="14">
        <f>IF(A3621="","",MONTH(A3621))</f>
        <v/>
      </c>
      <c r="N3621" s="14">
        <f>IF(A3621="","",YEAR(A3621))</f>
        <v/>
      </c>
    </row>
    <row r="3622">
      <c r="A3622" s="15" t="n"/>
      <c r="B3622" s="10" t="n"/>
      <c r="C3622" s="10" t="n"/>
      <c r="D3622" s="10" t="n"/>
      <c r="E3622" s="14">
        <f>IF(D3622="","",IFERROR(INDEX('Sản phẩm'!$B$5:$B$304,MATCH(D3622,'Sản phẩm'!$A$5:$A$304,0)),""))</f>
        <v/>
      </c>
      <c r="F3622" s="12" t="n"/>
      <c r="G3622" s="11" t="n"/>
      <c r="H3622" s="11" t="n"/>
      <c r="I3622" s="16">
        <f>IF(D3622="","",IF(G3622&lt;&gt;"",G3622,IFERROR(INDEX('Sản phẩm'!$E$5:$E$304,MATCH(D3622,'Sản phẩm'!$A$5:$A$304,0)),"")))</f>
        <v/>
      </c>
      <c r="J3622" s="16">
        <f>IF(OR(D3622="",F3622=""),"",F3622*I3622-N(H3622))</f>
        <v/>
      </c>
      <c r="K3622" s="16">
        <f>IF(OR(D3622="",F3622=""),"",F3622*IFERROR(INDEX('Sản phẩm'!$D$5:$D$304,MATCH(D3622,'Sản phẩm'!$A$5:$A$304,0)),""))</f>
        <v/>
      </c>
      <c r="L3622" s="16">
        <f>IF(J3622="","",J3622-K3622)</f>
        <v/>
      </c>
      <c r="M3622" s="14">
        <f>IF(A3622="","",MONTH(A3622))</f>
        <v/>
      </c>
      <c r="N3622" s="14">
        <f>IF(A3622="","",YEAR(A3622))</f>
        <v/>
      </c>
    </row>
    <row r="3623">
      <c r="A3623" s="15" t="n"/>
      <c r="B3623" s="10" t="n"/>
      <c r="C3623" s="10" t="n"/>
      <c r="D3623" s="10" t="n"/>
      <c r="E3623" s="14">
        <f>IF(D3623="","",IFERROR(INDEX('Sản phẩm'!$B$5:$B$304,MATCH(D3623,'Sản phẩm'!$A$5:$A$304,0)),""))</f>
        <v/>
      </c>
      <c r="F3623" s="12" t="n"/>
      <c r="G3623" s="11" t="n"/>
      <c r="H3623" s="11" t="n"/>
      <c r="I3623" s="16">
        <f>IF(D3623="","",IF(G3623&lt;&gt;"",G3623,IFERROR(INDEX('Sản phẩm'!$E$5:$E$304,MATCH(D3623,'Sản phẩm'!$A$5:$A$304,0)),"")))</f>
        <v/>
      </c>
      <c r="J3623" s="16">
        <f>IF(OR(D3623="",F3623=""),"",F3623*I3623-N(H3623))</f>
        <v/>
      </c>
      <c r="K3623" s="16">
        <f>IF(OR(D3623="",F3623=""),"",F3623*IFERROR(INDEX('Sản phẩm'!$D$5:$D$304,MATCH(D3623,'Sản phẩm'!$A$5:$A$304,0)),""))</f>
        <v/>
      </c>
      <c r="L3623" s="16">
        <f>IF(J3623="","",J3623-K3623)</f>
        <v/>
      </c>
      <c r="M3623" s="14">
        <f>IF(A3623="","",MONTH(A3623))</f>
        <v/>
      </c>
      <c r="N3623" s="14">
        <f>IF(A3623="","",YEAR(A3623))</f>
        <v/>
      </c>
    </row>
    <row r="3624">
      <c r="A3624" s="15" t="n"/>
      <c r="B3624" s="10" t="n"/>
      <c r="C3624" s="10" t="n"/>
      <c r="D3624" s="10" t="n"/>
      <c r="E3624" s="14">
        <f>IF(D3624="","",IFERROR(INDEX('Sản phẩm'!$B$5:$B$304,MATCH(D3624,'Sản phẩm'!$A$5:$A$304,0)),""))</f>
        <v/>
      </c>
      <c r="F3624" s="12" t="n"/>
      <c r="G3624" s="11" t="n"/>
      <c r="H3624" s="11" t="n"/>
      <c r="I3624" s="16">
        <f>IF(D3624="","",IF(G3624&lt;&gt;"",G3624,IFERROR(INDEX('Sản phẩm'!$E$5:$E$304,MATCH(D3624,'Sản phẩm'!$A$5:$A$304,0)),"")))</f>
        <v/>
      </c>
      <c r="J3624" s="16">
        <f>IF(OR(D3624="",F3624=""),"",F3624*I3624-N(H3624))</f>
        <v/>
      </c>
      <c r="K3624" s="16">
        <f>IF(OR(D3624="",F3624=""),"",F3624*IFERROR(INDEX('Sản phẩm'!$D$5:$D$304,MATCH(D3624,'Sản phẩm'!$A$5:$A$304,0)),""))</f>
        <v/>
      </c>
      <c r="L3624" s="16">
        <f>IF(J3624="","",J3624-K3624)</f>
        <v/>
      </c>
      <c r="M3624" s="14">
        <f>IF(A3624="","",MONTH(A3624))</f>
        <v/>
      </c>
      <c r="N3624" s="14">
        <f>IF(A3624="","",YEAR(A3624))</f>
        <v/>
      </c>
    </row>
    <row r="3625">
      <c r="A3625" s="15" t="n"/>
      <c r="B3625" s="10" t="n"/>
      <c r="C3625" s="10" t="n"/>
      <c r="D3625" s="10" t="n"/>
      <c r="E3625" s="14">
        <f>IF(D3625="","",IFERROR(INDEX('Sản phẩm'!$B$5:$B$304,MATCH(D3625,'Sản phẩm'!$A$5:$A$304,0)),""))</f>
        <v/>
      </c>
      <c r="F3625" s="12" t="n"/>
      <c r="G3625" s="11" t="n"/>
      <c r="H3625" s="11" t="n"/>
      <c r="I3625" s="16">
        <f>IF(D3625="","",IF(G3625&lt;&gt;"",G3625,IFERROR(INDEX('Sản phẩm'!$E$5:$E$304,MATCH(D3625,'Sản phẩm'!$A$5:$A$304,0)),"")))</f>
        <v/>
      </c>
      <c r="J3625" s="16">
        <f>IF(OR(D3625="",F3625=""),"",F3625*I3625-N(H3625))</f>
        <v/>
      </c>
      <c r="K3625" s="16">
        <f>IF(OR(D3625="",F3625=""),"",F3625*IFERROR(INDEX('Sản phẩm'!$D$5:$D$304,MATCH(D3625,'Sản phẩm'!$A$5:$A$304,0)),""))</f>
        <v/>
      </c>
      <c r="L3625" s="16">
        <f>IF(J3625="","",J3625-K3625)</f>
        <v/>
      </c>
      <c r="M3625" s="14">
        <f>IF(A3625="","",MONTH(A3625))</f>
        <v/>
      </c>
      <c r="N3625" s="14">
        <f>IF(A3625="","",YEAR(A3625))</f>
        <v/>
      </c>
    </row>
    <row r="3626">
      <c r="A3626" s="15" t="n"/>
      <c r="B3626" s="10" t="n"/>
      <c r="C3626" s="10" t="n"/>
      <c r="D3626" s="10" t="n"/>
      <c r="E3626" s="14">
        <f>IF(D3626="","",IFERROR(INDEX('Sản phẩm'!$B$5:$B$304,MATCH(D3626,'Sản phẩm'!$A$5:$A$304,0)),""))</f>
        <v/>
      </c>
      <c r="F3626" s="12" t="n"/>
      <c r="G3626" s="11" t="n"/>
      <c r="H3626" s="11" t="n"/>
      <c r="I3626" s="16">
        <f>IF(D3626="","",IF(G3626&lt;&gt;"",G3626,IFERROR(INDEX('Sản phẩm'!$E$5:$E$304,MATCH(D3626,'Sản phẩm'!$A$5:$A$304,0)),"")))</f>
        <v/>
      </c>
      <c r="J3626" s="16">
        <f>IF(OR(D3626="",F3626=""),"",F3626*I3626-N(H3626))</f>
        <v/>
      </c>
      <c r="K3626" s="16">
        <f>IF(OR(D3626="",F3626=""),"",F3626*IFERROR(INDEX('Sản phẩm'!$D$5:$D$304,MATCH(D3626,'Sản phẩm'!$A$5:$A$304,0)),""))</f>
        <v/>
      </c>
      <c r="L3626" s="16">
        <f>IF(J3626="","",J3626-K3626)</f>
        <v/>
      </c>
      <c r="M3626" s="14">
        <f>IF(A3626="","",MONTH(A3626))</f>
        <v/>
      </c>
      <c r="N3626" s="14">
        <f>IF(A3626="","",YEAR(A3626))</f>
        <v/>
      </c>
    </row>
    <row r="3627">
      <c r="A3627" s="15" t="n"/>
      <c r="B3627" s="10" t="n"/>
      <c r="C3627" s="10" t="n"/>
      <c r="D3627" s="10" t="n"/>
      <c r="E3627" s="14">
        <f>IF(D3627="","",IFERROR(INDEX('Sản phẩm'!$B$5:$B$304,MATCH(D3627,'Sản phẩm'!$A$5:$A$304,0)),""))</f>
        <v/>
      </c>
      <c r="F3627" s="12" t="n"/>
      <c r="G3627" s="11" t="n"/>
      <c r="H3627" s="11" t="n"/>
      <c r="I3627" s="16">
        <f>IF(D3627="","",IF(G3627&lt;&gt;"",G3627,IFERROR(INDEX('Sản phẩm'!$E$5:$E$304,MATCH(D3627,'Sản phẩm'!$A$5:$A$304,0)),"")))</f>
        <v/>
      </c>
      <c r="J3627" s="16">
        <f>IF(OR(D3627="",F3627=""),"",F3627*I3627-N(H3627))</f>
        <v/>
      </c>
      <c r="K3627" s="16">
        <f>IF(OR(D3627="",F3627=""),"",F3627*IFERROR(INDEX('Sản phẩm'!$D$5:$D$304,MATCH(D3627,'Sản phẩm'!$A$5:$A$304,0)),""))</f>
        <v/>
      </c>
      <c r="L3627" s="16">
        <f>IF(J3627="","",J3627-K3627)</f>
        <v/>
      </c>
      <c r="M3627" s="14">
        <f>IF(A3627="","",MONTH(A3627))</f>
        <v/>
      </c>
      <c r="N3627" s="14">
        <f>IF(A3627="","",YEAR(A3627))</f>
        <v/>
      </c>
    </row>
    <row r="3628">
      <c r="A3628" s="15" t="n"/>
      <c r="B3628" s="10" t="n"/>
      <c r="C3628" s="10" t="n"/>
      <c r="D3628" s="10" t="n"/>
      <c r="E3628" s="14">
        <f>IF(D3628="","",IFERROR(INDEX('Sản phẩm'!$B$5:$B$304,MATCH(D3628,'Sản phẩm'!$A$5:$A$304,0)),""))</f>
        <v/>
      </c>
      <c r="F3628" s="12" t="n"/>
      <c r="G3628" s="11" t="n"/>
      <c r="H3628" s="11" t="n"/>
      <c r="I3628" s="16">
        <f>IF(D3628="","",IF(G3628&lt;&gt;"",G3628,IFERROR(INDEX('Sản phẩm'!$E$5:$E$304,MATCH(D3628,'Sản phẩm'!$A$5:$A$304,0)),"")))</f>
        <v/>
      </c>
      <c r="J3628" s="16">
        <f>IF(OR(D3628="",F3628=""),"",F3628*I3628-N(H3628))</f>
        <v/>
      </c>
      <c r="K3628" s="16">
        <f>IF(OR(D3628="",F3628=""),"",F3628*IFERROR(INDEX('Sản phẩm'!$D$5:$D$304,MATCH(D3628,'Sản phẩm'!$A$5:$A$304,0)),""))</f>
        <v/>
      </c>
      <c r="L3628" s="16">
        <f>IF(J3628="","",J3628-K3628)</f>
        <v/>
      </c>
      <c r="M3628" s="14">
        <f>IF(A3628="","",MONTH(A3628))</f>
        <v/>
      </c>
      <c r="N3628" s="14">
        <f>IF(A3628="","",YEAR(A3628))</f>
        <v/>
      </c>
    </row>
    <row r="3629">
      <c r="A3629" s="15" t="n"/>
      <c r="B3629" s="10" t="n"/>
      <c r="C3629" s="10" t="n"/>
      <c r="D3629" s="10" t="n"/>
      <c r="E3629" s="14">
        <f>IF(D3629="","",IFERROR(INDEX('Sản phẩm'!$B$5:$B$304,MATCH(D3629,'Sản phẩm'!$A$5:$A$304,0)),""))</f>
        <v/>
      </c>
      <c r="F3629" s="12" t="n"/>
      <c r="G3629" s="11" t="n"/>
      <c r="H3629" s="11" t="n"/>
      <c r="I3629" s="16">
        <f>IF(D3629="","",IF(G3629&lt;&gt;"",G3629,IFERROR(INDEX('Sản phẩm'!$E$5:$E$304,MATCH(D3629,'Sản phẩm'!$A$5:$A$304,0)),"")))</f>
        <v/>
      </c>
      <c r="J3629" s="16">
        <f>IF(OR(D3629="",F3629=""),"",F3629*I3629-N(H3629))</f>
        <v/>
      </c>
      <c r="K3629" s="16">
        <f>IF(OR(D3629="",F3629=""),"",F3629*IFERROR(INDEX('Sản phẩm'!$D$5:$D$304,MATCH(D3629,'Sản phẩm'!$A$5:$A$304,0)),""))</f>
        <v/>
      </c>
      <c r="L3629" s="16">
        <f>IF(J3629="","",J3629-K3629)</f>
        <v/>
      </c>
      <c r="M3629" s="14">
        <f>IF(A3629="","",MONTH(A3629))</f>
        <v/>
      </c>
      <c r="N3629" s="14">
        <f>IF(A3629="","",YEAR(A3629))</f>
        <v/>
      </c>
    </row>
    <row r="3630">
      <c r="A3630" s="15" t="n"/>
      <c r="B3630" s="10" t="n"/>
      <c r="C3630" s="10" t="n"/>
      <c r="D3630" s="10" t="n"/>
      <c r="E3630" s="14">
        <f>IF(D3630="","",IFERROR(INDEX('Sản phẩm'!$B$5:$B$304,MATCH(D3630,'Sản phẩm'!$A$5:$A$304,0)),""))</f>
        <v/>
      </c>
      <c r="F3630" s="12" t="n"/>
      <c r="G3630" s="11" t="n"/>
      <c r="H3630" s="11" t="n"/>
      <c r="I3630" s="16">
        <f>IF(D3630="","",IF(G3630&lt;&gt;"",G3630,IFERROR(INDEX('Sản phẩm'!$E$5:$E$304,MATCH(D3630,'Sản phẩm'!$A$5:$A$304,0)),"")))</f>
        <v/>
      </c>
      <c r="J3630" s="16">
        <f>IF(OR(D3630="",F3630=""),"",F3630*I3630-N(H3630))</f>
        <v/>
      </c>
      <c r="K3630" s="16">
        <f>IF(OR(D3630="",F3630=""),"",F3630*IFERROR(INDEX('Sản phẩm'!$D$5:$D$304,MATCH(D3630,'Sản phẩm'!$A$5:$A$304,0)),""))</f>
        <v/>
      </c>
      <c r="L3630" s="16">
        <f>IF(J3630="","",J3630-K3630)</f>
        <v/>
      </c>
      <c r="M3630" s="14">
        <f>IF(A3630="","",MONTH(A3630))</f>
        <v/>
      </c>
      <c r="N3630" s="14">
        <f>IF(A3630="","",YEAR(A3630))</f>
        <v/>
      </c>
    </row>
    <row r="3631">
      <c r="A3631" s="15" t="n"/>
      <c r="B3631" s="10" t="n"/>
      <c r="C3631" s="10" t="n"/>
      <c r="D3631" s="10" t="n"/>
      <c r="E3631" s="14">
        <f>IF(D3631="","",IFERROR(INDEX('Sản phẩm'!$B$5:$B$304,MATCH(D3631,'Sản phẩm'!$A$5:$A$304,0)),""))</f>
        <v/>
      </c>
      <c r="F3631" s="12" t="n"/>
      <c r="G3631" s="11" t="n"/>
      <c r="H3631" s="11" t="n"/>
      <c r="I3631" s="16">
        <f>IF(D3631="","",IF(G3631&lt;&gt;"",G3631,IFERROR(INDEX('Sản phẩm'!$E$5:$E$304,MATCH(D3631,'Sản phẩm'!$A$5:$A$304,0)),"")))</f>
        <v/>
      </c>
      <c r="J3631" s="16">
        <f>IF(OR(D3631="",F3631=""),"",F3631*I3631-N(H3631))</f>
        <v/>
      </c>
      <c r="K3631" s="16">
        <f>IF(OR(D3631="",F3631=""),"",F3631*IFERROR(INDEX('Sản phẩm'!$D$5:$D$304,MATCH(D3631,'Sản phẩm'!$A$5:$A$304,0)),""))</f>
        <v/>
      </c>
      <c r="L3631" s="16">
        <f>IF(J3631="","",J3631-K3631)</f>
        <v/>
      </c>
      <c r="M3631" s="14">
        <f>IF(A3631="","",MONTH(A3631))</f>
        <v/>
      </c>
      <c r="N3631" s="14">
        <f>IF(A3631="","",YEAR(A3631))</f>
        <v/>
      </c>
    </row>
    <row r="3632">
      <c r="A3632" s="15" t="n"/>
      <c r="B3632" s="10" t="n"/>
      <c r="C3632" s="10" t="n"/>
      <c r="D3632" s="10" t="n"/>
      <c r="E3632" s="14">
        <f>IF(D3632="","",IFERROR(INDEX('Sản phẩm'!$B$5:$B$304,MATCH(D3632,'Sản phẩm'!$A$5:$A$304,0)),""))</f>
        <v/>
      </c>
      <c r="F3632" s="12" t="n"/>
      <c r="G3632" s="11" t="n"/>
      <c r="H3632" s="11" t="n"/>
      <c r="I3632" s="16">
        <f>IF(D3632="","",IF(G3632&lt;&gt;"",G3632,IFERROR(INDEX('Sản phẩm'!$E$5:$E$304,MATCH(D3632,'Sản phẩm'!$A$5:$A$304,0)),"")))</f>
        <v/>
      </c>
      <c r="J3632" s="16">
        <f>IF(OR(D3632="",F3632=""),"",F3632*I3632-N(H3632))</f>
        <v/>
      </c>
      <c r="K3632" s="16">
        <f>IF(OR(D3632="",F3632=""),"",F3632*IFERROR(INDEX('Sản phẩm'!$D$5:$D$304,MATCH(D3632,'Sản phẩm'!$A$5:$A$304,0)),""))</f>
        <v/>
      </c>
      <c r="L3632" s="16">
        <f>IF(J3632="","",J3632-K3632)</f>
        <v/>
      </c>
      <c r="M3632" s="14">
        <f>IF(A3632="","",MONTH(A3632))</f>
        <v/>
      </c>
      <c r="N3632" s="14">
        <f>IF(A3632="","",YEAR(A3632))</f>
        <v/>
      </c>
    </row>
    <row r="3633">
      <c r="A3633" s="15" t="n"/>
      <c r="B3633" s="10" t="n"/>
      <c r="C3633" s="10" t="n"/>
      <c r="D3633" s="10" t="n"/>
      <c r="E3633" s="14">
        <f>IF(D3633="","",IFERROR(INDEX('Sản phẩm'!$B$5:$B$304,MATCH(D3633,'Sản phẩm'!$A$5:$A$304,0)),""))</f>
        <v/>
      </c>
      <c r="F3633" s="12" t="n"/>
      <c r="G3633" s="11" t="n"/>
      <c r="H3633" s="11" t="n"/>
      <c r="I3633" s="16">
        <f>IF(D3633="","",IF(G3633&lt;&gt;"",G3633,IFERROR(INDEX('Sản phẩm'!$E$5:$E$304,MATCH(D3633,'Sản phẩm'!$A$5:$A$304,0)),"")))</f>
        <v/>
      </c>
      <c r="J3633" s="16">
        <f>IF(OR(D3633="",F3633=""),"",F3633*I3633-N(H3633))</f>
        <v/>
      </c>
      <c r="K3633" s="16">
        <f>IF(OR(D3633="",F3633=""),"",F3633*IFERROR(INDEX('Sản phẩm'!$D$5:$D$304,MATCH(D3633,'Sản phẩm'!$A$5:$A$304,0)),""))</f>
        <v/>
      </c>
      <c r="L3633" s="16">
        <f>IF(J3633="","",J3633-K3633)</f>
        <v/>
      </c>
      <c r="M3633" s="14">
        <f>IF(A3633="","",MONTH(A3633))</f>
        <v/>
      </c>
      <c r="N3633" s="14">
        <f>IF(A3633="","",YEAR(A3633))</f>
        <v/>
      </c>
    </row>
    <row r="3634">
      <c r="A3634" s="15" t="n"/>
      <c r="B3634" s="10" t="n"/>
      <c r="C3634" s="10" t="n"/>
      <c r="D3634" s="10" t="n"/>
      <c r="E3634" s="14">
        <f>IF(D3634="","",IFERROR(INDEX('Sản phẩm'!$B$5:$B$304,MATCH(D3634,'Sản phẩm'!$A$5:$A$304,0)),""))</f>
        <v/>
      </c>
      <c r="F3634" s="12" t="n"/>
      <c r="G3634" s="11" t="n"/>
      <c r="H3634" s="11" t="n"/>
      <c r="I3634" s="16">
        <f>IF(D3634="","",IF(G3634&lt;&gt;"",G3634,IFERROR(INDEX('Sản phẩm'!$E$5:$E$304,MATCH(D3634,'Sản phẩm'!$A$5:$A$304,0)),"")))</f>
        <v/>
      </c>
      <c r="J3634" s="16">
        <f>IF(OR(D3634="",F3634=""),"",F3634*I3634-N(H3634))</f>
        <v/>
      </c>
      <c r="K3634" s="16">
        <f>IF(OR(D3634="",F3634=""),"",F3634*IFERROR(INDEX('Sản phẩm'!$D$5:$D$304,MATCH(D3634,'Sản phẩm'!$A$5:$A$304,0)),""))</f>
        <v/>
      </c>
      <c r="L3634" s="16">
        <f>IF(J3634="","",J3634-K3634)</f>
        <v/>
      </c>
      <c r="M3634" s="14">
        <f>IF(A3634="","",MONTH(A3634))</f>
        <v/>
      </c>
      <c r="N3634" s="14">
        <f>IF(A3634="","",YEAR(A3634))</f>
        <v/>
      </c>
    </row>
    <row r="3635">
      <c r="A3635" s="15" t="n"/>
      <c r="B3635" s="10" t="n"/>
      <c r="C3635" s="10" t="n"/>
      <c r="D3635" s="10" t="n"/>
      <c r="E3635" s="14">
        <f>IF(D3635="","",IFERROR(INDEX('Sản phẩm'!$B$5:$B$304,MATCH(D3635,'Sản phẩm'!$A$5:$A$304,0)),""))</f>
        <v/>
      </c>
      <c r="F3635" s="12" t="n"/>
      <c r="G3635" s="11" t="n"/>
      <c r="H3635" s="11" t="n"/>
      <c r="I3635" s="16">
        <f>IF(D3635="","",IF(G3635&lt;&gt;"",G3635,IFERROR(INDEX('Sản phẩm'!$E$5:$E$304,MATCH(D3635,'Sản phẩm'!$A$5:$A$304,0)),"")))</f>
        <v/>
      </c>
      <c r="J3635" s="16">
        <f>IF(OR(D3635="",F3635=""),"",F3635*I3635-N(H3635))</f>
        <v/>
      </c>
      <c r="K3635" s="16">
        <f>IF(OR(D3635="",F3635=""),"",F3635*IFERROR(INDEX('Sản phẩm'!$D$5:$D$304,MATCH(D3635,'Sản phẩm'!$A$5:$A$304,0)),""))</f>
        <v/>
      </c>
      <c r="L3635" s="16">
        <f>IF(J3635="","",J3635-K3635)</f>
        <v/>
      </c>
      <c r="M3635" s="14">
        <f>IF(A3635="","",MONTH(A3635))</f>
        <v/>
      </c>
      <c r="N3635" s="14">
        <f>IF(A3635="","",YEAR(A3635))</f>
        <v/>
      </c>
    </row>
    <row r="3636">
      <c r="A3636" s="15" t="n"/>
      <c r="B3636" s="10" t="n"/>
      <c r="C3636" s="10" t="n"/>
      <c r="D3636" s="10" t="n"/>
      <c r="E3636" s="14">
        <f>IF(D3636="","",IFERROR(INDEX('Sản phẩm'!$B$5:$B$304,MATCH(D3636,'Sản phẩm'!$A$5:$A$304,0)),""))</f>
        <v/>
      </c>
      <c r="F3636" s="12" t="n"/>
      <c r="G3636" s="11" t="n"/>
      <c r="H3636" s="11" t="n"/>
      <c r="I3636" s="16">
        <f>IF(D3636="","",IF(G3636&lt;&gt;"",G3636,IFERROR(INDEX('Sản phẩm'!$E$5:$E$304,MATCH(D3636,'Sản phẩm'!$A$5:$A$304,0)),"")))</f>
        <v/>
      </c>
      <c r="J3636" s="16">
        <f>IF(OR(D3636="",F3636=""),"",F3636*I3636-N(H3636))</f>
        <v/>
      </c>
      <c r="K3636" s="16">
        <f>IF(OR(D3636="",F3636=""),"",F3636*IFERROR(INDEX('Sản phẩm'!$D$5:$D$304,MATCH(D3636,'Sản phẩm'!$A$5:$A$304,0)),""))</f>
        <v/>
      </c>
      <c r="L3636" s="16">
        <f>IF(J3636="","",J3636-K3636)</f>
        <v/>
      </c>
      <c r="M3636" s="14">
        <f>IF(A3636="","",MONTH(A3636))</f>
        <v/>
      </c>
      <c r="N3636" s="14">
        <f>IF(A3636="","",YEAR(A3636))</f>
        <v/>
      </c>
    </row>
    <row r="3637">
      <c r="A3637" s="15" t="n"/>
      <c r="B3637" s="10" t="n"/>
      <c r="C3637" s="10" t="n"/>
      <c r="D3637" s="10" t="n"/>
      <c r="E3637" s="14">
        <f>IF(D3637="","",IFERROR(INDEX('Sản phẩm'!$B$5:$B$304,MATCH(D3637,'Sản phẩm'!$A$5:$A$304,0)),""))</f>
        <v/>
      </c>
      <c r="F3637" s="12" t="n"/>
      <c r="G3637" s="11" t="n"/>
      <c r="H3637" s="11" t="n"/>
      <c r="I3637" s="16">
        <f>IF(D3637="","",IF(G3637&lt;&gt;"",G3637,IFERROR(INDEX('Sản phẩm'!$E$5:$E$304,MATCH(D3637,'Sản phẩm'!$A$5:$A$304,0)),"")))</f>
        <v/>
      </c>
      <c r="J3637" s="16">
        <f>IF(OR(D3637="",F3637=""),"",F3637*I3637-N(H3637))</f>
        <v/>
      </c>
      <c r="K3637" s="16">
        <f>IF(OR(D3637="",F3637=""),"",F3637*IFERROR(INDEX('Sản phẩm'!$D$5:$D$304,MATCH(D3637,'Sản phẩm'!$A$5:$A$304,0)),""))</f>
        <v/>
      </c>
      <c r="L3637" s="16">
        <f>IF(J3637="","",J3637-K3637)</f>
        <v/>
      </c>
      <c r="M3637" s="14">
        <f>IF(A3637="","",MONTH(A3637))</f>
        <v/>
      </c>
      <c r="N3637" s="14">
        <f>IF(A3637="","",YEAR(A3637))</f>
        <v/>
      </c>
    </row>
    <row r="3638">
      <c r="A3638" s="15" t="n"/>
      <c r="B3638" s="10" t="n"/>
      <c r="C3638" s="10" t="n"/>
      <c r="D3638" s="10" t="n"/>
      <c r="E3638" s="14">
        <f>IF(D3638="","",IFERROR(INDEX('Sản phẩm'!$B$5:$B$304,MATCH(D3638,'Sản phẩm'!$A$5:$A$304,0)),""))</f>
        <v/>
      </c>
      <c r="F3638" s="12" t="n"/>
      <c r="G3638" s="11" t="n"/>
      <c r="H3638" s="11" t="n"/>
      <c r="I3638" s="16">
        <f>IF(D3638="","",IF(G3638&lt;&gt;"",G3638,IFERROR(INDEX('Sản phẩm'!$E$5:$E$304,MATCH(D3638,'Sản phẩm'!$A$5:$A$304,0)),"")))</f>
        <v/>
      </c>
      <c r="J3638" s="16">
        <f>IF(OR(D3638="",F3638=""),"",F3638*I3638-N(H3638))</f>
        <v/>
      </c>
      <c r="K3638" s="16">
        <f>IF(OR(D3638="",F3638=""),"",F3638*IFERROR(INDEX('Sản phẩm'!$D$5:$D$304,MATCH(D3638,'Sản phẩm'!$A$5:$A$304,0)),""))</f>
        <v/>
      </c>
      <c r="L3638" s="16">
        <f>IF(J3638="","",J3638-K3638)</f>
        <v/>
      </c>
      <c r="M3638" s="14">
        <f>IF(A3638="","",MONTH(A3638))</f>
        <v/>
      </c>
      <c r="N3638" s="14">
        <f>IF(A3638="","",YEAR(A3638))</f>
        <v/>
      </c>
    </row>
    <row r="3639">
      <c r="A3639" s="15" t="n"/>
      <c r="B3639" s="10" t="n"/>
      <c r="C3639" s="10" t="n"/>
      <c r="D3639" s="10" t="n"/>
      <c r="E3639" s="14">
        <f>IF(D3639="","",IFERROR(INDEX('Sản phẩm'!$B$5:$B$304,MATCH(D3639,'Sản phẩm'!$A$5:$A$304,0)),""))</f>
        <v/>
      </c>
      <c r="F3639" s="12" t="n"/>
      <c r="G3639" s="11" t="n"/>
      <c r="H3639" s="11" t="n"/>
      <c r="I3639" s="16">
        <f>IF(D3639="","",IF(G3639&lt;&gt;"",G3639,IFERROR(INDEX('Sản phẩm'!$E$5:$E$304,MATCH(D3639,'Sản phẩm'!$A$5:$A$304,0)),"")))</f>
        <v/>
      </c>
      <c r="J3639" s="16">
        <f>IF(OR(D3639="",F3639=""),"",F3639*I3639-N(H3639))</f>
        <v/>
      </c>
      <c r="K3639" s="16">
        <f>IF(OR(D3639="",F3639=""),"",F3639*IFERROR(INDEX('Sản phẩm'!$D$5:$D$304,MATCH(D3639,'Sản phẩm'!$A$5:$A$304,0)),""))</f>
        <v/>
      </c>
      <c r="L3639" s="16">
        <f>IF(J3639="","",J3639-K3639)</f>
        <v/>
      </c>
      <c r="M3639" s="14">
        <f>IF(A3639="","",MONTH(A3639))</f>
        <v/>
      </c>
      <c r="N3639" s="14">
        <f>IF(A3639="","",YEAR(A3639))</f>
        <v/>
      </c>
    </row>
    <row r="3640">
      <c r="A3640" s="15" t="n"/>
      <c r="B3640" s="10" t="n"/>
      <c r="C3640" s="10" t="n"/>
      <c r="D3640" s="10" t="n"/>
      <c r="E3640" s="14">
        <f>IF(D3640="","",IFERROR(INDEX('Sản phẩm'!$B$5:$B$304,MATCH(D3640,'Sản phẩm'!$A$5:$A$304,0)),""))</f>
        <v/>
      </c>
      <c r="F3640" s="12" t="n"/>
      <c r="G3640" s="11" t="n"/>
      <c r="H3640" s="11" t="n"/>
      <c r="I3640" s="16">
        <f>IF(D3640="","",IF(G3640&lt;&gt;"",G3640,IFERROR(INDEX('Sản phẩm'!$E$5:$E$304,MATCH(D3640,'Sản phẩm'!$A$5:$A$304,0)),"")))</f>
        <v/>
      </c>
      <c r="J3640" s="16">
        <f>IF(OR(D3640="",F3640=""),"",F3640*I3640-N(H3640))</f>
        <v/>
      </c>
      <c r="K3640" s="16">
        <f>IF(OR(D3640="",F3640=""),"",F3640*IFERROR(INDEX('Sản phẩm'!$D$5:$D$304,MATCH(D3640,'Sản phẩm'!$A$5:$A$304,0)),""))</f>
        <v/>
      </c>
      <c r="L3640" s="16">
        <f>IF(J3640="","",J3640-K3640)</f>
        <v/>
      </c>
      <c r="M3640" s="14">
        <f>IF(A3640="","",MONTH(A3640))</f>
        <v/>
      </c>
      <c r="N3640" s="14">
        <f>IF(A3640="","",YEAR(A3640))</f>
        <v/>
      </c>
    </row>
    <row r="3641">
      <c r="A3641" s="15" t="n"/>
      <c r="B3641" s="10" t="n"/>
      <c r="C3641" s="10" t="n"/>
      <c r="D3641" s="10" t="n"/>
      <c r="E3641" s="14">
        <f>IF(D3641="","",IFERROR(INDEX('Sản phẩm'!$B$5:$B$304,MATCH(D3641,'Sản phẩm'!$A$5:$A$304,0)),""))</f>
        <v/>
      </c>
      <c r="F3641" s="12" t="n"/>
      <c r="G3641" s="11" t="n"/>
      <c r="H3641" s="11" t="n"/>
      <c r="I3641" s="16">
        <f>IF(D3641="","",IF(G3641&lt;&gt;"",G3641,IFERROR(INDEX('Sản phẩm'!$E$5:$E$304,MATCH(D3641,'Sản phẩm'!$A$5:$A$304,0)),"")))</f>
        <v/>
      </c>
      <c r="J3641" s="16">
        <f>IF(OR(D3641="",F3641=""),"",F3641*I3641-N(H3641))</f>
        <v/>
      </c>
      <c r="K3641" s="16">
        <f>IF(OR(D3641="",F3641=""),"",F3641*IFERROR(INDEX('Sản phẩm'!$D$5:$D$304,MATCH(D3641,'Sản phẩm'!$A$5:$A$304,0)),""))</f>
        <v/>
      </c>
      <c r="L3641" s="16">
        <f>IF(J3641="","",J3641-K3641)</f>
        <v/>
      </c>
      <c r="M3641" s="14">
        <f>IF(A3641="","",MONTH(A3641))</f>
        <v/>
      </c>
      <c r="N3641" s="14">
        <f>IF(A3641="","",YEAR(A3641))</f>
        <v/>
      </c>
    </row>
    <row r="3642">
      <c r="A3642" s="15" t="n"/>
      <c r="B3642" s="10" t="n"/>
      <c r="C3642" s="10" t="n"/>
      <c r="D3642" s="10" t="n"/>
      <c r="E3642" s="14">
        <f>IF(D3642="","",IFERROR(INDEX('Sản phẩm'!$B$5:$B$304,MATCH(D3642,'Sản phẩm'!$A$5:$A$304,0)),""))</f>
        <v/>
      </c>
      <c r="F3642" s="12" t="n"/>
      <c r="G3642" s="11" t="n"/>
      <c r="H3642" s="11" t="n"/>
      <c r="I3642" s="16">
        <f>IF(D3642="","",IF(G3642&lt;&gt;"",G3642,IFERROR(INDEX('Sản phẩm'!$E$5:$E$304,MATCH(D3642,'Sản phẩm'!$A$5:$A$304,0)),"")))</f>
        <v/>
      </c>
      <c r="J3642" s="16">
        <f>IF(OR(D3642="",F3642=""),"",F3642*I3642-N(H3642))</f>
        <v/>
      </c>
      <c r="K3642" s="16">
        <f>IF(OR(D3642="",F3642=""),"",F3642*IFERROR(INDEX('Sản phẩm'!$D$5:$D$304,MATCH(D3642,'Sản phẩm'!$A$5:$A$304,0)),""))</f>
        <v/>
      </c>
      <c r="L3642" s="16">
        <f>IF(J3642="","",J3642-K3642)</f>
        <v/>
      </c>
      <c r="M3642" s="14">
        <f>IF(A3642="","",MONTH(A3642))</f>
        <v/>
      </c>
      <c r="N3642" s="14">
        <f>IF(A3642="","",YEAR(A3642))</f>
        <v/>
      </c>
    </row>
    <row r="3643">
      <c r="A3643" s="15" t="n"/>
      <c r="B3643" s="10" t="n"/>
      <c r="C3643" s="10" t="n"/>
      <c r="D3643" s="10" t="n"/>
      <c r="E3643" s="14">
        <f>IF(D3643="","",IFERROR(INDEX('Sản phẩm'!$B$5:$B$304,MATCH(D3643,'Sản phẩm'!$A$5:$A$304,0)),""))</f>
        <v/>
      </c>
      <c r="F3643" s="12" t="n"/>
      <c r="G3643" s="11" t="n"/>
      <c r="H3643" s="11" t="n"/>
      <c r="I3643" s="16">
        <f>IF(D3643="","",IF(G3643&lt;&gt;"",G3643,IFERROR(INDEX('Sản phẩm'!$E$5:$E$304,MATCH(D3643,'Sản phẩm'!$A$5:$A$304,0)),"")))</f>
        <v/>
      </c>
      <c r="J3643" s="16">
        <f>IF(OR(D3643="",F3643=""),"",F3643*I3643-N(H3643))</f>
        <v/>
      </c>
      <c r="K3643" s="16">
        <f>IF(OR(D3643="",F3643=""),"",F3643*IFERROR(INDEX('Sản phẩm'!$D$5:$D$304,MATCH(D3643,'Sản phẩm'!$A$5:$A$304,0)),""))</f>
        <v/>
      </c>
      <c r="L3643" s="16">
        <f>IF(J3643="","",J3643-K3643)</f>
        <v/>
      </c>
      <c r="M3643" s="14">
        <f>IF(A3643="","",MONTH(A3643))</f>
        <v/>
      </c>
      <c r="N3643" s="14">
        <f>IF(A3643="","",YEAR(A3643))</f>
        <v/>
      </c>
    </row>
    <row r="3644">
      <c r="A3644" s="15" t="n"/>
      <c r="B3644" s="10" t="n"/>
      <c r="C3644" s="10" t="n"/>
      <c r="D3644" s="10" t="n"/>
      <c r="E3644" s="14">
        <f>IF(D3644="","",IFERROR(INDEX('Sản phẩm'!$B$5:$B$304,MATCH(D3644,'Sản phẩm'!$A$5:$A$304,0)),""))</f>
        <v/>
      </c>
      <c r="F3644" s="12" t="n"/>
      <c r="G3644" s="11" t="n"/>
      <c r="H3644" s="11" t="n"/>
      <c r="I3644" s="16">
        <f>IF(D3644="","",IF(G3644&lt;&gt;"",G3644,IFERROR(INDEX('Sản phẩm'!$E$5:$E$304,MATCH(D3644,'Sản phẩm'!$A$5:$A$304,0)),"")))</f>
        <v/>
      </c>
      <c r="J3644" s="16">
        <f>IF(OR(D3644="",F3644=""),"",F3644*I3644-N(H3644))</f>
        <v/>
      </c>
      <c r="K3644" s="16">
        <f>IF(OR(D3644="",F3644=""),"",F3644*IFERROR(INDEX('Sản phẩm'!$D$5:$D$304,MATCH(D3644,'Sản phẩm'!$A$5:$A$304,0)),""))</f>
        <v/>
      </c>
      <c r="L3644" s="16">
        <f>IF(J3644="","",J3644-K3644)</f>
        <v/>
      </c>
      <c r="M3644" s="14">
        <f>IF(A3644="","",MONTH(A3644))</f>
        <v/>
      </c>
      <c r="N3644" s="14">
        <f>IF(A3644="","",YEAR(A3644))</f>
        <v/>
      </c>
    </row>
    <row r="3645">
      <c r="A3645" s="15" t="n"/>
      <c r="B3645" s="10" t="n"/>
      <c r="C3645" s="10" t="n"/>
      <c r="D3645" s="10" t="n"/>
      <c r="E3645" s="14">
        <f>IF(D3645="","",IFERROR(INDEX('Sản phẩm'!$B$5:$B$304,MATCH(D3645,'Sản phẩm'!$A$5:$A$304,0)),""))</f>
        <v/>
      </c>
      <c r="F3645" s="12" t="n"/>
      <c r="G3645" s="11" t="n"/>
      <c r="H3645" s="11" t="n"/>
      <c r="I3645" s="16">
        <f>IF(D3645="","",IF(G3645&lt;&gt;"",G3645,IFERROR(INDEX('Sản phẩm'!$E$5:$E$304,MATCH(D3645,'Sản phẩm'!$A$5:$A$304,0)),"")))</f>
        <v/>
      </c>
      <c r="J3645" s="16">
        <f>IF(OR(D3645="",F3645=""),"",F3645*I3645-N(H3645))</f>
        <v/>
      </c>
      <c r="K3645" s="16">
        <f>IF(OR(D3645="",F3645=""),"",F3645*IFERROR(INDEX('Sản phẩm'!$D$5:$D$304,MATCH(D3645,'Sản phẩm'!$A$5:$A$304,0)),""))</f>
        <v/>
      </c>
      <c r="L3645" s="16">
        <f>IF(J3645="","",J3645-K3645)</f>
        <v/>
      </c>
      <c r="M3645" s="14">
        <f>IF(A3645="","",MONTH(A3645))</f>
        <v/>
      </c>
      <c r="N3645" s="14">
        <f>IF(A3645="","",YEAR(A3645))</f>
        <v/>
      </c>
    </row>
    <row r="3646">
      <c r="A3646" s="15" t="n"/>
      <c r="B3646" s="10" t="n"/>
      <c r="C3646" s="10" t="n"/>
      <c r="D3646" s="10" t="n"/>
      <c r="E3646" s="14">
        <f>IF(D3646="","",IFERROR(INDEX('Sản phẩm'!$B$5:$B$304,MATCH(D3646,'Sản phẩm'!$A$5:$A$304,0)),""))</f>
        <v/>
      </c>
      <c r="F3646" s="12" t="n"/>
      <c r="G3646" s="11" t="n"/>
      <c r="H3646" s="11" t="n"/>
      <c r="I3646" s="16">
        <f>IF(D3646="","",IF(G3646&lt;&gt;"",G3646,IFERROR(INDEX('Sản phẩm'!$E$5:$E$304,MATCH(D3646,'Sản phẩm'!$A$5:$A$304,0)),"")))</f>
        <v/>
      </c>
      <c r="J3646" s="16">
        <f>IF(OR(D3646="",F3646=""),"",F3646*I3646-N(H3646))</f>
        <v/>
      </c>
      <c r="K3646" s="16">
        <f>IF(OR(D3646="",F3646=""),"",F3646*IFERROR(INDEX('Sản phẩm'!$D$5:$D$304,MATCH(D3646,'Sản phẩm'!$A$5:$A$304,0)),""))</f>
        <v/>
      </c>
      <c r="L3646" s="16">
        <f>IF(J3646="","",J3646-K3646)</f>
        <v/>
      </c>
      <c r="M3646" s="14">
        <f>IF(A3646="","",MONTH(A3646))</f>
        <v/>
      </c>
      <c r="N3646" s="14">
        <f>IF(A3646="","",YEAR(A3646))</f>
        <v/>
      </c>
    </row>
    <row r="3647">
      <c r="A3647" s="15" t="n"/>
      <c r="B3647" s="10" t="n"/>
      <c r="C3647" s="10" t="n"/>
      <c r="D3647" s="10" t="n"/>
      <c r="E3647" s="14">
        <f>IF(D3647="","",IFERROR(INDEX('Sản phẩm'!$B$5:$B$304,MATCH(D3647,'Sản phẩm'!$A$5:$A$304,0)),""))</f>
        <v/>
      </c>
      <c r="F3647" s="12" t="n"/>
      <c r="G3647" s="11" t="n"/>
      <c r="H3647" s="11" t="n"/>
      <c r="I3647" s="16">
        <f>IF(D3647="","",IF(G3647&lt;&gt;"",G3647,IFERROR(INDEX('Sản phẩm'!$E$5:$E$304,MATCH(D3647,'Sản phẩm'!$A$5:$A$304,0)),"")))</f>
        <v/>
      </c>
      <c r="J3647" s="16">
        <f>IF(OR(D3647="",F3647=""),"",F3647*I3647-N(H3647))</f>
        <v/>
      </c>
      <c r="K3647" s="16">
        <f>IF(OR(D3647="",F3647=""),"",F3647*IFERROR(INDEX('Sản phẩm'!$D$5:$D$304,MATCH(D3647,'Sản phẩm'!$A$5:$A$304,0)),""))</f>
        <v/>
      </c>
      <c r="L3647" s="16">
        <f>IF(J3647="","",J3647-K3647)</f>
        <v/>
      </c>
      <c r="M3647" s="14">
        <f>IF(A3647="","",MONTH(A3647))</f>
        <v/>
      </c>
      <c r="N3647" s="14">
        <f>IF(A3647="","",YEAR(A3647))</f>
        <v/>
      </c>
    </row>
    <row r="3648">
      <c r="A3648" s="15" t="n"/>
      <c r="B3648" s="10" t="n"/>
      <c r="C3648" s="10" t="n"/>
      <c r="D3648" s="10" t="n"/>
      <c r="E3648" s="14">
        <f>IF(D3648="","",IFERROR(INDEX('Sản phẩm'!$B$5:$B$304,MATCH(D3648,'Sản phẩm'!$A$5:$A$304,0)),""))</f>
        <v/>
      </c>
      <c r="F3648" s="12" t="n"/>
      <c r="G3648" s="11" t="n"/>
      <c r="H3648" s="11" t="n"/>
      <c r="I3648" s="16">
        <f>IF(D3648="","",IF(G3648&lt;&gt;"",G3648,IFERROR(INDEX('Sản phẩm'!$E$5:$E$304,MATCH(D3648,'Sản phẩm'!$A$5:$A$304,0)),"")))</f>
        <v/>
      </c>
      <c r="J3648" s="16">
        <f>IF(OR(D3648="",F3648=""),"",F3648*I3648-N(H3648))</f>
        <v/>
      </c>
      <c r="K3648" s="16">
        <f>IF(OR(D3648="",F3648=""),"",F3648*IFERROR(INDEX('Sản phẩm'!$D$5:$D$304,MATCH(D3648,'Sản phẩm'!$A$5:$A$304,0)),""))</f>
        <v/>
      </c>
      <c r="L3648" s="16">
        <f>IF(J3648="","",J3648-K3648)</f>
        <v/>
      </c>
      <c r="M3648" s="14">
        <f>IF(A3648="","",MONTH(A3648))</f>
        <v/>
      </c>
      <c r="N3648" s="14">
        <f>IF(A3648="","",YEAR(A3648))</f>
        <v/>
      </c>
    </row>
    <row r="3649">
      <c r="A3649" s="15" t="n"/>
      <c r="B3649" s="10" t="n"/>
      <c r="C3649" s="10" t="n"/>
      <c r="D3649" s="10" t="n"/>
      <c r="E3649" s="14">
        <f>IF(D3649="","",IFERROR(INDEX('Sản phẩm'!$B$5:$B$304,MATCH(D3649,'Sản phẩm'!$A$5:$A$304,0)),""))</f>
        <v/>
      </c>
      <c r="F3649" s="12" t="n"/>
      <c r="G3649" s="11" t="n"/>
      <c r="H3649" s="11" t="n"/>
      <c r="I3649" s="16">
        <f>IF(D3649="","",IF(G3649&lt;&gt;"",G3649,IFERROR(INDEX('Sản phẩm'!$E$5:$E$304,MATCH(D3649,'Sản phẩm'!$A$5:$A$304,0)),"")))</f>
        <v/>
      </c>
      <c r="J3649" s="16">
        <f>IF(OR(D3649="",F3649=""),"",F3649*I3649-N(H3649))</f>
        <v/>
      </c>
      <c r="K3649" s="16">
        <f>IF(OR(D3649="",F3649=""),"",F3649*IFERROR(INDEX('Sản phẩm'!$D$5:$D$304,MATCH(D3649,'Sản phẩm'!$A$5:$A$304,0)),""))</f>
        <v/>
      </c>
      <c r="L3649" s="16">
        <f>IF(J3649="","",J3649-K3649)</f>
        <v/>
      </c>
      <c r="M3649" s="14">
        <f>IF(A3649="","",MONTH(A3649))</f>
        <v/>
      </c>
      <c r="N3649" s="14">
        <f>IF(A3649="","",YEAR(A3649))</f>
        <v/>
      </c>
    </row>
    <row r="3650">
      <c r="A3650" s="15" t="n"/>
      <c r="B3650" s="10" t="n"/>
      <c r="C3650" s="10" t="n"/>
      <c r="D3650" s="10" t="n"/>
      <c r="E3650" s="14">
        <f>IF(D3650="","",IFERROR(INDEX('Sản phẩm'!$B$5:$B$304,MATCH(D3650,'Sản phẩm'!$A$5:$A$304,0)),""))</f>
        <v/>
      </c>
      <c r="F3650" s="12" t="n"/>
      <c r="G3650" s="11" t="n"/>
      <c r="H3650" s="11" t="n"/>
      <c r="I3650" s="16">
        <f>IF(D3650="","",IF(G3650&lt;&gt;"",G3650,IFERROR(INDEX('Sản phẩm'!$E$5:$E$304,MATCH(D3650,'Sản phẩm'!$A$5:$A$304,0)),"")))</f>
        <v/>
      </c>
      <c r="J3650" s="16">
        <f>IF(OR(D3650="",F3650=""),"",F3650*I3650-N(H3650))</f>
        <v/>
      </c>
      <c r="K3650" s="16">
        <f>IF(OR(D3650="",F3650=""),"",F3650*IFERROR(INDEX('Sản phẩm'!$D$5:$D$304,MATCH(D3650,'Sản phẩm'!$A$5:$A$304,0)),""))</f>
        <v/>
      </c>
      <c r="L3650" s="16">
        <f>IF(J3650="","",J3650-K3650)</f>
        <v/>
      </c>
      <c r="M3650" s="14">
        <f>IF(A3650="","",MONTH(A3650))</f>
        <v/>
      </c>
      <c r="N3650" s="14">
        <f>IF(A3650="","",YEAR(A3650))</f>
        <v/>
      </c>
    </row>
    <row r="3651">
      <c r="A3651" s="15" t="n"/>
      <c r="B3651" s="10" t="n"/>
      <c r="C3651" s="10" t="n"/>
      <c r="D3651" s="10" t="n"/>
      <c r="E3651" s="14">
        <f>IF(D3651="","",IFERROR(INDEX('Sản phẩm'!$B$5:$B$304,MATCH(D3651,'Sản phẩm'!$A$5:$A$304,0)),""))</f>
        <v/>
      </c>
      <c r="F3651" s="12" t="n"/>
      <c r="G3651" s="11" t="n"/>
      <c r="H3651" s="11" t="n"/>
      <c r="I3651" s="16">
        <f>IF(D3651="","",IF(G3651&lt;&gt;"",G3651,IFERROR(INDEX('Sản phẩm'!$E$5:$E$304,MATCH(D3651,'Sản phẩm'!$A$5:$A$304,0)),"")))</f>
        <v/>
      </c>
      <c r="J3651" s="16">
        <f>IF(OR(D3651="",F3651=""),"",F3651*I3651-N(H3651))</f>
        <v/>
      </c>
      <c r="K3651" s="16">
        <f>IF(OR(D3651="",F3651=""),"",F3651*IFERROR(INDEX('Sản phẩm'!$D$5:$D$304,MATCH(D3651,'Sản phẩm'!$A$5:$A$304,0)),""))</f>
        <v/>
      </c>
      <c r="L3651" s="16">
        <f>IF(J3651="","",J3651-K3651)</f>
        <v/>
      </c>
      <c r="M3651" s="14">
        <f>IF(A3651="","",MONTH(A3651))</f>
        <v/>
      </c>
      <c r="N3651" s="14">
        <f>IF(A3651="","",YEAR(A3651))</f>
        <v/>
      </c>
    </row>
    <row r="3652">
      <c r="A3652" s="15" t="n"/>
      <c r="B3652" s="10" t="n"/>
      <c r="C3652" s="10" t="n"/>
      <c r="D3652" s="10" t="n"/>
      <c r="E3652" s="14">
        <f>IF(D3652="","",IFERROR(INDEX('Sản phẩm'!$B$5:$B$304,MATCH(D3652,'Sản phẩm'!$A$5:$A$304,0)),""))</f>
        <v/>
      </c>
      <c r="F3652" s="12" t="n"/>
      <c r="G3652" s="11" t="n"/>
      <c r="H3652" s="11" t="n"/>
      <c r="I3652" s="16">
        <f>IF(D3652="","",IF(G3652&lt;&gt;"",G3652,IFERROR(INDEX('Sản phẩm'!$E$5:$E$304,MATCH(D3652,'Sản phẩm'!$A$5:$A$304,0)),"")))</f>
        <v/>
      </c>
      <c r="J3652" s="16">
        <f>IF(OR(D3652="",F3652=""),"",F3652*I3652-N(H3652))</f>
        <v/>
      </c>
      <c r="K3652" s="16">
        <f>IF(OR(D3652="",F3652=""),"",F3652*IFERROR(INDEX('Sản phẩm'!$D$5:$D$304,MATCH(D3652,'Sản phẩm'!$A$5:$A$304,0)),""))</f>
        <v/>
      </c>
      <c r="L3652" s="16">
        <f>IF(J3652="","",J3652-K3652)</f>
        <v/>
      </c>
      <c r="M3652" s="14">
        <f>IF(A3652="","",MONTH(A3652))</f>
        <v/>
      </c>
      <c r="N3652" s="14">
        <f>IF(A3652="","",YEAR(A3652))</f>
        <v/>
      </c>
    </row>
    <row r="3653">
      <c r="A3653" s="15" t="n"/>
      <c r="B3653" s="10" t="n"/>
      <c r="C3653" s="10" t="n"/>
      <c r="D3653" s="10" t="n"/>
      <c r="E3653" s="14">
        <f>IF(D3653="","",IFERROR(INDEX('Sản phẩm'!$B$5:$B$304,MATCH(D3653,'Sản phẩm'!$A$5:$A$304,0)),""))</f>
        <v/>
      </c>
      <c r="F3653" s="12" t="n"/>
      <c r="G3653" s="11" t="n"/>
      <c r="H3653" s="11" t="n"/>
      <c r="I3653" s="16">
        <f>IF(D3653="","",IF(G3653&lt;&gt;"",G3653,IFERROR(INDEX('Sản phẩm'!$E$5:$E$304,MATCH(D3653,'Sản phẩm'!$A$5:$A$304,0)),"")))</f>
        <v/>
      </c>
      <c r="J3653" s="16">
        <f>IF(OR(D3653="",F3653=""),"",F3653*I3653-N(H3653))</f>
        <v/>
      </c>
      <c r="K3653" s="16">
        <f>IF(OR(D3653="",F3653=""),"",F3653*IFERROR(INDEX('Sản phẩm'!$D$5:$D$304,MATCH(D3653,'Sản phẩm'!$A$5:$A$304,0)),""))</f>
        <v/>
      </c>
      <c r="L3653" s="16">
        <f>IF(J3653="","",J3653-K3653)</f>
        <v/>
      </c>
      <c r="M3653" s="14">
        <f>IF(A3653="","",MONTH(A3653))</f>
        <v/>
      </c>
      <c r="N3653" s="14">
        <f>IF(A3653="","",YEAR(A3653))</f>
        <v/>
      </c>
    </row>
    <row r="3654">
      <c r="A3654" s="15" t="n"/>
      <c r="B3654" s="10" t="n"/>
      <c r="C3654" s="10" t="n"/>
      <c r="D3654" s="10" t="n"/>
      <c r="E3654" s="14">
        <f>IF(D3654="","",IFERROR(INDEX('Sản phẩm'!$B$5:$B$304,MATCH(D3654,'Sản phẩm'!$A$5:$A$304,0)),""))</f>
        <v/>
      </c>
      <c r="F3654" s="12" t="n"/>
      <c r="G3654" s="11" t="n"/>
      <c r="H3654" s="11" t="n"/>
      <c r="I3654" s="16">
        <f>IF(D3654="","",IF(G3654&lt;&gt;"",G3654,IFERROR(INDEX('Sản phẩm'!$E$5:$E$304,MATCH(D3654,'Sản phẩm'!$A$5:$A$304,0)),"")))</f>
        <v/>
      </c>
      <c r="J3654" s="16">
        <f>IF(OR(D3654="",F3654=""),"",F3654*I3654-N(H3654))</f>
        <v/>
      </c>
      <c r="K3654" s="16">
        <f>IF(OR(D3654="",F3654=""),"",F3654*IFERROR(INDEX('Sản phẩm'!$D$5:$D$304,MATCH(D3654,'Sản phẩm'!$A$5:$A$304,0)),""))</f>
        <v/>
      </c>
      <c r="L3654" s="16">
        <f>IF(J3654="","",J3654-K3654)</f>
        <v/>
      </c>
      <c r="M3654" s="14">
        <f>IF(A3654="","",MONTH(A3654))</f>
        <v/>
      </c>
      <c r="N3654" s="14">
        <f>IF(A3654="","",YEAR(A3654))</f>
        <v/>
      </c>
    </row>
    <row r="3655">
      <c r="A3655" s="15" t="n"/>
      <c r="B3655" s="10" t="n"/>
      <c r="C3655" s="10" t="n"/>
      <c r="D3655" s="10" t="n"/>
      <c r="E3655" s="14">
        <f>IF(D3655="","",IFERROR(INDEX('Sản phẩm'!$B$5:$B$304,MATCH(D3655,'Sản phẩm'!$A$5:$A$304,0)),""))</f>
        <v/>
      </c>
      <c r="F3655" s="12" t="n"/>
      <c r="G3655" s="11" t="n"/>
      <c r="H3655" s="11" t="n"/>
      <c r="I3655" s="16">
        <f>IF(D3655="","",IF(G3655&lt;&gt;"",G3655,IFERROR(INDEX('Sản phẩm'!$E$5:$E$304,MATCH(D3655,'Sản phẩm'!$A$5:$A$304,0)),"")))</f>
        <v/>
      </c>
      <c r="J3655" s="16">
        <f>IF(OR(D3655="",F3655=""),"",F3655*I3655-N(H3655))</f>
        <v/>
      </c>
      <c r="K3655" s="16">
        <f>IF(OR(D3655="",F3655=""),"",F3655*IFERROR(INDEX('Sản phẩm'!$D$5:$D$304,MATCH(D3655,'Sản phẩm'!$A$5:$A$304,0)),""))</f>
        <v/>
      </c>
      <c r="L3655" s="16">
        <f>IF(J3655="","",J3655-K3655)</f>
        <v/>
      </c>
      <c r="M3655" s="14">
        <f>IF(A3655="","",MONTH(A3655))</f>
        <v/>
      </c>
      <c r="N3655" s="14">
        <f>IF(A3655="","",YEAR(A3655))</f>
        <v/>
      </c>
    </row>
    <row r="3656">
      <c r="A3656" s="15" t="n"/>
      <c r="B3656" s="10" t="n"/>
      <c r="C3656" s="10" t="n"/>
      <c r="D3656" s="10" t="n"/>
      <c r="E3656" s="14">
        <f>IF(D3656="","",IFERROR(INDEX('Sản phẩm'!$B$5:$B$304,MATCH(D3656,'Sản phẩm'!$A$5:$A$304,0)),""))</f>
        <v/>
      </c>
      <c r="F3656" s="12" t="n"/>
      <c r="G3656" s="11" t="n"/>
      <c r="H3656" s="11" t="n"/>
      <c r="I3656" s="16">
        <f>IF(D3656="","",IF(G3656&lt;&gt;"",G3656,IFERROR(INDEX('Sản phẩm'!$E$5:$E$304,MATCH(D3656,'Sản phẩm'!$A$5:$A$304,0)),"")))</f>
        <v/>
      </c>
      <c r="J3656" s="16">
        <f>IF(OR(D3656="",F3656=""),"",F3656*I3656-N(H3656))</f>
        <v/>
      </c>
      <c r="K3656" s="16">
        <f>IF(OR(D3656="",F3656=""),"",F3656*IFERROR(INDEX('Sản phẩm'!$D$5:$D$304,MATCH(D3656,'Sản phẩm'!$A$5:$A$304,0)),""))</f>
        <v/>
      </c>
      <c r="L3656" s="16">
        <f>IF(J3656="","",J3656-K3656)</f>
        <v/>
      </c>
      <c r="M3656" s="14">
        <f>IF(A3656="","",MONTH(A3656))</f>
        <v/>
      </c>
      <c r="N3656" s="14">
        <f>IF(A3656="","",YEAR(A3656))</f>
        <v/>
      </c>
    </row>
    <row r="3657">
      <c r="A3657" s="15" t="n"/>
      <c r="B3657" s="10" t="n"/>
      <c r="C3657" s="10" t="n"/>
      <c r="D3657" s="10" t="n"/>
      <c r="E3657" s="14">
        <f>IF(D3657="","",IFERROR(INDEX('Sản phẩm'!$B$5:$B$304,MATCH(D3657,'Sản phẩm'!$A$5:$A$304,0)),""))</f>
        <v/>
      </c>
      <c r="F3657" s="12" t="n"/>
      <c r="G3657" s="11" t="n"/>
      <c r="H3657" s="11" t="n"/>
      <c r="I3657" s="16">
        <f>IF(D3657="","",IF(G3657&lt;&gt;"",G3657,IFERROR(INDEX('Sản phẩm'!$E$5:$E$304,MATCH(D3657,'Sản phẩm'!$A$5:$A$304,0)),"")))</f>
        <v/>
      </c>
      <c r="J3657" s="16">
        <f>IF(OR(D3657="",F3657=""),"",F3657*I3657-N(H3657))</f>
        <v/>
      </c>
      <c r="K3657" s="16">
        <f>IF(OR(D3657="",F3657=""),"",F3657*IFERROR(INDEX('Sản phẩm'!$D$5:$D$304,MATCH(D3657,'Sản phẩm'!$A$5:$A$304,0)),""))</f>
        <v/>
      </c>
      <c r="L3657" s="16">
        <f>IF(J3657="","",J3657-K3657)</f>
        <v/>
      </c>
      <c r="M3657" s="14">
        <f>IF(A3657="","",MONTH(A3657))</f>
        <v/>
      </c>
      <c r="N3657" s="14">
        <f>IF(A3657="","",YEAR(A3657))</f>
        <v/>
      </c>
    </row>
    <row r="3658">
      <c r="A3658" s="15" t="n"/>
      <c r="B3658" s="10" t="n"/>
      <c r="C3658" s="10" t="n"/>
      <c r="D3658" s="10" t="n"/>
      <c r="E3658" s="14">
        <f>IF(D3658="","",IFERROR(INDEX('Sản phẩm'!$B$5:$B$304,MATCH(D3658,'Sản phẩm'!$A$5:$A$304,0)),""))</f>
        <v/>
      </c>
      <c r="F3658" s="12" t="n"/>
      <c r="G3658" s="11" t="n"/>
      <c r="H3658" s="11" t="n"/>
      <c r="I3658" s="16">
        <f>IF(D3658="","",IF(G3658&lt;&gt;"",G3658,IFERROR(INDEX('Sản phẩm'!$E$5:$E$304,MATCH(D3658,'Sản phẩm'!$A$5:$A$304,0)),"")))</f>
        <v/>
      </c>
      <c r="J3658" s="16">
        <f>IF(OR(D3658="",F3658=""),"",F3658*I3658-N(H3658))</f>
        <v/>
      </c>
      <c r="K3658" s="16">
        <f>IF(OR(D3658="",F3658=""),"",F3658*IFERROR(INDEX('Sản phẩm'!$D$5:$D$304,MATCH(D3658,'Sản phẩm'!$A$5:$A$304,0)),""))</f>
        <v/>
      </c>
      <c r="L3658" s="16">
        <f>IF(J3658="","",J3658-K3658)</f>
        <v/>
      </c>
      <c r="M3658" s="14">
        <f>IF(A3658="","",MONTH(A3658))</f>
        <v/>
      </c>
      <c r="N3658" s="14">
        <f>IF(A3658="","",YEAR(A3658))</f>
        <v/>
      </c>
    </row>
    <row r="3659">
      <c r="A3659" s="15" t="n"/>
      <c r="B3659" s="10" t="n"/>
      <c r="C3659" s="10" t="n"/>
      <c r="D3659" s="10" t="n"/>
      <c r="E3659" s="14">
        <f>IF(D3659="","",IFERROR(INDEX('Sản phẩm'!$B$5:$B$304,MATCH(D3659,'Sản phẩm'!$A$5:$A$304,0)),""))</f>
        <v/>
      </c>
      <c r="F3659" s="12" t="n"/>
      <c r="G3659" s="11" t="n"/>
      <c r="H3659" s="11" t="n"/>
      <c r="I3659" s="16">
        <f>IF(D3659="","",IF(G3659&lt;&gt;"",G3659,IFERROR(INDEX('Sản phẩm'!$E$5:$E$304,MATCH(D3659,'Sản phẩm'!$A$5:$A$304,0)),"")))</f>
        <v/>
      </c>
      <c r="J3659" s="16">
        <f>IF(OR(D3659="",F3659=""),"",F3659*I3659-N(H3659))</f>
        <v/>
      </c>
      <c r="K3659" s="16">
        <f>IF(OR(D3659="",F3659=""),"",F3659*IFERROR(INDEX('Sản phẩm'!$D$5:$D$304,MATCH(D3659,'Sản phẩm'!$A$5:$A$304,0)),""))</f>
        <v/>
      </c>
      <c r="L3659" s="16">
        <f>IF(J3659="","",J3659-K3659)</f>
        <v/>
      </c>
      <c r="M3659" s="14">
        <f>IF(A3659="","",MONTH(A3659))</f>
        <v/>
      </c>
      <c r="N3659" s="14">
        <f>IF(A3659="","",YEAR(A3659))</f>
        <v/>
      </c>
    </row>
    <row r="3660">
      <c r="A3660" s="15" t="n"/>
      <c r="B3660" s="10" t="n"/>
      <c r="C3660" s="10" t="n"/>
      <c r="D3660" s="10" t="n"/>
      <c r="E3660" s="14">
        <f>IF(D3660="","",IFERROR(INDEX('Sản phẩm'!$B$5:$B$304,MATCH(D3660,'Sản phẩm'!$A$5:$A$304,0)),""))</f>
        <v/>
      </c>
      <c r="F3660" s="12" t="n"/>
      <c r="G3660" s="11" t="n"/>
      <c r="H3660" s="11" t="n"/>
      <c r="I3660" s="16">
        <f>IF(D3660="","",IF(G3660&lt;&gt;"",G3660,IFERROR(INDEX('Sản phẩm'!$E$5:$E$304,MATCH(D3660,'Sản phẩm'!$A$5:$A$304,0)),"")))</f>
        <v/>
      </c>
      <c r="J3660" s="16">
        <f>IF(OR(D3660="",F3660=""),"",F3660*I3660-N(H3660))</f>
        <v/>
      </c>
      <c r="K3660" s="16">
        <f>IF(OR(D3660="",F3660=""),"",F3660*IFERROR(INDEX('Sản phẩm'!$D$5:$D$304,MATCH(D3660,'Sản phẩm'!$A$5:$A$304,0)),""))</f>
        <v/>
      </c>
      <c r="L3660" s="16">
        <f>IF(J3660="","",J3660-K3660)</f>
        <v/>
      </c>
      <c r="M3660" s="14">
        <f>IF(A3660="","",MONTH(A3660))</f>
        <v/>
      </c>
      <c r="N3660" s="14">
        <f>IF(A3660="","",YEAR(A3660))</f>
        <v/>
      </c>
    </row>
    <row r="3661">
      <c r="A3661" s="15" t="n"/>
      <c r="B3661" s="10" t="n"/>
      <c r="C3661" s="10" t="n"/>
      <c r="D3661" s="10" t="n"/>
      <c r="E3661" s="14">
        <f>IF(D3661="","",IFERROR(INDEX('Sản phẩm'!$B$5:$B$304,MATCH(D3661,'Sản phẩm'!$A$5:$A$304,0)),""))</f>
        <v/>
      </c>
      <c r="F3661" s="12" t="n"/>
      <c r="G3661" s="11" t="n"/>
      <c r="H3661" s="11" t="n"/>
      <c r="I3661" s="16">
        <f>IF(D3661="","",IF(G3661&lt;&gt;"",G3661,IFERROR(INDEX('Sản phẩm'!$E$5:$E$304,MATCH(D3661,'Sản phẩm'!$A$5:$A$304,0)),"")))</f>
        <v/>
      </c>
      <c r="J3661" s="16">
        <f>IF(OR(D3661="",F3661=""),"",F3661*I3661-N(H3661))</f>
        <v/>
      </c>
      <c r="K3661" s="16">
        <f>IF(OR(D3661="",F3661=""),"",F3661*IFERROR(INDEX('Sản phẩm'!$D$5:$D$304,MATCH(D3661,'Sản phẩm'!$A$5:$A$304,0)),""))</f>
        <v/>
      </c>
      <c r="L3661" s="16">
        <f>IF(J3661="","",J3661-K3661)</f>
        <v/>
      </c>
      <c r="M3661" s="14">
        <f>IF(A3661="","",MONTH(A3661))</f>
        <v/>
      </c>
      <c r="N3661" s="14">
        <f>IF(A3661="","",YEAR(A3661))</f>
        <v/>
      </c>
    </row>
    <row r="3662">
      <c r="A3662" s="15" t="n"/>
      <c r="B3662" s="10" t="n"/>
      <c r="C3662" s="10" t="n"/>
      <c r="D3662" s="10" t="n"/>
      <c r="E3662" s="14">
        <f>IF(D3662="","",IFERROR(INDEX('Sản phẩm'!$B$5:$B$304,MATCH(D3662,'Sản phẩm'!$A$5:$A$304,0)),""))</f>
        <v/>
      </c>
      <c r="F3662" s="12" t="n"/>
      <c r="G3662" s="11" t="n"/>
      <c r="H3662" s="11" t="n"/>
      <c r="I3662" s="16">
        <f>IF(D3662="","",IF(G3662&lt;&gt;"",G3662,IFERROR(INDEX('Sản phẩm'!$E$5:$E$304,MATCH(D3662,'Sản phẩm'!$A$5:$A$304,0)),"")))</f>
        <v/>
      </c>
      <c r="J3662" s="16">
        <f>IF(OR(D3662="",F3662=""),"",F3662*I3662-N(H3662))</f>
        <v/>
      </c>
      <c r="K3662" s="16">
        <f>IF(OR(D3662="",F3662=""),"",F3662*IFERROR(INDEX('Sản phẩm'!$D$5:$D$304,MATCH(D3662,'Sản phẩm'!$A$5:$A$304,0)),""))</f>
        <v/>
      </c>
      <c r="L3662" s="16">
        <f>IF(J3662="","",J3662-K3662)</f>
        <v/>
      </c>
      <c r="M3662" s="14">
        <f>IF(A3662="","",MONTH(A3662))</f>
        <v/>
      </c>
      <c r="N3662" s="14">
        <f>IF(A3662="","",YEAR(A3662))</f>
        <v/>
      </c>
    </row>
    <row r="3663">
      <c r="A3663" s="15" t="n"/>
      <c r="B3663" s="10" t="n"/>
      <c r="C3663" s="10" t="n"/>
      <c r="D3663" s="10" t="n"/>
      <c r="E3663" s="14">
        <f>IF(D3663="","",IFERROR(INDEX('Sản phẩm'!$B$5:$B$304,MATCH(D3663,'Sản phẩm'!$A$5:$A$304,0)),""))</f>
        <v/>
      </c>
      <c r="F3663" s="12" t="n"/>
      <c r="G3663" s="11" t="n"/>
      <c r="H3663" s="11" t="n"/>
      <c r="I3663" s="16">
        <f>IF(D3663="","",IF(G3663&lt;&gt;"",G3663,IFERROR(INDEX('Sản phẩm'!$E$5:$E$304,MATCH(D3663,'Sản phẩm'!$A$5:$A$304,0)),"")))</f>
        <v/>
      </c>
      <c r="J3663" s="16">
        <f>IF(OR(D3663="",F3663=""),"",F3663*I3663-N(H3663))</f>
        <v/>
      </c>
      <c r="K3663" s="16">
        <f>IF(OR(D3663="",F3663=""),"",F3663*IFERROR(INDEX('Sản phẩm'!$D$5:$D$304,MATCH(D3663,'Sản phẩm'!$A$5:$A$304,0)),""))</f>
        <v/>
      </c>
      <c r="L3663" s="16">
        <f>IF(J3663="","",J3663-K3663)</f>
        <v/>
      </c>
      <c r="M3663" s="14">
        <f>IF(A3663="","",MONTH(A3663))</f>
        <v/>
      </c>
      <c r="N3663" s="14">
        <f>IF(A3663="","",YEAR(A3663))</f>
        <v/>
      </c>
    </row>
    <row r="3664">
      <c r="A3664" s="15" t="n"/>
      <c r="B3664" s="10" t="n"/>
      <c r="C3664" s="10" t="n"/>
      <c r="D3664" s="10" t="n"/>
      <c r="E3664" s="14">
        <f>IF(D3664="","",IFERROR(INDEX('Sản phẩm'!$B$5:$B$304,MATCH(D3664,'Sản phẩm'!$A$5:$A$304,0)),""))</f>
        <v/>
      </c>
      <c r="F3664" s="12" t="n"/>
      <c r="G3664" s="11" t="n"/>
      <c r="H3664" s="11" t="n"/>
      <c r="I3664" s="16">
        <f>IF(D3664="","",IF(G3664&lt;&gt;"",G3664,IFERROR(INDEX('Sản phẩm'!$E$5:$E$304,MATCH(D3664,'Sản phẩm'!$A$5:$A$304,0)),"")))</f>
        <v/>
      </c>
      <c r="J3664" s="16">
        <f>IF(OR(D3664="",F3664=""),"",F3664*I3664-N(H3664))</f>
        <v/>
      </c>
      <c r="K3664" s="16">
        <f>IF(OR(D3664="",F3664=""),"",F3664*IFERROR(INDEX('Sản phẩm'!$D$5:$D$304,MATCH(D3664,'Sản phẩm'!$A$5:$A$304,0)),""))</f>
        <v/>
      </c>
      <c r="L3664" s="16">
        <f>IF(J3664="","",J3664-K3664)</f>
        <v/>
      </c>
      <c r="M3664" s="14">
        <f>IF(A3664="","",MONTH(A3664))</f>
        <v/>
      </c>
      <c r="N3664" s="14">
        <f>IF(A3664="","",YEAR(A3664))</f>
        <v/>
      </c>
    </row>
    <row r="3665">
      <c r="A3665" s="15" t="n"/>
      <c r="B3665" s="10" t="n"/>
      <c r="C3665" s="10" t="n"/>
      <c r="D3665" s="10" t="n"/>
      <c r="E3665" s="14">
        <f>IF(D3665="","",IFERROR(INDEX('Sản phẩm'!$B$5:$B$304,MATCH(D3665,'Sản phẩm'!$A$5:$A$304,0)),""))</f>
        <v/>
      </c>
      <c r="F3665" s="12" t="n"/>
      <c r="G3665" s="11" t="n"/>
      <c r="H3665" s="11" t="n"/>
      <c r="I3665" s="16">
        <f>IF(D3665="","",IF(G3665&lt;&gt;"",G3665,IFERROR(INDEX('Sản phẩm'!$E$5:$E$304,MATCH(D3665,'Sản phẩm'!$A$5:$A$304,0)),"")))</f>
        <v/>
      </c>
      <c r="J3665" s="16">
        <f>IF(OR(D3665="",F3665=""),"",F3665*I3665-N(H3665))</f>
        <v/>
      </c>
      <c r="K3665" s="16">
        <f>IF(OR(D3665="",F3665=""),"",F3665*IFERROR(INDEX('Sản phẩm'!$D$5:$D$304,MATCH(D3665,'Sản phẩm'!$A$5:$A$304,0)),""))</f>
        <v/>
      </c>
      <c r="L3665" s="16">
        <f>IF(J3665="","",J3665-K3665)</f>
        <v/>
      </c>
      <c r="M3665" s="14">
        <f>IF(A3665="","",MONTH(A3665))</f>
        <v/>
      </c>
      <c r="N3665" s="14">
        <f>IF(A3665="","",YEAR(A3665))</f>
        <v/>
      </c>
    </row>
    <row r="3666">
      <c r="A3666" s="15" t="n"/>
      <c r="B3666" s="10" t="n"/>
      <c r="C3666" s="10" t="n"/>
      <c r="D3666" s="10" t="n"/>
      <c r="E3666" s="14">
        <f>IF(D3666="","",IFERROR(INDEX('Sản phẩm'!$B$5:$B$304,MATCH(D3666,'Sản phẩm'!$A$5:$A$304,0)),""))</f>
        <v/>
      </c>
      <c r="F3666" s="12" t="n"/>
      <c r="G3666" s="11" t="n"/>
      <c r="H3666" s="11" t="n"/>
      <c r="I3666" s="16">
        <f>IF(D3666="","",IF(G3666&lt;&gt;"",G3666,IFERROR(INDEX('Sản phẩm'!$E$5:$E$304,MATCH(D3666,'Sản phẩm'!$A$5:$A$304,0)),"")))</f>
        <v/>
      </c>
      <c r="J3666" s="16">
        <f>IF(OR(D3666="",F3666=""),"",F3666*I3666-N(H3666))</f>
        <v/>
      </c>
      <c r="K3666" s="16">
        <f>IF(OR(D3666="",F3666=""),"",F3666*IFERROR(INDEX('Sản phẩm'!$D$5:$D$304,MATCH(D3666,'Sản phẩm'!$A$5:$A$304,0)),""))</f>
        <v/>
      </c>
      <c r="L3666" s="16">
        <f>IF(J3666="","",J3666-K3666)</f>
        <v/>
      </c>
      <c r="M3666" s="14">
        <f>IF(A3666="","",MONTH(A3666))</f>
        <v/>
      </c>
      <c r="N3666" s="14">
        <f>IF(A3666="","",YEAR(A3666))</f>
        <v/>
      </c>
    </row>
    <row r="3667">
      <c r="A3667" s="15" t="n"/>
      <c r="B3667" s="10" t="n"/>
      <c r="C3667" s="10" t="n"/>
      <c r="D3667" s="10" t="n"/>
      <c r="E3667" s="14">
        <f>IF(D3667="","",IFERROR(INDEX('Sản phẩm'!$B$5:$B$304,MATCH(D3667,'Sản phẩm'!$A$5:$A$304,0)),""))</f>
        <v/>
      </c>
      <c r="F3667" s="12" t="n"/>
      <c r="G3667" s="11" t="n"/>
      <c r="H3667" s="11" t="n"/>
      <c r="I3667" s="16">
        <f>IF(D3667="","",IF(G3667&lt;&gt;"",G3667,IFERROR(INDEX('Sản phẩm'!$E$5:$E$304,MATCH(D3667,'Sản phẩm'!$A$5:$A$304,0)),"")))</f>
        <v/>
      </c>
      <c r="J3667" s="16">
        <f>IF(OR(D3667="",F3667=""),"",F3667*I3667-N(H3667))</f>
        <v/>
      </c>
      <c r="K3667" s="16">
        <f>IF(OR(D3667="",F3667=""),"",F3667*IFERROR(INDEX('Sản phẩm'!$D$5:$D$304,MATCH(D3667,'Sản phẩm'!$A$5:$A$304,0)),""))</f>
        <v/>
      </c>
      <c r="L3667" s="16">
        <f>IF(J3667="","",J3667-K3667)</f>
        <v/>
      </c>
      <c r="M3667" s="14">
        <f>IF(A3667="","",MONTH(A3667))</f>
        <v/>
      </c>
      <c r="N3667" s="14">
        <f>IF(A3667="","",YEAR(A3667))</f>
        <v/>
      </c>
    </row>
    <row r="3668">
      <c r="A3668" s="15" t="n"/>
      <c r="B3668" s="10" t="n"/>
      <c r="C3668" s="10" t="n"/>
      <c r="D3668" s="10" t="n"/>
      <c r="E3668" s="14">
        <f>IF(D3668="","",IFERROR(INDEX('Sản phẩm'!$B$5:$B$304,MATCH(D3668,'Sản phẩm'!$A$5:$A$304,0)),""))</f>
        <v/>
      </c>
      <c r="F3668" s="12" t="n"/>
      <c r="G3668" s="11" t="n"/>
      <c r="H3668" s="11" t="n"/>
      <c r="I3668" s="16">
        <f>IF(D3668="","",IF(G3668&lt;&gt;"",G3668,IFERROR(INDEX('Sản phẩm'!$E$5:$E$304,MATCH(D3668,'Sản phẩm'!$A$5:$A$304,0)),"")))</f>
        <v/>
      </c>
      <c r="J3668" s="16">
        <f>IF(OR(D3668="",F3668=""),"",F3668*I3668-N(H3668))</f>
        <v/>
      </c>
      <c r="K3668" s="16">
        <f>IF(OR(D3668="",F3668=""),"",F3668*IFERROR(INDEX('Sản phẩm'!$D$5:$D$304,MATCH(D3668,'Sản phẩm'!$A$5:$A$304,0)),""))</f>
        <v/>
      </c>
      <c r="L3668" s="16">
        <f>IF(J3668="","",J3668-K3668)</f>
        <v/>
      </c>
      <c r="M3668" s="14">
        <f>IF(A3668="","",MONTH(A3668))</f>
        <v/>
      </c>
      <c r="N3668" s="14">
        <f>IF(A3668="","",YEAR(A3668))</f>
        <v/>
      </c>
    </row>
    <row r="3669">
      <c r="A3669" s="15" t="n"/>
      <c r="B3669" s="10" t="n"/>
      <c r="C3669" s="10" t="n"/>
      <c r="D3669" s="10" t="n"/>
      <c r="E3669" s="14">
        <f>IF(D3669="","",IFERROR(INDEX('Sản phẩm'!$B$5:$B$304,MATCH(D3669,'Sản phẩm'!$A$5:$A$304,0)),""))</f>
        <v/>
      </c>
      <c r="F3669" s="12" t="n"/>
      <c r="G3669" s="11" t="n"/>
      <c r="H3669" s="11" t="n"/>
      <c r="I3669" s="16">
        <f>IF(D3669="","",IF(G3669&lt;&gt;"",G3669,IFERROR(INDEX('Sản phẩm'!$E$5:$E$304,MATCH(D3669,'Sản phẩm'!$A$5:$A$304,0)),"")))</f>
        <v/>
      </c>
      <c r="J3669" s="16">
        <f>IF(OR(D3669="",F3669=""),"",F3669*I3669-N(H3669))</f>
        <v/>
      </c>
      <c r="K3669" s="16">
        <f>IF(OR(D3669="",F3669=""),"",F3669*IFERROR(INDEX('Sản phẩm'!$D$5:$D$304,MATCH(D3669,'Sản phẩm'!$A$5:$A$304,0)),""))</f>
        <v/>
      </c>
      <c r="L3669" s="16">
        <f>IF(J3669="","",J3669-K3669)</f>
        <v/>
      </c>
      <c r="M3669" s="14">
        <f>IF(A3669="","",MONTH(A3669))</f>
        <v/>
      </c>
      <c r="N3669" s="14">
        <f>IF(A3669="","",YEAR(A3669))</f>
        <v/>
      </c>
    </row>
    <row r="3670">
      <c r="A3670" s="15" t="n"/>
      <c r="B3670" s="10" t="n"/>
      <c r="C3670" s="10" t="n"/>
      <c r="D3670" s="10" t="n"/>
      <c r="E3670" s="14">
        <f>IF(D3670="","",IFERROR(INDEX('Sản phẩm'!$B$5:$B$304,MATCH(D3670,'Sản phẩm'!$A$5:$A$304,0)),""))</f>
        <v/>
      </c>
      <c r="F3670" s="12" t="n"/>
      <c r="G3670" s="11" t="n"/>
      <c r="H3670" s="11" t="n"/>
      <c r="I3670" s="16">
        <f>IF(D3670="","",IF(G3670&lt;&gt;"",G3670,IFERROR(INDEX('Sản phẩm'!$E$5:$E$304,MATCH(D3670,'Sản phẩm'!$A$5:$A$304,0)),"")))</f>
        <v/>
      </c>
      <c r="J3670" s="16">
        <f>IF(OR(D3670="",F3670=""),"",F3670*I3670-N(H3670))</f>
        <v/>
      </c>
      <c r="K3670" s="16">
        <f>IF(OR(D3670="",F3670=""),"",F3670*IFERROR(INDEX('Sản phẩm'!$D$5:$D$304,MATCH(D3670,'Sản phẩm'!$A$5:$A$304,0)),""))</f>
        <v/>
      </c>
      <c r="L3670" s="16">
        <f>IF(J3670="","",J3670-K3670)</f>
        <v/>
      </c>
      <c r="M3670" s="14">
        <f>IF(A3670="","",MONTH(A3670))</f>
        <v/>
      </c>
      <c r="N3670" s="14">
        <f>IF(A3670="","",YEAR(A3670))</f>
        <v/>
      </c>
    </row>
    <row r="3671">
      <c r="A3671" s="15" t="n"/>
      <c r="B3671" s="10" t="n"/>
      <c r="C3671" s="10" t="n"/>
      <c r="D3671" s="10" t="n"/>
      <c r="E3671" s="14">
        <f>IF(D3671="","",IFERROR(INDEX('Sản phẩm'!$B$5:$B$304,MATCH(D3671,'Sản phẩm'!$A$5:$A$304,0)),""))</f>
        <v/>
      </c>
      <c r="F3671" s="12" t="n"/>
      <c r="G3671" s="11" t="n"/>
      <c r="H3671" s="11" t="n"/>
      <c r="I3671" s="16">
        <f>IF(D3671="","",IF(G3671&lt;&gt;"",G3671,IFERROR(INDEX('Sản phẩm'!$E$5:$E$304,MATCH(D3671,'Sản phẩm'!$A$5:$A$304,0)),"")))</f>
        <v/>
      </c>
      <c r="J3671" s="16">
        <f>IF(OR(D3671="",F3671=""),"",F3671*I3671-N(H3671))</f>
        <v/>
      </c>
      <c r="K3671" s="16">
        <f>IF(OR(D3671="",F3671=""),"",F3671*IFERROR(INDEX('Sản phẩm'!$D$5:$D$304,MATCH(D3671,'Sản phẩm'!$A$5:$A$304,0)),""))</f>
        <v/>
      </c>
      <c r="L3671" s="16">
        <f>IF(J3671="","",J3671-K3671)</f>
        <v/>
      </c>
      <c r="M3671" s="14">
        <f>IF(A3671="","",MONTH(A3671))</f>
        <v/>
      </c>
      <c r="N3671" s="14">
        <f>IF(A3671="","",YEAR(A3671))</f>
        <v/>
      </c>
    </row>
    <row r="3672">
      <c r="A3672" s="15" t="n"/>
      <c r="B3672" s="10" t="n"/>
      <c r="C3672" s="10" t="n"/>
      <c r="D3672" s="10" t="n"/>
      <c r="E3672" s="14">
        <f>IF(D3672="","",IFERROR(INDEX('Sản phẩm'!$B$5:$B$304,MATCH(D3672,'Sản phẩm'!$A$5:$A$304,0)),""))</f>
        <v/>
      </c>
      <c r="F3672" s="12" t="n"/>
      <c r="G3672" s="11" t="n"/>
      <c r="H3672" s="11" t="n"/>
      <c r="I3672" s="16">
        <f>IF(D3672="","",IF(G3672&lt;&gt;"",G3672,IFERROR(INDEX('Sản phẩm'!$E$5:$E$304,MATCH(D3672,'Sản phẩm'!$A$5:$A$304,0)),"")))</f>
        <v/>
      </c>
      <c r="J3672" s="16">
        <f>IF(OR(D3672="",F3672=""),"",F3672*I3672-N(H3672))</f>
        <v/>
      </c>
      <c r="K3672" s="16">
        <f>IF(OR(D3672="",F3672=""),"",F3672*IFERROR(INDEX('Sản phẩm'!$D$5:$D$304,MATCH(D3672,'Sản phẩm'!$A$5:$A$304,0)),""))</f>
        <v/>
      </c>
      <c r="L3672" s="16">
        <f>IF(J3672="","",J3672-K3672)</f>
        <v/>
      </c>
      <c r="M3672" s="14">
        <f>IF(A3672="","",MONTH(A3672))</f>
        <v/>
      </c>
      <c r="N3672" s="14">
        <f>IF(A3672="","",YEAR(A3672))</f>
        <v/>
      </c>
    </row>
    <row r="3673">
      <c r="A3673" s="15" t="n"/>
      <c r="B3673" s="10" t="n"/>
      <c r="C3673" s="10" t="n"/>
      <c r="D3673" s="10" t="n"/>
      <c r="E3673" s="14">
        <f>IF(D3673="","",IFERROR(INDEX('Sản phẩm'!$B$5:$B$304,MATCH(D3673,'Sản phẩm'!$A$5:$A$304,0)),""))</f>
        <v/>
      </c>
      <c r="F3673" s="12" t="n"/>
      <c r="G3673" s="11" t="n"/>
      <c r="H3673" s="11" t="n"/>
      <c r="I3673" s="16">
        <f>IF(D3673="","",IF(G3673&lt;&gt;"",G3673,IFERROR(INDEX('Sản phẩm'!$E$5:$E$304,MATCH(D3673,'Sản phẩm'!$A$5:$A$304,0)),"")))</f>
        <v/>
      </c>
      <c r="J3673" s="16">
        <f>IF(OR(D3673="",F3673=""),"",F3673*I3673-N(H3673))</f>
        <v/>
      </c>
      <c r="K3673" s="16">
        <f>IF(OR(D3673="",F3673=""),"",F3673*IFERROR(INDEX('Sản phẩm'!$D$5:$D$304,MATCH(D3673,'Sản phẩm'!$A$5:$A$304,0)),""))</f>
        <v/>
      </c>
      <c r="L3673" s="16">
        <f>IF(J3673="","",J3673-K3673)</f>
        <v/>
      </c>
      <c r="M3673" s="14">
        <f>IF(A3673="","",MONTH(A3673))</f>
        <v/>
      </c>
      <c r="N3673" s="14">
        <f>IF(A3673="","",YEAR(A3673))</f>
        <v/>
      </c>
    </row>
    <row r="3674">
      <c r="A3674" s="15" t="n"/>
      <c r="B3674" s="10" t="n"/>
      <c r="C3674" s="10" t="n"/>
      <c r="D3674" s="10" t="n"/>
      <c r="E3674" s="14">
        <f>IF(D3674="","",IFERROR(INDEX('Sản phẩm'!$B$5:$B$304,MATCH(D3674,'Sản phẩm'!$A$5:$A$304,0)),""))</f>
        <v/>
      </c>
      <c r="F3674" s="12" t="n"/>
      <c r="G3674" s="11" t="n"/>
      <c r="H3674" s="11" t="n"/>
      <c r="I3674" s="16">
        <f>IF(D3674="","",IF(G3674&lt;&gt;"",G3674,IFERROR(INDEX('Sản phẩm'!$E$5:$E$304,MATCH(D3674,'Sản phẩm'!$A$5:$A$304,0)),"")))</f>
        <v/>
      </c>
      <c r="J3674" s="16">
        <f>IF(OR(D3674="",F3674=""),"",F3674*I3674-N(H3674))</f>
        <v/>
      </c>
      <c r="K3674" s="16">
        <f>IF(OR(D3674="",F3674=""),"",F3674*IFERROR(INDEX('Sản phẩm'!$D$5:$D$304,MATCH(D3674,'Sản phẩm'!$A$5:$A$304,0)),""))</f>
        <v/>
      </c>
      <c r="L3674" s="16">
        <f>IF(J3674="","",J3674-K3674)</f>
        <v/>
      </c>
      <c r="M3674" s="14">
        <f>IF(A3674="","",MONTH(A3674))</f>
        <v/>
      </c>
      <c r="N3674" s="14">
        <f>IF(A3674="","",YEAR(A3674))</f>
        <v/>
      </c>
    </row>
    <row r="3675">
      <c r="A3675" s="15" t="n"/>
      <c r="B3675" s="10" t="n"/>
      <c r="C3675" s="10" t="n"/>
      <c r="D3675" s="10" t="n"/>
      <c r="E3675" s="14">
        <f>IF(D3675="","",IFERROR(INDEX('Sản phẩm'!$B$5:$B$304,MATCH(D3675,'Sản phẩm'!$A$5:$A$304,0)),""))</f>
        <v/>
      </c>
      <c r="F3675" s="12" t="n"/>
      <c r="G3675" s="11" t="n"/>
      <c r="H3675" s="11" t="n"/>
      <c r="I3675" s="16">
        <f>IF(D3675="","",IF(G3675&lt;&gt;"",G3675,IFERROR(INDEX('Sản phẩm'!$E$5:$E$304,MATCH(D3675,'Sản phẩm'!$A$5:$A$304,0)),"")))</f>
        <v/>
      </c>
      <c r="J3675" s="16">
        <f>IF(OR(D3675="",F3675=""),"",F3675*I3675-N(H3675))</f>
        <v/>
      </c>
      <c r="K3675" s="16">
        <f>IF(OR(D3675="",F3675=""),"",F3675*IFERROR(INDEX('Sản phẩm'!$D$5:$D$304,MATCH(D3675,'Sản phẩm'!$A$5:$A$304,0)),""))</f>
        <v/>
      </c>
      <c r="L3675" s="16">
        <f>IF(J3675="","",J3675-K3675)</f>
        <v/>
      </c>
      <c r="M3675" s="14">
        <f>IF(A3675="","",MONTH(A3675))</f>
        <v/>
      </c>
      <c r="N3675" s="14">
        <f>IF(A3675="","",YEAR(A3675))</f>
        <v/>
      </c>
    </row>
    <row r="3676">
      <c r="A3676" s="15" t="n"/>
      <c r="B3676" s="10" t="n"/>
      <c r="C3676" s="10" t="n"/>
      <c r="D3676" s="10" t="n"/>
      <c r="E3676" s="14">
        <f>IF(D3676="","",IFERROR(INDEX('Sản phẩm'!$B$5:$B$304,MATCH(D3676,'Sản phẩm'!$A$5:$A$304,0)),""))</f>
        <v/>
      </c>
      <c r="F3676" s="12" t="n"/>
      <c r="G3676" s="11" t="n"/>
      <c r="H3676" s="11" t="n"/>
      <c r="I3676" s="16">
        <f>IF(D3676="","",IF(G3676&lt;&gt;"",G3676,IFERROR(INDEX('Sản phẩm'!$E$5:$E$304,MATCH(D3676,'Sản phẩm'!$A$5:$A$304,0)),"")))</f>
        <v/>
      </c>
      <c r="J3676" s="16">
        <f>IF(OR(D3676="",F3676=""),"",F3676*I3676-N(H3676))</f>
        <v/>
      </c>
      <c r="K3676" s="16">
        <f>IF(OR(D3676="",F3676=""),"",F3676*IFERROR(INDEX('Sản phẩm'!$D$5:$D$304,MATCH(D3676,'Sản phẩm'!$A$5:$A$304,0)),""))</f>
        <v/>
      </c>
      <c r="L3676" s="16">
        <f>IF(J3676="","",J3676-K3676)</f>
        <v/>
      </c>
      <c r="M3676" s="14">
        <f>IF(A3676="","",MONTH(A3676))</f>
        <v/>
      </c>
      <c r="N3676" s="14">
        <f>IF(A3676="","",YEAR(A3676))</f>
        <v/>
      </c>
    </row>
    <row r="3677">
      <c r="A3677" s="15" t="n"/>
      <c r="B3677" s="10" t="n"/>
      <c r="C3677" s="10" t="n"/>
      <c r="D3677" s="10" t="n"/>
      <c r="E3677" s="14">
        <f>IF(D3677="","",IFERROR(INDEX('Sản phẩm'!$B$5:$B$304,MATCH(D3677,'Sản phẩm'!$A$5:$A$304,0)),""))</f>
        <v/>
      </c>
      <c r="F3677" s="12" t="n"/>
      <c r="G3677" s="11" t="n"/>
      <c r="H3677" s="11" t="n"/>
      <c r="I3677" s="16">
        <f>IF(D3677="","",IF(G3677&lt;&gt;"",G3677,IFERROR(INDEX('Sản phẩm'!$E$5:$E$304,MATCH(D3677,'Sản phẩm'!$A$5:$A$304,0)),"")))</f>
        <v/>
      </c>
      <c r="J3677" s="16">
        <f>IF(OR(D3677="",F3677=""),"",F3677*I3677-N(H3677))</f>
        <v/>
      </c>
      <c r="K3677" s="16">
        <f>IF(OR(D3677="",F3677=""),"",F3677*IFERROR(INDEX('Sản phẩm'!$D$5:$D$304,MATCH(D3677,'Sản phẩm'!$A$5:$A$304,0)),""))</f>
        <v/>
      </c>
      <c r="L3677" s="16">
        <f>IF(J3677="","",J3677-K3677)</f>
        <v/>
      </c>
      <c r="M3677" s="14">
        <f>IF(A3677="","",MONTH(A3677))</f>
        <v/>
      </c>
      <c r="N3677" s="14">
        <f>IF(A3677="","",YEAR(A3677))</f>
        <v/>
      </c>
    </row>
    <row r="3678">
      <c r="A3678" s="15" t="n"/>
      <c r="B3678" s="10" t="n"/>
      <c r="C3678" s="10" t="n"/>
      <c r="D3678" s="10" t="n"/>
      <c r="E3678" s="14">
        <f>IF(D3678="","",IFERROR(INDEX('Sản phẩm'!$B$5:$B$304,MATCH(D3678,'Sản phẩm'!$A$5:$A$304,0)),""))</f>
        <v/>
      </c>
      <c r="F3678" s="12" t="n"/>
      <c r="G3678" s="11" t="n"/>
      <c r="H3678" s="11" t="n"/>
      <c r="I3678" s="16">
        <f>IF(D3678="","",IF(G3678&lt;&gt;"",G3678,IFERROR(INDEX('Sản phẩm'!$E$5:$E$304,MATCH(D3678,'Sản phẩm'!$A$5:$A$304,0)),"")))</f>
        <v/>
      </c>
      <c r="J3678" s="16">
        <f>IF(OR(D3678="",F3678=""),"",F3678*I3678-N(H3678))</f>
        <v/>
      </c>
      <c r="K3678" s="16">
        <f>IF(OR(D3678="",F3678=""),"",F3678*IFERROR(INDEX('Sản phẩm'!$D$5:$D$304,MATCH(D3678,'Sản phẩm'!$A$5:$A$304,0)),""))</f>
        <v/>
      </c>
      <c r="L3678" s="16">
        <f>IF(J3678="","",J3678-K3678)</f>
        <v/>
      </c>
      <c r="M3678" s="14">
        <f>IF(A3678="","",MONTH(A3678))</f>
        <v/>
      </c>
      <c r="N3678" s="14">
        <f>IF(A3678="","",YEAR(A3678))</f>
        <v/>
      </c>
    </row>
    <row r="3679">
      <c r="A3679" s="15" t="n"/>
      <c r="B3679" s="10" t="n"/>
      <c r="C3679" s="10" t="n"/>
      <c r="D3679" s="10" t="n"/>
      <c r="E3679" s="14">
        <f>IF(D3679="","",IFERROR(INDEX('Sản phẩm'!$B$5:$B$304,MATCH(D3679,'Sản phẩm'!$A$5:$A$304,0)),""))</f>
        <v/>
      </c>
      <c r="F3679" s="12" t="n"/>
      <c r="G3679" s="11" t="n"/>
      <c r="H3679" s="11" t="n"/>
      <c r="I3679" s="16">
        <f>IF(D3679="","",IF(G3679&lt;&gt;"",G3679,IFERROR(INDEX('Sản phẩm'!$E$5:$E$304,MATCH(D3679,'Sản phẩm'!$A$5:$A$304,0)),"")))</f>
        <v/>
      </c>
      <c r="J3679" s="16">
        <f>IF(OR(D3679="",F3679=""),"",F3679*I3679-N(H3679))</f>
        <v/>
      </c>
      <c r="K3679" s="16">
        <f>IF(OR(D3679="",F3679=""),"",F3679*IFERROR(INDEX('Sản phẩm'!$D$5:$D$304,MATCH(D3679,'Sản phẩm'!$A$5:$A$304,0)),""))</f>
        <v/>
      </c>
      <c r="L3679" s="16">
        <f>IF(J3679="","",J3679-K3679)</f>
        <v/>
      </c>
      <c r="M3679" s="14">
        <f>IF(A3679="","",MONTH(A3679))</f>
        <v/>
      </c>
      <c r="N3679" s="14">
        <f>IF(A3679="","",YEAR(A3679))</f>
        <v/>
      </c>
    </row>
    <row r="3680">
      <c r="A3680" s="15" t="n"/>
      <c r="B3680" s="10" t="n"/>
      <c r="C3680" s="10" t="n"/>
      <c r="D3680" s="10" t="n"/>
      <c r="E3680" s="14">
        <f>IF(D3680="","",IFERROR(INDEX('Sản phẩm'!$B$5:$B$304,MATCH(D3680,'Sản phẩm'!$A$5:$A$304,0)),""))</f>
        <v/>
      </c>
      <c r="F3680" s="12" t="n"/>
      <c r="G3680" s="11" t="n"/>
      <c r="H3680" s="11" t="n"/>
      <c r="I3680" s="16">
        <f>IF(D3680="","",IF(G3680&lt;&gt;"",G3680,IFERROR(INDEX('Sản phẩm'!$E$5:$E$304,MATCH(D3680,'Sản phẩm'!$A$5:$A$304,0)),"")))</f>
        <v/>
      </c>
      <c r="J3680" s="16">
        <f>IF(OR(D3680="",F3680=""),"",F3680*I3680-N(H3680))</f>
        <v/>
      </c>
      <c r="K3680" s="16">
        <f>IF(OR(D3680="",F3680=""),"",F3680*IFERROR(INDEX('Sản phẩm'!$D$5:$D$304,MATCH(D3680,'Sản phẩm'!$A$5:$A$304,0)),""))</f>
        <v/>
      </c>
      <c r="L3680" s="16">
        <f>IF(J3680="","",J3680-K3680)</f>
        <v/>
      </c>
      <c r="M3680" s="14">
        <f>IF(A3680="","",MONTH(A3680))</f>
        <v/>
      </c>
      <c r="N3680" s="14">
        <f>IF(A3680="","",YEAR(A3680))</f>
        <v/>
      </c>
    </row>
    <row r="3681">
      <c r="A3681" s="15" t="n"/>
      <c r="B3681" s="10" t="n"/>
      <c r="C3681" s="10" t="n"/>
      <c r="D3681" s="10" t="n"/>
      <c r="E3681" s="14">
        <f>IF(D3681="","",IFERROR(INDEX('Sản phẩm'!$B$5:$B$304,MATCH(D3681,'Sản phẩm'!$A$5:$A$304,0)),""))</f>
        <v/>
      </c>
      <c r="F3681" s="12" t="n"/>
      <c r="G3681" s="11" t="n"/>
      <c r="H3681" s="11" t="n"/>
      <c r="I3681" s="16">
        <f>IF(D3681="","",IF(G3681&lt;&gt;"",G3681,IFERROR(INDEX('Sản phẩm'!$E$5:$E$304,MATCH(D3681,'Sản phẩm'!$A$5:$A$304,0)),"")))</f>
        <v/>
      </c>
      <c r="J3681" s="16">
        <f>IF(OR(D3681="",F3681=""),"",F3681*I3681-N(H3681))</f>
        <v/>
      </c>
      <c r="K3681" s="16">
        <f>IF(OR(D3681="",F3681=""),"",F3681*IFERROR(INDEX('Sản phẩm'!$D$5:$D$304,MATCH(D3681,'Sản phẩm'!$A$5:$A$304,0)),""))</f>
        <v/>
      </c>
      <c r="L3681" s="16">
        <f>IF(J3681="","",J3681-K3681)</f>
        <v/>
      </c>
      <c r="M3681" s="14">
        <f>IF(A3681="","",MONTH(A3681))</f>
        <v/>
      </c>
      <c r="N3681" s="14">
        <f>IF(A3681="","",YEAR(A3681))</f>
        <v/>
      </c>
    </row>
    <row r="3682">
      <c r="A3682" s="15" t="n"/>
      <c r="B3682" s="10" t="n"/>
      <c r="C3682" s="10" t="n"/>
      <c r="D3682" s="10" t="n"/>
      <c r="E3682" s="14">
        <f>IF(D3682="","",IFERROR(INDEX('Sản phẩm'!$B$5:$B$304,MATCH(D3682,'Sản phẩm'!$A$5:$A$304,0)),""))</f>
        <v/>
      </c>
      <c r="F3682" s="12" t="n"/>
      <c r="G3682" s="11" t="n"/>
      <c r="H3682" s="11" t="n"/>
      <c r="I3682" s="16">
        <f>IF(D3682="","",IF(G3682&lt;&gt;"",G3682,IFERROR(INDEX('Sản phẩm'!$E$5:$E$304,MATCH(D3682,'Sản phẩm'!$A$5:$A$304,0)),"")))</f>
        <v/>
      </c>
      <c r="J3682" s="16">
        <f>IF(OR(D3682="",F3682=""),"",F3682*I3682-N(H3682))</f>
        <v/>
      </c>
      <c r="K3682" s="16">
        <f>IF(OR(D3682="",F3682=""),"",F3682*IFERROR(INDEX('Sản phẩm'!$D$5:$D$304,MATCH(D3682,'Sản phẩm'!$A$5:$A$304,0)),""))</f>
        <v/>
      </c>
      <c r="L3682" s="16">
        <f>IF(J3682="","",J3682-K3682)</f>
        <v/>
      </c>
      <c r="M3682" s="14">
        <f>IF(A3682="","",MONTH(A3682))</f>
        <v/>
      </c>
      <c r="N3682" s="14">
        <f>IF(A3682="","",YEAR(A3682))</f>
        <v/>
      </c>
    </row>
    <row r="3683">
      <c r="A3683" s="15" t="n"/>
      <c r="B3683" s="10" t="n"/>
      <c r="C3683" s="10" t="n"/>
      <c r="D3683" s="10" t="n"/>
      <c r="E3683" s="14">
        <f>IF(D3683="","",IFERROR(INDEX('Sản phẩm'!$B$5:$B$304,MATCH(D3683,'Sản phẩm'!$A$5:$A$304,0)),""))</f>
        <v/>
      </c>
      <c r="F3683" s="12" t="n"/>
      <c r="G3683" s="11" t="n"/>
      <c r="H3683" s="11" t="n"/>
      <c r="I3683" s="16">
        <f>IF(D3683="","",IF(G3683&lt;&gt;"",G3683,IFERROR(INDEX('Sản phẩm'!$E$5:$E$304,MATCH(D3683,'Sản phẩm'!$A$5:$A$304,0)),"")))</f>
        <v/>
      </c>
      <c r="J3683" s="16">
        <f>IF(OR(D3683="",F3683=""),"",F3683*I3683-N(H3683))</f>
        <v/>
      </c>
      <c r="K3683" s="16">
        <f>IF(OR(D3683="",F3683=""),"",F3683*IFERROR(INDEX('Sản phẩm'!$D$5:$D$304,MATCH(D3683,'Sản phẩm'!$A$5:$A$304,0)),""))</f>
        <v/>
      </c>
      <c r="L3683" s="16">
        <f>IF(J3683="","",J3683-K3683)</f>
        <v/>
      </c>
      <c r="M3683" s="14">
        <f>IF(A3683="","",MONTH(A3683))</f>
        <v/>
      </c>
      <c r="N3683" s="14">
        <f>IF(A3683="","",YEAR(A3683))</f>
        <v/>
      </c>
    </row>
    <row r="3684">
      <c r="A3684" s="15" t="n"/>
      <c r="B3684" s="10" t="n"/>
      <c r="C3684" s="10" t="n"/>
      <c r="D3684" s="10" t="n"/>
      <c r="E3684" s="14">
        <f>IF(D3684="","",IFERROR(INDEX('Sản phẩm'!$B$5:$B$304,MATCH(D3684,'Sản phẩm'!$A$5:$A$304,0)),""))</f>
        <v/>
      </c>
      <c r="F3684" s="12" t="n"/>
      <c r="G3684" s="11" t="n"/>
      <c r="H3684" s="11" t="n"/>
      <c r="I3684" s="16">
        <f>IF(D3684="","",IF(G3684&lt;&gt;"",G3684,IFERROR(INDEX('Sản phẩm'!$E$5:$E$304,MATCH(D3684,'Sản phẩm'!$A$5:$A$304,0)),"")))</f>
        <v/>
      </c>
      <c r="J3684" s="16">
        <f>IF(OR(D3684="",F3684=""),"",F3684*I3684-N(H3684))</f>
        <v/>
      </c>
      <c r="K3684" s="16">
        <f>IF(OR(D3684="",F3684=""),"",F3684*IFERROR(INDEX('Sản phẩm'!$D$5:$D$304,MATCH(D3684,'Sản phẩm'!$A$5:$A$304,0)),""))</f>
        <v/>
      </c>
      <c r="L3684" s="16">
        <f>IF(J3684="","",J3684-K3684)</f>
        <v/>
      </c>
      <c r="M3684" s="14">
        <f>IF(A3684="","",MONTH(A3684))</f>
        <v/>
      </c>
      <c r="N3684" s="14">
        <f>IF(A3684="","",YEAR(A3684))</f>
        <v/>
      </c>
    </row>
    <row r="3685">
      <c r="A3685" s="15" t="n"/>
      <c r="B3685" s="10" t="n"/>
      <c r="C3685" s="10" t="n"/>
      <c r="D3685" s="10" t="n"/>
      <c r="E3685" s="14">
        <f>IF(D3685="","",IFERROR(INDEX('Sản phẩm'!$B$5:$B$304,MATCH(D3685,'Sản phẩm'!$A$5:$A$304,0)),""))</f>
        <v/>
      </c>
      <c r="F3685" s="12" t="n"/>
      <c r="G3685" s="11" t="n"/>
      <c r="H3685" s="11" t="n"/>
      <c r="I3685" s="16">
        <f>IF(D3685="","",IF(G3685&lt;&gt;"",G3685,IFERROR(INDEX('Sản phẩm'!$E$5:$E$304,MATCH(D3685,'Sản phẩm'!$A$5:$A$304,0)),"")))</f>
        <v/>
      </c>
      <c r="J3685" s="16">
        <f>IF(OR(D3685="",F3685=""),"",F3685*I3685-N(H3685))</f>
        <v/>
      </c>
      <c r="K3685" s="16">
        <f>IF(OR(D3685="",F3685=""),"",F3685*IFERROR(INDEX('Sản phẩm'!$D$5:$D$304,MATCH(D3685,'Sản phẩm'!$A$5:$A$304,0)),""))</f>
        <v/>
      </c>
      <c r="L3685" s="16">
        <f>IF(J3685="","",J3685-K3685)</f>
        <v/>
      </c>
      <c r="M3685" s="14">
        <f>IF(A3685="","",MONTH(A3685))</f>
        <v/>
      </c>
      <c r="N3685" s="14">
        <f>IF(A3685="","",YEAR(A3685))</f>
        <v/>
      </c>
    </row>
    <row r="3686">
      <c r="A3686" s="15" t="n"/>
      <c r="B3686" s="10" t="n"/>
      <c r="C3686" s="10" t="n"/>
      <c r="D3686" s="10" t="n"/>
      <c r="E3686" s="14">
        <f>IF(D3686="","",IFERROR(INDEX('Sản phẩm'!$B$5:$B$304,MATCH(D3686,'Sản phẩm'!$A$5:$A$304,0)),""))</f>
        <v/>
      </c>
      <c r="F3686" s="12" t="n"/>
      <c r="G3686" s="11" t="n"/>
      <c r="H3686" s="11" t="n"/>
      <c r="I3686" s="16">
        <f>IF(D3686="","",IF(G3686&lt;&gt;"",G3686,IFERROR(INDEX('Sản phẩm'!$E$5:$E$304,MATCH(D3686,'Sản phẩm'!$A$5:$A$304,0)),"")))</f>
        <v/>
      </c>
      <c r="J3686" s="16">
        <f>IF(OR(D3686="",F3686=""),"",F3686*I3686-N(H3686))</f>
        <v/>
      </c>
      <c r="K3686" s="16">
        <f>IF(OR(D3686="",F3686=""),"",F3686*IFERROR(INDEX('Sản phẩm'!$D$5:$D$304,MATCH(D3686,'Sản phẩm'!$A$5:$A$304,0)),""))</f>
        <v/>
      </c>
      <c r="L3686" s="16">
        <f>IF(J3686="","",J3686-K3686)</f>
        <v/>
      </c>
      <c r="M3686" s="14">
        <f>IF(A3686="","",MONTH(A3686))</f>
        <v/>
      </c>
      <c r="N3686" s="14">
        <f>IF(A3686="","",YEAR(A3686))</f>
        <v/>
      </c>
    </row>
    <row r="3687">
      <c r="A3687" s="15" t="n"/>
      <c r="B3687" s="10" t="n"/>
      <c r="C3687" s="10" t="n"/>
      <c r="D3687" s="10" t="n"/>
      <c r="E3687" s="14">
        <f>IF(D3687="","",IFERROR(INDEX('Sản phẩm'!$B$5:$B$304,MATCH(D3687,'Sản phẩm'!$A$5:$A$304,0)),""))</f>
        <v/>
      </c>
      <c r="F3687" s="12" t="n"/>
      <c r="G3687" s="11" t="n"/>
      <c r="H3687" s="11" t="n"/>
      <c r="I3687" s="16">
        <f>IF(D3687="","",IF(G3687&lt;&gt;"",G3687,IFERROR(INDEX('Sản phẩm'!$E$5:$E$304,MATCH(D3687,'Sản phẩm'!$A$5:$A$304,0)),"")))</f>
        <v/>
      </c>
      <c r="J3687" s="16">
        <f>IF(OR(D3687="",F3687=""),"",F3687*I3687-N(H3687))</f>
        <v/>
      </c>
      <c r="K3687" s="16">
        <f>IF(OR(D3687="",F3687=""),"",F3687*IFERROR(INDEX('Sản phẩm'!$D$5:$D$304,MATCH(D3687,'Sản phẩm'!$A$5:$A$304,0)),""))</f>
        <v/>
      </c>
      <c r="L3687" s="16">
        <f>IF(J3687="","",J3687-K3687)</f>
        <v/>
      </c>
      <c r="M3687" s="14">
        <f>IF(A3687="","",MONTH(A3687))</f>
        <v/>
      </c>
      <c r="N3687" s="14">
        <f>IF(A3687="","",YEAR(A3687))</f>
        <v/>
      </c>
    </row>
    <row r="3688">
      <c r="A3688" s="15" t="n"/>
      <c r="B3688" s="10" t="n"/>
      <c r="C3688" s="10" t="n"/>
      <c r="D3688" s="10" t="n"/>
      <c r="E3688" s="14">
        <f>IF(D3688="","",IFERROR(INDEX('Sản phẩm'!$B$5:$B$304,MATCH(D3688,'Sản phẩm'!$A$5:$A$304,0)),""))</f>
        <v/>
      </c>
      <c r="F3688" s="12" t="n"/>
      <c r="G3688" s="11" t="n"/>
      <c r="H3688" s="11" t="n"/>
      <c r="I3688" s="16">
        <f>IF(D3688="","",IF(G3688&lt;&gt;"",G3688,IFERROR(INDEX('Sản phẩm'!$E$5:$E$304,MATCH(D3688,'Sản phẩm'!$A$5:$A$304,0)),"")))</f>
        <v/>
      </c>
      <c r="J3688" s="16">
        <f>IF(OR(D3688="",F3688=""),"",F3688*I3688-N(H3688))</f>
        <v/>
      </c>
      <c r="K3688" s="16">
        <f>IF(OR(D3688="",F3688=""),"",F3688*IFERROR(INDEX('Sản phẩm'!$D$5:$D$304,MATCH(D3688,'Sản phẩm'!$A$5:$A$304,0)),""))</f>
        <v/>
      </c>
      <c r="L3688" s="16">
        <f>IF(J3688="","",J3688-K3688)</f>
        <v/>
      </c>
      <c r="M3688" s="14">
        <f>IF(A3688="","",MONTH(A3688))</f>
        <v/>
      </c>
      <c r="N3688" s="14">
        <f>IF(A3688="","",YEAR(A3688))</f>
        <v/>
      </c>
    </row>
    <row r="3689">
      <c r="A3689" s="15" t="n"/>
      <c r="B3689" s="10" t="n"/>
      <c r="C3689" s="10" t="n"/>
      <c r="D3689" s="10" t="n"/>
      <c r="E3689" s="14">
        <f>IF(D3689="","",IFERROR(INDEX('Sản phẩm'!$B$5:$B$304,MATCH(D3689,'Sản phẩm'!$A$5:$A$304,0)),""))</f>
        <v/>
      </c>
      <c r="F3689" s="12" t="n"/>
      <c r="G3689" s="11" t="n"/>
      <c r="H3689" s="11" t="n"/>
      <c r="I3689" s="16">
        <f>IF(D3689="","",IF(G3689&lt;&gt;"",G3689,IFERROR(INDEX('Sản phẩm'!$E$5:$E$304,MATCH(D3689,'Sản phẩm'!$A$5:$A$304,0)),"")))</f>
        <v/>
      </c>
      <c r="J3689" s="16">
        <f>IF(OR(D3689="",F3689=""),"",F3689*I3689-N(H3689))</f>
        <v/>
      </c>
      <c r="K3689" s="16">
        <f>IF(OR(D3689="",F3689=""),"",F3689*IFERROR(INDEX('Sản phẩm'!$D$5:$D$304,MATCH(D3689,'Sản phẩm'!$A$5:$A$304,0)),""))</f>
        <v/>
      </c>
      <c r="L3689" s="16">
        <f>IF(J3689="","",J3689-K3689)</f>
        <v/>
      </c>
      <c r="M3689" s="14">
        <f>IF(A3689="","",MONTH(A3689))</f>
        <v/>
      </c>
      <c r="N3689" s="14">
        <f>IF(A3689="","",YEAR(A3689))</f>
        <v/>
      </c>
    </row>
    <row r="3690">
      <c r="A3690" s="15" t="n"/>
      <c r="B3690" s="10" t="n"/>
      <c r="C3690" s="10" t="n"/>
      <c r="D3690" s="10" t="n"/>
      <c r="E3690" s="14">
        <f>IF(D3690="","",IFERROR(INDEX('Sản phẩm'!$B$5:$B$304,MATCH(D3690,'Sản phẩm'!$A$5:$A$304,0)),""))</f>
        <v/>
      </c>
      <c r="F3690" s="12" t="n"/>
      <c r="G3690" s="11" t="n"/>
      <c r="H3690" s="11" t="n"/>
      <c r="I3690" s="16">
        <f>IF(D3690="","",IF(G3690&lt;&gt;"",G3690,IFERROR(INDEX('Sản phẩm'!$E$5:$E$304,MATCH(D3690,'Sản phẩm'!$A$5:$A$304,0)),"")))</f>
        <v/>
      </c>
      <c r="J3690" s="16">
        <f>IF(OR(D3690="",F3690=""),"",F3690*I3690-N(H3690))</f>
        <v/>
      </c>
      <c r="K3690" s="16">
        <f>IF(OR(D3690="",F3690=""),"",F3690*IFERROR(INDEX('Sản phẩm'!$D$5:$D$304,MATCH(D3690,'Sản phẩm'!$A$5:$A$304,0)),""))</f>
        <v/>
      </c>
      <c r="L3690" s="16">
        <f>IF(J3690="","",J3690-K3690)</f>
        <v/>
      </c>
      <c r="M3690" s="14">
        <f>IF(A3690="","",MONTH(A3690))</f>
        <v/>
      </c>
      <c r="N3690" s="14">
        <f>IF(A3690="","",YEAR(A3690))</f>
        <v/>
      </c>
    </row>
    <row r="3691">
      <c r="A3691" s="15" t="n"/>
      <c r="B3691" s="10" t="n"/>
      <c r="C3691" s="10" t="n"/>
      <c r="D3691" s="10" t="n"/>
      <c r="E3691" s="14">
        <f>IF(D3691="","",IFERROR(INDEX('Sản phẩm'!$B$5:$B$304,MATCH(D3691,'Sản phẩm'!$A$5:$A$304,0)),""))</f>
        <v/>
      </c>
      <c r="F3691" s="12" t="n"/>
      <c r="G3691" s="11" t="n"/>
      <c r="H3691" s="11" t="n"/>
      <c r="I3691" s="16">
        <f>IF(D3691="","",IF(G3691&lt;&gt;"",G3691,IFERROR(INDEX('Sản phẩm'!$E$5:$E$304,MATCH(D3691,'Sản phẩm'!$A$5:$A$304,0)),"")))</f>
        <v/>
      </c>
      <c r="J3691" s="16">
        <f>IF(OR(D3691="",F3691=""),"",F3691*I3691-N(H3691))</f>
        <v/>
      </c>
      <c r="K3691" s="16">
        <f>IF(OR(D3691="",F3691=""),"",F3691*IFERROR(INDEX('Sản phẩm'!$D$5:$D$304,MATCH(D3691,'Sản phẩm'!$A$5:$A$304,0)),""))</f>
        <v/>
      </c>
      <c r="L3691" s="16">
        <f>IF(J3691="","",J3691-K3691)</f>
        <v/>
      </c>
      <c r="M3691" s="14">
        <f>IF(A3691="","",MONTH(A3691))</f>
        <v/>
      </c>
      <c r="N3691" s="14">
        <f>IF(A3691="","",YEAR(A3691))</f>
        <v/>
      </c>
    </row>
    <row r="3692">
      <c r="A3692" s="15" t="n"/>
      <c r="B3692" s="10" t="n"/>
      <c r="C3692" s="10" t="n"/>
      <c r="D3692" s="10" t="n"/>
      <c r="E3692" s="14">
        <f>IF(D3692="","",IFERROR(INDEX('Sản phẩm'!$B$5:$B$304,MATCH(D3692,'Sản phẩm'!$A$5:$A$304,0)),""))</f>
        <v/>
      </c>
      <c r="F3692" s="12" t="n"/>
      <c r="G3692" s="11" t="n"/>
      <c r="H3692" s="11" t="n"/>
      <c r="I3692" s="16">
        <f>IF(D3692="","",IF(G3692&lt;&gt;"",G3692,IFERROR(INDEX('Sản phẩm'!$E$5:$E$304,MATCH(D3692,'Sản phẩm'!$A$5:$A$304,0)),"")))</f>
        <v/>
      </c>
      <c r="J3692" s="16">
        <f>IF(OR(D3692="",F3692=""),"",F3692*I3692-N(H3692))</f>
        <v/>
      </c>
      <c r="K3692" s="16">
        <f>IF(OR(D3692="",F3692=""),"",F3692*IFERROR(INDEX('Sản phẩm'!$D$5:$D$304,MATCH(D3692,'Sản phẩm'!$A$5:$A$304,0)),""))</f>
        <v/>
      </c>
      <c r="L3692" s="16">
        <f>IF(J3692="","",J3692-K3692)</f>
        <v/>
      </c>
      <c r="M3692" s="14">
        <f>IF(A3692="","",MONTH(A3692))</f>
        <v/>
      </c>
      <c r="N3692" s="14">
        <f>IF(A3692="","",YEAR(A3692))</f>
        <v/>
      </c>
    </row>
    <row r="3693">
      <c r="A3693" s="15" t="n"/>
      <c r="B3693" s="10" t="n"/>
      <c r="C3693" s="10" t="n"/>
      <c r="D3693" s="10" t="n"/>
      <c r="E3693" s="14">
        <f>IF(D3693="","",IFERROR(INDEX('Sản phẩm'!$B$5:$B$304,MATCH(D3693,'Sản phẩm'!$A$5:$A$304,0)),""))</f>
        <v/>
      </c>
      <c r="F3693" s="12" t="n"/>
      <c r="G3693" s="11" t="n"/>
      <c r="H3693" s="11" t="n"/>
      <c r="I3693" s="16">
        <f>IF(D3693="","",IF(G3693&lt;&gt;"",G3693,IFERROR(INDEX('Sản phẩm'!$E$5:$E$304,MATCH(D3693,'Sản phẩm'!$A$5:$A$304,0)),"")))</f>
        <v/>
      </c>
      <c r="J3693" s="16">
        <f>IF(OR(D3693="",F3693=""),"",F3693*I3693-N(H3693))</f>
        <v/>
      </c>
      <c r="K3693" s="16">
        <f>IF(OR(D3693="",F3693=""),"",F3693*IFERROR(INDEX('Sản phẩm'!$D$5:$D$304,MATCH(D3693,'Sản phẩm'!$A$5:$A$304,0)),""))</f>
        <v/>
      </c>
      <c r="L3693" s="16">
        <f>IF(J3693="","",J3693-K3693)</f>
        <v/>
      </c>
      <c r="M3693" s="14">
        <f>IF(A3693="","",MONTH(A3693))</f>
        <v/>
      </c>
      <c r="N3693" s="14">
        <f>IF(A3693="","",YEAR(A3693))</f>
        <v/>
      </c>
    </row>
    <row r="3694">
      <c r="A3694" s="15" t="n"/>
      <c r="B3694" s="10" t="n"/>
      <c r="C3694" s="10" t="n"/>
      <c r="D3694" s="10" t="n"/>
      <c r="E3694" s="14">
        <f>IF(D3694="","",IFERROR(INDEX('Sản phẩm'!$B$5:$B$304,MATCH(D3694,'Sản phẩm'!$A$5:$A$304,0)),""))</f>
        <v/>
      </c>
      <c r="F3694" s="12" t="n"/>
      <c r="G3694" s="11" t="n"/>
      <c r="H3694" s="11" t="n"/>
      <c r="I3694" s="16">
        <f>IF(D3694="","",IF(G3694&lt;&gt;"",G3694,IFERROR(INDEX('Sản phẩm'!$E$5:$E$304,MATCH(D3694,'Sản phẩm'!$A$5:$A$304,0)),"")))</f>
        <v/>
      </c>
      <c r="J3694" s="16">
        <f>IF(OR(D3694="",F3694=""),"",F3694*I3694-N(H3694))</f>
        <v/>
      </c>
      <c r="K3694" s="16">
        <f>IF(OR(D3694="",F3694=""),"",F3694*IFERROR(INDEX('Sản phẩm'!$D$5:$D$304,MATCH(D3694,'Sản phẩm'!$A$5:$A$304,0)),""))</f>
        <v/>
      </c>
      <c r="L3694" s="16">
        <f>IF(J3694="","",J3694-K3694)</f>
        <v/>
      </c>
      <c r="M3694" s="14">
        <f>IF(A3694="","",MONTH(A3694))</f>
        <v/>
      </c>
      <c r="N3694" s="14">
        <f>IF(A3694="","",YEAR(A3694))</f>
        <v/>
      </c>
    </row>
    <row r="3695">
      <c r="A3695" s="15" t="n"/>
      <c r="B3695" s="10" t="n"/>
      <c r="C3695" s="10" t="n"/>
      <c r="D3695" s="10" t="n"/>
      <c r="E3695" s="14">
        <f>IF(D3695="","",IFERROR(INDEX('Sản phẩm'!$B$5:$B$304,MATCH(D3695,'Sản phẩm'!$A$5:$A$304,0)),""))</f>
        <v/>
      </c>
      <c r="F3695" s="12" t="n"/>
      <c r="G3695" s="11" t="n"/>
      <c r="H3695" s="11" t="n"/>
      <c r="I3695" s="16">
        <f>IF(D3695="","",IF(G3695&lt;&gt;"",G3695,IFERROR(INDEX('Sản phẩm'!$E$5:$E$304,MATCH(D3695,'Sản phẩm'!$A$5:$A$304,0)),"")))</f>
        <v/>
      </c>
      <c r="J3695" s="16">
        <f>IF(OR(D3695="",F3695=""),"",F3695*I3695-N(H3695))</f>
        <v/>
      </c>
      <c r="K3695" s="16">
        <f>IF(OR(D3695="",F3695=""),"",F3695*IFERROR(INDEX('Sản phẩm'!$D$5:$D$304,MATCH(D3695,'Sản phẩm'!$A$5:$A$304,0)),""))</f>
        <v/>
      </c>
      <c r="L3695" s="16">
        <f>IF(J3695="","",J3695-K3695)</f>
        <v/>
      </c>
      <c r="M3695" s="14">
        <f>IF(A3695="","",MONTH(A3695))</f>
        <v/>
      </c>
      <c r="N3695" s="14">
        <f>IF(A3695="","",YEAR(A3695))</f>
        <v/>
      </c>
    </row>
    <row r="3696">
      <c r="A3696" s="15" t="n"/>
      <c r="B3696" s="10" t="n"/>
      <c r="C3696" s="10" t="n"/>
      <c r="D3696" s="10" t="n"/>
      <c r="E3696" s="14">
        <f>IF(D3696="","",IFERROR(INDEX('Sản phẩm'!$B$5:$B$304,MATCH(D3696,'Sản phẩm'!$A$5:$A$304,0)),""))</f>
        <v/>
      </c>
      <c r="F3696" s="12" t="n"/>
      <c r="G3696" s="11" t="n"/>
      <c r="H3696" s="11" t="n"/>
      <c r="I3696" s="16">
        <f>IF(D3696="","",IF(G3696&lt;&gt;"",G3696,IFERROR(INDEX('Sản phẩm'!$E$5:$E$304,MATCH(D3696,'Sản phẩm'!$A$5:$A$304,0)),"")))</f>
        <v/>
      </c>
      <c r="J3696" s="16">
        <f>IF(OR(D3696="",F3696=""),"",F3696*I3696-N(H3696))</f>
        <v/>
      </c>
      <c r="K3696" s="16">
        <f>IF(OR(D3696="",F3696=""),"",F3696*IFERROR(INDEX('Sản phẩm'!$D$5:$D$304,MATCH(D3696,'Sản phẩm'!$A$5:$A$304,0)),""))</f>
        <v/>
      </c>
      <c r="L3696" s="16">
        <f>IF(J3696="","",J3696-K3696)</f>
        <v/>
      </c>
      <c r="M3696" s="14">
        <f>IF(A3696="","",MONTH(A3696))</f>
        <v/>
      </c>
      <c r="N3696" s="14">
        <f>IF(A3696="","",YEAR(A3696))</f>
        <v/>
      </c>
    </row>
    <row r="3697">
      <c r="A3697" s="15" t="n"/>
      <c r="B3697" s="10" t="n"/>
      <c r="C3697" s="10" t="n"/>
      <c r="D3697" s="10" t="n"/>
      <c r="E3697" s="14">
        <f>IF(D3697="","",IFERROR(INDEX('Sản phẩm'!$B$5:$B$304,MATCH(D3697,'Sản phẩm'!$A$5:$A$304,0)),""))</f>
        <v/>
      </c>
      <c r="F3697" s="12" t="n"/>
      <c r="G3697" s="11" t="n"/>
      <c r="H3697" s="11" t="n"/>
      <c r="I3697" s="16">
        <f>IF(D3697="","",IF(G3697&lt;&gt;"",G3697,IFERROR(INDEX('Sản phẩm'!$E$5:$E$304,MATCH(D3697,'Sản phẩm'!$A$5:$A$304,0)),"")))</f>
        <v/>
      </c>
      <c r="J3697" s="16">
        <f>IF(OR(D3697="",F3697=""),"",F3697*I3697-N(H3697))</f>
        <v/>
      </c>
      <c r="K3697" s="16">
        <f>IF(OR(D3697="",F3697=""),"",F3697*IFERROR(INDEX('Sản phẩm'!$D$5:$D$304,MATCH(D3697,'Sản phẩm'!$A$5:$A$304,0)),""))</f>
        <v/>
      </c>
      <c r="L3697" s="16">
        <f>IF(J3697="","",J3697-K3697)</f>
        <v/>
      </c>
      <c r="M3697" s="14">
        <f>IF(A3697="","",MONTH(A3697))</f>
        <v/>
      </c>
      <c r="N3697" s="14">
        <f>IF(A3697="","",YEAR(A3697))</f>
        <v/>
      </c>
    </row>
    <row r="3698">
      <c r="A3698" s="15" t="n"/>
      <c r="B3698" s="10" t="n"/>
      <c r="C3698" s="10" t="n"/>
      <c r="D3698" s="10" t="n"/>
      <c r="E3698" s="14">
        <f>IF(D3698="","",IFERROR(INDEX('Sản phẩm'!$B$5:$B$304,MATCH(D3698,'Sản phẩm'!$A$5:$A$304,0)),""))</f>
        <v/>
      </c>
      <c r="F3698" s="12" t="n"/>
      <c r="G3698" s="11" t="n"/>
      <c r="H3698" s="11" t="n"/>
      <c r="I3698" s="16">
        <f>IF(D3698="","",IF(G3698&lt;&gt;"",G3698,IFERROR(INDEX('Sản phẩm'!$E$5:$E$304,MATCH(D3698,'Sản phẩm'!$A$5:$A$304,0)),"")))</f>
        <v/>
      </c>
      <c r="J3698" s="16">
        <f>IF(OR(D3698="",F3698=""),"",F3698*I3698-N(H3698))</f>
        <v/>
      </c>
      <c r="K3698" s="16">
        <f>IF(OR(D3698="",F3698=""),"",F3698*IFERROR(INDEX('Sản phẩm'!$D$5:$D$304,MATCH(D3698,'Sản phẩm'!$A$5:$A$304,0)),""))</f>
        <v/>
      </c>
      <c r="L3698" s="16">
        <f>IF(J3698="","",J3698-K3698)</f>
        <v/>
      </c>
      <c r="M3698" s="14">
        <f>IF(A3698="","",MONTH(A3698))</f>
        <v/>
      </c>
      <c r="N3698" s="14">
        <f>IF(A3698="","",YEAR(A3698))</f>
        <v/>
      </c>
    </row>
    <row r="3699">
      <c r="A3699" s="15" t="n"/>
      <c r="B3699" s="10" t="n"/>
      <c r="C3699" s="10" t="n"/>
      <c r="D3699" s="10" t="n"/>
      <c r="E3699" s="14">
        <f>IF(D3699="","",IFERROR(INDEX('Sản phẩm'!$B$5:$B$304,MATCH(D3699,'Sản phẩm'!$A$5:$A$304,0)),""))</f>
        <v/>
      </c>
      <c r="F3699" s="12" t="n"/>
      <c r="G3699" s="11" t="n"/>
      <c r="H3699" s="11" t="n"/>
      <c r="I3699" s="16">
        <f>IF(D3699="","",IF(G3699&lt;&gt;"",G3699,IFERROR(INDEX('Sản phẩm'!$E$5:$E$304,MATCH(D3699,'Sản phẩm'!$A$5:$A$304,0)),"")))</f>
        <v/>
      </c>
      <c r="J3699" s="16">
        <f>IF(OR(D3699="",F3699=""),"",F3699*I3699-N(H3699))</f>
        <v/>
      </c>
      <c r="K3699" s="16">
        <f>IF(OR(D3699="",F3699=""),"",F3699*IFERROR(INDEX('Sản phẩm'!$D$5:$D$304,MATCH(D3699,'Sản phẩm'!$A$5:$A$304,0)),""))</f>
        <v/>
      </c>
      <c r="L3699" s="16">
        <f>IF(J3699="","",J3699-K3699)</f>
        <v/>
      </c>
      <c r="M3699" s="14">
        <f>IF(A3699="","",MONTH(A3699))</f>
        <v/>
      </c>
      <c r="N3699" s="14">
        <f>IF(A3699="","",YEAR(A3699))</f>
        <v/>
      </c>
    </row>
    <row r="3700">
      <c r="A3700" s="15" t="n"/>
      <c r="B3700" s="10" t="n"/>
      <c r="C3700" s="10" t="n"/>
      <c r="D3700" s="10" t="n"/>
      <c r="E3700" s="14">
        <f>IF(D3700="","",IFERROR(INDEX('Sản phẩm'!$B$5:$B$304,MATCH(D3700,'Sản phẩm'!$A$5:$A$304,0)),""))</f>
        <v/>
      </c>
      <c r="F3700" s="12" t="n"/>
      <c r="G3700" s="11" t="n"/>
      <c r="H3700" s="11" t="n"/>
      <c r="I3700" s="16">
        <f>IF(D3700="","",IF(G3700&lt;&gt;"",G3700,IFERROR(INDEX('Sản phẩm'!$E$5:$E$304,MATCH(D3700,'Sản phẩm'!$A$5:$A$304,0)),"")))</f>
        <v/>
      </c>
      <c r="J3700" s="16">
        <f>IF(OR(D3700="",F3700=""),"",F3700*I3700-N(H3700))</f>
        <v/>
      </c>
      <c r="K3700" s="16">
        <f>IF(OR(D3700="",F3700=""),"",F3700*IFERROR(INDEX('Sản phẩm'!$D$5:$D$304,MATCH(D3700,'Sản phẩm'!$A$5:$A$304,0)),""))</f>
        <v/>
      </c>
      <c r="L3700" s="16">
        <f>IF(J3700="","",J3700-K3700)</f>
        <v/>
      </c>
      <c r="M3700" s="14">
        <f>IF(A3700="","",MONTH(A3700))</f>
        <v/>
      </c>
      <c r="N3700" s="14">
        <f>IF(A3700="","",YEAR(A3700))</f>
        <v/>
      </c>
    </row>
    <row r="3701">
      <c r="A3701" s="15" t="n"/>
      <c r="B3701" s="10" t="n"/>
      <c r="C3701" s="10" t="n"/>
      <c r="D3701" s="10" t="n"/>
      <c r="E3701" s="14">
        <f>IF(D3701="","",IFERROR(INDEX('Sản phẩm'!$B$5:$B$304,MATCH(D3701,'Sản phẩm'!$A$5:$A$304,0)),""))</f>
        <v/>
      </c>
      <c r="F3701" s="12" t="n"/>
      <c r="G3701" s="11" t="n"/>
      <c r="H3701" s="11" t="n"/>
      <c r="I3701" s="16">
        <f>IF(D3701="","",IF(G3701&lt;&gt;"",G3701,IFERROR(INDEX('Sản phẩm'!$E$5:$E$304,MATCH(D3701,'Sản phẩm'!$A$5:$A$304,0)),"")))</f>
        <v/>
      </c>
      <c r="J3701" s="16">
        <f>IF(OR(D3701="",F3701=""),"",F3701*I3701-N(H3701))</f>
        <v/>
      </c>
      <c r="K3701" s="16">
        <f>IF(OR(D3701="",F3701=""),"",F3701*IFERROR(INDEX('Sản phẩm'!$D$5:$D$304,MATCH(D3701,'Sản phẩm'!$A$5:$A$304,0)),""))</f>
        <v/>
      </c>
      <c r="L3701" s="16">
        <f>IF(J3701="","",J3701-K3701)</f>
        <v/>
      </c>
      <c r="M3701" s="14">
        <f>IF(A3701="","",MONTH(A3701))</f>
        <v/>
      </c>
      <c r="N3701" s="14">
        <f>IF(A3701="","",YEAR(A3701))</f>
        <v/>
      </c>
    </row>
    <row r="3702">
      <c r="A3702" s="15" t="n"/>
      <c r="B3702" s="10" t="n"/>
      <c r="C3702" s="10" t="n"/>
      <c r="D3702" s="10" t="n"/>
      <c r="E3702" s="14">
        <f>IF(D3702="","",IFERROR(INDEX('Sản phẩm'!$B$5:$B$304,MATCH(D3702,'Sản phẩm'!$A$5:$A$304,0)),""))</f>
        <v/>
      </c>
      <c r="F3702" s="12" t="n"/>
      <c r="G3702" s="11" t="n"/>
      <c r="H3702" s="11" t="n"/>
      <c r="I3702" s="16">
        <f>IF(D3702="","",IF(G3702&lt;&gt;"",G3702,IFERROR(INDEX('Sản phẩm'!$E$5:$E$304,MATCH(D3702,'Sản phẩm'!$A$5:$A$304,0)),"")))</f>
        <v/>
      </c>
      <c r="J3702" s="16">
        <f>IF(OR(D3702="",F3702=""),"",F3702*I3702-N(H3702))</f>
        <v/>
      </c>
      <c r="K3702" s="16">
        <f>IF(OR(D3702="",F3702=""),"",F3702*IFERROR(INDEX('Sản phẩm'!$D$5:$D$304,MATCH(D3702,'Sản phẩm'!$A$5:$A$304,0)),""))</f>
        <v/>
      </c>
      <c r="L3702" s="16">
        <f>IF(J3702="","",J3702-K3702)</f>
        <v/>
      </c>
      <c r="M3702" s="14">
        <f>IF(A3702="","",MONTH(A3702))</f>
        <v/>
      </c>
      <c r="N3702" s="14">
        <f>IF(A3702="","",YEAR(A3702))</f>
        <v/>
      </c>
    </row>
    <row r="3703">
      <c r="A3703" s="15" t="n"/>
      <c r="B3703" s="10" t="n"/>
      <c r="C3703" s="10" t="n"/>
      <c r="D3703" s="10" t="n"/>
      <c r="E3703" s="14">
        <f>IF(D3703="","",IFERROR(INDEX('Sản phẩm'!$B$5:$B$304,MATCH(D3703,'Sản phẩm'!$A$5:$A$304,0)),""))</f>
        <v/>
      </c>
      <c r="F3703" s="12" t="n"/>
      <c r="G3703" s="11" t="n"/>
      <c r="H3703" s="11" t="n"/>
      <c r="I3703" s="16">
        <f>IF(D3703="","",IF(G3703&lt;&gt;"",G3703,IFERROR(INDEX('Sản phẩm'!$E$5:$E$304,MATCH(D3703,'Sản phẩm'!$A$5:$A$304,0)),"")))</f>
        <v/>
      </c>
      <c r="J3703" s="16">
        <f>IF(OR(D3703="",F3703=""),"",F3703*I3703-N(H3703))</f>
        <v/>
      </c>
      <c r="K3703" s="16">
        <f>IF(OR(D3703="",F3703=""),"",F3703*IFERROR(INDEX('Sản phẩm'!$D$5:$D$304,MATCH(D3703,'Sản phẩm'!$A$5:$A$304,0)),""))</f>
        <v/>
      </c>
      <c r="L3703" s="16">
        <f>IF(J3703="","",J3703-K3703)</f>
        <v/>
      </c>
      <c r="M3703" s="14">
        <f>IF(A3703="","",MONTH(A3703))</f>
        <v/>
      </c>
      <c r="N3703" s="14">
        <f>IF(A3703="","",YEAR(A3703))</f>
        <v/>
      </c>
    </row>
    <row r="3704">
      <c r="A3704" s="15" t="n"/>
      <c r="B3704" s="10" t="n"/>
      <c r="C3704" s="10" t="n"/>
      <c r="D3704" s="10" t="n"/>
      <c r="E3704" s="14">
        <f>IF(D3704="","",IFERROR(INDEX('Sản phẩm'!$B$5:$B$304,MATCH(D3704,'Sản phẩm'!$A$5:$A$304,0)),""))</f>
        <v/>
      </c>
      <c r="F3704" s="12" t="n"/>
      <c r="G3704" s="11" t="n"/>
      <c r="H3704" s="11" t="n"/>
      <c r="I3704" s="16">
        <f>IF(D3704="","",IF(G3704&lt;&gt;"",G3704,IFERROR(INDEX('Sản phẩm'!$E$5:$E$304,MATCH(D3704,'Sản phẩm'!$A$5:$A$304,0)),"")))</f>
        <v/>
      </c>
      <c r="J3704" s="16">
        <f>IF(OR(D3704="",F3704=""),"",F3704*I3704-N(H3704))</f>
        <v/>
      </c>
      <c r="K3704" s="16">
        <f>IF(OR(D3704="",F3704=""),"",F3704*IFERROR(INDEX('Sản phẩm'!$D$5:$D$304,MATCH(D3704,'Sản phẩm'!$A$5:$A$304,0)),""))</f>
        <v/>
      </c>
      <c r="L3704" s="16">
        <f>IF(J3704="","",J3704-K3704)</f>
        <v/>
      </c>
      <c r="M3704" s="14">
        <f>IF(A3704="","",MONTH(A3704))</f>
        <v/>
      </c>
      <c r="N3704" s="14">
        <f>IF(A3704="","",YEAR(A3704))</f>
        <v/>
      </c>
    </row>
    <row r="3705">
      <c r="A3705" s="15" t="n"/>
      <c r="B3705" s="10" t="n"/>
      <c r="C3705" s="10" t="n"/>
      <c r="D3705" s="10" t="n"/>
      <c r="E3705" s="14">
        <f>IF(D3705="","",IFERROR(INDEX('Sản phẩm'!$B$5:$B$304,MATCH(D3705,'Sản phẩm'!$A$5:$A$304,0)),""))</f>
        <v/>
      </c>
      <c r="F3705" s="12" t="n"/>
      <c r="G3705" s="11" t="n"/>
      <c r="H3705" s="11" t="n"/>
      <c r="I3705" s="16">
        <f>IF(D3705="","",IF(G3705&lt;&gt;"",G3705,IFERROR(INDEX('Sản phẩm'!$E$5:$E$304,MATCH(D3705,'Sản phẩm'!$A$5:$A$304,0)),"")))</f>
        <v/>
      </c>
      <c r="J3705" s="16">
        <f>IF(OR(D3705="",F3705=""),"",F3705*I3705-N(H3705))</f>
        <v/>
      </c>
      <c r="K3705" s="16">
        <f>IF(OR(D3705="",F3705=""),"",F3705*IFERROR(INDEX('Sản phẩm'!$D$5:$D$304,MATCH(D3705,'Sản phẩm'!$A$5:$A$304,0)),""))</f>
        <v/>
      </c>
      <c r="L3705" s="16">
        <f>IF(J3705="","",J3705-K3705)</f>
        <v/>
      </c>
      <c r="M3705" s="14">
        <f>IF(A3705="","",MONTH(A3705))</f>
        <v/>
      </c>
      <c r="N3705" s="14">
        <f>IF(A3705="","",YEAR(A3705))</f>
        <v/>
      </c>
    </row>
    <row r="3706">
      <c r="A3706" s="15" t="n"/>
      <c r="B3706" s="10" t="n"/>
      <c r="C3706" s="10" t="n"/>
      <c r="D3706" s="10" t="n"/>
      <c r="E3706" s="14">
        <f>IF(D3706="","",IFERROR(INDEX('Sản phẩm'!$B$5:$B$304,MATCH(D3706,'Sản phẩm'!$A$5:$A$304,0)),""))</f>
        <v/>
      </c>
      <c r="F3706" s="12" t="n"/>
      <c r="G3706" s="11" t="n"/>
      <c r="H3706" s="11" t="n"/>
      <c r="I3706" s="16">
        <f>IF(D3706="","",IF(G3706&lt;&gt;"",G3706,IFERROR(INDEX('Sản phẩm'!$E$5:$E$304,MATCH(D3706,'Sản phẩm'!$A$5:$A$304,0)),"")))</f>
        <v/>
      </c>
      <c r="J3706" s="16">
        <f>IF(OR(D3706="",F3706=""),"",F3706*I3706-N(H3706))</f>
        <v/>
      </c>
      <c r="K3706" s="16">
        <f>IF(OR(D3706="",F3706=""),"",F3706*IFERROR(INDEX('Sản phẩm'!$D$5:$D$304,MATCH(D3706,'Sản phẩm'!$A$5:$A$304,0)),""))</f>
        <v/>
      </c>
      <c r="L3706" s="16">
        <f>IF(J3706="","",J3706-K3706)</f>
        <v/>
      </c>
      <c r="M3706" s="14">
        <f>IF(A3706="","",MONTH(A3706))</f>
        <v/>
      </c>
      <c r="N3706" s="14">
        <f>IF(A3706="","",YEAR(A3706))</f>
        <v/>
      </c>
    </row>
    <row r="3707">
      <c r="A3707" s="15" t="n"/>
      <c r="B3707" s="10" t="n"/>
      <c r="C3707" s="10" t="n"/>
      <c r="D3707" s="10" t="n"/>
      <c r="E3707" s="14">
        <f>IF(D3707="","",IFERROR(INDEX('Sản phẩm'!$B$5:$B$304,MATCH(D3707,'Sản phẩm'!$A$5:$A$304,0)),""))</f>
        <v/>
      </c>
      <c r="F3707" s="12" t="n"/>
      <c r="G3707" s="11" t="n"/>
      <c r="H3707" s="11" t="n"/>
      <c r="I3707" s="16">
        <f>IF(D3707="","",IF(G3707&lt;&gt;"",G3707,IFERROR(INDEX('Sản phẩm'!$E$5:$E$304,MATCH(D3707,'Sản phẩm'!$A$5:$A$304,0)),"")))</f>
        <v/>
      </c>
      <c r="J3707" s="16">
        <f>IF(OR(D3707="",F3707=""),"",F3707*I3707-N(H3707))</f>
        <v/>
      </c>
      <c r="K3707" s="16">
        <f>IF(OR(D3707="",F3707=""),"",F3707*IFERROR(INDEX('Sản phẩm'!$D$5:$D$304,MATCH(D3707,'Sản phẩm'!$A$5:$A$304,0)),""))</f>
        <v/>
      </c>
      <c r="L3707" s="16">
        <f>IF(J3707="","",J3707-K3707)</f>
        <v/>
      </c>
      <c r="M3707" s="14">
        <f>IF(A3707="","",MONTH(A3707))</f>
        <v/>
      </c>
      <c r="N3707" s="14">
        <f>IF(A3707="","",YEAR(A3707))</f>
        <v/>
      </c>
    </row>
    <row r="3708">
      <c r="A3708" s="15" t="n"/>
      <c r="B3708" s="10" t="n"/>
      <c r="C3708" s="10" t="n"/>
      <c r="D3708" s="10" t="n"/>
      <c r="E3708" s="14">
        <f>IF(D3708="","",IFERROR(INDEX('Sản phẩm'!$B$5:$B$304,MATCH(D3708,'Sản phẩm'!$A$5:$A$304,0)),""))</f>
        <v/>
      </c>
      <c r="F3708" s="12" t="n"/>
      <c r="G3708" s="11" t="n"/>
      <c r="H3708" s="11" t="n"/>
      <c r="I3708" s="16">
        <f>IF(D3708="","",IF(G3708&lt;&gt;"",G3708,IFERROR(INDEX('Sản phẩm'!$E$5:$E$304,MATCH(D3708,'Sản phẩm'!$A$5:$A$304,0)),"")))</f>
        <v/>
      </c>
      <c r="J3708" s="16">
        <f>IF(OR(D3708="",F3708=""),"",F3708*I3708-N(H3708))</f>
        <v/>
      </c>
      <c r="K3708" s="16">
        <f>IF(OR(D3708="",F3708=""),"",F3708*IFERROR(INDEX('Sản phẩm'!$D$5:$D$304,MATCH(D3708,'Sản phẩm'!$A$5:$A$304,0)),""))</f>
        <v/>
      </c>
      <c r="L3708" s="16">
        <f>IF(J3708="","",J3708-K3708)</f>
        <v/>
      </c>
      <c r="M3708" s="14">
        <f>IF(A3708="","",MONTH(A3708))</f>
        <v/>
      </c>
      <c r="N3708" s="14">
        <f>IF(A3708="","",YEAR(A3708))</f>
        <v/>
      </c>
    </row>
    <row r="3709">
      <c r="A3709" s="15" t="n"/>
      <c r="B3709" s="10" t="n"/>
      <c r="C3709" s="10" t="n"/>
      <c r="D3709" s="10" t="n"/>
      <c r="E3709" s="14">
        <f>IF(D3709="","",IFERROR(INDEX('Sản phẩm'!$B$5:$B$304,MATCH(D3709,'Sản phẩm'!$A$5:$A$304,0)),""))</f>
        <v/>
      </c>
      <c r="F3709" s="12" t="n"/>
      <c r="G3709" s="11" t="n"/>
      <c r="H3709" s="11" t="n"/>
      <c r="I3709" s="16">
        <f>IF(D3709="","",IF(G3709&lt;&gt;"",G3709,IFERROR(INDEX('Sản phẩm'!$E$5:$E$304,MATCH(D3709,'Sản phẩm'!$A$5:$A$304,0)),"")))</f>
        <v/>
      </c>
      <c r="J3709" s="16">
        <f>IF(OR(D3709="",F3709=""),"",F3709*I3709-N(H3709))</f>
        <v/>
      </c>
      <c r="K3709" s="16">
        <f>IF(OR(D3709="",F3709=""),"",F3709*IFERROR(INDEX('Sản phẩm'!$D$5:$D$304,MATCH(D3709,'Sản phẩm'!$A$5:$A$304,0)),""))</f>
        <v/>
      </c>
      <c r="L3709" s="16">
        <f>IF(J3709="","",J3709-K3709)</f>
        <v/>
      </c>
      <c r="M3709" s="14">
        <f>IF(A3709="","",MONTH(A3709))</f>
        <v/>
      </c>
      <c r="N3709" s="14">
        <f>IF(A3709="","",YEAR(A3709))</f>
        <v/>
      </c>
    </row>
    <row r="3710">
      <c r="A3710" s="15" t="n"/>
      <c r="B3710" s="10" t="n"/>
      <c r="C3710" s="10" t="n"/>
      <c r="D3710" s="10" t="n"/>
      <c r="E3710" s="14">
        <f>IF(D3710="","",IFERROR(INDEX('Sản phẩm'!$B$5:$B$304,MATCH(D3710,'Sản phẩm'!$A$5:$A$304,0)),""))</f>
        <v/>
      </c>
      <c r="F3710" s="12" t="n"/>
      <c r="G3710" s="11" t="n"/>
      <c r="H3710" s="11" t="n"/>
      <c r="I3710" s="16">
        <f>IF(D3710="","",IF(G3710&lt;&gt;"",G3710,IFERROR(INDEX('Sản phẩm'!$E$5:$E$304,MATCH(D3710,'Sản phẩm'!$A$5:$A$304,0)),"")))</f>
        <v/>
      </c>
      <c r="J3710" s="16">
        <f>IF(OR(D3710="",F3710=""),"",F3710*I3710-N(H3710))</f>
        <v/>
      </c>
      <c r="K3710" s="16">
        <f>IF(OR(D3710="",F3710=""),"",F3710*IFERROR(INDEX('Sản phẩm'!$D$5:$D$304,MATCH(D3710,'Sản phẩm'!$A$5:$A$304,0)),""))</f>
        <v/>
      </c>
      <c r="L3710" s="16">
        <f>IF(J3710="","",J3710-K3710)</f>
        <v/>
      </c>
      <c r="M3710" s="14">
        <f>IF(A3710="","",MONTH(A3710))</f>
        <v/>
      </c>
      <c r="N3710" s="14">
        <f>IF(A3710="","",YEAR(A3710))</f>
        <v/>
      </c>
    </row>
    <row r="3711">
      <c r="A3711" s="15" t="n"/>
      <c r="B3711" s="10" t="n"/>
      <c r="C3711" s="10" t="n"/>
      <c r="D3711" s="10" t="n"/>
      <c r="E3711" s="14">
        <f>IF(D3711="","",IFERROR(INDEX('Sản phẩm'!$B$5:$B$304,MATCH(D3711,'Sản phẩm'!$A$5:$A$304,0)),""))</f>
        <v/>
      </c>
      <c r="F3711" s="12" t="n"/>
      <c r="G3711" s="11" t="n"/>
      <c r="H3711" s="11" t="n"/>
      <c r="I3711" s="16">
        <f>IF(D3711="","",IF(G3711&lt;&gt;"",G3711,IFERROR(INDEX('Sản phẩm'!$E$5:$E$304,MATCH(D3711,'Sản phẩm'!$A$5:$A$304,0)),"")))</f>
        <v/>
      </c>
      <c r="J3711" s="16">
        <f>IF(OR(D3711="",F3711=""),"",F3711*I3711-N(H3711))</f>
        <v/>
      </c>
      <c r="K3711" s="16">
        <f>IF(OR(D3711="",F3711=""),"",F3711*IFERROR(INDEX('Sản phẩm'!$D$5:$D$304,MATCH(D3711,'Sản phẩm'!$A$5:$A$304,0)),""))</f>
        <v/>
      </c>
      <c r="L3711" s="16">
        <f>IF(J3711="","",J3711-K3711)</f>
        <v/>
      </c>
      <c r="M3711" s="14">
        <f>IF(A3711="","",MONTH(A3711))</f>
        <v/>
      </c>
      <c r="N3711" s="14">
        <f>IF(A3711="","",YEAR(A3711))</f>
        <v/>
      </c>
    </row>
    <row r="3712">
      <c r="A3712" s="15" t="n"/>
      <c r="B3712" s="10" t="n"/>
      <c r="C3712" s="10" t="n"/>
      <c r="D3712" s="10" t="n"/>
      <c r="E3712" s="14">
        <f>IF(D3712="","",IFERROR(INDEX('Sản phẩm'!$B$5:$B$304,MATCH(D3712,'Sản phẩm'!$A$5:$A$304,0)),""))</f>
        <v/>
      </c>
      <c r="F3712" s="12" t="n"/>
      <c r="G3712" s="11" t="n"/>
      <c r="H3712" s="11" t="n"/>
      <c r="I3712" s="16">
        <f>IF(D3712="","",IF(G3712&lt;&gt;"",G3712,IFERROR(INDEX('Sản phẩm'!$E$5:$E$304,MATCH(D3712,'Sản phẩm'!$A$5:$A$304,0)),"")))</f>
        <v/>
      </c>
      <c r="J3712" s="16">
        <f>IF(OR(D3712="",F3712=""),"",F3712*I3712-N(H3712))</f>
        <v/>
      </c>
      <c r="K3712" s="16">
        <f>IF(OR(D3712="",F3712=""),"",F3712*IFERROR(INDEX('Sản phẩm'!$D$5:$D$304,MATCH(D3712,'Sản phẩm'!$A$5:$A$304,0)),""))</f>
        <v/>
      </c>
      <c r="L3712" s="16">
        <f>IF(J3712="","",J3712-K3712)</f>
        <v/>
      </c>
      <c r="M3712" s="14">
        <f>IF(A3712="","",MONTH(A3712))</f>
        <v/>
      </c>
      <c r="N3712" s="14">
        <f>IF(A3712="","",YEAR(A3712))</f>
        <v/>
      </c>
    </row>
    <row r="3713">
      <c r="A3713" s="15" t="n"/>
      <c r="B3713" s="10" t="n"/>
      <c r="C3713" s="10" t="n"/>
      <c r="D3713" s="10" t="n"/>
      <c r="E3713" s="14">
        <f>IF(D3713="","",IFERROR(INDEX('Sản phẩm'!$B$5:$B$304,MATCH(D3713,'Sản phẩm'!$A$5:$A$304,0)),""))</f>
        <v/>
      </c>
      <c r="F3713" s="12" t="n"/>
      <c r="G3713" s="11" t="n"/>
      <c r="H3713" s="11" t="n"/>
      <c r="I3713" s="16">
        <f>IF(D3713="","",IF(G3713&lt;&gt;"",G3713,IFERROR(INDEX('Sản phẩm'!$E$5:$E$304,MATCH(D3713,'Sản phẩm'!$A$5:$A$304,0)),"")))</f>
        <v/>
      </c>
      <c r="J3713" s="16">
        <f>IF(OR(D3713="",F3713=""),"",F3713*I3713-N(H3713))</f>
        <v/>
      </c>
      <c r="K3713" s="16">
        <f>IF(OR(D3713="",F3713=""),"",F3713*IFERROR(INDEX('Sản phẩm'!$D$5:$D$304,MATCH(D3713,'Sản phẩm'!$A$5:$A$304,0)),""))</f>
        <v/>
      </c>
      <c r="L3713" s="16">
        <f>IF(J3713="","",J3713-K3713)</f>
        <v/>
      </c>
      <c r="M3713" s="14">
        <f>IF(A3713="","",MONTH(A3713))</f>
        <v/>
      </c>
      <c r="N3713" s="14">
        <f>IF(A3713="","",YEAR(A3713))</f>
        <v/>
      </c>
    </row>
    <row r="3714">
      <c r="A3714" s="15" t="n"/>
      <c r="B3714" s="10" t="n"/>
      <c r="C3714" s="10" t="n"/>
      <c r="D3714" s="10" t="n"/>
      <c r="E3714" s="14">
        <f>IF(D3714="","",IFERROR(INDEX('Sản phẩm'!$B$5:$B$304,MATCH(D3714,'Sản phẩm'!$A$5:$A$304,0)),""))</f>
        <v/>
      </c>
      <c r="F3714" s="12" t="n"/>
      <c r="G3714" s="11" t="n"/>
      <c r="H3714" s="11" t="n"/>
      <c r="I3714" s="16">
        <f>IF(D3714="","",IF(G3714&lt;&gt;"",G3714,IFERROR(INDEX('Sản phẩm'!$E$5:$E$304,MATCH(D3714,'Sản phẩm'!$A$5:$A$304,0)),"")))</f>
        <v/>
      </c>
      <c r="J3714" s="16">
        <f>IF(OR(D3714="",F3714=""),"",F3714*I3714-N(H3714))</f>
        <v/>
      </c>
      <c r="K3714" s="16">
        <f>IF(OR(D3714="",F3714=""),"",F3714*IFERROR(INDEX('Sản phẩm'!$D$5:$D$304,MATCH(D3714,'Sản phẩm'!$A$5:$A$304,0)),""))</f>
        <v/>
      </c>
      <c r="L3714" s="16">
        <f>IF(J3714="","",J3714-K3714)</f>
        <v/>
      </c>
      <c r="M3714" s="14">
        <f>IF(A3714="","",MONTH(A3714))</f>
        <v/>
      </c>
      <c r="N3714" s="14">
        <f>IF(A3714="","",YEAR(A3714))</f>
        <v/>
      </c>
    </row>
    <row r="3715">
      <c r="A3715" s="15" t="n"/>
      <c r="B3715" s="10" t="n"/>
      <c r="C3715" s="10" t="n"/>
      <c r="D3715" s="10" t="n"/>
      <c r="E3715" s="14">
        <f>IF(D3715="","",IFERROR(INDEX('Sản phẩm'!$B$5:$B$304,MATCH(D3715,'Sản phẩm'!$A$5:$A$304,0)),""))</f>
        <v/>
      </c>
      <c r="F3715" s="12" t="n"/>
      <c r="G3715" s="11" t="n"/>
      <c r="H3715" s="11" t="n"/>
      <c r="I3715" s="16">
        <f>IF(D3715="","",IF(G3715&lt;&gt;"",G3715,IFERROR(INDEX('Sản phẩm'!$E$5:$E$304,MATCH(D3715,'Sản phẩm'!$A$5:$A$304,0)),"")))</f>
        <v/>
      </c>
      <c r="J3715" s="16">
        <f>IF(OR(D3715="",F3715=""),"",F3715*I3715-N(H3715))</f>
        <v/>
      </c>
      <c r="K3715" s="16">
        <f>IF(OR(D3715="",F3715=""),"",F3715*IFERROR(INDEX('Sản phẩm'!$D$5:$D$304,MATCH(D3715,'Sản phẩm'!$A$5:$A$304,0)),""))</f>
        <v/>
      </c>
      <c r="L3715" s="16">
        <f>IF(J3715="","",J3715-K3715)</f>
        <v/>
      </c>
      <c r="M3715" s="14">
        <f>IF(A3715="","",MONTH(A3715))</f>
        <v/>
      </c>
      <c r="N3715" s="14">
        <f>IF(A3715="","",YEAR(A3715))</f>
        <v/>
      </c>
    </row>
    <row r="3716">
      <c r="A3716" s="15" t="n"/>
      <c r="B3716" s="10" t="n"/>
      <c r="C3716" s="10" t="n"/>
      <c r="D3716" s="10" t="n"/>
      <c r="E3716" s="14">
        <f>IF(D3716="","",IFERROR(INDEX('Sản phẩm'!$B$5:$B$304,MATCH(D3716,'Sản phẩm'!$A$5:$A$304,0)),""))</f>
        <v/>
      </c>
      <c r="F3716" s="12" t="n"/>
      <c r="G3716" s="11" t="n"/>
      <c r="H3716" s="11" t="n"/>
      <c r="I3716" s="16">
        <f>IF(D3716="","",IF(G3716&lt;&gt;"",G3716,IFERROR(INDEX('Sản phẩm'!$E$5:$E$304,MATCH(D3716,'Sản phẩm'!$A$5:$A$304,0)),"")))</f>
        <v/>
      </c>
      <c r="J3716" s="16">
        <f>IF(OR(D3716="",F3716=""),"",F3716*I3716-N(H3716))</f>
        <v/>
      </c>
      <c r="K3716" s="16">
        <f>IF(OR(D3716="",F3716=""),"",F3716*IFERROR(INDEX('Sản phẩm'!$D$5:$D$304,MATCH(D3716,'Sản phẩm'!$A$5:$A$304,0)),""))</f>
        <v/>
      </c>
      <c r="L3716" s="16">
        <f>IF(J3716="","",J3716-K3716)</f>
        <v/>
      </c>
      <c r="M3716" s="14">
        <f>IF(A3716="","",MONTH(A3716))</f>
        <v/>
      </c>
      <c r="N3716" s="14">
        <f>IF(A3716="","",YEAR(A3716))</f>
        <v/>
      </c>
    </row>
    <row r="3717">
      <c r="A3717" s="15" t="n"/>
      <c r="B3717" s="10" t="n"/>
      <c r="C3717" s="10" t="n"/>
      <c r="D3717" s="10" t="n"/>
      <c r="E3717" s="14">
        <f>IF(D3717="","",IFERROR(INDEX('Sản phẩm'!$B$5:$B$304,MATCH(D3717,'Sản phẩm'!$A$5:$A$304,0)),""))</f>
        <v/>
      </c>
      <c r="F3717" s="12" t="n"/>
      <c r="G3717" s="11" t="n"/>
      <c r="H3717" s="11" t="n"/>
      <c r="I3717" s="16">
        <f>IF(D3717="","",IF(G3717&lt;&gt;"",G3717,IFERROR(INDEX('Sản phẩm'!$E$5:$E$304,MATCH(D3717,'Sản phẩm'!$A$5:$A$304,0)),"")))</f>
        <v/>
      </c>
      <c r="J3717" s="16">
        <f>IF(OR(D3717="",F3717=""),"",F3717*I3717-N(H3717))</f>
        <v/>
      </c>
      <c r="K3717" s="16">
        <f>IF(OR(D3717="",F3717=""),"",F3717*IFERROR(INDEX('Sản phẩm'!$D$5:$D$304,MATCH(D3717,'Sản phẩm'!$A$5:$A$304,0)),""))</f>
        <v/>
      </c>
      <c r="L3717" s="16">
        <f>IF(J3717="","",J3717-K3717)</f>
        <v/>
      </c>
      <c r="M3717" s="14">
        <f>IF(A3717="","",MONTH(A3717))</f>
        <v/>
      </c>
      <c r="N3717" s="14">
        <f>IF(A3717="","",YEAR(A3717))</f>
        <v/>
      </c>
    </row>
    <row r="3718">
      <c r="A3718" s="15" t="n"/>
      <c r="B3718" s="10" t="n"/>
      <c r="C3718" s="10" t="n"/>
      <c r="D3718" s="10" t="n"/>
      <c r="E3718" s="14">
        <f>IF(D3718="","",IFERROR(INDEX('Sản phẩm'!$B$5:$B$304,MATCH(D3718,'Sản phẩm'!$A$5:$A$304,0)),""))</f>
        <v/>
      </c>
      <c r="F3718" s="12" t="n"/>
      <c r="G3718" s="11" t="n"/>
      <c r="H3718" s="11" t="n"/>
      <c r="I3718" s="16">
        <f>IF(D3718="","",IF(G3718&lt;&gt;"",G3718,IFERROR(INDEX('Sản phẩm'!$E$5:$E$304,MATCH(D3718,'Sản phẩm'!$A$5:$A$304,0)),"")))</f>
        <v/>
      </c>
      <c r="J3718" s="16">
        <f>IF(OR(D3718="",F3718=""),"",F3718*I3718-N(H3718))</f>
        <v/>
      </c>
      <c r="K3718" s="16">
        <f>IF(OR(D3718="",F3718=""),"",F3718*IFERROR(INDEX('Sản phẩm'!$D$5:$D$304,MATCH(D3718,'Sản phẩm'!$A$5:$A$304,0)),""))</f>
        <v/>
      </c>
      <c r="L3718" s="16">
        <f>IF(J3718="","",J3718-K3718)</f>
        <v/>
      </c>
      <c r="M3718" s="14">
        <f>IF(A3718="","",MONTH(A3718))</f>
        <v/>
      </c>
      <c r="N3718" s="14">
        <f>IF(A3718="","",YEAR(A3718))</f>
        <v/>
      </c>
    </row>
    <row r="3719">
      <c r="A3719" s="15" t="n"/>
      <c r="B3719" s="10" t="n"/>
      <c r="C3719" s="10" t="n"/>
      <c r="D3719" s="10" t="n"/>
      <c r="E3719" s="14">
        <f>IF(D3719="","",IFERROR(INDEX('Sản phẩm'!$B$5:$B$304,MATCH(D3719,'Sản phẩm'!$A$5:$A$304,0)),""))</f>
        <v/>
      </c>
      <c r="F3719" s="12" t="n"/>
      <c r="G3719" s="11" t="n"/>
      <c r="H3719" s="11" t="n"/>
      <c r="I3719" s="16">
        <f>IF(D3719="","",IF(G3719&lt;&gt;"",G3719,IFERROR(INDEX('Sản phẩm'!$E$5:$E$304,MATCH(D3719,'Sản phẩm'!$A$5:$A$304,0)),"")))</f>
        <v/>
      </c>
      <c r="J3719" s="16">
        <f>IF(OR(D3719="",F3719=""),"",F3719*I3719-N(H3719))</f>
        <v/>
      </c>
      <c r="K3719" s="16">
        <f>IF(OR(D3719="",F3719=""),"",F3719*IFERROR(INDEX('Sản phẩm'!$D$5:$D$304,MATCH(D3719,'Sản phẩm'!$A$5:$A$304,0)),""))</f>
        <v/>
      </c>
      <c r="L3719" s="16">
        <f>IF(J3719="","",J3719-K3719)</f>
        <v/>
      </c>
      <c r="M3719" s="14">
        <f>IF(A3719="","",MONTH(A3719))</f>
        <v/>
      </c>
      <c r="N3719" s="14">
        <f>IF(A3719="","",YEAR(A3719))</f>
        <v/>
      </c>
    </row>
    <row r="3720">
      <c r="A3720" s="15" t="n"/>
      <c r="B3720" s="10" t="n"/>
      <c r="C3720" s="10" t="n"/>
      <c r="D3720" s="10" t="n"/>
      <c r="E3720" s="14">
        <f>IF(D3720="","",IFERROR(INDEX('Sản phẩm'!$B$5:$B$304,MATCH(D3720,'Sản phẩm'!$A$5:$A$304,0)),""))</f>
        <v/>
      </c>
      <c r="F3720" s="12" t="n"/>
      <c r="G3720" s="11" t="n"/>
      <c r="H3720" s="11" t="n"/>
      <c r="I3720" s="16">
        <f>IF(D3720="","",IF(G3720&lt;&gt;"",G3720,IFERROR(INDEX('Sản phẩm'!$E$5:$E$304,MATCH(D3720,'Sản phẩm'!$A$5:$A$304,0)),"")))</f>
        <v/>
      </c>
      <c r="J3720" s="16">
        <f>IF(OR(D3720="",F3720=""),"",F3720*I3720-N(H3720))</f>
        <v/>
      </c>
      <c r="K3720" s="16">
        <f>IF(OR(D3720="",F3720=""),"",F3720*IFERROR(INDEX('Sản phẩm'!$D$5:$D$304,MATCH(D3720,'Sản phẩm'!$A$5:$A$304,0)),""))</f>
        <v/>
      </c>
      <c r="L3720" s="16">
        <f>IF(J3720="","",J3720-K3720)</f>
        <v/>
      </c>
      <c r="M3720" s="14">
        <f>IF(A3720="","",MONTH(A3720))</f>
        <v/>
      </c>
      <c r="N3720" s="14">
        <f>IF(A3720="","",YEAR(A3720))</f>
        <v/>
      </c>
    </row>
    <row r="3721">
      <c r="A3721" s="15" t="n"/>
      <c r="B3721" s="10" t="n"/>
      <c r="C3721" s="10" t="n"/>
      <c r="D3721" s="10" t="n"/>
      <c r="E3721" s="14">
        <f>IF(D3721="","",IFERROR(INDEX('Sản phẩm'!$B$5:$B$304,MATCH(D3721,'Sản phẩm'!$A$5:$A$304,0)),""))</f>
        <v/>
      </c>
      <c r="F3721" s="12" t="n"/>
      <c r="G3721" s="11" t="n"/>
      <c r="H3721" s="11" t="n"/>
      <c r="I3721" s="16">
        <f>IF(D3721="","",IF(G3721&lt;&gt;"",G3721,IFERROR(INDEX('Sản phẩm'!$E$5:$E$304,MATCH(D3721,'Sản phẩm'!$A$5:$A$304,0)),"")))</f>
        <v/>
      </c>
      <c r="J3721" s="16">
        <f>IF(OR(D3721="",F3721=""),"",F3721*I3721-N(H3721))</f>
        <v/>
      </c>
      <c r="K3721" s="16">
        <f>IF(OR(D3721="",F3721=""),"",F3721*IFERROR(INDEX('Sản phẩm'!$D$5:$D$304,MATCH(D3721,'Sản phẩm'!$A$5:$A$304,0)),""))</f>
        <v/>
      </c>
      <c r="L3721" s="16">
        <f>IF(J3721="","",J3721-K3721)</f>
        <v/>
      </c>
      <c r="M3721" s="14">
        <f>IF(A3721="","",MONTH(A3721))</f>
        <v/>
      </c>
      <c r="N3721" s="14">
        <f>IF(A3721="","",YEAR(A3721))</f>
        <v/>
      </c>
    </row>
    <row r="3722">
      <c r="A3722" s="15" t="n"/>
      <c r="B3722" s="10" t="n"/>
      <c r="C3722" s="10" t="n"/>
      <c r="D3722" s="10" t="n"/>
      <c r="E3722" s="14">
        <f>IF(D3722="","",IFERROR(INDEX('Sản phẩm'!$B$5:$B$304,MATCH(D3722,'Sản phẩm'!$A$5:$A$304,0)),""))</f>
        <v/>
      </c>
      <c r="F3722" s="12" t="n"/>
      <c r="G3722" s="11" t="n"/>
      <c r="H3722" s="11" t="n"/>
      <c r="I3722" s="16">
        <f>IF(D3722="","",IF(G3722&lt;&gt;"",G3722,IFERROR(INDEX('Sản phẩm'!$E$5:$E$304,MATCH(D3722,'Sản phẩm'!$A$5:$A$304,0)),"")))</f>
        <v/>
      </c>
      <c r="J3722" s="16">
        <f>IF(OR(D3722="",F3722=""),"",F3722*I3722-N(H3722))</f>
        <v/>
      </c>
      <c r="K3722" s="16">
        <f>IF(OR(D3722="",F3722=""),"",F3722*IFERROR(INDEX('Sản phẩm'!$D$5:$D$304,MATCH(D3722,'Sản phẩm'!$A$5:$A$304,0)),""))</f>
        <v/>
      </c>
      <c r="L3722" s="16">
        <f>IF(J3722="","",J3722-K3722)</f>
        <v/>
      </c>
      <c r="M3722" s="14">
        <f>IF(A3722="","",MONTH(A3722))</f>
        <v/>
      </c>
      <c r="N3722" s="14">
        <f>IF(A3722="","",YEAR(A3722))</f>
        <v/>
      </c>
    </row>
    <row r="3723">
      <c r="A3723" s="15" t="n"/>
      <c r="B3723" s="10" t="n"/>
      <c r="C3723" s="10" t="n"/>
      <c r="D3723" s="10" t="n"/>
      <c r="E3723" s="14">
        <f>IF(D3723="","",IFERROR(INDEX('Sản phẩm'!$B$5:$B$304,MATCH(D3723,'Sản phẩm'!$A$5:$A$304,0)),""))</f>
        <v/>
      </c>
      <c r="F3723" s="12" t="n"/>
      <c r="G3723" s="11" t="n"/>
      <c r="H3723" s="11" t="n"/>
      <c r="I3723" s="16">
        <f>IF(D3723="","",IF(G3723&lt;&gt;"",G3723,IFERROR(INDEX('Sản phẩm'!$E$5:$E$304,MATCH(D3723,'Sản phẩm'!$A$5:$A$304,0)),"")))</f>
        <v/>
      </c>
      <c r="J3723" s="16">
        <f>IF(OR(D3723="",F3723=""),"",F3723*I3723-N(H3723))</f>
        <v/>
      </c>
      <c r="K3723" s="16">
        <f>IF(OR(D3723="",F3723=""),"",F3723*IFERROR(INDEX('Sản phẩm'!$D$5:$D$304,MATCH(D3723,'Sản phẩm'!$A$5:$A$304,0)),""))</f>
        <v/>
      </c>
      <c r="L3723" s="16">
        <f>IF(J3723="","",J3723-K3723)</f>
        <v/>
      </c>
      <c r="M3723" s="14">
        <f>IF(A3723="","",MONTH(A3723))</f>
        <v/>
      </c>
      <c r="N3723" s="14">
        <f>IF(A3723="","",YEAR(A3723))</f>
        <v/>
      </c>
    </row>
    <row r="3724">
      <c r="A3724" s="15" t="n"/>
      <c r="B3724" s="10" t="n"/>
      <c r="C3724" s="10" t="n"/>
      <c r="D3724" s="10" t="n"/>
      <c r="E3724" s="14">
        <f>IF(D3724="","",IFERROR(INDEX('Sản phẩm'!$B$5:$B$304,MATCH(D3724,'Sản phẩm'!$A$5:$A$304,0)),""))</f>
        <v/>
      </c>
      <c r="F3724" s="12" t="n"/>
      <c r="G3724" s="11" t="n"/>
      <c r="H3724" s="11" t="n"/>
      <c r="I3724" s="16">
        <f>IF(D3724="","",IF(G3724&lt;&gt;"",G3724,IFERROR(INDEX('Sản phẩm'!$E$5:$E$304,MATCH(D3724,'Sản phẩm'!$A$5:$A$304,0)),"")))</f>
        <v/>
      </c>
      <c r="J3724" s="16">
        <f>IF(OR(D3724="",F3724=""),"",F3724*I3724-N(H3724))</f>
        <v/>
      </c>
      <c r="K3724" s="16">
        <f>IF(OR(D3724="",F3724=""),"",F3724*IFERROR(INDEX('Sản phẩm'!$D$5:$D$304,MATCH(D3724,'Sản phẩm'!$A$5:$A$304,0)),""))</f>
        <v/>
      </c>
      <c r="L3724" s="16">
        <f>IF(J3724="","",J3724-K3724)</f>
        <v/>
      </c>
      <c r="M3724" s="14">
        <f>IF(A3724="","",MONTH(A3724))</f>
        <v/>
      </c>
      <c r="N3724" s="14">
        <f>IF(A3724="","",YEAR(A3724))</f>
        <v/>
      </c>
    </row>
    <row r="3725">
      <c r="A3725" s="15" t="n"/>
      <c r="B3725" s="10" t="n"/>
      <c r="C3725" s="10" t="n"/>
      <c r="D3725" s="10" t="n"/>
      <c r="E3725" s="14">
        <f>IF(D3725="","",IFERROR(INDEX('Sản phẩm'!$B$5:$B$304,MATCH(D3725,'Sản phẩm'!$A$5:$A$304,0)),""))</f>
        <v/>
      </c>
      <c r="F3725" s="12" t="n"/>
      <c r="G3725" s="11" t="n"/>
      <c r="H3725" s="11" t="n"/>
      <c r="I3725" s="16">
        <f>IF(D3725="","",IF(G3725&lt;&gt;"",G3725,IFERROR(INDEX('Sản phẩm'!$E$5:$E$304,MATCH(D3725,'Sản phẩm'!$A$5:$A$304,0)),"")))</f>
        <v/>
      </c>
      <c r="J3725" s="16">
        <f>IF(OR(D3725="",F3725=""),"",F3725*I3725-N(H3725))</f>
        <v/>
      </c>
      <c r="K3725" s="16">
        <f>IF(OR(D3725="",F3725=""),"",F3725*IFERROR(INDEX('Sản phẩm'!$D$5:$D$304,MATCH(D3725,'Sản phẩm'!$A$5:$A$304,0)),""))</f>
        <v/>
      </c>
      <c r="L3725" s="16">
        <f>IF(J3725="","",J3725-K3725)</f>
        <v/>
      </c>
      <c r="M3725" s="14">
        <f>IF(A3725="","",MONTH(A3725))</f>
        <v/>
      </c>
      <c r="N3725" s="14">
        <f>IF(A3725="","",YEAR(A3725))</f>
        <v/>
      </c>
    </row>
    <row r="3726">
      <c r="A3726" s="15" t="n"/>
      <c r="B3726" s="10" t="n"/>
      <c r="C3726" s="10" t="n"/>
      <c r="D3726" s="10" t="n"/>
      <c r="E3726" s="14">
        <f>IF(D3726="","",IFERROR(INDEX('Sản phẩm'!$B$5:$B$304,MATCH(D3726,'Sản phẩm'!$A$5:$A$304,0)),""))</f>
        <v/>
      </c>
      <c r="F3726" s="12" t="n"/>
      <c r="G3726" s="11" t="n"/>
      <c r="H3726" s="11" t="n"/>
      <c r="I3726" s="16">
        <f>IF(D3726="","",IF(G3726&lt;&gt;"",G3726,IFERROR(INDEX('Sản phẩm'!$E$5:$E$304,MATCH(D3726,'Sản phẩm'!$A$5:$A$304,0)),"")))</f>
        <v/>
      </c>
      <c r="J3726" s="16">
        <f>IF(OR(D3726="",F3726=""),"",F3726*I3726-N(H3726))</f>
        <v/>
      </c>
      <c r="K3726" s="16">
        <f>IF(OR(D3726="",F3726=""),"",F3726*IFERROR(INDEX('Sản phẩm'!$D$5:$D$304,MATCH(D3726,'Sản phẩm'!$A$5:$A$304,0)),""))</f>
        <v/>
      </c>
      <c r="L3726" s="16">
        <f>IF(J3726="","",J3726-K3726)</f>
        <v/>
      </c>
      <c r="M3726" s="14">
        <f>IF(A3726="","",MONTH(A3726))</f>
        <v/>
      </c>
      <c r="N3726" s="14">
        <f>IF(A3726="","",YEAR(A3726))</f>
        <v/>
      </c>
    </row>
    <row r="3727">
      <c r="A3727" s="15" t="n"/>
      <c r="B3727" s="10" t="n"/>
      <c r="C3727" s="10" t="n"/>
      <c r="D3727" s="10" t="n"/>
      <c r="E3727" s="14">
        <f>IF(D3727="","",IFERROR(INDEX('Sản phẩm'!$B$5:$B$304,MATCH(D3727,'Sản phẩm'!$A$5:$A$304,0)),""))</f>
        <v/>
      </c>
      <c r="F3727" s="12" t="n"/>
      <c r="G3727" s="11" t="n"/>
      <c r="H3727" s="11" t="n"/>
      <c r="I3727" s="16">
        <f>IF(D3727="","",IF(G3727&lt;&gt;"",G3727,IFERROR(INDEX('Sản phẩm'!$E$5:$E$304,MATCH(D3727,'Sản phẩm'!$A$5:$A$304,0)),"")))</f>
        <v/>
      </c>
      <c r="J3727" s="16">
        <f>IF(OR(D3727="",F3727=""),"",F3727*I3727-N(H3727))</f>
        <v/>
      </c>
      <c r="K3727" s="16">
        <f>IF(OR(D3727="",F3727=""),"",F3727*IFERROR(INDEX('Sản phẩm'!$D$5:$D$304,MATCH(D3727,'Sản phẩm'!$A$5:$A$304,0)),""))</f>
        <v/>
      </c>
      <c r="L3727" s="16">
        <f>IF(J3727="","",J3727-K3727)</f>
        <v/>
      </c>
      <c r="M3727" s="14">
        <f>IF(A3727="","",MONTH(A3727))</f>
        <v/>
      </c>
      <c r="N3727" s="14">
        <f>IF(A3727="","",YEAR(A3727))</f>
        <v/>
      </c>
    </row>
    <row r="3728">
      <c r="A3728" s="15" t="n"/>
      <c r="B3728" s="10" t="n"/>
      <c r="C3728" s="10" t="n"/>
      <c r="D3728" s="10" t="n"/>
      <c r="E3728" s="14">
        <f>IF(D3728="","",IFERROR(INDEX('Sản phẩm'!$B$5:$B$304,MATCH(D3728,'Sản phẩm'!$A$5:$A$304,0)),""))</f>
        <v/>
      </c>
      <c r="F3728" s="12" t="n"/>
      <c r="G3728" s="11" t="n"/>
      <c r="H3728" s="11" t="n"/>
      <c r="I3728" s="16">
        <f>IF(D3728="","",IF(G3728&lt;&gt;"",G3728,IFERROR(INDEX('Sản phẩm'!$E$5:$E$304,MATCH(D3728,'Sản phẩm'!$A$5:$A$304,0)),"")))</f>
        <v/>
      </c>
      <c r="J3728" s="16">
        <f>IF(OR(D3728="",F3728=""),"",F3728*I3728-N(H3728))</f>
        <v/>
      </c>
      <c r="K3728" s="16">
        <f>IF(OR(D3728="",F3728=""),"",F3728*IFERROR(INDEX('Sản phẩm'!$D$5:$D$304,MATCH(D3728,'Sản phẩm'!$A$5:$A$304,0)),""))</f>
        <v/>
      </c>
      <c r="L3728" s="16">
        <f>IF(J3728="","",J3728-K3728)</f>
        <v/>
      </c>
      <c r="M3728" s="14">
        <f>IF(A3728="","",MONTH(A3728))</f>
        <v/>
      </c>
      <c r="N3728" s="14">
        <f>IF(A3728="","",YEAR(A3728))</f>
        <v/>
      </c>
    </row>
    <row r="3729">
      <c r="A3729" s="15" t="n"/>
      <c r="B3729" s="10" t="n"/>
      <c r="C3729" s="10" t="n"/>
      <c r="D3729" s="10" t="n"/>
      <c r="E3729" s="14">
        <f>IF(D3729="","",IFERROR(INDEX('Sản phẩm'!$B$5:$B$304,MATCH(D3729,'Sản phẩm'!$A$5:$A$304,0)),""))</f>
        <v/>
      </c>
      <c r="F3729" s="12" t="n"/>
      <c r="G3729" s="11" t="n"/>
      <c r="H3729" s="11" t="n"/>
      <c r="I3729" s="16">
        <f>IF(D3729="","",IF(G3729&lt;&gt;"",G3729,IFERROR(INDEX('Sản phẩm'!$E$5:$E$304,MATCH(D3729,'Sản phẩm'!$A$5:$A$304,0)),"")))</f>
        <v/>
      </c>
      <c r="J3729" s="16">
        <f>IF(OR(D3729="",F3729=""),"",F3729*I3729-N(H3729))</f>
        <v/>
      </c>
      <c r="K3729" s="16">
        <f>IF(OR(D3729="",F3729=""),"",F3729*IFERROR(INDEX('Sản phẩm'!$D$5:$D$304,MATCH(D3729,'Sản phẩm'!$A$5:$A$304,0)),""))</f>
        <v/>
      </c>
      <c r="L3729" s="16">
        <f>IF(J3729="","",J3729-K3729)</f>
        <v/>
      </c>
      <c r="M3729" s="14">
        <f>IF(A3729="","",MONTH(A3729))</f>
        <v/>
      </c>
      <c r="N3729" s="14">
        <f>IF(A3729="","",YEAR(A3729))</f>
        <v/>
      </c>
    </row>
    <row r="3730">
      <c r="A3730" s="15" t="n"/>
      <c r="B3730" s="10" t="n"/>
      <c r="C3730" s="10" t="n"/>
      <c r="D3730" s="10" t="n"/>
      <c r="E3730" s="14">
        <f>IF(D3730="","",IFERROR(INDEX('Sản phẩm'!$B$5:$B$304,MATCH(D3730,'Sản phẩm'!$A$5:$A$304,0)),""))</f>
        <v/>
      </c>
      <c r="F3730" s="12" t="n"/>
      <c r="G3730" s="11" t="n"/>
      <c r="H3730" s="11" t="n"/>
      <c r="I3730" s="16">
        <f>IF(D3730="","",IF(G3730&lt;&gt;"",G3730,IFERROR(INDEX('Sản phẩm'!$E$5:$E$304,MATCH(D3730,'Sản phẩm'!$A$5:$A$304,0)),"")))</f>
        <v/>
      </c>
      <c r="J3730" s="16">
        <f>IF(OR(D3730="",F3730=""),"",F3730*I3730-N(H3730))</f>
        <v/>
      </c>
      <c r="K3730" s="16">
        <f>IF(OR(D3730="",F3730=""),"",F3730*IFERROR(INDEX('Sản phẩm'!$D$5:$D$304,MATCH(D3730,'Sản phẩm'!$A$5:$A$304,0)),""))</f>
        <v/>
      </c>
      <c r="L3730" s="16">
        <f>IF(J3730="","",J3730-K3730)</f>
        <v/>
      </c>
      <c r="M3730" s="14">
        <f>IF(A3730="","",MONTH(A3730))</f>
        <v/>
      </c>
      <c r="N3730" s="14">
        <f>IF(A3730="","",YEAR(A3730))</f>
        <v/>
      </c>
    </row>
    <row r="3731">
      <c r="A3731" s="15" t="n"/>
      <c r="B3731" s="10" t="n"/>
      <c r="C3731" s="10" t="n"/>
      <c r="D3731" s="10" t="n"/>
      <c r="E3731" s="14">
        <f>IF(D3731="","",IFERROR(INDEX('Sản phẩm'!$B$5:$B$304,MATCH(D3731,'Sản phẩm'!$A$5:$A$304,0)),""))</f>
        <v/>
      </c>
      <c r="F3731" s="12" t="n"/>
      <c r="G3731" s="11" t="n"/>
      <c r="H3731" s="11" t="n"/>
      <c r="I3731" s="16">
        <f>IF(D3731="","",IF(G3731&lt;&gt;"",G3731,IFERROR(INDEX('Sản phẩm'!$E$5:$E$304,MATCH(D3731,'Sản phẩm'!$A$5:$A$304,0)),"")))</f>
        <v/>
      </c>
      <c r="J3731" s="16">
        <f>IF(OR(D3731="",F3731=""),"",F3731*I3731-N(H3731))</f>
        <v/>
      </c>
      <c r="K3731" s="16">
        <f>IF(OR(D3731="",F3731=""),"",F3731*IFERROR(INDEX('Sản phẩm'!$D$5:$D$304,MATCH(D3731,'Sản phẩm'!$A$5:$A$304,0)),""))</f>
        <v/>
      </c>
      <c r="L3731" s="16">
        <f>IF(J3731="","",J3731-K3731)</f>
        <v/>
      </c>
      <c r="M3731" s="14">
        <f>IF(A3731="","",MONTH(A3731))</f>
        <v/>
      </c>
      <c r="N3731" s="14">
        <f>IF(A3731="","",YEAR(A3731))</f>
        <v/>
      </c>
    </row>
    <row r="3732">
      <c r="A3732" s="15" t="n"/>
      <c r="B3732" s="10" t="n"/>
      <c r="C3732" s="10" t="n"/>
      <c r="D3732" s="10" t="n"/>
      <c r="E3732" s="14">
        <f>IF(D3732="","",IFERROR(INDEX('Sản phẩm'!$B$5:$B$304,MATCH(D3732,'Sản phẩm'!$A$5:$A$304,0)),""))</f>
        <v/>
      </c>
      <c r="F3732" s="12" t="n"/>
      <c r="G3732" s="11" t="n"/>
      <c r="H3732" s="11" t="n"/>
      <c r="I3732" s="16">
        <f>IF(D3732="","",IF(G3732&lt;&gt;"",G3732,IFERROR(INDEX('Sản phẩm'!$E$5:$E$304,MATCH(D3732,'Sản phẩm'!$A$5:$A$304,0)),"")))</f>
        <v/>
      </c>
      <c r="J3732" s="16">
        <f>IF(OR(D3732="",F3732=""),"",F3732*I3732-N(H3732))</f>
        <v/>
      </c>
      <c r="K3732" s="16">
        <f>IF(OR(D3732="",F3732=""),"",F3732*IFERROR(INDEX('Sản phẩm'!$D$5:$D$304,MATCH(D3732,'Sản phẩm'!$A$5:$A$304,0)),""))</f>
        <v/>
      </c>
      <c r="L3732" s="16">
        <f>IF(J3732="","",J3732-K3732)</f>
        <v/>
      </c>
      <c r="M3732" s="14">
        <f>IF(A3732="","",MONTH(A3732))</f>
        <v/>
      </c>
      <c r="N3732" s="14">
        <f>IF(A3732="","",YEAR(A3732))</f>
        <v/>
      </c>
    </row>
    <row r="3733">
      <c r="A3733" s="15" t="n"/>
      <c r="B3733" s="10" t="n"/>
      <c r="C3733" s="10" t="n"/>
      <c r="D3733" s="10" t="n"/>
      <c r="E3733" s="14">
        <f>IF(D3733="","",IFERROR(INDEX('Sản phẩm'!$B$5:$B$304,MATCH(D3733,'Sản phẩm'!$A$5:$A$304,0)),""))</f>
        <v/>
      </c>
      <c r="F3733" s="12" t="n"/>
      <c r="G3733" s="11" t="n"/>
      <c r="H3733" s="11" t="n"/>
      <c r="I3733" s="16">
        <f>IF(D3733="","",IF(G3733&lt;&gt;"",G3733,IFERROR(INDEX('Sản phẩm'!$E$5:$E$304,MATCH(D3733,'Sản phẩm'!$A$5:$A$304,0)),"")))</f>
        <v/>
      </c>
      <c r="J3733" s="16">
        <f>IF(OR(D3733="",F3733=""),"",F3733*I3733-N(H3733))</f>
        <v/>
      </c>
      <c r="K3733" s="16">
        <f>IF(OR(D3733="",F3733=""),"",F3733*IFERROR(INDEX('Sản phẩm'!$D$5:$D$304,MATCH(D3733,'Sản phẩm'!$A$5:$A$304,0)),""))</f>
        <v/>
      </c>
      <c r="L3733" s="16">
        <f>IF(J3733="","",J3733-K3733)</f>
        <v/>
      </c>
      <c r="M3733" s="14">
        <f>IF(A3733="","",MONTH(A3733))</f>
        <v/>
      </c>
      <c r="N3733" s="14">
        <f>IF(A3733="","",YEAR(A3733))</f>
        <v/>
      </c>
    </row>
    <row r="3734">
      <c r="A3734" s="15" t="n"/>
      <c r="B3734" s="10" t="n"/>
      <c r="C3734" s="10" t="n"/>
      <c r="D3734" s="10" t="n"/>
      <c r="E3734" s="14">
        <f>IF(D3734="","",IFERROR(INDEX('Sản phẩm'!$B$5:$B$304,MATCH(D3734,'Sản phẩm'!$A$5:$A$304,0)),""))</f>
        <v/>
      </c>
      <c r="F3734" s="12" t="n"/>
      <c r="G3734" s="11" t="n"/>
      <c r="H3734" s="11" t="n"/>
      <c r="I3734" s="16">
        <f>IF(D3734="","",IF(G3734&lt;&gt;"",G3734,IFERROR(INDEX('Sản phẩm'!$E$5:$E$304,MATCH(D3734,'Sản phẩm'!$A$5:$A$304,0)),"")))</f>
        <v/>
      </c>
      <c r="J3734" s="16">
        <f>IF(OR(D3734="",F3734=""),"",F3734*I3734-N(H3734))</f>
        <v/>
      </c>
      <c r="K3734" s="16">
        <f>IF(OR(D3734="",F3734=""),"",F3734*IFERROR(INDEX('Sản phẩm'!$D$5:$D$304,MATCH(D3734,'Sản phẩm'!$A$5:$A$304,0)),""))</f>
        <v/>
      </c>
      <c r="L3734" s="16">
        <f>IF(J3734="","",J3734-K3734)</f>
        <v/>
      </c>
      <c r="M3734" s="14">
        <f>IF(A3734="","",MONTH(A3734))</f>
        <v/>
      </c>
      <c r="N3734" s="14">
        <f>IF(A3734="","",YEAR(A3734))</f>
        <v/>
      </c>
    </row>
    <row r="3735">
      <c r="A3735" s="15" t="n"/>
      <c r="B3735" s="10" t="n"/>
      <c r="C3735" s="10" t="n"/>
      <c r="D3735" s="10" t="n"/>
      <c r="E3735" s="14">
        <f>IF(D3735="","",IFERROR(INDEX('Sản phẩm'!$B$5:$B$304,MATCH(D3735,'Sản phẩm'!$A$5:$A$304,0)),""))</f>
        <v/>
      </c>
      <c r="F3735" s="12" t="n"/>
      <c r="G3735" s="11" t="n"/>
      <c r="H3735" s="11" t="n"/>
      <c r="I3735" s="16">
        <f>IF(D3735="","",IF(G3735&lt;&gt;"",G3735,IFERROR(INDEX('Sản phẩm'!$E$5:$E$304,MATCH(D3735,'Sản phẩm'!$A$5:$A$304,0)),"")))</f>
        <v/>
      </c>
      <c r="J3735" s="16">
        <f>IF(OR(D3735="",F3735=""),"",F3735*I3735-N(H3735))</f>
        <v/>
      </c>
      <c r="K3735" s="16">
        <f>IF(OR(D3735="",F3735=""),"",F3735*IFERROR(INDEX('Sản phẩm'!$D$5:$D$304,MATCH(D3735,'Sản phẩm'!$A$5:$A$304,0)),""))</f>
        <v/>
      </c>
      <c r="L3735" s="16">
        <f>IF(J3735="","",J3735-K3735)</f>
        <v/>
      </c>
      <c r="M3735" s="14">
        <f>IF(A3735="","",MONTH(A3735))</f>
        <v/>
      </c>
      <c r="N3735" s="14">
        <f>IF(A3735="","",YEAR(A3735))</f>
        <v/>
      </c>
    </row>
    <row r="3736">
      <c r="A3736" s="15" t="n"/>
      <c r="B3736" s="10" t="n"/>
      <c r="C3736" s="10" t="n"/>
      <c r="D3736" s="10" t="n"/>
      <c r="E3736" s="14">
        <f>IF(D3736="","",IFERROR(INDEX('Sản phẩm'!$B$5:$B$304,MATCH(D3736,'Sản phẩm'!$A$5:$A$304,0)),""))</f>
        <v/>
      </c>
      <c r="F3736" s="12" t="n"/>
      <c r="G3736" s="11" t="n"/>
      <c r="H3736" s="11" t="n"/>
      <c r="I3736" s="16">
        <f>IF(D3736="","",IF(G3736&lt;&gt;"",G3736,IFERROR(INDEX('Sản phẩm'!$E$5:$E$304,MATCH(D3736,'Sản phẩm'!$A$5:$A$304,0)),"")))</f>
        <v/>
      </c>
      <c r="J3736" s="16">
        <f>IF(OR(D3736="",F3736=""),"",F3736*I3736-N(H3736))</f>
        <v/>
      </c>
      <c r="K3736" s="16">
        <f>IF(OR(D3736="",F3736=""),"",F3736*IFERROR(INDEX('Sản phẩm'!$D$5:$D$304,MATCH(D3736,'Sản phẩm'!$A$5:$A$304,0)),""))</f>
        <v/>
      </c>
      <c r="L3736" s="16">
        <f>IF(J3736="","",J3736-K3736)</f>
        <v/>
      </c>
      <c r="M3736" s="14">
        <f>IF(A3736="","",MONTH(A3736))</f>
        <v/>
      </c>
      <c r="N3736" s="14">
        <f>IF(A3736="","",YEAR(A3736))</f>
        <v/>
      </c>
    </row>
    <row r="3737">
      <c r="A3737" s="15" t="n"/>
      <c r="B3737" s="10" t="n"/>
      <c r="C3737" s="10" t="n"/>
      <c r="D3737" s="10" t="n"/>
      <c r="E3737" s="14">
        <f>IF(D3737="","",IFERROR(INDEX('Sản phẩm'!$B$5:$B$304,MATCH(D3737,'Sản phẩm'!$A$5:$A$304,0)),""))</f>
        <v/>
      </c>
      <c r="F3737" s="12" t="n"/>
      <c r="G3737" s="11" t="n"/>
      <c r="H3737" s="11" t="n"/>
      <c r="I3737" s="16">
        <f>IF(D3737="","",IF(G3737&lt;&gt;"",G3737,IFERROR(INDEX('Sản phẩm'!$E$5:$E$304,MATCH(D3737,'Sản phẩm'!$A$5:$A$304,0)),"")))</f>
        <v/>
      </c>
      <c r="J3737" s="16">
        <f>IF(OR(D3737="",F3737=""),"",F3737*I3737-N(H3737))</f>
        <v/>
      </c>
      <c r="K3737" s="16">
        <f>IF(OR(D3737="",F3737=""),"",F3737*IFERROR(INDEX('Sản phẩm'!$D$5:$D$304,MATCH(D3737,'Sản phẩm'!$A$5:$A$304,0)),""))</f>
        <v/>
      </c>
      <c r="L3737" s="16">
        <f>IF(J3737="","",J3737-K3737)</f>
        <v/>
      </c>
      <c r="M3737" s="14">
        <f>IF(A3737="","",MONTH(A3737))</f>
        <v/>
      </c>
      <c r="N3737" s="14">
        <f>IF(A3737="","",YEAR(A3737))</f>
        <v/>
      </c>
    </row>
    <row r="3738">
      <c r="A3738" s="15" t="n"/>
      <c r="B3738" s="10" t="n"/>
      <c r="C3738" s="10" t="n"/>
      <c r="D3738" s="10" t="n"/>
      <c r="E3738" s="14">
        <f>IF(D3738="","",IFERROR(INDEX('Sản phẩm'!$B$5:$B$304,MATCH(D3738,'Sản phẩm'!$A$5:$A$304,0)),""))</f>
        <v/>
      </c>
      <c r="F3738" s="12" t="n"/>
      <c r="G3738" s="11" t="n"/>
      <c r="H3738" s="11" t="n"/>
      <c r="I3738" s="16">
        <f>IF(D3738="","",IF(G3738&lt;&gt;"",G3738,IFERROR(INDEX('Sản phẩm'!$E$5:$E$304,MATCH(D3738,'Sản phẩm'!$A$5:$A$304,0)),"")))</f>
        <v/>
      </c>
      <c r="J3738" s="16">
        <f>IF(OR(D3738="",F3738=""),"",F3738*I3738-N(H3738))</f>
        <v/>
      </c>
      <c r="K3738" s="16">
        <f>IF(OR(D3738="",F3738=""),"",F3738*IFERROR(INDEX('Sản phẩm'!$D$5:$D$304,MATCH(D3738,'Sản phẩm'!$A$5:$A$304,0)),""))</f>
        <v/>
      </c>
      <c r="L3738" s="16">
        <f>IF(J3738="","",J3738-K3738)</f>
        <v/>
      </c>
      <c r="M3738" s="14">
        <f>IF(A3738="","",MONTH(A3738))</f>
        <v/>
      </c>
      <c r="N3738" s="14">
        <f>IF(A3738="","",YEAR(A3738))</f>
        <v/>
      </c>
    </row>
    <row r="3739">
      <c r="A3739" s="15" t="n"/>
      <c r="B3739" s="10" t="n"/>
      <c r="C3739" s="10" t="n"/>
      <c r="D3739" s="10" t="n"/>
      <c r="E3739" s="14">
        <f>IF(D3739="","",IFERROR(INDEX('Sản phẩm'!$B$5:$B$304,MATCH(D3739,'Sản phẩm'!$A$5:$A$304,0)),""))</f>
        <v/>
      </c>
      <c r="F3739" s="12" t="n"/>
      <c r="G3739" s="11" t="n"/>
      <c r="H3739" s="11" t="n"/>
      <c r="I3739" s="16">
        <f>IF(D3739="","",IF(G3739&lt;&gt;"",G3739,IFERROR(INDEX('Sản phẩm'!$E$5:$E$304,MATCH(D3739,'Sản phẩm'!$A$5:$A$304,0)),"")))</f>
        <v/>
      </c>
      <c r="J3739" s="16">
        <f>IF(OR(D3739="",F3739=""),"",F3739*I3739-N(H3739))</f>
        <v/>
      </c>
      <c r="K3739" s="16">
        <f>IF(OR(D3739="",F3739=""),"",F3739*IFERROR(INDEX('Sản phẩm'!$D$5:$D$304,MATCH(D3739,'Sản phẩm'!$A$5:$A$304,0)),""))</f>
        <v/>
      </c>
      <c r="L3739" s="16">
        <f>IF(J3739="","",J3739-K3739)</f>
        <v/>
      </c>
      <c r="M3739" s="14">
        <f>IF(A3739="","",MONTH(A3739))</f>
        <v/>
      </c>
      <c r="N3739" s="14">
        <f>IF(A3739="","",YEAR(A3739))</f>
        <v/>
      </c>
    </row>
    <row r="3740">
      <c r="A3740" s="15" t="n"/>
      <c r="B3740" s="10" t="n"/>
      <c r="C3740" s="10" t="n"/>
      <c r="D3740" s="10" t="n"/>
      <c r="E3740" s="14">
        <f>IF(D3740="","",IFERROR(INDEX('Sản phẩm'!$B$5:$B$304,MATCH(D3740,'Sản phẩm'!$A$5:$A$304,0)),""))</f>
        <v/>
      </c>
      <c r="F3740" s="12" t="n"/>
      <c r="G3740" s="11" t="n"/>
      <c r="H3740" s="11" t="n"/>
      <c r="I3740" s="16">
        <f>IF(D3740="","",IF(G3740&lt;&gt;"",G3740,IFERROR(INDEX('Sản phẩm'!$E$5:$E$304,MATCH(D3740,'Sản phẩm'!$A$5:$A$304,0)),"")))</f>
        <v/>
      </c>
      <c r="J3740" s="16">
        <f>IF(OR(D3740="",F3740=""),"",F3740*I3740-N(H3740))</f>
        <v/>
      </c>
      <c r="K3740" s="16">
        <f>IF(OR(D3740="",F3740=""),"",F3740*IFERROR(INDEX('Sản phẩm'!$D$5:$D$304,MATCH(D3740,'Sản phẩm'!$A$5:$A$304,0)),""))</f>
        <v/>
      </c>
      <c r="L3740" s="16">
        <f>IF(J3740="","",J3740-K3740)</f>
        <v/>
      </c>
      <c r="M3740" s="14">
        <f>IF(A3740="","",MONTH(A3740))</f>
        <v/>
      </c>
      <c r="N3740" s="14">
        <f>IF(A3740="","",YEAR(A3740))</f>
        <v/>
      </c>
    </row>
    <row r="3741">
      <c r="A3741" s="15" t="n"/>
      <c r="B3741" s="10" t="n"/>
      <c r="C3741" s="10" t="n"/>
      <c r="D3741" s="10" t="n"/>
      <c r="E3741" s="14">
        <f>IF(D3741="","",IFERROR(INDEX('Sản phẩm'!$B$5:$B$304,MATCH(D3741,'Sản phẩm'!$A$5:$A$304,0)),""))</f>
        <v/>
      </c>
      <c r="F3741" s="12" t="n"/>
      <c r="G3741" s="11" t="n"/>
      <c r="H3741" s="11" t="n"/>
      <c r="I3741" s="16">
        <f>IF(D3741="","",IF(G3741&lt;&gt;"",G3741,IFERROR(INDEX('Sản phẩm'!$E$5:$E$304,MATCH(D3741,'Sản phẩm'!$A$5:$A$304,0)),"")))</f>
        <v/>
      </c>
      <c r="J3741" s="16">
        <f>IF(OR(D3741="",F3741=""),"",F3741*I3741-N(H3741))</f>
        <v/>
      </c>
      <c r="K3741" s="16">
        <f>IF(OR(D3741="",F3741=""),"",F3741*IFERROR(INDEX('Sản phẩm'!$D$5:$D$304,MATCH(D3741,'Sản phẩm'!$A$5:$A$304,0)),""))</f>
        <v/>
      </c>
      <c r="L3741" s="16">
        <f>IF(J3741="","",J3741-K3741)</f>
        <v/>
      </c>
      <c r="M3741" s="14">
        <f>IF(A3741="","",MONTH(A3741))</f>
        <v/>
      </c>
      <c r="N3741" s="14">
        <f>IF(A3741="","",YEAR(A3741))</f>
        <v/>
      </c>
    </row>
    <row r="3742">
      <c r="A3742" s="15" t="n"/>
      <c r="B3742" s="10" t="n"/>
      <c r="C3742" s="10" t="n"/>
      <c r="D3742" s="10" t="n"/>
      <c r="E3742" s="14">
        <f>IF(D3742="","",IFERROR(INDEX('Sản phẩm'!$B$5:$B$304,MATCH(D3742,'Sản phẩm'!$A$5:$A$304,0)),""))</f>
        <v/>
      </c>
      <c r="F3742" s="12" t="n"/>
      <c r="G3742" s="11" t="n"/>
      <c r="H3742" s="11" t="n"/>
      <c r="I3742" s="16">
        <f>IF(D3742="","",IF(G3742&lt;&gt;"",G3742,IFERROR(INDEX('Sản phẩm'!$E$5:$E$304,MATCH(D3742,'Sản phẩm'!$A$5:$A$304,0)),"")))</f>
        <v/>
      </c>
      <c r="J3742" s="16">
        <f>IF(OR(D3742="",F3742=""),"",F3742*I3742-N(H3742))</f>
        <v/>
      </c>
      <c r="K3742" s="16">
        <f>IF(OR(D3742="",F3742=""),"",F3742*IFERROR(INDEX('Sản phẩm'!$D$5:$D$304,MATCH(D3742,'Sản phẩm'!$A$5:$A$304,0)),""))</f>
        <v/>
      </c>
      <c r="L3742" s="16">
        <f>IF(J3742="","",J3742-K3742)</f>
        <v/>
      </c>
      <c r="M3742" s="14">
        <f>IF(A3742="","",MONTH(A3742))</f>
        <v/>
      </c>
      <c r="N3742" s="14">
        <f>IF(A3742="","",YEAR(A3742))</f>
        <v/>
      </c>
    </row>
    <row r="3743">
      <c r="A3743" s="15" t="n"/>
      <c r="B3743" s="10" t="n"/>
      <c r="C3743" s="10" t="n"/>
      <c r="D3743" s="10" t="n"/>
      <c r="E3743" s="14">
        <f>IF(D3743="","",IFERROR(INDEX('Sản phẩm'!$B$5:$B$304,MATCH(D3743,'Sản phẩm'!$A$5:$A$304,0)),""))</f>
        <v/>
      </c>
      <c r="F3743" s="12" t="n"/>
      <c r="G3743" s="11" t="n"/>
      <c r="H3743" s="11" t="n"/>
      <c r="I3743" s="16">
        <f>IF(D3743="","",IF(G3743&lt;&gt;"",G3743,IFERROR(INDEX('Sản phẩm'!$E$5:$E$304,MATCH(D3743,'Sản phẩm'!$A$5:$A$304,0)),"")))</f>
        <v/>
      </c>
      <c r="J3743" s="16">
        <f>IF(OR(D3743="",F3743=""),"",F3743*I3743-N(H3743))</f>
        <v/>
      </c>
      <c r="K3743" s="16">
        <f>IF(OR(D3743="",F3743=""),"",F3743*IFERROR(INDEX('Sản phẩm'!$D$5:$D$304,MATCH(D3743,'Sản phẩm'!$A$5:$A$304,0)),""))</f>
        <v/>
      </c>
      <c r="L3743" s="16">
        <f>IF(J3743="","",J3743-K3743)</f>
        <v/>
      </c>
      <c r="M3743" s="14">
        <f>IF(A3743="","",MONTH(A3743))</f>
        <v/>
      </c>
      <c r="N3743" s="14">
        <f>IF(A3743="","",YEAR(A3743))</f>
        <v/>
      </c>
    </row>
    <row r="3744">
      <c r="A3744" s="15" t="n"/>
      <c r="B3744" s="10" t="n"/>
      <c r="C3744" s="10" t="n"/>
      <c r="D3744" s="10" t="n"/>
      <c r="E3744" s="14">
        <f>IF(D3744="","",IFERROR(INDEX('Sản phẩm'!$B$5:$B$304,MATCH(D3744,'Sản phẩm'!$A$5:$A$304,0)),""))</f>
        <v/>
      </c>
      <c r="F3744" s="12" t="n"/>
      <c r="G3744" s="11" t="n"/>
      <c r="H3744" s="11" t="n"/>
      <c r="I3744" s="16">
        <f>IF(D3744="","",IF(G3744&lt;&gt;"",G3744,IFERROR(INDEX('Sản phẩm'!$E$5:$E$304,MATCH(D3744,'Sản phẩm'!$A$5:$A$304,0)),"")))</f>
        <v/>
      </c>
      <c r="J3744" s="16">
        <f>IF(OR(D3744="",F3744=""),"",F3744*I3744-N(H3744))</f>
        <v/>
      </c>
      <c r="K3744" s="16">
        <f>IF(OR(D3744="",F3744=""),"",F3744*IFERROR(INDEX('Sản phẩm'!$D$5:$D$304,MATCH(D3744,'Sản phẩm'!$A$5:$A$304,0)),""))</f>
        <v/>
      </c>
      <c r="L3744" s="16">
        <f>IF(J3744="","",J3744-K3744)</f>
        <v/>
      </c>
      <c r="M3744" s="14">
        <f>IF(A3744="","",MONTH(A3744))</f>
        <v/>
      </c>
      <c r="N3744" s="14">
        <f>IF(A3744="","",YEAR(A3744))</f>
        <v/>
      </c>
    </row>
    <row r="3745">
      <c r="A3745" s="15" t="n"/>
      <c r="B3745" s="10" t="n"/>
      <c r="C3745" s="10" t="n"/>
      <c r="D3745" s="10" t="n"/>
      <c r="E3745" s="14">
        <f>IF(D3745="","",IFERROR(INDEX('Sản phẩm'!$B$5:$B$304,MATCH(D3745,'Sản phẩm'!$A$5:$A$304,0)),""))</f>
        <v/>
      </c>
      <c r="F3745" s="12" t="n"/>
      <c r="G3745" s="11" t="n"/>
      <c r="H3745" s="11" t="n"/>
      <c r="I3745" s="16">
        <f>IF(D3745="","",IF(G3745&lt;&gt;"",G3745,IFERROR(INDEX('Sản phẩm'!$E$5:$E$304,MATCH(D3745,'Sản phẩm'!$A$5:$A$304,0)),"")))</f>
        <v/>
      </c>
      <c r="J3745" s="16">
        <f>IF(OR(D3745="",F3745=""),"",F3745*I3745-N(H3745))</f>
        <v/>
      </c>
      <c r="K3745" s="16">
        <f>IF(OR(D3745="",F3745=""),"",F3745*IFERROR(INDEX('Sản phẩm'!$D$5:$D$304,MATCH(D3745,'Sản phẩm'!$A$5:$A$304,0)),""))</f>
        <v/>
      </c>
      <c r="L3745" s="16">
        <f>IF(J3745="","",J3745-K3745)</f>
        <v/>
      </c>
      <c r="M3745" s="14">
        <f>IF(A3745="","",MONTH(A3745))</f>
        <v/>
      </c>
      <c r="N3745" s="14">
        <f>IF(A3745="","",YEAR(A3745))</f>
        <v/>
      </c>
    </row>
    <row r="3746">
      <c r="A3746" s="15" t="n"/>
      <c r="B3746" s="10" t="n"/>
      <c r="C3746" s="10" t="n"/>
      <c r="D3746" s="10" t="n"/>
      <c r="E3746" s="14">
        <f>IF(D3746="","",IFERROR(INDEX('Sản phẩm'!$B$5:$B$304,MATCH(D3746,'Sản phẩm'!$A$5:$A$304,0)),""))</f>
        <v/>
      </c>
      <c r="F3746" s="12" t="n"/>
      <c r="G3746" s="11" t="n"/>
      <c r="H3746" s="11" t="n"/>
      <c r="I3746" s="16">
        <f>IF(D3746="","",IF(G3746&lt;&gt;"",G3746,IFERROR(INDEX('Sản phẩm'!$E$5:$E$304,MATCH(D3746,'Sản phẩm'!$A$5:$A$304,0)),"")))</f>
        <v/>
      </c>
      <c r="J3746" s="16">
        <f>IF(OR(D3746="",F3746=""),"",F3746*I3746-N(H3746))</f>
        <v/>
      </c>
      <c r="K3746" s="16">
        <f>IF(OR(D3746="",F3746=""),"",F3746*IFERROR(INDEX('Sản phẩm'!$D$5:$D$304,MATCH(D3746,'Sản phẩm'!$A$5:$A$304,0)),""))</f>
        <v/>
      </c>
      <c r="L3746" s="16">
        <f>IF(J3746="","",J3746-K3746)</f>
        <v/>
      </c>
      <c r="M3746" s="14">
        <f>IF(A3746="","",MONTH(A3746))</f>
        <v/>
      </c>
      <c r="N3746" s="14">
        <f>IF(A3746="","",YEAR(A3746))</f>
        <v/>
      </c>
    </row>
    <row r="3747">
      <c r="A3747" s="15" t="n"/>
      <c r="B3747" s="10" t="n"/>
      <c r="C3747" s="10" t="n"/>
      <c r="D3747" s="10" t="n"/>
      <c r="E3747" s="14">
        <f>IF(D3747="","",IFERROR(INDEX('Sản phẩm'!$B$5:$B$304,MATCH(D3747,'Sản phẩm'!$A$5:$A$304,0)),""))</f>
        <v/>
      </c>
      <c r="F3747" s="12" t="n"/>
      <c r="G3747" s="11" t="n"/>
      <c r="H3747" s="11" t="n"/>
      <c r="I3747" s="16">
        <f>IF(D3747="","",IF(G3747&lt;&gt;"",G3747,IFERROR(INDEX('Sản phẩm'!$E$5:$E$304,MATCH(D3747,'Sản phẩm'!$A$5:$A$304,0)),"")))</f>
        <v/>
      </c>
      <c r="J3747" s="16">
        <f>IF(OR(D3747="",F3747=""),"",F3747*I3747-N(H3747))</f>
        <v/>
      </c>
      <c r="K3747" s="16">
        <f>IF(OR(D3747="",F3747=""),"",F3747*IFERROR(INDEX('Sản phẩm'!$D$5:$D$304,MATCH(D3747,'Sản phẩm'!$A$5:$A$304,0)),""))</f>
        <v/>
      </c>
      <c r="L3747" s="16">
        <f>IF(J3747="","",J3747-K3747)</f>
        <v/>
      </c>
      <c r="M3747" s="14">
        <f>IF(A3747="","",MONTH(A3747))</f>
        <v/>
      </c>
      <c r="N3747" s="14">
        <f>IF(A3747="","",YEAR(A3747))</f>
        <v/>
      </c>
    </row>
    <row r="3748">
      <c r="A3748" s="15" t="n"/>
      <c r="B3748" s="10" t="n"/>
      <c r="C3748" s="10" t="n"/>
      <c r="D3748" s="10" t="n"/>
      <c r="E3748" s="14">
        <f>IF(D3748="","",IFERROR(INDEX('Sản phẩm'!$B$5:$B$304,MATCH(D3748,'Sản phẩm'!$A$5:$A$304,0)),""))</f>
        <v/>
      </c>
      <c r="F3748" s="12" t="n"/>
      <c r="G3748" s="11" t="n"/>
      <c r="H3748" s="11" t="n"/>
      <c r="I3748" s="16">
        <f>IF(D3748="","",IF(G3748&lt;&gt;"",G3748,IFERROR(INDEX('Sản phẩm'!$E$5:$E$304,MATCH(D3748,'Sản phẩm'!$A$5:$A$304,0)),"")))</f>
        <v/>
      </c>
      <c r="J3748" s="16">
        <f>IF(OR(D3748="",F3748=""),"",F3748*I3748-N(H3748))</f>
        <v/>
      </c>
      <c r="K3748" s="16">
        <f>IF(OR(D3748="",F3748=""),"",F3748*IFERROR(INDEX('Sản phẩm'!$D$5:$D$304,MATCH(D3748,'Sản phẩm'!$A$5:$A$304,0)),""))</f>
        <v/>
      </c>
      <c r="L3748" s="16">
        <f>IF(J3748="","",J3748-K3748)</f>
        <v/>
      </c>
      <c r="M3748" s="14">
        <f>IF(A3748="","",MONTH(A3748))</f>
        <v/>
      </c>
      <c r="N3748" s="14">
        <f>IF(A3748="","",YEAR(A3748))</f>
        <v/>
      </c>
    </row>
    <row r="3749">
      <c r="A3749" s="15" t="n"/>
      <c r="B3749" s="10" t="n"/>
      <c r="C3749" s="10" t="n"/>
      <c r="D3749" s="10" t="n"/>
      <c r="E3749" s="14">
        <f>IF(D3749="","",IFERROR(INDEX('Sản phẩm'!$B$5:$B$304,MATCH(D3749,'Sản phẩm'!$A$5:$A$304,0)),""))</f>
        <v/>
      </c>
      <c r="F3749" s="12" t="n"/>
      <c r="G3749" s="11" t="n"/>
      <c r="H3749" s="11" t="n"/>
      <c r="I3749" s="16">
        <f>IF(D3749="","",IF(G3749&lt;&gt;"",G3749,IFERROR(INDEX('Sản phẩm'!$E$5:$E$304,MATCH(D3749,'Sản phẩm'!$A$5:$A$304,0)),"")))</f>
        <v/>
      </c>
      <c r="J3749" s="16">
        <f>IF(OR(D3749="",F3749=""),"",F3749*I3749-N(H3749))</f>
        <v/>
      </c>
      <c r="K3749" s="16">
        <f>IF(OR(D3749="",F3749=""),"",F3749*IFERROR(INDEX('Sản phẩm'!$D$5:$D$304,MATCH(D3749,'Sản phẩm'!$A$5:$A$304,0)),""))</f>
        <v/>
      </c>
      <c r="L3749" s="16">
        <f>IF(J3749="","",J3749-K3749)</f>
        <v/>
      </c>
      <c r="M3749" s="14">
        <f>IF(A3749="","",MONTH(A3749))</f>
        <v/>
      </c>
      <c r="N3749" s="14">
        <f>IF(A3749="","",YEAR(A3749))</f>
        <v/>
      </c>
    </row>
    <row r="3750">
      <c r="A3750" s="15" t="n"/>
      <c r="B3750" s="10" t="n"/>
      <c r="C3750" s="10" t="n"/>
      <c r="D3750" s="10" t="n"/>
      <c r="E3750" s="14">
        <f>IF(D3750="","",IFERROR(INDEX('Sản phẩm'!$B$5:$B$304,MATCH(D3750,'Sản phẩm'!$A$5:$A$304,0)),""))</f>
        <v/>
      </c>
      <c r="F3750" s="12" t="n"/>
      <c r="G3750" s="11" t="n"/>
      <c r="H3750" s="11" t="n"/>
      <c r="I3750" s="16">
        <f>IF(D3750="","",IF(G3750&lt;&gt;"",G3750,IFERROR(INDEX('Sản phẩm'!$E$5:$E$304,MATCH(D3750,'Sản phẩm'!$A$5:$A$304,0)),"")))</f>
        <v/>
      </c>
      <c r="J3750" s="16">
        <f>IF(OR(D3750="",F3750=""),"",F3750*I3750-N(H3750))</f>
        <v/>
      </c>
      <c r="K3750" s="16">
        <f>IF(OR(D3750="",F3750=""),"",F3750*IFERROR(INDEX('Sản phẩm'!$D$5:$D$304,MATCH(D3750,'Sản phẩm'!$A$5:$A$304,0)),""))</f>
        <v/>
      </c>
      <c r="L3750" s="16">
        <f>IF(J3750="","",J3750-K3750)</f>
        <v/>
      </c>
      <c r="M3750" s="14">
        <f>IF(A3750="","",MONTH(A3750))</f>
        <v/>
      </c>
      <c r="N3750" s="14">
        <f>IF(A3750="","",YEAR(A3750))</f>
        <v/>
      </c>
    </row>
    <row r="3751">
      <c r="A3751" s="15" t="n"/>
      <c r="B3751" s="10" t="n"/>
      <c r="C3751" s="10" t="n"/>
      <c r="D3751" s="10" t="n"/>
      <c r="E3751" s="14">
        <f>IF(D3751="","",IFERROR(INDEX('Sản phẩm'!$B$5:$B$304,MATCH(D3751,'Sản phẩm'!$A$5:$A$304,0)),""))</f>
        <v/>
      </c>
      <c r="F3751" s="12" t="n"/>
      <c r="G3751" s="11" t="n"/>
      <c r="H3751" s="11" t="n"/>
      <c r="I3751" s="16">
        <f>IF(D3751="","",IF(G3751&lt;&gt;"",G3751,IFERROR(INDEX('Sản phẩm'!$E$5:$E$304,MATCH(D3751,'Sản phẩm'!$A$5:$A$304,0)),"")))</f>
        <v/>
      </c>
      <c r="J3751" s="16">
        <f>IF(OR(D3751="",F3751=""),"",F3751*I3751-N(H3751))</f>
        <v/>
      </c>
      <c r="K3751" s="16">
        <f>IF(OR(D3751="",F3751=""),"",F3751*IFERROR(INDEX('Sản phẩm'!$D$5:$D$304,MATCH(D3751,'Sản phẩm'!$A$5:$A$304,0)),""))</f>
        <v/>
      </c>
      <c r="L3751" s="16">
        <f>IF(J3751="","",J3751-K3751)</f>
        <v/>
      </c>
      <c r="M3751" s="14">
        <f>IF(A3751="","",MONTH(A3751))</f>
        <v/>
      </c>
      <c r="N3751" s="14">
        <f>IF(A3751="","",YEAR(A3751))</f>
        <v/>
      </c>
    </row>
    <row r="3752">
      <c r="A3752" s="15" t="n"/>
      <c r="B3752" s="10" t="n"/>
      <c r="C3752" s="10" t="n"/>
      <c r="D3752" s="10" t="n"/>
      <c r="E3752" s="14">
        <f>IF(D3752="","",IFERROR(INDEX('Sản phẩm'!$B$5:$B$304,MATCH(D3752,'Sản phẩm'!$A$5:$A$304,0)),""))</f>
        <v/>
      </c>
      <c r="F3752" s="12" t="n"/>
      <c r="G3752" s="11" t="n"/>
      <c r="H3752" s="11" t="n"/>
      <c r="I3752" s="16">
        <f>IF(D3752="","",IF(G3752&lt;&gt;"",G3752,IFERROR(INDEX('Sản phẩm'!$E$5:$E$304,MATCH(D3752,'Sản phẩm'!$A$5:$A$304,0)),"")))</f>
        <v/>
      </c>
      <c r="J3752" s="16">
        <f>IF(OR(D3752="",F3752=""),"",F3752*I3752-N(H3752))</f>
        <v/>
      </c>
      <c r="K3752" s="16">
        <f>IF(OR(D3752="",F3752=""),"",F3752*IFERROR(INDEX('Sản phẩm'!$D$5:$D$304,MATCH(D3752,'Sản phẩm'!$A$5:$A$304,0)),""))</f>
        <v/>
      </c>
      <c r="L3752" s="16">
        <f>IF(J3752="","",J3752-K3752)</f>
        <v/>
      </c>
      <c r="M3752" s="14">
        <f>IF(A3752="","",MONTH(A3752))</f>
        <v/>
      </c>
      <c r="N3752" s="14">
        <f>IF(A3752="","",YEAR(A3752))</f>
        <v/>
      </c>
    </row>
    <row r="3753">
      <c r="A3753" s="15" t="n"/>
      <c r="B3753" s="10" t="n"/>
      <c r="C3753" s="10" t="n"/>
      <c r="D3753" s="10" t="n"/>
      <c r="E3753" s="14">
        <f>IF(D3753="","",IFERROR(INDEX('Sản phẩm'!$B$5:$B$304,MATCH(D3753,'Sản phẩm'!$A$5:$A$304,0)),""))</f>
        <v/>
      </c>
      <c r="F3753" s="12" t="n"/>
      <c r="G3753" s="11" t="n"/>
      <c r="H3753" s="11" t="n"/>
      <c r="I3753" s="16">
        <f>IF(D3753="","",IF(G3753&lt;&gt;"",G3753,IFERROR(INDEX('Sản phẩm'!$E$5:$E$304,MATCH(D3753,'Sản phẩm'!$A$5:$A$304,0)),"")))</f>
        <v/>
      </c>
      <c r="J3753" s="16">
        <f>IF(OR(D3753="",F3753=""),"",F3753*I3753-N(H3753))</f>
        <v/>
      </c>
      <c r="K3753" s="16">
        <f>IF(OR(D3753="",F3753=""),"",F3753*IFERROR(INDEX('Sản phẩm'!$D$5:$D$304,MATCH(D3753,'Sản phẩm'!$A$5:$A$304,0)),""))</f>
        <v/>
      </c>
      <c r="L3753" s="16">
        <f>IF(J3753="","",J3753-K3753)</f>
        <v/>
      </c>
      <c r="M3753" s="14">
        <f>IF(A3753="","",MONTH(A3753))</f>
        <v/>
      </c>
      <c r="N3753" s="14">
        <f>IF(A3753="","",YEAR(A3753))</f>
        <v/>
      </c>
    </row>
    <row r="3754">
      <c r="A3754" s="15" t="n"/>
      <c r="B3754" s="10" t="n"/>
      <c r="C3754" s="10" t="n"/>
      <c r="D3754" s="10" t="n"/>
      <c r="E3754" s="14">
        <f>IF(D3754="","",IFERROR(INDEX('Sản phẩm'!$B$5:$B$304,MATCH(D3754,'Sản phẩm'!$A$5:$A$304,0)),""))</f>
        <v/>
      </c>
      <c r="F3754" s="12" t="n"/>
      <c r="G3754" s="11" t="n"/>
      <c r="H3754" s="11" t="n"/>
      <c r="I3754" s="16">
        <f>IF(D3754="","",IF(G3754&lt;&gt;"",G3754,IFERROR(INDEX('Sản phẩm'!$E$5:$E$304,MATCH(D3754,'Sản phẩm'!$A$5:$A$304,0)),"")))</f>
        <v/>
      </c>
      <c r="J3754" s="16">
        <f>IF(OR(D3754="",F3754=""),"",F3754*I3754-N(H3754))</f>
        <v/>
      </c>
      <c r="K3754" s="16">
        <f>IF(OR(D3754="",F3754=""),"",F3754*IFERROR(INDEX('Sản phẩm'!$D$5:$D$304,MATCH(D3754,'Sản phẩm'!$A$5:$A$304,0)),""))</f>
        <v/>
      </c>
      <c r="L3754" s="16">
        <f>IF(J3754="","",J3754-K3754)</f>
        <v/>
      </c>
      <c r="M3754" s="14">
        <f>IF(A3754="","",MONTH(A3754))</f>
        <v/>
      </c>
      <c r="N3754" s="14">
        <f>IF(A3754="","",YEAR(A3754))</f>
        <v/>
      </c>
    </row>
    <row r="3755">
      <c r="A3755" s="15" t="n"/>
      <c r="B3755" s="10" t="n"/>
      <c r="C3755" s="10" t="n"/>
      <c r="D3755" s="10" t="n"/>
      <c r="E3755" s="14">
        <f>IF(D3755="","",IFERROR(INDEX('Sản phẩm'!$B$5:$B$304,MATCH(D3755,'Sản phẩm'!$A$5:$A$304,0)),""))</f>
        <v/>
      </c>
      <c r="F3755" s="12" t="n"/>
      <c r="G3755" s="11" t="n"/>
      <c r="H3755" s="11" t="n"/>
      <c r="I3755" s="16">
        <f>IF(D3755="","",IF(G3755&lt;&gt;"",G3755,IFERROR(INDEX('Sản phẩm'!$E$5:$E$304,MATCH(D3755,'Sản phẩm'!$A$5:$A$304,0)),"")))</f>
        <v/>
      </c>
      <c r="J3755" s="16">
        <f>IF(OR(D3755="",F3755=""),"",F3755*I3755-N(H3755))</f>
        <v/>
      </c>
      <c r="K3755" s="16">
        <f>IF(OR(D3755="",F3755=""),"",F3755*IFERROR(INDEX('Sản phẩm'!$D$5:$D$304,MATCH(D3755,'Sản phẩm'!$A$5:$A$304,0)),""))</f>
        <v/>
      </c>
      <c r="L3755" s="16">
        <f>IF(J3755="","",J3755-K3755)</f>
        <v/>
      </c>
      <c r="M3755" s="14">
        <f>IF(A3755="","",MONTH(A3755))</f>
        <v/>
      </c>
      <c r="N3755" s="14">
        <f>IF(A3755="","",YEAR(A3755))</f>
        <v/>
      </c>
    </row>
    <row r="3756">
      <c r="A3756" s="15" t="n"/>
      <c r="B3756" s="10" t="n"/>
      <c r="C3756" s="10" t="n"/>
      <c r="D3756" s="10" t="n"/>
      <c r="E3756" s="14">
        <f>IF(D3756="","",IFERROR(INDEX('Sản phẩm'!$B$5:$B$304,MATCH(D3756,'Sản phẩm'!$A$5:$A$304,0)),""))</f>
        <v/>
      </c>
      <c r="F3756" s="12" t="n"/>
      <c r="G3756" s="11" t="n"/>
      <c r="H3756" s="11" t="n"/>
      <c r="I3756" s="16">
        <f>IF(D3756="","",IF(G3756&lt;&gt;"",G3756,IFERROR(INDEX('Sản phẩm'!$E$5:$E$304,MATCH(D3756,'Sản phẩm'!$A$5:$A$304,0)),"")))</f>
        <v/>
      </c>
      <c r="J3756" s="16">
        <f>IF(OR(D3756="",F3756=""),"",F3756*I3756-N(H3756))</f>
        <v/>
      </c>
      <c r="K3756" s="16">
        <f>IF(OR(D3756="",F3756=""),"",F3756*IFERROR(INDEX('Sản phẩm'!$D$5:$D$304,MATCH(D3756,'Sản phẩm'!$A$5:$A$304,0)),""))</f>
        <v/>
      </c>
      <c r="L3756" s="16">
        <f>IF(J3756="","",J3756-K3756)</f>
        <v/>
      </c>
      <c r="M3756" s="14">
        <f>IF(A3756="","",MONTH(A3756))</f>
        <v/>
      </c>
      <c r="N3756" s="14">
        <f>IF(A3756="","",YEAR(A3756))</f>
        <v/>
      </c>
    </row>
    <row r="3757">
      <c r="A3757" s="15" t="n"/>
      <c r="B3757" s="10" t="n"/>
      <c r="C3757" s="10" t="n"/>
      <c r="D3757" s="10" t="n"/>
      <c r="E3757" s="14">
        <f>IF(D3757="","",IFERROR(INDEX('Sản phẩm'!$B$5:$B$304,MATCH(D3757,'Sản phẩm'!$A$5:$A$304,0)),""))</f>
        <v/>
      </c>
      <c r="F3757" s="12" t="n"/>
      <c r="G3757" s="11" t="n"/>
      <c r="H3757" s="11" t="n"/>
      <c r="I3757" s="16">
        <f>IF(D3757="","",IF(G3757&lt;&gt;"",G3757,IFERROR(INDEX('Sản phẩm'!$E$5:$E$304,MATCH(D3757,'Sản phẩm'!$A$5:$A$304,0)),"")))</f>
        <v/>
      </c>
      <c r="J3757" s="16">
        <f>IF(OR(D3757="",F3757=""),"",F3757*I3757-N(H3757))</f>
        <v/>
      </c>
      <c r="K3757" s="16">
        <f>IF(OR(D3757="",F3757=""),"",F3757*IFERROR(INDEX('Sản phẩm'!$D$5:$D$304,MATCH(D3757,'Sản phẩm'!$A$5:$A$304,0)),""))</f>
        <v/>
      </c>
      <c r="L3757" s="16">
        <f>IF(J3757="","",J3757-K3757)</f>
        <v/>
      </c>
      <c r="M3757" s="14">
        <f>IF(A3757="","",MONTH(A3757))</f>
        <v/>
      </c>
      <c r="N3757" s="14">
        <f>IF(A3757="","",YEAR(A3757))</f>
        <v/>
      </c>
    </row>
    <row r="3758">
      <c r="A3758" s="15" t="n"/>
      <c r="B3758" s="10" t="n"/>
      <c r="C3758" s="10" t="n"/>
      <c r="D3758" s="10" t="n"/>
      <c r="E3758" s="14">
        <f>IF(D3758="","",IFERROR(INDEX('Sản phẩm'!$B$5:$B$304,MATCH(D3758,'Sản phẩm'!$A$5:$A$304,0)),""))</f>
        <v/>
      </c>
      <c r="F3758" s="12" t="n"/>
      <c r="G3758" s="11" t="n"/>
      <c r="H3758" s="11" t="n"/>
      <c r="I3758" s="16">
        <f>IF(D3758="","",IF(G3758&lt;&gt;"",G3758,IFERROR(INDEX('Sản phẩm'!$E$5:$E$304,MATCH(D3758,'Sản phẩm'!$A$5:$A$304,0)),"")))</f>
        <v/>
      </c>
      <c r="J3758" s="16">
        <f>IF(OR(D3758="",F3758=""),"",F3758*I3758-N(H3758))</f>
        <v/>
      </c>
      <c r="K3758" s="16">
        <f>IF(OR(D3758="",F3758=""),"",F3758*IFERROR(INDEX('Sản phẩm'!$D$5:$D$304,MATCH(D3758,'Sản phẩm'!$A$5:$A$304,0)),""))</f>
        <v/>
      </c>
      <c r="L3758" s="16">
        <f>IF(J3758="","",J3758-K3758)</f>
        <v/>
      </c>
      <c r="M3758" s="14">
        <f>IF(A3758="","",MONTH(A3758))</f>
        <v/>
      </c>
      <c r="N3758" s="14">
        <f>IF(A3758="","",YEAR(A3758))</f>
        <v/>
      </c>
    </row>
    <row r="3759">
      <c r="A3759" s="15" t="n"/>
      <c r="B3759" s="10" t="n"/>
      <c r="C3759" s="10" t="n"/>
      <c r="D3759" s="10" t="n"/>
      <c r="E3759" s="14">
        <f>IF(D3759="","",IFERROR(INDEX('Sản phẩm'!$B$5:$B$304,MATCH(D3759,'Sản phẩm'!$A$5:$A$304,0)),""))</f>
        <v/>
      </c>
      <c r="F3759" s="12" t="n"/>
      <c r="G3759" s="11" t="n"/>
      <c r="H3759" s="11" t="n"/>
      <c r="I3759" s="16">
        <f>IF(D3759="","",IF(G3759&lt;&gt;"",G3759,IFERROR(INDEX('Sản phẩm'!$E$5:$E$304,MATCH(D3759,'Sản phẩm'!$A$5:$A$304,0)),"")))</f>
        <v/>
      </c>
      <c r="J3759" s="16">
        <f>IF(OR(D3759="",F3759=""),"",F3759*I3759-N(H3759))</f>
        <v/>
      </c>
      <c r="K3759" s="16">
        <f>IF(OR(D3759="",F3759=""),"",F3759*IFERROR(INDEX('Sản phẩm'!$D$5:$D$304,MATCH(D3759,'Sản phẩm'!$A$5:$A$304,0)),""))</f>
        <v/>
      </c>
      <c r="L3759" s="16">
        <f>IF(J3759="","",J3759-K3759)</f>
        <v/>
      </c>
      <c r="M3759" s="14">
        <f>IF(A3759="","",MONTH(A3759))</f>
        <v/>
      </c>
      <c r="N3759" s="14">
        <f>IF(A3759="","",YEAR(A3759))</f>
        <v/>
      </c>
    </row>
    <row r="3760">
      <c r="A3760" s="15" t="n"/>
      <c r="B3760" s="10" t="n"/>
      <c r="C3760" s="10" t="n"/>
      <c r="D3760" s="10" t="n"/>
      <c r="E3760" s="14">
        <f>IF(D3760="","",IFERROR(INDEX('Sản phẩm'!$B$5:$B$304,MATCH(D3760,'Sản phẩm'!$A$5:$A$304,0)),""))</f>
        <v/>
      </c>
      <c r="F3760" s="12" t="n"/>
      <c r="G3760" s="11" t="n"/>
      <c r="H3760" s="11" t="n"/>
      <c r="I3760" s="16">
        <f>IF(D3760="","",IF(G3760&lt;&gt;"",G3760,IFERROR(INDEX('Sản phẩm'!$E$5:$E$304,MATCH(D3760,'Sản phẩm'!$A$5:$A$304,0)),"")))</f>
        <v/>
      </c>
      <c r="J3760" s="16">
        <f>IF(OR(D3760="",F3760=""),"",F3760*I3760-N(H3760))</f>
        <v/>
      </c>
      <c r="K3760" s="16">
        <f>IF(OR(D3760="",F3760=""),"",F3760*IFERROR(INDEX('Sản phẩm'!$D$5:$D$304,MATCH(D3760,'Sản phẩm'!$A$5:$A$304,0)),""))</f>
        <v/>
      </c>
      <c r="L3760" s="16">
        <f>IF(J3760="","",J3760-K3760)</f>
        <v/>
      </c>
      <c r="M3760" s="14">
        <f>IF(A3760="","",MONTH(A3760))</f>
        <v/>
      </c>
      <c r="N3760" s="14">
        <f>IF(A3760="","",YEAR(A3760))</f>
        <v/>
      </c>
    </row>
    <row r="3761">
      <c r="A3761" s="15" t="n"/>
      <c r="B3761" s="10" t="n"/>
      <c r="C3761" s="10" t="n"/>
      <c r="D3761" s="10" t="n"/>
      <c r="E3761" s="14">
        <f>IF(D3761="","",IFERROR(INDEX('Sản phẩm'!$B$5:$B$304,MATCH(D3761,'Sản phẩm'!$A$5:$A$304,0)),""))</f>
        <v/>
      </c>
      <c r="F3761" s="12" t="n"/>
      <c r="G3761" s="11" t="n"/>
      <c r="H3761" s="11" t="n"/>
      <c r="I3761" s="16">
        <f>IF(D3761="","",IF(G3761&lt;&gt;"",G3761,IFERROR(INDEX('Sản phẩm'!$E$5:$E$304,MATCH(D3761,'Sản phẩm'!$A$5:$A$304,0)),"")))</f>
        <v/>
      </c>
      <c r="J3761" s="16">
        <f>IF(OR(D3761="",F3761=""),"",F3761*I3761-N(H3761))</f>
        <v/>
      </c>
      <c r="K3761" s="16">
        <f>IF(OR(D3761="",F3761=""),"",F3761*IFERROR(INDEX('Sản phẩm'!$D$5:$D$304,MATCH(D3761,'Sản phẩm'!$A$5:$A$304,0)),""))</f>
        <v/>
      </c>
      <c r="L3761" s="16">
        <f>IF(J3761="","",J3761-K3761)</f>
        <v/>
      </c>
      <c r="M3761" s="14">
        <f>IF(A3761="","",MONTH(A3761))</f>
        <v/>
      </c>
      <c r="N3761" s="14">
        <f>IF(A3761="","",YEAR(A3761))</f>
        <v/>
      </c>
    </row>
    <row r="3762">
      <c r="A3762" s="15" t="n"/>
      <c r="B3762" s="10" t="n"/>
      <c r="C3762" s="10" t="n"/>
      <c r="D3762" s="10" t="n"/>
      <c r="E3762" s="14">
        <f>IF(D3762="","",IFERROR(INDEX('Sản phẩm'!$B$5:$B$304,MATCH(D3762,'Sản phẩm'!$A$5:$A$304,0)),""))</f>
        <v/>
      </c>
      <c r="F3762" s="12" t="n"/>
      <c r="G3762" s="11" t="n"/>
      <c r="H3762" s="11" t="n"/>
      <c r="I3762" s="16">
        <f>IF(D3762="","",IF(G3762&lt;&gt;"",G3762,IFERROR(INDEX('Sản phẩm'!$E$5:$E$304,MATCH(D3762,'Sản phẩm'!$A$5:$A$304,0)),"")))</f>
        <v/>
      </c>
      <c r="J3762" s="16">
        <f>IF(OR(D3762="",F3762=""),"",F3762*I3762-N(H3762))</f>
        <v/>
      </c>
      <c r="K3762" s="16">
        <f>IF(OR(D3762="",F3762=""),"",F3762*IFERROR(INDEX('Sản phẩm'!$D$5:$D$304,MATCH(D3762,'Sản phẩm'!$A$5:$A$304,0)),""))</f>
        <v/>
      </c>
      <c r="L3762" s="16">
        <f>IF(J3762="","",J3762-K3762)</f>
        <v/>
      </c>
      <c r="M3762" s="14">
        <f>IF(A3762="","",MONTH(A3762))</f>
        <v/>
      </c>
      <c r="N3762" s="14">
        <f>IF(A3762="","",YEAR(A3762))</f>
        <v/>
      </c>
    </row>
    <row r="3763">
      <c r="A3763" s="15" t="n"/>
      <c r="B3763" s="10" t="n"/>
      <c r="C3763" s="10" t="n"/>
      <c r="D3763" s="10" t="n"/>
      <c r="E3763" s="14">
        <f>IF(D3763="","",IFERROR(INDEX('Sản phẩm'!$B$5:$B$304,MATCH(D3763,'Sản phẩm'!$A$5:$A$304,0)),""))</f>
        <v/>
      </c>
      <c r="F3763" s="12" t="n"/>
      <c r="G3763" s="11" t="n"/>
      <c r="H3763" s="11" t="n"/>
      <c r="I3763" s="16">
        <f>IF(D3763="","",IF(G3763&lt;&gt;"",G3763,IFERROR(INDEX('Sản phẩm'!$E$5:$E$304,MATCH(D3763,'Sản phẩm'!$A$5:$A$304,0)),"")))</f>
        <v/>
      </c>
      <c r="J3763" s="16">
        <f>IF(OR(D3763="",F3763=""),"",F3763*I3763-N(H3763))</f>
        <v/>
      </c>
      <c r="K3763" s="16">
        <f>IF(OR(D3763="",F3763=""),"",F3763*IFERROR(INDEX('Sản phẩm'!$D$5:$D$304,MATCH(D3763,'Sản phẩm'!$A$5:$A$304,0)),""))</f>
        <v/>
      </c>
      <c r="L3763" s="16">
        <f>IF(J3763="","",J3763-K3763)</f>
        <v/>
      </c>
      <c r="M3763" s="14">
        <f>IF(A3763="","",MONTH(A3763))</f>
        <v/>
      </c>
      <c r="N3763" s="14">
        <f>IF(A3763="","",YEAR(A3763))</f>
        <v/>
      </c>
    </row>
    <row r="3764">
      <c r="A3764" s="15" t="n"/>
      <c r="B3764" s="10" t="n"/>
      <c r="C3764" s="10" t="n"/>
      <c r="D3764" s="10" t="n"/>
      <c r="E3764" s="14">
        <f>IF(D3764="","",IFERROR(INDEX('Sản phẩm'!$B$5:$B$304,MATCH(D3764,'Sản phẩm'!$A$5:$A$304,0)),""))</f>
        <v/>
      </c>
      <c r="F3764" s="12" t="n"/>
      <c r="G3764" s="11" t="n"/>
      <c r="H3764" s="11" t="n"/>
      <c r="I3764" s="16">
        <f>IF(D3764="","",IF(G3764&lt;&gt;"",G3764,IFERROR(INDEX('Sản phẩm'!$E$5:$E$304,MATCH(D3764,'Sản phẩm'!$A$5:$A$304,0)),"")))</f>
        <v/>
      </c>
      <c r="J3764" s="16">
        <f>IF(OR(D3764="",F3764=""),"",F3764*I3764-N(H3764))</f>
        <v/>
      </c>
      <c r="K3764" s="16">
        <f>IF(OR(D3764="",F3764=""),"",F3764*IFERROR(INDEX('Sản phẩm'!$D$5:$D$304,MATCH(D3764,'Sản phẩm'!$A$5:$A$304,0)),""))</f>
        <v/>
      </c>
      <c r="L3764" s="16">
        <f>IF(J3764="","",J3764-K3764)</f>
        <v/>
      </c>
      <c r="M3764" s="14">
        <f>IF(A3764="","",MONTH(A3764))</f>
        <v/>
      </c>
      <c r="N3764" s="14">
        <f>IF(A3764="","",YEAR(A3764))</f>
        <v/>
      </c>
    </row>
    <row r="3765">
      <c r="A3765" s="15" t="n"/>
      <c r="B3765" s="10" t="n"/>
      <c r="C3765" s="10" t="n"/>
      <c r="D3765" s="10" t="n"/>
      <c r="E3765" s="14">
        <f>IF(D3765="","",IFERROR(INDEX('Sản phẩm'!$B$5:$B$304,MATCH(D3765,'Sản phẩm'!$A$5:$A$304,0)),""))</f>
        <v/>
      </c>
      <c r="F3765" s="12" t="n"/>
      <c r="G3765" s="11" t="n"/>
      <c r="H3765" s="11" t="n"/>
      <c r="I3765" s="16">
        <f>IF(D3765="","",IF(G3765&lt;&gt;"",G3765,IFERROR(INDEX('Sản phẩm'!$E$5:$E$304,MATCH(D3765,'Sản phẩm'!$A$5:$A$304,0)),"")))</f>
        <v/>
      </c>
      <c r="J3765" s="16">
        <f>IF(OR(D3765="",F3765=""),"",F3765*I3765-N(H3765))</f>
        <v/>
      </c>
      <c r="K3765" s="16">
        <f>IF(OR(D3765="",F3765=""),"",F3765*IFERROR(INDEX('Sản phẩm'!$D$5:$D$304,MATCH(D3765,'Sản phẩm'!$A$5:$A$304,0)),""))</f>
        <v/>
      </c>
      <c r="L3765" s="16">
        <f>IF(J3765="","",J3765-K3765)</f>
        <v/>
      </c>
      <c r="M3765" s="14">
        <f>IF(A3765="","",MONTH(A3765))</f>
        <v/>
      </c>
      <c r="N3765" s="14">
        <f>IF(A3765="","",YEAR(A3765))</f>
        <v/>
      </c>
    </row>
    <row r="3766">
      <c r="A3766" s="15" t="n"/>
      <c r="B3766" s="10" t="n"/>
      <c r="C3766" s="10" t="n"/>
      <c r="D3766" s="10" t="n"/>
      <c r="E3766" s="14">
        <f>IF(D3766="","",IFERROR(INDEX('Sản phẩm'!$B$5:$B$304,MATCH(D3766,'Sản phẩm'!$A$5:$A$304,0)),""))</f>
        <v/>
      </c>
      <c r="F3766" s="12" t="n"/>
      <c r="G3766" s="11" t="n"/>
      <c r="H3766" s="11" t="n"/>
      <c r="I3766" s="16">
        <f>IF(D3766="","",IF(G3766&lt;&gt;"",G3766,IFERROR(INDEX('Sản phẩm'!$E$5:$E$304,MATCH(D3766,'Sản phẩm'!$A$5:$A$304,0)),"")))</f>
        <v/>
      </c>
      <c r="J3766" s="16">
        <f>IF(OR(D3766="",F3766=""),"",F3766*I3766-N(H3766))</f>
        <v/>
      </c>
      <c r="K3766" s="16">
        <f>IF(OR(D3766="",F3766=""),"",F3766*IFERROR(INDEX('Sản phẩm'!$D$5:$D$304,MATCH(D3766,'Sản phẩm'!$A$5:$A$304,0)),""))</f>
        <v/>
      </c>
      <c r="L3766" s="16">
        <f>IF(J3766="","",J3766-K3766)</f>
        <v/>
      </c>
      <c r="M3766" s="14">
        <f>IF(A3766="","",MONTH(A3766))</f>
        <v/>
      </c>
      <c r="N3766" s="14">
        <f>IF(A3766="","",YEAR(A3766))</f>
        <v/>
      </c>
    </row>
    <row r="3767">
      <c r="A3767" s="15" t="n"/>
      <c r="B3767" s="10" t="n"/>
      <c r="C3767" s="10" t="n"/>
      <c r="D3767" s="10" t="n"/>
      <c r="E3767" s="14">
        <f>IF(D3767="","",IFERROR(INDEX('Sản phẩm'!$B$5:$B$304,MATCH(D3767,'Sản phẩm'!$A$5:$A$304,0)),""))</f>
        <v/>
      </c>
      <c r="F3767" s="12" t="n"/>
      <c r="G3767" s="11" t="n"/>
      <c r="H3767" s="11" t="n"/>
      <c r="I3767" s="16">
        <f>IF(D3767="","",IF(G3767&lt;&gt;"",G3767,IFERROR(INDEX('Sản phẩm'!$E$5:$E$304,MATCH(D3767,'Sản phẩm'!$A$5:$A$304,0)),"")))</f>
        <v/>
      </c>
      <c r="J3767" s="16">
        <f>IF(OR(D3767="",F3767=""),"",F3767*I3767-N(H3767))</f>
        <v/>
      </c>
      <c r="K3767" s="16">
        <f>IF(OR(D3767="",F3767=""),"",F3767*IFERROR(INDEX('Sản phẩm'!$D$5:$D$304,MATCH(D3767,'Sản phẩm'!$A$5:$A$304,0)),""))</f>
        <v/>
      </c>
      <c r="L3767" s="16">
        <f>IF(J3767="","",J3767-K3767)</f>
        <v/>
      </c>
      <c r="M3767" s="14">
        <f>IF(A3767="","",MONTH(A3767))</f>
        <v/>
      </c>
      <c r="N3767" s="14">
        <f>IF(A3767="","",YEAR(A3767))</f>
        <v/>
      </c>
    </row>
    <row r="3768">
      <c r="A3768" s="15" t="n"/>
      <c r="B3768" s="10" t="n"/>
      <c r="C3768" s="10" t="n"/>
      <c r="D3768" s="10" t="n"/>
      <c r="E3768" s="14">
        <f>IF(D3768="","",IFERROR(INDEX('Sản phẩm'!$B$5:$B$304,MATCH(D3768,'Sản phẩm'!$A$5:$A$304,0)),""))</f>
        <v/>
      </c>
      <c r="F3768" s="12" t="n"/>
      <c r="G3768" s="11" t="n"/>
      <c r="H3768" s="11" t="n"/>
      <c r="I3768" s="16">
        <f>IF(D3768="","",IF(G3768&lt;&gt;"",G3768,IFERROR(INDEX('Sản phẩm'!$E$5:$E$304,MATCH(D3768,'Sản phẩm'!$A$5:$A$304,0)),"")))</f>
        <v/>
      </c>
      <c r="J3768" s="16">
        <f>IF(OR(D3768="",F3768=""),"",F3768*I3768-N(H3768))</f>
        <v/>
      </c>
      <c r="K3768" s="16">
        <f>IF(OR(D3768="",F3768=""),"",F3768*IFERROR(INDEX('Sản phẩm'!$D$5:$D$304,MATCH(D3768,'Sản phẩm'!$A$5:$A$304,0)),""))</f>
        <v/>
      </c>
      <c r="L3768" s="16">
        <f>IF(J3768="","",J3768-K3768)</f>
        <v/>
      </c>
      <c r="M3768" s="14">
        <f>IF(A3768="","",MONTH(A3768))</f>
        <v/>
      </c>
      <c r="N3768" s="14">
        <f>IF(A3768="","",YEAR(A3768))</f>
        <v/>
      </c>
    </row>
    <row r="3769">
      <c r="A3769" s="15" t="n"/>
      <c r="B3769" s="10" t="n"/>
      <c r="C3769" s="10" t="n"/>
      <c r="D3769" s="10" t="n"/>
      <c r="E3769" s="14">
        <f>IF(D3769="","",IFERROR(INDEX('Sản phẩm'!$B$5:$B$304,MATCH(D3769,'Sản phẩm'!$A$5:$A$304,0)),""))</f>
        <v/>
      </c>
      <c r="F3769" s="12" t="n"/>
      <c r="G3769" s="11" t="n"/>
      <c r="H3769" s="11" t="n"/>
      <c r="I3769" s="16">
        <f>IF(D3769="","",IF(G3769&lt;&gt;"",G3769,IFERROR(INDEX('Sản phẩm'!$E$5:$E$304,MATCH(D3769,'Sản phẩm'!$A$5:$A$304,0)),"")))</f>
        <v/>
      </c>
      <c r="J3769" s="16">
        <f>IF(OR(D3769="",F3769=""),"",F3769*I3769-N(H3769))</f>
        <v/>
      </c>
      <c r="K3769" s="16">
        <f>IF(OR(D3769="",F3769=""),"",F3769*IFERROR(INDEX('Sản phẩm'!$D$5:$D$304,MATCH(D3769,'Sản phẩm'!$A$5:$A$304,0)),""))</f>
        <v/>
      </c>
      <c r="L3769" s="16">
        <f>IF(J3769="","",J3769-K3769)</f>
        <v/>
      </c>
      <c r="M3769" s="14">
        <f>IF(A3769="","",MONTH(A3769))</f>
        <v/>
      </c>
      <c r="N3769" s="14">
        <f>IF(A3769="","",YEAR(A3769))</f>
        <v/>
      </c>
    </row>
    <row r="3770">
      <c r="A3770" s="15" t="n"/>
      <c r="B3770" s="10" t="n"/>
      <c r="C3770" s="10" t="n"/>
      <c r="D3770" s="10" t="n"/>
      <c r="E3770" s="14">
        <f>IF(D3770="","",IFERROR(INDEX('Sản phẩm'!$B$5:$B$304,MATCH(D3770,'Sản phẩm'!$A$5:$A$304,0)),""))</f>
        <v/>
      </c>
      <c r="F3770" s="12" t="n"/>
      <c r="G3770" s="11" t="n"/>
      <c r="H3770" s="11" t="n"/>
      <c r="I3770" s="16">
        <f>IF(D3770="","",IF(G3770&lt;&gt;"",G3770,IFERROR(INDEX('Sản phẩm'!$E$5:$E$304,MATCH(D3770,'Sản phẩm'!$A$5:$A$304,0)),"")))</f>
        <v/>
      </c>
      <c r="J3770" s="16">
        <f>IF(OR(D3770="",F3770=""),"",F3770*I3770-N(H3770))</f>
        <v/>
      </c>
      <c r="K3770" s="16">
        <f>IF(OR(D3770="",F3770=""),"",F3770*IFERROR(INDEX('Sản phẩm'!$D$5:$D$304,MATCH(D3770,'Sản phẩm'!$A$5:$A$304,0)),""))</f>
        <v/>
      </c>
      <c r="L3770" s="16">
        <f>IF(J3770="","",J3770-K3770)</f>
        <v/>
      </c>
      <c r="M3770" s="14">
        <f>IF(A3770="","",MONTH(A3770))</f>
        <v/>
      </c>
      <c r="N3770" s="14">
        <f>IF(A3770="","",YEAR(A3770))</f>
        <v/>
      </c>
    </row>
    <row r="3771">
      <c r="A3771" s="15" t="n"/>
      <c r="B3771" s="10" t="n"/>
      <c r="C3771" s="10" t="n"/>
      <c r="D3771" s="10" t="n"/>
      <c r="E3771" s="14">
        <f>IF(D3771="","",IFERROR(INDEX('Sản phẩm'!$B$5:$B$304,MATCH(D3771,'Sản phẩm'!$A$5:$A$304,0)),""))</f>
        <v/>
      </c>
      <c r="F3771" s="12" t="n"/>
      <c r="G3771" s="11" t="n"/>
      <c r="H3771" s="11" t="n"/>
      <c r="I3771" s="16">
        <f>IF(D3771="","",IF(G3771&lt;&gt;"",G3771,IFERROR(INDEX('Sản phẩm'!$E$5:$E$304,MATCH(D3771,'Sản phẩm'!$A$5:$A$304,0)),"")))</f>
        <v/>
      </c>
      <c r="J3771" s="16">
        <f>IF(OR(D3771="",F3771=""),"",F3771*I3771-N(H3771))</f>
        <v/>
      </c>
      <c r="K3771" s="16">
        <f>IF(OR(D3771="",F3771=""),"",F3771*IFERROR(INDEX('Sản phẩm'!$D$5:$D$304,MATCH(D3771,'Sản phẩm'!$A$5:$A$304,0)),""))</f>
        <v/>
      </c>
      <c r="L3771" s="16">
        <f>IF(J3771="","",J3771-K3771)</f>
        <v/>
      </c>
      <c r="M3771" s="14">
        <f>IF(A3771="","",MONTH(A3771))</f>
        <v/>
      </c>
      <c r="N3771" s="14">
        <f>IF(A3771="","",YEAR(A3771))</f>
        <v/>
      </c>
    </row>
    <row r="3772">
      <c r="A3772" s="15" t="n"/>
      <c r="B3772" s="10" t="n"/>
      <c r="C3772" s="10" t="n"/>
      <c r="D3772" s="10" t="n"/>
      <c r="E3772" s="14">
        <f>IF(D3772="","",IFERROR(INDEX('Sản phẩm'!$B$5:$B$304,MATCH(D3772,'Sản phẩm'!$A$5:$A$304,0)),""))</f>
        <v/>
      </c>
      <c r="F3772" s="12" t="n"/>
      <c r="G3772" s="11" t="n"/>
      <c r="H3772" s="11" t="n"/>
      <c r="I3772" s="16">
        <f>IF(D3772="","",IF(G3772&lt;&gt;"",G3772,IFERROR(INDEX('Sản phẩm'!$E$5:$E$304,MATCH(D3772,'Sản phẩm'!$A$5:$A$304,0)),"")))</f>
        <v/>
      </c>
      <c r="J3772" s="16">
        <f>IF(OR(D3772="",F3772=""),"",F3772*I3772-N(H3772))</f>
        <v/>
      </c>
      <c r="K3772" s="16">
        <f>IF(OR(D3772="",F3772=""),"",F3772*IFERROR(INDEX('Sản phẩm'!$D$5:$D$304,MATCH(D3772,'Sản phẩm'!$A$5:$A$304,0)),""))</f>
        <v/>
      </c>
      <c r="L3772" s="16">
        <f>IF(J3772="","",J3772-K3772)</f>
        <v/>
      </c>
      <c r="M3772" s="14">
        <f>IF(A3772="","",MONTH(A3772))</f>
        <v/>
      </c>
      <c r="N3772" s="14">
        <f>IF(A3772="","",YEAR(A3772))</f>
        <v/>
      </c>
    </row>
    <row r="3773">
      <c r="A3773" s="15" t="n"/>
      <c r="B3773" s="10" t="n"/>
      <c r="C3773" s="10" t="n"/>
      <c r="D3773" s="10" t="n"/>
      <c r="E3773" s="14">
        <f>IF(D3773="","",IFERROR(INDEX('Sản phẩm'!$B$5:$B$304,MATCH(D3773,'Sản phẩm'!$A$5:$A$304,0)),""))</f>
        <v/>
      </c>
      <c r="F3773" s="12" t="n"/>
      <c r="G3773" s="11" t="n"/>
      <c r="H3773" s="11" t="n"/>
      <c r="I3773" s="16">
        <f>IF(D3773="","",IF(G3773&lt;&gt;"",G3773,IFERROR(INDEX('Sản phẩm'!$E$5:$E$304,MATCH(D3773,'Sản phẩm'!$A$5:$A$304,0)),"")))</f>
        <v/>
      </c>
      <c r="J3773" s="16">
        <f>IF(OR(D3773="",F3773=""),"",F3773*I3773-N(H3773))</f>
        <v/>
      </c>
      <c r="K3773" s="16">
        <f>IF(OR(D3773="",F3773=""),"",F3773*IFERROR(INDEX('Sản phẩm'!$D$5:$D$304,MATCH(D3773,'Sản phẩm'!$A$5:$A$304,0)),""))</f>
        <v/>
      </c>
      <c r="L3773" s="16">
        <f>IF(J3773="","",J3773-K3773)</f>
        <v/>
      </c>
      <c r="M3773" s="14">
        <f>IF(A3773="","",MONTH(A3773))</f>
        <v/>
      </c>
      <c r="N3773" s="14">
        <f>IF(A3773="","",YEAR(A3773))</f>
        <v/>
      </c>
    </row>
    <row r="3774">
      <c r="A3774" s="15" t="n"/>
      <c r="B3774" s="10" t="n"/>
      <c r="C3774" s="10" t="n"/>
      <c r="D3774" s="10" t="n"/>
      <c r="E3774" s="14">
        <f>IF(D3774="","",IFERROR(INDEX('Sản phẩm'!$B$5:$B$304,MATCH(D3774,'Sản phẩm'!$A$5:$A$304,0)),""))</f>
        <v/>
      </c>
      <c r="F3774" s="12" t="n"/>
      <c r="G3774" s="11" t="n"/>
      <c r="H3774" s="11" t="n"/>
      <c r="I3774" s="16">
        <f>IF(D3774="","",IF(G3774&lt;&gt;"",G3774,IFERROR(INDEX('Sản phẩm'!$E$5:$E$304,MATCH(D3774,'Sản phẩm'!$A$5:$A$304,0)),"")))</f>
        <v/>
      </c>
      <c r="J3774" s="16">
        <f>IF(OR(D3774="",F3774=""),"",F3774*I3774-N(H3774))</f>
        <v/>
      </c>
      <c r="K3774" s="16">
        <f>IF(OR(D3774="",F3774=""),"",F3774*IFERROR(INDEX('Sản phẩm'!$D$5:$D$304,MATCH(D3774,'Sản phẩm'!$A$5:$A$304,0)),""))</f>
        <v/>
      </c>
      <c r="L3774" s="16">
        <f>IF(J3774="","",J3774-K3774)</f>
        <v/>
      </c>
      <c r="M3774" s="14">
        <f>IF(A3774="","",MONTH(A3774))</f>
        <v/>
      </c>
      <c r="N3774" s="14">
        <f>IF(A3774="","",YEAR(A3774))</f>
        <v/>
      </c>
    </row>
    <row r="3775">
      <c r="A3775" s="15" t="n"/>
      <c r="B3775" s="10" t="n"/>
      <c r="C3775" s="10" t="n"/>
      <c r="D3775" s="10" t="n"/>
      <c r="E3775" s="14">
        <f>IF(D3775="","",IFERROR(INDEX('Sản phẩm'!$B$5:$B$304,MATCH(D3775,'Sản phẩm'!$A$5:$A$304,0)),""))</f>
        <v/>
      </c>
      <c r="F3775" s="12" t="n"/>
      <c r="G3775" s="11" t="n"/>
      <c r="H3775" s="11" t="n"/>
      <c r="I3775" s="16">
        <f>IF(D3775="","",IF(G3775&lt;&gt;"",G3775,IFERROR(INDEX('Sản phẩm'!$E$5:$E$304,MATCH(D3775,'Sản phẩm'!$A$5:$A$304,0)),"")))</f>
        <v/>
      </c>
      <c r="J3775" s="16">
        <f>IF(OR(D3775="",F3775=""),"",F3775*I3775-N(H3775))</f>
        <v/>
      </c>
      <c r="K3775" s="16">
        <f>IF(OR(D3775="",F3775=""),"",F3775*IFERROR(INDEX('Sản phẩm'!$D$5:$D$304,MATCH(D3775,'Sản phẩm'!$A$5:$A$304,0)),""))</f>
        <v/>
      </c>
      <c r="L3775" s="16">
        <f>IF(J3775="","",J3775-K3775)</f>
        <v/>
      </c>
      <c r="M3775" s="14">
        <f>IF(A3775="","",MONTH(A3775))</f>
        <v/>
      </c>
      <c r="N3775" s="14">
        <f>IF(A3775="","",YEAR(A3775))</f>
        <v/>
      </c>
    </row>
    <row r="3776">
      <c r="A3776" s="15" t="n"/>
      <c r="B3776" s="10" t="n"/>
      <c r="C3776" s="10" t="n"/>
      <c r="D3776" s="10" t="n"/>
      <c r="E3776" s="14">
        <f>IF(D3776="","",IFERROR(INDEX('Sản phẩm'!$B$5:$B$304,MATCH(D3776,'Sản phẩm'!$A$5:$A$304,0)),""))</f>
        <v/>
      </c>
      <c r="F3776" s="12" t="n"/>
      <c r="G3776" s="11" t="n"/>
      <c r="H3776" s="11" t="n"/>
      <c r="I3776" s="16">
        <f>IF(D3776="","",IF(G3776&lt;&gt;"",G3776,IFERROR(INDEX('Sản phẩm'!$E$5:$E$304,MATCH(D3776,'Sản phẩm'!$A$5:$A$304,0)),"")))</f>
        <v/>
      </c>
      <c r="J3776" s="16">
        <f>IF(OR(D3776="",F3776=""),"",F3776*I3776-N(H3776))</f>
        <v/>
      </c>
      <c r="K3776" s="16">
        <f>IF(OR(D3776="",F3776=""),"",F3776*IFERROR(INDEX('Sản phẩm'!$D$5:$D$304,MATCH(D3776,'Sản phẩm'!$A$5:$A$304,0)),""))</f>
        <v/>
      </c>
      <c r="L3776" s="16">
        <f>IF(J3776="","",J3776-K3776)</f>
        <v/>
      </c>
      <c r="M3776" s="14">
        <f>IF(A3776="","",MONTH(A3776))</f>
        <v/>
      </c>
      <c r="N3776" s="14">
        <f>IF(A3776="","",YEAR(A3776))</f>
        <v/>
      </c>
    </row>
    <row r="3777">
      <c r="A3777" s="15" t="n"/>
      <c r="B3777" s="10" t="n"/>
      <c r="C3777" s="10" t="n"/>
      <c r="D3777" s="10" t="n"/>
      <c r="E3777" s="14">
        <f>IF(D3777="","",IFERROR(INDEX('Sản phẩm'!$B$5:$B$304,MATCH(D3777,'Sản phẩm'!$A$5:$A$304,0)),""))</f>
        <v/>
      </c>
      <c r="F3777" s="12" t="n"/>
      <c r="G3777" s="11" t="n"/>
      <c r="H3777" s="11" t="n"/>
      <c r="I3777" s="16">
        <f>IF(D3777="","",IF(G3777&lt;&gt;"",G3777,IFERROR(INDEX('Sản phẩm'!$E$5:$E$304,MATCH(D3777,'Sản phẩm'!$A$5:$A$304,0)),"")))</f>
        <v/>
      </c>
      <c r="J3777" s="16">
        <f>IF(OR(D3777="",F3777=""),"",F3777*I3777-N(H3777))</f>
        <v/>
      </c>
      <c r="K3777" s="16">
        <f>IF(OR(D3777="",F3777=""),"",F3777*IFERROR(INDEX('Sản phẩm'!$D$5:$D$304,MATCH(D3777,'Sản phẩm'!$A$5:$A$304,0)),""))</f>
        <v/>
      </c>
      <c r="L3777" s="16">
        <f>IF(J3777="","",J3777-K3777)</f>
        <v/>
      </c>
      <c r="M3777" s="14">
        <f>IF(A3777="","",MONTH(A3777))</f>
        <v/>
      </c>
      <c r="N3777" s="14">
        <f>IF(A3777="","",YEAR(A3777))</f>
        <v/>
      </c>
    </row>
    <row r="3778">
      <c r="A3778" s="15" t="n"/>
      <c r="B3778" s="10" t="n"/>
      <c r="C3778" s="10" t="n"/>
      <c r="D3778" s="10" t="n"/>
      <c r="E3778" s="14">
        <f>IF(D3778="","",IFERROR(INDEX('Sản phẩm'!$B$5:$B$304,MATCH(D3778,'Sản phẩm'!$A$5:$A$304,0)),""))</f>
        <v/>
      </c>
      <c r="F3778" s="12" t="n"/>
      <c r="G3778" s="11" t="n"/>
      <c r="H3778" s="11" t="n"/>
      <c r="I3778" s="16">
        <f>IF(D3778="","",IF(G3778&lt;&gt;"",G3778,IFERROR(INDEX('Sản phẩm'!$E$5:$E$304,MATCH(D3778,'Sản phẩm'!$A$5:$A$304,0)),"")))</f>
        <v/>
      </c>
      <c r="J3778" s="16">
        <f>IF(OR(D3778="",F3778=""),"",F3778*I3778-N(H3778))</f>
        <v/>
      </c>
      <c r="K3778" s="16">
        <f>IF(OR(D3778="",F3778=""),"",F3778*IFERROR(INDEX('Sản phẩm'!$D$5:$D$304,MATCH(D3778,'Sản phẩm'!$A$5:$A$304,0)),""))</f>
        <v/>
      </c>
      <c r="L3778" s="16">
        <f>IF(J3778="","",J3778-K3778)</f>
        <v/>
      </c>
      <c r="M3778" s="14">
        <f>IF(A3778="","",MONTH(A3778))</f>
        <v/>
      </c>
      <c r="N3778" s="14">
        <f>IF(A3778="","",YEAR(A3778))</f>
        <v/>
      </c>
    </row>
    <row r="3779">
      <c r="A3779" s="15" t="n"/>
      <c r="B3779" s="10" t="n"/>
      <c r="C3779" s="10" t="n"/>
      <c r="D3779" s="10" t="n"/>
      <c r="E3779" s="14">
        <f>IF(D3779="","",IFERROR(INDEX('Sản phẩm'!$B$5:$B$304,MATCH(D3779,'Sản phẩm'!$A$5:$A$304,0)),""))</f>
        <v/>
      </c>
      <c r="F3779" s="12" t="n"/>
      <c r="G3779" s="11" t="n"/>
      <c r="H3779" s="11" t="n"/>
      <c r="I3779" s="16">
        <f>IF(D3779="","",IF(G3779&lt;&gt;"",G3779,IFERROR(INDEX('Sản phẩm'!$E$5:$E$304,MATCH(D3779,'Sản phẩm'!$A$5:$A$304,0)),"")))</f>
        <v/>
      </c>
      <c r="J3779" s="16">
        <f>IF(OR(D3779="",F3779=""),"",F3779*I3779-N(H3779))</f>
        <v/>
      </c>
      <c r="K3779" s="16">
        <f>IF(OR(D3779="",F3779=""),"",F3779*IFERROR(INDEX('Sản phẩm'!$D$5:$D$304,MATCH(D3779,'Sản phẩm'!$A$5:$A$304,0)),""))</f>
        <v/>
      </c>
      <c r="L3779" s="16">
        <f>IF(J3779="","",J3779-K3779)</f>
        <v/>
      </c>
      <c r="M3779" s="14">
        <f>IF(A3779="","",MONTH(A3779))</f>
        <v/>
      </c>
      <c r="N3779" s="14">
        <f>IF(A3779="","",YEAR(A3779))</f>
        <v/>
      </c>
    </row>
    <row r="3780">
      <c r="A3780" s="15" t="n"/>
      <c r="B3780" s="10" t="n"/>
      <c r="C3780" s="10" t="n"/>
      <c r="D3780" s="10" t="n"/>
      <c r="E3780" s="14">
        <f>IF(D3780="","",IFERROR(INDEX('Sản phẩm'!$B$5:$B$304,MATCH(D3780,'Sản phẩm'!$A$5:$A$304,0)),""))</f>
        <v/>
      </c>
      <c r="F3780" s="12" t="n"/>
      <c r="G3780" s="11" t="n"/>
      <c r="H3780" s="11" t="n"/>
      <c r="I3780" s="16">
        <f>IF(D3780="","",IF(G3780&lt;&gt;"",G3780,IFERROR(INDEX('Sản phẩm'!$E$5:$E$304,MATCH(D3780,'Sản phẩm'!$A$5:$A$304,0)),"")))</f>
        <v/>
      </c>
      <c r="J3780" s="16">
        <f>IF(OR(D3780="",F3780=""),"",F3780*I3780-N(H3780))</f>
        <v/>
      </c>
      <c r="K3780" s="16">
        <f>IF(OR(D3780="",F3780=""),"",F3780*IFERROR(INDEX('Sản phẩm'!$D$5:$D$304,MATCH(D3780,'Sản phẩm'!$A$5:$A$304,0)),""))</f>
        <v/>
      </c>
      <c r="L3780" s="16">
        <f>IF(J3780="","",J3780-K3780)</f>
        <v/>
      </c>
      <c r="M3780" s="14">
        <f>IF(A3780="","",MONTH(A3780))</f>
        <v/>
      </c>
      <c r="N3780" s="14">
        <f>IF(A3780="","",YEAR(A3780))</f>
        <v/>
      </c>
    </row>
    <row r="3781">
      <c r="A3781" s="15" t="n"/>
      <c r="B3781" s="10" t="n"/>
      <c r="C3781" s="10" t="n"/>
      <c r="D3781" s="10" t="n"/>
      <c r="E3781" s="14">
        <f>IF(D3781="","",IFERROR(INDEX('Sản phẩm'!$B$5:$B$304,MATCH(D3781,'Sản phẩm'!$A$5:$A$304,0)),""))</f>
        <v/>
      </c>
      <c r="F3781" s="12" t="n"/>
      <c r="G3781" s="11" t="n"/>
      <c r="H3781" s="11" t="n"/>
      <c r="I3781" s="16">
        <f>IF(D3781="","",IF(G3781&lt;&gt;"",G3781,IFERROR(INDEX('Sản phẩm'!$E$5:$E$304,MATCH(D3781,'Sản phẩm'!$A$5:$A$304,0)),"")))</f>
        <v/>
      </c>
      <c r="J3781" s="16">
        <f>IF(OR(D3781="",F3781=""),"",F3781*I3781-N(H3781))</f>
        <v/>
      </c>
      <c r="K3781" s="16">
        <f>IF(OR(D3781="",F3781=""),"",F3781*IFERROR(INDEX('Sản phẩm'!$D$5:$D$304,MATCH(D3781,'Sản phẩm'!$A$5:$A$304,0)),""))</f>
        <v/>
      </c>
      <c r="L3781" s="16">
        <f>IF(J3781="","",J3781-K3781)</f>
        <v/>
      </c>
      <c r="M3781" s="14">
        <f>IF(A3781="","",MONTH(A3781))</f>
        <v/>
      </c>
      <c r="N3781" s="14">
        <f>IF(A3781="","",YEAR(A3781))</f>
        <v/>
      </c>
    </row>
    <row r="3782">
      <c r="A3782" s="15" t="n"/>
      <c r="B3782" s="10" t="n"/>
      <c r="C3782" s="10" t="n"/>
      <c r="D3782" s="10" t="n"/>
      <c r="E3782" s="14">
        <f>IF(D3782="","",IFERROR(INDEX('Sản phẩm'!$B$5:$B$304,MATCH(D3782,'Sản phẩm'!$A$5:$A$304,0)),""))</f>
        <v/>
      </c>
      <c r="F3782" s="12" t="n"/>
      <c r="G3782" s="11" t="n"/>
      <c r="H3782" s="11" t="n"/>
      <c r="I3782" s="16">
        <f>IF(D3782="","",IF(G3782&lt;&gt;"",G3782,IFERROR(INDEX('Sản phẩm'!$E$5:$E$304,MATCH(D3782,'Sản phẩm'!$A$5:$A$304,0)),"")))</f>
        <v/>
      </c>
      <c r="J3782" s="16">
        <f>IF(OR(D3782="",F3782=""),"",F3782*I3782-N(H3782))</f>
        <v/>
      </c>
      <c r="K3782" s="16">
        <f>IF(OR(D3782="",F3782=""),"",F3782*IFERROR(INDEX('Sản phẩm'!$D$5:$D$304,MATCH(D3782,'Sản phẩm'!$A$5:$A$304,0)),""))</f>
        <v/>
      </c>
      <c r="L3782" s="16">
        <f>IF(J3782="","",J3782-K3782)</f>
        <v/>
      </c>
      <c r="M3782" s="14">
        <f>IF(A3782="","",MONTH(A3782))</f>
        <v/>
      </c>
      <c r="N3782" s="14">
        <f>IF(A3782="","",YEAR(A3782))</f>
        <v/>
      </c>
    </row>
    <row r="3783">
      <c r="A3783" s="15" t="n"/>
      <c r="B3783" s="10" t="n"/>
      <c r="C3783" s="10" t="n"/>
      <c r="D3783" s="10" t="n"/>
      <c r="E3783" s="14">
        <f>IF(D3783="","",IFERROR(INDEX('Sản phẩm'!$B$5:$B$304,MATCH(D3783,'Sản phẩm'!$A$5:$A$304,0)),""))</f>
        <v/>
      </c>
      <c r="F3783" s="12" t="n"/>
      <c r="G3783" s="11" t="n"/>
      <c r="H3783" s="11" t="n"/>
      <c r="I3783" s="16">
        <f>IF(D3783="","",IF(G3783&lt;&gt;"",G3783,IFERROR(INDEX('Sản phẩm'!$E$5:$E$304,MATCH(D3783,'Sản phẩm'!$A$5:$A$304,0)),"")))</f>
        <v/>
      </c>
      <c r="J3783" s="16">
        <f>IF(OR(D3783="",F3783=""),"",F3783*I3783-N(H3783))</f>
        <v/>
      </c>
      <c r="K3783" s="16">
        <f>IF(OR(D3783="",F3783=""),"",F3783*IFERROR(INDEX('Sản phẩm'!$D$5:$D$304,MATCH(D3783,'Sản phẩm'!$A$5:$A$304,0)),""))</f>
        <v/>
      </c>
      <c r="L3783" s="16">
        <f>IF(J3783="","",J3783-K3783)</f>
        <v/>
      </c>
      <c r="M3783" s="14">
        <f>IF(A3783="","",MONTH(A3783))</f>
        <v/>
      </c>
      <c r="N3783" s="14">
        <f>IF(A3783="","",YEAR(A3783))</f>
        <v/>
      </c>
    </row>
    <row r="3784">
      <c r="A3784" s="15" t="n"/>
      <c r="B3784" s="10" t="n"/>
      <c r="C3784" s="10" t="n"/>
      <c r="D3784" s="10" t="n"/>
      <c r="E3784" s="14">
        <f>IF(D3784="","",IFERROR(INDEX('Sản phẩm'!$B$5:$B$304,MATCH(D3784,'Sản phẩm'!$A$5:$A$304,0)),""))</f>
        <v/>
      </c>
      <c r="F3784" s="12" t="n"/>
      <c r="G3784" s="11" t="n"/>
      <c r="H3784" s="11" t="n"/>
      <c r="I3784" s="16">
        <f>IF(D3784="","",IF(G3784&lt;&gt;"",G3784,IFERROR(INDEX('Sản phẩm'!$E$5:$E$304,MATCH(D3784,'Sản phẩm'!$A$5:$A$304,0)),"")))</f>
        <v/>
      </c>
      <c r="J3784" s="16">
        <f>IF(OR(D3784="",F3784=""),"",F3784*I3784-N(H3784))</f>
        <v/>
      </c>
      <c r="K3784" s="16">
        <f>IF(OR(D3784="",F3784=""),"",F3784*IFERROR(INDEX('Sản phẩm'!$D$5:$D$304,MATCH(D3784,'Sản phẩm'!$A$5:$A$304,0)),""))</f>
        <v/>
      </c>
      <c r="L3784" s="16">
        <f>IF(J3784="","",J3784-K3784)</f>
        <v/>
      </c>
      <c r="M3784" s="14">
        <f>IF(A3784="","",MONTH(A3784))</f>
        <v/>
      </c>
      <c r="N3784" s="14">
        <f>IF(A3784="","",YEAR(A3784))</f>
        <v/>
      </c>
    </row>
    <row r="3785">
      <c r="A3785" s="15" t="n"/>
      <c r="B3785" s="10" t="n"/>
      <c r="C3785" s="10" t="n"/>
      <c r="D3785" s="10" t="n"/>
      <c r="E3785" s="14">
        <f>IF(D3785="","",IFERROR(INDEX('Sản phẩm'!$B$5:$B$304,MATCH(D3785,'Sản phẩm'!$A$5:$A$304,0)),""))</f>
        <v/>
      </c>
      <c r="F3785" s="12" t="n"/>
      <c r="G3785" s="11" t="n"/>
      <c r="H3785" s="11" t="n"/>
      <c r="I3785" s="16">
        <f>IF(D3785="","",IF(G3785&lt;&gt;"",G3785,IFERROR(INDEX('Sản phẩm'!$E$5:$E$304,MATCH(D3785,'Sản phẩm'!$A$5:$A$304,0)),"")))</f>
        <v/>
      </c>
      <c r="J3785" s="16">
        <f>IF(OR(D3785="",F3785=""),"",F3785*I3785-N(H3785))</f>
        <v/>
      </c>
      <c r="K3785" s="16">
        <f>IF(OR(D3785="",F3785=""),"",F3785*IFERROR(INDEX('Sản phẩm'!$D$5:$D$304,MATCH(D3785,'Sản phẩm'!$A$5:$A$304,0)),""))</f>
        <v/>
      </c>
      <c r="L3785" s="16">
        <f>IF(J3785="","",J3785-K3785)</f>
        <v/>
      </c>
      <c r="M3785" s="14">
        <f>IF(A3785="","",MONTH(A3785))</f>
        <v/>
      </c>
      <c r="N3785" s="14">
        <f>IF(A3785="","",YEAR(A3785))</f>
        <v/>
      </c>
    </row>
    <row r="3786">
      <c r="A3786" s="15" t="n"/>
      <c r="B3786" s="10" t="n"/>
      <c r="C3786" s="10" t="n"/>
      <c r="D3786" s="10" t="n"/>
      <c r="E3786" s="14">
        <f>IF(D3786="","",IFERROR(INDEX('Sản phẩm'!$B$5:$B$304,MATCH(D3786,'Sản phẩm'!$A$5:$A$304,0)),""))</f>
        <v/>
      </c>
      <c r="F3786" s="12" t="n"/>
      <c r="G3786" s="11" t="n"/>
      <c r="H3786" s="11" t="n"/>
      <c r="I3786" s="16">
        <f>IF(D3786="","",IF(G3786&lt;&gt;"",G3786,IFERROR(INDEX('Sản phẩm'!$E$5:$E$304,MATCH(D3786,'Sản phẩm'!$A$5:$A$304,0)),"")))</f>
        <v/>
      </c>
      <c r="J3786" s="16">
        <f>IF(OR(D3786="",F3786=""),"",F3786*I3786-N(H3786))</f>
        <v/>
      </c>
      <c r="K3786" s="16">
        <f>IF(OR(D3786="",F3786=""),"",F3786*IFERROR(INDEX('Sản phẩm'!$D$5:$D$304,MATCH(D3786,'Sản phẩm'!$A$5:$A$304,0)),""))</f>
        <v/>
      </c>
      <c r="L3786" s="16">
        <f>IF(J3786="","",J3786-K3786)</f>
        <v/>
      </c>
      <c r="M3786" s="14">
        <f>IF(A3786="","",MONTH(A3786))</f>
        <v/>
      </c>
      <c r="N3786" s="14">
        <f>IF(A3786="","",YEAR(A3786))</f>
        <v/>
      </c>
    </row>
    <row r="3787">
      <c r="A3787" s="15" t="n"/>
      <c r="B3787" s="10" t="n"/>
      <c r="C3787" s="10" t="n"/>
      <c r="D3787" s="10" t="n"/>
      <c r="E3787" s="14">
        <f>IF(D3787="","",IFERROR(INDEX('Sản phẩm'!$B$5:$B$304,MATCH(D3787,'Sản phẩm'!$A$5:$A$304,0)),""))</f>
        <v/>
      </c>
      <c r="F3787" s="12" t="n"/>
      <c r="G3787" s="11" t="n"/>
      <c r="H3787" s="11" t="n"/>
      <c r="I3787" s="16">
        <f>IF(D3787="","",IF(G3787&lt;&gt;"",G3787,IFERROR(INDEX('Sản phẩm'!$E$5:$E$304,MATCH(D3787,'Sản phẩm'!$A$5:$A$304,0)),"")))</f>
        <v/>
      </c>
      <c r="J3787" s="16">
        <f>IF(OR(D3787="",F3787=""),"",F3787*I3787-N(H3787))</f>
        <v/>
      </c>
      <c r="K3787" s="16">
        <f>IF(OR(D3787="",F3787=""),"",F3787*IFERROR(INDEX('Sản phẩm'!$D$5:$D$304,MATCH(D3787,'Sản phẩm'!$A$5:$A$304,0)),""))</f>
        <v/>
      </c>
      <c r="L3787" s="16">
        <f>IF(J3787="","",J3787-K3787)</f>
        <v/>
      </c>
      <c r="M3787" s="14">
        <f>IF(A3787="","",MONTH(A3787))</f>
        <v/>
      </c>
      <c r="N3787" s="14">
        <f>IF(A3787="","",YEAR(A3787))</f>
        <v/>
      </c>
    </row>
    <row r="3788">
      <c r="A3788" s="15" t="n"/>
      <c r="B3788" s="10" t="n"/>
      <c r="C3788" s="10" t="n"/>
      <c r="D3788" s="10" t="n"/>
      <c r="E3788" s="14">
        <f>IF(D3788="","",IFERROR(INDEX('Sản phẩm'!$B$5:$B$304,MATCH(D3788,'Sản phẩm'!$A$5:$A$304,0)),""))</f>
        <v/>
      </c>
      <c r="F3788" s="12" t="n"/>
      <c r="G3788" s="11" t="n"/>
      <c r="H3788" s="11" t="n"/>
      <c r="I3788" s="16">
        <f>IF(D3788="","",IF(G3788&lt;&gt;"",G3788,IFERROR(INDEX('Sản phẩm'!$E$5:$E$304,MATCH(D3788,'Sản phẩm'!$A$5:$A$304,0)),"")))</f>
        <v/>
      </c>
      <c r="J3788" s="16">
        <f>IF(OR(D3788="",F3788=""),"",F3788*I3788-N(H3788))</f>
        <v/>
      </c>
      <c r="K3788" s="16">
        <f>IF(OR(D3788="",F3788=""),"",F3788*IFERROR(INDEX('Sản phẩm'!$D$5:$D$304,MATCH(D3788,'Sản phẩm'!$A$5:$A$304,0)),""))</f>
        <v/>
      </c>
      <c r="L3788" s="16">
        <f>IF(J3788="","",J3788-K3788)</f>
        <v/>
      </c>
      <c r="M3788" s="14">
        <f>IF(A3788="","",MONTH(A3788))</f>
        <v/>
      </c>
      <c r="N3788" s="14">
        <f>IF(A3788="","",YEAR(A3788))</f>
        <v/>
      </c>
    </row>
    <row r="3789">
      <c r="A3789" s="15" t="n"/>
      <c r="B3789" s="10" t="n"/>
      <c r="C3789" s="10" t="n"/>
      <c r="D3789" s="10" t="n"/>
      <c r="E3789" s="14">
        <f>IF(D3789="","",IFERROR(INDEX('Sản phẩm'!$B$5:$B$304,MATCH(D3789,'Sản phẩm'!$A$5:$A$304,0)),""))</f>
        <v/>
      </c>
      <c r="F3789" s="12" t="n"/>
      <c r="G3789" s="11" t="n"/>
      <c r="H3789" s="11" t="n"/>
      <c r="I3789" s="16">
        <f>IF(D3789="","",IF(G3789&lt;&gt;"",G3789,IFERROR(INDEX('Sản phẩm'!$E$5:$E$304,MATCH(D3789,'Sản phẩm'!$A$5:$A$304,0)),"")))</f>
        <v/>
      </c>
      <c r="J3789" s="16">
        <f>IF(OR(D3789="",F3789=""),"",F3789*I3789-N(H3789))</f>
        <v/>
      </c>
      <c r="K3789" s="16">
        <f>IF(OR(D3789="",F3789=""),"",F3789*IFERROR(INDEX('Sản phẩm'!$D$5:$D$304,MATCH(D3789,'Sản phẩm'!$A$5:$A$304,0)),""))</f>
        <v/>
      </c>
      <c r="L3789" s="16">
        <f>IF(J3789="","",J3789-K3789)</f>
        <v/>
      </c>
      <c r="M3789" s="14">
        <f>IF(A3789="","",MONTH(A3789))</f>
        <v/>
      </c>
      <c r="N3789" s="14">
        <f>IF(A3789="","",YEAR(A3789))</f>
        <v/>
      </c>
    </row>
    <row r="3790">
      <c r="A3790" s="15" t="n"/>
      <c r="B3790" s="10" t="n"/>
      <c r="C3790" s="10" t="n"/>
      <c r="D3790" s="10" t="n"/>
      <c r="E3790" s="14">
        <f>IF(D3790="","",IFERROR(INDEX('Sản phẩm'!$B$5:$B$304,MATCH(D3790,'Sản phẩm'!$A$5:$A$304,0)),""))</f>
        <v/>
      </c>
      <c r="F3790" s="12" t="n"/>
      <c r="G3790" s="11" t="n"/>
      <c r="H3790" s="11" t="n"/>
      <c r="I3790" s="16">
        <f>IF(D3790="","",IF(G3790&lt;&gt;"",G3790,IFERROR(INDEX('Sản phẩm'!$E$5:$E$304,MATCH(D3790,'Sản phẩm'!$A$5:$A$304,0)),"")))</f>
        <v/>
      </c>
      <c r="J3790" s="16">
        <f>IF(OR(D3790="",F3790=""),"",F3790*I3790-N(H3790))</f>
        <v/>
      </c>
      <c r="K3790" s="16">
        <f>IF(OR(D3790="",F3790=""),"",F3790*IFERROR(INDEX('Sản phẩm'!$D$5:$D$304,MATCH(D3790,'Sản phẩm'!$A$5:$A$304,0)),""))</f>
        <v/>
      </c>
      <c r="L3790" s="16">
        <f>IF(J3790="","",J3790-K3790)</f>
        <v/>
      </c>
      <c r="M3790" s="14">
        <f>IF(A3790="","",MONTH(A3790))</f>
        <v/>
      </c>
      <c r="N3790" s="14">
        <f>IF(A3790="","",YEAR(A3790))</f>
        <v/>
      </c>
    </row>
    <row r="3791">
      <c r="A3791" s="15" t="n"/>
      <c r="B3791" s="10" t="n"/>
      <c r="C3791" s="10" t="n"/>
      <c r="D3791" s="10" t="n"/>
      <c r="E3791" s="14">
        <f>IF(D3791="","",IFERROR(INDEX('Sản phẩm'!$B$5:$B$304,MATCH(D3791,'Sản phẩm'!$A$5:$A$304,0)),""))</f>
        <v/>
      </c>
      <c r="F3791" s="12" t="n"/>
      <c r="G3791" s="11" t="n"/>
      <c r="H3791" s="11" t="n"/>
      <c r="I3791" s="16">
        <f>IF(D3791="","",IF(G3791&lt;&gt;"",G3791,IFERROR(INDEX('Sản phẩm'!$E$5:$E$304,MATCH(D3791,'Sản phẩm'!$A$5:$A$304,0)),"")))</f>
        <v/>
      </c>
      <c r="J3791" s="16">
        <f>IF(OR(D3791="",F3791=""),"",F3791*I3791-N(H3791))</f>
        <v/>
      </c>
      <c r="K3791" s="16">
        <f>IF(OR(D3791="",F3791=""),"",F3791*IFERROR(INDEX('Sản phẩm'!$D$5:$D$304,MATCH(D3791,'Sản phẩm'!$A$5:$A$304,0)),""))</f>
        <v/>
      </c>
      <c r="L3791" s="16">
        <f>IF(J3791="","",J3791-K3791)</f>
        <v/>
      </c>
      <c r="M3791" s="14">
        <f>IF(A3791="","",MONTH(A3791))</f>
        <v/>
      </c>
      <c r="N3791" s="14">
        <f>IF(A3791="","",YEAR(A3791))</f>
        <v/>
      </c>
    </row>
    <row r="3792">
      <c r="A3792" s="15" t="n"/>
      <c r="B3792" s="10" t="n"/>
      <c r="C3792" s="10" t="n"/>
      <c r="D3792" s="10" t="n"/>
      <c r="E3792" s="14">
        <f>IF(D3792="","",IFERROR(INDEX('Sản phẩm'!$B$5:$B$304,MATCH(D3792,'Sản phẩm'!$A$5:$A$304,0)),""))</f>
        <v/>
      </c>
      <c r="F3792" s="12" t="n"/>
      <c r="G3792" s="11" t="n"/>
      <c r="H3792" s="11" t="n"/>
      <c r="I3792" s="16">
        <f>IF(D3792="","",IF(G3792&lt;&gt;"",G3792,IFERROR(INDEX('Sản phẩm'!$E$5:$E$304,MATCH(D3792,'Sản phẩm'!$A$5:$A$304,0)),"")))</f>
        <v/>
      </c>
      <c r="J3792" s="16">
        <f>IF(OR(D3792="",F3792=""),"",F3792*I3792-N(H3792))</f>
        <v/>
      </c>
      <c r="K3792" s="16">
        <f>IF(OR(D3792="",F3792=""),"",F3792*IFERROR(INDEX('Sản phẩm'!$D$5:$D$304,MATCH(D3792,'Sản phẩm'!$A$5:$A$304,0)),""))</f>
        <v/>
      </c>
      <c r="L3792" s="16">
        <f>IF(J3792="","",J3792-K3792)</f>
        <v/>
      </c>
      <c r="M3792" s="14">
        <f>IF(A3792="","",MONTH(A3792))</f>
        <v/>
      </c>
      <c r="N3792" s="14">
        <f>IF(A3792="","",YEAR(A3792))</f>
        <v/>
      </c>
    </row>
    <row r="3793">
      <c r="A3793" s="15" t="n"/>
      <c r="B3793" s="10" t="n"/>
      <c r="C3793" s="10" t="n"/>
      <c r="D3793" s="10" t="n"/>
      <c r="E3793" s="14">
        <f>IF(D3793="","",IFERROR(INDEX('Sản phẩm'!$B$5:$B$304,MATCH(D3793,'Sản phẩm'!$A$5:$A$304,0)),""))</f>
        <v/>
      </c>
      <c r="F3793" s="12" t="n"/>
      <c r="G3793" s="11" t="n"/>
      <c r="H3793" s="11" t="n"/>
      <c r="I3793" s="16">
        <f>IF(D3793="","",IF(G3793&lt;&gt;"",G3793,IFERROR(INDEX('Sản phẩm'!$E$5:$E$304,MATCH(D3793,'Sản phẩm'!$A$5:$A$304,0)),"")))</f>
        <v/>
      </c>
      <c r="J3793" s="16">
        <f>IF(OR(D3793="",F3793=""),"",F3793*I3793-N(H3793))</f>
        <v/>
      </c>
      <c r="K3793" s="16">
        <f>IF(OR(D3793="",F3793=""),"",F3793*IFERROR(INDEX('Sản phẩm'!$D$5:$D$304,MATCH(D3793,'Sản phẩm'!$A$5:$A$304,0)),""))</f>
        <v/>
      </c>
      <c r="L3793" s="16">
        <f>IF(J3793="","",J3793-K3793)</f>
        <v/>
      </c>
      <c r="M3793" s="14">
        <f>IF(A3793="","",MONTH(A3793))</f>
        <v/>
      </c>
      <c r="N3793" s="14">
        <f>IF(A3793="","",YEAR(A3793))</f>
        <v/>
      </c>
    </row>
    <row r="3794">
      <c r="A3794" s="15" t="n"/>
      <c r="B3794" s="10" t="n"/>
      <c r="C3794" s="10" t="n"/>
      <c r="D3794" s="10" t="n"/>
      <c r="E3794" s="14">
        <f>IF(D3794="","",IFERROR(INDEX('Sản phẩm'!$B$5:$B$304,MATCH(D3794,'Sản phẩm'!$A$5:$A$304,0)),""))</f>
        <v/>
      </c>
      <c r="F3794" s="12" t="n"/>
      <c r="G3794" s="11" t="n"/>
      <c r="H3794" s="11" t="n"/>
      <c r="I3794" s="16">
        <f>IF(D3794="","",IF(G3794&lt;&gt;"",G3794,IFERROR(INDEX('Sản phẩm'!$E$5:$E$304,MATCH(D3794,'Sản phẩm'!$A$5:$A$304,0)),"")))</f>
        <v/>
      </c>
      <c r="J3794" s="16">
        <f>IF(OR(D3794="",F3794=""),"",F3794*I3794-N(H3794))</f>
        <v/>
      </c>
      <c r="K3794" s="16">
        <f>IF(OR(D3794="",F3794=""),"",F3794*IFERROR(INDEX('Sản phẩm'!$D$5:$D$304,MATCH(D3794,'Sản phẩm'!$A$5:$A$304,0)),""))</f>
        <v/>
      </c>
      <c r="L3794" s="16">
        <f>IF(J3794="","",J3794-K3794)</f>
        <v/>
      </c>
      <c r="M3794" s="14">
        <f>IF(A3794="","",MONTH(A3794))</f>
        <v/>
      </c>
      <c r="N3794" s="14">
        <f>IF(A3794="","",YEAR(A3794))</f>
        <v/>
      </c>
    </row>
    <row r="3795">
      <c r="A3795" s="15" t="n"/>
      <c r="B3795" s="10" t="n"/>
      <c r="C3795" s="10" t="n"/>
      <c r="D3795" s="10" t="n"/>
      <c r="E3795" s="14">
        <f>IF(D3795="","",IFERROR(INDEX('Sản phẩm'!$B$5:$B$304,MATCH(D3795,'Sản phẩm'!$A$5:$A$304,0)),""))</f>
        <v/>
      </c>
      <c r="F3795" s="12" t="n"/>
      <c r="G3795" s="11" t="n"/>
      <c r="H3795" s="11" t="n"/>
      <c r="I3795" s="16">
        <f>IF(D3795="","",IF(G3795&lt;&gt;"",G3795,IFERROR(INDEX('Sản phẩm'!$E$5:$E$304,MATCH(D3795,'Sản phẩm'!$A$5:$A$304,0)),"")))</f>
        <v/>
      </c>
      <c r="J3795" s="16">
        <f>IF(OR(D3795="",F3795=""),"",F3795*I3795-N(H3795))</f>
        <v/>
      </c>
      <c r="K3795" s="16">
        <f>IF(OR(D3795="",F3795=""),"",F3795*IFERROR(INDEX('Sản phẩm'!$D$5:$D$304,MATCH(D3795,'Sản phẩm'!$A$5:$A$304,0)),""))</f>
        <v/>
      </c>
      <c r="L3795" s="16">
        <f>IF(J3795="","",J3795-K3795)</f>
        <v/>
      </c>
      <c r="M3795" s="14">
        <f>IF(A3795="","",MONTH(A3795))</f>
        <v/>
      </c>
      <c r="N3795" s="14">
        <f>IF(A3795="","",YEAR(A3795))</f>
        <v/>
      </c>
    </row>
    <row r="3796">
      <c r="A3796" s="15" t="n"/>
      <c r="B3796" s="10" t="n"/>
      <c r="C3796" s="10" t="n"/>
      <c r="D3796" s="10" t="n"/>
      <c r="E3796" s="14">
        <f>IF(D3796="","",IFERROR(INDEX('Sản phẩm'!$B$5:$B$304,MATCH(D3796,'Sản phẩm'!$A$5:$A$304,0)),""))</f>
        <v/>
      </c>
      <c r="F3796" s="12" t="n"/>
      <c r="G3796" s="11" t="n"/>
      <c r="H3796" s="11" t="n"/>
      <c r="I3796" s="16">
        <f>IF(D3796="","",IF(G3796&lt;&gt;"",G3796,IFERROR(INDEX('Sản phẩm'!$E$5:$E$304,MATCH(D3796,'Sản phẩm'!$A$5:$A$304,0)),"")))</f>
        <v/>
      </c>
      <c r="J3796" s="16">
        <f>IF(OR(D3796="",F3796=""),"",F3796*I3796-N(H3796))</f>
        <v/>
      </c>
      <c r="K3796" s="16">
        <f>IF(OR(D3796="",F3796=""),"",F3796*IFERROR(INDEX('Sản phẩm'!$D$5:$D$304,MATCH(D3796,'Sản phẩm'!$A$5:$A$304,0)),""))</f>
        <v/>
      </c>
      <c r="L3796" s="16">
        <f>IF(J3796="","",J3796-K3796)</f>
        <v/>
      </c>
      <c r="M3796" s="14">
        <f>IF(A3796="","",MONTH(A3796))</f>
        <v/>
      </c>
      <c r="N3796" s="14">
        <f>IF(A3796="","",YEAR(A3796))</f>
        <v/>
      </c>
    </row>
    <row r="3797">
      <c r="A3797" s="15" t="n"/>
      <c r="B3797" s="10" t="n"/>
      <c r="C3797" s="10" t="n"/>
      <c r="D3797" s="10" t="n"/>
      <c r="E3797" s="14">
        <f>IF(D3797="","",IFERROR(INDEX('Sản phẩm'!$B$5:$B$304,MATCH(D3797,'Sản phẩm'!$A$5:$A$304,0)),""))</f>
        <v/>
      </c>
      <c r="F3797" s="12" t="n"/>
      <c r="G3797" s="11" t="n"/>
      <c r="H3797" s="11" t="n"/>
      <c r="I3797" s="16">
        <f>IF(D3797="","",IF(G3797&lt;&gt;"",G3797,IFERROR(INDEX('Sản phẩm'!$E$5:$E$304,MATCH(D3797,'Sản phẩm'!$A$5:$A$304,0)),"")))</f>
        <v/>
      </c>
      <c r="J3797" s="16">
        <f>IF(OR(D3797="",F3797=""),"",F3797*I3797-N(H3797))</f>
        <v/>
      </c>
      <c r="K3797" s="16">
        <f>IF(OR(D3797="",F3797=""),"",F3797*IFERROR(INDEX('Sản phẩm'!$D$5:$D$304,MATCH(D3797,'Sản phẩm'!$A$5:$A$304,0)),""))</f>
        <v/>
      </c>
      <c r="L3797" s="16">
        <f>IF(J3797="","",J3797-K3797)</f>
        <v/>
      </c>
      <c r="M3797" s="14">
        <f>IF(A3797="","",MONTH(A3797))</f>
        <v/>
      </c>
      <c r="N3797" s="14">
        <f>IF(A3797="","",YEAR(A3797))</f>
        <v/>
      </c>
    </row>
    <row r="3798">
      <c r="A3798" s="15" t="n"/>
      <c r="B3798" s="10" t="n"/>
      <c r="C3798" s="10" t="n"/>
      <c r="D3798" s="10" t="n"/>
      <c r="E3798" s="14">
        <f>IF(D3798="","",IFERROR(INDEX('Sản phẩm'!$B$5:$B$304,MATCH(D3798,'Sản phẩm'!$A$5:$A$304,0)),""))</f>
        <v/>
      </c>
      <c r="F3798" s="12" t="n"/>
      <c r="G3798" s="11" t="n"/>
      <c r="H3798" s="11" t="n"/>
      <c r="I3798" s="16">
        <f>IF(D3798="","",IF(G3798&lt;&gt;"",G3798,IFERROR(INDEX('Sản phẩm'!$E$5:$E$304,MATCH(D3798,'Sản phẩm'!$A$5:$A$304,0)),"")))</f>
        <v/>
      </c>
      <c r="J3798" s="16">
        <f>IF(OR(D3798="",F3798=""),"",F3798*I3798-N(H3798))</f>
        <v/>
      </c>
      <c r="K3798" s="16">
        <f>IF(OR(D3798="",F3798=""),"",F3798*IFERROR(INDEX('Sản phẩm'!$D$5:$D$304,MATCH(D3798,'Sản phẩm'!$A$5:$A$304,0)),""))</f>
        <v/>
      </c>
      <c r="L3798" s="16">
        <f>IF(J3798="","",J3798-K3798)</f>
        <v/>
      </c>
      <c r="M3798" s="14">
        <f>IF(A3798="","",MONTH(A3798))</f>
        <v/>
      </c>
      <c r="N3798" s="14">
        <f>IF(A3798="","",YEAR(A3798))</f>
        <v/>
      </c>
    </row>
    <row r="3799">
      <c r="A3799" s="15" t="n"/>
      <c r="B3799" s="10" t="n"/>
      <c r="C3799" s="10" t="n"/>
      <c r="D3799" s="10" t="n"/>
      <c r="E3799" s="14">
        <f>IF(D3799="","",IFERROR(INDEX('Sản phẩm'!$B$5:$B$304,MATCH(D3799,'Sản phẩm'!$A$5:$A$304,0)),""))</f>
        <v/>
      </c>
      <c r="F3799" s="12" t="n"/>
      <c r="G3799" s="11" t="n"/>
      <c r="H3799" s="11" t="n"/>
      <c r="I3799" s="16">
        <f>IF(D3799="","",IF(G3799&lt;&gt;"",G3799,IFERROR(INDEX('Sản phẩm'!$E$5:$E$304,MATCH(D3799,'Sản phẩm'!$A$5:$A$304,0)),"")))</f>
        <v/>
      </c>
      <c r="J3799" s="16">
        <f>IF(OR(D3799="",F3799=""),"",F3799*I3799-N(H3799))</f>
        <v/>
      </c>
      <c r="K3799" s="16">
        <f>IF(OR(D3799="",F3799=""),"",F3799*IFERROR(INDEX('Sản phẩm'!$D$5:$D$304,MATCH(D3799,'Sản phẩm'!$A$5:$A$304,0)),""))</f>
        <v/>
      </c>
      <c r="L3799" s="16">
        <f>IF(J3799="","",J3799-K3799)</f>
        <v/>
      </c>
      <c r="M3799" s="14">
        <f>IF(A3799="","",MONTH(A3799))</f>
        <v/>
      </c>
      <c r="N3799" s="14">
        <f>IF(A3799="","",YEAR(A3799))</f>
        <v/>
      </c>
    </row>
    <row r="3800">
      <c r="A3800" s="15" t="n"/>
      <c r="B3800" s="10" t="n"/>
      <c r="C3800" s="10" t="n"/>
      <c r="D3800" s="10" t="n"/>
      <c r="E3800" s="14">
        <f>IF(D3800="","",IFERROR(INDEX('Sản phẩm'!$B$5:$B$304,MATCH(D3800,'Sản phẩm'!$A$5:$A$304,0)),""))</f>
        <v/>
      </c>
      <c r="F3800" s="12" t="n"/>
      <c r="G3800" s="11" t="n"/>
      <c r="H3800" s="11" t="n"/>
      <c r="I3800" s="16">
        <f>IF(D3800="","",IF(G3800&lt;&gt;"",G3800,IFERROR(INDEX('Sản phẩm'!$E$5:$E$304,MATCH(D3800,'Sản phẩm'!$A$5:$A$304,0)),"")))</f>
        <v/>
      </c>
      <c r="J3800" s="16">
        <f>IF(OR(D3800="",F3800=""),"",F3800*I3800-N(H3800))</f>
        <v/>
      </c>
      <c r="K3800" s="16">
        <f>IF(OR(D3800="",F3800=""),"",F3800*IFERROR(INDEX('Sản phẩm'!$D$5:$D$304,MATCH(D3800,'Sản phẩm'!$A$5:$A$304,0)),""))</f>
        <v/>
      </c>
      <c r="L3800" s="16">
        <f>IF(J3800="","",J3800-K3800)</f>
        <v/>
      </c>
      <c r="M3800" s="14">
        <f>IF(A3800="","",MONTH(A3800))</f>
        <v/>
      </c>
      <c r="N3800" s="14">
        <f>IF(A3800="","",YEAR(A3800))</f>
        <v/>
      </c>
    </row>
    <row r="3801">
      <c r="A3801" s="15" t="n"/>
      <c r="B3801" s="10" t="n"/>
      <c r="C3801" s="10" t="n"/>
      <c r="D3801" s="10" t="n"/>
      <c r="E3801" s="14">
        <f>IF(D3801="","",IFERROR(INDEX('Sản phẩm'!$B$5:$B$304,MATCH(D3801,'Sản phẩm'!$A$5:$A$304,0)),""))</f>
        <v/>
      </c>
      <c r="F3801" s="12" t="n"/>
      <c r="G3801" s="11" t="n"/>
      <c r="H3801" s="11" t="n"/>
      <c r="I3801" s="16">
        <f>IF(D3801="","",IF(G3801&lt;&gt;"",G3801,IFERROR(INDEX('Sản phẩm'!$E$5:$E$304,MATCH(D3801,'Sản phẩm'!$A$5:$A$304,0)),"")))</f>
        <v/>
      </c>
      <c r="J3801" s="16">
        <f>IF(OR(D3801="",F3801=""),"",F3801*I3801-N(H3801))</f>
        <v/>
      </c>
      <c r="K3801" s="16">
        <f>IF(OR(D3801="",F3801=""),"",F3801*IFERROR(INDEX('Sản phẩm'!$D$5:$D$304,MATCH(D3801,'Sản phẩm'!$A$5:$A$304,0)),""))</f>
        <v/>
      </c>
      <c r="L3801" s="16">
        <f>IF(J3801="","",J3801-K3801)</f>
        <v/>
      </c>
      <c r="M3801" s="14">
        <f>IF(A3801="","",MONTH(A3801))</f>
        <v/>
      </c>
      <c r="N3801" s="14">
        <f>IF(A3801="","",YEAR(A3801))</f>
        <v/>
      </c>
    </row>
    <row r="3802">
      <c r="A3802" s="15" t="n"/>
      <c r="B3802" s="10" t="n"/>
      <c r="C3802" s="10" t="n"/>
      <c r="D3802" s="10" t="n"/>
      <c r="E3802" s="14">
        <f>IF(D3802="","",IFERROR(INDEX('Sản phẩm'!$B$5:$B$304,MATCH(D3802,'Sản phẩm'!$A$5:$A$304,0)),""))</f>
        <v/>
      </c>
      <c r="F3802" s="12" t="n"/>
      <c r="G3802" s="11" t="n"/>
      <c r="H3802" s="11" t="n"/>
      <c r="I3802" s="16">
        <f>IF(D3802="","",IF(G3802&lt;&gt;"",G3802,IFERROR(INDEX('Sản phẩm'!$E$5:$E$304,MATCH(D3802,'Sản phẩm'!$A$5:$A$304,0)),"")))</f>
        <v/>
      </c>
      <c r="J3802" s="16">
        <f>IF(OR(D3802="",F3802=""),"",F3802*I3802-N(H3802))</f>
        <v/>
      </c>
      <c r="K3802" s="16">
        <f>IF(OR(D3802="",F3802=""),"",F3802*IFERROR(INDEX('Sản phẩm'!$D$5:$D$304,MATCH(D3802,'Sản phẩm'!$A$5:$A$304,0)),""))</f>
        <v/>
      </c>
      <c r="L3802" s="16">
        <f>IF(J3802="","",J3802-K3802)</f>
        <v/>
      </c>
      <c r="M3802" s="14">
        <f>IF(A3802="","",MONTH(A3802))</f>
        <v/>
      </c>
      <c r="N3802" s="14">
        <f>IF(A3802="","",YEAR(A3802))</f>
        <v/>
      </c>
    </row>
    <row r="3803">
      <c r="A3803" s="15" t="n"/>
      <c r="B3803" s="10" t="n"/>
      <c r="C3803" s="10" t="n"/>
      <c r="D3803" s="10" t="n"/>
      <c r="E3803" s="14">
        <f>IF(D3803="","",IFERROR(INDEX('Sản phẩm'!$B$5:$B$304,MATCH(D3803,'Sản phẩm'!$A$5:$A$304,0)),""))</f>
        <v/>
      </c>
      <c r="F3803" s="12" t="n"/>
      <c r="G3803" s="11" t="n"/>
      <c r="H3803" s="11" t="n"/>
      <c r="I3803" s="16">
        <f>IF(D3803="","",IF(G3803&lt;&gt;"",G3803,IFERROR(INDEX('Sản phẩm'!$E$5:$E$304,MATCH(D3803,'Sản phẩm'!$A$5:$A$304,0)),"")))</f>
        <v/>
      </c>
      <c r="J3803" s="16">
        <f>IF(OR(D3803="",F3803=""),"",F3803*I3803-N(H3803))</f>
        <v/>
      </c>
      <c r="K3803" s="16">
        <f>IF(OR(D3803="",F3803=""),"",F3803*IFERROR(INDEX('Sản phẩm'!$D$5:$D$304,MATCH(D3803,'Sản phẩm'!$A$5:$A$304,0)),""))</f>
        <v/>
      </c>
      <c r="L3803" s="16">
        <f>IF(J3803="","",J3803-K3803)</f>
        <v/>
      </c>
      <c r="M3803" s="14">
        <f>IF(A3803="","",MONTH(A3803))</f>
        <v/>
      </c>
      <c r="N3803" s="14">
        <f>IF(A3803="","",YEAR(A3803))</f>
        <v/>
      </c>
    </row>
    <row r="3804">
      <c r="A3804" s="15" t="n"/>
      <c r="B3804" s="10" t="n"/>
      <c r="C3804" s="10" t="n"/>
      <c r="D3804" s="10" t="n"/>
      <c r="E3804" s="14">
        <f>IF(D3804="","",IFERROR(INDEX('Sản phẩm'!$B$5:$B$304,MATCH(D3804,'Sản phẩm'!$A$5:$A$304,0)),""))</f>
        <v/>
      </c>
      <c r="F3804" s="12" t="n"/>
      <c r="G3804" s="11" t="n"/>
      <c r="H3804" s="11" t="n"/>
      <c r="I3804" s="16">
        <f>IF(D3804="","",IF(G3804&lt;&gt;"",G3804,IFERROR(INDEX('Sản phẩm'!$E$5:$E$304,MATCH(D3804,'Sản phẩm'!$A$5:$A$304,0)),"")))</f>
        <v/>
      </c>
      <c r="J3804" s="16">
        <f>IF(OR(D3804="",F3804=""),"",F3804*I3804-N(H3804))</f>
        <v/>
      </c>
      <c r="K3804" s="16">
        <f>IF(OR(D3804="",F3804=""),"",F3804*IFERROR(INDEX('Sản phẩm'!$D$5:$D$304,MATCH(D3804,'Sản phẩm'!$A$5:$A$304,0)),""))</f>
        <v/>
      </c>
      <c r="L3804" s="16">
        <f>IF(J3804="","",J3804-K3804)</f>
        <v/>
      </c>
      <c r="M3804" s="14">
        <f>IF(A3804="","",MONTH(A3804))</f>
        <v/>
      </c>
      <c r="N3804" s="14">
        <f>IF(A3804="","",YEAR(A3804))</f>
        <v/>
      </c>
    </row>
    <row r="3805">
      <c r="A3805" s="15" t="n"/>
      <c r="B3805" s="10" t="n"/>
      <c r="C3805" s="10" t="n"/>
      <c r="D3805" s="10" t="n"/>
      <c r="E3805" s="14">
        <f>IF(D3805="","",IFERROR(INDEX('Sản phẩm'!$B$5:$B$304,MATCH(D3805,'Sản phẩm'!$A$5:$A$304,0)),""))</f>
        <v/>
      </c>
      <c r="F3805" s="12" t="n"/>
      <c r="G3805" s="11" t="n"/>
      <c r="H3805" s="11" t="n"/>
      <c r="I3805" s="16">
        <f>IF(D3805="","",IF(G3805&lt;&gt;"",G3805,IFERROR(INDEX('Sản phẩm'!$E$5:$E$304,MATCH(D3805,'Sản phẩm'!$A$5:$A$304,0)),"")))</f>
        <v/>
      </c>
      <c r="J3805" s="16">
        <f>IF(OR(D3805="",F3805=""),"",F3805*I3805-N(H3805))</f>
        <v/>
      </c>
      <c r="K3805" s="16">
        <f>IF(OR(D3805="",F3805=""),"",F3805*IFERROR(INDEX('Sản phẩm'!$D$5:$D$304,MATCH(D3805,'Sản phẩm'!$A$5:$A$304,0)),""))</f>
        <v/>
      </c>
      <c r="L3805" s="16">
        <f>IF(J3805="","",J3805-K3805)</f>
        <v/>
      </c>
      <c r="M3805" s="14">
        <f>IF(A3805="","",MONTH(A3805))</f>
        <v/>
      </c>
      <c r="N3805" s="14">
        <f>IF(A3805="","",YEAR(A3805))</f>
        <v/>
      </c>
    </row>
    <row r="3806">
      <c r="A3806" s="15" t="n"/>
      <c r="B3806" s="10" t="n"/>
      <c r="C3806" s="10" t="n"/>
      <c r="D3806" s="10" t="n"/>
      <c r="E3806" s="14">
        <f>IF(D3806="","",IFERROR(INDEX('Sản phẩm'!$B$5:$B$304,MATCH(D3806,'Sản phẩm'!$A$5:$A$304,0)),""))</f>
        <v/>
      </c>
      <c r="F3806" s="12" t="n"/>
      <c r="G3806" s="11" t="n"/>
      <c r="H3806" s="11" t="n"/>
      <c r="I3806" s="16">
        <f>IF(D3806="","",IF(G3806&lt;&gt;"",G3806,IFERROR(INDEX('Sản phẩm'!$E$5:$E$304,MATCH(D3806,'Sản phẩm'!$A$5:$A$304,0)),"")))</f>
        <v/>
      </c>
      <c r="J3806" s="16">
        <f>IF(OR(D3806="",F3806=""),"",F3806*I3806-N(H3806))</f>
        <v/>
      </c>
      <c r="K3806" s="16">
        <f>IF(OR(D3806="",F3806=""),"",F3806*IFERROR(INDEX('Sản phẩm'!$D$5:$D$304,MATCH(D3806,'Sản phẩm'!$A$5:$A$304,0)),""))</f>
        <v/>
      </c>
      <c r="L3806" s="16">
        <f>IF(J3806="","",J3806-K3806)</f>
        <v/>
      </c>
      <c r="M3806" s="14">
        <f>IF(A3806="","",MONTH(A3806))</f>
        <v/>
      </c>
      <c r="N3806" s="14">
        <f>IF(A3806="","",YEAR(A3806))</f>
        <v/>
      </c>
    </row>
    <row r="3807">
      <c r="A3807" s="15" t="n"/>
      <c r="B3807" s="10" t="n"/>
      <c r="C3807" s="10" t="n"/>
      <c r="D3807" s="10" t="n"/>
      <c r="E3807" s="14">
        <f>IF(D3807="","",IFERROR(INDEX('Sản phẩm'!$B$5:$B$304,MATCH(D3807,'Sản phẩm'!$A$5:$A$304,0)),""))</f>
        <v/>
      </c>
      <c r="F3807" s="12" t="n"/>
      <c r="G3807" s="11" t="n"/>
      <c r="H3807" s="11" t="n"/>
      <c r="I3807" s="16">
        <f>IF(D3807="","",IF(G3807&lt;&gt;"",G3807,IFERROR(INDEX('Sản phẩm'!$E$5:$E$304,MATCH(D3807,'Sản phẩm'!$A$5:$A$304,0)),"")))</f>
        <v/>
      </c>
      <c r="J3807" s="16">
        <f>IF(OR(D3807="",F3807=""),"",F3807*I3807-N(H3807))</f>
        <v/>
      </c>
      <c r="K3807" s="16">
        <f>IF(OR(D3807="",F3807=""),"",F3807*IFERROR(INDEX('Sản phẩm'!$D$5:$D$304,MATCH(D3807,'Sản phẩm'!$A$5:$A$304,0)),""))</f>
        <v/>
      </c>
      <c r="L3807" s="16">
        <f>IF(J3807="","",J3807-K3807)</f>
        <v/>
      </c>
      <c r="M3807" s="14">
        <f>IF(A3807="","",MONTH(A3807))</f>
        <v/>
      </c>
      <c r="N3807" s="14">
        <f>IF(A3807="","",YEAR(A3807))</f>
        <v/>
      </c>
    </row>
    <row r="3808">
      <c r="A3808" s="15" t="n"/>
      <c r="B3808" s="10" t="n"/>
      <c r="C3808" s="10" t="n"/>
      <c r="D3808" s="10" t="n"/>
      <c r="E3808" s="14">
        <f>IF(D3808="","",IFERROR(INDEX('Sản phẩm'!$B$5:$B$304,MATCH(D3808,'Sản phẩm'!$A$5:$A$304,0)),""))</f>
        <v/>
      </c>
      <c r="F3808" s="12" t="n"/>
      <c r="G3808" s="11" t="n"/>
      <c r="H3808" s="11" t="n"/>
      <c r="I3808" s="16">
        <f>IF(D3808="","",IF(G3808&lt;&gt;"",G3808,IFERROR(INDEX('Sản phẩm'!$E$5:$E$304,MATCH(D3808,'Sản phẩm'!$A$5:$A$304,0)),"")))</f>
        <v/>
      </c>
      <c r="J3808" s="16">
        <f>IF(OR(D3808="",F3808=""),"",F3808*I3808-N(H3808))</f>
        <v/>
      </c>
      <c r="K3808" s="16">
        <f>IF(OR(D3808="",F3808=""),"",F3808*IFERROR(INDEX('Sản phẩm'!$D$5:$D$304,MATCH(D3808,'Sản phẩm'!$A$5:$A$304,0)),""))</f>
        <v/>
      </c>
      <c r="L3808" s="16">
        <f>IF(J3808="","",J3808-K3808)</f>
        <v/>
      </c>
      <c r="M3808" s="14">
        <f>IF(A3808="","",MONTH(A3808))</f>
        <v/>
      </c>
      <c r="N3808" s="14">
        <f>IF(A3808="","",YEAR(A3808))</f>
        <v/>
      </c>
    </row>
    <row r="3809">
      <c r="A3809" s="15" t="n"/>
      <c r="B3809" s="10" t="n"/>
      <c r="C3809" s="10" t="n"/>
      <c r="D3809" s="10" t="n"/>
      <c r="E3809" s="14">
        <f>IF(D3809="","",IFERROR(INDEX('Sản phẩm'!$B$5:$B$304,MATCH(D3809,'Sản phẩm'!$A$5:$A$304,0)),""))</f>
        <v/>
      </c>
      <c r="F3809" s="12" t="n"/>
      <c r="G3809" s="11" t="n"/>
      <c r="H3809" s="11" t="n"/>
      <c r="I3809" s="16">
        <f>IF(D3809="","",IF(G3809&lt;&gt;"",G3809,IFERROR(INDEX('Sản phẩm'!$E$5:$E$304,MATCH(D3809,'Sản phẩm'!$A$5:$A$304,0)),"")))</f>
        <v/>
      </c>
      <c r="J3809" s="16">
        <f>IF(OR(D3809="",F3809=""),"",F3809*I3809-N(H3809))</f>
        <v/>
      </c>
      <c r="K3809" s="16">
        <f>IF(OR(D3809="",F3809=""),"",F3809*IFERROR(INDEX('Sản phẩm'!$D$5:$D$304,MATCH(D3809,'Sản phẩm'!$A$5:$A$304,0)),""))</f>
        <v/>
      </c>
      <c r="L3809" s="16">
        <f>IF(J3809="","",J3809-K3809)</f>
        <v/>
      </c>
      <c r="M3809" s="14">
        <f>IF(A3809="","",MONTH(A3809))</f>
        <v/>
      </c>
      <c r="N3809" s="14">
        <f>IF(A3809="","",YEAR(A3809))</f>
        <v/>
      </c>
    </row>
    <row r="3810">
      <c r="A3810" s="15" t="n"/>
      <c r="B3810" s="10" t="n"/>
      <c r="C3810" s="10" t="n"/>
      <c r="D3810" s="10" t="n"/>
      <c r="E3810" s="14">
        <f>IF(D3810="","",IFERROR(INDEX('Sản phẩm'!$B$5:$B$304,MATCH(D3810,'Sản phẩm'!$A$5:$A$304,0)),""))</f>
        <v/>
      </c>
      <c r="F3810" s="12" t="n"/>
      <c r="G3810" s="11" t="n"/>
      <c r="H3810" s="11" t="n"/>
      <c r="I3810" s="16">
        <f>IF(D3810="","",IF(G3810&lt;&gt;"",G3810,IFERROR(INDEX('Sản phẩm'!$E$5:$E$304,MATCH(D3810,'Sản phẩm'!$A$5:$A$304,0)),"")))</f>
        <v/>
      </c>
      <c r="J3810" s="16">
        <f>IF(OR(D3810="",F3810=""),"",F3810*I3810-N(H3810))</f>
        <v/>
      </c>
      <c r="K3810" s="16">
        <f>IF(OR(D3810="",F3810=""),"",F3810*IFERROR(INDEX('Sản phẩm'!$D$5:$D$304,MATCH(D3810,'Sản phẩm'!$A$5:$A$304,0)),""))</f>
        <v/>
      </c>
      <c r="L3810" s="16">
        <f>IF(J3810="","",J3810-K3810)</f>
        <v/>
      </c>
      <c r="M3810" s="14">
        <f>IF(A3810="","",MONTH(A3810))</f>
        <v/>
      </c>
      <c r="N3810" s="14">
        <f>IF(A3810="","",YEAR(A3810))</f>
        <v/>
      </c>
    </row>
    <row r="3811">
      <c r="A3811" s="15" t="n"/>
      <c r="B3811" s="10" t="n"/>
      <c r="C3811" s="10" t="n"/>
      <c r="D3811" s="10" t="n"/>
      <c r="E3811" s="14">
        <f>IF(D3811="","",IFERROR(INDEX('Sản phẩm'!$B$5:$B$304,MATCH(D3811,'Sản phẩm'!$A$5:$A$304,0)),""))</f>
        <v/>
      </c>
      <c r="F3811" s="12" t="n"/>
      <c r="G3811" s="11" t="n"/>
      <c r="H3811" s="11" t="n"/>
      <c r="I3811" s="16">
        <f>IF(D3811="","",IF(G3811&lt;&gt;"",G3811,IFERROR(INDEX('Sản phẩm'!$E$5:$E$304,MATCH(D3811,'Sản phẩm'!$A$5:$A$304,0)),"")))</f>
        <v/>
      </c>
      <c r="J3811" s="16">
        <f>IF(OR(D3811="",F3811=""),"",F3811*I3811-N(H3811))</f>
        <v/>
      </c>
      <c r="K3811" s="16">
        <f>IF(OR(D3811="",F3811=""),"",F3811*IFERROR(INDEX('Sản phẩm'!$D$5:$D$304,MATCH(D3811,'Sản phẩm'!$A$5:$A$304,0)),""))</f>
        <v/>
      </c>
      <c r="L3811" s="16">
        <f>IF(J3811="","",J3811-K3811)</f>
        <v/>
      </c>
      <c r="M3811" s="14">
        <f>IF(A3811="","",MONTH(A3811))</f>
        <v/>
      </c>
      <c r="N3811" s="14">
        <f>IF(A3811="","",YEAR(A3811))</f>
        <v/>
      </c>
    </row>
    <row r="3812">
      <c r="A3812" s="15" t="n"/>
      <c r="B3812" s="10" t="n"/>
      <c r="C3812" s="10" t="n"/>
      <c r="D3812" s="10" t="n"/>
      <c r="E3812" s="14">
        <f>IF(D3812="","",IFERROR(INDEX('Sản phẩm'!$B$5:$B$304,MATCH(D3812,'Sản phẩm'!$A$5:$A$304,0)),""))</f>
        <v/>
      </c>
      <c r="F3812" s="12" t="n"/>
      <c r="G3812" s="11" t="n"/>
      <c r="H3812" s="11" t="n"/>
      <c r="I3812" s="16">
        <f>IF(D3812="","",IF(G3812&lt;&gt;"",G3812,IFERROR(INDEX('Sản phẩm'!$E$5:$E$304,MATCH(D3812,'Sản phẩm'!$A$5:$A$304,0)),"")))</f>
        <v/>
      </c>
      <c r="J3812" s="16">
        <f>IF(OR(D3812="",F3812=""),"",F3812*I3812-N(H3812))</f>
        <v/>
      </c>
      <c r="K3812" s="16">
        <f>IF(OR(D3812="",F3812=""),"",F3812*IFERROR(INDEX('Sản phẩm'!$D$5:$D$304,MATCH(D3812,'Sản phẩm'!$A$5:$A$304,0)),""))</f>
        <v/>
      </c>
      <c r="L3812" s="16">
        <f>IF(J3812="","",J3812-K3812)</f>
        <v/>
      </c>
      <c r="M3812" s="14">
        <f>IF(A3812="","",MONTH(A3812))</f>
        <v/>
      </c>
      <c r="N3812" s="14">
        <f>IF(A3812="","",YEAR(A3812))</f>
        <v/>
      </c>
    </row>
    <row r="3813">
      <c r="A3813" s="15" t="n"/>
      <c r="B3813" s="10" t="n"/>
      <c r="C3813" s="10" t="n"/>
      <c r="D3813" s="10" t="n"/>
      <c r="E3813" s="14">
        <f>IF(D3813="","",IFERROR(INDEX('Sản phẩm'!$B$5:$B$304,MATCH(D3813,'Sản phẩm'!$A$5:$A$304,0)),""))</f>
        <v/>
      </c>
      <c r="F3813" s="12" t="n"/>
      <c r="G3813" s="11" t="n"/>
      <c r="H3813" s="11" t="n"/>
      <c r="I3813" s="16">
        <f>IF(D3813="","",IF(G3813&lt;&gt;"",G3813,IFERROR(INDEX('Sản phẩm'!$E$5:$E$304,MATCH(D3813,'Sản phẩm'!$A$5:$A$304,0)),"")))</f>
        <v/>
      </c>
      <c r="J3813" s="16">
        <f>IF(OR(D3813="",F3813=""),"",F3813*I3813-N(H3813))</f>
        <v/>
      </c>
      <c r="K3813" s="16">
        <f>IF(OR(D3813="",F3813=""),"",F3813*IFERROR(INDEX('Sản phẩm'!$D$5:$D$304,MATCH(D3813,'Sản phẩm'!$A$5:$A$304,0)),""))</f>
        <v/>
      </c>
      <c r="L3813" s="16">
        <f>IF(J3813="","",J3813-K3813)</f>
        <v/>
      </c>
      <c r="M3813" s="14">
        <f>IF(A3813="","",MONTH(A3813))</f>
        <v/>
      </c>
      <c r="N3813" s="14">
        <f>IF(A3813="","",YEAR(A3813))</f>
        <v/>
      </c>
    </row>
    <row r="3814">
      <c r="A3814" s="15" t="n"/>
      <c r="B3814" s="10" t="n"/>
      <c r="C3814" s="10" t="n"/>
      <c r="D3814" s="10" t="n"/>
      <c r="E3814" s="14">
        <f>IF(D3814="","",IFERROR(INDEX('Sản phẩm'!$B$5:$B$304,MATCH(D3814,'Sản phẩm'!$A$5:$A$304,0)),""))</f>
        <v/>
      </c>
      <c r="F3814" s="12" t="n"/>
      <c r="G3814" s="11" t="n"/>
      <c r="H3814" s="11" t="n"/>
      <c r="I3814" s="16">
        <f>IF(D3814="","",IF(G3814&lt;&gt;"",G3814,IFERROR(INDEX('Sản phẩm'!$E$5:$E$304,MATCH(D3814,'Sản phẩm'!$A$5:$A$304,0)),"")))</f>
        <v/>
      </c>
      <c r="J3814" s="16">
        <f>IF(OR(D3814="",F3814=""),"",F3814*I3814-N(H3814))</f>
        <v/>
      </c>
      <c r="K3814" s="16">
        <f>IF(OR(D3814="",F3814=""),"",F3814*IFERROR(INDEX('Sản phẩm'!$D$5:$D$304,MATCH(D3814,'Sản phẩm'!$A$5:$A$304,0)),""))</f>
        <v/>
      </c>
      <c r="L3814" s="16">
        <f>IF(J3814="","",J3814-K3814)</f>
        <v/>
      </c>
      <c r="M3814" s="14">
        <f>IF(A3814="","",MONTH(A3814))</f>
        <v/>
      </c>
      <c r="N3814" s="14">
        <f>IF(A3814="","",YEAR(A3814))</f>
        <v/>
      </c>
    </row>
    <row r="3815">
      <c r="A3815" s="15" t="n"/>
      <c r="B3815" s="10" t="n"/>
      <c r="C3815" s="10" t="n"/>
      <c r="D3815" s="10" t="n"/>
      <c r="E3815" s="14">
        <f>IF(D3815="","",IFERROR(INDEX('Sản phẩm'!$B$5:$B$304,MATCH(D3815,'Sản phẩm'!$A$5:$A$304,0)),""))</f>
        <v/>
      </c>
      <c r="F3815" s="12" t="n"/>
      <c r="G3815" s="11" t="n"/>
      <c r="H3815" s="11" t="n"/>
      <c r="I3815" s="16">
        <f>IF(D3815="","",IF(G3815&lt;&gt;"",G3815,IFERROR(INDEX('Sản phẩm'!$E$5:$E$304,MATCH(D3815,'Sản phẩm'!$A$5:$A$304,0)),"")))</f>
        <v/>
      </c>
      <c r="J3815" s="16">
        <f>IF(OR(D3815="",F3815=""),"",F3815*I3815-N(H3815))</f>
        <v/>
      </c>
      <c r="K3815" s="16">
        <f>IF(OR(D3815="",F3815=""),"",F3815*IFERROR(INDEX('Sản phẩm'!$D$5:$D$304,MATCH(D3815,'Sản phẩm'!$A$5:$A$304,0)),""))</f>
        <v/>
      </c>
      <c r="L3815" s="16">
        <f>IF(J3815="","",J3815-K3815)</f>
        <v/>
      </c>
      <c r="M3815" s="14">
        <f>IF(A3815="","",MONTH(A3815))</f>
        <v/>
      </c>
      <c r="N3815" s="14">
        <f>IF(A3815="","",YEAR(A3815))</f>
        <v/>
      </c>
    </row>
    <row r="3816">
      <c r="A3816" s="15" t="n"/>
      <c r="B3816" s="10" t="n"/>
      <c r="C3816" s="10" t="n"/>
      <c r="D3816" s="10" t="n"/>
      <c r="E3816" s="14">
        <f>IF(D3816="","",IFERROR(INDEX('Sản phẩm'!$B$5:$B$304,MATCH(D3816,'Sản phẩm'!$A$5:$A$304,0)),""))</f>
        <v/>
      </c>
      <c r="F3816" s="12" t="n"/>
      <c r="G3816" s="11" t="n"/>
      <c r="H3816" s="11" t="n"/>
      <c r="I3816" s="16">
        <f>IF(D3816="","",IF(G3816&lt;&gt;"",G3816,IFERROR(INDEX('Sản phẩm'!$E$5:$E$304,MATCH(D3816,'Sản phẩm'!$A$5:$A$304,0)),"")))</f>
        <v/>
      </c>
      <c r="J3816" s="16">
        <f>IF(OR(D3816="",F3816=""),"",F3816*I3816-N(H3816))</f>
        <v/>
      </c>
      <c r="K3816" s="16">
        <f>IF(OR(D3816="",F3816=""),"",F3816*IFERROR(INDEX('Sản phẩm'!$D$5:$D$304,MATCH(D3816,'Sản phẩm'!$A$5:$A$304,0)),""))</f>
        <v/>
      </c>
      <c r="L3816" s="16">
        <f>IF(J3816="","",J3816-K3816)</f>
        <v/>
      </c>
      <c r="M3816" s="14">
        <f>IF(A3816="","",MONTH(A3816))</f>
        <v/>
      </c>
      <c r="N3816" s="14">
        <f>IF(A3816="","",YEAR(A3816))</f>
        <v/>
      </c>
    </row>
    <row r="3817">
      <c r="A3817" s="15" t="n"/>
      <c r="B3817" s="10" t="n"/>
      <c r="C3817" s="10" t="n"/>
      <c r="D3817" s="10" t="n"/>
      <c r="E3817" s="14">
        <f>IF(D3817="","",IFERROR(INDEX('Sản phẩm'!$B$5:$B$304,MATCH(D3817,'Sản phẩm'!$A$5:$A$304,0)),""))</f>
        <v/>
      </c>
      <c r="F3817" s="12" t="n"/>
      <c r="G3817" s="11" t="n"/>
      <c r="H3817" s="11" t="n"/>
      <c r="I3817" s="16">
        <f>IF(D3817="","",IF(G3817&lt;&gt;"",G3817,IFERROR(INDEX('Sản phẩm'!$E$5:$E$304,MATCH(D3817,'Sản phẩm'!$A$5:$A$304,0)),"")))</f>
        <v/>
      </c>
      <c r="J3817" s="16">
        <f>IF(OR(D3817="",F3817=""),"",F3817*I3817-N(H3817))</f>
        <v/>
      </c>
      <c r="K3817" s="16">
        <f>IF(OR(D3817="",F3817=""),"",F3817*IFERROR(INDEX('Sản phẩm'!$D$5:$D$304,MATCH(D3817,'Sản phẩm'!$A$5:$A$304,0)),""))</f>
        <v/>
      </c>
      <c r="L3817" s="16">
        <f>IF(J3817="","",J3817-K3817)</f>
        <v/>
      </c>
      <c r="M3817" s="14">
        <f>IF(A3817="","",MONTH(A3817))</f>
        <v/>
      </c>
      <c r="N3817" s="14">
        <f>IF(A3817="","",YEAR(A3817))</f>
        <v/>
      </c>
    </row>
    <row r="3818">
      <c r="A3818" s="15" t="n"/>
      <c r="B3818" s="10" t="n"/>
      <c r="C3818" s="10" t="n"/>
      <c r="D3818" s="10" t="n"/>
      <c r="E3818" s="14">
        <f>IF(D3818="","",IFERROR(INDEX('Sản phẩm'!$B$5:$B$304,MATCH(D3818,'Sản phẩm'!$A$5:$A$304,0)),""))</f>
        <v/>
      </c>
      <c r="F3818" s="12" t="n"/>
      <c r="G3818" s="11" t="n"/>
      <c r="H3818" s="11" t="n"/>
      <c r="I3818" s="16">
        <f>IF(D3818="","",IF(G3818&lt;&gt;"",G3818,IFERROR(INDEX('Sản phẩm'!$E$5:$E$304,MATCH(D3818,'Sản phẩm'!$A$5:$A$304,0)),"")))</f>
        <v/>
      </c>
      <c r="J3818" s="16">
        <f>IF(OR(D3818="",F3818=""),"",F3818*I3818-N(H3818))</f>
        <v/>
      </c>
      <c r="K3818" s="16">
        <f>IF(OR(D3818="",F3818=""),"",F3818*IFERROR(INDEX('Sản phẩm'!$D$5:$D$304,MATCH(D3818,'Sản phẩm'!$A$5:$A$304,0)),""))</f>
        <v/>
      </c>
      <c r="L3818" s="16">
        <f>IF(J3818="","",J3818-K3818)</f>
        <v/>
      </c>
      <c r="M3818" s="14">
        <f>IF(A3818="","",MONTH(A3818))</f>
        <v/>
      </c>
      <c r="N3818" s="14">
        <f>IF(A3818="","",YEAR(A3818))</f>
        <v/>
      </c>
    </row>
    <row r="3819">
      <c r="A3819" s="15" t="n"/>
      <c r="B3819" s="10" t="n"/>
      <c r="C3819" s="10" t="n"/>
      <c r="D3819" s="10" t="n"/>
      <c r="E3819" s="14">
        <f>IF(D3819="","",IFERROR(INDEX('Sản phẩm'!$B$5:$B$304,MATCH(D3819,'Sản phẩm'!$A$5:$A$304,0)),""))</f>
        <v/>
      </c>
      <c r="F3819" s="12" t="n"/>
      <c r="G3819" s="11" t="n"/>
      <c r="H3819" s="11" t="n"/>
      <c r="I3819" s="16">
        <f>IF(D3819="","",IF(G3819&lt;&gt;"",G3819,IFERROR(INDEX('Sản phẩm'!$E$5:$E$304,MATCH(D3819,'Sản phẩm'!$A$5:$A$304,0)),"")))</f>
        <v/>
      </c>
      <c r="J3819" s="16">
        <f>IF(OR(D3819="",F3819=""),"",F3819*I3819-N(H3819))</f>
        <v/>
      </c>
      <c r="K3819" s="16">
        <f>IF(OR(D3819="",F3819=""),"",F3819*IFERROR(INDEX('Sản phẩm'!$D$5:$D$304,MATCH(D3819,'Sản phẩm'!$A$5:$A$304,0)),""))</f>
        <v/>
      </c>
      <c r="L3819" s="16">
        <f>IF(J3819="","",J3819-K3819)</f>
        <v/>
      </c>
      <c r="M3819" s="14">
        <f>IF(A3819="","",MONTH(A3819))</f>
        <v/>
      </c>
      <c r="N3819" s="14">
        <f>IF(A3819="","",YEAR(A3819))</f>
        <v/>
      </c>
    </row>
    <row r="3820">
      <c r="A3820" s="15" t="n"/>
      <c r="B3820" s="10" t="n"/>
      <c r="C3820" s="10" t="n"/>
      <c r="D3820" s="10" t="n"/>
      <c r="E3820" s="14">
        <f>IF(D3820="","",IFERROR(INDEX('Sản phẩm'!$B$5:$B$304,MATCH(D3820,'Sản phẩm'!$A$5:$A$304,0)),""))</f>
        <v/>
      </c>
      <c r="F3820" s="12" t="n"/>
      <c r="G3820" s="11" t="n"/>
      <c r="H3820" s="11" t="n"/>
      <c r="I3820" s="16">
        <f>IF(D3820="","",IF(G3820&lt;&gt;"",G3820,IFERROR(INDEX('Sản phẩm'!$E$5:$E$304,MATCH(D3820,'Sản phẩm'!$A$5:$A$304,0)),"")))</f>
        <v/>
      </c>
      <c r="J3820" s="16">
        <f>IF(OR(D3820="",F3820=""),"",F3820*I3820-N(H3820))</f>
        <v/>
      </c>
      <c r="K3820" s="16">
        <f>IF(OR(D3820="",F3820=""),"",F3820*IFERROR(INDEX('Sản phẩm'!$D$5:$D$304,MATCH(D3820,'Sản phẩm'!$A$5:$A$304,0)),""))</f>
        <v/>
      </c>
      <c r="L3820" s="16">
        <f>IF(J3820="","",J3820-K3820)</f>
        <v/>
      </c>
      <c r="M3820" s="14">
        <f>IF(A3820="","",MONTH(A3820))</f>
        <v/>
      </c>
      <c r="N3820" s="14">
        <f>IF(A3820="","",YEAR(A3820))</f>
        <v/>
      </c>
    </row>
    <row r="3821">
      <c r="A3821" s="15" t="n"/>
      <c r="B3821" s="10" t="n"/>
      <c r="C3821" s="10" t="n"/>
      <c r="D3821" s="10" t="n"/>
      <c r="E3821" s="14">
        <f>IF(D3821="","",IFERROR(INDEX('Sản phẩm'!$B$5:$B$304,MATCH(D3821,'Sản phẩm'!$A$5:$A$304,0)),""))</f>
        <v/>
      </c>
      <c r="F3821" s="12" t="n"/>
      <c r="G3821" s="11" t="n"/>
      <c r="H3821" s="11" t="n"/>
      <c r="I3821" s="16">
        <f>IF(D3821="","",IF(G3821&lt;&gt;"",G3821,IFERROR(INDEX('Sản phẩm'!$E$5:$E$304,MATCH(D3821,'Sản phẩm'!$A$5:$A$304,0)),"")))</f>
        <v/>
      </c>
      <c r="J3821" s="16">
        <f>IF(OR(D3821="",F3821=""),"",F3821*I3821-N(H3821))</f>
        <v/>
      </c>
      <c r="K3821" s="16">
        <f>IF(OR(D3821="",F3821=""),"",F3821*IFERROR(INDEX('Sản phẩm'!$D$5:$D$304,MATCH(D3821,'Sản phẩm'!$A$5:$A$304,0)),""))</f>
        <v/>
      </c>
      <c r="L3821" s="16">
        <f>IF(J3821="","",J3821-K3821)</f>
        <v/>
      </c>
      <c r="M3821" s="14">
        <f>IF(A3821="","",MONTH(A3821))</f>
        <v/>
      </c>
      <c r="N3821" s="14">
        <f>IF(A3821="","",YEAR(A3821))</f>
        <v/>
      </c>
    </row>
    <row r="3822">
      <c r="A3822" s="15" t="n"/>
      <c r="B3822" s="10" t="n"/>
      <c r="C3822" s="10" t="n"/>
      <c r="D3822" s="10" t="n"/>
      <c r="E3822" s="14">
        <f>IF(D3822="","",IFERROR(INDEX('Sản phẩm'!$B$5:$B$304,MATCH(D3822,'Sản phẩm'!$A$5:$A$304,0)),""))</f>
        <v/>
      </c>
      <c r="F3822" s="12" t="n"/>
      <c r="G3822" s="11" t="n"/>
      <c r="H3822" s="11" t="n"/>
      <c r="I3822" s="16">
        <f>IF(D3822="","",IF(G3822&lt;&gt;"",G3822,IFERROR(INDEX('Sản phẩm'!$E$5:$E$304,MATCH(D3822,'Sản phẩm'!$A$5:$A$304,0)),"")))</f>
        <v/>
      </c>
      <c r="J3822" s="16">
        <f>IF(OR(D3822="",F3822=""),"",F3822*I3822-N(H3822))</f>
        <v/>
      </c>
      <c r="K3822" s="16">
        <f>IF(OR(D3822="",F3822=""),"",F3822*IFERROR(INDEX('Sản phẩm'!$D$5:$D$304,MATCH(D3822,'Sản phẩm'!$A$5:$A$304,0)),""))</f>
        <v/>
      </c>
      <c r="L3822" s="16">
        <f>IF(J3822="","",J3822-K3822)</f>
        <v/>
      </c>
      <c r="M3822" s="14">
        <f>IF(A3822="","",MONTH(A3822))</f>
        <v/>
      </c>
      <c r="N3822" s="14">
        <f>IF(A3822="","",YEAR(A3822))</f>
        <v/>
      </c>
    </row>
    <row r="3823">
      <c r="A3823" s="15" t="n"/>
      <c r="B3823" s="10" t="n"/>
      <c r="C3823" s="10" t="n"/>
      <c r="D3823" s="10" t="n"/>
      <c r="E3823" s="14">
        <f>IF(D3823="","",IFERROR(INDEX('Sản phẩm'!$B$5:$B$304,MATCH(D3823,'Sản phẩm'!$A$5:$A$304,0)),""))</f>
        <v/>
      </c>
      <c r="F3823" s="12" t="n"/>
      <c r="G3823" s="11" t="n"/>
      <c r="H3823" s="11" t="n"/>
      <c r="I3823" s="16">
        <f>IF(D3823="","",IF(G3823&lt;&gt;"",G3823,IFERROR(INDEX('Sản phẩm'!$E$5:$E$304,MATCH(D3823,'Sản phẩm'!$A$5:$A$304,0)),"")))</f>
        <v/>
      </c>
      <c r="J3823" s="16">
        <f>IF(OR(D3823="",F3823=""),"",F3823*I3823-N(H3823))</f>
        <v/>
      </c>
      <c r="K3823" s="16">
        <f>IF(OR(D3823="",F3823=""),"",F3823*IFERROR(INDEX('Sản phẩm'!$D$5:$D$304,MATCH(D3823,'Sản phẩm'!$A$5:$A$304,0)),""))</f>
        <v/>
      </c>
      <c r="L3823" s="16">
        <f>IF(J3823="","",J3823-K3823)</f>
        <v/>
      </c>
      <c r="M3823" s="14">
        <f>IF(A3823="","",MONTH(A3823))</f>
        <v/>
      </c>
      <c r="N3823" s="14">
        <f>IF(A3823="","",YEAR(A3823))</f>
        <v/>
      </c>
    </row>
    <row r="3824">
      <c r="A3824" s="15" t="n"/>
      <c r="B3824" s="10" t="n"/>
      <c r="C3824" s="10" t="n"/>
      <c r="D3824" s="10" t="n"/>
      <c r="E3824" s="14">
        <f>IF(D3824="","",IFERROR(INDEX('Sản phẩm'!$B$5:$B$304,MATCH(D3824,'Sản phẩm'!$A$5:$A$304,0)),""))</f>
        <v/>
      </c>
      <c r="F3824" s="12" t="n"/>
      <c r="G3824" s="11" t="n"/>
      <c r="H3824" s="11" t="n"/>
      <c r="I3824" s="16">
        <f>IF(D3824="","",IF(G3824&lt;&gt;"",G3824,IFERROR(INDEX('Sản phẩm'!$E$5:$E$304,MATCH(D3824,'Sản phẩm'!$A$5:$A$304,0)),"")))</f>
        <v/>
      </c>
      <c r="J3824" s="16">
        <f>IF(OR(D3824="",F3824=""),"",F3824*I3824-N(H3824))</f>
        <v/>
      </c>
      <c r="K3824" s="16">
        <f>IF(OR(D3824="",F3824=""),"",F3824*IFERROR(INDEX('Sản phẩm'!$D$5:$D$304,MATCH(D3824,'Sản phẩm'!$A$5:$A$304,0)),""))</f>
        <v/>
      </c>
      <c r="L3824" s="16">
        <f>IF(J3824="","",J3824-K3824)</f>
        <v/>
      </c>
      <c r="M3824" s="14">
        <f>IF(A3824="","",MONTH(A3824))</f>
        <v/>
      </c>
      <c r="N3824" s="14">
        <f>IF(A3824="","",YEAR(A3824))</f>
        <v/>
      </c>
    </row>
    <row r="3825">
      <c r="A3825" s="15" t="n"/>
      <c r="B3825" s="10" t="n"/>
      <c r="C3825" s="10" t="n"/>
      <c r="D3825" s="10" t="n"/>
      <c r="E3825" s="14">
        <f>IF(D3825="","",IFERROR(INDEX('Sản phẩm'!$B$5:$B$304,MATCH(D3825,'Sản phẩm'!$A$5:$A$304,0)),""))</f>
        <v/>
      </c>
      <c r="F3825" s="12" t="n"/>
      <c r="G3825" s="11" t="n"/>
      <c r="H3825" s="11" t="n"/>
      <c r="I3825" s="16">
        <f>IF(D3825="","",IF(G3825&lt;&gt;"",G3825,IFERROR(INDEX('Sản phẩm'!$E$5:$E$304,MATCH(D3825,'Sản phẩm'!$A$5:$A$304,0)),"")))</f>
        <v/>
      </c>
      <c r="J3825" s="16">
        <f>IF(OR(D3825="",F3825=""),"",F3825*I3825-N(H3825))</f>
        <v/>
      </c>
      <c r="K3825" s="16">
        <f>IF(OR(D3825="",F3825=""),"",F3825*IFERROR(INDEX('Sản phẩm'!$D$5:$D$304,MATCH(D3825,'Sản phẩm'!$A$5:$A$304,0)),""))</f>
        <v/>
      </c>
      <c r="L3825" s="16">
        <f>IF(J3825="","",J3825-K3825)</f>
        <v/>
      </c>
      <c r="M3825" s="14">
        <f>IF(A3825="","",MONTH(A3825))</f>
        <v/>
      </c>
      <c r="N3825" s="14">
        <f>IF(A3825="","",YEAR(A3825))</f>
        <v/>
      </c>
    </row>
    <row r="3826">
      <c r="A3826" s="15" t="n"/>
      <c r="B3826" s="10" t="n"/>
      <c r="C3826" s="10" t="n"/>
      <c r="D3826" s="10" t="n"/>
      <c r="E3826" s="14">
        <f>IF(D3826="","",IFERROR(INDEX('Sản phẩm'!$B$5:$B$304,MATCH(D3826,'Sản phẩm'!$A$5:$A$304,0)),""))</f>
        <v/>
      </c>
      <c r="F3826" s="12" t="n"/>
      <c r="G3826" s="11" t="n"/>
      <c r="H3826" s="11" t="n"/>
      <c r="I3826" s="16">
        <f>IF(D3826="","",IF(G3826&lt;&gt;"",G3826,IFERROR(INDEX('Sản phẩm'!$E$5:$E$304,MATCH(D3826,'Sản phẩm'!$A$5:$A$304,0)),"")))</f>
        <v/>
      </c>
      <c r="J3826" s="16">
        <f>IF(OR(D3826="",F3826=""),"",F3826*I3826-N(H3826))</f>
        <v/>
      </c>
      <c r="K3826" s="16">
        <f>IF(OR(D3826="",F3826=""),"",F3826*IFERROR(INDEX('Sản phẩm'!$D$5:$D$304,MATCH(D3826,'Sản phẩm'!$A$5:$A$304,0)),""))</f>
        <v/>
      </c>
      <c r="L3826" s="16">
        <f>IF(J3826="","",J3826-K3826)</f>
        <v/>
      </c>
      <c r="M3826" s="14">
        <f>IF(A3826="","",MONTH(A3826))</f>
        <v/>
      </c>
      <c r="N3826" s="14">
        <f>IF(A3826="","",YEAR(A3826))</f>
        <v/>
      </c>
    </row>
    <row r="3827">
      <c r="A3827" s="15" t="n"/>
      <c r="B3827" s="10" t="n"/>
      <c r="C3827" s="10" t="n"/>
      <c r="D3827" s="10" t="n"/>
      <c r="E3827" s="14">
        <f>IF(D3827="","",IFERROR(INDEX('Sản phẩm'!$B$5:$B$304,MATCH(D3827,'Sản phẩm'!$A$5:$A$304,0)),""))</f>
        <v/>
      </c>
      <c r="F3827" s="12" t="n"/>
      <c r="G3827" s="11" t="n"/>
      <c r="H3827" s="11" t="n"/>
      <c r="I3827" s="16">
        <f>IF(D3827="","",IF(G3827&lt;&gt;"",G3827,IFERROR(INDEX('Sản phẩm'!$E$5:$E$304,MATCH(D3827,'Sản phẩm'!$A$5:$A$304,0)),"")))</f>
        <v/>
      </c>
      <c r="J3827" s="16">
        <f>IF(OR(D3827="",F3827=""),"",F3827*I3827-N(H3827))</f>
        <v/>
      </c>
      <c r="K3827" s="16">
        <f>IF(OR(D3827="",F3827=""),"",F3827*IFERROR(INDEX('Sản phẩm'!$D$5:$D$304,MATCH(D3827,'Sản phẩm'!$A$5:$A$304,0)),""))</f>
        <v/>
      </c>
      <c r="L3827" s="16">
        <f>IF(J3827="","",J3827-K3827)</f>
        <v/>
      </c>
      <c r="M3827" s="14">
        <f>IF(A3827="","",MONTH(A3827))</f>
        <v/>
      </c>
      <c r="N3827" s="14">
        <f>IF(A3827="","",YEAR(A3827))</f>
        <v/>
      </c>
    </row>
    <row r="3828">
      <c r="A3828" s="15" t="n"/>
      <c r="B3828" s="10" t="n"/>
      <c r="C3828" s="10" t="n"/>
      <c r="D3828" s="10" t="n"/>
      <c r="E3828" s="14">
        <f>IF(D3828="","",IFERROR(INDEX('Sản phẩm'!$B$5:$B$304,MATCH(D3828,'Sản phẩm'!$A$5:$A$304,0)),""))</f>
        <v/>
      </c>
      <c r="F3828" s="12" t="n"/>
      <c r="G3828" s="11" t="n"/>
      <c r="H3828" s="11" t="n"/>
      <c r="I3828" s="16">
        <f>IF(D3828="","",IF(G3828&lt;&gt;"",G3828,IFERROR(INDEX('Sản phẩm'!$E$5:$E$304,MATCH(D3828,'Sản phẩm'!$A$5:$A$304,0)),"")))</f>
        <v/>
      </c>
      <c r="J3828" s="16">
        <f>IF(OR(D3828="",F3828=""),"",F3828*I3828-N(H3828))</f>
        <v/>
      </c>
      <c r="K3828" s="16">
        <f>IF(OR(D3828="",F3828=""),"",F3828*IFERROR(INDEX('Sản phẩm'!$D$5:$D$304,MATCH(D3828,'Sản phẩm'!$A$5:$A$304,0)),""))</f>
        <v/>
      </c>
      <c r="L3828" s="16">
        <f>IF(J3828="","",J3828-K3828)</f>
        <v/>
      </c>
      <c r="M3828" s="14">
        <f>IF(A3828="","",MONTH(A3828))</f>
        <v/>
      </c>
      <c r="N3828" s="14">
        <f>IF(A3828="","",YEAR(A3828))</f>
        <v/>
      </c>
    </row>
    <row r="3829">
      <c r="A3829" s="15" t="n"/>
      <c r="B3829" s="10" t="n"/>
      <c r="C3829" s="10" t="n"/>
      <c r="D3829" s="10" t="n"/>
      <c r="E3829" s="14">
        <f>IF(D3829="","",IFERROR(INDEX('Sản phẩm'!$B$5:$B$304,MATCH(D3829,'Sản phẩm'!$A$5:$A$304,0)),""))</f>
        <v/>
      </c>
      <c r="F3829" s="12" t="n"/>
      <c r="G3829" s="11" t="n"/>
      <c r="H3829" s="11" t="n"/>
      <c r="I3829" s="16">
        <f>IF(D3829="","",IF(G3829&lt;&gt;"",G3829,IFERROR(INDEX('Sản phẩm'!$E$5:$E$304,MATCH(D3829,'Sản phẩm'!$A$5:$A$304,0)),"")))</f>
        <v/>
      </c>
      <c r="J3829" s="16">
        <f>IF(OR(D3829="",F3829=""),"",F3829*I3829-N(H3829))</f>
        <v/>
      </c>
      <c r="K3829" s="16">
        <f>IF(OR(D3829="",F3829=""),"",F3829*IFERROR(INDEX('Sản phẩm'!$D$5:$D$304,MATCH(D3829,'Sản phẩm'!$A$5:$A$304,0)),""))</f>
        <v/>
      </c>
      <c r="L3829" s="16">
        <f>IF(J3829="","",J3829-K3829)</f>
        <v/>
      </c>
      <c r="M3829" s="14">
        <f>IF(A3829="","",MONTH(A3829))</f>
        <v/>
      </c>
      <c r="N3829" s="14">
        <f>IF(A3829="","",YEAR(A3829))</f>
        <v/>
      </c>
    </row>
    <row r="3830">
      <c r="A3830" s="15" t="n"/>
      <c r="B3830" s="10" t="n"/>
      <c r="C3830" s="10" t="n"/>
      <c r="D3830" s="10" t="n"/>
      <c r="E3830" s="14">
        <f>IF(D3830="","",IFERROR(INDEX('Sản phẩm'!$B$5:$B$304,MATCH(D3830,'Sản phẩm'!$A$5:$A$304,0)),""))</f>
        <v/>
      </c>
      <c r="F3830" s="12" t="n"/>
      <c r="G3830" s="11" t="n"/>
      <c r="H3830" s="11" t="n"/>
      <c r="I3830" s="16">
        <f>IF(D3830="","",IF(G3830&lt;&gt;"",G3830,IFERROR(INDEX('Sản phẩm'!$E$5:$E$304,MATCH(D3830,'Sản phẩm'!$A$5:$A$304,0)),"")))</f>
        <v/>
      </c>
      <c r="J3830" s="16">
        <f>IF(OR(D3830="",F3830=""),"",F3830*I3830-N(H3830))</f>
        <v/>
      </c>
      <c r="K3830" s="16">
        <f>IF(OR(D3830="",F3830=""),"",F3830*IFERROR(INDEX('Sản phẩm'!$D$5:$D$304,MATCH(D3830,'Sản phẩm'!$A$5:$A$304,0)),""))</f>
        <v/>
      </c>
      <c r="L3830" s="16">
        <f>IF(J3830="","",J3830-K3830)</f>
        <v/>
      </c>
      <c r="M3830" s="14">
        <f>IF(A3830="","",MONTH(A3830))</f>
        <v/>
      </c>
      <c r="N3830" s="14">
        <f>IF(A3830="","",YEAR(A3830))</f>
        <v/>
      </c>
    </row>
    <row r="3831">
      <c r="A3831" s="15" t="n"/>
      <c r="B3831" s="10" t="n"/>
      <c r="C3831" s="10" t="n"/>
      <c r="D3831" s="10" t="n"/>
      <c r="E3831" s="14">
        <f>IF(D3831="","",IFERROR(INDEX('Sản phẩm'!$B$5:$B$304,MATCH(D3831,'Sản phẩm'!$A$5:$A$304,0)),""))</f>
        <v/>
      </c>
      <c r="F3831" s="12" t="n"/>
      <c r="G3831" s="11" t="n"/>
      <c r="H3831" s="11" t="n"/>
      <c r="I3831" s="16">
        <f>IF(D3831="","",IF(G3831&lt;&gt;"",G3831,IFERROR(INDEX('Sản phẩm'!$E$5:$E$304,MATCH(D3831,'Sản phẩm'!$A$5:$A$304,0)),"")))</f>
        <v/>
      </c>
      <c r="J3831" s="16">
        <f>IF(OR(D3831="",F3831=""),"",F3831*I3831-N(H3831))</f>
        <v/>
      </c>
      <c r="K3831" s="16">
        <f>IF(OR(D3831="",F3831=""),"",F3831*IFERROR(INDEX('Sản phẩm'!$D$5:$D$304,MATCH(D3831,'Sản phẩm'!$A$5:$A$304,0)),""))</f>
        <v/>
      </c>
      <c r="L3831" s="16">
        <f>IF(J3831="","",J3831-K3831)</f>
        <v/>
      </c>
      <c r="M3831" s="14">
        <f>IF(A3831="","",MONTH(A3831))</f>
        <v/>
      </c>
      <c r="N3831" s="14">
        <f>IF(A3831="","",YEAR(A3831))</f>
        <v/>
      </c>
    </row>
    <row r="3832">
      <c r="A3832" s="15" t="n"/>
      <c r="B3832" s="10" t="n"/>
      <c r="C3832" s="10" t="n"/>
      <c r="D3832" s="10" t="n"/>
      <c r="E3832" s="14">
        <f>IF(D3832="","",IFERROR(INDEX('Sản phẩm'!$B$5:$B$304,MATCH(D3832,'Sản phẩm'!$A$5:$A$304,0)),""))</f>
        <v/>
      </c>
      <c r="F3832" s="12" t="n"/>
      <c r="G3832" s="11" t="n"/>
      <c r="H3832" s="11" t="n"/>
      <c r="I3832" s="16">
        <f>IF(D3832="","",IF(G3832&lt;&gt;"",G3832,IFERROR(INDEX('Sản phẩm'!$E$5:$E$304,MATCH(D3832,'Sản phẩm'!$A$5:$A$304,0)),"")))</f>
        <v/>
      </c>
      <c r="J3832" s="16">
        <f>IF(OR(D3832="",F3832=""),"",F3832*I3832-N(H3832))</f>
        <v/>
      </c>
      <c r="K3832" s="16">
        <f>IF(OR(D3832="",F3832=""),"",F3832*IFERROR(INDEX('Sản phẩm'!$D$5:$D$304,MATCH(D3832,'Sản phẩm'!$A$5:$A$304,0)),""))</f>
        <v/>
      </c>
      <c r="L3832" s="16">
        <f>IF(J3832="","",J3832-K3832)</f>
        <v/>
      </c>
      <c r="M3832" s="14">
        <f>IF(A3832="","",MONTH(A3832))</f>
        <v/>
      </c>
      <c r="N3832" s="14">
        <f>IF(A3832="","",YEAR(A3832))</f>
        <v/>
      </c>
    </row>
    <row r="3833">
      <c r="A3833" s="15" t="n"/>
      <c r="B3833" s="10" t="n"/>
      <c r="C3833" s="10" t="n"/>
      <c r="D3833" s="10" t="n"/>
      <c r="E3833" s="14">
        <f>IF(D3833="","",IFERROR(INDEX('Sản phẩm'!$B$5:$B$304,MATCH(D3833,'Sản phẩm'!$A$5:$A$304,0)),""))</f>
        <v/>
      </c>
      <c r="F3833" s="12" t="n"/>
      <c r="G3833" s="11" t="n"/>
      <c r="H3833" s="11" t="n"/>
      <c r="I3833" s="16">
        <f>IF(D3833="","",IF(G3833&lt;&gt;"",G3833,IFERROR(INDEX('Sản phẩm'!$E$5:$E$304,MATCH(D3833,'Sản phẩm'!$A$5:$A$304,0)),"")))</f>
        <v/>
      </c>
      <c r="J3833" s="16">
        <f>IF(OR(D3833="",F3833=""),"",F3833*I3833-N(H3833))</f>
        <v/>
      </c>
      <c r="K3833" s="16">
        <f>IF(OR(D3833="",F3833=""),"",F3833*IFERROR(INDEX('Sản phẩm'!$D$5:$D$304,MATCH(D3833,'Sản phẩm'!$A$5:$A$304,0)),""))</f>
        <v/>
      </c>
      <c r="L3833" s="16">
        <f>IF(J3833="","",J3833-K3833)</f>
        <v/>
      </c>
      <c r="M3833" s="14">
        <f>IF(A3833="","",MONTH(A3833))</f>
        <v/>
      </c>
      <c r="N3833" s="14">
        <f>IF(A3833="","",YEAR(A3833))</f>
        <v/>
      </c>
    </row>
    <row r="3834">
      <c r="A3834" s="15" t="n"/>
      <c r="B3834" s="10" t="n"/>
      <c r="C3834" s="10" t="n"/>
      <c r="D3834" s="10" t="n"/>
      <c r="E3834" s="14">
        <f>IF(D3834="","",IFERROR(INDEX('Sản phẩm'!$B$5:$B$304,MATCH(D3834,'Sản phẩm'!$A$5:$A$304,0)),""))</f>
        <v/>
      </c>
      <c r="F3834" s="12" t="n"/>
      <c r="G3834" s="11" t="n"/>
      <c r="H3834" s="11" t="n"/>
      <c r="I3834" s="16">
        <f>IF(D3834="","",IF(G3834&lt;&gt;"",G3834,IFERROR(INDEX('Sản phẩm'!$E$5:$E$304,MATCH(D3834,'Sản phẩm'!$A$5:$A$304,0)),"")))</f>
        <v/>
      </c>
      <c r="J3834" s="16">
        <f>IF(OR(D3834="",F3834=""),"",F3834*I3834-N(H3834))</f>
        <v/>
      </c>
      <c r="K3834" s="16">
        <f>IF(OR(D3834="",F3834=""),"",F3834*IFERROR(INDEX('Sản phẩm'!$D$5:$D$304,MATCH(D3834,'Sản phẩm'!$A$5:$A$304,0)),""))</f>
        <v/>
      </c>
      <c r="L3834" s="16">
        <f>IF(J3834="","",J3834-K3834)</f>
        <v/>
      </c>
      <c r="M3834" s="14">
        <f>IF(A3834="","",MONTH(A3834))</f>
        <v/>
      </c>
      <c r="N3834" s="14">
        <f>IF(A3834="","",YEAR(A3834))</f>
        <v/>
      </c>
    </row>
    <row r="3835">
      <c r="A3835" s="15" t="n"/>
      <c r="B3835" s="10" t="n"/>
      <c r="C3835" s="10" t="n"/>
      <c r="D3835" s="10" t="n"/>
      <c r="E3835" s="14">
        <f>IF(D3835="","",IFERROR(INDEX('Sản phẩm'!$B$5:$B$304,MATCH(D3835,'Sản phẩm'!$A$5:$A$304,0)),""))</f>
        <v/>
      </c>
      <c r="F3835" s="12" t="n"/>
      <c r="G3835" s="11" t="n"/>
      <c r="H3835" s="11" t="n"/>
      <c r="I3835" s="16">
        <f>IF(D3835="","",IF(G3835&lt;&gt;"",G3835,IFERROR(INDEX('Sản phẩm'!$E$5:$E$304,MATCH(D3835,'Sản phẩm'!$A$5:$A$304,0)),"")))</f>
        <v/>
      </c>
      <c r="J3835" s="16">
        <f>IF(OR(D3835="",F3835=""),"",F3835*I3835-N(H3835))</f>
        <v/>
      </c>
      <c r="K3835" s="16">
        <f>IF(OR(D3835="",F3835=""),"",F3835*IFERROR(INDEX('Sản phẩm'!$D$5:$D$304,MATCH(D3835,'Sản phẩm'!$A$5:$A$304,0)),""))</f>
        <v/>
      </c>
      <c r="L3835" s="16">
        <f>IF(J3835="","",J3835-K3835)</f>
        <v/>
      </c>
      <c r="M3835" s="14">
        <f>IF(A3835="","",MONTH(A3835))</f>
        <v/>
      </c>
      <c r="N3835" s="14">
        <f>IF(A3835="","",YEAR(A3835))</f>
        <v/>
      </c>
    </row>
    <row r="3836">
      <c r="A3836" s="15" t="n"/>
      <c r="B3836" s="10" t="n"/>
      <c r="C3836" s="10" t="n"/>
      <c r="D3836" s="10" t="n"/>
      <c r="E3836" s="14">
        <f>IF(D3836="","",IFERROR(INDEX('Sản phẩm'!$B$5:$B$304,MATCH(D3836,'Sản phẩm'!$A$5:$A$304,0)),""))</f>
        <v/>
      </c>
      <c r="F3836" s="12" t="n"/>
      <c r="G3836" s="11" t="n"/>
      <c r="H3836" s="11" t="n"/>
      <c r="I3836" s="16">
        <f>IF(D3836="","",IF(G3836&lt;&gt;"",G3836,IFERROR(INDEX('Sản phẩm'!$E$5:$E$304,MATCH(D3836,'Sản phẩm'!$A$5:$A$304,0)),"")))</f>
        <v/>
      </c>
      <c r="J3836" s="16">
        <f>IF(OR(D3836="",F3836=""),"",F3836*I3836-N(H3836))</f>
        <v/>
      </c>
      <c r="K3836" s="16">
        <f>IF(OR(D3836="",F3836=""),"",F3836*IFERROR(INDEX('Sản phẩm'!$D$5:$D$304,MATCH(D3836,'Sản phẩm'!$A$5:$A$304,0)),""))</f>
        <v/>
      </c>
      <c r="L3836" s="16">
        <f>IF(J3836="","",J3836-K3836)</f>
        <v/>
      </c>
      <c r="M3836" s="14">
        <f>IF(A3836="","",MONTH(A3836))</f>
        <v/>
      </c>
      <c r="N3836" s="14">
        <f>IF(A3836="","",YEAR(A3836))</f>
        <v/>
      </c>
    </row>
    <row r="3837">
      <c r="A3837" s="15" t="n"/>
      <c r="B3837" s="10" t="n"/>
      <c r="C3837" s="10" t="n"/>
      <c r="D3837" s="10" t="n"/>
      <c r="E3837" s="14">
        <f>IF(D3837="","",IFERROR(INDEX('Sản phẩm'!$B$5:$B$304,MATCH(D3837,'Sản phẩm'!$A$5:$A$304,0)),""))</f>
        <v/>
      </c>
      <c r="F3837" s="12" t="n"/>
      <c r="G3837" s="11" t="n"/>
      <c r="H3837" s="11" t="n"/>
      <c r="I3837" s="16">
        <f>IF(D3837="","",IF(G3837&lt;&gt;"",G3837,IFERROR(INDEX('Sản phẩm'!$E$5:$E$304,MATCH(D3837,'Sản phẩm'!$A$5:$A$304,0)),"")))</f>
        <v/>
      </c>
      <c r="J3837" s="16">
        <f>IF(OR(D3837="",F3837=""),"",F3837*I3837-N(H3837))</f>
        <v/>
      </c>
      <c r="K3837" s="16">
        <f>IF(OR(D3837="",F3837=""),"",F3837*IFERROR(INDEX('Sản phẩm'!$D$5:$D$304,MATCH(D3837,'Sản phẩm'!$A$5:$A$304,0)),""))</f>
        <v/>
      </c>
      <c r="L3837" s="16">
        <f>IF(J3837="","",J3837-K3837)</f>
        <v/>
      </c>
      <c r="M3837" s="14">
        <f>IF(A3837="","",MONTH(A3837))</f>
        <v/>
      </c>
      <c r="N3837" s="14">
        <f>IF(A3837="","",YEAR(A3837))</f>
        <v/>
      </c>
    </row>
    <row r="3838">
      <c r="A3838" s="15" t="n"/>
      <c r="B3838" s="10" t="n"/>
      <c r="C3838" s="10" t="n"/>
      <c r="D3838" s="10" t="n"/>
      <c r="E3838" s="14">
        <f>IF(D3838="","",IFERROR(INDEX('Sản phẩm'!$B$5:$B$304,MATCH(D3838,'Sản phẩm'!$A$5:$A$304,0)),""))</f>
        <v/>
      </c>
      <c r="F3838" s="12" t="n"/>
      <c r="G3838" s="11" t="n"/>
      <c r="H3838" s="11" t="n"/>
      <c r="I3838" s="16">
        <f>IF(D3838="","",IF(G3838&lt;&gt;"",G3838,IFERROR(INDEX('Sản phẩm'!$E$5:$E$304,MATCH(D3838,'Sản phẩm'!$A$5:$A$304,0)),"")))</f>
        <v/>
      </c>
      <c r="J3838" s="16">
        <f>IF(OR(D3838="",F3838=""),"",F3838*I3838-N(H3838))</f>
        <v/>
      </c>
      <c r="K3838" s="16">
        <f>IF(OR(D3838="",F3838=""),"",F3838*IFERROR(INDEX('Sản phẩm'!$D$5:$D$304,MATCH(D3838,'Sản phẩm'!$A$5:$A$304,0)),""))</f>
        <v/>
      </c>
      <c r="L3838" s="16">
        <f>IF(J3838="","",J3838-K3838)</f>
        <v/>
      </c>
      <c r="M3838" s="14">
        <f>IF(A3838="","",MONTH(A3838))</f>
        <v/>
      </c>
      <c r="N3838" s="14">
        <f>IF(A3838="","",YEAR(A3838))</f>
        <v/>
      </c>
    </row>
    <row r="3839">
      <c r="A3839" s="15" t="n"/>
      <c r="B3839" s="10" t="n"/>
      <c r="C3839" s="10" t="n"/>
      <c r="D3839" s="10" t="n"/>
      <c r="E3839" s="14">
        <f>IF(D3839="","",IFERROR(INDEX('Sản phẩm'!$B$5:$B$304,MATCH(D3839,'Sản phẩm'!$A$5:$A$304,0)),""))</f>
        <v/>
      </c>
      <c r="F3839" s="12" t="n"/>
      <c r="G3839" s="11" t="n"/>
      <c r="H3839" s="11" t="n"/>
      <c r="I3839" s="16">
        <f>IF(D3839="","",IF(G3839&lt;&gt;"",G3839,IFERROR(INDEX('Sản phẩm'!$E$5:$E$304,MATCH(D3839,'Sản phẩm'!$A$5:$A$304,0)),"")))</f>
        <v/>
      </c>
      <c r="J3839" s="16">
        <f>IF(OR(D3839="",F3839=""),"",F3839*I3839-N(H3839))</f>
        <v/>
      </c>
      <c r="K3839" s="16">
        <f>IF(OR(D3839="",F3839=""),"",F3839*IFERROR(INDEX('Sản phẩm'!$D$5:$D$304,MATCH(D3839,'Sản phẩm'!$A$5:$A$304,0)),""))</f>
        <v/>
      </c>
      <c r="L3839" s="16">
        <f>IF(J3839="","",J3839-K3839)</f>
        <v/>
      </c>
      <c r="M3839" s="14">
        <f>IF(A3839="","",MONTH(A3839))</f>
        <v/>
      </c>
      <c r="N3839" s="14">
        <f>IF(A3839="","",YEAR(A3839))</f>
        <v/>
      </c>
    </row>
    <row r="3840">
      <c r="A3840" s="15" t="n"/>
      <c r="B3840" s="10" t="n"/>
      <c r="C3840" s="10" t="n"/>
      <c r="D3840" s="10" t="n"/>
      <c r="E3840" s="14">
        <f>IF(D3840="","",IFERROR(INDEX('Sản phẩm'!$B$5:$B$304,MATCH(D3840,'Sản phẩm'!$A$5:$A$304,0)),""))</f>
        <v/>
      </c>
      <c r="F3840" s="12" t="n"/>
      <c r="G3840" s="11" t="n"/>
      <c r="H3840" s="11" t="n"/>
      <c r="I3840" s="16">
        <f>IF(D3840="","",IF(G3840&lt;&gt;"",G3840,IFERROR(INDEX('Sản phẩm'!$E$5:$E$304,MATCH(D3840,'Sản phẩm'!$A$5:$A$304,0)),"")))</f>
        <v/>
      </c>
      <c r="J3840" s="16">
        <f>IF(OR(D3840="",F3840=""),"",F3840*I3840-N(H3840))</f>
        <v/>
      </c>
      <c r="K3840" s="16">
        <f>IF(OR(D3840="",F3840=""),"",F3840*IFERROR(INDEX('Sản phẩm'!$D$5:$D$304,MATCH(D3840,'Sản phẩm'!$A$5:$A$304,0)),""))</f>
        <v/>
      </c>
      <c r="L3840" s="16">
        <f>IF(J3840="","",J3840-K3840)</f>
        <v/>
      </c>
      <c r="M3840" s="14">
        <f>IF(A3840="","",MONTH(A3840))</f>
        <v/>
      </c>
      <c r="N3840" s="14">
        <f>IF(A3840="","",YEAR(A3840))</f>
        <v/>
      </c>
    </row>
    <row r="3841">
      <c r="A3841" s="15" t="n"/>
      <c r="B3841" s="10" t="n"/>
      <c r="C3841" s="10" t="n"/>
      <c r="D3841" s="10" t="n"/>
      <c r="E3841" s="14">
        <f>IF(D3841="","",IFERROR(INDEX('Sản phẩm'!$B$5:$B$304,MATCH(D3841,'Sản phẩm'!$A$5:$A$304,0)),""))</f>
        <v/>
      </c>
      <c r="F3841" s="12" t="n"/>
      <c r="G3841" s="11" t="n"/>
      <c r="H3841" s="11" t="n"/>
      <c r="I3841" s="16">
        <f>IF(D3841="","",IF(G3841&lt;&gt;"",G3841,IFERROR(INDEX('Sản phẩm'!$E$5:$E$304,MATCH(D3841,'Sản phẩm'!$A$5:$A$304,0)),"")))</f>
        <v/>
      </c>
      <c r="J3841" s="16">
        <f>IF(OR(D3841="",F3841=""),"",F3841*I3841-N(H3841))</f>
        <v/>
      </c>
      <c r="K3841" s="16">
        <f>IF(OR(D3841="",F3841=""),"",F3841*IFERROR(INDEX('Sản phẩm'!$D$5:$D$304,MATCH(D3841,'Sản phẩm'!$A$5:$A$304,0)),""))</f>
        <v/>
      </c>
      <c r="L3841" s="16">
        <f>IF(J3841="","",J3841-K3841)</f>
        <v/>
      </c>
      <c r="M3841" s="14">
        <f>IF(A3841="","",MONTH(A3841))</f>
        <v/>
      </c>
      <c r="N3841" s="14">
        <f>IF(A3841="","",YEAR(A3841))</f>
        <v/>
      </c>
    </row>
    <row r="3842">
      <c r="A3842" s="15" t="n"/>
      <c r="B3842" s="10" t="n"/>
      <c r="C3842" s="10" t="n"/>
      <c r="D3842" s="10" t="n"/>
      <c r="E3842" s="14">
        <f>IF(D3842="","",IFERROR(INDEX('Sản phẩm'!$B$5:$B$304,MATCH(D3842,'Sản phẩm'!$A$5:$A$304,0)),""))</f>
        <v/>
      </c>
      <c r="F3842" s="12" t="n"/>
      <c r="G3842" s="11" t="n"/>
      <c r="H3842" s="11" t="n"/>
      <c r="I3842" s="16">
        <f>IF(D3842="","",IF(G3842&lt;&gt;"",G3842,IFERROR(INDEX('Sản phẩm'!$E$5:$E$304,MATCH(D3842,'Sản phẩm'!$A$5:$A$304,0)),"")))</f>
        <v/>
      </c>
      <c r="J3842" s="16">
        <f>IF(OR(D3842="",F3842=""),"",F3842*I3842-N(H3842))</f>
        <v/>
      </c>
      <c r="K3842" s="16">
        <f>IF(OR(D3842="",F3842=""),"",F3842*IFERROR(INDEX('Sản phẩm'!$D$5:$D$304,MATCH(D3842,'Sản phẩm'!$A$5:$A$304,0)),""))</f>
        <v/>
      </c>
      <c r="L3842" s="16">
        <f>IF(J3842="","",J3842-K3842)</f>
        <v/>
      </c>
      <c r="M3842" s="14">
        <f>IF(A3842="","",MONTH(A3842))</f>
        <v/>
      </c>
      <c r="N3842" s="14">
        <f>IF(A3842="","",YEAR(A3842))</f>
        <v/>
      </c>
    </row>
    <row r="3843">
      <c r="A3843" s="15" t="n"/>
      <c r="B3843" s="10" t="n"/>
      <c r="C3843" s="10" t="n"/>
      <c r="D3843" s="10" t="n"/>
      <c r="E3843" s="14">
        <f>IF(D3843="","",IFERROR(INDEX('Sản phẩm'!$B$5:$B$304,MATCH(D3843,'Sản phẩm'!$A$5:$A$304,0)),""))</f>
        <v/>
      </c>
      <c r="F3843" s="12" t="n"/>
      <c r="G3843" s="11" t="n"/>
      <c r="H3843" s="11" t="n"/>
      <c r="I3843" s="16">
        <f>IF(D3843="","",IF(G3843&lt;&gt;"",G3843,IFERROR(INDEX('Sản phẩm'!$E$5:$E$304,MATCH(D3843,'Sản phẩm'!$A$5:$A$304,0)),"")))</f>
        <v/>
      </c>
      <c r="J3843" s="16">
        <f>IF(OR(D3843="",F3843=""),"",F3843*I3843-N(H3843))</f>
        <v/>
      </c>
      <c r="K3843" s="16">
        <f>IF(OR(D3843="",F3843=""),"",F3843*IFERROR(INDEX('Sản phẩm'!$D$5:$D$304,MATCH(D3843,'Sản phẩm'!$A$5:$A$304,0)),""))</f>
        <v/>
      </c>
      <c r="L3843" s="16">
        <f>IF(J3843="","",J3843-K3843)</f>
        <v/>
      </c>
      <c r="M3843" s="14">
        <f>IF(A3843="","",MONTH(A3843))</f>
        <v/>
      </c>
      <c r="N3843" s="14">
        <f>IF(A3843="","",YEAR(A3843))</f>
        <v/>
      </c>
    </row>
    <row r="3844">
      <c r="A3844" s="15" t="n"/>
      <c r="B3844" s="10" t="n"/>
      <c r="C3844" s="10" t="n"/>
      <c r="D3844" s="10" t="n"/>
      <c r="E3844" s="14">
        <f>IF(D3844="","",IFERROR(INDEX('Sản phẩm'!$B$5:$B$304,MATCH(D3844,'Sản phẩm'!$A$5:$A$304,0)),""))</f>
        <v/>
      </c>
      <c r="F3844" s="12" t="n"/>
      <c r="G3844" s="11" t="n"/>
      <c r="H3844" s="11" t="n"/>
      <c r="I3844" s="16">
        <f>IF(D3844="","",IF(G3844&lt;&gt;"",G3844,IFERROR(INDEX('Sản phẩm'!$E$5:$E$304,MATCH(D3844,'Sản phẩm'!$A$5:$A$304,0)),"")))</f>
        <v/>
      </c>
      <c r="J3844" s="16">
        <f>IF(OR(D3844="",F3844=""),"",F3844*I3844-N(H3844))</f>
        <v/>
      </c>
      <c r="K3844" s="16">
        <f>IF(OR(D3844="",F3844=""),"",F3844*IFERROR(INDEX('Sản phẩm'!$D$5:$D$304,MATCH(D3844,'Sản phẩm'!$A$5:$A$304,0)),""))</f>
        <v/>
      </c>
      <c r="L3844" s="16">
        <f>IF(J3844="","",J3844-K3844)</f>
        <v/>
      </c>
      <c r="M3844" s="14">
        <f>IF(A3844="","",MONTH(A3844))</f>
        <v/>
      </c>
      <c r="N3844" s="14">
        <f>IF(A3844="","",YEAR(A3844))</f>
        <v/>
      </c>
    </row>
    <row r="3845">
      <c r="A3845" s="15" t="n"/>
      <c r="B3845" s="10" t="n"/>
      <c r="C3845" s="10" t="n"/>
      <c r="D3845" s="10" t="n"/>
      <c r="E3845" s="14">
        <f>IF(D3845="","",IFERROR(INDEX('Sản phẩm'!$B$5:$B$304,MATCH(D3845,'Sản phẩm'!$A$5:$A$304,0)),""))</f>
        <v/>
      </c>
      <c r="F3845" s="12" t="n"/>
      <c r="G3845" s="11" t="n"/>
      <c r="H3845" s="11" t="n"/>
      <c r="I3845" s="16">
        <f>IF(D3845="","",IF(G3845&lt;&gt;"",G3845,IFERROR(INDEX('Sản phẩm'!$E$5:$E$304,MATCH(D3845,'Sản phẩm'!$A$5:$A$304,0)),"")))</f>
        <v/>
      </c>
      <c r="J3845" s="16">
        <f>IF(OR(D3845="",F3845=""),"",F3845*I3845-N(H3845))</f>
        <v/>
      </c>
      <c r="K3845" s="16">
        <f>IF(OR(D3845="",F3845=""),"",F3845*IFERROR(INDEX('Sản phẩm'!$D$5:$D$304,MATCH(D3845,'Sản phẩm'!$A$5:$A$304,0)),""))</f>
        <v/>
      </c>
      <c r="L3845" s="16">
        <f>IF(J3845="","",J3845-K3845)</f>
        <v/>
      </c>
      <c r="M3845" s="14">
        <f>IF(A3845="","",MONTH(A3845))</f>
        <v/>
      </c>
      <c r="N3845" s="14">
        <f>IF(A3845="","",YEAR(A3845))</f>
        <v/>
      </c>
    </row>
    <row r="3846">
      <c r="A3846" s="15" t="n"/>
      <c r="B3846" s="10" t="n"/>
      <c r="C3846" s="10" t="n"/>
      <c r="D3846" s="10" t="n"/>
      <c r="E3846" s="14">
        <f>IF(D3846="","",IFERROR(INDEX('Sản phẩm'!$B$5:$B$304,MATCH(D3846,'Sản phẩm'!$A$5:$A$304,0)),""))</f>
        <v/>
      </c>
      <c r="F3846" s="12" t="n"/>
      <c r="G3846" s="11" t="n"/>
      <c r="H3846" s="11" t="n"/>
      <c r="I3846" s="16">
        <f>IF(D3846="","",IF(G3846&lt;&gt;"",G3846,IFERROR(INDEX('Sản phẩm'!$E$5:$E$304,MATCH(D3846,'Sản phẩm'!$A$5:$A$304,0)),"")))</f>
        <v/>
      </c>
      <c r="J3846" s="16">
        <f>IF(OR(D3846="",F3846=""),"",F3846*I3846-N(H3846))</f>
        <v/>
      </c>
      <c r="K3846" s="16">
        <f>IF(OR(D3846="",F3846=""),"",F3846*IFERROR(INDEX('Sản phẩm'!$D$5:$D$304,MATCH(D3846,'Sản phẩm'!$A$5:$A$304,0)),""))</f>
        <v/>
      </c>
      <c r="L3846" s="16">
        <f>IF(J3846="","",J3846-K3846)</f>
        <v/>
      </c>
      <c r="M3846" s="14">
        <f>IF(A3846="","",MONTH(A3846))</f>
        <v/>
      </c>
      <c r="N3846" s="14">
        <f>IF(A3846="","",YEAR(A3846))</f>
        <v/>
      </c>
    </row>
    <row r="3847">
      <c r="A3847" s="15" t="n"/>
      <c r="B3847" s="10" t="n"/>
      <c r="C3847" s="10" t="n"/>
      <c r="D3847" s="10" t="n"/>
      <c r="E3847" s="14">
        <f>IF(D3847="","",IFERROR(INDEX('Sản phẩm'!$B$5:$B$304,MATCH(D3847,'Sản phẩm'!$A$5:$A$304,0)),""))</f>
        <v/>
      </c>
      <c r="F3847" s="12" t="n"/>
      <c r="G3847" s="11" t="n"/>
      <c r="H3847" s="11" t="n"/>
      <c r="I3847" s="16">
        <f>IF(D3847="","",IF(G3847&lt;&gt;"",G3847,IFERROR(INDEX('Sản phẩm'!$E$5:$E$304,MATCH(D3847,'Sản phẩm'!$A$5:$A$304,0)),"")))</f>
        <v/>
      </c>
      <c r="J3847" s="16">
        <f>IF(OR(D3847="",F3847=""),"",F3847*I3847-N(H3847))</f>
        <v/>
      </c>
      <c r="K3847" s="16">
        <f>IF(OR(D3847="",F3847=""),"",F3847*IFERROR(INDEX('Sản phẩm'!$D$5:$D$304,MATCH(D3847,'Sản phẩm'!$A$5:$A$304,0)),""))</f>
        <v/>
      </c>
      <c r="L3847" s="16">
        <f>IF(J3847="","",J3847-K3847)</f>
        <v/>
      </c>
      <c r="M3847" s="14">
        <f>IF(A3847="","",MONTH(A3847))</f>
        <v/>
      </c>
      <c r="N3847" s="14">
        <f>IF(A3847="","",YEAR(A3847))</f>
        <v/>
      </c>
    </row>
    <row r="3848">
      <c r="A3848" s="15" t="n"/>
      <c r="B3848" s="10" t="n"/>
      <c r="C3848" s="10" t="n"/>
      <c r="D3848" s="10" t="n"/>
      <c r="E3848" s="14">
        <f>IF(D3848="","",IFERROR(INDEX('Sản phẩm'!$B$5:$B$304,MATCH(D3848,'Sản phẩm'!$A$5:$A$304,0)),""))</f>
        <v/>
      </c>
      <c r="F3848" s="12" t="n"/>
      <c r="G3848" s="11" t="n"/>
      <c r="H3848" s="11" t="n"/>
      <c r="I3848" s="16">
        <f>IF(D3848="","",IF(G3848&lt;&gt;"",G3848,IFERROR(INDEX('Sản phẩm'!$E$5:$E$304,MATCH(D3848,'Sản phẩm'!$A$5:$A$304,0)),"")))</f>
        <v/>
      </c>
      <c r="J3848" s="16">
        <f>IF(OR(D3848="",F3848=""),"",F3848*I3848-N(H3848))</f>
        <v/>
      </c>
      <c r="K3848" s="16">
        <f>IF(OR(D3848="",F3848=""),"",F3848*IFERROR(INDEX('Sản phẩm'!$D$5:$D$304,MATCH(D3848,'Sản phẩm'!$A$5:$A$304,0)),""))</f>
        <v/>
      </c>
      <c r="L3848" s="16">
        <f>IF(J3848="","",J3848-K3848)</f>
        <v/>
      </c>
      <c r="M3848" s="14">
        <f>IF(A3848="","",MONTH(A3848))</f>
        <v/>
      </c>
      <c r="N3848" s="14">
        <f>IF(A3848="","",YEAR(A3848))</f>
        <v/>
      </c>
    </row>
    <row r="3849">
      <c r="A3849" s="15" t="n"/>
      <c r="B3849" s="10" t="n"/>
      <c r="C3849" s="10" t="n"/>
      <c r="D3849" s="10" t="n"/>
      <c r="E3849" s="14">
        <f>IF(D3849="","",IFERROR(INDEX('Sản phẩm'!$B$5:$B$304,MATCH(D3849,'Sản phẩm'!$A$5:$A$304,0)),""))</f>
        <v/>
      </c>
      <c r="F3849" s="12" t="n"/>
      <c r="G3849" s="11" t="n"/>
      <c r="H3849" s="11" t="n"/>
      <c r="I3849" s="16">
        <f>IF(D3849="","",IF(G3849&lt;&gt;"",G3849,IFERROR(INDEX('Sản phẩm'!$E$5:$E$304,MATCH(D3849,'Sản phẩm'!$A$5:$A$304,0)),"")))</f>
        <v/>
      </c>
      <c r="J3849" s="16">
        <f>IF(OR(D3849="",F3849=""),"",F3849*I3849-N(H3849))</f>
        <v/>
      </c>
      <c r="K3849" s="16">
        <f>IF(OR(D3849="",F3849=""),"",F3849*IFERROR(INDEX('Sản phẩm'!$D$5:$D$304,MATCH(D3849,'Sản phẩm'!$A$5:$A$304,0)),""))</f>
        <v/>
      </c>
      <c r="L3849" s="16">
        <f>IF(J3849="","",J3849-K3849)</f>
        <v/>
      </c>
      <c r="M3849" s="14">
        <f>IF(A3849="","",MONTH(A3849))</f>
        <v/>
      </c>
      <c r="N3849" s="14">
        <f>IF(A3849="","",YEAR(A3849))</f>
        <v/>
      </c>
    </row>
    <row r="3850">
      <c r="A3850" s="15" t="n"/>
      <c r="B3850" s="10" t="n"/>
      <c r="C3850" s="10" t="n"/>
      <c r="D3850" s="10" t="n"/>
      <c r="E3850" s="14">
        <f>IF(D3850="","",IFERROR(INDEX('Sản phẩm'!$B$5:$B$304,MATCH(D3850,'Sản phẩm'!$A$5:$A$304,0)),""))</f>
        <v/>
      </c>
      <c r="F3850" s="12" t="n"/>
      <c r="G3850" s="11" t="n"/>
      <c r="H3850" s="11" t="n"/>
      <c r="I3850" s="16">
        <f>IF(D3850="","",IF(G3850&lt;&gt;"",G3850,IFERROR(INDEX('Sản phẩm'!$E$5:$E$304,MATCH(D3850,'Sản phẩm'!$A$5:$A$304,0)),"")))</f>
        <v/>
      </c>
      <c r="J3850" s="16">
        <f>IF(OR(D3850="",F3850=""),"",F3850*I3850-N(H3850))</f>
        <v/>
      </c>
      <c r="K3850" s="16">
        <f>IF(OR(D3850="",F3850=""),"",F3850*IFERROR(INDEX('Sản phẩm'!$D$5:$D$304,MATCH(D3850,'Sản phẩm'!$A$5:$A$304,0)),""))</f>
        <v/>
      </c>
      <c r="L3850" s="16">
        <f>IF(J3850="","",J3850-K3850)</f>
        <v/>
      </c>
      <c r="M3850" s="14">
        <f>IF(A3850="","",MONTH(A3850))</f>
        <v/>
      </c>
      <c r="N3850" s="14">
        <f>IF(A3850="","",YEAR(A3850))</f>
        <v/>
      </c>
    </row>
    <row r="3851">
      <c r="A3851" s="15" t="n"/>
      <c r="B3851" s="10" t="n"/>
      <c r="C3851" s="10" t="n"/>
      <c r="D3851" s="10" t="n"/>
      <c r="E3851" s="14">
        <f>IF(D3851="","",IFERROR(INDEX('Sản phẩm'!$B$5:$B$304,MATCH(D3851,'Sản phẩm'!$A$5:$A$304,0)),""))</f>
        <v/>
      </c>
      <c r="F3851" s="12" t="n"/>
      <c r="G3851" s="11" t="n"/>
      <c r="H3851" s="11" t="n"/>
      <c r="I3851" s="16">
        <f>IF(D3851="","",IF(G3851&lt;&gt;"",G3851,IFERROR(INDEX('Sản phẩm'!$E$5:$E$304,MATCH(D3851,'Sản phẩm'!$A$5:$A$304,0)),"")))</f>
        <v/>
      </c>
      <c r="J3851" s="16">
        <f>IF(OR(D3851="",F3851=""),"",F3851*I3851-N(H3851))</f>
        <v/>
      </c>
      <c r="K3851" s="16">
        <f>IF(OR(D3851="",F3851=""),"",F3851*IFERROR(INDEX('Sản phẩm'!$D$5:$D$304,MATCH(D3851,'Sản phẩm'!$A$5:$A$304,0)),""))</f>
        <v/>
      </c>
      <c r="L3851" s="16">
        <f>IF(J3851="","",J3851-K3851)</f>
        <v/>
      </c>
      <c r="M3851" s="14">
        <f>IF(A3851="","",MONTH(A3851))</f>
        <v/>
      </c>
      <c r="N3851" s="14">
        <f>IF(A3851="","",YEAR(A3851))</f>
        <v/>
      </c>
    </row>
    <row r="3852">
      <c r="A3852" s="15" t="n"/>
      <c r="B3852" s="10" t="n"/>
      <c r="C3852" s="10" t="n"/>
      <c r="D3852" s="10" t="n"/>
      <c r="E3852" s="14">
        <f>IF(D3852="","",IFERROR(INDEX('Sản phẩm'!$B$5:$B$304,MATCH(D3852,'Sản phẩm'!$A$5:$A$304,0)),""))</f>
        <v/>
      </c>
      <c r="F3852" s="12" t="n"/>
      <c r="G3852" s="11" t="n"/>
      <c r="H3852" s="11" t="n"/>
      <c r="I3852" s="16">
        <f>IF(D3852="","",IF(G3852&lt;&gt;"",G3852,IFERROR(INDEX('Sản phẩm'!$E$5:$E$304,MATCH(D3852,'Sản phẩm'!$A$5:$A$304,0)),"")))</f>
        <v/>
      </c>
      <c r="J3852" s="16">
        <f>IF(OR(D3852="",F3852=""),"",F3852*I3852-N(H3852))</f>
        <v/>
      </c>
      <c r="K3852" s="16">
        <f>IF(OR(D3852="",F3852=""),"",F3852*IFERROR(INDEX('Sản phẩm'!$D$5:$D$304,MATCH(D3852,'Sản phẩm'!$A$5:$A$304,0)),""))</f>
        <v/>
      </c>
      <c r="L3852" s="16">
        <f>IF(J3852="","",J3852-K3852)</f>
        <v/>
      </c>
      <c r="M3852" s="14">
        <f>IF(A3852="","",MONTH(A3852))</f>
        <v/>
      </c>
      <c r="N3852" s="14">
        <f>IF(A3852="","",YEAR(A3852))</f>
        <v/>
      </c>
    </row>
    <row r="3853">
      <c r="A3853" s="15" t="n"/>
      <c r="B3853" s="10" t="n"/>
      <c r="C3853" s="10" t="n"/>
      <c r="D3853" s="10" t="n"/>
      <c r="E3853" s="14">
        <f>IF(D3853="","",IFERROR(INDEX('Sản phẩm'!$B$5:$B$304,MATCH(D3853,'Sản phẩm'!$A$5:$A$304,0)),""))</f>
        <v/>
      </c>
      <c r="F3853" s="12" t="n"/>
      <c r="G3853" s="11" t="n"/>
      <c r="H3853" s="11" t="n"/>
      <c r="I3853" s="16">
        <f>IF(D3853="","",IF(G3853&lt;&gt;"",G3853,IFERROR(INDEX('Sản phẩm'!$E$5:$E$304,MATCH(D3853,'Sản phẩm'!$A$5:$A$304,0)),"")))</f>
        <v/>
      </c>
      <c r="J3853" s="16">
        <f>IF(OR(D3853="",F3853=""),"",F3853*I3853-N(H3853))</f>
        <v/>
      </c>
      <c r="K3853" s="16">
        <f>IF(OR(D3853="",F3853=""),"",F3853*IFERROR(INDEX('Sản phẩm'!$D$5:$D$304,MATCH(D3853,'Sản phẩm'!$A$5:$A$304,0)),""))</f>
        <v/>
      </c>
      <c r="L3853" s="16">
        <f>IF(J3853="","",J3853-K3853)</f>
        <v/>
      </c>
      <c r="M3853" s="14">
        <f>IF(A3853="","",MONTH(A3853))</f>
        <v/>
      </c>
      <c r="N3853" s="14">
        <f>IF(A3853="","",YEAR(A3853))</f>
        <v/>
      </c>
    </row>
    <row r="3854">
      <c r="A3854" s="15" t="n"/>
      <c r="B3854" s="10" t="n"/>
      <c r="C3854" s="10" t="n"/>
      <c r="D3854" s="10" t="n"/>
      <c r="E3854" s="14">
        <f>IF(D3854="","",IFERROR(INDEX('Sản phẩm'!$B$5:$B$304,MATCH(D3854,'Sản phẩm'!$A$5:$A$304,0)),""))</f>
        <v/>
      </c>
      <c r="F3854" s="12" t="n"/>
      <c r="G3854" s="11" t="n"/>
      <c r="H3854" s="11" t="n"/>
      <c r="I3854" s="16">
        <f>IF(D3854="","",IF(G3854&lt;&gt;"",G3854,IFERROR(INDEX('Sản phẩm'!$E$5:$E$304,MATCH(D3854,'Sản phẩm'!$A$5:$A$304,0)),"")))</f>
        <v/>
      </c>
      <c r="J3854" s="16">
        <f>IF(OR(D3854="",F3854=""),"",F3854*I3854-N(H3854))</f>
        <v/>
      </c>
      <c r="K3854" s="16">
        <f>IF(OR(D3854="",F3854=""),"",F3854*IFERROR(INDEX('Sản phẩm'!$D$5:$D$304,MATCH(D3854,'Sản phẩm'!$A$5:$A$304,0)),""))</f>
        <v/>
      </c>
      <c r="L3854" s="16">
        <f>IF(J3854="","",J3854-K3854)</f>
        <v/>
      </c>
      <c r="M3854" s="14">
        <f>IF(A3854="","",MONTH(A3854))</f>
        <v/>
      </c>
      <c r="N3854" s="14">
        <f>IF(A3854="","",YEAR(A3854))</f>
        <v/>
      </c>
    </row>
    <row r="3855">
      <c r="A3855" s="15" t="n"/>
      <c r="B3855" s="10" t="n"/>
      <c r="C3855" s="10" t="n"/>
      <c r="D3855" s="10" t="n"/>
      <c r="E3855" s="14">
        <f>IF(D3855="","",IFERROR(INDEX('Sản phẩm'!$B$5:$B$304,MATCH(D3855,'Sản phẩm'!$A$5:$A$304,0)),""))</f>
        <v/>
      </c>
      <c r="F3855" s="12" t="n"/>
      <c r="G3855" s="11" t="n"/>
      <c r="H3855" s="11" t="n"/>
      <c r="I3855" s="16">
        <f>IF(D3855="","",IF(G3855&lt;&gt;"",G3855,IFERROR(INDEX('Sản phẩm'!$E$5:$E$304,MATCH(D3855,'Sản phẩm'!$A$5:$A$304,0)),"")))</f>
        <v/>
      </c>
      <c r="J3855" s="16">
        <f>IF(OR(D3855="",F3855=""),"",F3855*I3855-N(H3855))</f>
        <v/>
      </c>
      <c r="K3855" s="16">
        <f>IF(OR(D3855="",F3855=""),"",F3855*IFERROR(INDEX('Sản phẩm'!$D$5:$D$304,MATCH(D3855,'Sản phẩm'!$A$5:$A$304,0)),""))</f>
        <v/>
      </c>
      <c r="L3855" s="16">
        <f>IF(J3855="","",J3855-K3855)</f>
        <v/>
      </c>
      <c r="M3855" s="14">
        <f>IF(A3855="","",MONTH(A3855))</f>
        <v/>
      </c>
      <c r="N3855" s="14">
        <f>IF(A3855="","",YEAR(A3855))</f>
        <v/>
      </c>
    </row>
    <row r="3856">
      <c r="A3856" s="15" t="n"/>
      <c r="B3856" s="10" t="n"/>
      <c r="C3856" s="10" t="n"/>
      <c r="D3856" s="10" t="n"/>
      <c r="E3856" s="14">
        <f>IF(D3856="","",IFERROR(INDEX('Sản phẩm'!$B$5:$B$304,MATCH(D3856,'Sản phẩm'!$A$5:$A$304,0)),""))</f>
        <v/>
      </c>
      <c r="F3856" s="12" t="n"/>
      <c r="G3856" s="11" t="n"/>
      <c r="H3856" s="11" t="n"/>
      <c r="I3856" s="16">
        <f>IF(D3856="","",IF(G3856&lt;&gt;"",G3856,IFERROR(INDEX('Sản phẩm'!$E$5:$E$304,MATCH(D3856,'Sản phẩm'!$A$5:$A$304,0)),"")))</f>
        <v/>
      </c>
      <c r="J3856" s="16">
        <f>IF(OR(D3856="",F3856=""),"",F3856*I3856-N(H3856))</f>
        <v/>
      </c>
      <c r="K3856" s="16">
        <f>IF(OR(D3856="",F3856=""),"",F3856*IFERROR(INDEX('Sản phẩm'!$D$5:$D$304,MATCH(D3856,'Sản phẩm'!$A$5:$A$304,0)),""))</f>
        <v/>
      </c>
      <c r="L3856" s="16">
        <f>IF(J3856="","",J3856-K3856)</f>
        <v/>
      </c>
      <c r="M3856" s="14">
        <f>IF(A3856="","",MONTH(A3856))</f>
        <v/>
      </c>
      <c r="N3856" s="14">
        <f>IF(A3856="","",YEAR(A3856))</f>
        <v/>
      </c>
    </row>
    <row r="3857">
      <c r="A3857" s="15" t="n"/>
      <c r="B3857" s="10" t="n"/>
      <c r="C3857" s="10" t="n"/>
      <c r="D3857" s="10" t="n"/>
      <c r="E3857" s="14">
        <f>IF(D3857="","",IFERROR(INDEX('Sản phẩm'!$B$5:$B$304,MATCH(D3857,'Sản phẩm'!$A$5:$A$304,0)),""))</f>
        <v/>
      </c>
      <c r="F3857" s="12" t="n"/>
      <c r="G3857" s="11" t="n"/>
      <c r="H3857" s="11" t="n"/>
      <c r="I3857" s="16">
        <f>IF(D3857="","",IF(G3857&lt;&gt;"",G3857,IFERROR(INDEX('Sản phẩm'!$E$5:$E$304,MATCH(D3857,'Sản phẩm'!$A$5:$A$304,0)),"")))</f>
        <v/>
      </c>
      <c r="J3857" s="16">
        <f>IF(OR(D3857="",F3857=""),"",F3857*I3857-N(H3857))</f>
        <v/>
      </c>
      <c r="K3857" s="16">
        <f>IF(OR(D3857="",F3857=""),"",F3857*IFERROR(INDEX('Sản phẩm'!$D$5:$D$304,MATCH(D3857,'Sản phẩm'!$A$5:$A$304,0)),""))</f>
        <v/>
      </c>
      <c r="L3857" s="16">
        <f>IF(J3857="","",J3857-K3857)</f>
        <v/>
      </c>
      <c r="M3857" s="14">
        <f>IF(A3857="","",MONTH(A3857))</f>
        <v/>
      </c>
      <c r="N3857" s="14">
        <f>IF(A3857="","",YEAR(A3857))</f>
        <v/>
      </c>
    </row>
    <row r="3858">
      <c r="A3858" s="15" t="n"/>
      <c r="B3858" s="10" t="n"/>
      <c r="C3858" s="10" t="n"/>
      <c r="D3858" s="10" t="n"/>
      <c r="E3858" s="14">
        <f>IF(D3858="","",IFERROR(INDEX('Sản phẩm'!$B$5:$B$304,MATCH(D3858,'Sản phẩm'!$A$5:$A$304,0)),""))</f>
        <v/>
      </c>
      <c r="F3858" s="12" t="n"/>
      <c r="G3858" s="11" t="n"/>
      <c r="H3858" s="11" t="n"/>
      <c r="I3858" s="16">
        <f>IF(D3858="","",IF(G3858&lt;&gt;"",G3858,IFERROR(INDEX('Sản phẩm'!$E$5:$E$304,MATCH(D3858,'Sản phẩm'!$A$5:$A$304,0)),"")))</f>
        <v/>
      </c>
      <c r="J3858" s="16">
        <f>IF(OR(D3858="",F3858=""),"",F3858*I3858-N(H3858))</f>
        <v/>
      </c>
      <c r="K3858" s="16">
        <f>IF(OR(D3858="",F3858=""),"",F3858*IFERROR(INDEX('Sản phẩm'!$D$5:$D$304,MATCH(D3858,'Sản phẩm'!$A$5:$A$304,0)),""))</f>
        <v/>
      </c>
      <c r="L3858" s="16">
        <f>IF(J3858="","",J3858-K3858)</f>
        <v/>
      </c>
      <c r="M3858" s="14">
        <f>IF(A3858="","",MONTH(A3858))</f>
        <v/>
      </c>
      <c r="N3858" s="14">
        <f>IF(A3858="","",YEAR(A3858))</f>
        <v/>
      </c>
    </row>
    <row r="3859">
      <c r="A3859" s="15" t="n"/>
      <c r="B3859" s="10" t="n"/>
      <c r="C3859" s="10" t="n"/>
      <c r="D3859" s="10" t="n"/>
      <c r="E3859" s="14">
        <f>IF(D3859="","",IFERROR(INDEX('Sản phẩm'!$B$5:$B$304,MATCH(D3859,'Sản phẩm'!$A$5:$A$304,0)),""))</f>
        <v/>
      </c>
      <c r="F3859" s="12" t="n"/>
      <c r="G3859" s="11" t="n"/>
      <c r="H3859" s="11" t="n"/>
      <c r="I3859" s="16">
        <f>IF(D3859="","",IF(G3859&lt;&gt;"",G3859,IFERROR(INDEX('Sản phẩm'!$E$5:$E$304,MATCH(D3859,'Sản phẩm'!$A$5:$A$304,0)),"")))</f>
        <v/>
      </c>
      <c r="J3859" s="16">
        <f>IF(OR(D3859="",F3859=""),"",F3859*I3859-N(H3859))</f>
        <v/>
      </c>
      <c r="K3859" s="16">
        <f>IF(OR(D3859="",F3859=""),"",F3859*IFERROR(INDEX('Sản phẩm'!$D$5:$D$304,MATCH(D3859,'Sản phẩm'!$A$5:$A$304,0)),""))</f>
        <v/>
      </c>
      <c r="L3859" s="16">
        <f>IF(J3859="","",J3859-K3859)</f>
        <v/>
      </c>
      <c r="M3859" s="14">
        <f>IF(A3859="","",MONTH(A3859))</f>
        <v/>
      </c>
      <c r="N3859" s="14">
        <f>IF(A3859="","",YEAR(A3859))</f>
        <v/>
      </c>
    </row>
    <row r="3860">
      <c r="A3860" s="15" t="n"/>
      <c r="B3860" s="10" t="n"/>
      <c r="C3860" s="10" t="n"/>
      <c r="D3860" s="10" t="n"/>
      <c r="E3860" s="14">
        <f>IF(D3860="","",IFERROR(INDEX('Sản phẩm'!$B$5:$B$304,MATCH(D3860,'Sản phẩm'!$A$5:$A$304,0)),""))</f>
        <v/>
      </c>
      <c r="F3860" s="12" t="n"/>
      <c r="G3860" s="11" t="n"/>
      <c r="H3860" s="11" t="n"/>
      <c r="I3860" s="16">
        <f>IF(D3860="","",IF(G3860&lt;&gt;"",G3860,IFERROR(INDEX('Sản phẩm'!$E$5:$E$304,MATCH(D3860,'Sản phẩm'!$A$5:$A$304,0)),"")))</f>
        <v/>
      </c>
      <c r="J3860" s="16">
        <f>IF(OR(D3860="",F3860=""),"",F3860*I3860-N(H3860))</f>
        <v/>
      </c>
      <c r="K3860" s="16">
        <f>IF(OR(D3860="",F3860=""),"",F3860*IFERROR(INDEX('Sản phẩm'!$D$5:$D$304,MATCH(D3860,'Sản phẩm'!$A$5:$A$304,0)),""))</f>
        <v/>
      </c>
      <c r="L3860" s="16">
        <f>IF(J3860="","",J3860-K3860)</f>
        <v/>
      </c>
      <c r="M3860" s="14">
        <f>IF(A3860="","",MONTH(A3860))</f>
        <v/>
      </c>
      <c r="N3860" s="14">
        <f>IF(A3860="","",YEAR(A3860))</f>
        <v/>
      </c>
    </row>
    <row r="3861">
      <c r="A3861" s="15" t="n"/>
      <c r="B3861" s="10" t="n"/>
      <c r="C3861" s="10" t="n"/>
      <c r="D3861" s="10" t="n"/>
      <c r="E3861" s="14">
        <f>IF(D3861="","",IFERROR(INDEX('Sản phẩm'!$B$5:$B$304,MATCH(D3861,'Sản phẩm'!$A$5:$A$304,0)),""))</f>
        <v/>
      </c>
      <c r="F3861" s="12" t="n"/>
      <c r="G3861" s="11" t="n"/>
      <c r="H3861" s="11" t="n"/>
      <c r="I3861" s="16">
        <f>IF(D3861="","",IF(G3861&lt;&gt;"",G3861,IFERROR(INDEX('Sản phẩm'!$E$5:$E$304,MATCH(D3861,'Sản phẩm'!$A$5:$A$304,0)),"")))</f>
        <v/>
      </c>
      <c r="J3861" s="16">
        <f>IF(OR(D3861="",F3861=""),"",F3861*I3861-N(H3861))</f>
        <v/>
      </c>
      <c r="K3861" s="16">
        <f>IF(OR(D3861="",F3861=""),"",F3861*IFERROR(INDEX('Sản phẩm'!$D$5:$D$304,MATCH(D3861,'Sản phẩm'!$A$5:$A$304,0)),""))</f>
        <v/>
      </c>
      <c r="L3861" s="16">
        <f>IF(J3861="","",J3861-K3861)</f>
        <v/>
      </c>
      <c r="M3861" s="14">
        <f>IF(A3861="","",MONTH(A3861))</f>
        <v/>
      </c>
      <c r="N3861" s="14">
        <f>IF(A3861="","",YEAR(A3861))</f>
        <v/>
      </c>
    </row>
    <row r="3862">
      <c r="A3862" s="15" t="n"/>
      <c r="B3862" s="10" t="n"/>
      <c r="C3862" s="10" t="n"/>
      <c r="D3862" s="10" t="n"/>
      <c r="E3862" s="14">
        <f>IF(D3862="","",IFERROR(INDEX('Sản phẩm'!$B$5:$B$304,MATCH(D3862,'Sản phẩm'!$A$5:$A$304,0)),""))</f>
        <v/>
      </c>
      <c r="F3862" s="12" t="n"/>
      <c r="G3862" s="11" t="n"/>
      <c r="H3862" s="11" t="n"/>
      <c r="I3862" s="16">
        <f>IF(D3862="","",IF(G3862&lt;&gt;"",G3862,IFERROR(INDEX('Sản phẩm'!$E$5:$E$304,MATCH(D3862,'Sản phẩm'!$A$5:$A$304,0)),"")))</f>
        <v/>
      </c>
      <c r="J3862" s="16">
        <f>IF(OR(D3862="",F3862=""),"",F3862*I3862-N(H3862))</f>
        <v/>
      </c>
      <c r="K3862" s="16">
        <f>IF(OR(D3862="",F3862=""),"",F3862*IFERROR(INDEX('Sản phẩm'!$D$5:$D$304,MATCH(D3862,'Sản phẩm'!$A$5:$A$304,0)),""))</f>
        <v/>
      </c>
      <c r="L3862" s="16">
        <f>IF(J3862="","",J3862-K3862)</f>
        <v/>
      </c>
      <c r="M3862" s="14">
        <f>IF(A3862="","",MONTH(A3862))</f>
        <v/>
      </c>
      <c r="N3862" s="14">
        <f>IF(A3862="","",YEAR(A3862))</f>
        <v/>
      </c>
    </row>
    <row r="3863">
      <c r="A3863" s="15" t="n"/>
      <c r="B3863" s="10" t="n"/>
      <c r="C3863" s="10" t="n"/>
      <c r="D3863" s="10" t="n"/>
      <c r="E3863" s="14">
        <f>IF(D3863="","",IFERROR(INDEX('Sản phẩm'!$B$5:$B$304,MATCH(D3863,'Sản phẩm'!$A$5:$A$304,0)),""))</f>
        <v/>
      </c>
      <c r="F3863" s="12" t="n"/>
      <c r="G3863" s="11" t="n"/>
      <c r="H3863" s="11" t="n"/>
      <c r="I3863" s="16">
        <f>IF(D3863="","",IF(G3863&lt;&gt;"",G3863,IFERROR(INDEX('Sản phẩm'!$E$5:$E$304,MATCH(D3863,'Sản phẩm'!$A$5:$A$304,0)),"")))</f>
        <v/>
      </c>
      <c r="J3863" s="16">
        <f>IF(OR(D3863="",F3863=""),"",F3863*I3863-N(H3863))</f>
        <v/>
      </c>
      <c r="K3863" s="16">
        <f>IF(OR(D3863="",F3863=""),"",F3863*IFERROR(INDEX('Sản phẩm'!$D$5:$D$304,MATCH(D3863,'Sản phẩm'!$A$5:$A$304,0)),""))</f>
        <v/>
      </c>
      <c r="L3863" s="16">
        <f>IF(J3863="","",J3863-K3863)</f>
        <v/>
      </c>
      <c r="M3863" s="14">
        <f>IF(A3863="","",MONTH(A3863))</f>
        <v/>
      </c>
      <c r="N3863" s="14">
        <f>IF(A3863="","",YEAR(A3863))</f>
        <v/>
      </c>
    </row>
    <row r="3864">
      <c r="A3864" s="15" t="n"/>
      <c r="B3864" s="10" t="n"/>
      <c r="C3864" s="10" t="n"/>
      <c r="D3864" s="10" t="n"/>
      <c r="E3864" s="14">
        <f>IF(D3864="","",IFERROR(INDEX('Sản phẩm'!$B$5:$B$304,MATCH(D3864,'Sản phẩm'!$A$5:$A$304,0)),""))</f>
        <v/>
      </c>
      <c r="F3864" s="12" t="n"/>
      <c r="G3864" s="11" t="n"/>
      <c r="H3864" s="11" t="n"/>
      <c r="I3864" s="16">
        <f>IF(D3864="","",IF(G3864&lt;&gt;"",G3864,IFERROR(INDEX('Sản phẩm'!$E$5:$E$304,MATCH(D3864,'Sản phẩm'!$A$5:$A$304,0)),"")))</f>
        <v/>
      </c>
      <c r="J3864" s="16">
        <f>IF(OR(D3864="",F3864=""),"",F3864*I3864-N(H3864))</f>
        <v/>
      </c>
      <c r="K3864" s="16">
        <f>IF(OR(D3864="",F3864=""),"",F3864*IFERROR(INDEX('Sản phẩm'!$D$5:$D$304,MATCH(D3864,'Sản phẩm'!$A$5:$A$304,0)),""))</f>
        <v/>
      </c>
      <c r="L3864" s="16">
        <f>IF(J3864="","",J3864-K3864)</f>
        <v/>
      </c>
      <c r="M3864" s="14">
        <f>IF(A3864="","",MONTH(A3864))</f>
        <v/>
      </c>
      <c r="N3864" s="14">
        <f>IF(A3864="","",YEAR(A3864))</f>
        <v/>
      </c>
    </row>
    <row r="3865">
      <c r="A3865" s="15" t="n"/>
      <c r="B3865" s="10" t="n"/>
      <c r="C3865" s="10" t="n"/>
      <c r="D3865" s="10" t="n"/>
      <c r="E3865" s="14">
        <f>IF(D3865="","",IFERROR(INDEX('Sản phẩm'!$B$5:$B$304,MATCH(D3865,'Sản phẩm'!$A$5:$A$304,0)),""))</f>
        <v/>
      </c>
      <c r="F3865" s="12" t="n"/>
      <c r="G3865" s="11" t="n"/>
      <c r="H3865" s="11" t="n"/>
      <c r="I3865" s="16">
        <f>IF(D3865="","",IF(G3865&lt;&gt;"",G3865,IFERROR(INDEX('Sản phẩm'!$E$5:$E$304,MATCH(D3865,'Sản phẩm'!$A$5:$A$304,0)),"")))</f>
        <v/>
      </c>
      <c r="J3865" s="16">
        <f>IF(OR(D3865="",F3865=""),"",F3865*I3865-N(H3865))</f>
        <v/>
      </c>
      <c r="K3865" s="16">
        <f>IF(OR(D3865="",F3865=""),"",F3865*IFERROR(INDEX('Sản phẩm'!$D$5:$D$304,MATCH(D3865,'Sản phẩm'!$A$5:$A$304,0)),""))</f>
        <v/>
      </c>
      <c r="L3865" s="16">
        <f>IF(J3865="","",J3865-K3865)</f>
        <v/>
      </c>
      <c r="M3865" s="14">
        <f>IF(A3865="","",MONTH(A3865))</f>
        <v/>
      </c>
      <c r="N3865" s="14">
        <f>IF(A3865="","",YEAR(A3865))</f>
        <v/>
      </c>
    </row>
    <row r="3866">
      <c r="A3866" s="15" t="n"/>
      <c r="B3866" s="10" t="n"/>
      <c r="C3866" s="10" t="n"/>
      <c r="D3866" s="10" t="n"/>
      <c r="E3866" s="14">
        <f>IF(D3866="","",IFERROR(INDEX('Sản phẩm'!$B$5:$B$304,MATCH(D3866,'Sản phẩm'!$A$5:$A$304,0)),""))</f>
        <v/>
      </c>
      <c r="F3866" s="12" t="n"/>
      <c r="G3866" s="11" t="n"/>
      <c r="H3866" s="11" t="n"/>
      <c r="I3866" s="16">
        <f>IF(D3866="","",IF(G3866&lt;&gt;"",G3866,IFERROR(INDEX('Sản phẩm'!$E$5:$E$304,MATCH(D3866,'Sản phẩm'!$A$5:$A$304,0)),"")))</f>
        <v/>
      </c>
      <c r="J3866" s="16">
        <f>IF(OR(D3866="",F3866=""),"",F3866*I3866-N(H3866))</f>
        <v/>
      </c>
      <c r="K3866" s="16">
        <f>IF(OR(D3866="",F3866=""),"",F3866*IFERROR(INDEX('Sản phẩm'!$D$5:$D$304,MATCH(D3866,'Sản phẩm'!$A$5:$A$304,0)),""))</f>
        <v/>
      </c>
      <c r="L3866" s="16">
        <f>IF(J3866="","",J3866-K3866)</f>
        <v/>
      </c>
      <c r="M3866" s="14">
        <f>IF(A3866="","",MONTH(A3866))</f>
        <v/>
      </c>
      <c r="N3866" s="14">
        <f>IF(A3866="","",YEAR(A3866))</f>
        <v/>
      </c>
    </row>
    <row r="3867">
      <c r="A3867" s="15" t="n"/>
      <c r="B3867" s="10" t="n"/>
      <c r="C3867" s="10" t="n"/>
      <c r="D3867" s="10" t="n"/>
      <c r="E3867" s="14">
        <f>IF(D3867="","",IFERROR(INDEX('Sản phẩm'!$B$5:$B$304,MATCH(D3867,'Sản phẩm'!$A$5:$A$304,0)),""))</f>
        <v/>
      </c>
      <c r="F3867" s="12" t="n"/>
      <c r="G3867" s="11" t="n"/>
      <c r="H3867" s="11" t="n"/>
      <c r="I3867" s="16">
        <f>IF(D3867="","",IF(G3867&lt;&gt;"",G3867,IFERROR(INDEX('Sản phẩm'!$E$5:$E$304,MATCH(D3867,'Sản phẩm'!$A$5:$A$304,0)),"")))</f>
        <v/>
      </c>
      <c r="J3867" s="16">
        <f>IF(OR(D3867="",F3867=""),"",F3867*I3867-N(H3867))</f>
        <v/>
      </c>
      <c r="K3867" s="16">
        <f>IF(OR(D3867="",F3867=""),"",F3867*IFERROR(INDEX('Sản phẩm'!$D$5:$D$304,MATCH(D3867,'Sản phẩm'!$A$5:$A$304,0)),""))</f>
        <v/>
      </c>
      <c r="L3867" s="16">
        <f>IF(J3867="","",J3867-K3867)</f>
        <v/>
      </c>
      <c r="M3867" s="14">
        <f>IF(A3867="","",MONTH(A3867))</f>
        <v/>
      </c>
      <c r="N3867" s="14">
        <f>IF(A3867="","",YEAR(A3867))</f>
        <v/>
      </c>
    </row>
    <row r="3868">
      <c r="A3868" s="15" t="n"/>
      <c r="B3868" s="10" t="n"/>
      <c r="C3868" s="10" t="n"/>
      <c r="D3868" s="10" t="n"/>
      <c r="E3868" s="14">
        <f>IF(D3868="","",IFERROR(INDEX('Sản phẩm'!$B$5:$B$304,MATCH(D3868,'Sản phẩm'!$A$5:$A$304,0)),""))</f>
        <v/>
      </c>
      <c r="F3868" s="12" t="n"/>
      <c r="G3868" s="11" t="n"/>
      <c r="H3868" s="11" t="n"/>
      <c r="I3868" s="16">
        <f>IF(D3868="","",IF(G3868&lt;&gt;"",G3868,IFERROR(INDEX('Sản phẩm'!$E$5:$E$304,MATCH(D3868,'Sản phẩm'!$A$5:$A$304,0)),"")))</f>
        <v/>
      </c>
      <c r="J3868" s="16">
        <f>IF(OR(D3868="",F3868=""),"",F3868*I3868-N(H3868))</f>
        <v/>
      </c>
      <c r="K3868" s="16">
        <f>IF(OR(D3868="",F3868=""),"",F3868*IFERROR(INDEX('Sản phẩm'!$D$5:$D$304,MATCH(D3868,'Sản phẩm'!$A$5:$A$304,0)),""))</f>
        <v/>
      </c>
      <c r="L3868" s="16">
        <f>IF(J3868="","",J3868-K3868)</f>
        <v/>
      </c>
      <c r="M3868" s="14">
        <f>IF(A3868="","",MONTH(A3868))</f>
        <v/>
      </c>
      <c r="N3868" s="14">
        <f>IF(A3868="","",YEAR(A3868))</f>
        <v/>
      </c>
    </row>
    <row r="3869">
      <c r="A3869" s="15" t="n"/>
      <c r="B3869" s="10" t="n"/>
      <c r="C3869" s="10" t="n"/>
      <c r="D3869" s="10" t="n"/>
      <c r="E3869" s="14">
        <f>IF(D3869="","",IFERROR(INDEX('Sản phẩm'!$B$5:$B$304,MATCH(D3869,'Sản phẩm'!$A$5:$A$304,0)),""))</f>
        <v/>
      </c>
      <c r="F3869" s="12" t="n"/>
      <c r="G3869" s="11" t="n"/>
      <c r="H3869" s="11" t="n"/>
      <c r="I3869" s="16">
        <f>IF(D3869="","",IF(G3869&lt;&gt;"",G3869,IFERROR(INDEX('Sản phẩm'!$E$5:$E$304,MATCH(D3869,'Sản phẩm'!$A$5:$A$304,0)),"")))</f>
        <v/>
      </c>
      <c r="J3869" s="16">
        <f>IF(OR(D3869="",F3869=""),"",F3869*I3869-N(H3869))</f>
        <v/>
      </c>
      <c r="K3869" s="16">
        <f>IF(OR(D3869="",F3869=""),"",F3869*IFERROR(INDEX('Sản phẩm'!$D$5:$D$304,MATCH(D3869,'Sản phẩm'!$A$5:$A$304,0)),""))</f>
        <v/>
      </c>
      <c r="L3869" s="16">
        <f>IF(J3869="","",J3869-K3869)</f>
        <v/>
      </c>
      <c r="M3869" s="14">
        <f>IF(A3869="","",MONTH(A3869))</f>
        <v/>
      </c>
      <c r="N3869" s="14">
        <f>IF(A3869="","",YEAR(A3869))</f>
        <v/>
      </c>
    </row>
    <row r="3870">
      <c r="A3870" s="15" t="n"/>
      <c r="B3870" s="10" t="n"/>
      <c r="C3870" s="10" t="n"/>
      <c r="D3870" s="10" t="n"/>
      <c r="E3870" s="14">
        <f>IF(D3870="","",IFERROR(INDEX('Sản phẩm'!$B$5:$B$304,MATCH(D3870,'Sản phẩm'!$A$5:$A$304,0)),""))</f>
        <v/>
      </c>
      <c r="F3870" s="12" t="n"/>
      <c r="G3870" s="11" t="n"/>
      <c r="H3870" s="11" t="n"/>
      <c r="I3870" s="16">
        <f>IF(D3870="","",IF(G3870&lt;&gt;"",G3870,IFERROR(INDEX('Sản phẩm'!$E$5:$E$304,MATCH(D3870,'Sản phẩm'!$A$5:$A$304,0)),"")))</f>
        <v/>
      </c>
      <c r="J3870" s="16">
        <f>IF(OR(D3870="",F3870=""),"",F3870*I3870-N(H3870))</f>
        <v/>
      </c>
      <c r="K3870" s="16">
        <f>IF(OR(D3870="",F3870=""),"",F3870*IFERROR(INDEX('Sản phẩm'!$D$5:$D$304,MATCH(D3870,'Sản phẩm'!$A$5:$A$304,0)),""))</f>
        <v/>
      </c>
      <c r="L3870" s="16">
        <f>IF(J3870="","",J3870-K3870)</f>
        <v/>
      </c>
      <c r="M3870" s="14">
        <f>IF(A3870="","",MONTH(A3870))</f>
        <v/>
      </c>
      <c r="N3870" s="14">
        <f>IF(A3870="","",YEAR(A3870))</f>
        <v/>
      </c>
    </row>
    <row r="3871">
      <c r="A3871" s="15" t="n"/>
      <c r="B3871" s="10" t="n"/>
      <c r="C3871" s="10" t="n"/>
      <c r="D3871" s="10" t="n"/>
      <c r="E3871" s="14">
        <f>IF(D3871="","",IFERROR(INDEX('Sản phẩm'!$B$5:$B$304,MATCH(D3871,'Sản phẩm'!$A$5:$A$304,0)),""))</f>
        <v/>
      </c>
      <c r="F3871" s="12" t="n"/>
      <c r="G3871" s="11" t="n"/>
      <c r="H3871" s="11" t="n"/>
      <c r="I3871" s="16">
        <f>IF(D3871="","",IF(G3871&lt;&gt;"",G3871,IFERROR(INDEX('Sản phẩm'!$E$5:$E$304,MATCH(D3871,'Sản phẩm'!$A$5:$A$304,0)),"")))</f>
        <v/>
      </c>
      <c r="J3871" s="16">
        <f>IF(OR(D3871="",F3871=""),"",F3871*I3871-N(H3871))</f>
        <v/>
      </c>
      <c r="K3871" s="16">
        <f>IF(OR(D3871="",F3871=""),"",F3871*IFERROR(INDEX('Sản phẩm'!$D$5:$D$304,MATCH(D3871,'Sản phẩm'!$A$5:$A$304,0)),""))</f>
        <v/>
      </c>
      <c r="L3871" s="16">
        <f>IF(J3871="","",J3871-K3871)</f>
        <v/>
      </c>
      <c r="M3871" s="14">
        <f>IF(A3871="","",MONTH(A3871))</f>
        <v/>
      </c>
      <c r="N3871" s="14">
        <f>IF(A3871="","",YEAR(A3871))</f>
        <v/>
      </c>
    </row>
    <row r="3872">
      <c r="A3872" s="15" t="n"/>
      <c r="B3872" s="10" t="n"/>
      <c r="C3872" s="10" t="n"/>
      <c r="D3872" s="10" t="n"/>
      <c r="E3872" s="14">
        <f>IF(D3872="","",IFERROR(INDEX('Sản phẩm'!$B$5:$B$304,MATCH(D3872,'Sản phẩm'!$A$5:$A$304,0)),""))</f>
        <v/>
      </c>
      <c r="F3872" s="12" t="n"/>
      <c r="G3872" s="11" t="n"/>
      <c r="H3872" s="11" t="n"/>
      <c r="I3872" s="16">
        <f>IF(D3872="","",IF(G3872&lt;&gt;"",G3872,IFERROR(INDEX('Sản phẩm'!$E$5:$E$304,MATCH(D3872,'Sản phẩm'!$A$5:$A$304,0)),"")))</f>
        <v/>
      </c>
      <c r="J3872" s="16">
        <f>IF(OR(D3872="",F3872=""),"",F3872*I3872-N(H3872))</f>
        <v/>
      </c>
      <c r="K3872" s="16">
        <f>IF(OR(D3872="",F3872=""),"",F3872*IFERROR(INDEX('Sản phẩm'!$D$5:$D$304,MATCH(D3872,'Sản phẩm'!$A$5:$A$304,0)),""))</f>
        <v/>
      </c>
      <c r="L3872" s="16">
        <f>IF(J3872="","",J3872-K3872)</f>
        <v/>
      </c>
      <c r="M3872" s="14">
        <f>IF(A3872="","",MONTH(A3872))</f>
        <v/>
      </c>
      <c r="N3872" s="14">
        <f>IF(A3872="","",YEAR(A3872))</f>
        <v/>
      </c>
    </row>
    <row r="3873">
      <c r="A3873" s="15" t="n"/>
      <c r="B3873" s="10" t="n"/>
      <c r="C3873" s="10" t="n"/>
      <c r="D3873" s="10" t="n"/>
      <c r="E3873" s="14">
        <f>IF(D3873="","",IFERROR(INDEX('Sản phẩm'!$B$5:$B$304,MATCH(D3873,'Sản phẩm'!$A$5:$A$304,0)),""))</f>
        <v/>
      </c>
      <c r="F3873" s="12" t="n"/>
      <c r="G3873" s="11" t="n"/>
      <c r="H3873" s="11" t="n"/>
      <c r="I3873" s="16">
        <f>IF(D3873="","",IF(G3873&lt;&gt;"",G3873,IFERROR(INDEX('Sản phẩm'!$E$5:$E$304,MATCH(D3873,'Sản phẩm'!$A$5:$A$304,0)),"")))</f>
        <v/>
      </c>
      <c r="J3873" s="16">
        <f>IF(OR(D3873="",F3873=""),"",F3873*I3873-N(H3873))</f>
        <v/>
      </c>
      <c r="K3873" s="16">
        <f>IF(OR(D3873="",F3873=""),"",F3873*IFERROR(INDEX('Sản phẩm'!$D$5:$D$304,MATCH(D3873,'Sản phẩm'!$A$5:$A$304,0)),""))</f>
        <v/>
      </c>
      <c r="L3873" s="16">
        <f>IF(J3873="","",J3873-K3873)</f>
        <v/>
      </c>
      <c r="M3873" s="14">
        <f>IF(A3873="","",MONTH(A3873))</f>
        <v/>
      </c>
      <c r="N3873" s="14">
        <f>IF(A3873="","",YEAR(A3873))</f>
        <v/>
      </c>
    </row>
    <row r="3874">
      <c r="A3874" s="15" t="n"/>
      <c r="B3874" s="10" t="n"/>
      <c r="C3874" s="10" t="n"/>
      <c r="D3874" s="10" t="n"/>
      <c r="E3874" s="14">
        <f>IF(D3874="","",IFERROR(INDEX('Sản phẩm'!$B$5:$B$304,MATCH(D3874,'Sản phẩm'!$A$5:$A$304,0)),""))</f>
        <v/>
      </c>
      <c r="F3874" s="12" t="n"/>
      <c r="G3874" s="11" t="n"/>
      <c r="H3874" s="11" t="n"/>
      <c r="I3874" s="16">
        <f>IF(D3874="","",IF(G3874&lt;&gt;"",G3874,IFERROR(INDEX('Sản phẩm'!$E$5:$E$304,MATCH(D3874,'Sản phẩm'!$A$5:$A$304,0)),"")))</f>
        <v/>
      </c>
      <c r="J3874" s="16">
        <f>IF(OR(D3874="",F3874=""),"",F3874*I3874-N(H3874))</f>
        <v/>
      </c>
      <c r="K3874" s="16">
        <f>IF(OR(D3874="",F3874=""),"",F3874*IFERROR(INDEX('Sản phẩm'!$D$5:$D$304,MATCH(D3874,'Sản phẩm'!$A$5:$A$304,0)),""))</f>
        <v/>
      </c>
      <c r="L3874" s="16">
        <f>IF(J3874="","",J3874-K3874)</f>
        <v/>
      </c>
      <c r="M3874" s="14">
        <f>IF(A3874="","",MONTH(A3874))</f>
        <v/>
      </c>
      <c r="N3874" s="14">
        <f>IF(A3874="","",YEAR(A3874))</f>
        <v/>
      </c>
    </row>
    <row r="3875">
      <c r="A3875" s="15" t="n"/>
      <c r="B3875" s="10" t="n"/>
      <c r="C3875" s="10" t="n"/>
      <c r="D3875" s="10" t="n"/>
      <c r="E3875" s="14">
        <f>IF(D3875="","",IFERROR(INDEX('Sản phẩm'!$B$5:$B$304,MATCH(D3875,'Sản phẩm'!$A$5:$A$304,0)),""))</f>
        <v/>
      </c>
      <c r="F3875" s="12" t="n"/>
      <c r="G3875" s="11" t="n"/>
      <c r="H3875" s="11" t="n"/>
      <c r="I3875" s="16">
        <f>IF(D3875="","",IF(G3875&lt;&gt;"",G3875,IFERROR(INDEX('Sản phẩm'!$E$5:$E$304,MATCH(D3875,'Sản phẩm'!$A$5:$A$304,0)),"")))</f>
        <v/>
      </c>
      <c r="J3875" s="16">
        <f>IF(OR(D3875="",F3875=""),"",F3875*I3875-N(H3875))</f>
        <v/>
      </c>
      <c r="K3875" s="16">
        <f>IF(OR(D3875="",F3875=""),"",F3875*IFERROR(INDEX('Sản phẩm'!$D$5:$D$304,MATCH(D3875,'Sản phẩm'!$A$5:$A$304,0)),""))</f>
        <v/>
      </c>
      <c r="L3875" s="16">
        <f>IF(J3875="","",J3875-K3875)</f>
        <v/>
      </c>
      <c r="M3875" s="14">
        <f>IF(A3875="","",MONTH(A3875))</f>
        <v/>
      </c>
      <c r="N3875" s="14">
        <f>IF(A3875="","",YEAR(A3875))</f>
        <v/>
      </c>
    </row>
    <row r="3876">
      <c r="A3876" s="15" t="n"/>
      <c r="B3876" s="10" t="n"/>
      <c r="C3876" s="10" t="n"/>
      <c r="D3876" s="10" t="n"/>
      <c r="E3876" s="14">
        <f>IF(D3876="","",IFERROR(INDEX('Sản phẩm'!$B$5:$B$304,MATCH(D3876,'Sản phẩm'!$A$5:$A$304,0)),""))</f>
        <v/>
      </c>
      <c r="F3876" s="12" t="n"/>
      <c r="G3876" s="11" t="n"/>
      <c r="H3876" s="11" t="n"/>
      <c r="I3876" s="16">
        <f>IF(D3876="","",IF(G3876&lt;&gt;"",G3876,IFERROR(INDEX('Sản phẩm'!$E$5:$E$304,MATCH(D3876,'Sản phẩm'!$A$5:$A$304,0)),"")))</f>
        <v/>
      </c>
      <c r="J3876" s="16">
        <f>IF(OR(D3876="",F3876=""),"",F3876*I3876-N(H3876))</f>
        <v/>
      </c>
      <c r="K3876" s="16">
        <f>IF(OR(D3876="",F3876=""),"",F3876*IFERROR(INDEX('Sản phẩm'!$D$5:$D$304,MATCH(D3876,'Sản phẩm'!$A$5:$A$304,0)),""))</f>
        <v/>
      </c>
      <c r="L3876" s="16">
        <f>IF(J3876="","",J3876-K3876)</f>
        <v/>
      </c>
      <c r="M3876" s="14">
        <f>IF(A3876="","",MONTH(A3876))</f>
        <v/>
      </c>
      <c r="N3876" s="14">
        <f>IF(A3876="","",YEAR(A3876))</f>
        <v/>
      </c>
    </row>
    <row r="3877">
      <c r="A3877" s="15" t="n"/>
      <c r="B3877" s="10" t="n"/>
      <c r="C3877" s="10" t="n"/>
      <c r="D3877" s="10" t="n"/>
      <c r="E3877" s="14">
        <f>IF(D3877="","",IFERROR(INDEX('Sản phẩm'!$B$5:$B$304,MATCH(D3877,'Sản phẩm'!$A$5:$A$304,0)),""))</f>
        <v/>
      </c>
      <c r="F3877" s="12" t="n"/>
      <c r="G3877" s="11" t="n"/>
      <c r="H3877" s="11" t="n"/>
      <c r="I3877" s="16">
        <f>IF(D3877="","",IF(G3877&lt;&gt;"",G3877,IFERROR(INDEX('Sản phẩm'!$E$5:$E$304,MATCH(D3877,'Sản phẩm'!$A$5:$A$304,0)),"")))</f>
        <v/>
      </c>
      <c r="J3877" s="16">
        <f>IF(OR(D3877="",F3877=""),"",F3877*I3877-N(H3877))</f>
        <v/>
      </c>
      <c r="K3877" s="16">
        <f>IF(OR(D3877="",F3877=""),"",F3877*IFERROR(INDEX('Sản phẩm'!$D$5:$D$304,MATCH(D3877,'Sản phẩm'!$A$5:$A$304,0)),""))</f>
        <v/>
      </c>
      <c r="L3877" s="16">
        <f>IF(J3877="","",J3877-K3877)</f>
        <v/>
      </c>
      <c r="M3877" s="14">
        <f>IF(A3877="","",MONTH(A3877))</f>
        <v/>
      </c>
      <c r="N3877" s="14">
        <f>IF(A3877="","",YEAR(A3877))</f>
        <v/>
      </c>
    </row>
    <row r="3878">
      <c r="A3878" s="15" t="n"/>
      <c r="B3878" s="10" t="n"/>
      <c r="C3878" s="10" t="n"/>
      <c r="D3878" s="10" t="n"/>
      <c r="E3878" s="14">
        <f>IF(D3878="","",IFERROR(INDEX('Sản phẩm'!$B$5:$B$304,MATCH(D3878,'Sản phẩm'!$A$5:$A$304,0)),""))</f>
        <v/>
      </c>
      <c r="F3878" s="12" t="n"/>
      <c r="G3878" s="11" t="n"/>
      <c r="H3878" s="11" t="n"/>
      <c r="I3878" s="16">
        <f>IF(D3878="","",IF(G3878&lt;&gt;"",G3878,IFERROR(INDEX('Sản phẩm'!$E$5:$E$304,MATCH(D3878,'Sản phẩm'!$A$5:$A$304,0)),"")))</f>
        <v/>
      </c>
      <c r="J3878" s="16">
        <f>IF(OR(D3878="",F3878=""),"",F3878*I3878-N(H3878))</f>
        <v/>
      </c>
      <c r="K3878" s="16">
        <f>IF(OR(D3878="",F3878=""),"",F3878*IFERROR(INDEX('Sản phẩm'!$D$5:$D$304,MATCH(D3878,'Sản phẩm'!$A$5:$A$304,0)),""))</f>
        <v/>
      </c>
      <c r="L3878" s="16">
        <f>IF(J3878="","",J3878-K3878)</f>
        <v/>
      </c>
      <c r="M3878" s="14">
        <f>IF(A3878="","",MONTH(A3878))</f>
        <v/>
      </c>
      <c r="N3878" s="14">
        <f>IF(A3878="","",YEAR(A3878))</f>
        <v/>
      </c>
    </row>
    <row r="3879">
      <c r="A3879" s="15" t="n"/>
      <c r="B3879" s="10" t="n"/>
      <c r="C3879" s="10" t="n"/>
      <c r="D3879" s="10" t="n"/>
      <c r="E3879" s="14">
        <f>IF(D3879="","",IFERROR(INDEX('Sản phẩm'!$B$5:$B$304,MATCH(D3879,'Sản phẩm'!$A$5:$A$304,0)),""))</f>
        <v/>
      </c>
      <c r="F3879" s="12" t="n"/>
      <c r="G3879" s="11" t="n"/>
      <c r="H3879" s="11" t="n"/>
      <c r="I3879" s="16">
        <f>IF(D3879="","",IF(G3879&lt;&gt;"",G3879,IFERROR(INDEX('Sản phẩm'!$E$5:$E$304,MATCH(D3879,'Sản phẩm'!$A$5:$A$304,0)),"")))</f>
        <v/>
      </c>
      <c r="J3879" s="16">
        <f>IF(OR(D3879="",F3879=""),"",F3879*I3879-N(H3879))</f>
        <v/>
      </c>
      <c r="K3879" s="16">
        <f>IF(OR(D3879="",F3879=""),"",F3879*IFERROR(INDEX('Sản phẩm'!$D$5:$D$304,MATCH(D3879,'Sản phẩm'!$A$5:$A$304,0)),""))</f>
        <v/>
      </c>
      <c r="L3879" s="16">
        <f>IF(J3879="","",J3879-K3879)</f>
        <v/>
      </c>
      <c r="M3879" s="14">
        <f>IF(A3879="","",MONTH(A3879))</f>
        <v/>
      </c>
      <c r="N3879" s="14">
        <f>IF(A3879="","",YEAR(A3879))</f>
        <v/>
      </c>
    </row>
    <row r="3880">
      <c r="A3880" s="15" t="n"/>
      <c r="B3880" s="10" t="n"/>
      <c r="C3880" s="10" t="n"/>
      <c r="D3880" s="10" t="n"/>
      <c r="E3880" s="14">
        <f>IF(D3880="","",IFERROR(INDEX('Sản phẩm'!$B$5:$B$304,MATCH(D3880,'Sản phẩm'!$A$5:$A$304,0)),""))</f>
        <v/>
      </c>
      <c r="F3880" s="12" t="n"/>
      <c r="G3880" s="11" t="n"/>
      <c r="H3880" s="11" t="n"/>
      <c r="I3880" s="16">
        <f>IF(D3880="","",IF(G3880&lt;&gt;"",G3880,IFERROR(INDEX('Sản phẩm'!$E$5:$E$304,MATCH(D3880,'Sản phẩm'!$A$5:$A$304,0)),"")))</f>
        <v/>
      </c>
      <c r="J3880" s="16">
        <f>IF(OR(D3880="",F3880=""),"",F3880*I3880-N(H3880))</f>
        <v/>
      </c>
      <c r="K3880" s="16">
        <f>IF(OR(D3880="",F3880=""),"",F3880*IFERROR(INDEX('Sản phẩm'!$D$5:$D$304,MATCH(D3880,'Sản phẩm'!$A$5:$A$304,0)),""))</f>
        <v/>
      </c>
      <c r="L3880" s="16">
        <f>IF(J3880="","",J3880-K3880)</f>
        <v/>
      </c>
      <c r="M3880" s="14">
        <f>IF(A3880="","",MONTH(A3880))</f>
        <v/>
      </c>
      <c r="N3880" s="14">
        <f>IF(A3880="","",YEAR(A3880))</f>
        <v/>
      </c>
    </row>
    <row r="3881">
      <c r="A3881" s="15" t="n"/>
      <c r="B3881" s="10" t="n"/>
      <c r="C3881" s="10" t="n"/>
      <c r="D3881" s="10" t="n"/>
      <c r="E3881" s="14">
        <f>IF(D3881="","",IFERROR(INDEX('Sản phẩm'!$B$5:$B$304,MATCH(D3881,'Sản phẩm'!$A$5:$A$304,0)),""))</f>
        <v/>
      </c>
      <c r="F3881" s="12" t="n"/>
      <c r="G3881" s="11" t="n"/>
      <c r="H3881" s="11" t="n"/>
      <c r="I3881" s="16">
        <f>IF(D3881="","",IF(G3881&lt;&gt;"",G3881,IFERROR(INDEX('Sản phẩm'!$E$5:$E$304,MATCH(D3881,'Sản phẩm'!$A$5:$A$304,0)),"")))</f>
        <v/>
      </c>
      <c r="J3881" s="16">
        <f>IF(OR(D3881="",F3881=""),"",F3881*I3881-N(H3881))</f>
        <v/>
      </c>
      <c r="K3881" s="16">
        <f>IF(OR(D3881="",F3881=""),"",F3881*IFERROR(INDEX('Sản phẩm'!$D$5:$D$304,MATCH(D3881,'Sản phẩm'!$A$5:$A$304,0)),""))</f>
        <v/>
      </c>
      <c r="L3881" s="16">
        <f>IF(J3881="","",J3881-K3881)</f>
        <v/>
      </c>
      <c r="M3881" s="14">
        <f>IF(A3881="","",MONTH(A3881))</f>
        <v/>
      </c>
      <c r="N3881" s="14">
        <f>IF(A3881="","",YEAR(A3881))</f>
        <v/>
      </c>
    </row>
    <row r="3882">
      <c r="A3882" s="15" t="n"/>
      <c r="B3882" s="10" t="n"/>
      <c r="C3882" s="10" t="n"/>
      <c r="D3882" s="10" t="n"/>
      <c r="E3882" s="14">
        <f>IF(D3882="","",IFERROR(INDEX('Sản phẩm'!$B$5:$B$304,MATCH(D3882,'Sản phẩm'!$A$5:$A$304,0)),""))</f>
        <v/>
      </c>
      <c r="F3882" s="12" t="n"/>
      <c r="G3882" s="11" t="n"/>
      <c r="H3882" s="11" t="n"/>
      <c r="I3882" s="16">
        <f>IF(D3882="","",IF(G3882&lt;&gt;"",G3882,IFERROR(INDEX('Sản phẩm'!$E$5:$E$304,MATCH(D3882,'Sản phẩm'!$A$5:$A$304,0)),"")))</f>
        <v/>
      </c>
      <c r="J3882" s="16">
        <f>IF(OR(D3882="",F3882=""),"",F3882*I3882-N(H3882))</f>
        <v/>
      </c>
      <c r="K3882" s="16">
        <f>IF(OR(D3882="",F3882=""),"",F3882*IFERROR(INDEX('Sản phẩm'!$D$5:$D$304,MATCH(D3882,'Sản phẩm'!$A$5:$A$304,0)),""))</f>
        <v/>
      </c>
      <c r="L3882" s="16">
        <f>IF(J3882="","",J3882-K3882)</f>
        <v/>
      </c>
      <c r="M3882" s="14">
        <f>IF(A3882="","",MONTH(A3882))</f>
        <v/>
      </c>
      <c r="N3882" s="14">
        <f>IF(A3882="","",YEAR(A3882))</f>
        <v/>
      </c>
    </row>
    <row r="3883">
      <c r="A3883" s="15" t="n"/>
      <c r="B3883" s="10" t="n"/>
      <c r="C3883" s="10" t="n"/>
      <c r="D3883" s="10" t="n"/>
      <c r="E3883" s="14">
        <f>IF(D3883="","",IFERROR(INDEX('Sản phẩm'!$B$5:$B$304,MATCH(D3883,'Sản phẩm'!$A$5:$A$304,0)),""))</f>
        <v/>
      </c>
      <c r="F3883" s="12" t="n"/>
      <c r="G3883" s="11" t="n"/>
      <c r="H3883" s="11" t="n"/>
      <c r="I3883" s="16">
        <f>IF(D3883="","",IF(G3883&lt;&gt;"",G3883,IFERROR(INDEX('Sản phẩm'!$E$5:$E$304,MATCH(D3883,'Sản phẩm'!$A$5:$A$304,0)),"")))</f>
        <v/>
      </c>
      <c r="J3883" s="16">
        <f>IF(OR(D3883="",F3883=""),"",F3883*I3883-N(H3883))</f>
        <v/>
      </c>
      <c r="K3883" s="16">
        <f>IF(OR(D3883="",F3883=""),"",F3883*IFERROR(INDEX('Sản phẩm'!$D$5:$D$304,MATCH(D3883,'Sản phẩm'!$A$5:$A$304,0)),""))</f>
        <v/>
      </c>
      <c r="L3883" s="16">
        <f>IF(J3883="","",J3883-K3883)</f>
        <v/>
      </c>
      <c r="M3883" s="14">
        <f>IF(A3883="","",MONTH(A3883))</f>
        <v/>
      </c>
      <c r="N3883" s="14">
        <f>IF(A3883="","",YEAR(A3883))</f>
        <v/>
      </c>
    </row>
    <row r="3884">
      <c r="A3884" s="15" t="n"/>
      <c r="B3884" s="10" t="n"/>
      <c r="C3884" s="10" t="n"/>
      <c r="D3884" s="10" t="n"/>
      <c r="E3884" s="14">
        <f>IF(D3884="","",IFERROR(INDEX('Sản phẩm'!$B$5:$B$304,MATCH(D3884,'Sản phẩm'!$A$5:$A$304,0)),""))</f>
        <v/>
      </c>
      <c r="F3884" s="12" t="n"/>
      <c r="G3884" s="11" t="n"/>
      <c r="H3884" s="11" t="n"/>
      <c r="I3884" s="16">
        <f>IF(D3884="","",IF(G3884&lt;&gt;"",G3884,IFERROR(INDEX('Sản phẩm'!$E$5:$E$304,MATCH(D3884,'Sản phẩm'!$A$5:$A$304,0)),"")))</f>
        <v/>
      </c>
      <c r="J3884" s="16">
        <f>IF(OR(D3884="",F3884=""),"",F3884*I3884-N(H3884))</f>
        <v/>
      </c>
      <c r="K3884" s="16">
        <f>IF(OR(D3884="",F3884=""),"",F3884*IFERROR(INDEX('Sản phẩm'!$D$5:$D$304,MATCH(D3884,'Sản phẩm'!$A$5:$A$304,0)),""))</f>
        <v/>
      </c>
      <c r="L3884" s="16">
        <f>IF(J3884="","",J3884-K3884)</f>
        <v/>
      </c>
      <c r="M3884" s="14">
        <f>IF(A3884="","",MONTH(A3884))</f>
        <v/>
      </c>
      <c r="N3884" s="14">
        <f>IF(A3884="","",YEAR(A3884))</f>
        <v/>
      </c>
    </row>
    <row r="3885">
      <c r="A3885" s="15" t="n"/>
      <c r="B3885" s="10" t="n"/>
      <c r="C3885" s="10" t="n"/>
      <c r="D3885" s="10" t="n"/>
      <c r="E3885" s="14">
        <f>IF(D3885="","",IFERROR(INDEX('Sản phẩm'!$B$5:$B$304,MATCH(D3885,'Sản phẩm'!$A$5:$A$304,0)),""))</f>
        <v/>
      </c>
      <c r="F3885" s="12" t="n"/>
      <c r="G3885" s="11" t="n"/>
      <c r="H3885" s="11" t="n"/>
      <c r="I3885" s="16">
        <f>IF(D3885="","",IF(G3885&lt;&gt;"",G3885,IFERROR(INDEX('Sản phẩm'!$E$5:$E$304,MATCH(D3885,'Sản phẩm'!$A$5:$A$304,0)),"")))</f>
        <v/>
      </c>
      <c r="J3885" s="16">
        <f>IF(OR(D3885="",F3885=""),"",F3885*I3885-N(H3885))</f>
        <v/>
      </c>
      <c r="K3885" s="16">
        <f>IF(OR(D3885="",F3885=""),"",F3885*IFERROR(INDEX('Sản phẩm'!$D$5:$D$304,MATCH(D3885,'Sản phẩm'!$A$5:$A$304,0)),""))</f>
        <v/>
      </c>
      <c r="L3885" s="16">
        <f>IF(J3885="","",J3885-K3885)</f>
        <v/>
      </c>
      <c r="M3885" s="14">
        <f>IF(A3885="","",MONTH(A3885))</f>
        <v/>
      </c>
      <c r="N3885" s="14">
        <f>IF(A3885="","",YEAR(A3885))</f>
        <v/>
      </c>
    </row>
    <row r="3886">
      <c r="A3886" s="15" t="n"/>
      <c r="B3886" s="10" t="n"/>
      <c r="C3886" s="10" t="n"/>
      <c r="D3886" s="10" t="n"/>
      <c r="E3886" s="14">
        <f>IF(D3886="","",IFERROR(INDEX('Sản phẩm'!$B$5:$B$304,MATCH(D3886,'Sản phẩm'!$A$5:$A$304,0)),""))</f>
        <v/>
      </c>
      <c r="F3886" s="12" t="n"/>
      <c r="G3886" s="11" t="n"/>
      <c r="H3886" s="11" t="n"/>
      <c r="I3886" s="16">
        <f>IF(D3886="","",IF(G3886&lt;&gt;"",G3886,IFERROR(INDEX('Sản phẩm'!$E$5:$E$304,MATCH(D3886,'Sản phẩm'!$A$5:$A$304,0)),"")))</f>
        <v/>
      </c>
      <c r="J3886" s="16">
        <f>IF(OR(D3886="",F3886=""),"",F3886*I3886-N(H3886))</f>
        <v/>
      </c>
      <c r="K3886" s="16">
        <f>IF(OR(D3886="",F3886=""),"",F3886*IFERROR(INDEX('Sản phẩm'!$D$5:$D$304,MATCH(D3886,'Sản phẩm'!$A$5:$A$304,0)),""))</f>
        <v/>
      </c>
      <c r="L3886" s="16">
        <f>IF(J3886="","",J3886-K3886)</f>
        <v/>
      </c>
      <c r="M3886" s="14">
        <f>IF(A3886="","",MONTH(A3886))</f>
        <v/>
      </c>
      <c r="N3886" s="14">
        <f>IF(A3886="","",YEAR(A3886))</f>
        <v/>
      </c>
    </row>
    <row r="3887">
      <c r="A3887" s="15" t="n"/>
      <c r="B3887" s="10" t="n"/>
      <c r="C3887" s="10" t="n"/>
      <c r="D3887" s="10" t="n"/>
      <c r="E3887" s="14">
        <f>IF(D3887="","",IFERROR(INDEX('Sản phẩm'!$B$5:$B$304,MATCH(D3887,'Sản phẩm'!$A$5:$A$304,0)),""))</f>
        <v/>
      </c>
      <c r="F3887" s="12" t="n"/>
      <c r="G3887" s="11" t="n"/>
      <c r="H3887" s="11" t="n"/>
      <c r="I3887" s="16">
        <f>IF(D3887="","",IF(G3887&lt;&gt;"",G3887,IFERROR(INDEX('Sản phẩm'!$E$5:$E$304,MATCH(D3887,'Sản phẩm'!$A$5:$A$304,0)),"")))</f>
        <v/>
      </c>
      <c r="J3887" s="16">
        <f>IF(OR(D3887="",F3887=""),"",F3887*I3887-N(H3887))</f>
        <v/>
      </c>
      <c r="K3887" s="16">
        <f>IF(OR(D3887="",F3887=""),"",F3887*IFERROR(INDEX('Sản phẩm'!$D$5:$D$304,MATCH(D3887,'Sản phẩm'!$A$5:$A$304,0)),""))</f>
        <v/>
      </c>
      <c r="L3887" s="16">
        <f>IF(J3887="","",J3887-K3887)</f>
        <v/>
      </c>
      <c r="M3887" s="14">
        <f>IF(A3887="","",MONTH(A3887))</f>
        <v/>
      </c>
      <c r="N3887" s="14">
        <f>IF(A3887="","",YEAR(A3887))</f>
        <v/>
      </c>
    </row>
    <row r="3888">
      <c r="A3888" s="15" t="n"/>
      <c r="B3888" s="10" t="n"/>
      <c r="C3888" s="10" t="n"/>
      <c r="D3888" s="10" t="n"/>
      <c r="E3888" s="14">
        <f>IF(D3888="","",IFERROR(INDEX('Sản phẩm'!$B$5:$B$304,MATCH(D3888,'Sản phẩm'!$A$5:$A$304,0)),""))</f>
        <v/>
      </c>
      <c r="F3888" s="12" t="n"/>
      <c r="G3888" s="11" t="n"/>
      <c r="H3888" s="11" t="n"/>
      <c r="I3888" s="16">
        <f>IF(D3888="","",IF(G3888&lt;&gt;"",G3888,IFERROR(INDEX('Sản phẩm'!$E$5:$E$304,MATCH(D3888,'Sản phẩm'!$A$5:$A$304,0)),"")))</f>
        <v/>
      </c>
      <c r="J3888" s="16">
        <f>IF(OR(D3888="",F3888=""),"",F3888*I3888-N(H3888))</f>
        <v/>
      </c>
      <c r="K3888" s="16">
        <f>IF(OR(D3888="",F3888=""),"",F3888*IFERROR(INDEX('Sản phẩm'!$D$5:$D$304,MATCH(D3888,'Sản phẩm'!$A$5:$A$304,0)),""))</f>
        <v/>
      </c>
      <c r="L3888" s="16">
        <f>IF(J3888="","",J3888-K3888)</f>
        <v/>
      </c>
      <c r="M3888" s="14">
        <f>IF(A3888="","",MONTH(A3888))</f>
        <v/>
      </c>
      <c r="N3888" s="14">
        <f>IF(A3888="","",YEAR(A3888))</f>
        <v/>
      </c>
    </row>
    <row r="3889">
      <c r="A3889" s="15" t="n"/>
      <c r="B3889" s="10" t="n"/>
      <c r="C3889" s="10" t="n"/>
      <c r="D3889" s="10" t="n"/>
      <c r="E3889" s="14">
        <f>IF(D3889="","",IFERROR(INDEX('Sản phẩm'!$B$5:$B$304,MATCH(D3889,'Sản phẩm'!$A$5:$A$304,0)),""))</f>
        <v/>
      </c>
      <c r="F3889" s="12" t="n"/>
      <c r="G3889" s="11" t="n"/>
      <c r="H3889" s="11" t="n"/>
      <c r="I3889" s="16">
        <f>IF(D3889="","",IF(G3889&lt;&gt;"",G3889,IFERROR(INDEX('Sản phẩm'!$E$5:$E$304,MATCH(D3889,'Sản phẩm'!$A$5:$A$304,0)),"")))</f>
        <v/>
      </c>
      <c r="J3889" s="16">
        <f>IF(OR(D3889="",F3889=""),"",F3889*I3889-N(H3889))</f>
        <v/>
      </c>
      <c r="K3889" s="16">
        <f>IF(OR(D3889="",F3889=""),"",F3889*IFERROR(INDEX('Sản phẩm'!$D$5:$D$304,MATCH(D3889,'Sản phẩm'!$A$5:$A$304,0)),""))</f>
        <v/>
      </c>
      <c r="L3889" s="16">
        <f>IF(J3889="","",J3889-K3889)</f>
        <v/>
      </c>
      <c r="M3889" s="14">
        <f>IF(A3889="","",MONTH(A3889))</f>
        <v/>
      </c>
      <c r="N3889" s="14">
        <f>IF(A3889="","",YEAR(A3889))</f>
        <v/>
      </c>
    </row>
    <row r="3890">
      <c r="A3890" s="15" t="n"/>
      <c r="B3890" s="10" t="n"/>
      <c r="C3890" s="10" t="n"/>
      <c r="D3890" s="10" t="n"/>
      <c r="E3890" s="14">
        <f>IF(D3890="","",IFERROR(INDEX('Sản phẩm'!$B$5:$B$304,MATCH(D3890,'Sản phẩm'!$A$5:$A$304,0)),""))</f>
        <v/>
      </c>
      <c r="F3890" s="12" t="n"/>
      <c r="G3890" s="11" t="n"/>
      <c r="H3890" s="11" t="n"/>
      <c r="I3890" s="16">
        <f>IF(D3890="","",IF(G3890&lt;&gt;"",G3890,IFERROR(INDEX('Sản phẩm'!$E$5:$E$304,MATCH(D3890,'Sản phẩm'!$A$5:$A$304,0)),"")))</f>
        <v/>
      </c>
      <c r="J3890" s="16">
        <f>IF(OR(D3890="",F3890=""),"",F3890*I3890-N(H3890))</f>
        <v/>
      </c>
      <c r="K3890" s="16">
        <f>IF(OR(D3890="",F3890=""),"",F3890*IFERROR(INDEX('Sản phẩm'!$D$5:$D$304,MATCH(D3890,'Sản phẩm'!$A$5:$A$304,0)),""))</f>
        <v/>
      </c>
      <c r="L3890" s="16">
        <f>IF(J3890="","",J3890-K3890)</f>
        <v/>
      </c>
      <c r="M3890" s="14">
        <f>IF(A3890="","",MONTH(A3890))</f>
        <v/>
      </c>
      <c r="N3890" s="14">
        <f>IF(A3890="","",YEAR(A3890))</f>
        <v/>
      </c>
    </row>
    <row r="3891">
      <c r="A3891" s="15" t="n"/>
      <c r="B3891" s="10" t="n"/>
      <c r="C3891" s="10" t="n"/>
      <c r="D3891" s="10" t="n"/>
      <c r="E3891" s="14">
        <f>IF(D3891="","",IFERROR(INDEX('Sản phẩm'!$B$5:$B$304,MATCH(D3891,'Sản phẩm'!$A$5:$A$304,0)),""))</f>
        <v/>
      </c>
      <c r="F3891" s="12" t="n"/>
      <c r="G3891" s="11" t="n"/>
      <c r="H3891" s="11" t="n"/>
      <c r="I3891" s="16">
        <f>IF(D3891="","",IF(G3891&lt;&gt;"",G3891,IFERROR(INDEX('Sản phẩm'!$E$5:$E$304,MATCH(D3891,'Sản phẩm'!$A$5:$A$304,0)),"")))</f>
        <v/>
      </c>
      <c r="J3891" s="16">
        <f>IF(OR(D3891="",F3891=""),"",F3891*I3891-N(H3891))</f>
        <v/>
      </c>
      <c r="K3891" s="16">
        <f>IF(OR(D3891="",F3891=""),"",F3891*IFERROR(INDEX('Sản phẩm'!$D$5:$D$304,MATCH(D3891,'Sản phẩm'!$A$5:$A$304,0)),""))</f>
        <v/>
      </c>
      <c r="L3891" s="16">
        <f>IF(J3891="","",J3891-K3891)</f>
        <v/>
      </c>
      <c r="M3891" s="14">
        <f>IF(A3891="","",MONTH(A3891))</f>
        <v/>
      </c>
      <c r="N3891" s="14">
        <f>IF(A3891="","",YEAR(A3891))</f>
        <v/>
      </c>
    </row>
    <row r="3892">
      <c r="A3892" s="15" t="n"/>
      <c r="B3892" s="10" t="n"/>
      <c r="C3892" s="10" t="n"/>
      <c r="D3892" s="10" t="n"/>
      <c r="E3892" s="14">
        <f>IF(D3892="","",IFERROR(INDEX('Sản phẩm'!$B$5:$B$304,MATCH(D3892,'Sản phẩm'!$A$5:$A$304,0)),""))</f>
        <v/>
      </c>
      <c r="F3892" s="12" t="n"/>
      <c r="G3892" s="11" t="n"/>
      <c r="H3892" s="11" t="n"/>
      <c r="I3892" s="16">
        <f>IF(D3892="","",IF(G3892&lt;&gt;"",G3892,IFERROR(INDEX('Sản phẩm'!$E$5:$E$304,MATCH(D3892,'Sản phẩm'!$A$5:$A$304,0)),"")))</f>
        <v/>
      </c>
      <c r="J3892" s="16">
        <f>IF(OR(D3892="",F3892=""),"",F3892*I3892-N(H3892))</f>
        <v/>
      </c>
      <c r="K3892" s="16">
        <f>IF(OR(D3892="",F3892=""),"",F3892*IFERROR(INDEX('Sản phẩm'!$D$5:$D$304,MATCH(D3892,'Sản phẩm'!$A$5:$A$304,0)),""))</f>
        <v/>
      </c>
      <c r="L3892" s="16">
        <f>IF(J3892="","",J3892-K3892)</f>
        <v/>
      </c>
      <c r="M3892" s="14">
        <f>IF(A3892="","",MONTH(A3892))</f>
        <v/>
      </c>
      <c r="N3892" s="14">
        <f>IF(A3892="","",YEAR(A3892))</f>
        <v/>
      </c>
    </row>
    <row r="3893">
      <c r="A3893" s="15" t="n"/>
      <c r="B3893" s="10" t="n"/>
      <c r="C3893" s="10" t="n"/>
      <c r="D3893" s="10" t="n"/>
      <c r="E3893" s="14">
        <f>IF(D3893="","",IFERROR(INDEX('Sản phẩm'!$B$5:$B$304,MATCH(D3893,'Sản phẩm'!$A$5:$A$304,0)),""))</f>
        <v/>
      </c>
      <c r="F3893" s="12" t="n"/>
      <c r="G3893" s="11" t="n"/>
      <c r="H3893" s="11" t="n"/>
      <c r="I3893" s="16">
        <f>IF(D3893="","",IF(G3893&lt;&gt;"",G3893,IFERROR(INDEX('Sản phẩm'!$E$5:$E$304,MATCH(D3893,'Sản phẩm'!$A$5:$A$304,0)),"")))</f>
        <v/>
      </c>
      <c r="J3893" s="16">
        <f>IF(OR(D3893="",F3893=""),"",F3893*I3893-N(H3893))</f>
        <v/>
      </c>
      <c r="K3893" s="16">
        <f>IF(OR(D3893="",F3893=""),"",F3893*IFERROR(INDEX('Sản phẩm'!$D$5:$D$304,MATCH(D3893,'Sản phẩm'!$A$5:$A$304,0)),""))</f>
        <v/>
      </c>
      <c r="L3893" s="16">
        <f>IF(J3893="","",J3893-K3893)</f>
        <v/>
      </c>
      <c r="M3893" s="14">
        <f>IF(A3893="","",MONTH(A3893))</f>
        <v/>
      </c>
      <c r="N3893" s="14">
        <f>IF(A3893="","",YEAR(A3893))</f>
        <v/>
      </c>
    </row>
    <row r="3894">
      <c r="A3894" s="15" t="n"/>
      <c r="B3894" s="10" t="n"/>
      <c r="C3894" s="10" t="n"/>
      <c r="D3894" s="10" t="n"/>
      <c r="E3894" s="14">
        <f>IF(D3894="","",IFERROR(INDEX('Sản phẩm'!$B$5:$B$304,MATCH(D3894,'Sản phẩm'!$A$5:$A$304,0)),""))</f>
        <v/>
      </c>
      <c r="F3894" s="12" t="n"/>
      <c r="G3894" s="11" t="n"/>
      <c r="H3894" s="11" t="n"/>
      <c r="I3894" s="16">
        <f>IF(D3894="","",IF(G3894&lt;&gt;"",G3894,IFERROR(INDEX('Sản phẩm'!$E$5:$E$304,MATCH(D3894,'Sản phẩm'!$A$5:$A$304,0)),"")))</f>
        <v/>
      </c>
      <c r="J3894" s="16">
        <f>IF(OR(D3894="",F3894=""),"",F3894*I3894-N(H3894))</f>
        <v/>
      </c>
      <c r="K3894" s="16">
        <f>IF(OR(D3894="",F3894=""),"",F3894*IFERROR(INDEX('Sản phẩm'!$D$5:$D$304,MATCH(D3894,'Sản phẩm'!$A$5:$A$304,0)),""))</f>
        <v/>
      </c>
      <c r="L3894" s="16">
        <f>IF(J3894="","",J3894-K3894)</f>
        <v/>
      </c>
      <c r="M3894" s="14">
        <f>IF(A3894="","",MONTH(A3894))</f>
        <v/>
      </c>
      <c r="N3894" s="14">
        <f>IF(A3894="","",YEAR(A3894))</f>
        <v/>
      </c>
    </row>
    <row r="3895">
      <c r="A3895" s="15" t="n"/>
      <c r="B3895" s="10" t="n"/>
      <c r="C3895" s="10" t="n"/>
      <c r="D3895" s="10" t="n"/>
      <c r="E3895" s="14">
        <f>IF(D3895="","",IFERROR(INDEX('Sản phẩm'!$B$5:$B$304,MATCH(D3895,'Sản phẩm'!$A$5:$A$304,0)),""))</f>
        <v/>
      </c>
      <c r="F3895" s="12" t="n"/>
      <c r="G3895" s="11" t="n"/>
      <c r="H3895" s="11" t="n"/>
      <c r="I3895" s="16">
        <f>IF(D3895="","",IF(G3895&lt;&gt;"",G3895,IFERROR(INDEX('Sản phẩm'!$E$5:$E$304,MATCH(D3895,'Sản phẩm'!$A$5:$A$304,0)),"")))</f>
        <v/>
      </c>
      <c r="J3895" s="16">
        <f>IF(OR(D3895="",F3895=""),"",F3895*I3895-N(H3895))</f>
        <v/>
      </c>
      <c r="K3895" s="16">
        <f>IF(OR(D3895="",F3895=""),"",F3895*IFERROR(INDEX('Sản phẩm'!$D$5:$D$304,MATCH(D3895,'Sản phẩm'!$A$5:$A$304,0)),""))</f>
        <v/>
      </c>
      <c r="L3895" s="16">
        <f>IF(J3895="","",J3895-K3895)</f>
        <v/>
      </c>
      <c r="M3895" s="14">
        <f>IF(A3895="","",MONTH(A3895))</f>
        <v/>
      </c>
      <c r="N3895" s="14">
        <f>IF(A3895="","",YEAR(A3895))</f>
        <v/>
      </c>
    </row>
    <row r="3896">
      <c r="A3896" s="15" t="n"/>
      <c r="B3896" s="10" t="n"/>
      <c r="C3896" s="10" t="n"/>
      <c r="D3896" s="10" t="n"/>
      <c r="E3896" s="14">
        <f>IF(D3896="","",IFERROR(INDEX('Sản phẩm'!$B$5:$B$304,MATCH(D3896,'Sản phẩm'!$A$5:$A$304,0)),""))</f>
        <v/>
      </c>
      <c r="F3896" s="12" t="n"/>
      <c r="G3896" s="11" t="n"/>
      <c r="H3896" s="11" t="n"/>
      <c r="I3896" s="16">
        <f>IF(D3896="","",IF(G3896&lt;&gt;"",G3896,IFERROR(INDEX('Sản phẩm'!$E$5:$E$304,MATCH(D3896,'Sản phẩm'!$A$5:$A$304,0)),"")))</f>
        <v/>
      </c>
      <c r="J3896" s="16">
        <f>IF(OR(D3896="",F3896=""),"",F3896*I3896-N(H3896))</f>
        <v/>
      </c>
      <c r="K3896" s="16">
        <f>IF(OR(D3896="",F3896=""),"",F3896*IFERROR(INDEX('Sản phẩm'!$D$5:$D$304,MATCH(D3896,'Sản phẩm'!$A$5:$A$304,0)),""))</f>
        <v/>
      </c>
      <c r="L3896" s="16">
        <f>IF(J3896="","",J3896-K3896)</f>
        <v/>
      </c>
      <c r="M3896" s="14">
        <f>IF(A3896="","",MONTH(A3896))</f>
        <v/>
      </c>
      <c r="N3896" s="14">
        <f>IF(A3896="","",YEAR(A3896))</f>
        <v/>
      </c>
    </row>
    <row r="3897">
      <c r="A3897" s="15" t="n"/>
      <c r="B3897" s="10" t="n"/>
      <c r="C3897" s="10" t="n"/>
      <c r="D3897" s="10" t="n"/>
      <c r="E3897" s="14">
        <f>IF(D3897="","",IFERROR(INDEX('Sản phẩm'!$B$5:$B$304,MATCH(D3897,'Sản phẩm'!$A$5:$A$304,0)),""))</f>
        <v/>
      </c>
      <c r="F3897" s="12" t="n"/>
      <c r="G3897" s="11" t="n"/>
      <c r="H3897" s="11" t="n"/>
      <c r="I3897" s="16">
        <f>IF(D3897="","",IF(G3897&lt;&gt;"",G3897,IFERROR(INDEX('Sản phẩm'!$E$5:$E$304,MATCH(D3897,'Sản phẩm'!$A$5:$A$304,0)),"")))</f>
        <v/>
      </c>
      <c r="J3897" s="16">
        <f>IF(OR(D3897="",F3897=""),"",F3897*I3897-N(H3897))</f>
        <v/>
      </c>
      <c r="K3897" s="16">
        <f>IF(OR(D3897="",F3897=""),"",F3897*IFERROR(INDEX('Sản phẩm'!$D$5:$D$304,MATCH(D3897,'Sản phẩm'!$A$5:$A$304,0)),""))</f>
        <v/>
      </c>
      <c r="L3897" s="16">
        <f>IF(J3897="","",J3897-K3897)</f>
        <v/>
      </c>
      <c r="M3897" s="14">
        <f>IF(A3897="","",MONTH(A3897))</f>
        <v/>
      </c>
      <c r="N3897" s="14">
        <f>IF(A3897="","",YEAR(A3897))</f>
        <v/>
      </c>
    </row>
    <row r="3898">
      <c r="A3898" s="15" t="n"/>
      <c r="B3898" s="10" t="n"/>
      <c r="C3898" s="10" t="n"/>
      <c r="D3898" s="10" t="n"/>
      <c r="E3898" s="14">
        <f>IF(D3898="","",IFERROR(INDEX('Sản phẩm'!$B$5:$B$304,MATCH(D3898,'Sản phẩm'!$A$5:$A$304,0)),""))</f>
        <v/>
      </c>
      <c r="F3898" s="12" t="n"/>
      <c r="G3898" s="11" t="n"/>
      <c r="H3898" s="11" t="n"/>
      <c r="I3898" s="16">
        <f>IF(D3898="","",IF(G3898&lt;&gt;"",G3898,IFERROR(INDEX('Sản phẩm'!$E$5:$E$304,MATCH(D3898,'Sản phẩm'!$A$5:$A$304,0)),"")))</f>
        <v/>
      </c>
      <c r="J3898" s="16">
        <f>IF(OR(D3898="",F3898=""),"",F3898*I3898-N(H3898))</f>
        <v/>
      </c>
      <c r="K3898" s="16">
        <f>IF(OR(D3898="",F3898=""),"",F3898*IFERROR(INDEX('Sản phẩm'!$D$5:$D$304,MATCH(D3898,'Sản phẩm'!$A$5:$A$304,0)),""))</f>
        <v/>
      </c>
      <c r="L3898" s="16">
        <f>IF(J3898="","",J3898-K3898)</f>
        <v/>
      </c>
      <c r="M3898" s="14">
        <f>IF(A3898="","",MONTH(A3898))</f>
        <v/>
      </c>
      <c r="N3898" s="14">
        <f>IF(A3898="","",YEAR(A3898))</f>
        <v/>
      </c>
    </row>
    <row r="3899">
      <c r="A3899" s="15" t="n"/>
      <c r="B3899" s="10" t="n"/>
      <c r="C3899" s="10" t="n"/>
      <c r="D3899" s="10" t="n"/>
      <c r="E3899" s="14">
        <f>IF(D3899="","",IFERROR(INDEX('Sản phẩm'!$B$5:$B$304,MATCH(D3899,'Sản phẩm'!$A$5:$A$304,0)),""))</f>
        <v/>
      </c>
      <c r="F3899" s="12" t="n"/>
      <c r="G3899" s="11" t="n"/>
      <c r="H3899" s="11" t="n"/>
      <c r="I3899" s="16">
        <f>IF(D3899="","",IF(G3899&lt;&gt;"",G3899,IFERROR(INDEX('Sản phẩm'!$E$5:$E$304,MATCH(D3899,'Sản phẩm'!$A$5:$A$304,0)),"")))</f>
        <v/>
      </c>
      <c r="J3899" s="16">
        <f>IF(OR(D3899="",F3899=""),"",F3899*I3899-N(H3899))</f>
        <v/>
      </c>
      <c r="K3899" s="16">
        <f>IF(OR(D3899="",F3899=""),"",F3899*IFERROR(INDEX('Sản phẩm'!$D$5:$D$304,MATCH(D3899,'Sản phẩm'!$A$5:$A$304,0)),""))</f>
        <v/>
      </c>
      <c r="L3899" s="16">
        <f>IF(J3899="","",J3899-K3899)</f>
        <v/>
      </c>
      <c r="M3899" s="14">
        <f>IF(A3899="","",MONTH(A3899))</f>
        <v/>
      </c>
      <c r="N3899" s="14">
        <f>IF(A3899="","",YEAR(A3899))</f>
        <v/>
      </c>
    </row>
    <row r="3900">
      <c r="A3900" s="15" t="n"/>
      <c r="B3900" s="10" t="n"/>
      <c r="C3900" s="10" t="n"/>
      <c r="D3900" s="10" t="n"/>
      <c r="E3900" s="14">
        <f>IF(D3900="","",IFERROR(INDEX('Sản phẩm'!$B$5:$B$304,MATCH(D3900,'Sản phẩm'!$A$5:$A$304,0)),""))</f>
        <v/>
      </c>
      <c r="F3900" s="12" t="n"/>
      <c r="G3900" s="11" t="n"/>
      <c r="H3900" s="11" t="n"/>
      <c r="I3900" s="16">
        <f>IF(D3900="","",IF(G3900&lt;&gt;"",G3900,IFERROR(INDEX('Sản phẩm'!$E$5:$E$304,MATCH(D3900,'Sản phẩm'!$A$5:$A$304,0)),"")))</f>
        <v/>
      </c>
      <c r="J3900" s="16">
        <f>IF(OR(D3900="",F3900=""),"",F3900*I3900-N(H3900))</f>
        <v/>
      </c>
      <c r="K3900" s="16">
        <f>IF(OR(D3900="",F3900=""),"",F3900*IFERROR(INDEX('Sản phẩm'!$D$5:$D$304,MATCH(D3900,'Sản phẩm'!$A$5:$A$304,0)),""))</f>
        <v/>
      </c>
      <c r="L3900" s="16">
        <f>IF(J3900="","",J3900-K3900)</f>
        <v/>
      </c>
      <c r="M3900" s="14">
        <f>IF(A3900="","",MONTH(A3900))</f>
        <v/>
      </c>
      <c r="N3900" s="14">
        <f>IF(A3900="","",YEAR(A3900))</f>
        <v/>
      </c>
    </row>
    <row r="3901">
      <c r="A3901" s="15" t="n"/>
      <c r="B3901" s="10" t="n"/>
      <c r="C3901" s="10" t="n"/>
      <c r="D3901" s="10" t="n"/>
      <c r="E3901" s="14">
        <f>IF(D3901="","",IFERROR(INDEX('Sản phẩm'!$B$5:$B$304,MATCH(D3901,'Sản phẩm'!$A$5:$A$304,0)),""))</f>
        <v/>
      </c>
      <c r="F3901" s="12" t="n"/>
      <c r="G3901" s="11" t="n"/>
      <c r="H3901" s="11" t="n"/>
      <c r="I3901" s="16">
        <f>IF(D3901="","",IF(G3901&lt;&gt;"",G3901,IFERROR(INDEX('Sản phẩm'!$E$5:$E$304,MATCH(D3901,'Sản phẩm'!$A$5:$A$304,0)),"")))</f>
        <v/>
      </c>
      <c r="J3901" s="16">
        <f>IF(OR(D3901="",F3901=""),"",F3901*I3901-N(H3901))</f>
        <v/>
      </c>
      <c r="K3901" s="16">
        <f>IF(OR(D3901="",F3901=""),"",F3901*IFERROR(INDEX('Sản phẩm'!$D$5:$D$304,MATCH(D3901,'Sản phẩm'!$A$5:$A$304,0)),""))</f>
        <v/>
      </c>
      <c r="L3901" s="16">
        <f>IF(J3901="","",J3901-K3901)</f>
        <v/>
      </c>
      <c r="M3901" s="14">
        <f>IF(A3901="","",MONTH(A3901))</f>
        <v/>
      </c>
      <c r="N3901" s="14">
        <f>IF(A3901="","",YEAR(A3901))</f>
        <v/>
      </c>
    </row>
    <row r="3902">
      <c r="A3902" s="15" t="n"/>
      <c r="B3902" s="10" t="n"/>
      <c r="C3902" s="10" t="n"/>
      <c r="D3902" s="10" t="n"/>
      <c r="E3902" s="14">
        <f>IF(D3902="","",IFERROR(INDEX('Sản phẩm'!$B$5:$B$304,MATCH(D3902,'Sản phẩm'!$A$5:$A$304,0)),""))</f>
        <v/>
      </c>
      <c r="F3902" s="12" t="n"/>
      <c r="G3902" s="11" t="n"/>
      <c r="H3902" s="11" t="n"/>
      <c r="I3902" s="16">
        <f>IF(D3902="","",IF(G3902&lt;&gt;"",G3902,IFERROR(INDEX('Sản phẩm'!$E$5:$E$304,MATCH(D3902,'Sản phẩm'!$A$5:$A$304,0)),"")))</f>
        <v/>
      </c>
      <c r="J3902" s="16">
        <f>IF(OR(D3902="",F3902=""),"",F3902*I3902-N(H3902))</f>
        <v/>
      </c>
      <c r="K3902" s="16">
        <f>IF(OR(D3902="",F3902=""),"",F3902*IFERROR(INDEX('Sản phẩm'!$D$5:$D$304,MATCH(D3902,'Sản phẩm'!$A$5:$A$304,0)),""))</f>
        <v/>
      </c>
      <c r="L3902" s="16">
        <f>IF(J3902="","",J3902-K3902)</f>
        <v/>
      </c>
      <c r="M3902" s="14">
        <f>IF(A3902="","",MONTH(A3902))</f>
        <v/>
      </c>
      <c r="N3902" s="14">
        <f>IF(A3902="","",YEAR(A3902))</f>
        <v/>
      </c>
    </row>
    <row r="3903">
      <c r="A3903" s="15" t="n"/>
      <c r="B3903" s="10" t="n"/>
      <c r="C3903" s="10" t="n"/>
      <c r="D3903" s="10" t="n"/>
      <c r="E3903" s="14">
        <f>IF(D3903="","",IFERROR(INDEX('Sản phẩm'!$B$5:$B$304,MATCH(D3903,'Sản phẩm'!$A$5:$A$304,0)),""))</f>
        <v/>
      </c>
      <c r="F3903" s="12" t="n"/>
      <c r="G3903" s="11" t="n"/>
      <c r="H3903" s="11" t="n"/>
      <c r="I3903" s="16">
        <f>IF(D3903="","",IF(G3903&lt;&gt;"",G3903,IFERROR(INDEX('Sản phẩm'!$E$5:$E$304,MATCH(D3903,'Sản phẩm'!$A$5:$A$304,0)),"")))</f>
        <v/>
      </c>
      <c r="J3903" s="16">
        <f>IF(OR(D3903="",F3903=""),"",F3903*I3903-N(H3903))</f>
        <v/>
      </c>
      <c r="K3903" s="16">
        <f>IF(OR(D3903="",F3903=""),"",F3903*IFERROR(INDEX('Sản phẩm'!$D$5:$D$304,MATCH(D3903,'Sản phẩm'!$A$5:$A$304,0)),""))</f>
        <v/>
      </c>
      <c r="L3903" s="16">
        <f>IF(J3903="","",J3903-K3903)</f>
        <v/>
      </c>
      <c r="M3903" s="14">
        <f>IF(A3903="","",MONTH(A3903))</f>
        <v/>
      </c>
      <c r="N3903" s="14">
        <f>IF(A3903="","",YEAR(A3903))</f>
        <v/>
      </c>
    </row>
    <row r="3904">
      <c r="A3904" s="15" t="n"/>
      <c r="B3904" s="10" t="n"/>
      <c r="C3904" s="10" t="n"/>
      <c r="D3904" s="10" t="n"/>
      <c r="E3904" s="14">
        <f>IF(D3904="","",IFERROR(INDEX('Sản phẩm'!$B$5:$B$304,MATCH(D3904,'Sản phẩm'!$A$5:$A$304,0)),""))</f>
        <v/>
      </c>
      <c r="F3904" s="12" t="n"/>
      <c r="G3904" s="11" t="n"/>
      <c r="H3904" s="11" t="n"/>
      <c r="I3904" s="16">
        <f>IF(D3904="","",IF(G3904&lt;&gt;"",G3904,IFERROR(INDEX('Sản phẩm'!$E$5:$E$304,MATCH(D3904,'Sản phẩm'!$A$5:$A$304,0)),"")))</f>
        <v/>
      </c>
      <c r="J3904" s="16">
        <f>IF(OR(D3904="",F3904=""),"",F3904*I3904-N(H3904))</f>
        <v/>
      </c>
      <c r="K3904" s="16">
        <f>IF(OR(D3904="",F3904=""),"",F3904*IFERROR(INDEX('Sản phẩm'!$D$5:$D$304,MATCH(D3904,'Sản phẩm'!$A$5:$A$304,0)),""))</f>
        <v/>
      </c>
      <c r="L3904" s="16">
        <f>IF(J3904="","",J3904-K3904)</f>
        <v/>
      </c>
      <c r="M3904" s="14">
        <f>IF(A3904="","",MONTH(A3904))</f>
        <v/>
      </c>
      <c r="N3904" s="14">
        <f>IF(A3904="","",YEAR(A3904))</f>
        <v/>
      </c>
    </row>
    <row r="3905">
      <c r="A3905" s="15" t="n"/>
      <c r="B3905" s="10" t="n"/>
      <c r="C3905" s="10" t="n"/>
      <c r="D3905" s="10" t="n"/>
      <c r="E3905" s="14">
        <f>IF(D3905="","",IFERROR(INDEX('Sản phẩm'!$B$5:$B$304,MATCH(D3905,'Sản phẩm'!$A$5:$A$304,0)),""))</f>
        <v/>
      </c>
      <c r="F3905" s="12" t="n"/>
      <c r="G3905" s="11" t="n"/>
      <c r="H3905" s="11" t="n"/>
      <c r="I3905" s="16">
        <f>IF(D3905="","",IF(G3905&lt;&gt;"",G3905,IFERROR(INDEX('Sản phẩm'!$E$5:$E$304,MATCH(D3905,'Sản phẩm'!$A$5:$A$304,0)),"")))</f>
        <v/>
      </c>
      <c r="J3905" s="16">
        <f>IF(OR(D3905="",F3905=""),"",F3905*I3905-N(H3905))</f>
        <v/>
      </c>
      <c r="K3905" s="16">
        <f>IF(OR(D3905="",F3905=""),"",F3905*IFERROR(INDEX('Sản phẩm'!$D$5:$D$304,MATCH(D3905,'Sản phẩm'!$A$5:$A$304,0)),""))</f>
        <v/>
      </c>
      <c r="L3905" s="16">
        <f>IF(J3905="","",J3905-K3905)</f>
        <v/>
      </c>
      <c r="M3905" s="14">
        <f>IF(A3905="","",MONTH(A3905))</f>
        <v/>
      </c>
      <c r="N3905" s="14">
        <f>IF(A3905="","",YEAR(A3905))</f>
        <v/>
      </c>
    </row>
    <row r="3906">
      <c r="A3906" s="15" t="n"/>
      <c r="B3906" s="10" t="n"/>
      <c r="C3906" s="10" t="n"/>
      <c r="D3906" s="10" t="n"/>
      <c r="E3906" s="14">
        <f>IF(D3906="","",IFERROR(INDEX('Sản phẩm'!$B$5:$B$304,MATCH(D3906,'Sản phẩm'!$A$5:$A$304,0)),""))</f>
        <v/>
      </c>
      <c r="F3906" s="12" t="n"/>
      <c r="G3906" s="11" t="n"/>
      <c r="H3906" s="11" t="n"/>
      <c r="I3906" s="16">
        <f>IF(D3906="","",IF(G3906&lt;&gt;"",G3906,IFERROR(INDEX('Sản phẩm'!$E$5:$E$304,MATCH(D3906,'Sản phẩm'!$A$5:$A$304,0)),"")))</f>
        <v/>
      </c>
      <c r="J3906" s="16">
        <f>IF(OR(D3906="",F3906=""),"",F3906*I3906-N(H3906))</f>
        <v/>
      </c>
      <c r="K3906" s="16">
        <f>IF(OR(D3906="",F3906=""),"",F3906*IFERROR(INDEX('Sản phẩm'!$D$5:$D$304,MATCH(D3906,'Sản phẩm'!$A$5:$A$304,0)),""))</f>
        <v/>
      </c>
      <c r="L3906" s="16">
        <f>IF(J3906="","",J3906-K3906)</f>
        <v/>
      </c>
      <c r="M3906" s="14">
        <f>IF(A3906="","",MONTH(A3906))</f>
        <v/>
      </c>
      <c r="N3906" s="14">
        <f>IF(A3906="","",YEAR(A3906))</f>
        <v/>
      </c>
    </row>
    <row r="3907">
      <c r="A3907" s="15" t="n"/>
      <c r="B3907" s="10" t="n"/>
      <c r="C3907" s="10" t="n"/>
      <c r="D3907" s="10" t="n"/>
      <c r="E3907" s="14">
        <f>IF(D3907="","",IFERROR(INDEX('Sản phẩm'!$B$5:$B$304,MATCH(D3907,'Sản phẩm'!$A$5:$A$304,0)),""))</f>
        <v/>
      </c>
      <c r="F3907" s="12" t="n"/>
      <c r="G3907" s="11" t="n"/>
      <c r="H3907" s="11" t="n"/>
      <c r="I3907" s="16">
        <f>IF(D3907="","",IF(G3907&lt;&gt;"",G3907,IFERROR(INDEX('Sản phẩm'!$E$5:$E$304,MATCH(D3907,'Sản phẩm'!$A$5:$A$304,0)),"")))</f>
        <v/>
      </c>
      <c r="J3907" s="16">
        <f>IF(OR(D3907="",F3907=""),"",F3907*I3907-N(H3907))</f>
        <v/>
      </c>
      <c r="K3907" s="16">
        <f>IF(OR(D3907="",F3907=""),"",F3907*IFERROR(INDEX('Sản phẩm'!$D$5:$D$304,MATCH(D3907,'Sản phẩm'!$A$5:$A$304,0)),""))</f>
        <v/>
      </c>
      <c r="L3907" s="16">
        <f>IF(J3907="","",J3907-K3907)</f>
        <v/>
      </c>
      <c r="M3907" s="14">
        <f>IF(A3907="","",MONTH(A3907))</f>
        <v/>
      </c>
      <c r="N3907" s="14">
        <f>IF(A3907="","",YEAR(A3907))</f>
        <v/>
      </c>
    </row>
    <row r="3908">
      <c r="A3908" s="15" t="n"/>
      <c r="B3908" s="10" t="n"/>
      <c r="C3908" s="10" t="n"/>
      <c r="D3908" s="10" t="n"/>
      <c r="E3908" s="14">
        <f>IF(D3908="","",IFERROR(INDEX('Sản phẩm'!$B$5:$B$304,MATCH(D3908,'Sản phẩm'!$A$5:$A$304,0)),""))</f>
        <v/>
      </c>
      <c r="F3908" s="12" t="n"/>
      <c r="G3908" s="11" t="n"/>
      <c r="H3908" s="11" t="n"/>
      <c r="I3908" s="16">
        <f>IF(D3908="","",IF(G3908&lt;&gt;"",G3908,IFERROR(INDEX('Sản phẩm'!$E$5:$E$304,MATCH(D3908,'Sản phẩm'!$A$5:$A$304,0)),"")))</f>
        <v/>
      </c>
      <c r="J3908" s="16">
        <f>IF(OR(D3908="",F3908=""),"",F3908*I3908-N(H3908))</f>
        <v/>
      </c>
      <c r="K3908" s="16">
        <f>IF(OR(D3908="",F3908=""),"",F3908*IFERROR(INDEX('Sản phẩm'!$D$5:$D$304,MATCH(D3908,'Sản phẩm'!$A$5:$A$304,0)),""))</f>
        <v/>
      </c>
      <c r="L3908" s="16">
        <f>IF(J3908="","",J3908-K3908)</f>
        <v/>
      </c>
      <c r="M3908" s="14">
        <f>IF(A3908="","",MONTH(A3908))</f>
        <v/>
      </c>
      <c r="N3908" s="14">
        <f>IF(A3908="","",YEAR(A3908))</f>
        <v/>
      </c>
    </row>
    <row r="3909">
      <c r="A3909" s="15" t="n"/>
      <c r="B3909" s="10" t="n"/>
      <c r="C3909" s="10" t="n"/>
      <c r="D3909" s="10" t="n"/>
      <c r="E3909" s="14">
        <f>IF(D3909="","",IFERROR(INDEX('Sản phẩm'!$B$5:$B$304,MATCH(D3909,'Sản phẩm'!$A$5:$A$304,0)),""))</f>
        <v/>
      </c>
      <c r="F3909" s="12" t="n"/>
      <c r="G3909" s="11" t="n"/>
      <c r="H3909" s="11" t="n"/>
      <c r="I3909" s="16">
        <f>IF(D3909="","",IF(G3909&lt;&gt;"",G3909,IFERROR(INDEX('Sản phẩm'!$E$5:$E$304,MATCH(D3909,'Sản phẩm'!$A$5:$A$304,0)),"")))</f>
        <v/>
      </c>
      <c r="J3909" s="16">
        <f>IF(OR(D3909="",F3909=""),"",F3909*I3909-N(H3909))</f>
        <v/>
      </c>
      <c r="K3909" s="16">
        <f>IF(OR(D3909="",F3909=""),"",F3909*IFERROR(INDEX('Sản phẩm'!$D$5:$D$304,MATCH(D3909,'Sản phẩm'!$A$5:$A$304,0)),""))</f>
        <v/>
      </c>
      <c r="L3909" s="16">
        <f>IF(J3909="","",J3909-K3909)</f>
        <v/>
      </c>
      <c r="M3909" s="14">
        <f>IF(A3909="","",MONTH(A3909))</f>
        <v/>
      </c>
      <c r="N3909" s="14">
        <f>IF(A3909="","",YEAR(A3909))</f>
        <v/>
      </c>
    </row>
    <row r="3910">
      <c r="A3910" s="15" t="n"/>
      <c r="B3910" s="10" t="n"/>
      <c r="C3910" s="10" t="n"/>
      <c r="D3910" s="10" t="n"/>
      <c r="E3910" s="14">
        <f>IF(D3910="","",IFERROR(INDEX('Sản phẩm'!$B$5:$B$304,MATCH(D3910,'Sản phẩm'!$A$5:$A$304,0)),""))</f>
        <v/>
      </c>
      <c r="F3910" s="12" t="n"/>
      <c r="G3910" s="11" t="n"/>
      <c r="H3910" s="11" t="n"/>
      <c r="I3910" s="16">
        <f>IF(D3910="","",IF(G3910&lt;&gt;"",G3910,IFERROR(INDEX('Sản phẩm'!$E$5:$E$304,MATCH(D3910,'Sản phẩm'!$A$5:$A$304,0)),"")))</f>
        <v/>
      </c>
      <c r="J3910" s="16">
        <f>IF(OR(D3910="",F3910=""),"",F3910*I3910-N(H3910))</f>
        <v/>
      </c>
      <c r="K3910" s="16">
        <f>IF(OR(D3910="",F3910=""),"",F3910*IFERROR(INDEX('Sản phẩm'!$D$5:$D$304,MATCH(D3910,'Sản phẩm'!$A$5:$A$304,0)),""))</f>
        <v/>
      </c>
      <c r="L3910" s="16">
        <f>IF(J3910="","",J3910-K3910)</f>
        <v/>
      </c>
      <c r="M3910" s="14">
        <f>IF(A3910="","",MONTH(A3910))</f>
        <v/>
      </c>
      <c r="N3910" s="14">
        <f>IF(A3910="","",YEAR(A3910))</f>
        <v/>
      </c>
    </row>
    <row r="3911">
      <c r="A3911" s="15" t="n"/>
      <c r="B3911" s="10" t="n"/>
      <c r="C3911" s="10" t="n"/>
      <c r="D3911" s="10" t="n"/>
      <c r="E3911" s="14">
        <f>IF(D3911="","",IFERROR(INDEX('Sản phẩm'!$B$5:$B$304,MATCH(D3911,'Sản phẩm'!$A$5:$A$304,0)),""))</f>
        <v/>
      </c>
      <c r="F3911" s="12" t="n"/>
      <c r="G3911" s="11" t="n"/>
      <c r="H3911" s="11" t="n"/>
      <c r="I3911" s="16">
        <f>IF(D3911="","",IF(G3911&lt;&gt;"",G3911,IFERROR(INDEX('Sản phẩm'!$E$5:$E$304,MATCH(D3911,'Sản phẩm'!$A$5:$A$304,0)),"")))</f>
        <v/>
      </c>
      <c r="J3911" s="16">
        <f>IF(OR(D3911="",F3911=""),"",F3911*I3911-N(H3911))</f>
        <v/>
      </c>
      <c r="K3911" s="16">
        <f>IF(OR(D3911="",F3911=""),"",F3911*IFERROR(INDEX('Sản phẩm'!$D$5:$D$304,MATCH(D3911,'Sản phẩm'!$A$5:$A$304,0)),""))</f>
        <v/>
      </c>
      <c r="L3911" s="16">
        <f>IF(J3911="","",J3911-K3911)</f>
        <v/>
      </c>
      <c r="M3911" s="14">
        <f>IF(A3911="","",MONTH(A3911))</f>
        <v/>
      </c>
      <c r="N3911" s="14">
        <f>IF(A3911="","",YEAR(A3911))</f>
        <v/>
      </c>
    </row>
    <row r="3912">
      <c r="A3912" s="15" t="n"/>
      <c r="B3912" s="10" t="n"/>
      <c r="C3912" s="10" t="n"/>
      <c r="D3912" s="10" t="n"/>
      <c r="E3912" s="14">
        <f>IF(D3912="","",IFERROR(INDEX('Sản phẩm'!$B$5:$B$304,MATCH(D3912,'Sản phẩm'!$A$5:$A$304,0)),""))</f>
        <v/>
      </c>
      <c r="F3912" s="12" t="n"/>
      <c r="G3912" s="11" t="n"/>
      <c r="H3912" s="11" t="n"/>
      <c r="I3912" s="16">
        <f>IF(D3912="","",IF(G3912&lt;&gt;"",G3912,IFERROR(INDEX('Sản phẩm'!$E$5:$E$304,MATCH(D3912,'Sản phẩm'!$A$5:$A$304,0)),"")))</f>
        <v/>
      </c>
      <c r="J3912" s="16">
        <f>IF(OR(D3912="",F3912=""),"",F3912*I3912-N(H3912))</f>
        <v/>
      </c>
      <c r="K3912" s="16">
        <f>IF(OR(D3912="",F3912=""),"",F3912*IFERROR(INDEX('Sản phẩm'!$D$5:$D$304,MATCH(D3912,'Sản phẩm'!$A$5:$A$304,0)),""))</f>
        <v/>
      </c>
      <c r="L3912" s="16">
        <f>IF(J3912="","",J3912-K3912)</f>
        <v/>
      </c>
      <c r="M3912" s="14">
        <f>IF(A3912="","",MONTH(A3912))</f>
        <v/>
      </c>
      <c r="N3912" s="14">
        <f>IF(A3912="","",YEAR(A3912))</f>
        <v/>
      </c>
    </row>
    <row r="3913">
      <c r="A3913" s="15" t="n"/>
      <c r="B3913" s="10" t="n"/>
      <c r="C3913" s="10" t="n"/>
      <c r="D3913" s="10" t="n"/>
      <c r="E3913" s="14">
        <f>IF(D3913="","",IFERROR(INDEX('Sản phẩm'!$B$5:$B$304,MATCH(D3913,'Sản phẩm'!$A$5:$A$304,0)),""))</f>
        <v/>
      </c>
      <c r="F3913" s="12" t="n"/>
      <c r="G3913" s="11" t="n"/>
      <c r="H3913" s="11" t="n"/>
      <c r="I3913" s="16">
        <f>IF(D3913="","",IF(G3913&lt;&gt;"",G3913,IFERROR(INDEX('Sản phẩm'!$E$5:$E$304,MATCH(D3913,'Sản phẩm'!$A$5:$A$304,0)),"")))</f>
        <v/>
      </c>
      <c r="J3913" s="16">
        <f>IF(OR(D3913="",F3913=""),"",F3913*I3913-N(H3913))</f>
        <v/>
      </c>
      <c r="K3913" s="16">
        <f>IF(OR(D3913="",F3913=""),"",F3913*IFERROR(INDEX('Sản phẩm'!$D$5:$D$304,MATCH(D3913,'Sản phẩm'!$A$5:$A$304,0)),""))</f>
        <v/>
      </c>
      <c r="L3913" s="16">
        <f>IF(J3913="","",J3913-K3913)</f>
        <v/>
      </c>
      <c r="M3913" s="14">
        <f>IF(A3913="","",MONTH(A3913))</f>
        <v/>
      </c>
      <c r="N3913" s="14">
        <f>IF(A3913="","",YEAR(A3913))</f>
        <v/>
      </c>
    </row>
    <row r="3914">
      <c r="A3914" s="15" t="n"/>
      <c r="B3914" s="10" t="n"/>
      <c r="C3914" s="10" t="n"/>
      <c r="D3914" s="10" t="n"/>
      <c r="E3914" s="14">
        <f>IF(D3914="","",IFERROR(INDEX('Sản phẩm'!$B$5:$B$304,MATCH(D3914,'Sản phẩm'!$A$5:$A$304,0)),""))</f>
        <v/>
      </c>
      <c r="F3914" s="12" t="n"/>
      <c r="G3914" s="11" t="n"/>
      <c r="H3914" s="11" t="n"/>
      <c r="I3914" s="16">
        <f>IF(D3914="","",IF(G3914&lt;&gt;"",G3914,IFERROR(INDEX('Sản phẩm'!$E$5:$E$304,MATCH(D3914,'Sản phẩm'!$A$5:$A$304,0)),"")))</f>
        <v/>
      </c>
      <c r="J3914" s="16">
        <f>IF(OR(D3914="",F3914=""),"",F3914*I3914-N(H3914))</f>
        <v/>
      </c>
      <c r="K3914" s="16">
        <f>IF(OR(D3914="",F3914=""),"",F3914*IFERROR(INDEX('Sản phẩm'!$D$5:$D$304,MATCH(D3914,'Sản phẩm'!$A$5:$A$304,0)),""))</f>
        <v/>
      </c>
      <c r="L3914" s="16">
        <f>IF(J3914="","",J3914-K3914)</f>
        <v/>
      </c>
      <c r="M3914" s="14">
        <f>IF(A3914="","",MONTH(A3914))</f>
        <v/>
      </c>
      <c r="N3914" s="14">
        <f>IF(A3914="","",YEAR(A3914))</f>
        <v/>
      </c>
    </row>
    <row r="3915">
      <c r="A3915" s="15" t="n"/>
      <c r="B3915" s="10" t="n"/>
      <c r="C3915" s="10" t="n"/>
      <c r="D3915" s="10" t="n"/>
      <c r="E3915" s="14">
        <f>IF(D3915="","",IFERROR(INDEX('Sản phẩm'!$B$5:$B$304,MATCH(D3915,'Sản phẩm'!$A$5:$A$304,0)),""))</f>
        <v/>
      </c>
      <c r="F3915" s="12" t="n"/>
      <c r="G3915" s="11" t="n"/>
      <c r="H3915" s="11" t="n"/>
      <c r="I3915" s="16">
        <f>IF(D3915="","",IF(G3915&lt;&gt;"",G3915,IFERROR(INDEX('Sản phẩm'!$E$5:$E$304,MATCH(D3915,'Sản phẩm'!$A$5:$A$304,0)),"")))</f>
        <v/>
      </c>
      <c r="J3915" s="16">
        <f>IF(OR(D3915="",F3915=""),"",F3915*I3915-N(H3915))</f>
        <v/>
      </c>
      <c r="K3915" s="16">
        <f>IF(OR(D3915="",F3915=""),"",F3915*IFERROR(INDEX('Sản phẩm'!$D$5:$D$304,MATCH(D3915,'Sản phẩm'!$A$5:$A$304,0)),""))</f>
        <v/>
      </c>
      <c r="L3915" s="16">
        <f>IF(J3915="","",J3915-K3915)</f>
        <v/>
      </c>
      <c r="M3915" s="14">
        <f>IF(A3915="","",MONTH(A3915))</f>
        <v/>
      </c>
      <c r="N3915" s="14">
        <f>IF(A3915="","",YEAR(A3915))</f>
        <v/>
      </c>
    </row>
    <row r="3916">
      <c r="A3916" s="15" t="n"/>
      <c r="B3916" s="10" t="n"/>
      <c r="C3916" s="10" t="n"/>
      <c r="D3916" s="10" t="n"/>
      <c r="E3916" s="14">
        <f>IF(D3916="","",IFERROR(INDEX('Sản phẩm'!$B$5:$B$304,MATCH(D3916,'Sản phẩm'!$A$5:$A$304,0)),""))</f>
        <v/>
      </c>
      <c r="F3916" s="12" t="n"/>
      <c r="G3916" s="11" t="n"/>
      <c r="H3916" s="11" t="n"/>
      <c r="I3916" s="16">
        <f>IF(D3916="","",IF(G3916&lt;&gt;"",G3916,IFERROR(INDEX('Sản phẩm'!$E$5:$E$304,MATCH(D3916,'Sản phẩm'!$A$5:$A$304,0)),"")))</f>
        <v/>
      </c>
      <c r="J3916" s="16">
        <f>IF(OR(D3916="",F3916=""),"",F3916*I3916-N(H3916))</f>
        <v/>
      </c>
      <c r="K3916" s="16">
        <f>IF(OR(D3916="",F3916=""),"",F3916*IFERROR(INDEX('Sản phẩm'!$D$5:$D$304,MATCH(D3916,'Sản phẩm'!$A$5:$A$304,0)),""))</f>
        <v/>
      </c>
      <c r="L3916" s="16">
        <f>IF(J3916="","",J3916-K3916)</f>
        <v/>
      </c>
      <c r="M3916" s="14">
        <f>IF(A3916="","",MONTH(A3916))</f>
        <v/>
      </c>
      <c r="N3916" s="14">
        <f>IF(A3916="","",YEAR(A3916))</f>
        <v/>
      </c>
    </row>
    <row r="3917">
      <c r="A3917" s="15" t="n"/>
      <c r="B3917" s="10" t="n"/>
      <c r="C3917" s="10" t="n"/>
      <c r="D3917" s="10" t="n"/>
      <c r="E3917" s="14">
        <f>IF(D3917="","",IFERROR(INDEX('Sản phẩm'!$B$5:$B$304,MATCH(D3917,'Sản phẩm'!$A$5:$A$304,0)),""))</f>
        <v/>
      </c>
      <c r="F3917" s="12" t="n"/>
      <c r="G3917" s="11" t="n"/>
      <c r="H3917" s="11" t="n"/>
      <c r="I3917" s="16">
        <f>IF(D3917="","",IF(G3917&lt;&gt;"",G3917,IFERROR(INDEX('Sản phẩm'!$E$5:$E$304,MATCH(D3917,'Sản phẩm'!$A$5:$A$304,0)),"")))</f>
        <v/>
      </c>
      <c r="J3917" s="16">
        <f>IF(OR(D3917="",F3917=""),"",F3917*I3917-N(H3917))</f>
        <v/>
      </c>
      <c r="K3917" s="16">
        <f>IF(OR(D3917="",F3917=""),"",F3917*IFERROR(INDEX('Sản phẩm'!$D$5:$D$304,MATCH(D3917,'Sản phẩm'!$A$5:$A$304,0)),""))</f>
        <v/>
      </c>
      <c r="L3917" s="16">
        <f>IF(J3917="","",J3917-K3917)</f>
        <v/>
      </c>
      <c r="M3917" s="14">
        <f>IF(A3917="","",MONTH(A3917))</f>
        <v/>
      </c>
      <c r="N3917" s="14">
        <f>IF(A3917="","",YEAR(A3917))</f>
        <v/>
      </c>
    </row>
    <row r="3918">
      <c r="A3918" s="15" t="n"/>
      <c r="B3918" s="10" t="n"/>
      <c r="C3918" s="10" t="n"/>
      <c r="D3918" s="10" t="n"/>
      <c r="E3918" s="14">
        <f>IF(D3918="","",IFERROR(INDEX('Sản phẩm'!$B$5:$B$304,MATCH(D3918,'Sản phẩm'!$A$5:$A$304,0)),""))</f>
        <v/>
      </c>
      <c r="F3918" s="12" t="n"/>
      <c r="G3918" s="11" t="n"/>
      <c r="H3918" s="11" t="n"/>
      <c r="I3918" s="16">
        <f>IF(D3918="","",IF(G3918&lt;&gt;"",G3918,IFERROR(INDEX('Sản phẩm'!$E$5:$E$304,MATCH(D3918,'Sản phẩm'!$A$5:$A$304,0)),"")))</f>
        <v/>
      </c>
      <c r="J3918" s="16">
        <f>IF(OR(D3918="",F3918=""),"",F3918*I3918-N(H3918))</f>
        <v/>
      </c>
      <c r="K3918" s="16">
        <f>IF(OR(D3918="",F3918=""),"",F3918*IFERROR(INDEX('Sản phẩm'!$D$5:$D$304,MATCH(D3918,'Sản phẩm'!$A$5:$A$304,0)),""))</f>
        <v/>
      </c>
      <c r="L3918" s="16">
        <f>IF(J3918="","",J3918-K3918)</f>
        <v/>
      </c>
      <c r="M3918" s="14">
        <f>IF(A3918="","",MONTH(A3918))</f>
        <v/>
      </c>
      <c r="N3918" s="14">
        <f>IF(A3918="","",YEAR(A3918))</f>
        <v/>
      </c>
    </row>
    <row r="3919">
      <c r="A3919" s="15" t="n"/>
      <c r="B3919" s="10" t="n"/>
      <c r="C3919" s="10" t="n"/>
      <c r="D3919" s="10" t="n"/>
      <c r="E3919" s="14">
        <f>IF(D3919="","",IFERROR(INDEX('Sản phẩm'!$B$5:$B$304,MATCH(D3919,'Sản phẩm'!$A$5:$A$304,0)),""))</f>
        <v/>
      </c>
      <c r="F3919" s="12" t="n"/>
      <c r="G3919" s="11" t="n"/>
      <c r="H3919" s="11" t="n"/>
      <c r="I3919" s="16">
        <f>IF(D3919="","",IF(G3919&lt;&gt;"",G3919,IFERROR(INDEX('Sản phẩm'!$E$5:$E$304,MATCH(D3919,'Sản phẩm'!$A$5:$A$304,0)),"")))</f>
        <v/>
      </c>
      <c r="J3919" s="16">
        <f>IF(OR(D3919="",F3919=""),"",F3919*I3919-N(H3919))</f>
        <v/>
      </c>
      <c r="K3919" s="16">
        <f>IF(OR(D3919="",F3919=""),"",F3919*IFERROR(INDEX('Sản phẩm'!$D$5:$D$304,MATCH(D3919,'Sản phẩm'!$A$5:$A$304,0)),""))</f>
        <v/>
      </c>
      <c r="L3919" s="16">
        <f>IF(J3919="","",J3919-K3919)</f>
        <v/>
      </c>
      <c r="M3919" s="14">
        <f>IF(A3919="","",MONTH(A3919))</f>
        <v/>
      </c>
      <c r="N3919" s="14">
        <f>IF(A3919="","",YEAR(A3919))</f>
        <v/>
      </c>
    </row>
    <row r="3920">
      <c r="A3920" s="15" t="n"/>
      <c r="B3920" s="10" t="n"/>
      <c r="C3920" s="10" t="n"/>
      <c r="D3920" s="10" t="n"/>
      <c r="E3920" s="14">
        <f>IF(D3920="","",IFERROR(INDEX('Sản phẩm'!$B$5:$B$304,MATCH(D3920,'Sản phẩm'!$A$5:$A$304,0)),""))</f>
        <v/>
      </c>
      <c r="F3920" s="12" t="n"/>
      <c r="G3920" s="11" t="n"/>
      <c r="H3920" s="11" t="n"/>
      <c r="I3920" s="16">
        <f>IF(D3920="","",IF(G3920&lt;&gt;"",G3920,IFERROR(INDEX('Sản phẩm'!$E$5:$E$304,MATCH(D3920,'Sản phẩm'!$A$5:$A$304,0)),"")))</f>
        <v/>
      </c>
      <c r="J3920" s="16">
        <f>IF(OR(D3920="",F3920=""),"",F3920*I3920-N(H3920))</f>
        <v/>
      </c>
      <c r="K3920" s="16">
        <f>IF(OR(D3920="",F3920=""),"",F3920*IFERROR(INDEX('Sản phẩm'!$D$5:$D$304,MATCH(D3920,'Sản phẩm'!$A$5:$A$304,0)),""))</f>
        <v/>
      </c>
      <c r="L3920" s="16">
        <f>IF(J3920="","",J3920-K3920)</f>
        <v/>
      </c>
      <c r="M3920" s="14">
        <f>IF(A3920="","",MONTH(A3920))</f>
        <v/>
      </c>
      <c r="N3920" s="14">
        <f>IF(A3920="","",YEAR(A3920))</f>
        <v/>
      </c>
    </row>
    <row r="3921">
      <c r="A3921" s="15" t="n"/>
      <c r="B3921" s="10" t="n"/>
      <c r="C3921" s="10" t="n"/>
      <c r="D3921" s="10" t="n"/>
      <c r="E3921" s="14">
        <f>IF(D3921="","",IFERROR(INDEX('Sản phẩm'!$B$5:$B$304,MATCH(D3921,'Sản phẩm'!$A$5:$A$304,0)),""))</f>
        <v/>
      </c>
      <c r="F3921" s="12" t="n"/>
      <c r="G3921" s="11" t="n"/>
      <c r="H3921" s="11" t="n"/>
      <c r="I3921" s="16">
        <f>IF(D3921="","",IF(G3921&lt;&gt;"",G3921,IFERROR(INDEX('Sản phẩm'!$E$5:$E$304,MATCH(D3921,'Sản phẩm'!$A$5:$A$304,0)),"")))</f>
        <v/>
      </c>
      <c r="J3921" s="16">
        <f>IF(OR(D3921="",F3921=""),"",F3921*I3921-N(H3921))</f>
        <v/>
      </c>
      <c r="K3921" s="16">
        <f>IF(OR(D3921="",F3921=""),"",F3921*IFERROR(INDEX('Sản phẩm'!$D$5:$D$304,MATCH(D3921,'Sản phẩm'!$A$5:$A$304,0)),""))</f>
        <v/>
      </c>
      <c r="L3921" s="16">
        <f>IF(J3921="","",J3921-K3921)</f>
        <v/>
      </c>
      <c r="M3921" s="14">
        <f>IF(A3921="","",MONTH(A3921))</f>
        <v/>
      </c>
      <c r="N3921" s="14">
        <f>IF(A3921="","",YEAR(A3921))</f>
        <v/>
      </c>
    </row>
    <row r="3922">
      <c r="A3922" s="15" t="n"/>
      <c r="B3922" s="10" t="n"/>
      <c r="C3922" s="10" t="n"/>
      <c r="D3922" s="10" t="n"/>
      <c r="E3922" s="14">
        <f>IF(D3922="","",IFERROR(INDEX('Sản phẩm'!$B$5:$B$304,MATCH(D3922,'Sản phẩm'!$A$5:$A$304,0)),""))</f>
        <v/>
      </c>
      <c r="F3922" s="12" t="n"/>
      <c r="G3922" s="11" t="n"/>
      <c r="H3922" s="11" t="n"/>
      <c r="I3922" s="16">
        <f>IF(D3922="","",IF(G3922&lt;&gt;"",G3922,IFERROR(INDEX('Sản phẩm'!$E$5:$E$304,MATCH(D3922,'Sản phẩm'!$A$5:$A$304,0)),"")))</f>
        <v/>
      </c>
      <c r="J3922" s="16">
        <f>IF(OR(D3922="",F3922=""),"",F3922*I3922-N(H3922))</f>
        <v/>
      </c>
      <c r="K3922" s="16">
        <f>IF(OR(D3922="",F3922=""),"",F3922*IFERROR(INDEX('Sản phẩm'!$D$5:$D$304,MATCH(D3922,'Sản phẩm'!$A$5:$A$304,0)),""))</f>
        <v/>
      </c>
      <c r="L3922" s="16">
        <f>IF(J3922="","",J3922-K3922)</f>
        <v/>
      </c>
      <c r="M3922" s="14">
        <f>IF(A3922="","",MONTH(A3922))</f>
        <v/>
      </c>
      <c r="N3922" s="14">
        <f>IF(A3922="","",YEAR(A3922))</f>
        <v/>
      </c>
    </row>
    <row r="3923">
      <c r="A3923" s="15" t="n"/>
      <c r="B3923" s="10" t="n"/>
      <c r="C3923" s="10" t="n"/>
      <c r="D3923" s="10" t="n"/>
      <c r="E3923" s="14">
        <f>IF(D3923="","",IFERROR(INDEX('Sản phẩm'!$B$5:$B$304,MATCH(D3923,'Sản phẩm'!$A$5:$A$304,0)),""))</f>
        <v/>
      </c>
      <c r="F3923" s="12" t="n"/>
      <c r="G3923" s="11" t="n"/>
      <c r="H3923" s="11" t="n"/>
      <c r="I3923" s="16">
        <f>IF(D3923="","",IF(G3923&lt;&gt;"",G3923,IFERROR(INDEX('Sản phẩm'!$E$5:$E$304,MATCH(D3923,'Sản phẩm'!$A$5:$A$304,0)),"")))</f>
        <v/>
      </c>
      <c r="J3923" s="16">
        <f>IF(OR(D3923="",F3923=""),"",F3923*I3923-N(H3923))</f>
        <v/>
      </c>
      <c r="K3923" s="16">
        <f>IF(OR(D3923="",F3923=""),"",F3923*IFERROR(INDEX('Sản phẩm'!$D$5:$D$304,MATCH(D3923,'Sản phẩm'!$A$5:$A$304,0)),""))</f>
        <v/>
      </c>
      <c r="L3923" s="16">
        <f>IF(J3923="","",J3923-K3923)</f>
        <v/>
      </c>
      <c r="M3923" s="14">
        <f>IF(A3923="","",MONTH(A3923))</f>
        <v/>
      </c>
      <c r="N3923" s="14">
        <f>IF(A3923="","",YEAR(A3923))</f>
        <v/>
      </c>
    </row>
    <row r="3924">
      <c r="A3924" s="15" t="n"/>
      <c r="B3924" s="10" t="n"/>
      <c r="C3924" s="10" t="n"/>
      <c r="D3924" s="10" t="n"/>
      <c r="E3924" s="14">
        <f>IF(D3924="","",IFERROR(INDEX('Sản phẩm'!$B$5:$B$304,MATCH(D3924,'Sản phẩm'!$A$5:$A$304,0)),""))</f>
        <v/>
      </c>
      <c r="F3924" s="12" t="n"/>
      <c r="G3924" s="11" t="n"/>
      <c r="H3924" s="11" t="n"/>
      <c r="I3924" s="16">
        <f>IF(D3924="","",IF(G3924&lt;&gt;"",G3924,IFERROR(INDEX('Sản phẩm'!$E$5:$E$304,MATCH(D3924,'Sản phẩm'!$A$5:$A$304,0)),"")))</f>
        <v/>
      </c>
      <c r="J3924" s="16">
        <f>IF(OR(D3924="",F3924=""),"",F3924*I3924-N(H3924))</f>
        <v/>
      </c>
      <c r="K3924" s="16">
        <f>IF(OR(D3924="",F3924=""),"",F3924*IFERROR(INDEX('Sản phẩm'!$D$5:$D$304,MATCH(D3924,'Sản phẩm'!$A$5:$A$304,0)),""))</f>
        <v/>
      </c>
      <c r="L3924" s="16">
        <f>IF(J3924="","",J3924-K3924)</f>
        <v/>
      </c>
      <c r="M3924" s="14">
        <f>IF(A3924="","",MONTH(A3924))</f>
        <v/>
      </c>
      <c r="N3924" s="14">
        <f>IF(A3924="","",YEAR(A3924))</f>
        <v/>
      </c>
    </row>
    <row r="3925">
      <c r="A3925" s="15" t="n"/>
      <c r="B3925" s="10" t="n"/>
      <c r="C3925" s="10" t="n"/>
      <c r="D3925" s="10" t="n"/>
      <c r="E3925" s="14">
        <f>IF(D3925="","",IFERROR(INDEX('Sản phẩm'!$B$5:$B$304,MATCH(D3925,'Sản phẩm'!$A$5:$A$304,0)),""))</f>
        <v/>
      </c>
      <c r="F3925" s="12" t="n"/>
      <c r="G3925" s="11" t="n"/>
      <c r="H3925" s="11" t="n"/>
      <c r="I3925" s="16">
        <f>IF(D3925="","",IF(G3925&lt;&gt;"",G3925,IFERROR(INDEX('Sản phẩm'!$E$5:$E$304,MATCH(D3925,'Sản phẩm'!$A$5:$A$304,0)),"")))</f>
        <v/>
      </c>
      <c r="J3925" s="16">
        <f>IF(OR(D3925="",F3925=""),"",F3925*I3925-N(H3925))</f>
        <v/>
      </c>
      <c r="K3925" s="16">
        <f>IF(OR(D3925="",F3925=""),"",F3925*IFERROR(INDEX('Sản phẩm'!$D$5:$D$304,MATCH(D3925,'Sản phẩm'!$A$5:$A$304,0)),""))</f>
        <v/>
      </c>
      <c r="L3925" s="16">
        <f>IF(J3925="","",J3925-K3925)</f>
        <v/>
      </c>
      <c r="M3925" s="14">
        <f>IF(A3925="","",MONTH(A3925))</f>
        <v/>
      </c>
      <c r="N3925" s="14">
        <f>IF(A3925="","",YEAR(A3925))</f>
        <v/>
      </c>
    </row>
    <row r="3926">
      <c r="A3926" s="15" t="n"/>
      <c r="B3926" s="10" t="n"/>
      <c r="C3926" s="10" t="n"/>
      <c r="D3926" s="10" t="n"/>
      <c r="E3926" s="14">
        <f>IF(D3926="","",IFERROR(INDEX('Sản phẩm'!$B$5:$B$304,MATCH(D3926,'Sản phẩm'!$A$5:$A$304,0)),""))</f>
        <v/>
      </c>
      <c r="F3926" s="12" t="n"/>
      <c r="G3926" s="11" t="n"/>
      <c r="H3926" s="11" t="n"/>
      <c r="I3926" s="16">
        <f>IF(D3926="","",IF(G3926&lt;&gt;"",G3926,IFERROR(INDEX('Sản phẩm'!$E$5:$E$304,MATCH(D3926,'Sản phẩm'!$A$5:$A$304,0)),"")))</f>
        <v/>
      </c>
      <c r="J3926" s="16">
        <f>IF(OR(D3926="",F3926=""),"",F3926*I3926-N(H3926))</f>
        <v/>
      </c>
      <c r="K3926" s="16">
        <f>IF(OR(D3926="",F3926=""),"",F3926*IFERROR(INDEX('Sản phẩm'!$D$5:$D$304,MATCH(D3926,'Sản phẩm'!$A$5:$A$304,0)),""))</f>
        <v/>
      </c>
      <c r="L3926" s="16">
        <f>IF(J3926="","",J3926-K3926)</f>
        <v/>
      </c>
      <c r="M3926" s="14">
        <f>IF(A3926="","",MONTH(A3926))</f>
        <v/>
      </c>
      <c r="N3926" s="14">
        <f>IF(A3926="","",YEAR(A3926))</f>
        <v/>
      </c>
    </row>
    <row r="3927">
      <c r="A3927" s="15" t="n"/>
      <c r="B3927" s="10" t="n"/>
      <c r="C3927" s="10" t="n"/>
      <c r="D3927" s="10" t="n"/>
      <c r="E3927" s="14">
        <f>IF(D3927="","",IFERROR(INDEX('Sản phẩm'!$B$5:$B$304,MATCH(D3927,'Sản phẩm'!$A$5:$A$304,0)),""))</f>
        <v/>
      </c>
      <c r="F3927" s="12" t="n"/>
      <c r="G3927" s="11" t="n"/>
      <c r="H3927" s="11" t="n"/>
      <c r="I3927" s="16">
        <f>IF(D3927="","",IF(G3927&lt;&gt;"",G3927,IFERROR(INDEX('Sản phẩm'!$E$5:$E$304,MATCH(D3927,'Sản phẩm'!$A$5:$A$304,0)),"")))</f>
        <v/>
      </c>
      <c r="J3927" s="16">
        <f>IF(OR(D3927="",F3927=""),"",F3927*I3927-N(H3927))</f>
        <v/>
      </c>
      <c r="K3927" s="16">
        <f>IF(OR(D3927="",F3927=""),"",F3927*IFERROR(INDEX('Sản phẩm'!$D$5:$D$304,MATCH(D3927,'Sản phẩm'!$A$5:$A$304,0)),""))</f>
        <v/>
      </c>
      <c r="L3927" s="16">
        <f>IF(J3927="","",J3927-K3927)</f>
        <v/>
      </c>
      <c r="M3927" s="14">
        <f>IF(A3927="","",MONTH(A3927))</f>
        <v/>
      </c>
      <c r="N3927" s="14">
        <f>IF(A3927="","",YEAR(A3927))</f>
        <v/>
      </c>
    </row>
    <row r="3928">
      <c r="A3928" s="15" t="n"/>
      <c r="B3928" s="10" t="n"/>
      <c r="C3928" s="10" t="n"/>
      <c r="D3928" s="10" t="n"/>
      <c r="E3928" s="14">
        <f>IF(D3928="","",IFERROR(INDEX('Sản phẩm'!$B$5:$B$304,MATCH(D3928,'Sản phẩm'!$A$5:$A$304,0)),""))</f>
        <v/>
      </c>
      <c r="F3928" s="12" t="n"/>
      <c r="G3928" s="11" t="n"/>
      <c r="H3928" s="11" t="n"/>
      <c r="I3928" s="16">
        <f>IF(D3928="","",IF(G3928&lt;&gt;"",G3928,IFERROR(INDEX('Sản phẩm'!$E$5:$E$304,MATCH(D3928,'Sản phẩm'!$A$5:$A$304,0)),"")))</f>
        <v/>
      </c>
      <c r="J3928" s="16">
        <f>IF(OR(D3928="",F3928=""),"",F3928*I3928-N(H3928))</f>
        <v/>
      </c>
      <c r="K3928" s="16">
        <f>IF(OR(D3928="",F3928=""),"",F3928*IFERROR(INDEX('Sản phẩm'!$D$5:$D$304,MATCH(D3928,'Sản phẩm'!$A$5:$A$304,0)),""))</f>
        <v/>
      </c>
      <c r="L3928" s="16">
        <f>IF(J3928="","",J3928-K3928)</f>
        <v/>
      </c>
      <c r="M3928" s="14">
        <f>IF(A3928="","",MONTH(A3928))</f>
        <v/>
      </c>
      <c r="N3928" s="14">
        <f>IF(A3928="","",YEAR(A3928))</f>
        <v/>
      </c>
    </row>
    <row r="3929">
      <c r="A3929" s="15" t="n"/>
      <c r="B3929" s="10" t="n"/>
      <c r="C3929" s="10" t="n"/>
      <c r="D3929" s="10" t="n"/>
      <c r="E3929" s="14">
        <f>IF(D3929="","",IFERROR(INDEX('Sản phẩm'!$B$5:$B$304,MATCH(D3929,'Sản phẩm'!$A$5:$A$304,0)),""))</f>
        <v/>
      </c>
      <c r="F3929" s="12" t="n"/>
      <c r="G3929" s="11" t="n"/>
      <c r="H3929" s="11" t="n"/>
      <c r="I3929" s="16">
        <f>IF(D3929="","",IF(G3929&lt;&gt;"",G3929,IFERROR(INDEX('Sản phẩm'!$E$5:$E$304,MATCH(D3929,'Sản phẩm'!$A$5:$A$304,0)),"")))</f>
        <v/>
      </c>
      <c r="J3929" s="16">
        <f>IF(OR(D3929="",F3929=""),"",F3929*I3929-N(H3929))</f>
        <v/>
      </c>
      <c r="K3929" s="16">
        <f>IF(OR(D3929="",F3929=""),"",F3929*IFERROR(INDEX('Sản phẩm'!$D$5:$D$304,MATCH(D3929,'Sản phẩm'!$A$5:$A$304,0)),""))</f>
        <v/>
      </c>
      <c r="L3929" s="16">
        <f>IF(J3929="","",J3929-K3929)</f>
        <v/>
      </c>
      <c r="M3929" s="14">
        <f>IF(A3929="","",MONTH(A3929))</f>
        <v/>
      </c>
      <c r="N3929" s="14">
        <f>IF(A3929="","",YEAR(A3929))</f>
        <v/>
      </c>
    </row>
    <row r="3930">
      <c r="A3930" s="15" t="n"/>
      <c r="B3930" s="10" t="n"/>
      <c r="C3930" s="10" t="n"/>
      <c r="D3930" s="10" t="n"/>
      <c r="E3930" s="14">
        <f>IF(D3930="","",IFERROR(INDEX('Sản phẩm'!$B$5:$B$304,MATCH(D3930,'Sản phẩm'!$A$5:$A$304,0)),""))</f>
        <v/>
      </c>
      <c r="F3930" s="12" t="n"/>
      <c r="G3930" s="11" t="n"/>
      <c r="H3930" s="11" t="n"/>
      <c r="I3930" s="16">
        <f>IF(D3930="","",IF(G3930&lt;&gt;"",G3930,IFERROR(INDEX('Sản phẩm'!$E$5:$E$304,MATCH(D3930,'Sản phẩm'!$A$5:$A$304,0)),"")))</f>
        <v/>
      </c>
      <c r="J3930" s="16">
        <f>IF(OR(D3930="",F3930=""),"",F3930*I3930-N(H3930))</f>
        <v/>
      </c>
      <c r="K3930" s="16">
        <f>IF(OR(D3930="",F3930=""),"",F3930*IFERROR(INDEX('Sản phẩm'!$D$5:$D$304,MATCH(D3930,'Sản phẩm'!$A$5:$A$304,0)),""))</f>
        <v/>
      </c>
      <c r="L3930" s="16">
        <f>IF(J3930="","",J3930-K3930)</f>
        <v/>
      </c>
      <c r="M3930" s="14">
        <f>IF(A3930="","",MONTH(A3930))</f>
        <v/>
      </c>
      <c r="N3930" s="14">
        <f>IF(A3930="","",YEAR(A3930))</f>
        <v/>
      </c>
    </row>
    <row r="3931">
      <c r="A3931" s="15" t="n"/>
      <c r="B3931" s="10" t="n"/>
      <c r="C3931" s="10" t="n"/>
      <c r="D3931" s="10" t="n"/>
      <c r="E3931" s="14">
        <f>IF(D3931="","",IFERROR(INDEX('Sản phẩm'!$B$5:$B$304,MATCH(D3931,'Sản phẩm'!$A$5:$A$304,0)),""))</f>
        <v/>
      </c>
      <c r="F3931" s="12" t="n"/>
      <c r="G3931" s="11" t="n"/>
      <c r="H3931" s="11" t="n"/>
      <c r="I3931" s="16">
        <f>IF(D3931="","",IF(G3931&lt;&gt;"",G3931,IFERROR(INDEX('Sản phẩm'!$E$5:$E$304,MATCH(D3931,'Sản phẩm'!$A$5:$A$304,0)),"")))</f>
        <v/>
      </c>
      <c r="J3931" s="16">
        <f>IF(OR(D3931="",F3931=""),"",F3931*I3931-N(H3931))</f>
        <v/>
      </c>
      <c r="K3931" s="16">
        <f>IF(OR(D3931="",F3931=""),"",F3931*IFERROR(INDEX('Sản phẩm'!$D$5:$D$304,MATCH(D3931,'Sản phẩm'!$A$5:$A$304,0)),""))</f>
        <v/>
      </c>
      <c r="L3931" s="16">
        <f>IF(J3931="","",J3931-K3931)</f>
        <v/>
      </c>
      <c r="M3931" s="14">
        <f>IF(A3931="","",MONTH(A3931))</f>
        <v/>
      </c>
      <c r="N3931" s="14">
        <f>IF(A3931="","",YEAR(A3931))</f>
        <v/>
      </c>
    </row>
    <row r="3932">
      <c r="A3932" s="15" t="n"/>
      <c r="B3932" s="10" t="n"/>
      <c r="C3932" s="10" t="n"/>
      <c r="D3932" s="10" t="n"/>
      <c r="E3932" s="14">
        <f>IF(D3932="","",IFERROR(INDEX('Sản phẩm'!$B$5:$B$304,MATCH(D3932,'Sản phẩm'!$A$5:$A$304,0)),""))</f>
        <v/>
      </c>
      <c r="F3932" s="12" t="n"/>
      <c r="G3932" s="11" t="n"/>
      <c r="H3932" s="11" t="n"/>
      <c r="I3932" s="16">
        <f>IF(D3932="","",IF(G3932&lt;&gt;"",G3932,IFERROR(INDEX('Sản phẩm'!$E$5:$E$304,MATCH(D3932,'Sản phẩm'!$A$5:$A$304,0)),"")))</f>
        <v/>
      </c>
      <c r="J3932" s="16">
        <f>IF(OR(D3932="",F3932=""),"",F3932*I3932-N(H3932))</f>
        <v/>
      </c>
      <c r="K3932" s="16">
        <f>IF(OR(D3932="",F3932=""),"",F3932*IFERROR(INDEX('Sản phẩm'!$D$5:$D$304,MATCH(D3932,'Sản phẩm'!$A$5:$A$304,0)),""))</f>
        <v/>
      </c>
      <c r="L3932" s="16">
        <f>IF(J3932="","",J3932-K3932)</f>
        <v/>
      </c>
      <c r="M3932" s="14">
        <f>IF(A3932="","",MONTH(A3932))</f>
        <v/>
      </c>
      <c r="N3932" s="14">
        <f>IF(A3932="","",YEAR(A3932))</f>
        <v/>
      </c>
    </row>
    <row r="3933">
      <c r="A3933" s="15" t="n"/>
      <c r="B3933" s="10" t="n"/>
      <c r="C3933" s="10" t="n"/>
      <c r="D3933" s="10" t="n"/>
      <c r="E3933" s="14">
        <f>IF(D3933="","",IFERROR(INDEX('Sản phẩm'!$B$5:$B$304,MATCH(D3933,'Sản phẩm'!$A$5:$A$304,0)),""))</f>
        <v/>
      </c>
      <c r="F3933" s="12" t="n"/>
      <c r="G3933" s="11" t="n"/>
      <c r="H3933" s="11" t="n"/>
      <c r="I3933" s="16">
        <f>IF(D3933="","",IF(G3933&lt;&gt;"",G3933,IFERROR(INDEX('Sản phẩm'!$E$5:$E$304,MATCH(D3933,'Sản phẩm'!$A$5:$A$304,0)),"")))</f>
        <v/>
      </c>
      <c r="J3933" s="16">
        <f>IF(OR(D3933="",F3933=""),"",F3933*I3933-N(H3933))</f>
        <v/>
      </c>
      <c r="K3933" s="16">
        <f>IF(OR(D3933="",F3933=""),"",F3933*IFERROR(INDEX('Sản phẩm'!$D$5:$D$304,MATCH(D3933,'Sản phẩm'!$A$5:$A$304,0)),""))</f>
        <v/>
      </c>
      <c r="L3933" s="16">
        <f>IF(J3933="","",J3933-K3933)</f>
        <v/>
      </c>
      <c r="M3933" s="14">
        <f>IF(A3933="","",MONTH(A3933))</f>
        <v/>
      </c>
      <c r="N3933" s="14">
        <f>IF(A3933="","",YEAR(A3933))</f>
        <v/>
      </c>
    </row>
    <row r="3934">
      <c r="A3934" s="15" t="n"/>
      <c r="B3934" s="10" t="n"/>
      <c r="C3934" s="10" t="n"/>
      <c r="D3934" s="10" t="n"/>
      <c r="E3934" s="14">
        <f>IF(D3934="","",IFERROR(INDEX('Sản phẩm'!$B$5:$B$304,MATCH(D3934,'Sản phẩm'!$A$5:$A$304,0)),""))</f>
        <v/>
      </c>
      <c r="F3934" s="12" t="n"/>
      <c r="G3934" s="11" t="n"/>
      <c r="H3934" s="11" t="n"/>
      <c r="I3934" s="16">
        <f>IF(D3934="","",IF(G3934&lt;&gt;"",G3934,IFERROR(INDEX('Sản phẩm'!$E$5:$E$304,MATCH(D3934,'Sản phẩm'!$A$5:$A$304,0)),"")))</f>
        <v/>
      </c>
      <c r="J3934" s="16">
        <f>IF(OR(D3934="",F3934=""),"",F3934*I3934-N(H3934))</f>
        <v/>
      </c>
      <c r="K3934" s="16">
        <f>IF(OR(D3934="",F3934=""),"",F3934*IFERROR(INDEX('Sản phẩm'!$D$5:$D$304,MATCH(D3934,'Sản phẩm'!$A$5:$A$304,0)),""))</f>
        <v/>
      </c>
      <c r="L3934" s="16">
        <f>IF(J3934="","",J3934-K3934)</f>
        <v/>
      </c>
      <c r="M3934" s="14">
        <f>IF(A3934="","",MONTH(A3934))</f>
        <v/>
      </c>
      <c r="N3934" s="14">
        <f>IF(A3934="","",YEAR(A3934))</f>
        <v/>
      </c>
    </row>
    <row r="3935">
      <c r="A3935" s="15" t="n"/>
      <c r="B3935" s="10" t="n"/>
      <c r="C3935" s="10" t="n"/>
      <c r="D3935" s="10" t="n"/>
      <c r="E3935" s="14">
        <f>IF(D3935="","",IFERROR(INDEX('Sản phẩm'!$B$5:$B$304,MATCH(D3935,'Sản phẩm'!$A$5:$A$304,0)),""))</f>
        <v/>
      </c>
      <c r="F3935" s="12" t="n"/>
      <c r="G3935" s="11" t="n"/>
      <c r="H3935" s="11" t="n"/>
      <c r="I3935" s="16">
        <f>IF(D3935="","",IF(G3935&lt;&gt;"",G3935,IFERROR(INDEX('Sản phẩm'!$E$5:$E$304,MATCH(D3935,'Sản phẩm'!$A$5:$A$304,0)),"")))</f>
        <v/>
      </c>
      <c r="J3935" s="16">
        <f>IF(OR(D3935="",F3935=""),"",F3935*I3935-N(H3935))</f>
        <v/>
      </c>
      <c r="K3935" s="16">
        <f>IF(OR(D3935="",F3935=""),"",F3935*IFERROR(INDEX('Sản phẩm'!$D$5:$D$304,MATCH(D3935,'Sản phẩm'!$A$5:$A$304,0)),""))</f>
        <v/>
      </c>
      <c r="L3935" s="16">
        <f>IF(J3935="","",J3935-K3935)</f>
        <v/>
      </c>
      <c r="M3935" s="14">
        <f>IF(A3935="","",MONTH(A3935))</f>
        <v/>
      </c>
      <c r="N3935" s="14">
        <f>IF(A3935="","",YEAR(A3935))</f>
        <v/>
      </c>
    </row>
    <row r="3936">
      <c r="A3936" s="15" t="n"/>
      <c r="B3936" s="10" t="n"/>
      <c r="C3936" s="10" t="n"/>
      <c r="D3936" s="10" t="n"/>
      <c r="E3936" s="14">
        <f>IF(D3936="","",IFERROR(INDEX('Sản phẩm'!$B$5:$B$304,MATCH(D3936,'Sản phẩm'!$A$5:$A$304,0)),""))</f>
        <v/>
      </c>
      <c r="F3936" s="12" t="n"/>
      <c r="G3936" s="11" t="n"/>
      <c r="H3936" s="11" t="n"/>
      <c r="I3936" s="16">
        <f>IF(D3936="","",IF(G3936&lt;&gt;"",G3936,IFERROR(INDEX('Sản phẩm'!$E$5:$E$304,MATCH(D3936,'Sản phẩm'!$A$5:$A$304,0)),"")))</f>
        <v/>
      </c>
      <c r="J3936" s="16">
        <f>IF(OR(D3936="",F3936=""),"",F3936*I3936-N(H3936))</f>
        <v/>
      </c>
      <c r="K3936" s="16">
        <f>IF(OR(D3936="",F3936=""),"",F3936*IFERROR(INDEX('Sản phẩm'!$D$5:$D$304,MATCH(D3936,'Sản phẩm'!$A$5:$A$304,0)),""))</f>
        <v/>
      </c>
      <c r="L3936" s="16">
        <f>IF(J3936="","",J3936-K3936)</f>
        <v/>
      </c>
      <c r="M3936" s="14">
        <f>IF(A3936="","",MONTH(A3936))</f>
        <v/>
      </c>
      <c r="N3936" s="14">
        <f>IF(A3936="","",YEAR(A3936))</f>
        <v/>
      </c>
    </row>
    <row r="3937">
      <c r="A3937" s="15" t="n"/>
      <c r="B3937" s="10" t="n"/>
      <c r="C3937" s="10" t="n"/>
      <c r="D3937" s="10" t="n"/>
      <c r="E3937" s="14">
        <f>IF(D3937="","",IFERROR(INDEX('Sản phẩm'!$B$5:$B$304,MATCH(D3937,'Sản phẩm'!$A$5:$A$304,0)),""))</f>
        <v/>
      </c>
      <c r="F3937" s="12" t="n"/>
      <c r="G3937" s="11" t="n"/>
      <c r="H3937" s="11" t="n"/>
      <c r="I3937" s="16">
        <f>IF(D3937="","",IF(G3937&lt;&gt;"",G3937,IFERROR(INDEX('Sản phẩm'!$E$5:$E$304,MATCH(D3937,'Sản phẩm'!$A$5:$A$304,0)),"")))</f>
        <v/>
      </c>
      <c r="J3937" s="16">
        <f>IF(OR(D3937="",F3937=""),"",F3937*I3937-N(H3937))</f>
        <v/>
      </c>
      <c r="K3937" s="16">
        <f>IF(OR(D3937="",F3937=""),"",F3937*IFERROR(INDEX('Sản phẩm'!$D$5:$D$304,MATCH(D3937,'Sản phẩm'!$A$5:$A$304,0)),""))</f>
        <v/>
      </c>
      <c r="L3937" s="16">
        <f>IF(J3937="","",J3937-K3937)</f>
        <v/>
      </c>
      <c r="M3937" s="14">
        <f>IF(A3937="","",MONTH(A3937))</f>
        <v/>
      </c>
      <c r="N3937" s="14">
        <f>IF(A3937="","",YEAR(A3937))</f>
        <v/>
      </c>
    </row>
    <row r="3938">
      <c r="A3938" s="15" t="n"/>
      <c r="B3938" s="10" t="n"/>
      <c r="C3938" s="10" t="n"/>
      <c r="D3938" s="10" t="n"/>
      <c r="E3938" s="14">
        <f>IF(D3938="","",IFERROR(INDEX('Sản phẩm'!$B$5:$B$304,MATCH(D3938,'Sản phẩm'!$A$5:$A$304,0)),""))</f>
        <v/>
      </c>
      <c r="F3938" s="12" t="n"/>
      <c r="G3938" s="11" t="n"/>
      <c r="H3938" s="11" t="n"/>
      <c r="I3938" s="16">
        <f>IF(D3938="","",IF(G3938&lt;&gt;"",G3938,IFERROR(INDEX('Sản phẩm'!$E$5:$E$304,MATCH(D3938,'Sản phẩm'!$A$5:$A$304,0)),"")))</f>
        <v/>
      </c>
      <c r="J3938" s="16">
        <f>IF(OR(D3938="",F3938=""),"",F3938*I3938-N(H3938))</f>
        <v/>
      </c>
      <c r="K3938" s="16">
        <f>IF(OR(D3938="",F3938=""),"",F3938*IFERROR(INDEX('Sản phẩm'!$D$5:$D$304,MATCH(D3938,'Sản phẩm'!$A$5:$A$304,0)),""))</f>
        <v/>
      </c>
      <c r="L3938" s="16">
        <f>IF(J3938="","",J3938-K3938)</f>
        <v/>
      </c>
      <c r="M3938" s="14">
        <f>IF(A3938="","",MONTH(A3938))</f>
        <v/>
      </c>
      <c r="N3938" s="14">
        <f>IF(A3938="","",YEAR(A3938))</f>
        <v/>
      </c>
    </row>
    <row r="3939">
      <c r="A3939" s="15" t="n"/>
      <c r="B3939" s="10" t="n"/>
      <c r="C3939" s="10" t="n"/>
      <c r="D3939" s="10" t="n"/>
      <c r="E3939" s="14">
        <f>IF(D3939="","",IFERROR(INDEX('Sản phẩm'!$B$5:$B$304,MATCH(D3939,'Sản phẩm'!$A$5:$A$304,0)),""))</f>
        <v/>
      </c>
      <c r="F3939" s="12" t="n"/>
      <c r="G3939" s="11" t="n"/>
      <c r="H3939" s="11" t="n"/>
      <c r="I3939" s="16">
        <f>IF(D3939="","",IF(G3939&lt;&gt;"",G3939,IFERROR(INDEX('Sản phẩm'!$E$5:$E$304,MATCH(D3939,'Sản phẩm'!$A$5:$A$304,0)),"")))</f>
        <v/>
      </c>
      <c r="J3939" s="16">
        <f>IF(OR(D3939="",F3939=""),"",F3939*I3939-N(H3939))</f>
        <v/>
      </c>
      <c r="K3939" s="16">
        <f>IF(OR(D3939="",F3939=""),"",F3939*IFERROR(INDEX('Sản phẩm'!$D$5:$D$304,MATCH(D3939,'Sản phẩm'!$A$5:$A$304,0)),""))</f>
        <v/>
      </c>
      <c r="L3939" s="16">
        <f>IF(J3939="","",J3939-K3939)</f>
        <v/>
      </c>
      <c r="M3939" s="14">
        <f>IF(A3939="","",MONTH(A3939))</f>
        <v/>
      </c>
      <c r="N3939" s="14">
        <f>IF(A3939="","",YEAR(A3939))</f>
        <v/>
      </c>
    </row>
    <row r="3940">
      <c r="A3940" s="15" t="n"/>
      <c r="B3940" s="10" t="n"/>
      <c r="C3940" s="10" t="n"/>
      <c r="D3940" s="10" t="n"/>
      <c r="E3940" s="14">
        <f>IF(D3940="","",IFERROR(INDEX('Sản phẩm'!$B$5:$B$304,MATCH(D3940,'Sản phẩm'!$A$5:$A$304,0)),""))</f>
        <v/>
      </c>
      <c r="F3940" s="12" t="n"/>
      <c r="G3940" s="11" t="n"/>
      <c r="H3940" s="11" t="n"/>
      <c r="I3940" s="16">
        <f>IF(D3940="","",IF(G3940&lt;&gt;"",G3940,IFERROR(INDEX('Sản phẩm'!$E$5:$E$304,MATCH(D3940,'Sản phẩm'!$A$5:$A$304,0)),"")))</f>
        <v/>
      </c>
      <c r="J3940" s="16">
        <f>IF(OR(D3940="",F3940=""),"",F3940*I3940-N(H3940))</f>
        <v/>
      </c>
      <c r="K3940" s="16">
        <f>IF(OR(D3940="",F3940=""),"",F3940*IFERROR(INDEX('Sản phẩm'!$D$5:$D$304,MATCH(D3940,'Sản phẩm'!$A$5:$A$304,0)),""))</f>
        <v/>
      </c>
      <c r="L3940" s="16">
        <f>IF(J3940="","",J3940-K3940)</f>
        <v/>
      </c>
      <c r="M3940" s="14">
        <f>IF(A3940="","",MONTH(A3940))</f>
        <v/>
      </c>
      <c r="N3940" s="14">
        <f>IF(A3940="","",YEAR(A3940))</f>
        <v/>
      </c>
    </row>
    <row r="3941">
      <c r="A3941" s="15" t="n"/>
      <c r="B3941" s="10" t="n"/>
      <c r="C3941" s="10" t="n"/>
      <c r="D3941" s="10" t="n"/>
      <c r="E3941" s="14">
        <f>IF(D3941="","",IFERROR(INDEX('Sản phẩm'!$B$5:$B$304,MATCH(D3941,'Sản phẩm'!$A$5:$A$304,0)),""))</f>
        <v/>
      </c>
      <c r="F3941" s="12" t="n"/>
      <c r="G3941" s="11" t="n"/>
      <c r="H3941" s="11" t="n"/>
      <c r="I3941" s="16">
        <f>IF(D3941="","",IF(G3941&lt;&gt;"",G3941,IFERROR(INDEX('Sản phẩm'!$E$5:$E$304,MATCH(D3941,'Sản phẩm'!$A$5:$A$304,0)),"")))</f>
        <v/>
      </c>
      <c r="J3941" s="16">
        <f>IF(OR(D3941="",F3941=""),"",F3941*I3941-N(H3941))</f>
        <v/>
      </c>
      <c r="K3941" s="16">
        <f>IF(OR(D3941="",F3941=""),"",F3941*IFERROR(INDEX('Sản phẩm'!$D$5:$D$304,MATCH(D3941,'Sản phẩm'!$A$5:$A$304,0)),""))</f>
        <v/>
      </c>
      <c r="L3941" s="16">
        <f>IF(J3941="","",J3941-K3941)</f>
        <v/>
      </c>
      <c r="M3941" s="14">
        <f>IF(A3941="","",MONTH(A3941))</f>
        <v/>
      </c>
      <c r="N3941" s="14">
        <f>IF(A3941="","",YEAR(A3941))</f>
        <v/>
      </c>
    </row>
    <row r="3942">
      <c r="A3942" s="15" t="n"/>
      <c r="B3942" s="10" t="n"/>
      <c r="C3942" s="10" t="n"/>
      <c r="D3942" s="10" t="n"/>
      <c r="E3942" s="14">
        <f>IF(D3942="","",IFERROR(INDEX('Sản phẩm'!$B$5:$B$304,MATCH(D3942,'Sản phẩm'!$A$5:$A$304,0)),""))</f>
        <v/>
      </c>
      <c r="F3942" s="12" t="n"/>
      <c r="G3942" s="11" t="n"/>
      <c r="H3942" s="11" t="n"/>
      <c r="I3942" s="16">
        <f>IF(D3942="","",IF(G3942&lt;&gt;"",G3942,IFERROR(INDEX('Sản phẩm'!$E$5:$E$304,MATCH(D3942,'Sản phẩm'!$A$5:$A$304,0)),"")))</f>
        <v/>
      </c>
      <c r="J3942" s="16">
        <f>IF(OR(D3942="",F3942=""),"",F3942*I3942-N(H3942))</f>
        <v/>
      </c>
      <c r="K3942" s="16">
        <f>IF(OR(D3942="",F3942=""),"",F3942*IFERROR(INDEX('Sản phẩm'!$D$5:$D$304,MATCH(D3942,'Sản phẩm'!$A$5:$A$304,0)),""))</f>
        <v/>
      </c>
      <c r="L3942" s="16">
        <f>IF(J3942="","",J3942-K3942)</f>
        <v/>
      </c>
      <c r="M3942" s="14">
        <f>IF(A3942="","",MONTH(A3942))</f>
        <v/>
      </c>
      <c r="N3942" s="14">
        <f>IF(A3942="","",YEAR(A3942))</f>
        <v/>
      </c>
    </row>
    <row r="3943">
      <c r="A3943" s="15" t="n"/>
      <c r="B3943" s="10" t="n"/>
      <c r="C3943" s="10" t="n"/>
      <c r="D3943" s="10" t="n"/>
      <c r="E3943" s="14">
        <f>IF(D3943="","",IFERROR(INDEX('Sản phẩm'!$B$5:$B$304,MATCH(D3943,'Sản phẩm'!$A$5:$A$304,0)),""))</f>
        <v/>
      </c>
      <c r="F3943" s="12" t="n"/>
      <c r="G3943" s="11" t="n"/>
      <c r="H3943" s="11" t="n"/>
      <c r="I3943" s="16">
        <f>IF(D3943="","",IF(G3943&lt;&gt;"",G3943,IFERROR(INDEX('Sản phẩm'!$E$5:$E$304,MATCH(D3943,'Sản phẩm'!$A$5:$A$304,0)),"")))</f>
        <v/>
      </c>
      <c r="J3943" s="16">
        <f>IF(OR(D3943="",F3943=""),"",F3943*I3943-N(H3943))</f>
        <v/>
      </c>
      <c r="K3943" s="16">
        <f>IF(OR(D3943="",F3943=""),"",F3943*IFERROR(INDEX('Sản phẩm'!$D$5:$D$304,MATCH(D3943,'Sản phẩm'!$A$5:$A$304,0)),""))</f>
        <v/>
      </c>
      <c r="L3943" s="16">
        <f>IF(J3943="","",J3943-K3943)</f>
        <v/>
      </c>
      <c r="M3943" s="14">
        <f>IF(A3943="","",MONTH(A3943))</f>
        <v/>
      </c>
      <c r="N3943" s="14">
        <f>IF(A3943="","",YEAR(A3943))</f>
        <v/>
      </c>
    </row>
    <row r="3944">
      <c r="A3944" s="15" t="n"/>
      <c r="B3944" s="10" t="n"/>
      <c r="C3944" s="10" t="n"/>
      <c r="D3944" s="10" t="n"/>
      <c r="E3944" s="14">
        <f>IF(D3944="","",IFERROR(INDEX('Sản phẩm'!$B$5:$B$304,MATCH(D3944,'Sản phẩm'!$A$5:$A$304,0)),""))</f>
        <v/>
      </c>
      <c r="F3944" s="12" t="n"/>
      <c r="G3944" s="11" t="n"/>
      <c r="H3944" s="11" t="n"/>
      <c r="I3944" s="16">
        <f>IF(D3944="","",IF(G3944&lt;&gt;"",G3944,IFERROR(INDEX('Sản phẩm'!$E$5:$E$304,MATCH(D3944,'Sản phẩm'!$A$5:$A$304,0)),"")))</f>
        <v/>
      </c>
      <c r="J3944" s="16">
        <f>IF(OR(D3944="",F3944=""),"",F3944*I3944-N(H3944))</f>
        <v/>
      </c>
      <c r="K3944" s="16">
        <f>IF(OR(D3944="",F3944=""),"",F3944*IFERROR(INDEX('Sản phẩm'!$D$5:$D$304,MATCH(D3944,'Sản phẩm'!$A$5:$A$304,0)),""))</f>
        <v/>
      </c>
      <c r="L3944" s="16">
        <f>IF(J3944="","",J3944-K3944)</f>
        <v/>
      </c>
      <c r="M3944" s="14">
        <f>IF(A3944="","",MONTH(A3944))</f>
        <v/>
      </c>
      <c r="N3944" s="14">
        <f>IF(A3944="","",YEAR(A3944))</f>
        <v/>
      </c>
    </row>
    <row r="3945">
      <c r="A3945" s="15" t="n"/>
      <c r="B3945" s="10" t="n"/>
      <c r="C3945" s="10" t="n"/>
      <c r="D3945" s="10" t="n"/>
      <c r="E3945" s="14">
        <f>IF(D3945="","",IFERROR(INDEX('Sản phẩm'!$B$5:$B$304,MATCH(D3945,'Sản phẩm'!$A$5:$A$304,0)),""))</f>
        <v/>
      </c>
      <c r="F3945" s="12" t="n"/>
      <c r="G3945" s="11" t="n"/>
      <c r="H3945" s="11" t="n"/>
      <c r="I3945" s="16">
        <f>IF(D3945="","",IF(G3945&lt;&gt;"",G3945,IFERROR(INDEX('Sản phẩm'!$E$5:$E$304,MATCH(D3945,'Sản phẩm'!$A$5:$A$304,0)),"")))</f>
        <v/>
      </c>
      <c r="J3945" s="16">
        <f>IF(OR(D3945="",F3945=""),"",F3945*I3945-N(H3945))</f>
        <v/>
      </c>
      <c r="K3945" s="16">
        <f>IF(OR(D3945="",F3945=""),"",F3945*IFERROR(INDEX('Sản phẩm'!$D$5:$D$304,MATCH(D3945,'Sản phẩm'!$A$5:$A$304,0)),""))</f>
        <v/>
      </c>
      <c r="L3945" s="16">
        <f>IF(J3945="","",J3945-K3945)</f>
        <v/>
      </c>
      <c r="M3945" s="14">
        <f>IF(A3945="","",MONTH(A3945))</f>
        <v/>
      </c>
      <c r="N3945" s="14">
        <f>IF(A3945="","",YEAR(A3945))</f>
        <v/>
      </c>
    </row>
    <row r="3946">
      <c r="A3946" s="15" t="n"/>
      <c r="B3946" s="10" t="n"/>
      <c r="C3946" s="10" t="n"/>
      <c r="D3946" s="10" t="n"/>
      <c r="E3946" s="14">
        <f>IF(D3946="","",IFERROR(INDEX('Sản phẩm'!$B$5:$B$304,MATCH(D3946,'Sản phẩm'!$A$5:$A$304,0)),""))</f>
        <v/>
      </c>
      <c r="F3946" s="12" t="n"/>
      <c r="G3946" s="11" t="n"/>
      <c r="H3946" s="11" t="n"/>
      <c r="I3946" s="16">
        <f>IF(D3946="","",IF(G3946&lt;&gt;"",G3946,IFERROR(INDEX('Sản phẩm'!$E$5:$E$304,MATCH(D3946,'Sản phẩm'!$A$5:$A$304,0)),"")))</f>
        <v/>
      </c>
      <c r="J3946" s="16">
        <f>IF(OR(D3946="",F3946=""),"",F3946*I3946-N(H3946))</f>
        <v/>
      </c>
      <c r="K3946" s="16">
        <f>IF(OR(D3946="",F3946=""),"",F3946*IFERROR(INDEX('Sản phẩm'!$D$5:$D$304,MATCH(D3946,'Sản phẩm'!$A$5:$A$304,0)),""))</f>
        <v/>
      </c>
      <c r="L3946" s="16">
        <f>IF(J3946="","",J3946-K3946)</f>
        <v/>
      </c>
      <c r="M3946" s="14">
        <f>IF(A3946="","",MONTH(A3946))</f>
        <v/>
      </c>
      <c r="N3946" s="14">
        <f>IF(A3946="","",YEAR(A3946))</f>
        <v/>
      </c>
    </row>
    <row r="3947">
      <c r="A3947" s="15" t="n"/>
      <c r="B3947" s="10" t="n"/>
      <c r="C3947" s="10" t="n"/>
      <c r="D3947" s="10" t="n"/>
      <c r="E3947" s="14">
        <f>IF(D3947="","",IFERROR(INDEX('Sản phẩm'!$B$5:$B$304,MATCH(D3947,'Sản phẩm'!$A$5:$A$304,0)),""))</f>
        <v/>
      </c>
      <c r="F3947" s="12" t="n"/>
      <c r="G3947" s="11" t="n"/>
      <c r="H3947" s="11" t="n"/>
      <c r="I3947" s="16">
        <f>IF(D3947="","",IF(G3947&lt;&gt;"",G3947,IFERROR(INDEX('Sản phẩm'!$E$5:$E$304,MATCH(D3947,'Sản phẩm'!$A$5:$A$304,0)),"")))</f>
        <v/>
      </c>
      <c r="J3947" s="16">
        <f>IF(OR(D3947="",F3947=""),"",F3947*I3947-N(H3947))</f>
        <v/>
      </c>
      <c r="K3947" s="16">
        <f>IF(OR(D3947="",F3947=""),"",F3947*IFERROR(INDEX('Sản phẩm'!$D$5:$D$304,MATCH(D3947,'Sản phẩm'!$A$5:$A$304,0)),""))</f>
        <v/>
      </c>
      <c r="L3947" s="16">
        <f>IF(J3947="","",J3947-K3947)</f>
        <v/>
      </c>
      <c r="M3947" s="14">
        <f>IF(A3947="","",MONTH(A3947))</f>
        <v/>
      </c>
      <c r="N3947" s="14">
        <f>IF(A3947="","",YEAR(A3947))</f>
        <v/>
      </c>
    </row>
    <row r="3948">
      <c r="A3948" s="15" t="n"/>
      <c r="B3948" s="10" t="n"/>
      <c r="C3948" s="10" t="n"/>
      <c r="D3948" s="10" t="n"/>
      <c r="E3948" s="14">
        <f>IF(D3948="","",IFERROR(INDEX('Sản phẩm'!$B$5:$B$304,MATCH(D3948,'Sản phẩm'!$A$5:$A$304,0)),""))</f>
        <v/>
      </c>
      <c r="F3948" s="12" t="n"/>
      <c r="G3948" s="11" t="n"/>
      <c r="H3948" s="11" t="n"/>
      <c r="I3948" s="16">
        <f>IF(D3948="","",IF(G3948&lt;&gt;"",G3948,IFERROR(INDEX('Sản phẩm'!$E$5:$E$304,MATCH(D3948,'Sản phẩm'!$A$5:$A$304,0)),"")))</f>
        <v/>
      </c>
      <c r="J3948" s="16">
        <f>IF(OR(D3948="",F3948=""),"",F3948*I3948-N(H3948))</f>
        <v/>
      </c>
      <c r="K3948" s="16">
        <f>IF(OR(D3948="",F3948=""),"",F3948*IFERROR(INDEX('Sản phẩm'!$D$5:$D$304,MATCH(D3948,'Sản phẩm'!$A$5:$A$304,0)),""))</f>
        <v/>
      </c>
      <c r="L3948" s="16">
        <f>IF(J3948="","",J3948-K3948)</f>
        <v/>
      </c>
      <c r="M3948" s="14">
        <f>IF(A3948="","",MONTH(A3948))</f>
        <v/>
      </c>
      <c r="N3948" s="14">
        <f>IF(A3948="","",YEAR(A3948))</f>
        <v/>
      </c>
    </row>
    <row r="3949">
      <c r="A3949" s="15" t="n"/>
      <c r="B3949" s="10" t="n"/>
      <c r="C3949" s="10" t="n"/>
      <c r="D3949" s="10" t="n"/>
      <c r="E3949" s="14">
        <f>IF(D3949="","",IFERROR(INDEX('Sản phẩm'!$B$5:$B$304,MATCH(D3949,'Sản phẩm'!$A$5:$A$304,0)),""))</f>
        <v/>
      </c>
      <c r="F3949" s="12" t="n"/>
      <c r="G3949" s="11" t="n"/>
      <c r="H3949" s="11" t="n"/>
      <c r="I3949" s="16">
        <f>IF(D3949="","",IF(G3949&lt;&gt;"",G3949,IFERROR(INDEX('Sản phẩm'!$E$5:$E$304,MATCH(D3949,'Sản phẩm'!$A$5:$A$304,0)),"")))</f>
        <v/>
      </c>
      <c r="J3949" s="16">
        <f>IF(OR(D3949="",F3949=""),"",F3949*I3949-N(H3949))</f>
        <v/>
      </c>
      <c r="K3949" s="16">
        <f>IF(OR(D3949="",F3949=""),"",F3949*IFERROR(INDEX('Sản phẩm'!$D$5:$D$304,MATCH(D3949,'Sản phẩm'!$A$5:$A$304,0)),""))</f>
        <v/>
      </c>
      <c r="L3949" s="16">
        <f>IF(J3949="","",J3949-K3949)</f>
        <v/>
      </c>
      <c r="M3949" s="14">
        <f>IF(A3949="","",MONTH(A3949))</f>
        <v/>
      </c>
      <c r="N3949" s="14">
        <f>IF(A3949="","",YEAR(A3949))</f>
        <v/>
      </c>
    </row>
    <row r="3950">
      <c r="A3950" s="15" t="n"/>
      <c r="B3950" s="10" t="n"/>
      <c r="C3950" s="10" t="n"/>
      <c r="D3950" s="10" t="n"/>
      <c r="E3950" s="14">
        <f>IF(D3950="","",IFERROR(INDEX('Sản phẩm'!$B$5:$B$304,MATCH(D3950,'Sản phẩm'!$A$5:$A$304,0)),""))</f>
        <v/>
      </c>
      <c r="F3950" s="12" t="n"/>
      <c r="G3950" s="11" t="n"/>
      <c r="H3950" s="11" t="n"/>
      <c r="I3950" s="16">
        <f>IF(D3950="","",IF(G3950&lt;&gt;"",G3950,IFERROR(INDEX('Sản phẩm'!$E$5:$E$304,MATCH(D3950,'Sản phẩm'!$A$5:$A$304,0)),"")))</f>
        <v/>
      </c>
      <c r="J3950" s="16">
        <f>IF(OR(D3950="",F3950=""),"",F3950*I3950-N(H3950))</f>
        <v/>
      </c>
      <c r="K3950" s="16">
        <f>IF(OR(D3950="",F3950=""),"",F3950*IFERROR(INDEX('Sản phẩm'!$D$5:$D$304,MATCH(D3950,'Sản phẩm'!$A$5:$A$304,0)),""))</f>
        <v/>
      </c>
      <c r="L3950" s="16">
        <f>IF(J3950="","",J3950-K3950)</f>
        <v/>
      </c>
      <c r="M3950" s="14">
        <f>IF(A3950="","",MONTH(A3950))</f>
        <v/>
      </c>
      <c r="N3950" s="14">
        <f>IF(A3950="","",YEAR(A3950))</f>
        <v/>
      </c>
    </row>
    <row r="3951">
      <c r="A3951" s="15" t="n"/>
      <c r="B3951" s="10" t="n"/>
      <c r="C3951" s="10" t="n"/>
      <c r="D3951" s="10" t="n"/>
      <c r="E3951" s="14">
        <f>IF(D3951="","",IFERROR(INDEX('Sản phẩm'!$B$5:$B$304,MATCH(D3951,'Sản phẩm'!$A$5:$A$304,0)),""))</f>
        <v/>
      </c>
      <c r="F3951" s="12" t="n"/>
      <c r="G3951" s="11" t="n"/>
      <c r="H3951" s="11" t="n"/>
      <c r="I3951" s="16">
        <f>IF(D3951="","",IF(G3951&lt;&gt;"",G3951,IFERROR(INDEX('Sản phẩm'!$E$5:$E$304,MATCH(D3951,'Sản phẩm'!$A$5:$A$304,0)),"")))</f>
        <v/>
      </c>
      <c r="J3951" s="16">
        <f>IF(OR(D3951="",F3951=""),"",F3951*I3951-N(H3951))</f>
        <v/>
      </c>
      <c r="K3951" s="16">
        <f>IF(OR(D3951="",F3951=""),"",F3951*IFERROR(INDEX('Sản phẩm'!$D$5:$D$304,MATCH(D3951,'Sản phẩm'!$A$5:$A$304,0)),""))</f>
        <v/>
      </c>
      <c r="L3951" s="16">
        <f>IF(J3951="","",J3951-K3951)</f>
        <v/>
      </c>
      <c r="M3951" s="14">
        <f>IF(A3951="","",MONTH(A3951))</f>
        <v/>
      </c>
      <c r="N3951" s="14">
        <f>IF(A3951="","",YEAR(A3951))</f>
        <v/>
      </c>
    </row>
    <row r="3952">
      <c r="A3952" s="15" t="n"/>
      <c r="B3952" s="10" t="n"/>
      <c r="C3952" s="10" t="n"/>
      <c r="D3952" s="10" t="n"/>
      <c r="E3952" s="14">
        <f>IF(D3952="","",IFERROR(INDEX('Sản phẩm'!$B$5:$B$304,MATCH(D3952,'Sản phẩm'!$A$5:$A$304,0)),""))</f>
        <v/>
      </c>
      <c r="F3952" s="12" t="n"/>
      <c r="G3952" s="11" t="n"/>
      <c r="H3952" s="11" t="n"/>
      <c r="I3952" s="16">
        <f>IF(D3952="","",IF(G3952&lt;&gt;"",G3952,IFERROR(INDEX('Sản phẩm'!$E$5:$E$304,MATCH(D3952,'Sản phẩm'!$A$5:$A$304,0)),"")))</f>
        <v/>
      </c>
      <c r="J3952" s="16">
        <f>IF(OR(D3952="",F3952=""),"",F3952*I3952-N(H3952))</f>
        <v/>
      </c>
      <c r="K3952" s="16">
        <f>IF(OR(D3952="",F3952=""),"",F3952*IFERROR(INDEX('Sản phẩm'!$D$5:$D$304,MATCH(D3952,'Sản phẩm'!$A$5:$A$304,0)),""))</f>
        <v/>
      </c>
      <c r="L3952" s="16">
        <f>IF(J3952="","",J3952-K3952)</f>
        <v/>
      </c>
      <c r="M3952" s="14">
        <f>IF(A3952="","",MONTH(A3952))</f>
        <v/>
      </c>
      <c r="N3952" s="14">
        <f>IF(A3952="","",YEAR(A3952))</f>
        <v/>
      </c>
    </row>
    <row r="3953">
      <c r="A3953" s="15" t="n"/>
      <c r="B3953" s="10" t="n"/>
      <c r="C3953" s="10" t="n"/>
      <c r="D3953" s="10" t="n"/>
      <c r="E3953" s="14">
        <f>IF(D3953="","",IFERROR(INDEX('Sản phẩm'!$B$5:$B$304,MATCH(D3953,'Sản phẩm'!$A$5:$A$304,0)),""))</f>
        <v/>
      </c>
      <c r="F3953" s="12" t="n"/>
      <c r="G3953" s="11" t="n"/>
      <c r="H3953" s="11" t="n"/>
      <c r="I3953" s="16">
        <f>IF(D3953="","",IF(G3953&lt;&gt;"",G3953,IFERROR(INDEX('Sản phẩm'!$E$5:$E$304,MATCH(D3953,'Sản phẩm'!$A$5:$A$304,0)),"")))</f>
        <v/>
      </c>
      <c r="J3953" s="16">
        <f>IF(OR(D3953="",F3953=""),"",F3953*I3953-N(H3953))</f>
        <v/>
      </c>
      <c r="K3953" s="16">
        <f>IF(OR(D3953="",F3953=""),"",F3953*IFERROR(INDEX('Sản phẩm'!$D$5:$D$304,MATCH(D3953,'Sản phẩm'!$A$5:$A$304,0)),""))</f>
        <v/>
      </c>
      <c r="L3953" s="16">
        <f>IF(J3953="","",J3953-K3953)</f>
        <v/>
      </c>
      <c r="M3953" s="14">
        <f>IF(A3953="","",MONTH(A3953))</f>
        <v/>
      </c>
      <c r="N3953" s="14">
        <f>IF(A3953="","",YEAR(A3953))</f>
        <v/>
      </c>
    </row>
    <row r="3954">
      <c r="A3954" s="15" t="n"/>
      <c r="B3954" s="10" t="n"/>
      <c r="C3954" s="10" t="n"/>
      <c r="D3954" s="10" t="n"/>
      <c r="E3954" s="14">
        <f>IF(D3954="","",IFERROR(INDEX('Sản phẩm'!$B$5:$B$304,MATCH(D3954,'Sản phẩm'!$A$5:$A$304,0)),""))</f>
        <v/>
      </c>
      <c r="F3954" s="12" t="n"/>
      <c r="G3954" s="11" t="n"/>
      <c r="H3954" s="11" t="n"/>
      <c r="I3954" s="16">
        <f>IF(D3954="","",IF(G3954&lt;&gt;"",G3954,IFERROR(INDEX('Sản phẩm'!$E$5:$E$304,MATCH(D3954,'Sản phẩm'!$A$5:$A$304,0)),"")))</f>
        <v/>
      </c>
      <c r="J3954" s="16">
        <f>IF(OR(D3954="",F3954=""),"",F3954*I3954-N(H3954))</f>
        <v/>
      </c>
      <c r="K3954" s="16">
        <f>IF(OR(D3954="",F3954=""),"",F3954*IFERROR(INDEX('Sản phẩm'!$D$5:$D$304,MATCH(D3954,'Sản phẩm'!$A$5:$A$304,0)),""))</f>
        <v/>
      </c>
      <c r="L3954" s="16">
        <f>IF(J3954="","",J3954-K3954)</f>
        <v/>
      </c>
      <c r="M3954" s="14">
        <f>IF(A3954="","",MONTH(A3954))</f>
        <v/>
      </c>
      <c r="N3954" s="14">
        <f>IF(A3954="","",YEAR(A3954))</f>
        <v/>
      </c>
    </row>
    <row r="3955">
      <c r="A3955" s="15" t="n"/>
      <c r="B3955" s="10" t="n"/>
      <c r="C3955" s="10" t="n"/>
      <c r="D3955" s="10" t="n"/>
      <c r="E3955" s="14">
        <f>IF(D3955="","",IFERROR(INDEX('Sản phẩm'!$B$5:$B$304,MATCH(D3955,'Sản phẩm'!$A$5:$A$304,0)),""))</f>
        <v/>
      </c>
      <c r="F3955" s="12" t="n"/>
      <c r="G3955" s="11" t="n"/>
      <c r="H3955" s="11" t="n"/>
      <c r="I3955" s="16">
        <f>IF(D3955="","",IF(G3955&lt;&gt;"",G3955,IFERROR(INDEX('Sản phẩm'!$E$5:$E$304,MATCH(D3955,'Sản phẩm'!$A$5:$A$304,0)),"")))</f>
        <v/>
      </c>
      <c r="J3955" s="16">
        <f>IF(OR(D3955="",F3955=""),"",F3955*I3955-N(H3955))</f>
        <v/>
      </c>
      <c r="K3955" s="16">
        <f>IF(OR(D3955="",F3955=""),"",F3955*IFERROR(INDEX('Sản phẩm'!$D$5:$D$304,MATCH(D3955,'Sản phẩm'!$A$5:$A$304,0)),""))</f>
        <v/>
      </c>
      <c r="L3955" s="16">
        <f>IF(J3955="","",J3955-K3955)</f>
        <v/>
      </c>
      <c r="M3955" s="14">
        <f>IF(A3955="","",MONTH(A3955))</f>
        <v/>
      </c>
      <c r="N3955" s="14">
        <f>IF(A3955="","",YEAR(A3955))</f>
        <v/>
      </c>
    </row>
    <row r="3956">
      <c r="A3956" s="15" t="n"/>
      <c r="B3956" s="10" t="n"/>
      <c r="C3956" s="10" t="n"/>
      <c r="D3956" s="10" t="n"/>
      <c r="E3956" s="14">
        <f>IF(D3956="","",IFERROR(INDEX('Sản phẩm'!$B$5:$B$304,MATCH(D3956,'Sản phẩm'!$A$5:$A$304,0)),""))</f>
        <v/>
      </c>
      <c r="F3956" s="12" t="n"/>
      <c r="G3956" s="11" t="n"/>
      <c r="H3956" s="11" t="n"/>
      <c r="I3956" s="16">
        <f>IF(D3956="","",IF(G3956&lt;&gt;"",G3956,IFERROR(INDEX('Sản phẩm'!$E$5:$E$304,MATCH(D3956,'Sản phẩm'!$A$5:$A$304,0)),"")))</f>
        <v/>
      </c>
      <c r="J3956" s="16">
        <f>IF(OR(D3956="",F3956=""),"",F3956*I3956-N(H3956))</f>
        <v/>
      </c>
      <c r="K3956" s="16">
        <f>IF(OR(D3956="",F3956=""),"",F3956*IFERROR(INDEX('Sản phẩm'!$D$5:$D$304,MATCH(D3956,'Sản phẩm'!$A$5:$A$304,0)),""))</f>
        <v/>
      </c>
      <c r="L3956" s="16">
        <f>IF(J3956="","",J3956-K3956)</f>
        <v/>
      </c>
      <c r="M3956" s="14">
        <f>IF(A3956="","",MONTH(A3956))</f>
        <v/>
      </c>
      <c r="N3956" s="14">
        <f>IF(A3956="","",YEAR(A3956))</f>
        <v/>
      </c>
    </row>
    <row r="3957">
      <c r="A3957" s="15" t="n"/>
      <c r="B3957" s="10" t="n"/>
      <c r="C3957" s="10" t="n"/>
      <c r="D3957" s="10" t="n"/>
      <c r="E3957" s="14">
        <f>IF(D3957="","",IFERROR(INDEX('Sản phẩm'!$B$5:$B$304,MATCH(D3957,'Sản phẩm'!$A$5:$A$304,0)),""))</f>
        <v/>
      </c>
      <c r="F3957" s="12" t="n"/>
      <c r="G3957" s="11" t="n"/>
      <c r="H3957" s="11" t="n"/>
      <c r="I3957" s="16">
        <f>IF(D3957="","",IF(G3957&lt;&gt;"",G3957,IFERROR(INDEX('Sản phẩm'!$E$5:$E$304,MATCH(D3957,'Sản phẩm'!$A$5:$A$304,0)),"")))</f>
        <v/>
      </c>
      <c r="J3957" s="16">
        <f>IF(OR(D3957="",F3957=""),"",F3957*I3957-N(H3957))</f>
        <v/>
      </c>
      <c r="K3957" s="16">
        <f>IF(OR(D3957="",F3957=""),"",F3957*IFERROR(INDEX('Sản phẩm'!$D$5:$D$304,MATCH(D3957,'Sản phẩm'!$A$5:$A$304,0)),""))</f>
        <v/>
      </c>
      <c r="L3957" s="16">
        <f>IF(J3957="","",J3957-K3957)</f>
        <v/>
      </c>
      <c r="M3957" s="14">
        <f>IF(A3957="","",MONTH(A3957))</f>
        <v/>
      </c>
      <c r="N3957" s="14">
        <f>IF(A3957="","",YEAR(A3957))</f>
        <v/>
      </c>
    </row>
    <row r="3958">
      <c r="A3958" s="15" t="n"/>
      <c r="B3958" s="10" t="n"/>
      <c r="C3958" s="10" t="n"/>
      <c r="D3958" s="10" t="n"/>
      <c r="E3958" s="14">
        <f>IF(D3958="","",IFERROR(INDEX('Sản phẩm'!$B$5:$B$304,MATCH(D3958,'Sản phẩm'!$A$5:$A$304,0)),""))</f>
        <v/>
      </c>
      <c r="F3958" s="12" t="n"/>
      <c r="G3958" s="11" t="n"/>
      <c r="H3958" s="11" t="n"/>
      <c r="I3958" s="16">
        <f>IF(D3958="","",IF(G3958&lt;&gt;"",G3958,IFERROR(INDEX('Sản phẩm'!$E$5:$E$304,MATCH(D3958,'Sản phẩm'!$A$5:$A$304,0)),"")))</f>
        <v/>
      </c>
      <c r="J3958" s="16">
        <f>IF(OR(D3958="",F3958=""),"",F3958*I3958-N(H3958))</f>
        <v/>
      </c>
      <c r="K3958" s="16">
        <f>IF(OR(D3958="",F3958=""),"",F3958*IFERROR(INDEX('Sản phẩm'!$D$5:$D$304,MATCH(D3958,'Sản phẩm'!$A$5:$A$304,0)),""))</f>
        <v/>
      </c>
      <c r="L3958" s="16">
        <f>IF(J3958="","",J3958-K3958)</f>
        <v/>
      </c>
      <c r="M3958" s="14">
        <f>IF(A3958="","",MONTH(A3958))</f>
        <v/>
      </c>
      <c r="N3958" s="14">
        <f>IF(A3958="","",YEAR(A3958))</f>
        <v/>
      </c>
    </row>
    <row r="3959">
      <c r="A3959" s="15" t="n"/>
      <c r="B3959" s="10" t="n"/>
      <c r="C3959" s="10" t="n"/>
      <c r="D3959" s="10" t="n"/>
      <c r="E3959" s="14">
        <f>IF(D3959="","",IFERROR(INDEX('Sản phẩm'!$B$5:$B$304,MATCH(D3959,'Sản phẩm'!$A$5:$A$304,0)),""))</f>
        <v/>
      </c>
      <c r="F3959" s="12" t="n"/>
      <c r="G3959" s="11" t="n"/>
      <c r="H3959" s="11" t="n"/>
      <c r="I3959" s="16">
        <f>IF(D3959="","",IF(G3959&lt;&gt;"",G3959,IFERROR(INDEX('Sản phẩm'!$E$5:$E$304,MATCH(D3959,'Sản phẩm'!$A$5:$A$304,0)),"")))</f>
        <v/>
      </c>
      <c r="J3959" s="16">
        <f>IF(OR(D3959="",F3959=""),"",F3959*I3959-N(H3959))</f>
        <v/>
      </c>
      <c r="K3959" s="16">
        <f>IF(OR(D3959="",F3959=""),"",F3959*IFERROR(INDEX('Sản phẩm'!$D$5:$D$304,MATCH(D3959,'Sản phẩm'!$A$5:$A$304,0)),""))</f>
        <v/>
      </c>
      <c r="L3959" s="16">
        <f>IF(J3959="","",J3959-K3959)</f>
        <v/>
      </c>
      <c r="M3959" s="14">
        <f>IF(A3959="","",MONTH(A3959))</f>
        <v/>
      </c>
      <c r="N3959" s="14">
        <f>IF(A3959="","",YEAR(A3959))</f>
        <v/>
      </c>
    </row>
    <row r="3960">
      <c r="A3960" s="15" t="n"/>
      <c r="B3960" s="10" t="n"/>
      <c r="C3960" s="10" t="n"/>
      <c r="D3960" s="10" t="n"/>
      <c r="E3960" s="14">
        <f>IF(D3960="","",IFERROR(INDEX('Sản phẩm'!$B$5:$B$304,MATCH(D3960,'Sản phẩm'!$A$5:$A$304,0)),""))</f>
        <v/>
      </c>
      <c r="F3960" s="12" t="n"/>
      <c r="G3960" s="11" t="n"/>
      <c r="H3960" s="11" t="n"/>
      <c r="I3960" s="16">
        <f>IF(D3960="","",IF(G3960&lt;&gt;"",G3960,IFERROR(INDEX('Sản phẩm'!$E$5:$E$304,MATCH(D3960,'Sản phẩm'!$A$5:$A$304,0)),"")))</f>
        <v/>
      </c>
      <c r="J3960" s="16">
        <f>IF(OR(D3960="",F3960=""),"",F3960*I3960-N(H3960))</f>
        <v/>
      </c>
      <c r="K3960" s="16">
        <f>IF(OR(D3960="",F3960=""),"",F3960*IFERROR(INDEX('Sản phẩm'!$D$5:$D$304,MATCH(D3960,'Sản phẩm'!$A$5:$A$304,0)),""))</f>
        <v/>
      </c>
      <c r="L3960" s="16">
        <f>IF(J3960="","",J3960-K3960)</f>
        <v/>
      </c>
      <c r="M3960" s="14">
        <f>IF(A3960="","",MONTH(A3960))</f>
        <v/>
      </c>
      <c r="N3960" s="14">
        <f>IF(A3960="","",YEAR(A3960))</f>
        <v/>
      </c>
    </row>
    <row r="3961">
      <c r="A3961" s="15" t="n"/>
      <c r="B3961" s="10" t="n"/>
      <c r="C3961" s="10" t="n"/>
      <c r="D3961" s="10" t="n"/>
      <c r="E3961" s="14">
        <f>IF(D3961="","",IFERROR(INDEX('Sản phẩm'!$B$5:$B$304,MATCH(D3961,'Sản phẩm'!$A$5:$A$304,0)),""))</f>
        <v/>
      </c>
      <c r="F3961" s="12" t="n"/>
      <c r="G3961" s="11" t="n"/>
      <c r="H3961" s="11" t="n"/>
      <c r="I3961" s="16">
        <f>IF(D3961="","",IF(G3961&lt;&gt;"",G3961,IFERROR(INDEX('Sản phẩm'!$E$5:$E$304,MATCH(D3961,'Sản phẩm'!$A$5:$A$304,0)),"")))</f>
        <v/>
      </c>
      <c r="J3961" s="16">
        <f>IF(OR(D3961="",F3961=""),"",F3961*I3961-N(H3961))</f>
        <v/>
      </c>
      <c r="K3961" s="16">
        <f>IF(OR(D3961="",F3961=""),"",F3961*IFERROR(INDEX('Sản phẩm'!$D$5:$D$304,MATCH(D3961,'Sản phẩm'!$A$5:$A$304,0)),""))</f>
        <v/>
      </c>
      <c r="L3961" s="16">
        <f>IF(J3961="","",J3961-K3961)</f>
        <v/>
      </c>
      <c r="M3961" s="14">
        <f>IF(A3961="","",MONTH(A3961))</f>
        <v/>
      </c>
      <c r="N3961" s="14">
        <f>IF(A3961="","",YEAR(A3961))</f>
        <v/>
      </c>
    </row>
    <row r="3962">
      <c r="A3962" s="15" t="n"/>
      <c r="B3962" s="10" t="n"/>
      <c r="C3962" s="10" t="n"/>
      <c r="D3962" s="10" t="n"/>
      <c r="E3962" s="14">
        <f>IF(D3962="","",IFERROR(INDEX('Sản phẩm'!$B$5:$B$304,MATCH(D3962,'Sản phẩm'!$A$5:$A$304,0)),""))</f>
        <v/>
      </c>
      <c r="F3962" s="12" t="n"/>
      <c r="G3962" s="11" t="n"/>
      <c r="H3962" s="11" t="n"/>
      <c r="I3962" s="16">
        <f>IF(D3962="","",IF(G3962&lt;&gt;"",G3962,IFERROR(INDEX('Sản phẩm'!$E$5:$E$304,MATCH(D3962,'Sản phẩm'!$A$5:$A$304,0)),"")))</f>
        <v/>
      </c>
      <c r="J3962" s="16">
        <f>IF(OR(D3962="",F3962=""),"",F3962*I3962-N(H3962))</f>
        <v/>
      </c>
      <c r="K3962" s="16">
        <f>IF(OR(D3962="",F3962=""),"",F3962*IFERROR(INDEX('Sản phẩm'!$D$5:$D$304,MATCH(D3962,'Sản phẩm'!$A$5:$A$304,0)),""))</f>
        <v/>
      </c>
      <c r="L3962" s="16">
        <f>IF(J3962="","",J3962-K3962)</f>
        <v/>
      </c>
      <c r="M3962" s="14">
        <f>IF(A3962="","",MONTH(A3962))</f>
        <v/>
      </c>
      <c r="N3962" s="14">
        <f>IF(A3962="","",YEAR(A3962))</f>
        <v/>
      </c>
    </row>
    <row r="3963">
      <c r="A3963" s="15" t="n"/>
      <c r="B3963" s="10" t="n"/>
      <c r="C3963" s="10" t="n"/>
      <c r="D3963" s="10" t="n"/>
      <c r="E3963" s="14">
        <f>IF(D3963="","",IFERROR(INDEX('Sản phẩm'!$B$5:$B$304,MATCH(D3963,'Sản phẩm'!$A$5:$A$304,0)),""))</f>
        <v/>
      </c>
      <c r="F3963" s="12" t="n"/>
      <c r="G3963" s="11" t="n"/>
      <c r="H3963" s="11" t="n"/>
      <c r="I3963" s="16">
        <f>IF(D3963="","",IF(G3963&lt;&gt;"",G3963,IFERROR(INDEX('Sản phẩm'!$E$5:$E$304,MATCH(D3963,'Sản phẩm'!$A$5:$A$304,0)),"")))</f>
        <v/>
      </c>
      <c r="J3963" s="16">
        <f>IF(OR(D3963="",F3963=""),"",F3963*I3963-N(H3963))</f>
        <v/>
      </c>
      <c r="K3963" s="16">
        <f>IF(OR(D3963="",F3963=""),"",F3963*IFERROR(INDEX('Sản phẩm'!$D$5:$D$304,MATCH(D3963,'Sản phẩm'!$A$5:$A$304,0)),""))</f>
        <v/>
      </c>
      <c r="L3963" s="16">
        <f>IF(J3963="","",J3963-K3963)</f>
        <v/>
      </c>
      <c r="M3963" s="14">
        <f>IF(A3963="","",MONTH(A3963))</f>
        <v/>
      </c>
      <c r="N3963" s="14">
        <f>IF(A3963="","",YEAR(A3963))</f>
        <v/>
      </c>
    </row>
    <row r="3964">
      <c r="A3964" s="15" t="n"/>
      <c r="B3964" s="10" t="n"/>
      <c r="C3964" s="10" t="n"/>
      <c r="D3964" s="10" t="n"/>
      <c r="E3964" s="14">
        <f>IF(D3964="","",IFERROR(INDEX('Sản phẩm'!$B$5:$B$304,MATCH(D3964,'Sản phẩm'!$A$5:$A$304,0)),""))</f>
        <v/>
      </c>
      <c r="F3964" s="12" t="n"/>
      <c r="G3964" s="11" t="n"/>
      <c r="H3964" s="11" t="n"/>
      <c r="I3964" s="16">
        <f>IF(D3964="","",IF(G3964&lt;&gt;"",G3964,IFERROR(INDEX('Sản phẩm'!$E$5:$E$304,MATCH(D3964,'Sản phẩm'!$A$5:$A$304,0)),"")))</f>
        <v/>
      </c>
      <c r="J3964" s="16">
        <f>IF(OR(D3964="",F3964=""),"",F3964*I3964-N(H3964))</f>
        <v/>
      </c>
      <c r="K3964" s="16">
        <f>IF(OR(D3964="",F3964=""),"",F3964*IFERROR(INDEX('Sản phẩm'!$D$5:$D$304,MATCH(D3964,'Sản phẩm'!$A$5:$A$304,0)),""))</f>
        <v/>
      </c>
      <c r="L3964" s="16">
        <f>IF(J3964="","",J3964-K3964)</f>
        <v/>
      </c>
      <c r="M3964" s="14">
        <f>IF(A3964="","",MONTH(A3964))</f>
        <v/>
      </c>
      <c r="N3964" s="14">
        <f>IF(A3964="","",YEAR(A3964))</f>
        <v/>
      </c>
    </row>
    <row r="3965">
      <c r="A3965" s="15" t="n"/>
      <c r="B3965" s="10" t="n"/>
      <c r="C3965" s="10" t="n"/>
      <c r="D3965" s="10" t="n"/>
      <c r="E3965" s="14">
        <f>IF(D3965="","",IFERROR(INDEX('Sản phẩm'!$B$5:$B$304,MATCH(D3965,'Sản phẩm'!$A$5:$A$304,0)),""))</f>
        <v/>
      </c>
      <c r="F3965" s="12" t="n"/>
      <c r="G3965" s="11" t="n"/>
      <c r="H3965" s="11" t="n"/>
      <c r="I3965" s="16">
        <f>IF(D3965="","",IF(G3965&lt;&gt;"",G3965,IFERROR(INDEX('Sản phẩm'!$E$5:$E$304,MATCH(D3965,'Sản phẩm'!$A$5:$A$304,0)),"")))</f>
        <v/>
      </c>
      <c r="J3965" s="16">
        <f>IF(OR(D3965="",F3965=""),"",F3965*I3965-N(H3965))</f>
        <v/>
      </c>
      <c r="K3965" s="16">
        <f>IF(OR(D3965="",F3965=""),"",F3965*IFERROR(INDEX('Sản phẩm'!$D$5:$D$304,MATCH(D3965,'Sản phẩm'!$A$5:$A$304,0)),""))</f>
        <v/>
      </c>
      <c r="L3965" s="16">
        <f>IF(J3965="","",J3965-K3965)</f>
        <v/>
      </c>
      <c r="M3965" s="14">
        <f>IF(A3965="","",MONTH(A3965))</f>
        <v/>
      </c>
      <c r="N3965" s="14">
        <f>IF(A3965="","",YEAR(A3965))</f>
        <v/>
      </c>
    </row>
    <row r="3966">
      <c r="A3966" s="15" t="n"/>
      <c r="B3966" s="10" t="n"/>
      <c r="C3966" s="10" t="n"/>
      <c r="D3966" s="10" t="n"/>
      <c r="E3966" s="14">
        <f>IF(D3966="","",IFERROR(INDEX('Sản phẩm'!$B$5:$B$304,MATCH(D3966,'Sản phẩm'!$A$5:$A$304,0)),""))</f>
        <v/>
      </c>
      <c r="F3966" s="12" t="n"/>
      <c r="G3966" s="11" t="n"/>
      <c r="H3966" s="11" t="n"/>
      <c r="I3966" s="16">
        <f>IF(D3966="","",IF(G3966&lt;&gt;"",G3966,IFERROR(INDEX('Sản phẩm'!$E$5:$E$304,MATCH(D3966,'Sản phẩm'!$A$5:$A$304,0)),"")))</f>
        <v/>
      </c>
      <c r="J3966" s="16">
        <f>IF(OR(D3966="",F3966=""),"",F3966*I3966-N(H3966))</f>
        <v/>
      </c>
      <c r="K3966" s="16">
        <f>IF(OR(D3966="",F3966=""),"",F3966*IFERROR(INDEX('Sản phẩm'!$D$5:$D$304,MATCH(D3966,'Sản phẩm'!$A$5:$A$304,0)),""))</f>
        <v/>
      </c>
      <c r="L3966" s="16">
        <f>IF(J3966="","",J3966-K3966)</f>
        <v/>
      </c>
      <c r="M3966" s="14">
        <f>IF(A3966="","",MONTH(A3966))</f>
        <v/>
      </c>
      <c r="N3966" s="14">
        <f>IF(A3966="","",YEAR(A3966))</f>
        <v/>
      </c>
    </row>
    <row r="3967">
      <c r="A3967" s="15" t="n"/>
      <c r="B3967" s="10" t="n"/>
      <c r="C3967" s="10" t="n"/>
      <c r="D3967" s="10" t="n"/>
      <c r="E3967" s="14">
        <f>IF(D3967="","",IFERROR(INDEX('Sản phẩm'!$B$5:$B$304,MATCH(D3967,'Sản phẩm'!$A$5:$A$304,0)),""))</f>
        <v/>
      </c>
      <c r="F3967" s="12" t="n"/>
      <c r="G3967" s="11" t="n"/>
      <c r="H3967" s="11" t="n"/>
      <c r="I3967" s="16">
        <f>IF(D3967="","",IF(G3967&lt;&gt;"",G3967,IFERROR(INDEX('Sản phẩm'!$E$5:$E$304,MATCH(D3967,'Sản phẩm'!$A$5:$A$304,0)),"")))</f>
        <v/>
      </c>
      <c r="J3967" s="16">
        <f>IF(OR(D3967="",F3967=""),"",F3967*I3967-N(H3967))</f>
        <v/>
      </c>
      <c r="K3967" s="16">
        <f>IF(OR(D3967="",F3967=""),"",F3967*IFERROR(INDEX('Sản phẩm'!$D$5:$D$304,MATCH(D3967,'Sản phẩm'!$A$5:$A$304,0)),""))</f>
        <v/>
      </c>
      <c r="L3967" s="16">
        <f>IF(J3967="","",J3967-K3967)</f>
        <v/>
      </c>
      <c r="M3967" s="14">
        <f>IF(A3967="","",MONTH(A3967))</f>
        <v/>
      </c>
      <c r="N3967" s="14">
        <f>IF(A3967="","",YEAR(A3967))</f>
        <v/>
      </c>
    </row>
    <row r="3968">
      <c r="A3968" s="15" t="n"/>
      <c r="B3968" s="10" t="n"/>
      <c r="C3968" s="10" t="n"/>
      <c r="D3968" s="10" t="n"/>
      <c r="E3968" s="14">
        <f>IF(D3968="","",IFERROR(INDEX('Sản phẩm'!$B$5:$B$304,MATCH(D3968,'Sản phẩm'!$A$5:$A$304,0)),""))</f>
        <v/>
      </c>
      <c r="F3968" s="12" t="n"/>
      <c r="G3968" s="11" t="n"/>
      <c r="H3968" s="11" t="n"/>
      <c r="I3968" s="16">
        <f>IF(D3968="","",IF(G3968&lt;&gt;"",G3968,IFERROR(INDEX('Sản phẩm'!$E$5:$E$304,MATCH(D3968,'Sản phẩm'!$A$5:$A$304,0)),"")))</f>
        <v/>
      </c>
      <c r="J3968" s="16">
        <f>IF(OR(D3968="",F3968=""),"",F3968*I3968-N(H3968))</f>
        <v/>
      </c>
      <c r="K3968" s="16">
        <f>IF(OR(D3968="",F3968=""),"",F3968*IFERROR(INDEX('Sản phẩm'!$D$5:$D$304,MATCH(D3968,'Sản phẩm'!$A$5:$A$304,0)),""))</f>
        <v/>
      </c>
      <c r="L3968" s="16">
        <f>IF(J3968="","",J3968-K3968)</f>
        <v/>
      </c>
      <c r="M3968" s="14">
        <f>IF(A3968="","",MONTH(A3968))</f>
        <v/>
      </c>
      <c r="N3968" s="14">
        <f>IF(A3968="","",YEAR(A3968))</f>
        <v/>
      </c>
    </row>
    <row r="3969">
      <c r="A3969" s="15" t="n"/>
      <c r="B3969" s="10" t="n"/>
      <c r="C3969" s="10" t="n"/>
      <c r="D3969" s="10" t="n"/>
      <c r="E3969" s="14">
        <f>IF(D3969="","",IFERROR(INDEX('Sản phẩm'!$B$5:$B$304,MATCH(D3969,'Sản phẩm'!$A$5:$A$304,0)),""))</f>
        <v/>
      </c>
      <c r="F3969" s="12" t="n"/>
      <c r="G3969" s="11" t="n"/>
      <c r="H3969" s="11" t="n"/>
      <c r="I3969" s="16">
        <f>IF(D3969="","",IF(G3969&lt;&gt;"",G3969,IFERROR(INDEX('Sản phẩm'!$E$5:$E$304,MATCH(D3969,'Sản phẩm'!$A$5:$A$304,0)),"")))</f>
        <v/>
      </c>
      <c r="J3969" s="16">
        <f>IF(OR(D3969="",F3969=""),"",F3969*I3969-N(H3969))</f>
        <v/>
      </c>
      <c r="K3969" s="16">
        <f>IF(OR(D3969="",F3969=""),"",F3969*IFERROR(INDEX('Sản phẩm'!$D$5:$D$304,MATCH(D3969,'Sản phẩm'!$A$5:$A$304,0)),""))</f>
        <v/>
      </c>
      <c r="L3969" s="16">
        <f>IF(J3969="","",J3969-K3969)</f>
        <v/>
      </c>
      <c r="M3969" s="14">
        <f>IF(A3969="","",MONTH(A3969))</f>
        <v/>
      </c>
      <c r="N3969" s="14">
        <f>IF(A3969="","",YEAR(A3969))</f>
        <v/>
      </c>
    </row>
    <row r="3970">
      <c r="A3970" s="15" t="n"/>
      <c r="B3970" s="10" t="n"/>
      <c r="C3970" s="10" t="n"/>
      <c r="D3970" s="10" t="n"/>
      <c r="E3970" s="14">
        <f>IF(D3970="","",IFERROR(INDEX('Sản phẩm'!$B$5:$B$304,MATCH(D3970,'Sản phẩm'!$A$5:$A$304,0)),""))</f>
        <v/>
      </c>
      <c r="F3970" s="12" t="n"/>
      <c r="G3970" s="11" t="n"/>
      <c r="H3970" s="11" t="n"/>
      <c r="I3970" s="16">
        <f>IF(D3970="","",IF(G3970&lt;&gt;"",G3970,IFERROR(INDEX('Sản phẩm'!$E$5:$E$304,MATCH(D3970,'Sản phẩm'!$A$5:$A$304,0)),"")))</f>
        <v/>
      </c>
      <c r="J3970" s="16">
        <f>IF(OR(D3970="",F3970=""),"",F3970*I3970-N(H3970))</f>
        <v/>
      </c>
      <c r="K3970" s="16">
        <f>IF(OR(D3970="",F3970=""),"",F3970*IFERROR(INDEX('Sản phẩm'!$D$5:$D$304,MATCH(D3970,'Sản phẩm'!$A$5:$A$304,0)),""))</f>
        <v/>
      </c>
      <c r="L3970" s="16">
        <f>IF(J3970="","",J3970-K3970)</f>
        <v/>
      </c>
      <c r="M3970" s="14">
        <f>IF(A3970="","",MONTH(A3970))</f>
        <v/>
      </c>
      <c r="N3970" s="14">
        <f>IF(A3970="","",YEAR(A3970))</f>
        <v/>
      </c>
    </row>
    <row r="3971">
      <c r="A3971" s="15" t="n"/>
      <c r="B3971" s="10" t="n"/>
      <c r="C3971" s="10" t="n"/>
      <c r="D3971" s="10" t="n"/>
      <c r="E3971" s="14">
        <f>IF(D3971="","",IFERROR(INDEX('Sản phẩm'!$B$5:$B$304,MATCH(D3971,'Sản phẩm'!$A$5:$A$304,0)),""))</f>
        <v/>
      </c>
      <c r="F3971" s="12" t="n"/>
      <c r="G3971" s="11" t="n"/>
      <c r="H3971" s="11" t="n"/>
      <c r="I3971" s="16">
        <f>IF(D3971="","",IF(G3971&lt;&gt;"",G3971,IFERROR(INDEX('Sản phẩm'!$E$5:$E$304,MATCH(D3971,'Sản phẩm'!$A$5:$A$304,0)),"")))</f>
        <v/>
      </c>
      <c r="J3971" s="16">
        <f>IF(OR(D3971="",F3971=""),"",F3971*I3971-N(H3971))</f>
        <v/>
      </c>
      <c r="K3971" s="16">
        <f>IF(OR(D3971="",F3971=""),"",F3971*IFERROR(INDEX('Sản phẩm'!$D$5:$D$304,MATCH(D3971,'Sản phẩm'!$A$5:$A$304,0)),""))</f>
        <v/>
      </c>
      <c r="L3971" s="16">
        <f>IF(J3971="","",J3971-K3971)</f>
        <v/>
      </c>
      <c r="M3971" s="14">
        <f>IF(A3971="","",MONTH(A3971))</f>
        <v/>
      </c>
      <c r="N3971" s="14">
        <f>IF(A3971="","",YEAR(A3971))</f>
        <v/>
      </c>
    </row>
    <row r="3972">
      <c r="A3972" s="15" t="n"/>
      <c r="B3972" s="10" t="n"/>
      <c r="C3972" s="10" t="n"/>
      <c r="D3972" s="10" t="n"/>
      <c r="E3972" s="14">
        <f>IF(D3972="","",IFERROR(INDEX('Sản phẩm'!$B$5:$B$304,MATCH(D3972,'Sản phẩm'!$A$5:$A$304,0)),""))</f>
        <v/>
      </c>
      <c r="F3972" s="12" t="n"/>
      <c r="G3972" s="11" t="n"/>
      <c r="H3972" s="11" t="n"/>
      <c r="I3972" s="16">
        <f>IF(D3972="","",IF(G3972&lt;&gt;"",G3972,IFERROR(INDEX('Sản phẩm'!$E$5:$E$304,MATCH(D3972,'Sản phẩm'!$A$5:$A$304,0)),"")))</f>
        <v/>
      </c>
      <c r="J3972" s="16">
        <f>IF(OR(D3972="",F3972=""),"",F3972*I3972-N(H3972))</f>
        <v/>
      </c>
      <c r="K3972" s="16">
        <f>IF(OR(D3972="",F3972=""),"",F3972*IFERROR(INDEX('Sản phẩm'!$D$5:$D$304,MATCH(D3972,'Sản phẩm'!$A$5:$A$304,0)),""))</f>
        <v/>
      </c>
      <c r="L3972" s="16">
        <f>IF(J3972="","",J3972-K3972)</f>
        <v/>
      </c>
      <c r="M3972" s="14">
        <f>IF(A3972="","",MONTH(A3972))</f>
        <v/>
      </c>
      <c r="N3972" s="14">
        <f>IF(A3972="","",YEAR(A3972))</f>
        <v/>
      </c>
    </row>
    <row r="3973">
      <c r="A3973" s="15" t="n"/>
      <c r="B3973" s="10" t="n"/>
      <c r="C3973" s="10" t="n"/>
      <c r="D3973" s="10" t="n"/>
      <c r="E3973" s="14">
        <f>IF(D3973="","",IFERROR(INDEX('Sản phẩm'!$B$5:$B$304,MATCH(D3973,'Sản phẩm'!$A$5:$A$304,0)),""))</f>
        <v/>
      </c>
      <c r="F3973" s="12" t="n"/>
      <c r="G3973" s="11" t="n"/>
      <c r="H3973" s="11" t="n"/>
      <c r="I3973" s="16">
        <f>IF(D3973="","",IF(G3973&lt;&gt;"",G3973,IFERROR(INDEX('Sản phẩm'!$E$5:$E$304,MATCH(D3973,'Sản phẩm'!$A$5:$A$304,0)),"")))</f>
        <v/>
      </c>
      <c r="J3973" s="16">
        <f>IF(OR(D3973="",F3973=""),"",F3973*I3973-N(H3973))</f>
        <v/>
      </c>
      <c r="K3973" s="16">
        <f>IF(OR(D3973="",F3973=""),"",F3973*IFERROR(INDEX('Sản phẩm'!$D$5:$D$304,MATCH(D3973,'Sản phẩm'!$A$5:$A$304,0)),""))</f>
        <v/>
      </c>
      <c r="L3973" s="16">
        <f>IF(J3973="","",J3973-K3973)</f>
        <v/>
      </c>
      <c r="M3973" s="14">
        <f>IF(A3973="","",MONTH(A3973))</f>
        <v/>
      </c>
      <c r="N3973" s="14">
        <f>IF(A3973="","",YEAR(A3973))</f>
        <v/>
      </c>
    </row>
    <row r="3974">
      <c r="A3974" s="15" t="n"/>
      <c r="B3974" s="10" t="n"/>
      <c r="C3974" s="10" t="n"/>
      <c r="D3974" s="10" t="n"/>
      <c r="E3974" s="14">
        <f>IF(D3974="","",IFERROR(INDEX('Sản phẩm'!$B$5:$B$304,MATCH(D3974,'Sản phẩm'!$A$5:$A$304,0)),""))</f>
        <v/>
      </c>
      <c r="F3974" s="12" t="n"/>
      <c r="G3974" s="11" t="n"/>
      <c r="H3974" s="11" t="n"/>
      <c r="I3974" s="16">
        <f>IF(D3974="","",IF(G3974&lt;&gt;"",G3974,IFERROR(INDEX('Sản phẩm'!$E$5:$E$304,MATCH(D3974,'Sản phẩm'!$A$5:$A$304,0)),"")))</f>
        <v/>
      </c>
      <c r="J3974" s="16">
        <f>IF(OR(D3974="",F3974=""),"",F3974*I3974-N(H3974))</f>
        <v/>
      </c>
      <c r="K3974" s="16">
        <f>IF(OR(D3974="",F3974=""),"",F3974*IFERROR(INDEX('Sản phẩm'!$D$5:$D$304,MATCH(D3974,'Sản phẩm'!$A$5:$A$304,0)),""))</f>
        <v/>
      </c>
      <c r="L3974" s="16">
        <f>IF(J3974="","",J3974-K3974)</f>
        <v/>
      </c>
      <c r="M3974" s="14">
        <f>IF(A3974="","",MONTH(A3974))</f>
        <v/>
      </c>
      <c r="N3974" s="14">
        <f>IF(A3974="","",YEAR(A3974))</f>
        <v/>
      </c>
    </row>
    <row r="3975">
      <c r="A3975" s="15" t="n"/>
      <c r="B3975" s="10" t="n"/>
      <c r="C3975" s="10" t="n"/>
      <c r="D3975" s="10" t="n"/>
      <c r="E3975" s="14">
        <f>IF(D3975="","",IFERROR(INDEX('Sản phẩm'!$B$5:$B$304,MATCH(D3975,'Sản phẩm'!$A$5:$A$304,0)),""))</f>
        <v/>
      </c>
      <c r="F3975" s="12" t="n"/>
      <c r="G3975" s="11" t="n"/>
      <c r="H3975" s="11" t="n"/>
      <c r="I3975" s="16">
        <f>IF(D3975="","",IF(G3975&lt;&gt;"",G3975,IFERROR(INDEX('Sản phẩm'!$E$5:$E$304,MATCH(D3975,'Sản phẩm'!$A$5:$A$304,0)),"")))</f>
        <v/>
      </c>
      <c r="J3975" s="16">
        <f>IF(OR(D3975="",F3975=""),"",F3975*I3975-N(H3975))</f>
        <v/>
      </c>
      <c r="K3975" s="16">
        <f>IF(OR(D3975="",F3975=""),"",F3975*IFERROR(INDEX('Sản phẩm'!$D$5:$D$304,MATCH(D3975,'Sản phẩm'!$A$5:$A$304,0)),""))</f>
        <v/>
      </c>
      <c r="L3975" s="16">
        <f>IF(J3975="","",J3975-K3975)</f>
        <v/>
      </c>
      <c r="M3975" s="14">
        <f>IF(A3975="","",MONTH(A3975))</f>
        <v/>
      </c>
      <c r="N3975" s="14">
        <f>IF(A3975="","",YEAR(A3975))</f>
        <v/>
      </c>
    </row>
    <row r="3976">
      <c r="A3976" s="15" t="n"/>
      <c r="B3976" s="10" t="n"/>
      <c r="C3976" s="10" t="n"/>
      <c r="D3976" s="10" t="n"/>
      <c r="E3976" s="14">
        <f>IF(D3976="","",IFERROR(INDEX('Sản phẩm'!$B$5:$B$304,MATCH(D3976,'Sản phẩm'!$A$5:$A$304,0)),""))</f>
        <v/>
      </c>
      <c r="F3976" s="12" t="n"/>
      <c r="G3976" s="11" t="n"/>
      <c r="H3976" s="11" t="n"/>
      <c r="I3976" s="16">
        <f>IF(D3976="","",IF(G3976&lt;&gt;"",G3976,IFERROR(INDEX('Sản phẩm'!$E$5:$E$304,MATCH(D3976,'Sản phẩm'!$A$5:$A$304,0)),"")))</f>
        <v/>
      </c>
      <c r="J3976" s="16">
        <f>IF(OR(D3976="",F3976=""),"",F3976*I3976-N(H3976))</f>
        <v/>
      </c>
      <c r="K3976" s="16">
        <f>IF(OR(D3976="",F3976=""),"",F3976*IFERROR(INDEX('Sản phẩm'!$D$5:$D$304,MATCH(D3976,'Sản phẩm'!$A$5:$A$304,0)),""))</f>
        <v/>
      </c>
      <c r="L3976" s="16">
        <f>IF(J3976="","",J3976-K3976)</f>
        <v/>
      </c>
      <c r="M3976" s="14">
        <f>IF(A3976="","",MONTH(A3976))</f>
        <v/>
      </c>
      <c r="N3976" s="14">
        <f>IF(A3976="","",YEAR(A3976))</f>
        <v/>
      </c>
    </row>
    <row r="3977">
      <c r="A3977" s="15" t="n"/>
      <c r="B3977" s="10" t="n"/>
      <c r="C3977" s="10" t="n"/>
      <c r="D3977" s="10" t="n"/>
      <c r="E3977" s="14">
        <f>IF(D3977="","",IFERROR(INDEX('Sản phẩm'!$B$5:$B$304,MATCH(D3977,'Sản phẩm'!$A$5:$A$304,0)),""))</f>
        <v/>
      </c>
      <c r="F3977" s="12" t="n"/>
      <c r="G3977" s="11" t="n"/>
      <c r="H3977" s="11" t="n"/>
      <c r="I3977" s="16">
        <f>IF(D3977="","",IF(G3977&lt;&gt;"",G3977,IFERROR(INDEX('Sản phẩm'!$E$5:$E$304,MATCH(D3977,'Sản phẩm'!$A$5:$A$304,0)),"")))</f>
        <v/>
      </c>
      <c r="J3977" s="16">
        <f>IF(OR(D3977="",F3977=""),"",F3977*I3977-N(H3977))</f>
        <v/>
      </c>
      <c r="K3977" s="16">
        <f>IF(OR(D3977="",F3977=""),"",F3977*IFERROR(INDEX('Sản phẩm'!$D$5:$D$304,MATCH(D3977,'Sản phẩm'!$A$5:$A$304,0)),""))</f>
        <v/>
      </c>
      <c r="L3977" s="16">
        <f>IF(J3977="","",J3977-K3977)</f>
        <v/>
      </c>
      <c r="M3977" s="14">
        <f>IF(A3977="","",MONTH(A3977))</f>
        <v/>
      </c>
      <c r="N3977" s="14">
        <f>IF(A3977="","",YEAR(A3977))</f>
        <v/>
      </c>
    </row>
    <row r="3978">
      <c r="A3978" s="15" t="n"/>
      <c r="B3978" s="10" t="n"/>
      <c r="C3978" s="10" t="n"/>
      <c r="D3978" s="10" t="n"/>
      <c r="E3978" s="14">
        <f>IF(D3978="","",IFERROR(INDEX('Sản phẩm'!$B$5:$B$304,MATCH(D3978,'Sản phẩm'!$A$5:$A$304,0)),""))</f>
        <v/>
      </c>
      <c r="F3978" s="12" t="n"/>
      <c r="G3978" s="11" t="n"/>
      <c r="H3978" s="11" t="n"/>
      <c r="I3978" s="16">
        <f>IF(D3978="","",IF(G3978&lt;&gt;"",G3978,IFERROR(INDEX('Sản phẩm'!$E$5:$E$304,MATCH(D3978,'Sản phẩm'!$A$5:$A$304,0)),"")))</f>
        <v/>
      </c>
      <c r="J3978" s="16">
        <f>IF(OR(D3978="",F3978=""),"",F3978*I3978-N(H3978))</f>
        <v/>
      </c>
      <c r="K3978" s="16">
        <f>IF(OR(D3978="",F3978=""),"",F3978*IFERROR(INDEX('Sản phẩm'!$D$5:$D$304,MATCH(D3978,'Sản phẩm'!$A$5:$A$304,0)),""))</f>
        <v/>
      </c>
      <c r="L3978" s="16">
        <f>IF(J3978="","",J3978-K3978)</f>
        <v/>
      </c>
      <c r="M3978" s="14">
        <f>IF(A3978="","",MONTH(A3978))</f>
        <v/>
      </c>
      <c r="N3978" s="14">
        <f>IF(A3978="","",YEAR(A3978))</f>
        <v/>
      </c>
    </row>
    <row r="3979">
      <c r="A3979" s="15" t="n"/>
      <c r="B3979" s="10" t="n"/>
      <c r="C3979" s="10" t="n"/>
      <c r="D3979" s="10" t="n"/>
      <c r="E3979" s="14">
        <f>IF(D3979="","",IFERROR(INDEX('Sản phẩm'!$B$5:$B$304,MATCH(D3979,'Sản phẩm'!$A$5:$A$304,0)),""))</f>
        <v/>
      </c>
      <c r="F3979" s="12" t="n"/>
      <c r="G3979" s="11" t="n"/>
      <c r="H3979" s="11" t="n"/>
      <c r="I3979" s="16">
        <f>IF(D3979="","",IF(G3979&lt;&gt;"",G3979,IFERROR(INDEX('Sản phẩm'!$E$5:$E$304,MATCH(D3979,'Sản phẩm'!$A$5:$A$304,0)),"")))</f>
        <v/>
      </c>
      <c r="J3979" s="16">
        <f>IF(OR(D3979="",F3979=""),"",F3979*I3979-N(H3979))</f>
        <v/>
      </c>
      <c r="K3979" s="16">
        <f>IF(OR(D3979="",F3979=""),"",F3979*IFERROR(INDEX('Sản phẩm'!$D$5:$D$304,MATCH(D3979,'Sản phẩm'!$A$5:$A$304,0)),""))</f>
        <v/>
      </c>
      <c r="L3979" s="16">
        <f>IF(J3979="","",J3979-K3979)</f>
        <v/>
      </c>
      <c r="M3979" s="14">
        <f>IF(A3979="","",MONTH(A3979))</f>
        <v/>
      </c>
      <c r="N3979" s="14">
        <f>IF(A3979="","",YEAR(A3979))</f>
        <v/>
      </c>
    </row>
    <row r="3980">
      <c r="A3980" s="15" t="n"/>
      <c r="B3980" s="10" t="n"/>
      <c r="C3980" s="10" t="n"/>
      <c r="D3980" s="10" t="n"/>
      <c r="E3980" s="14">
        <f>IF(D3980="","",IFERROR(INDEX('Sản phẩm'!$B$5:$B$304,MATCH(D3980,'Sản phẩm'!$A$5:$A$304,0)),""))</f>
        <v/>
      </c>
      <c r="F3980" s="12" t="n"/>
      <c r="G3980" s="11" t="n"/>
      <c r="H3980" s="11" t="n"/>
      <c r="I3980" s="16">
        <f>IF(D3980="","",IF(G3980&lt;&gt;"",G3980,IFERROR(INDEX('Sản phẩm'!$E$5:$E$304,MATCH(D3980,'Sản phẩm'!$A$5:$A$304,0)),"")))</f>
        <v/>
      </c>
      <c r="J3980" s="16">
        <f>IF(OR(D3980="",F3980=""),"",F3980*I3980-N(H3980))</f>
        <v/>
      </c>
      <c r="K3980" s="16">
        <f>IF(OR(D3980="",F3980=""),"",F3980*IFERROR(INDEX('Sản phẩm'!$D$5:$D$304,MATCH(D3980,'Sản phẩm'!$A$5:$A$304,0)),""))</f>
        <v/>
      </c>
      <c r="L3980" s="16">
        <f>IF(J3980="","",J3980-K3980)</f>
        <v/>
      </c>
      <c r="M3980" s="14">
        <f>IF(A3980="","",MONTH(A3980))</f>
        <v/>
      </c>
      <c r="N3980" s="14">
        <f>IF(A3980="","",YEAR(A3980))</f>
        <v/>
      </c>
    </row>
    <row r="3981">
      <c r="A3981" s="15" t="n"/>
      <c r="B3981" s="10" t="n"/>
      <c r="C3981" s="10" t="n"/>
      <c r="D3981" s="10" t="n"/>
      <c r="E3981" s="14">
        <f>IF(D3981="","",IFERROR(INDEX('Sản phẩm'!$B$5:$B$304,MATCH(D3981,'Sản phẩm'!$A$5:$A$304,0)),""))</f>
        <v/>
      </c>
      <c r="F3981" s="12" t="n"/>
      <c r="G3981" s="11" t="n"/>
      <c r="H3981" s="11" t="n"/>
      <c r="I3981" s="16">
        <f>IF(D3981="","",IF(G3981&lt;&gt;"",G3981,IFERROR(INDEX('Sản phẩm'!$E$5:$E$304,MATCH(D3981,'Sản phẩm'!$A$5:$A$304,0)),"")))</f>
        <v/>
      </c>
      <c r="J3981" s="16">
        <f>IF(OR(D3981="",F3981=""),"",F3981*I3981-N(H3981))</f>
        <v/>
      </c>
      <c r="K3981" s="16">
        <f>IF(OR(D3981="",F3981=""),"",F3981*IFERROR(INDEX('Sản phẩm'!$D$5:$D$304,MATCH(D3981,'Sản phẩm'!$A$5:$A$304,0)),""))</f>
        <v/>
      </c>
      <c r="L3981" s="16">
        <f>IF(J3981="","",J3981-K3981)</f>
        <v/>
      </c>
      <c r="M3981" s="14">
        <f>IF(A3981="","",MONTH(A3981))</f>
        <v/>
      </c>
      <c r="N3981" s="14">
        <f>IF(A3981="","",YEAR(A3981))</f>
        <v/>
      </c>
    </row>
    <row r="3982">
      <c r="A3982" s="15" t="n"/>
      <c r="B3982" s="10" t="n"/>
      <c r="C3982" s="10" t="n"/>
      <c r="D3982" s="10" t="n"/>
      <c r="E3982" s="14">
        <f>IF(D3982="","",IFERROR(INDEX('Sản phẩm'!$B$5:$B$304,MATCH(D3982,'Sản phẩm'!$A$5:$A$304,0)),""))</f>
        <v/>
      </c>
      <c r="F3982" s="12" t="n"/>
      <c r="G3982" s="11" t="n"/>
      <c r="H3982" s="11" t="n"/>
      <c r="I3982" s="16">
        <f>IF(D3982="","",IF(G3982&lt;&gt;"",G3982,IFERROR(INDEX('Sản phẩm'!$E$5:$E$304,MATCH(D3982,'Sản phẩm'!$A$5:$A$304,0)),"")))</f>
        <v/>
      </c>
      <c r="J3982" s="16">
        <f>IF(OR(D3982="",F3982=""),"",F3982*I3982-N(H3982))</f>
        <v/>
      </c>
      <c r="K3982" s="16">
        <f>IF(OR(D3982="",F3982=""),"",F3982*IFERROR(INDEX('Sản phẩm'!$D$5:$D$304,MATCH(D3982,'Sản phẩm'!$A$5:$A$304,0)),""))</f>
        <v/>
      </c>
      <c r="L3982" s="16">
        <f>IF(J3982="","",J3982-K3982)</f>
        <v/>
      </c>
      <c r="M3982" s="14">
        <f>IF(A3982="","",MONTH(A3982))</f>
        <v/>
      </c>
      <c r="N3982" s="14">
        <f>IF(A3982="","",YEAR(A3982))</f>
        <v/>
      </c>
    </row>
    <row r="3983">
      <c r="A3983" s="15" t="n"/>
      <c r="B3983" s="10" t="n"/>
      <c r="C3983" s="10" t="n"/>
      <c r="D3983" s="10" t="n"/>
      <c r="E3983" s="14">
        <f>IF(D3983="","",IFERROR(INDEX('Sản phẩm'!$B$5:$B$304,MATCH(D3983,'Sản phẩm'!$A$5:$A$304,0)),""))</f>
        <v/>
      </c>
      <c r="F3983" s="12" t="n"/>
      <c r="G3983" s="11" t="n"/>
      <c r="H3983" s="11" t="n"/>
      <c r="I3983" s="16">
        <f>IF(D3983="","",IF(G3983&lt;&gt;"",G3983,IFERROR(INDEX('Sản phẩm'!$E$5:$E$304,MATCH(D3983,'Sản phẩm'!$A$5:$A$304,0)),"")))</f>
        <v/>
      </c>
      <c r="J3983" s="16">
        <f>IF(OR(D3983="",F3983=""),"",F3983*I3983-N(H3983))</f>
        <v/>
      </c>
      <c r="K3983" s="16">
        <f>IF(OR(D3983="",F3983=""),"",F3983*IFERROR(INDEX('Sản phẩm'!$D$5:$D$304,MATCH(D3983,'Sản phẩm'!$A$5:$A$304,0)),""))</f>
        <v/>
      </c>
      <c r="L3983" s="16">
        <f>IF(J3983="","",J3983-K3983)</f>
        <v/>
      </c>
      <c r="M3983" s="14">
        <f>IF(A3983="","",MONTH(A3983))</f>
        <v/>
      </c>
      <c r="N3983" s="14">
        <f>IF(A3983="","",YEAR(A3983))</f>
        <v/>
      </c>
    </row>
    <row r="3984">
      <c r="A3984" s="15" t="n"/>
      <c r="B3984" s="10" t="n"/>
      <c r="C3984" s="10" t="n"/>
      <c r="D3984" s="10" t="n"/>
      <c r="E3984" s="14">
        <f>IF(D3984="","",IFERROR(INDEX('Sản phẩm'!$B$5:$B$304,MATCH(D3984,'Sản phẩm'!$A$5:$A$304,0)),""))</f>
        <v/>
      </c>
      <c r="F3984" s="12" t="n"/>
      <c r="G3984" s="11" t="n"/>
      <c r="H3984" s="11" t="n"/>
      <c r="I3984" s="16">
        <f>IF(D3984="","",IF(G3984&lt;&gt;"",G3984,IFERROR(INDEX('Sản phẩm'!$E$5:$E$304,MATCH(D3984,'Sản phẩm'!$A$5:$A$304,0)),"")))</f>
        <v/>
      </c>
      <c r="J3984" s="16">
        <f>IF(OR(D3984="",F3984=""),"",F3984*I3984-N(H3984))</f>
        <v/>
      </c>
      <c r="K3984" s="16">
        <f>IF(OR(D3984="",F3984=""),"",F3984*IFERROR(INDEX('Sản phẩm'!$D$5:$D$304,MATCH(D3984,'Sản phẩm'!$A$5:$A$304,0)),""))</f>
        <v/>
      </c>
      <c r="L3984" s="16">
        <f>IF(J3984="","",J3984-K3984)</f>
        <v/>
      </c>
      <c r="M3984" s="14">
        <f>IF(A3984="","",MONTH(A3984))</f>
        <v/>
      </c>
      <c r="N3984" s="14">
        <f>IF(A3984="","",YEAR(A3984))</f>
        <v/>
      </c>
    </row>
    <row r="3985">
      <c r="A3985" s="15" t="n"/>
      <c r="B3985" s="10" t="n"/>
      <c r="C3985" s="10" t="n"/>
      <c r="D3985" s="10" t="n"/>
      <c r="E3985" s="14">
        <f>IF(D3985="","",IFERROR(INDEX('Sản phẩm'!$B$5:$B$304,MATCH(D3985,'Sản phẩm'!$A$5:$A$304,0)),""))</f>
        <v/>
      </c>
      <c r="F3985" s="12" t="n"/>
      <c r="G3985" s="11" t="n"/>
      <c r="H3985" s="11" t="n"/>
      <c r="I3985" s="16">
        <f>IF(D3985="","",IF(G3985&lt;&gt;"",G3985,IFERROR(INDEX('Sản phẩm'!$E$5:$E$304,MATCH(D3985,'Sản phẩm'!$A$5:$A$304,0)),"")))</f>
        <v/>
      </c>
      <c r="J3985" s="16">
        <f>IF(OR(D3985="",F3985=""),"",F3985*I3985-N(H3985))</f>
        <v/>
      </c>
      <c r="K3985" s="16">
        <f>IF(OR(D3985="",F3985=""),"",F3985*IFERROR(INDEX('Sản phẩm'!$D$5:$D$304,MATCH(D3985,'Sản phẩm'!$A$5:$A$304,0)),""))</f>
        <v/>
      </c>
      <c r="L3985" s="16">
        <f>IF(J3985="","",J3985-K3985)</f>
        <v/>
      </c>
      <c r="M3985" s="14">
        <f>IF(A3985="","",MONTH(A3985))</f>
        <v/>
      </c>
      <c r="N3985" s="14">
        <f>IF(A3985="","",YEAR(A3985))</f>
        <v/>
      </c>
    </row>
    <row r="3986">
      <c r="A3986" s="15" t="n"/>
      <c r="B3986" s="10" t="n"/>
      <c r="C3986" s="10" t="n"/>
      <c r="D3986" s="10" t="n"/>
      <c r="E3986" s="14">
        <f>IF(D3986="","",IFERROR(INDEX('Sản phẩm'!$B$5:$B$304,MATCH(D3986,'Sản phẩm'!$A$5:$A$304,0)),""))</f>
        <v/>
      </c>
      <c r="F3986" s="12" t="n"/>
      <c r="G3986" s="11" t="n"/>
      <c r="H3986" s="11" t="n"/>
      <c r="I3986" s="16">
        <f>IF(D3986="","",IF(G3986&lt;&gt;"",G3986,IFERROR(INDEX('Sản phẩm'!$E$5:$E$304,MATCH(D3986,'Sản phẩm'!$A$5:$A$304,0)),"")))</f>
        <v/>
      </c>
      <c r="J3986" s="16">
        <f>IF(OR(D3986="",F3986=""),"",F3986*I3986-N(H3986))</f>
        <v/>
      </c>
      <c r="K3986" s="16">
        <f>IF(OR(D3986="",F3986=""),"",F3986*IFERROR(INDEX('Sản phẩm'!$D$5:$D$304,MATCH(D3986,'Sản phẩm'!$A$5:$A$304,0)),""))</f>
        <v/>
      </c>
      <c r="L3986" s="16">
        <f>IF(J3986="","",J3986-K3986)</f>
        <v/>
      </c>
      <c r="M3986" s="14">
        <f>IF(A3986="","",MONTH(A3986))</f>
        <v/>
      </c>
      <c r="N3986" s="14">
        <f>IF(A3986="","",YEAR(A3986))</f>
        <v/>
      </c>
    </row>
    <row r="3987">
      <c r="A3987" s="15" t="n"/>
      <c r="B3987" s="10" t="n"/>
      <c r="C3987" s="10" t="n"/>
      <c r="D3987" s="10" t="n"/>
      <c r="E3987" s="14">
        <f>IF(D3987="","",IFERROR(INDEX('Sản phẩm'!$B$5:$B$304,MATCH(D3987,'Sản phẩm'!$A$5:$A$304,0)),""))</f>
        <v/>
      </c>
      <c r="F3987" s="12" t="n"/>
      <c r="G3987" s="11" t="n"/>
      <c r="H3987" s="11" t="n"/>
      <c r="I3987" s="16">
        <f>IF(D3987="","",IF(G3987&lt;&gt;"",G3987,IFERROR(INDEX('Sản phẩm'!$E$5:$E$304,MATCH(D3987,'Sản phẩm'!$A$5:$A$304,0)),"")))</f>
        <v/>
      </c>
      <c r="J3987" s="16">
        <f>IF(OR(D3987="",F3987=""),"",F3987*I3987-N(H3987))</f>
        <v/>
      </c>
      <c r="K3987" s="16">
        <f>IF(OR(D3987="",F3987=""),"",F3987*IFERROR(INDEX('Sản phẩm'!$D$5:$D$304,MATCH(D3987,'Sản phẩm'!$A$5:$A$304,0)),""))</f>
        <v/>
      </c>
      <c r="L3987" s="16">
        <f>IF(J3987="","",J3987-K3987)</f>
        <v/>
      </c>
      <c r="M3987" s="14">
        <f>IF(A3987="","",MONTH(A3987))</f>
        <v/>
      </c>
      <c r="N3987" s="14">
        <f>IF(A3987="","",YEAR(A3987))</f>
        <v/>
      </c>
    </row>
    <row r="3988">
      <c r="A3988" s="15" t="n"/>
      <c r="B3988" s="10" t="n"/>
      <c r="C3988" s="10" t="n"/>
      <c r="D3988" s="10" t="n"/>
      <c r="E3988" s="14">
        <f>IF(D3988="","",IFERROR(INDEX('Sản phẩm'!$B$5:$B$304,MATCH(D3988,'Sản phẩm'!$A$5:$A$304,0)),""))</f>
        <v/>
      </c>
      <c r="F3988" s="12" t="n"/>
      <c r="G3988" s="11" t="n"/>
      <c r="H3988" s="11" t="n"/>
      <c r="I3988" s="16">
        <f>IF(D3988="","",IF(G3988&lt;&gt;"",G3988,IFERROR(INDEX('Sản phẩm'!$E$5:$E$304,MATCH(D3988,'Sản phẩm'!$A$5:$A$304,0)),"")))</f>
        <v/>
      </c>
      <c r="J3988" s="16">
        <f>IF(OR(D3988="",F3988=""),"",F3988*I3988-N(H3988))</f>
        <v/>
      </c>
      <c r="K3988" s="16">
        <f>IF(OR(D3988="",F3988=""),"",F3988*IFERROR(INDEX('Sản phẩm'!$D$5:$D$304,MATCH(D3988,'Sản phẩm'!$A$5:$A$304,0)),""))</f>
        <v/>
      </c>
      <c r="L3988" s="16">
        <f>IF(J3988="","",J3988-K3988)</f>
        <v/>
      </c>
      <c r="M3988" s="14">
        <f>IF(A3988="","",MONTH(A3988))</f>
        <v/>
      </c>
      <c r="N3988" s="14">
        <f>IF(A3988="","",YEAR(A3988))</f>
        <v/>
      </c>
    </row>
    <row r="3989">
      <c r="A3989" s="15" t="n"/>
      <c r="B3989" s="10" t="n"/>
      <c r="C3989" s="10" t="n"/>
      <c r="D3989" s="10" t="n"/>
      <c r="E3989" s="14">
        <f>IF(D3989="","",IFERROR(INDEX('Sản phẩm'!$B$5:$B$304,MATCH(D3989,'Sản phẩm'!$A$5:$A$304,0)),""))</f>
        <v/>
      </c>
      <c r="F3989" s="12" t="n"/>
      <c r="G3989" s="11" t="n"/>
      <c r="H3989" s="11" t="n"/>
      <c r="I3989" s="16">
        <f>IF(D3989="","",IF(G3989&lt;&gt;"",G3989,IFERROR(INDEX('Sản phẩm'!$E$5:$E$304,MATCH(D3989,'Sản phẩm'!$A$5:$A$304,0)),"")))</f>
        <v/>
      </c>
      <c r="J3989" s="16">
        <f>IF(OR(D3989="",F3989=""),"",F3989*I3989-N(H3989))</f>
        <v/>
      </c>
      <c r="K3989" s="16">
        <f>IF(OR(D3989="",F3989=""),"",F3989*IFERROR(INDEX('Sản phẩm'!$D$5:$D$304,MATCH(D3989,'Sản phẩm'!$A$5:$A$304,0)),""))</f>
        <v/>
      </c>
      <c r="L3989" s="16">
        <f>IF(J3989="","",J3989-K3989)</f>
        <v/>
      </c>
      <c r="M3989" s="14">
        <f>IF(A3989="","",MONTH(A3989))</f>
        <v/>
      </c>
      <c r="N3989" s="14">
        <f>IF(A3989="","",YEAR(A3989))</f>
        <v/>
      </c>
    </row>
    <row r="3990">
      <c r="A3990" s="15" t="n"/>
      <c r="B3990" s="10" t="n"/>
      <c r="C3990" s="10" t="n"/>
      <c r="D3990" s="10" t="n"/>
      <c r="E3990" s="14">
        <f>IF(D3990="","",IFERROR(INDEX('Sản phẩm'!$B$5:$B$304,MATCH(D3990,'Sản phẩm'!$A$5:$A$304,0)),""))</f>
        <v/>
      </c>
      <c r="F3990" s="12" t="n"/>
      <c r="G3990" s="11" t="n"/>
      <c r="H3990" s="11" t="n"/>
      <c r="I3990" s="16">
        <f>IF(D3990="","",IF(G3990&lt;&gt;"",G3990,IFERROR(INDEX('Sản phẩm'!$E$5:$E$304,MATCH(D3990,'Sản phẩm'!$A$5:$A$304,0)),"")))</f>
        <v/>
      </c>
      <c r="J3990" s="16">
        <f>IF(OR(D3990="",F3990=""),"",F3990*I3990-N(H3990))</f>
        <v/>
      </c>
      <c r="K3990" s="16">
        <f>IF(OR(D3990="",F3990=""),"",F3990*IFERROR(INDEX('Sản phẩm'!$D$5:$D$304,MATCH(D3990,'Sản phẩm'!$A$5:$A$304,0)),""))</f>
        <v/>
      </c>
      <c r="L3990" s="16">
        <f>IF(J3990="","",J3990-K3990)</f>
        <v/>
      </c>
      <c r="M3990" s="14">
        <f>IF(A3990="","",MONTH(A3990))</f>
        <v/>
      </c>
      <c r="N3990" s="14">
        <f>IF(A3990="","",YEAR(A3990))</f>
        <v/>
      </c>
    </row>
    <row r="3991">
      <c r="A3991" s="15" t="n"/>
      <c r="B3991" s="10" t="n"/>
      <c r="C3991" s="10" t="n"/>
      <c r="D3991" s="10" t="n"/>
      <c r="E3991" s="14">
        <f>IF(D3991="","",IFERROR(INDEX('Sản phẩm'!$B$5:$B$304,MATCH(D3991,'Sản phẩm'!$A$5:$A$304,0)),""))</f>
        <v/>
      </c>
      <c r="F3991" s="12" t="n"/>
      <c r="G3991" s="11" t="n"/>
      <c r="H3991" s="11" t="n"/>
      <c r="I3991" s="16">
        <f>IF(D3991="","",IF(G3991&lt;&gt;"",G3991,IFERROR(INDEX('Sản phẩm'!$E$5:$E$304,MATCH(D3991,'Sản phẩm'!$A$5:$A$304,0)),"")))</f>
        <v/>
      </c>
      <c r="J3991" s="16">
        <f>IF(OR(D3991="",F3991=""),"",F3991*I3991-N(H3991))</f>
        <v/>
      </c>
      <c r="K3991" s="16">
        <f>IF(OR(D3991="",F3991=""),"",F3991*IFERROR(INDEX('Sản phẩm'!$D$5:$D$304,MATCH(D3991,'Sản phẩm'!$A$5:$A$304,0)),""))</f>
        <v/>
      </c>
      <c r="L3991" s="16">
        <f>IF(J3991="","",J3991-K3991)</f>
        <v/>
      </c>
      <c r="M3991" s="14">
        <f>IF(A3991="","",MONTH(A3991))</f>
        <v/>
      </c>
      <c r="N3991" s="14">
        <f>IF(A3991="","",YEAR(A3991))</f>
        <v/>
      </c>
    </row>
    <row r="3992">
      <c r="A3992" s="15" t="n"/>
      <c r="B3992" s="10" t="n"/>
      <c r="C3992" s="10" t="n"/>
      <c r="D3992" s="10" t="n"/>
      <c r="E3992" s="14">
        <f>IF(D3992="","",IFERROR(INDEX('Sản phẩm'!$B$5:$B$304,MATCH(D3992,'Sản phẩm'!$A$5:$A$304,0)),""))</f>
        <v/>
      </c>
      <c r="F3992" s="12" t="n"/>
      <c r="G3992" s="11" t="n"/>
      <c r="H3992" s="11" t="n"/>
      <c r="I3992" s="16">
        <f>IF(D3992="","",IF(G3992&lt;&gt;"",G3992,IFERROR(INDEX('Sản phẩm'!$E$5:$E$304,MATCH(D3992,'Sản phẩm'!$A$5:$A$304,0)),"")))</f>
        <v/>
      </c>
      <c r="J3992" s="16">
        <f>IF(OR(D3992="",F3992=""),"",F3992*I3992-N(H3992))</f>
        <v/>
      </c>
      <c r="K3992" s="16">
        <f>IF(OR(D3992="",F3992=""),"",F3992*IFERROR(INDEX('Sản phẩm'!$D$5:$D$304,MATCH(D3992,'Sản phẩm'!$A$5:$A$304,0)),""))</f>
        <v/>
      </c>
      <c r="L3992" s="16">
        <f>IF(J3992="","",J3992-K3992)</f>
        <v/>
      </c>
      <c r="M3992" s="14">
        <f>IF(A3992="","",MONTH(A3992))</f>
        <v/>
      </c>
      <c r="N3992" s="14">
        <f>IF(A3992="","",YEAR(A3992))</f>
        <v/>
      </c>
    </row>
    <row r="3993">
      <c r="A3993" s="15" t="n"/>
      <c r="B3993" s="10" t="n"/>
      <c r="C3993" s="10" t="n"/>
      <c r="D3993" s="10" t="n"/>
      <c r="E3993" s="14">
        <f>IF(D3993="","",IFERROR(INDEX('Sản phẩm'!$B$5:$B$304,MATCH(D3993,'Sản phẩm'!$A$5:$A$304,0)),""))</f>
        <v/>
      </c>
      <c r="F3993" s="12" t="n"/>
      <c r="G3993" s="11" t="n"/>
      <c r="H3993" s="11" t="n"/>
      <c r="I3993" s="16">
        <f>IF(D3993="","",IF(G3993&lt;&gt;"",G3993,IFERROR(INDEX('Sản phẩm'!$E$5:$E$304,MATCH(D3993,'Sản phẩm'!$A$5:$A$304,0)),"")))</f>
        <v/>
      </c>
      <c r="J3993" s="16">
        <f>IF(OR(D3993="",F3993=""),"",F3993*I3993-N(H3993))</f>
        <v/>
      </c>
      <c r="K3993" s="16">
        <f>IF(OR(D3993="",F3993=""),"",F3993*IFERROR(INDEX('Sản phẩm'!$D$5:$D$304,MATCH(D3993,'Sản phẩm'!$A$5:$A$304,0)),""))</f>
        <v/>
      </c>
      <c r="L3993" s="16">
        <f>IF(J3993="","",J3993-K3993)</f>
        <v/>
      </c>
      <c r="M3993" s="14">
        <f>IF(A3993="","",MONTH(A3993))</f>
        <v/>
      </c>
      <c r="N3993" s="14">
        <f>IF(A3993="","",YEAR(A3993))</f>
        <v/>
      </c>
    </row>
    <row r="3994">
      <c r="A3994" s="15" t="n"/>
      <c r="B3994" s="10" t="n"/>
      <c r="C3994" s="10" t="n"/>
      <c r="D3994" s="10" t="n"/>
      <c r="E3994" s="14">
        <f>IF(D3994="","",IFERROR(INDEX('Sản phẩm'!$B$5:$B$304,MATCH(D3994,'Sản phẩm'!$A$5:$A$304,0)),""))</f>
        <v/>
      </c>
      <c r="F3994" s="12" t="n"/>
      <c r="G3994" s="11" t="n"/>
      <c r="H3994" s="11" t="n"/>
      <c r="I3994" s="16">
        <f>IF(D3994="","",IF(G3994&lt;&gt;"",G3994,IFERROR(INDEX('Sản phẩm'!$E$5:$E$304,MATCH(D3994,'Sản phẩm'!$A$5:$A$304,0)),"")))</f>
        <v/>
      </c>
      <c r="J3994" s="16">
        <f>IF(OR(D3994="",F3994=""),"",F3994*I3994-N(H3994))</f>
        <v/>
      </c>
      <c r="K3994" s="16">
        <f>IF(OR(D3994="",F3994=""),"",F3994*IFERROR(INDEX('Sản phẩm'!$D$5:$D$304,MATCH(D3994,'Sản phẩm'!$A$5:$A$304,0)),""))</f>
        <v/>
      </c>
      <c r="L3994" s="16">
        <f>IF(J3994="","",J3994-K3994)</f>
        <v/>
      </c>
      <c r="M3994" s="14">
        <f>IF(A3994="","",MONTH(A3994))</f>
        <v/>
      </c>
      <c r="N3994" s="14">
        <f>IF(A3994="","",YEAR(A3994))</f>
        <v/>
      </c>
    </row>
    <row r="3995">
      <c r="A3995" s="15" t="n"/>
      <c r="B3995" s="10" t="n"/>
      <c r="C3995" s="10" t="n"/>
      <c r="D3995" s="10" t="n"/>
      <c r="E3995" s="14">
        <f>IF(D3995="","",IFERROR(INDEX('Sản phẩm'!$B$5:$B$304,MATCH(D3995,'Sản phẩm'!$A$5:$A$304,0)),""))</f>
        <v/>
      </c>
      <c r="F3995" s="12" t="n"/>
      <c r="G3995" s="11" t="n"/>
      <c r="H3995" s="11" t="n"/>
      <c r="I3995" s="16">
        <f>IF(D3995="","",IF(G3995&lt;&gt;"",G3995,IFERROR(INDEX('Sản phẩm'!$E$5:$E$304,MATCH(D3995,'Sản phẩm'!$A$5:$A$304,0)),"")))</f>
        <v/>
      </c>
      <c r="J3995" s="16">
        <f>IF(OR(D3995="",F3995=""),"",F3995*I3995-N(H3995))</f>
        <v/>
      </c>
      <c r="K3995" s="16">
        <f>IF(OR(D3995="",F3995=""),"",F3995*IFERROR(INDEX('Sản phẩm'!$D$5:$D$304,MATCH(D3995,'Sản phẩm'!$A$5:$A$304,0)),""))</f>
        <v/>
      </c>
      <c r="L3995" s="16">
        <f>IF(J3995="","",J3995-K3995)</f>
        <v/>
      </c>
      <c r="M3995" s="14">
        <f>IF(A3995="","",MONTH(A3995))</f>
        <v/>
      </c>
      <c r="N3995" s="14">
        <f>IF(A3995="","",YEAR(A3995))</f>
        <v/>
      </c>
    </row>
    <row r="3996">
      <c r="A3996" s="15" t="n"/>
      <c r="B3996" s="10" t="n"/>
      <c r="C3996" s="10" t="n"/>
      <c r="D3996" s="10" t="n"/>
      <c r="E3996" s="14">
        <f>IF(D3996="","",IFERROR(INDEX('Sản phẩm'!$B$5:$B$304,MATCH(D3996,'Sản phẩm'!$A$5:$A$304,0)),""))</f>
        <v/>
      </c>
      <c r="F3996" s="12" t="n"/>
      <c r="G3996" s="11" t="n"/>
      <c r="H3996" s="11" t="n"/>
      <c r="I3996" s="16">
        <f>IF(D3996="","",IF(G3996&lt;&gt;"",G3996,IFERROR(INDEX('Sản phẩm'!$E$5:$E$304,MATCH(D3996,'Sản phẩm'!$A$5:$A$304,0)),"")))</f>
        <v/>
      </c>
      <c r="J3996" s="16">
        <f>IF(OR(D3996="",F3996=""),"",F3996*I3996-N(H3996))</f>
        <v/>
      </c>
      <c r="K3996" s="16">
        <f>IF(OR(D3996="",F3996=""),"",F3996*IFERROR(INDEX('Sản phẩm'!$D$5:$D$304,MATCH(D3996,'Sản phẩm'!$A$5:$A$304,0)),""))</f>
        <v/>
      </c>
      <c r="L3996" s="16">
        <f>IF(J3996="","",J3996-K3996)</f>
        <v/>
      </c>
      <c r="M3996" s="14">
        <f>IF(A3996="","",MONTH(A3996))</f>
        <v/>
      </c>
      <c r="N3996" s="14">
        <f>IF(A3996="","",YEAR(A3996))</f>
        <v/>
      </c>
    </row>
    <row r="3997">
      <c r="A3997" s="15" t="n"/>
      <c r="B3997" s="10" t="n"/>
      <c r="C3997" s="10" t="n"/>
      <c r="D3997" s="10" t="n"/>
      <c r="E3997" s="14">
        <f>IF(D3997="","",IFERROR(INDEX('Sản phẩm'!$B$5:$B$304,MATCH(D3997,'Sản phẩm'!$A$5:$A$304,0)),""))</f>
        <v/>
      </c>
      <c r="F3997" s="12" t="n"/>
      <c r="G3997" s="11" t="n"/>
      <c r="H3997" s="11" t="n"/>
      <c r="I3997" s="16">
        <f>IF(D3997="","",IF(G3997&lt;&gt;"",G3997,IFERROR(INDEX('Sản phẩm'!$E$5:$E$304,MATCH(D3997,'Sản phẩm'!$A$5:$A$304,0)),"")))</f>
        <v/>
      </c>
      <c r="J3997" s="16">
        <f>IF(OR(D3997="",F3997=""),"",F3997*I3997-N(H3997))</f>
        <v/>
      </c>
      <c r="K3997" s="16">
        <f>IF(OR(D3997="",F3997=""),"",F3997*IFERROR(INDEX('Sản phẩm'!$D$5:$D$304,MATCH(D3997,'Sản phẩm'!$A$5:$A$304,0)),""))</f>
        <v/>
      </c>
      <c r="L3997" s="16">
        <f>IF(J3997="","",J3997-K3997)</f>
        <v/>
      </c>
      <c r="M3997" s="14">
        <f>IF(A3997="","",MONTH(A3997))</f>
        <v/>
      </c>
      <c r="N3997" s="14">
        <f>IF(A3997="","",YEAR(A3997))</f>
        <v/>
      </c>
    </row>
    <row r="3998">
      <c r="A3998" s="15" t="n"/>
      <c r="B3998" s="10" t="n"/>
      <c r="C3998" s="10" t="n"/>
      <c r="D3998" s="10" t="n"/>
      <c r="E3998" s="14">
        <f>IF(D3998="","",IFERROR(INDEX('Sản phẩm'!$B$5:$B$304,MATCH(D3998,'Sản phẩm'!$A$5:$A$304,0)),""))</f>
        <v/>
      </c>
      <c r="F3998" s="12" t="n"/>
      <c r="G3998" s="11" t="n"/>
      <c r="H3998" s="11" t="n"/>
      <c r="I3998" s="16">
        <f>IF(D3998="","",IF(G3998&lt;&gt;"",G3998,IFERROR(INDEX('Sản phẩm'!$E$5:$E$304,MATCH(D3998,'Sản phẩm'!$A$5:$A$304,0)),"")))</f>
        <v/>
      </c>
      <c r="J3998" s="16">
        <f>IF(OR(D3998="",F3998=""),"",F3998*I3998-N(H3998))</f>
        <v/>
      </c>
      <c r="K3998" s="16">
        <f>IF(OR(D3998="",F3998=""),"",F3998*IFERROR(INDEX('Sản phẩm'!$D$5:$D$304,MATCH(D3998,'Sản phẩm'!$A$5:$A$304,0)),""))</f>
        <v/>
      </c>
      <c r="L3998" s="16">
        <f>IF(J3998="","",J3998-K3998)</f>
        <v/>
      </c>
      <c r="M3998" s="14">
        <f>IF(A3998="","",MONTH(A3998))</f>
        <v/>
      </c>
      <c r="N3998" s="14">
        <f>IF(A3998="","",YEAR(A3998))</f>
        <v/>
      </c>
    </row>
    <row r="3999">
      <c r="A3999" s="15" t="n"/>
      <c r="B3999" s="10" t="n"/>
      <c r="C3999" s="10" t="n"/>
      <c r="D3999" s="10" t="n"/>
      <c r="E3999" s="14">
        <f>IF(D3999="","",IFERROR(INDEX('Sản phẩm'!$B$5:$B$304,MATCH(D3999,'Sản phẩm'!$A$5:$A$304,0)),""))</f>
        <v/>
      </c>
      <c r="F3999" s="12" t="n"/>
      <c r="G3999" s="11" t="n"/>
      <c r="H3999" s="11" t="n"/>
      <c r="I3999" s="16">
        <f>IF(D3999="","",IF(G3999&lt;&gt;"",G3999,IFERROR(INDEX('Sản phẩm'!$E$5:$E$304,MATCH(D3999,'Sản phẩm'!$A$5:$A$304,0)),"")))</f>
        <v/>
      </c>
      <c r="J3999" s="16">
        <f>IF(OR(D3999="",F3999=""),"",F3999*I3999-N(H3999))</f>
        <v/>
      </c>
      <c r="K3999" s="16">
        <f>IF(OR(D3999="",F3999=""),"",F3999*IFERROR(INDEX('Sản phẩm'!$D$5:$D$304,MATCH(D3999,'Sản phẩm'!$A$5:$A$304,0)),""))</f>
        <v/>
      </c>
      <c r="L3999" s="16">
        <f>IF(J3999="","",J3999-K3999)</f>
        <v/>
      </c>
      <c r="M3999" s="14">
        <f>IF(A3999="","",MONTH(A3999))</f>
        <v/>
      </c>
      <c r="N3999" s="14">
        <f>IF(A3999="","",YEAR(A3999))</f>
        <v/>
      </c>
    </row>
    <row r="4000">
      <c r="A4000" s="15" t="n"/>
      <c r="B4000" s="10" t="n"/>
      <c r="C4000" s="10" t="n"/>
      <c r="D4000" s="10" t="n"/>
      <c r="E4000" s="14">
        <f>IF(D4000="","",IFERROR(INDEX('Sản phẩm'!$B$5:$B$304,MATCH(D4000,'Sản phẩm'!$A$5:$A$304,0)),""))</f>
        <v/>
      </c>
      <c r="F4000" s="12" t="n"/>
      <c r="G4000" s="11" t="n"/>
      <c r="H4000" s="11" t="n"/>
      <c r="I4000" s="16">
        <f>IF(D4000="","",IF(G4000&lt;&gt;"",G4000,IFERROR(INDEX('Sản phẩm'!$E$5:$E$304,MATCH(D4000,'Sản phẩm'!$A$5:$A$304,0)),"")))</f>
        <v/>
      </c>
      <c r="J4000" s="16">
        <f>IF(OR(D4000="",F4000=""),"",F4000*I4000-N(H4000))</f>
        <v/>
      </c>
      <c r="K4000" s="16">
        <f>IF(OR(D4000="",F4000=""),"",F4000*IFERROR(INDEX('Sản phẩm'!$D$5:$D$304,MATCH(D4000,'Sản phẩm'!$A$5:$A$304,0)),""))</f>
        <v/>
      </c>
      <c r="L4000" s="16">
        <f>IF(J4000="","",J4000-K4000)</f>
        <v/>
      </c>
      <c r="M4000" s="14">
        <f>IF(A4000="","",MONTH(A4000))</f>
        <v/>
      </c>
      <c r="N4000" s="14">
        <f>IF(A4000="","",YEAR(A4000))</f>
        <v/>
      </c>
    </row>
    <row r="4001">
      <c r="A4001" s="15" t="n"/>
      <c r="B4001" s="10" t="n"/>
      <c r="C4001" s="10" t="n"/>
      <c r="D4001" s="10" t="n"/>
      <c r="E4001" s="14">
        <f>IF(D4001="","",IFERROR(INDEX('Sản phẩm'!$B$5:$B$304,MATCH(D4001,'Sản phẩm'!$A$5:$A$304,0)),""))</f>
        <v/>
      </c>
      <c r="F4001" s="12" t="n"/>
      <c r="G4001" s="11" t="n"/>
      <c r="H4001" s="11" t="n"/>
      <c r="I4001" s="16">
        <f>IF(D4001="","",IF(G4001&lt;&gt;"",G4001,IFERROR(INDEX('Sản phẩm'!$E$5:$E$304,MATCH(D4001,'Sản phẩm'!$A$5:$A$304,0)),"")))</f>
        <v/>
      </c>
      <c r="J4001" s="16">
        <f>IF(OR(D4001="",F4001=""),"",F4001*I4001-N(H4001))</f>
        <v/>
      </c>
      <c r="K4001" s="16">
        <f>IF(OR(D4001="",F4001=""),"",F4001*IFERROR(INDEX('Sản phẩm'!$D$5:$D$304,MATCH(D4001,'Sản phẩm'!$A$5:$A$304,0)),""))</f>
        <v/>
      </c>
      <c r="L4001" s="16">
        <f>IF(J4001="","",J4001-K4001)</f>
        <v/>
      </c>
      <c r="M4001" s="14">
        <f>IF(A4001="","",MONTH(A4001))</f>
        <v/>
      </c>
      <c r="N4001" s="14">
        <f>IF(A4001="","",YEAR(A4001))</f>
        <v/>
      </c>
    </row>
    <row r="4002">
      <c r="A4002" s="15" t="n"/>
      <c r="B4002" s="10" t="n"/>
      <c r="C4002" s="10" t="n"/>
      <c r="D4002" s="10" t="n"/>
      <c r="E4002" s="14">
        <f>IF(D4002="","",IFERROR(INDEX('Sản phẩm'!$B$5:$B$304,MATCH(D4002,'Sản phẩm'!$A$5:$A$304,0)),""))</f>
        <v/>
      </c>
      <c r="F4002" s="12" t="n"/>
      <c r="G4002" s="11" t="n"/>
      <c r="H4002" s="11" t="n"/>
      <c r="I4002" s="16">
        <f>IF(D4002="","",IF(G4002&lt;&gt;"",G4002,IFERROR(INDEX('Sản phẩm'!$E$5:$E$304,MATCH(D4002,'Sản phẩm'!$A$5:$A$304,0)),"")))</f>
        <v/>
      </c>
      <c r="J4002" s="16">
        <f>IF(OR(D4002="",F4002=""),"",F4002*I4002-N(H4002))</f>
        <v/>
      </c>
      <c r="K4002" s="16">
        <f>IF(OR(D4002="",F4002=""),"",F4002*IFERROR(INDEX('Sản phẩm'!$D$5:$D$304,MATCH(D4002,'Sản phẩm'!$A$5:$A$304,0)),""))</f>
        <v/>
      </c>
      <c r="L4002" s="16">
        <f>IF(J4002="","",J4002-K4002)</f>
        <v/>
      </c>
      <c r="M4002" s="14">
        <f>IF(A4002="","",MONTH(A4002))</f>
        <v/>
      </c>
      <c r="N4002" s="14">
        <f>IF(A4002="","",YEAR(A4002))</f>
        <v/>
      </c>
    </row>
    <row r="4003">
      <c r="A4003" s="15" t="n"/>
      <c r="B4003" s="10" t="n"/>
      <c r="C4003" s="10" t="n"/>
      <c r="D4003" s="10" t="n"/>
      <c r="E4003" s="14">
        <f>IF(D4003="","",IFERROR(INDEX('Sản phẩm'!$B$5:$B$304,MATCH(D4003,'Sản phẩm'!$A$5:$A$304,0)),""))</f>
        <v/>
      </c>
      <c r="F4003" s="12" t="n"/>
      <c r="G4003" s="11" t="n"/>
      <c r="H4003" s="11" t="n"/>
      <c r="I4003" s="16">
        <f>IF(D4003="","",IF(G4003&lt;&gt;"",G4003,IFERROR(INDEX('Sản phẩm'!$E$5:$E$304,MATCH(D4003,'Sản phẩm'!$A$5:$A$304,0)),"")))</f>
        <v/>
      </c>
      <c r="J4003" s="16">
        <f>IF(OR(D4003="",F4003=""),"",F4003*I4003-N(H4003))</f>
        <v/>
      </c>
      <c r="K4003" s="16">
        <f>IF(OR(D4003="",F4003=""),"",F4003*IFERROR(INDEX('Sản phẩm'!$D$5:$D$304,MATCH(D4003,'Sản phẩm'!$A$5:$A$304,0)),""))</f>
        <v/>
      </c>
      <c r="L4003" s="16">
        <f>IF(J4003="","",J4003-K4003)</f>
        <v/>
      </c>
      <c r="M4003" s="14">
        <f>IF(A4003="","",MONTH(A4003))</f>
        <v/>
      </c>
      <c r="N4003" s="14">
        <f>IF(A4003="","",YEAR(A4003))</f>
        <v/>
      </c>
    </row>
    <row r="4004">
      <c r="A4004" s="15" t="n"/>
      <c r="B4004" s="10" t="n"/>
      <c r="C4004" s="10" t="n"/>
      <c r="D4004" s="10" t="n"/>
      <c r="E4004" s="14">
        <f>IF(D4004="","",IFERROR(INDEX('Sản phẩm'!$B$5:$B$304,MATCH(D4004,'Sản phẩm'!$A$5:$A$304,0)),""))</f>
        <v/>
      </c>
      <c r="F4004" s="12" t="n"/>
      <c r="G4004" s="11" t="n"/>
      <c r="H4004" s="11" t="n"/>
      <c r="I4004" s="16">
        <f>IF(D4004="","",IF(G4004&lt;&gt;"",G4004,IFERROR(INDEX('Sản phẩm'!$E$5:$E$304,MATCH(D4004,'Sản phẩm'!$A$5:$A$304,0)),"")))</f>
        <v/>
      </c>
      <c r="J4004" s="16">
        <f>IF(OR(D4004="",F4004=""),"",F4004*I4004-N(H4004))</f>
        <v/>
      </c>
      <c r="K4004" s="16">
        <f>IF(OR(D4004="",F4004=""),"",F4004*IFERROR(INDEX('Sản phẩm'!$D$5:$D$304,MATCH(D4004,'Sản phẩm'!$A$5:$A$304,0)),""))</f>
        <v/>
      </c>
      <c r="L4004" s="16">
        <f>IF(J4004="","",J4004-K4004)</f>
        <v/>
      </c>
      <c r="M4004" s="14">
        <f>IF(A4004="","",MONTH(A4004))</f>
        <v/>
      </c>
      <c r="N4004" s="14">
        <f>IF(A4004="","",YEAR(A4004))</f>
        <v/>
      </c>
    </row>
    <row r="4005">
      <c r="A4005" s="15" t="n"/>
      <c r="B4005" s="10" t="n"/>
      <c r="C4005" s="10" t="n"/>
      <c r="D4005" s="10" t="n"/>
      <c r="E4005" s="14">
        <f>IF(D4005="","",IFERROR(INDEX('Sản phẩm'!$B$5:$B$304,MATCH(D4005,'Sản phẩm'!$A$5:$A$304,0)),""))</f>
        <v/>
      </c>
      <c r="F4005" s="12" t="n"/>
      <c r="G4005" s="11" t="n"/>
      <c r="H4005" s="11" t="n"/>
      <c r="I4005" s="16">
        <f>IF(D4005="","",IF(G4005&lt;&gt;"",G4005,IFERROR(INDEX('Sản phẩm'!$E$5:$E$304,MATCH(D4005,'Sản phẩm'!$A$5:$A$304,0)),"")))</f>
        <v/>
      </c>
      <c r="J4005" s="16">
        <f>IF(OR(D4005="",F4005=""),"",F4005*I4005-N(H4005))</f>
        <v/>
      </c>
      <c r="K4005" s="16">
        <f>IF(OR(D4005="",F4005=""),"",F4005*IFERROR(INDEX('Sản phẩm'!$D$5:$D$304,MATCH(D4005,'Sản phẩm'!$A$5:$A$304,0)),""))</f>
        <v/>
      </c>
      <c r="L4005" s="16">
        <f>IF(J4005="","",J4005-K4005)</f>
        <v/>
      </c>
      <c r="M4005" s="14">
        <f>IF(A4005="","",MONTH(A4005))</f>
        <v/>
      </c>
      <c r="N4005" s="14">
        <f>IF(A4005="","",YEAR(A4005))</f>
        <v/>
      </c>
    </row>
    <row r="4006">
      <c r="A4006" s="15" t="n"/>
      <c r="B4006" s="10" t="n"/>
      <c r="C4006" s="10" t="n"/>
      <c r="D4006" s="10" t="n"/>
      <c r="E4006" s="14">
        <f>IF(D4006="","",IFERROR(INDEX('Sản phẩm'!$B$5:$B$304,MATCH(D4006,'Sản phẩm'!$A$5:$A$304,0)),""))</f>
        <v/>
      </c>
      <c r="F4006" s="12" t="n"/>
      <c r="G4006" s="11" t="n"/>
      <c r="H4006" s="11" t="n"/>
      <c r="I4006" s="16">
        <f>IF(D4006="","",IF(G4006&lt;&gt;"",G4006,IFERROR(INDEX('Sản phẩm'!$E$5:$E$304,MATCH(D4006,'Sản phẩm'!$A$5:$A$304,0)),"")))</f>
        <v/>
      </c>
      <c r="J4006" s="16">
        <f>IF(OR(D4006="",F4006=""),"",F4006*I4006-N(H4006))</f>
        <v/>
      </c>
      <c r="K4006" s="16">
        <f>IF(OR(D4006="",F4006=""),"",F4006*IFERROR(INDEX('Sản phẩm'!$D$5:$D$304,MATCH(D4006,'Sản phẩm'!$A$5:$A$304,0)),""))</f>
        <v/>
      </c>
      <c r="L4006" s="16">
        <f>IF(J4006="","",J4006-K4006)</f>
        <v/>
      </c>
      <c r="M4006" s="14">
        <f>IF(A4006="","",MONTH(A4006))</f>
        <v/>
      </c>
      <c r="N4006" s="14">
        <f>IF(A4006="","",YEAR(A4006))</f>
        <v/>
      </c>
    </row>
    <row r="4007">
      <c r="A4007" s="15" t="n"/>
      <c r="B4007" s="10" t="n"/>
      <c r="C4007" s="10" t="n"/>
      <c r="D4007" s="10" t="n"/>
      <c r="E4007" s="14">
        <f>IF(D4007="","",IFERROR(INDEX('Sản phẩm'!$B$5:$B$304,MATCH(D4007,'Sản phẩm'!$A$5:$A$304,0)),""))</f>
        <v/>
      </c>
      <c r="F4007" s="12" t="n"/>
      <c r="G4007" s="11" t="n"/>
      <c r="H4007" s="11" t="n"/>
      <c r="I4007" s="16">
        <f>IF(D4007="","",IF(G4007&lt;&gt;"",G4007,IFERROR(INDEX('Sản phẩm'!$E$5:$E$304,MATCH(D4007,'Sản phẩm'!$A$5:$A$304,0)),"")))</f>
        <v/>
      </c>
      <c r="J4007" s="16">
        <f>IF(OR(D4007="",F4007=""),"",F4007*I4007-N(H4007))</f>
        <v/>
      </c>
      <c r="K4007" s="16">
        <f>IF(OR(D4007="",F4007=""),"",F4007*IFERROR(INDEX('Sản phẩm'!$D$5:$D$304,MATCH(D4007,'Sản phẩm'!$A$5:$A$304,0)),""))</f>
        <v/>
      </c>
      <c r="L4007" s="16">
        <f>IF(J4007="","",J4007-K4007)</f>
        <v/>
      </c>
      <c r="M4007" s="14">
        <f>IF(A4007="","",MONTH(A4007))</f>
        <v/>
      </c>
      <c r="N4007" s="14">
        <f>IF(A4007="","",YEAR(A4007))</f>
        <v/>
      </c>
    </row>
    <row r="4008">
      <c r="A4008" s="15" t="n"/>
      <c r="B4008" s="10" t="n"/>
      <c r="C4008" s="10" t="n"/>
      <c r="D4008" s="10" t="n"/>
      <c r="E4008" s="14">
        <f>IF(D4008="","",IFERROR(INDEX('Sản phẩm'!$B$5:$B$304,MATCH(D4008,'Sản phẩm'!$A$5:$A$304,0)),""))</f>
        <v/>
      </c>
      <c r="F4008" s="12" t="n"/>
      <c r="G4008" s="11" t="n"/>
      <c r="H4008" s="11" t="n"/>
      <c r="I4008" s="16">
        <f>IF(D4008="","",IF(G4008&lt;&gt;"",G4008,IFERROR(INDEX('Sản phẩm'!$E$5:$E$304,MATCH(D4008,'Sản phẩm'!$A$5:$A$304,0)),"")))</f>
        <v/>
      </c>
      <c r="J4008" s="16">
        <f>IF(OR(D4008="",F4008=""),"",F4008*I4008-N(H4008))</f>
        <v/>
      </c>
      <c r="K4008" s="16">
        <f>IF(OR(D4008="",F4008=""),"",F4008*IFERROR(INDEX('Sản phẩm'!$D$5:$D$304,MATCH(D4008,'Sản phẩm'!$A$5:$A$304,0)),""))</f>
        <v/>
      </c>
      <c r="L4008" s="16">
        <f>IF(J4008="","",J4008-K4008)</f>
        <v/>
      </c>
      <c r="M4008" s="14">
        <f>IF(A4008="","",MONTH(A4008))</f>
        <v/>
      </c>
      <c r="N4008" s="14">
        <f>IF(A4008="","",YEAR(A4008))</f>
        <v/>
      </c>
    </row>
    <row r="4009">
      <c r="A4009" s="15" t="n"/>
      <c r="B4009" s="10" t="n"/>
      <c r="C4009" s="10" t="n"/>
      <c r="D4009" s="10" t="n"/>
      <c r="E4009" s="14">
        <f>IF(D4009="","",IFERROR(INDEX('Sản phẩm'!$B$5:$B$304,MATCH(D4009,'Sản phẩm'!$A$5:$A$304,0)),""))</f>
        <v/>
      </c>
      <c r="F4009" s="12" t="n"/>
      <c r="G4009" s="11" t="n"/>
      <c r="H4009" s="11" t="n"/>
      <c r="I4009" s="16">
        <f>IF(D4009="","",IF(G4009&lt;&gt;"",G4009,IFERROR(INDEX('Sản phẩm'!$E$5:$E$304,MATCH(D4009,'Sản phẩm'!$A$5:$A$304,0)),"")))</f>
        <v/>
      </c>
      <c r="J4009" s="16">
        <f>IF(OR(D4009="",F4009=""),"",F4009*I4009-N(H4009))</f>
        <v/>
      </c>
      <c r="K4009" s="16">
        <f>IF(OR(D4009="",F4009=""),"",F4009*IFERROR(INDEX('Sản phẩm'!$D$5:$D$304,MATCH(D4009,'Sản phẩm'!$A$5:$A$304,0)),""))</f>
        <v/>
      </c>
      <c r="L4009" s="16">
        <f>IF(J4009="","",J4009-K4009)</f>
        <v/>
      </c>
      <c r="M4009" s="14">
        <f>IF(A4009="","",MONTH(A4009))</f>
        <v/>
      </c>
      <c r="N4009" s="14">
        <f>IF(A4009="","",YEAR(A4009))</f>
        <v/>
      </c>
    </row>
    <row r="4010">
      <c r="A4010" s="15" t="n"/>
      <c r="B4010" s="10" t="n"/>
      <c r="C4010" s="10" t="n"/>
      <c r="D4010" s="10" t="n"/>
      <c r="E4010" s="14">
        <f>IF(D4010="","",IFERROR(INDEX('Sản phẩm'!$B$5:$B$304,MATCH(D4010,'Sản phẩm'!$A$5:$A$304,0)),""))</f>
        <v/>
      </c>
      <c r="F4010" s="12" t="n"/>
      <c r="G4010" s="11" t="n"/>
      <c r="H4010" s="11" t="n"/>
      <c r="I4010" s="16">
        <f>IF(D4010="","",IF(G4010&lt;&gt;"",G4010,IFERROR(INDEX('Sản phẩm'!$E$5:$E$304,MATCH(D4010,'Sản phẩm'!$A$5:$A$304,0)),"")))</f>
        <v/>
      </c>
      <c r="J4010" s="16">
        <f>IF(OR(D4010="",F4010=""),"",F4010*I4010-N(H4010))</f>
        <v/>
      </c>
      <c r="K4010" s="16">
        <f>IF(OR(D4010="",F4010=""),"",F4010*IFERROR(INDEX('Sản phẩm'!$D$5:$D$304,MATCH(D4010,'Sản phẩm'!$A$5:$A$304,0)),""))</f>
        <v/>
      </c>
      <c r="L4010" s="16">
        <f>IF(J4010="","",J4010-K4010)</f>
        <v/>
      </c>
      <c r="M4010" s="14">
        <f>IF(A4010="","",MONTH(A4010))</f>
        <v/>
      </c>
      <c r="N4010" s="14">
        <f>IF(A4010="","",YEAR(A4010))</f>
        <v/>
      </c>
    </row>
    <row r="4011">
      <c r="A4011" s="15" t="n"/>
      <c r="B4011" s="10" t="n"/>
      <c r="C4011" s="10" t="n"/>
      <c r="D4011" s="10" t="n"/>
      <c r="E4011" s="14">
        <f>IF(D4011="","",IFERROR(INDEX('Sản phẩm'!$B$5:$B$304,MATCH(D4011,'Sản phẩm'!$A$5:$A$304,0)),""))</f>
        <v/>
      </c>
      <c r="F4011" s="12" t="n"/>
      <c r="G4011" s="11" t="n"/>
      <c r="H4011" s="11" t="n"/>
      <c r="I4011" s="16">
        <f>IF(D4011="","",IF(G4011&lt;&gt;"",G4011,IFERROR(INDEX('Sản phẩm'!$E$5:$E$304,MATCH(D4011,'Sản phẩm'!$A$5:$A$304,0)),"")))</f>
        <v/>
      </c>
      <c r="J4011" s="16">
        <f>IF(OR(D4011="",F4011=""),"",F4011*I4011-N(H4011))</f>
        <v/>
      </c>
      <c r="K4011" s="16">
        <f>IF(OR(D4011="",F4011=""),"",F4011*IFERROR(INDEX('Sản phẩm'!$D$5:$D$304,MATCH(D4011,'Sản phẩm'!$A$5:$A$304,0)),""))</f>
        <v/>
      </c>
      <c r="L4011" s="16">
        <f>IF(J4011="","",J4011-K4011)</f>
        <v/>
      </c>
      <c r="M4011" s="14">
        <f>IF(A4011="","",MONTH(A4011))</f>
        <v/>
      </c>
      <c r="N4011" s="14">
        <f>IF(A4011="","",YEAR(A4011))</f>
        <v/>
      </c>
    </row>
    <row r="4012">
      <c r="A4012" s="15" t="n"/>
      <c r="B4012" s="10" t="n"/>
      <c r="C4012" s="10" t="n"/>
      <c r="D4012" s="10" t="n"/>
      <c r="E4012" s="14">
        <f>IF(D4012="","",IFERROR(INDEX('Sản phẩm'!$B$5:$B$304,MATCH(D4012,'Sản phẩm'!$A$5:$A$304,0)),""))</f>
        <v/>
      </c>
      <c r="F4012" s="12" t="n"/>
      <c r="G4012" s="11" t="n"/>
      <c r="H4012" s="11" t="n"/>
      <c r="I4012" s="16">
        <f>IF(D4012="","",IF(G4012&lt;&gt;"",G4012,IFERROR(INDEX('Sản phẩm'!$E$5:$E$304,MATCH(D4012,'Sản phẩm'!$A$5:$A$304,0)),"")))</f>
        <v/>
      </c>
      <c r="J4012" s="16">
        <f>IF(OR(D4012="",F4012=""),"",F4012*I4012-N(H4012))</f>
        <v/>
      </c>
      <c r="K4012" s="16">
        <f>IF(OR(D4012="",F4012=""),"",F4012*IFERROR(INDEX('Sản phẩm'!$D$5:$D$304,MATCH(D4012,'Sản phẩm'!$A$5:$A$304,0)),""))</f>
        <v/>
      </c>
      <c r="L4012" s="16">
        <f>IF(J4012="","",J4012-K4012)</f>
        <v/>
      </c>
      <c r="M4012" s="14">
        <f>IF(A4012="","",MONTH(A4012))</f>
        <v/>
      </c>
      <c r="N4012" s="14">
        <f>IF(A4012="","",YEAR(A4012))</f>
        <v/>
      </c>
    </row>
    <row r="4013">
      <c r="A4013" s="15" t="n"/>
      <c r="B4013" s="10" t="n"/>
      <c r="C4013" s="10" t="n"/>
      <c r="D4013" s="10" t="n"/>
      <c r="E4013" s="14">
        <f>IF(D4013="","",IFERROR(INDEX('Sản phẩm'!$B$5:$B$304,MATCH(D4013,'Sản phẩm'!$A$5:$A$304,0)),""))</f>
        <v/>
      </c>
      <c r="F4013" s="12" t="n"/>
      <c r="G4013" s="11" t="n"/>
      <c r="H4013" s="11" t="n"/>
      <c r="I4013" s="16">
        <f>IF(D4013="","",IF(G4013&lt;&gt;"",G4013,IFERROR(INDEX('Sản phẩm'!$E$5:$E$304,MATCH(D4013,'Sản phẩm'!$A$5:$A$304,0)),"")))</f>
        <v/>
      </c>
      <c r="J4013" s="16">
        <f>IF(OR(D4013="",F4013=""),"",F4013*I4013-N(H4013))</f>
        <v/>
      </c>
      <c r="K4013" s="16">
        <f>IF(OR(D4013="",F4013=""),"",F4013*IFERROR(INDEX('Sản phẩm'!$D$5:$D$304,MATCH(D4013,'Sản phẩm'!$A$5:$A$304,0)),""))</f>
        <v/>
      </c>
      <c r="L4013" s="16">
        <f>IF(J4013="","",J4013-K4013)</f>
        <v/>
      </c>
      <c r="M4013" s="14">
        <f>IF(A4013="","",MONTH(A4013))</f>
        <v/>
      </c>
      <c r="N4013" s="14">
        <f>IF(A4013="","",YEAR(A4013))</f>
        <v/>
      </c>
    </row>
    <row r="4014">
      <c r="A4014" s="15" t="n"/>
      <c r="B4014" s="10" t="n"/>
      <c r="C4014" s="10" t="n"/>
      <c r="D4014" s="10" t="n"/>
      <c r="E4014" s="14">
        <f>IF(D4014="","",IFERROR(INDEX('Sản phẩm'!$B$5:$B$304,MATCH(D4014,'Sản phẩm'!$A$5:$A$304,0)),""))</f>
        <v/>
      </c>
      <c r="F4014" s="12" t="n"/>
      <c r="G4014" s="11" t="n"/>
      <c r="H4014" s="11" t="n"/>
      <c r="I4014" s="16">
        <f>IF(D4014="","",IF(G4014&lt;&gt;"",G4014,IFERROR(INDEX('Sản phẩm'!$E$5:$E$304,MATCH(D4014,'Sản phẩm'!$A$5:$A$304,0)),"")))</f>
        <v/>
      </c>
      <c r="J4014" s="16">
        <f>IF(OR(D4014="",F4014=""),"",F4014*I4014-N(H4014))</f>
        <v/>
      </c>
      <c r="K4014" s="16">
        <f>IF(OR(D4014="",F4014=""),"",F4014*IFERROR(INDEX('Sản phẩm'!$D$5:$D$304,MATCH(D4014,'Sản phẩm'!$A$5:$A$304,0)),""))</f>
        <v/>
      </c>
      <c r="L4014" s="16">
        <f>IF(J4014="","",J4014-K4014)</f>
        <v/>
      </c>
      <c r="M4014" s="14">
        <f>IF(A4014="","",MONTH(A4014))</f>
        <v/>
      </c>
      <c r="N4014" s="14">
        <f>IF(A4014="","",YEAR(A4014))</f>
        <v/>
      </c>
    </row>
    <row r="4015">
      <c r="A4015" s="15" t="n"/>
      <c r="B4015" s="10" t="n"/>
      <c r="C4015" s="10" t="n"/>
      <c r="D4015" s="10" t="n"/>
      <c r="E4015" s="14">
        <f>IF(D4015="","",IFERROR(INDEX('Sản phẩm'!$B$5:$B$304,MATCH(D4015,'Sản phẩm'!$A$5:$A$304,0)),""))</f>
        <v/>
      </c>
      <c r="F4015" s="12" t="n"/>
      <c r="G4015" s="11" t="n"/>
      <c r="H4015" s="11" t="n"/>
      <c r="I4015" s="16">
        <f>IF(D4015="","",IF(G4015&lt;&gt;"",G4015,IFERROR(INDEX('Sản phẩm'!$E$5:$E$304,MATCH(D4015,'Sản phẩm'!$A$5:$A$304,0)),"")))</f>
        <v/>
      </c>
      <c r="J4015" s="16">
        <f>IF(OR(D4015="",F4015=""),"",F4015*I4015-N(H4015))</f>
        <v/>
      </c>
      <c r="K4015" s="16">
        <f>IF(OR(D4015="",F4015=""),"",F4015*IFERROR(INDEX('Sản phẩm'!$D$5:$D$304,MATCH(D4015,'Sản phẩm'!$A$5:$A$304,0)),""))</f>
        <v/>
      </c>
      <c r="L4015" s="16">
        <f>IF(J4015="","",J4015-K4015)</f>
        <v/>
      </c>
      <c r="M4015" s="14">
        <f>IF(A4015="","",MONTH(A4015))</f>
        <v/>
      </c>
      <c r="N4015" s="14">
        <f>IF(A4015="","",YEAR(A4015))</f>
        <v/>
      </c>
    </row>
    <row r="4016">
      <c r="A4016" s="15" t="n"/>
      <c r="B4016" s="10" t="n"/>
      <c r="C4016" s="10" t="n"/>
      <c r="D4016" s="10" t="n"/>
      <c r="E4016" s="14">
        <f>IF(D4016="","",IFERROR(INDEX('Sản phẩm'!$B$5:$B$304,MATCH(D4016,'Sản phẩm'!$A$5:$A$304,0)),""))</f>
        <v/>
      </c>
      <c r="F4016" s="12" t="n"/>
      <c r="G4016" s="11" t="n"/>
      <c r="H4016" s="11" t="n"/>
      <c r="I4016" s="16">
        <f>IF(D4016="","",IF(G4016&lt;&gt;"",G4016,IFERROR(INDEX('Sản phẩm'!$E$5:$E$304,MATCH(D4016,'Sản phẩm'!$A$5:$A$304,0)),"")))</f>
        <v/>
      </c>
      <c r="J4016" s="16">
        <f>IF(OR(D4016="",F4016=""),"",F4016*I4016-N(H4016))</f>
        <v/>
      </c>
      <c r="K4016" s="16">
        <f>IF(OR(D4016="",F4016=""),"",F4016*IFERROR(INDEX('Sản phẩm'!$D$5:$D$304,MATCH(D4016,'Sản phẩm'!$A$5:$A$304,0)),""))</f>
        <v/>
      </c>
      <c r="L4016" s="16">
        <f>IF(J4016="","",J4016-K4016)</f>
        <v/>
      </c>
      <c r="M4016" s="14">
        <f>IF(A4016="","",MONTH(A4016))</f>
        <v/>
      </c>
      <c r="N4016" s="14">
        <f>IF(A4016="","",YEAR(A4016))</f>
        <v/>
      </c>
    </row>
    <row r="4017">
      <c r="A4017" s="15" t="n"/>
      <c r="B4017" s="10" t="n"/>
      <c r="C4017" s="10" t="n"/>
      <c r="D4017" s="10" t="n"/>
      <c r="E4017" s="14">
        <f>IF(D4017="","",IFERROR(INDEX('Sản phẩm'!$B$5:$B$304,MATCH(D4017,'Sản phẩm'!$A$5:$A$304,0)),""))</f>
        <v/>
      </c>
      <c r="F4017" s="12" t="n"/>
      <c r="G4017" s="11" t="n"/>
      <c r="H4017" s="11" t="n"/>
      <c r="I4017" s="16">
        <f>IF(D4017="","",IF(G4017&lt;&gt;"",G4017,IFERROR(INDEX('Sản phẩm'!$E$5:$E$304,MATCH(D4017,'Sản phẩm'!$A$5:$A$304,0)),"")))</f>
        <v/>
      </c>
      <c r="J4017" s="16">
        <f>IF(OR(D4017="",F4017=""),"",F4017*I4017-N(H4017))</f>
        <v/>
      </c>
      <c r="K4017" s="16">
        <f>IF(OR(D4017="",F4017=""),"",F4017*IFERROR(INDEX('Sản phẩm'!$D$5:$D$304,MATCH(D4017,'Sản phẩm'!$A$5:$A$304,0)),""))</f>
        <v/>
      </c>
      <c r="L4017" s="16">
        <f>IF(J4017="","",J4017-K4017)</f>
        <v/>
      </c>
      <c r="M4017" s="14">
        <f>IF(A4017="","",MONTH(A4017))</f>
        <v/>
      </c>
      <c r="N4017" s="14">
        <f>IF(A4017="","",YEAR(A4017))</f>
        <v/>
      </c>
    </row>
    <row r="4018">
      <c r="A4018" s="15" t="n"/>
      <c r="B4018" s="10" t="n"/>
      <c r="C4018" s="10" t="n"/>
      <c r="D4018" s="10" t="n"/>
      <c r="E4018" s="14">
        <f>IF(D4018="","",IFERROR(INDEX('Sản phẩm'!$B$5:$B$304,MATCH(D4018,'Sản phẩm'!$A$5:$A$304,0)),""))</f>
        <v/>
      </c>
      <c r="F4018" s="12" t="n"/>
      <c r="G4018" s="11" t="n"/>
      <c r="H4018" s="11" t="n"/>
      <c r="I4018" s="16">
        <f>IF(D4018="","",IF(G4018&lt;&gt;"",G4018,IFERROR(INDEX('Sản phẩm'!$E$5:$E$304,MATCH(D4018,'Sản phẩm'!$A$5:$A$304,0)),"")))</f>
        <v/>
      </c>
      <c r="J4018" s="16">
        <f>IF(OR(D4018="",F4018=""),"",F4018*I4018-N(H4018))</f>
        <v/>
      </c>
      <c r="K4018" s="16">
        <f>IF(OR(D4018="",F4018=""),"",F4018*IFERROR(INDEX('Sản phẩm'!$D$5:$D$304,MATCH(D4018,'Sản phẩm'!$A$5:$A$304,0)),""))</f>
        <v/>
      </c>
      <c r="L4018" s="16">
        <f>IF(J4018="","",J4018-K4018)</f>
        <v/>
      </c>
      <c r="M4018" s="14">
        <f>IF(A4018="","",MONTH(A4018))</f>
        <v/>
      </c>
      <c r="N4018" s="14">
        <f>IF(A4018="","",YEAR(A4018))</f>
        <v/>
      </c>
    </row>
    <row r="4019">
      <c r="A4019" s="15" t="n"/>
      <c r="B4019" s="10" t="n"/>
      <c r="C4019" s="10" t="n"/>
      <c r="D4019" s="10" t="n"/>
      <c r="E4019" s="14">
        <f>IF(D4019="","",IFERROR(INDEX('Sản phẩm'!$B$5:$B$304,MATCH(D4019,'Sản phẩm'!$A$5:$A$304,0)),""))</f>
        <v/>
      </c>
      <c r="F4019" s="12" t="n"/>
      <c r="G4019" s="11" t="n"/>
      <c r="H4019" s="11" t="n"/>
      <c r="I4019" s="16">
        <f>IF(D4019="","",IF(G4019&lt;&gt;"",G4019,IFERROR(INDEX('Sản phẩm'!$E$5:$E$304,MATCH(D4019,'Sản phẩm'!$A$5:$A$304,0)),"")))</f>
        <v/>
      </c>
      <c r="J4019" s="16">
        <f>IF(OR(D4019="",F4019=""),"",F4019*I4019-N(H4019))</f>
        <v/>
      </c>
      <c r="K4019" s="16">
        <f>IF(OR(D4019="",F4019=""),"",F4019*IFERROR(INDEX('Sản phẩm'!$D$5:$D$304,MATCH(D4019,'Sản phẩm'!$A$5:$A$304,0)),""))</f>
        <v/>
      </c>
      <c r="L4019" s="16">
        <f>IF(J4019="","",J4019-K4019)</f>
        <v/>
      </c>
      <c r="M4019" s="14">
        <f>IF(A4019="","",MONTH(A4019))</f>
        <v/>
      </c>
      <c r="N4019" s="14">
        <f>IF(A4019="","",YEAR(A4019))</f>
        <v/>
      </c>
    </row>
    <row r="4020">
      <c r="A4020" s="15" t="n"/>
      <c r="B4020" s="10" t="n"/>
      <c r="C4020" s="10" t="n"/>
      <c r="D4020" s="10" t="n"/>
      <c r="E4020" s="14">
        <f>IF(D4020="","",IFERROR(INDEX('Sản phẩm'!$B$5:$B$304,MATCH(D4020,'Sản phẩm'!$A$5:$A$304,0)),""))</f>
        <v/>
      </c>
      <c r="F4020" s="12" t="n"/>
      <c r="G4020" s="11" t="n"/>
      <c r="H4020" s="11" t="n"/>
      <c r="I4020" s="16">
        <f>IF(D4020="","",IF(G4020&lt;&gt;"",G4020,IFERROR(INDEX('Sản phẩm'!$E$5:$E$304,MATCH(D4020,'Sản phẩm'!$A$5:$A$304,0)),"")))</f>
        <v/>
      </c>
      <c r="J4020" s="16">
        <f>IF(OR(D4020="",F4020=""),"",F4020*I4020-N(H4020))</f>
        <v/>
      </c>
      <c r="K4020" s="16">
        <f>IF(OR(D4020="",F4020=""),"",F4020*IFERROR(INDEX('Sản phẩm'!$D$5:$D$304,MATCH(D4020,'Sản phẩm'!$A$5:$A$304,0)),""))</f>
        <v/>
      </c>
      <c r="L4020" s="16">
        <f>IF(J4020="","",J4020-K4020)</f>
        <v/>
      </c>
      <c r="M4020" s="14">
        <f>IF(A4020="","",MONTH(A4020))</f>
        <v/>
      </c>
      <c r="N4020" s="14">
        <f>IF(A4020="","",YEAR(A4020))</f>
        <v/>
      </c>
    </row>
    <row r="4021">
      <c r="A4021" s="15" t="n"/>
      <c r="B4021" s="10" t="n"/>
      <c r="C4021" s="10" t="n"/>
      <c r="D4021" s="10" t="n"/>
      <c r="E4021" s="14">
        <f>IF(D4021="","",IFERROR(INDEX('Sản phẩm'!$B$5:$B$304,MATCH(D4021,'Sản phẩm'!$A$5:$A$304,0)),""))</f>
        <v/>
      </c>
      <c r="F4021" s="12" t="n"/>
      <c r="G4021" s="11" t="n"/>
      <c r="H4021" s="11" t="n"/>
      <c r="I4021" s="16">
        <f>IF(D4021="","",IF(G4021&lt;&gt;"",G4021,IFERROR(INDEX('Sản phẩm'!$E$5:$E$304,MATCH(D4021,'Sản phẩm'!$A$5:$A$304,0)),"")))</f>
        <v/>
      </c>
      <c r="J4021" s="16">
        <f>IF(OR(D4021="",F4021=""),"",F4021*I4021-N(H4021))</f>
        <v/>
      </c>
      <c r="K4021" s="16">
        <f>IF(OR(D4021="",F4021=""),"",F4021*IFERROR(INDEX('Sản phẩm'!$D$5:$D$304,MATCH(D4021,'Sản phẩm'!$A$5:$A$304,0)),""))</f>
        <v/>
      </c>
      <c r="L4021" s="16">
        <f>IF(J4021="","",J4021-K4021)</f>
        <v/>
      </c>
      <c r="M4021" s="14">
        <f>IF(A4021="","",MONTH(A4021))</f>
        <v/>
      </c>
      <c r="N4021" s="14">
        <f>IF(A4021="","",YEAR(A4021))</f>
        <v/>
      </c>
    </row>
    <row r="4022">
      <c r="A4022" s="15" t="n"/>
      <c r="B4022" s="10" t="n"/>
      <c r="C4022" s="10" t="n"/>
      <c r="D4022" s="10" t="n"/>
      <c r="E4022" s="14">
        <f>IF(D4022="","",IFERROR(INDEX('Sản phẩm'!$B$5:$B$304,MATCH(D4022,'Sản phẩm'!$A$5:$A$304,0)),""))</f>
        <v/>
      </c>
      <c r="F4022" s="12" t="n"/>
      <c r="G4022" s="11" t="n"/>
      <c r="H4022" s="11" t="n"/>
      <c r="I4022" s="16">
        <f>IF(D4022="","",IF(G4022&lt;&gt;"",G4022,IFERROR(INDEX('Sản phẩm'!$E$5:$E$304,MATCH(D4022,'Sản phẩm'!$A$5:$A$304,0)),"")))</f>
        <v/>
      </c>
      <c r="J4022" s="16">
        <f>IF(OR(D4022="",F4022=""),"",F4022*I4022-N(H4022))</f>
        <v/>
      </c>
      <c r="K4022" s="16">
        <f>IF(OR(D4022="",F4022=""),"",F4022*IFERROR(INDEX('Sản phẩm'!$D$5:$D$304,MATCH(D4022,'Sản phẩm'!$A$5:$A$304,0)),""))</f>
        <v/>
      </c>
      <c r="L4022" s="16">
        <f>IF(J4022="","",J4022-K4022)</f>
        <v/>
      </c>
      <c r="M4022" s="14">
        <f>IF(A4022="","",MONTH(A4022))</f>
        <v/>
      </c>
      <c r="N4022" s="14">
        <f>IF(A4022="","",YEAR(A4022))</f>
        <v/>
      </c>
    </row>
    <row r="4023">
      <c r="A4023" s="15" t="n"/>
      <c r="B4023" s="10" t="n"/>
      <c r="C4023" s="10" t="n"/>
      <c r="D4023" s="10" t="n"/>
      <c r="E4023" s="14">
        <f>IF(D4023="","",IFERROR(INDEX('Sản phẩm'!$B$5:$B$304,MATCH(D4023,'Sản phẩm'!$A$5:$A$304,0)),""))</f>
        <v/>
      </c>
      <c r="F4023" s="12" t="n"/>
      <c r="G4023" s="11" t="n"/>
      <c r="H4023" s="11" t="n"/>
      <c r="I4023" s="16">
        <f>IF(D4023="","",IF(G4023&lt;&gt;"",G4023,IFERROR(INDEX('Sản phẩm'!$E$5:$E$304,MATCH(D4023,'Sản phẩm'!$A$5:$A$304,0)),"")))</f>
        <v/>
      </c>
      <c r="J4023" s="16">
        <f>IF(OR(D4023="",F4023=""),"",F4023*I4023-N(H4023))</f>
        <v/>
      </c>
      <c r="K4023" s="16">
        <f>IF(OR(D4023="",F4023=""),"",F4023*IFERROR(INDEX('Sản phẩm'!$D$5:$D$304,MATCH(D4023,'Sản phẩm'!$A$5:$A$304,0)),""))</f>
        <v/>
      </c>
      <c r="L4023" s="16">
        <f>IF(J4023="","",J4023-K4023)</f>
        <v/>
      </c>
      <c r="M4023" s="14">
        <f>IF(A4023="","",MONTH(A4023))</f>
        <v/>
      </c>
      <c r="N4023" s="14">
        <f>IF(A4023="","",YEAR(A4023))</f>
        <v/>
      </c>
    </row>
    <row r="4024">
      <c r="A4024" s="15" t="n"/>
      <c r="B4024" s="10" t="n"/>
      <c r="C4024" s="10" t="n"/>
      <c r="D4024" s="10" t="n"/>
      <c r="E4024" s="14">
        <f>IF(D4024="","",IFERROR(INDEX('Sản phẩm'!$B$5:$B$304,MATCH(D4024,'Sản phẩm'!$A$5:$A$304,0)),""))</f>
        <v/>
      </c>
      <c r="F4024" s="12" t="n"/>
      <c r="G4024" s="11" t="n"/>
      <c r="H4024" s="11" t="n"/>
      <c r="I4024" s="16">
        <f>IF(D4024="","",IF(G4024&lt;&gt;"",G4024,IFERROR(INDEX('Sản phẩm'!$E$5:$E$304,MATCH(D4024,'Sản phẩm'!$A$5:$A$304,0)),"")))</f>
        <v/>
      </c>
      <c r="J4024" s="16">
        <f>IF(OR(D4024="",F4024=""),"",F4024*I4024-N(H4024))</f>
        <v/>
      </c>
      <c r="K4024" s="16">
        <f>IF(OR(D4024="",F4024=""),"",F4024*IFERROR(INDEX('Sản phẩm'!$D$5:$D$304,MATCH(D4024,'Sản phẩm'!$A$5:$A$304,0)),""))</f>
        <v/>
      </c>
      <c r="L4024" s="16">
        <f>IF(J4024="","",J4024-K4024)</f>
        <v/>
      </c>
      <c r="M4024" s="14">
        <f>IF(A4024="","",MONTH(A4024))</f>
        <v/>
      </c>
      <c r="N4024" s="14">
        <f>IF(A4024="","",YEAR(A4024))</f>
        <v/>
      </c>
    </row>
    <row r="4025">
      <c r="A4025" s="15" t="n"/>
      <c r="B4025" s="10" t="n"/>
      <c r="C4025" s="10" t="n"/>
      <c r="D4025" s="10" t="n"/>
      <c r="E4025" s="14">
        <f>IF(D4025="","",IFERROR(INDEX('Sản phẩm'!$B$5:$B$304,MATCH(D4025,'Sản phẩm'!$A$5:$A$304,0)),""))</f>
        <v/>
      </c>
      <c r="F4025" s="12" t="n"/>
      <c r="G4025" s="11" t="n"/>
      <c r="H4025" s="11" t="n"/>
      <c r="I4025" s="16">
        <f>IF(D4025="","",IF(G4025&lt;&gt;"",G4025,IFERROR(INDEX('Sản phẩm'!$E$5:$E$304,MATCH(D4025,'Sản phẩm'!$A$5:$A$304,0)),"")))</f>
        <v/>
      </c>
      <c r="J4025" s="16">
        <f>IF(OR(D4025="",F4025=""),"",F4025*I4025-N(H4025))</f>
        <v/>
      </c>
      <c r="K4025" s="16">
        <f>IF(OR(D4025="",F4025=""),"",F4025*IFERROR(INDEX('Sản phẩm'!$D$5:$D$304,MATCH(D4025,'Sản phẩm'!$A$5:$A$304,0)),""))</f>
        <v/>
      </c>
      <c r="L4025" s="16">
        <f>IF(J4025="","",J4025-K4025)</f>
        <v/>
      </c>
      <c r="M4025" s="14">
        <f>IF(A4025="","",MONTH(A4025))</f>
        <v/>
      </c>
      <c r="N4025" s="14">
        <f>IF(A4025="","",YEAR(A4025))</f>
        <v/>
      </c>
    </row>
    <row r="4026">
      <c r="A4026" s="15" t="n"/>
      <c r="B4026" s="10" t="n"/>
      <c r="C4026" s="10" t="n"/>
      <c r="D4026" s="10" t="n"/>
      <c r="E4026" s="14">
        <f>IF(D4026="","",IFERROR(INDEX('Sản phẩm'!$B$5:$B$304,MATCH(D4026,'Sản phẩm'!$A$5:$A$304,0)),""))</f>
        <v/>
      </c>
      <c r="F4026" s="12" t="n"/>
      <c r="G4026" s="11" t="n"/>
      <c r="H4026" s="11" t="n"/>
      <c r="I4026" s="16">
        <f>IF(D4026="","",IF(G4026&lt;&gt;"",G4026,IFERROR(INDEX('Sản phẩm'!$E$5:$E$304,MATCH(D4026,'Sản phẩm'!$A$5:$A$304,0)),"")))</f>
        <v/>
      </c>
      <c r="J4026" s="16">
        <f>IF(OR(D4026="",F4026=""),"",F4026*I4026-N(H4026))</f>
        <v/>
      </c>
      <c r="K4026" s="16">
        <f>IF(OR(D4026="",F4026=""),"",F4026*IFERROR(INDEX('Sản phẩm'!$D$5:$D$304,MATCH(D4026,'Sản phẩm'!$A$5:$A$304,0)),""))</f>
        <v/>
      </c>
      <c r="L4026" s="16">
        <f>IF(J4026="","",J4026-K4026)</f>
        <v/>
      </c>
      <c r="M4026" s="14">
        <f>IF(A4026="","",MONTH(A4026))</f>
        <v/>
      </c>
      <c r="N4026" s="14">
        <f>IF(A4026="","",YEAR(A4026))</f>
        <v/>
      </c>
    </row>
    <row r="4027">
      <c r="A4027" s="15" t="n"/>
      <c r="B4027" s="10" t="n"/>
      <c r="C4027" s="10" t="n"/>
      <c r="D4027" s="10" t="n"/>
      <c r="E4027" s="14">
        <f>IF(D4027="","",IFERROR(INDEX('Sản phẩm'!$B$5:$B$304,MATCH(D4027,'Sản phẩm'!$A$5:$A$304,0)),""))</f>
        <v/>
      </c>
      <c r="F4027" s="12" t="n"/>
      <c r="G4027" s="11" t="n"/>
      <c r="H4027" s="11" t="n"/>
      <c r="I4027" s="16">
        <f>IF(D4027="","",IF(G4027&lt;&gt;"",G4027,IFERROR(INDEX('Sản phẩm'!$E$5:$E$304,MATCH(D4027,'Sản phẩm'!$A$5:$A$304,0)),"")))</f>
        <v/>
      </c>
      <c r="J4027" s="16">
        <f>IF(OR(D4027="",F4027=""),"",F4027*I4027-N(H4027))</f>
        <v/>
      </c>
      <c r="K4027" s="16">
        <f>IF(OR(D4027="",F4027=""),"",F4027*IFERROR(INDEX('Sản phẩm'!$D$5:$D$304,MATCH(D4027,'Sản phẩm'!$A$5:$A$304,0)),""))</f>
        <v/>
      </c>
      <c r="L4027" s="16">
        <f>IF(J4027="","",J4027-K4027)</f>
        <v/>
      </c>
      <c r="M4027" s="14">
        <f>IF(A4027="","",MONTH(A4027))</f>
        <v/>
      </c>
      <c r="N4027" s="14">
        <f>IF(A4027="","",YEAR(A4027))</f>
        <v/>
      </c>
    </row>
    <row r="4028">
      <c r="A4028" s="15" t="n"/>
      <c r="B4028" s="10" t="n"/>
      <c r="C4028" s="10" t="n"/>
      <c r="D4028" s="10" t="n"/>
      <c r="E4028" s="14">
        <f>IF(D4028="","",IFERROR(INDEX('Sản phẩm'!$B$5:$B$304,MATCH(D4028,'Sản phẩm'!$A$5:$A$304,0)),""))</f>
        <v/>
      </c>
      <c r="F4028" s="12" t="n"/>
      <c r="G4028" s="11" t="n"/>
      <c r="H4028" s="11" t="n"/>
      <c r="I4028" s="16">
        <f>IF(D4028="","",IF(G4028&lt;&gt;"",G4028,IFERROR(INDEX('Sản phẩm'!$E$5:$E$304,MATCH(D4028,'Sản phẩm'!$A$5:$A$304,0)),"")))</f>
        <v/>
      </c>
      <c r="J4028" s="16">
        <f>IF(OR(D4028="",F4028=""),"",F4028*I4028-N(H4028))</f>
        <v/>
      </c>
      <c r="K4028" s="16">
        <f>IF(OR(D4028="",F4028=""),"",F4028*IFERROR(INDEX('Sản phẩm'!$D$5:$D$304,MATCH(D4028,'Sản phẩm'!$A$5:$A$304,0)),""))</f>
        <v/>
      </c>
      <c r="L4028" s="16">
        <f>IF(J4028="","",J4028-K4028)</f>
        <v/>
      </c>
      <c r="M4028" s="14">
        <f>IF(A4028="","",MONTH(A4028))</f>
        <v/>
      </c>
      <c r="N4028" s="14">
        <f>IF(A4028="","",YEAR(A4028))</f>
        <v/>
      </c>
    </row>
    <row r="4029">
      <c r="A4029" s="15" t="n"/>
      <c r="B4029" s="10" t="n"/>
      <c r="C4029" s="10" t="n"/>
      <c r="D4029" s="10" t="n"/>
      <c r="E4029" s="14">
        <f>IF(D4029="","",IFERROR(INDEX('Sản phẩm'!$B$5:$B$304,MATCH(D4029,'Sản phẩm'!$A$5:$A$304,0)),""))</f>
        <v/>
      </c>
      <c r="F4029" s="12" t="n"/>
      <c r="G4029" s="11" t="n"/>
      <c r="H4029" s="11" t="n"/>
      <c r="I4029" s="16">
        <f>IF(D4029="","",IF(G4029&lt;&gt;"",G4029,IFERROR(INDEX('Sản phẩm'!$E$5:$E$304,MATCH(D4029,'Sản phẩm'!$A$5:$A$304,0)),"")))</f>
        <v/>
      </c>
      <c r="J4029" s="16">
        <f>IF(OR(D4029="",F4029=""),"",F4029*I4029-N(H4029))</f>
        <v/>
      </c>
      <c r="K4029" s="16">
        <f>IF(OR(D4029="",F4029=""),"",F4029*IFERROR(INDEX('Sản phẩm'!$D$5:$D$304,MATCH(D4029,'Sản phẩm'!$A$5:$A$304,0)),""))</f>
        <v/>
      </c>
      <c r="L4029" s="16">
        <f>IF(J4029="","",J4029-K4029)</f>
        <v/>
      </c>
      <c r="M4029" s="14">
        <f>IF(A4029="","",MONTH(A4029))</f>
        <v/>
      </c>
      <c r="N4029" s="14">
        <f>IF(A4029="","",YEAR(A4029))</f>
        <v/>
      </c>
    </row>
    <row r="4030">
      <c r="A4030" s="15" t="n"/>
      <c r="B4030" s="10" t="n"/>
      <c r="C4030" s="10" t="n"/>
      <c r="D4030" s="10" t="n"/>
      <c r="E4030" s="14">
        <f>IF(D4030="","",IFERROR(INDEX('Sản phẩm'!$B$5:$B$304,MATCH(D4030,'Sản phẩm'!$A$5:$A$304,0)),""))</f>
        <v/>
      </c>
      <c r="F4030" s="12" t="n"/>
      <c r="G4030" s="11" t="n"/>
      <c r="H4030" s="11" t="n"/>
      <c r="I4030" s="16">
        <f>IF(D4030="","",IF(G4030&lt;&gt;"",G4030,IFERROR(INDEX('Sản phẩm'!$E$5:$E$304,MATCH(D4030,'Sản phẩm'!$A$5:$A$304,0)),"")))</f>
        <v/>
      </c>
      <c r="J4030" s="16">
        <f>IF(OR(D4030="",F4030=""),"",F4030*I4030-N(H4030))</f>
        <v/>
      </c>
      <c r="K4030" s="16">
        <f>IF(OR(D4030="",F4030=""),"",F4030*IFERROR(INDEX('Sản phẩm'!$D$5:$D$304,MATCH(D4030,'Sản phẩm'!$A$5:$A$304,0)),""))</f>
        <v/>
      </c>
      <c r="L4030" s="16">
        <f>IF(J4030="","",J4030-K4030)</f>
        <v/>
      </c>
      <c r="M4030" s="14">
        <f>IF(A4030="","",MONTH(A4030))</f>
        <v/>
      </c>
      <c r="N4030" s="14">
        <f>IF(A4030="","",YEAR(A4030))</f>
        <v/>
      </c>
    </row>
    <row r="4031">
      <c r="A4031" s="15" t="n"/>
      <c r="B4031" s="10" t="n"/>
      <c r="C4031" s="10" t="n"/>
      <c r="D4031" s="10" t="n"/>
      <c r="E4031" s="14">
        <f>IF(D4031="","",IFERROR(INDEX('Sản phẩm'!$B$5:$B$304,MATCH(D4031,'Sản phẩm'!$A$5:$A$304,0)),""))</f>
        <v/>
      </c>
      <c r="F4031" s="12" t="n"/>
      <c r="G4031" s="11" t="n"/>
      <c r="H4031" s="11" t="n"/>
      <c r="I4031" s="16">
        <f>IF(D4031="","",IF(G4031&lt;&gt;"",G4031,IFERROR(INDEX('Sản phẩm'!$E$5:$E$304,MATCH(D4031,'Sản phẩm'!$A$5:$A$304,0)),"")))</f>
        <v/>
      </c>
      <c r="J4031" s="16">
        <f>IF(OR(D4031="",F4031=""),"",F4031*I4031-N(H4031))</f>
        <v/>
      </c>
      <c r="K4031" s="16">
        <f>IF(OR(D4031="",F4031=""),"",F4031*IFERROR(INDEX('Sản phẩm'!$D$5:$D$304,MATCH(D4031,'Sản phẩm'!$A$5:$A$304,0)),""))</f>
        <v/>
      </c>
      <c r="L4031" s="16">
        <f>IF(J4031="","",J4031-K4031)</f>
        <v/>
      </c>
      <c r="M4031" s="14">
        <f>IF(A4031="","",MONTH(A4031))</f>
        <v/>
      </c>
      <c r="N4031" s="14">
        <f>IF(A4031="","",YEAR(A4031))</f>
        <v/>
      </c>
    </row>
    <row r="4032">
      <c r="A4032" s="15" t="n"/>
      <c r="B4032" s="10" t="n"/>
      <c r="C4032" s="10" t="n"/>
      <c r="D4032" s="10" t="n"/>
      <c r="E4032" s="14">
        <f>IF(D4032="","",IFERROR(INDEX('Sản phẩm'!$B$5:$B$304,MATCH(D4032,'Sản phẩm'!$A$5:$A$304,0)),""))</f>
        <v/>
      </c>
      <c r="F4032" s="12" t="n"/>
      <c r="G4032" s="11" t="n"/>
      <c r="H4032" s="11" t="n"/>
      <c r="I4032" s="16">
        <f>IF(D4032="","",IF(G4032&lt;&gt;"",G4032,IFERROR(INDEX('Sản phẩm'!$E$5:$E$304,MATCH(D4032,'Sản phẩm'!$A$5:$A$304,0)),"")))</f>
        <v/>
      </c>
      <c r="J4032" s="16">
        <f>IF(OR(D4032="",F4032=""),"",F4032*I4032-N(H4032))</f>
        <v/>
      </c>
      <c r="K4032" s="16">
        <f>IF(OR(D4032="",F4032=""),"",F4032*IFERROR(INDEX('Sản phẩm'!$D$5:$D$304,MATCH(D4032,'Sản phẩm'!$A$5:$A$304,0)),""))</f>
        <v/>
      </c>
      <c r="L4032" s="16">
        <f>IF(J4032="","",J4032-K4032)</f>
        <v/>
      </c>
      <c r="M4032" s="14">
        <f>IF(A4032="","",MONTH(A4032))</f>
        <v/>
      </c>
      <c r="N4032" s="14">
        <f>IF(A4032="","",YEAR(A4032))</f>
        <v/>
      </c>
    </row>
    <row r="4033">
      <c r="A4033" s="15" t="n"/>
      <c r="B4033" s="10" t="n"/>
      <c r="C4033" s="10" t="n"/>
      <c r="D4033" s="10" t="n"/>
      <c r="E4033" s="14">
        <f>IF(D4033="","",IFERROR(INDEX('Sản phẩm'!$B$5:$B$304,MATCH(D4033,'Sản phẩm'!$A$5:$A$304,0)),""))</f>
        <v/>
      </c>
      <c r="F4033" s="12" t="n"/>
      <c r="G4033" s="11" t="n"/>
      <c r="H4033" s="11" t="n"/>
      <c r="I4033" s="16">
        <f>IF(D4033="","",IF(G4033&lt;&gt;"",G4033,IFERROR(INDEX('Sản phẩm'!$E$5:$E$304,MATCH(D4033,'Sản phẩm'!$A$5:$A$304,0)),"")))</f>
        <v/>
      </c>
      <c r="J4033" s="16">
        <f>IF(OR(D4033="",F4033=""),"",F4033*I4033-N(H4033))</f>
        <v/>
      </c>
      <c r="K4033" s="16">
        <f>IF(OR(D4033="",F4033=""),"",F4033*IFERROR(INDEX('Sản phẩm'!$D$5:$D$304,MATCH(D4033,'Sản phẩm'!$A$5:$A$304,0)),""))</f>
        <v/>
      </c>
      <c r="L4033" s="16">
        <f>IF(J4033="","",J4033-K4033)</f>
        <v/>
      </c>
      <c r="M4033" s="14">
        <f>IF(A4033="","",MONTH(A4033))</f>
        <v/>
      </c>
      <c r="N4033" s="14">
        <f>IF(A4033="","",YEAR(A4033))</f>
        <v/>
      </c>
    </row>
    <row r="4034">
      <c r="A4034" s="15" t="n"/>
      <c r="B4034" s="10" t="n"/>
      <c r="C4034" s="10" t="n"/>
      <c r="D4034" s="10" t="n"/>
      <c r="E4034" s="14">
        <f>IF(D4034="","",IFERROR(INDEX('Sản phẩm'!$B$5:$B$304,MATCH(D4034,'Sản phẩm'!$A$5:$A$304,0)),""))</f>
        <v/>
      </c>
      <c r="F4034" s="12" t="n"/>
      <c r="G4034" s="11" t="n"/>
      <c r="H4034" s="11" t="n"/>
      <c r="I4034" s="16">
        <f>IF(D4034="","",IF(G4034&lt;&gt;"",G4034,IFERROR(INDEX('Sản phẩm'!$E$5:$E$304,MATCH(D4034,'Sản phẩm'!$A$5:$A$304,0)),"")))</f>
        <v/>
      </c>
      <c r="J4034" s="16">
        <f>IF(OR(D4034="",F4034=""),"",F4034*I4034-N(H4034))</f>
        <v/>
      </c>
      <c r="K4034" s="16">
        <f>IF(OR(D4034="",F4034=""),"",F4034*IFERROR(INDEX('Sản phẩm'!$D$5:$D$304,MATCH(D4034,'Sản phẩm'!$A$5:$A$304,0)),""))</f>
        <v/>
      </c>
      <c r="L4034" s="16">
        <f>IF(J4034="","",J4034-K4034)</f>
        <v/>
      </c>
      <c r="M4034" s="14">
        <f>IF(A4034="","",MONTH(A4034))</f>
        <v/>
      </c>
      <c r="N4034" s="14">
        <f>IF(A4034="","",YEAR(A4034))</f>
        <v/>
      </c>
    </row>
    <row r="4035">
      <c r="A4035" s="15" t="n"/>
      <c r="B4035" s="10" t="n"/>
      <c r="C4035" s="10" t="n"/>
      <c r="D4035" s="10" t="n"/>
      <c r="E4035" s="14">
        <f>IF(D4035="","",IFERROR(INDEX('Sản phẩm'!$B$5:$B$304,MATCH(D4035,'Sản phẩm'!$A$5:$A$304,0)),""))</f>
        <v/>
      </c>
      <c r="F4035" s="12" t="n"/>
      <c r="G4035" s="11" t="n"/>
      <c r="H4035" s="11" t="n"/>
      <c r="I4035" s="16">
        <f>IF(D4035="","",IF(G4035&lt;&gt;"",G4035,IFERROR(INDEX('Sản phẩm'!$E$5:$E$304,MATCH(D4035,'Sản phẩm'!$A$5:$A$304,0)),"")))</f>
        <v/>
      </c>
      <c r="J4035" s="16">
        <f>IF(OR(D4035="",F4035=""),"",F4035*I4035-N(H4035))</f>
        <v/>
      </c>
      <c r="K4035" s="16">
        <f>IF(OR(D4035="",F4035=""),"",F4035*IFERROR(INDEX('Sản phẩm'!$D$5:$D$304,MATCH(D4035,'Sản phẩm'!$A$5:$A$304,0)),""))</f>
        <v/>
      </c>
      <c r="L4035" s="16">
        <f>IF(J4035="","",J4035-K4035)</f>
        <v/>
      </c>
      <c r="M4035" s="14">
        <f>IF(A4035="","",MONTH(A4035))</f>
        <v/>
      </c>
      <c r="N4035" s="14">
        <f>IF(A4035="","",YEAR(A4035))</f>
        <v/>
      </c>
    </row>
    <row r="4036">
      <c r="A4036" s="15" t="n"/>
      <c r="B4036" s="10" t="n"/>
      <c r="C4036" s="10" t="n"/>
      <c r="D4036" s="10" t="n"/>
      <c r="E4036" s="14">
        <f>IF(D4036="","",IFERROR(INDEX('Sản phẩm'!$B$5:$B$304,MATCH(D4036,'Sản phẩm'!$A$5:$A$304,0)),""))</f>
        <v/>
      </c>
      <c r="F4036" s="12" t="n"/>
      <c r="G4036" s="11" t="n"/>
      <c r="H4036" s="11" t="n"/>
      <c r="I4036" s="16">
        <f>IF(D4036="","",IF(G4036&lt;&gt;"",G4036,IFERROR(INDEX('Sản phẩm'!$E$5:$E$304,MATCH(D4036,'Sản phẩm'!$A$5:$A$304,0)),"")))</f>
        <v/>
      </c>
      <c r="J4036" s="16">
        <f>IF(OR(D4036="",F4036=""),"",F4036*I4036-N(H4036))</f>
        <v/>
      </c>
      <c r="K4036" s="16">
        <f>IF(OR(D4036="",F4036=""),"",F4036*IFERROR(INDEX('Sản phẩm'!$D$5:$D$304,MATCH(D4036,'Sản phẩm'!$A$5:$A$304,0)),""))</f>
        <v/>
      </c>
      <c r="L4036" s="16">
        <f>IF(J4036="","",J4036-K4036)</f>
        <v/>
      </c>
      <c r="M4036" s="14">
        <f>IF(A4036="","",MONTH(A4036))</f>
        <v/>
      </c>
      <c r="N4036" s="14">
        <f>IF(A4036="","",YEAR(A4036))</f>
        <v/>
      </c>
    </row>
    <row r="4037">
      <c r="A4037" s="15" t="n"/>
      <c r="B4037" s="10" t="n"/>
      <c r="C4037" s="10" t="n"/>
      <c r="D4037" s="10" t="n"/>
      <c r="E4037" s="14">
        <f>IF(D4037="","",IFERROR(INDEX('Sản phẩm'!$B$5:$B$304,MATCH(D4037,'Sản phẩm'!$A$5:$A$304,0)),""))</f>
        <v/>
      </c>
      <c r="F4037" s="12" t="n"/>
      <c r="G4037" s="11" t="n"/>
      <c r="H4037" s="11" t="n"/>
      <c r="I4037" s="16">
        <f>IF(D4037="","",IF(G4037&lt;&gt;"",G4037,IFERROR(INDEX('Sản phẩm'!$E$5:$E$304,MATCH(D4037,'Sản phẩm'!$A$5:$A$304,0)),"")))</f>
        <v/>
      </c>
      <c r="J4037" s="16">
        <f>IF(OR(D4037="",F4037=""),"",F4037*I4037-N(H4037))</f>
        <v/>
      </c>
      <c r="K4037" s="16">
        <f>IF(OR(D4037="",F4037=""),"",F4037*IFERROR(INDEX('Sản phẩm'!$D$5:$D$304,MATCH(D4037,'Sản phẩm'!$A$5:$A$304,0)),""))</f>
        <v/>
      </c>
      <c r="L4037" s="16">
        <f>IF(J4037="","",J4037-K4037)</f>
        <v/>
      </c>
      <c r="M4037" s="14">
        <f>IF(A4037="","",MONTH(A4037))</f>
        <v/>
      </c>
      <c r="N4037" s="14">
        <f>IF(A4037="","",YEAR(A4037))</f>
        <v/>
      </c>
    </row>
    <row r="4038">
      <c r="A4038" s="15" t="n"/>
      <c r="B4038" s="10" t="n"/>
      <c r="C4038" s="10" t="n"/>
      <c r="D4038" s="10" t="n"/>
      <c r="E4038" s="14">
        <f>IF(D4038="","",IFERROR(INDEX('Sản phẩm'!$B$5:$B$304,MATCH(D4038,'Sản phẩm'!$A$5:$A$304,0)),""))</f>
        <v/>
      </c>
      <c r="F4038" s="12" t="n"/>
      <c r="G4038" s="11" t="n"/>
      <c r="H4038" s="11" t="n"/>
      <c r="I4038" s="16">
        <f>IF(D4038="","",IF(G4038&lt;&gt;"",G4038,IFERROR(INDEX('Sản phẩm'!$E$5:$E$304,MATCH(D4038,'Sản phẩm'!$A$5:$A$304,0)),"")))</f>
        <v/>
      </c>
      <c r="J4038" s="16">
        <f>IF(OR(D4038="",F4038=""),"",F4038*I4038-N(H4038))</f>
        <v/>
      </c>
      <c r="K4038" s="16">
        <f>IF(OR(D4038="",F4038=""),"",F4038*IFERROR(INDEX('Sản phẩm'!$D$5:$D$304,MATCH(D4038,'Sản phẩm'!$A$5:$A$304,0)),""))</f>
        <v/>
      </c>
      <c r="L4038" s="16">
        <f>IF(J4038="","",J4038-K4038)</f>
        <v/>
      </c>
      <c r="M4038" s="14">
        <f>IF(A4038="","",MONTH(A4038))</f>
        <v/>
      </c>
      <c r="N4038" s="14">
        <f>IF(A4038="","",YEAR(A4038))</f>
        <v/>
      </c>
    </row>
    <row r="4039">
      <c r="A4039" s="15" t="n"/>
      <c r="B4039" s="10" t="n"/>
      <c r="C4039" s="10" t="n"/>
      <c r="D4039" s="10" t="n"/>
      <c r="E4039" s="14">
        <f>IF(D4039="","",IFERROR(INDEX('Sản phẩm'!$B$5:$B$304,MATCH(D4039,'Sản phẩm'!$A$5:$A$304,0)),""))</f>
        <v/>
      </c>
      <c r="F4039" s="12" t="n"/>
      <c r="G4039" s="11" t="n"/>
      <c r="H4039" s="11" t="n"/>
      <c r="I4039" s="16">
        <f>IF(D4039="","",IF(G4039&lt;&gt;"",G4039,IFERROR(INDEX('Sản phẩm'!$E$5:$E$304,MATCH(D4039,'Sản phẩm'!$A$5:$A$304,0)),"")))</f>
        <v/>
      </c>
      <c r="J4039" s="16">
        <f>IF(OR(D4039="",F4039=""),"",F4039*I4039-N(H4039))</f>
        <v/>
      </c>
      <c r="K4039" s="16">
        <f>IF(OR(D4039="",F4039=""),"",F4039*IFERROR(INDEX('Sản phẩm'!$D$5:$D$304,MATCH(D4039,'Sản phẩm'!$A$5:$A$304,0)),""))</f>
        <v/>
      </c>
      <c r="L4039" s="16">
        <f>IF(J4039="","",J4039-K4039)</f>
        <v/>
      </c>
      <c r="M4039" s="14">
        <f>IF(A4039="","",MONTH(A4039))</f>
        <v/>
      </c>
      <c r="N4039" s="14">
        <f>IF(A4039="","",YEAR(A4039))</f>
        <v/>
      </c>
    </row>
    <row r="4040">
      <c r="A4040" s="15" t="n"/>
      <c r="B4040" s="10" t="n"/>
      <c r="C4040" s="10" t="n"/>
      <c r="D4040" s="10" t="n"/>
      <c r="E4040" s="14">
        <f>IF(D4040="","",IFERROR(INDEX('Sản phẩm'!$B$5:$B$304,MATCH(D4040,'Sản phẩm'!$A$5:$A$304,0)),""))</f>
        <v/>
      </c>
      <c r="F4040" s="12" t="n"/>
      <c r="G4040" s="11" t="n"/>
      <c r="H4040" s="11" t="n"/>
      <c r="I4040" s="16">
        <f>IF(D4040="","",IF(G4040&lt;&gt;"",G4040,IFERROR(INDEX('Sản phẩm'!$E$5:$E$304,MATCH(D4040,'Sản phẩm'!$A$5:$A$304,0)),"")))</f>
        <v/>
      </c>
      <c r="J4040" s="16">
        <f>IF(OR(D4040="",F4040=""),"",F4040*I4040-N(H4040))</f>
        <v/>
      </c>
      <c r="K4040" s="16">
        <f>IF(OR(D4040="",F4040=""),"",F4040*IFERROR(INDEX('Sản phẩm'!$D$5:$D$304,MATCH(D4040,'Sản phẩm'!$A$5:$A$304,0)),""))</f>
        <v/>
      </c>
      <c r="L4040" s="16">
        <f>IF(J4040="","",J4040-K4040)</f>
        <v/>
      </c>
      <c r="M4040" s="14">
        <f>IF(A4040="","",MONTH(A4040))</f>
        <v/>
      </c>
      <c r="N4040" s="14">
        <f>IF(A4040="","",YEAR(A4040))</f>
        <v/>
      </c>
    </row>
    <row r="4041">
      <c r="A4041" s="15" t="n"/>
      <c r="B4041" s="10" t="n"/>
      <c r="C4041" s="10" t="n"/>
      <c r="D4041" s="10" t="n"/>
      <c r="E4041" s="14">
        <f>IF(D4041="","",IFERROR(INDEX('Sản phẩm'!$B$5:$B$304,MATCH(D4041,'Sản phẩm'!$A$5:$A$304,0)),""))</f>
        <v/>
      </c>
      <c r="F4041" s="12" t="n"/>
      <c r="G4041" s="11" t="n"/>
      <c r="H4041" s="11" t="n"/>
      <c r="I4041" s="16">
        <f>IF(D4041="","",IF(G4041&lt;&gt;"",G4041,IFERROR(INDEX('Sản phẩm'!$E$5:$E$304,MATCH(D4041,'Sản phẩm'!$A$5:$A$304,0)),"")))</f>
        <v/>
      </c>
      <c r="J4041" s="16">
        <f>IF(OR(D4041="",F4041=""),"",F4041*I4041-N(H4041))</f>
        <v/>
      </c>
      <c r="K4041" s="16">
        <f>IF(OR(D4041="",F4041=""),"",F4041*IFERROR(INDEX('Sản phẩm'!$D$5:$D$304,MATCH(D4041,'Sản phẩm'!$A$5:$A$304,0)),""))</f>
        <v/>
      </c>
      <c r="L4041" s="16">
        <f>IF(J4041="","",J4041-K4041)</f>
        <v/>
      </c>
      <c r="M4041" s="14">
        <f>IF(A4041="","",MONTH(A4041))</f>
        <v/>
      </c>
      <c r="N4041" s="14">
        <f>IF(A4041="","",YEAR(A4041))</f>
        <v/>
      </c>
    </row>
    <row r="4042">
      <c r="A4042" s="15" t="n"/>
      <c r="B4042" s="10" t="n"/>
      <c r="C4042" s="10" t="n"/>
      <c r="D4042" s="10" t="n"/>
      <c r="E4042" s="14">
        <f>IF(D4042="","",IFERROR(INDEX('Sản phẩm'!$B$5:$B$304,MATCH(D4042,'Sản phẩm'!$A$5:$A$304,0)),""))</f>
        <v/>
      </c>
      <c r="F4042" s="12" t="n"/>
      <c r="G4042" s="11" t="n"/>
      <c r="H4042" s="11" t="n"/>
      <c r="I4042" s="16">
        <f>IF(D4042="","",IF(G4042&lt;&gt;"",G4042,IFERROR(INDEX('Sản phẩm'!$E$5:$E$304,MATCH(D4042,'Sản phẩm'!$A$5:$A$304,0)),"")))</f>
        <v/>
      </c>
      <c r="J4042" s="16">
        <f>IF(OR(D4042="",F4042=""),"",F4042*I4042-N(H4042))</f>
        <v/>
      </c>
      <c r="K4042" s="16">
        <f>IF(OR(D4042="",F4042=""),"",F4042*IFERROR(INDEX('Sản phẩm'!$D$5:$D$304,MATCH(D4042,'Sản phẩm'!$A$5:$A$304,0)),""))</f>
        <v/>
      </c>
      <c r="L4042" s="16">
        <f>IF(J4042="","",J4042-K4042)</f>
        <v/>
      </c>
      <c r="M4042" s="14">
        <f>IF(A4042="","",MONTH(A4042))</f>
        <v/>
      </c>
      <c r="N4042" s="14">
        <f>IF(A4042="","",YEAR(A4042))</f>
        <v/>
      </c>
    </row>
    <row r="4043">
      <c r="A4043" s="15" t="n"/>
      <c r="B4043" s="10" t="n"/>
      <c r="C4043" s="10" t="n"/>
      <c r="D4043" s="10" t="n"/>
      <c r="E4043" s="14">
        <f>IF(D4043="","",IFERROR(INDEX('Sản phẩm'!$B$5:$B$304,MATCH(D4043,'Sản phẩm'!$A$5:$A$304,0)),""))</f>
        <v/>
      </c>
      <c r="F4043" s="12" t="n"/>
      <c r="G4043" s="11" t="n"/>
      <c r="H4043" s="11" t="n"/>
      <c r="I4043" s="16">
        <f>IF(D4043="","",IF(G4043&lt;&gt;"",G4043,IFERROR(INDEX('Sản phẩm'!$E$5:$E$304,MATCH(D4043,'Sản phẩm'!$A$5:$A$304,0)),"")))</f>
        <v/>
      </c>
      <c r="J4043" s="16">
        <f>IF(OR(D4043="",F4043=""),"",F4043*I4043-N(H4043))</f>
        <v/>
      </c>
      <c r="K4043" s="16">
        <f>IF(OR(D4043="",F4043=""),"",F4043*IFERROR(INDEX('Sản phẩm'!$D$5:$D$304,MATCH(D4043,'Sản phẩm'!$A$5:$A$304,0)),""))</f>
        <v/>
      </c>
      <c r="L4043" s="16">
        <f>IF(J4043="","",J4043-K4043)</f>
        <v/>
      </c>
      <c r="M4043" s="14">
        <f>IF(A4043="","",MONTH(A4043))</f>
        <v/>
      </c>
      <c r="N4043" s="14">
        <f>IF(A4043="","",YEAR(A4043))</f>
        <v/>
      </c>
    </row>
    <row r="4044">
      <c r="A4044" s="15" t="n"/>
      <c r="B4044" s="10" t="n"/>
      <c r="C4044" s="10" t="n"/>
      <c r="D4044" s="10" t="n"/>
      <c r="E4044" s="14">
        <f>IF(D4044="","",IFERROR(INDEX('Sản phẩm'!$B$5:$B$304,MATCH(D4044,'Sản phẩm'!$A$5:$A$304,0)),""))</f>
        <v/>
      </c>
      <c r="F4044" s="12" t="n"/>
      <c r="G4044" s="11" t="n"/>
      <c r="H4044" s="11" t="n"/>
      <c r="I4044" s="16">
        <f>IF(D4044="","",IF(G4044&lt;&gt;"",G4044,IFERROR(INDEX('Sản phẩm'!$E$5:$E$304,MATCH(D4044,'Sản phẩm'!$A$5:$A$304,0)),"")))</f>
        <v/>
      </c>
      <c r="J4044" s="16">
        <f>IF(OR(D4044="",F4044=""),"",F4044*I4044-N(H4044))</f>
        <v/>
      </c>
      <c r="K4044" s="16">
        <f>IF(OR(D4044="",F4044=""),"",F4044*IFERROR(INDEX('Sản phẩm'!$D$5:$D$304,MATCH(D4044,'Sản phẩm'!$A$5:$A$304,0)),""))</f>
        <v/>
      </c>
      <c r="L4044" s="16">
        <f>IF(J4044="","",J4044-K4044)</f>
        <v/>
      </c>
      <c r="M4044" s="14">
        <f>IF(A4044="","",MONTH(A4044))</f>
        <v/>
      </c>
      <c r="N4044" s="14">
        <f>IF(A4044="","",YEAR(A4044))</f>
        <v/>
      </c>
    </row>
    <row r="4045">
      <c r="A4045" s="15" t="n"/>
      <c r="B4045" s="10" t="n"/>
      <c r="C4045" s="10" t="n"/>
      <c r="D4045" s="10" t="n"/>
      <c r="E4045" s="14">
        <f>IF(D4045="","",IFERROR(INDEX('Sản phẩm'!$B$5:$B$304,MATCH(D4045,'Sản phẩm'!$A$5:$A$304,0)),""))</f>
        <v/>
      </c>
      <c r="F4045" s="12" t="n"/>
      <c r="G4045" s="11" t="n"/>
      <c r="H4045" s="11" t="n"/>
      <c r="I4045" s="16">
        <f>IF(D4045="","",IF(G4045&lt;&gt;"",G4045,IFERROR(INDEX('Sản phẩm'!$E$5:$E$304,MATCH(D4045,'Sản phẩm'!$A$5:$A$304,0)),"")))</f>
        <v/>
      </c>
      <c r="J4045" s="16">
        <f>IF(OR(D4045="",F4045=""),"",F4045*I4045-N(H4045))</f>
        <v/>
      </c>
      <c r="K4045" s="16">
        <f>IF(OR(D4045="",F4045=""),"",F4045*IFERROR(INDEX('Sản phẩm'!$D$5:$D$304,MATCH(D4045,'Sản phẩm'!$A$5:$A$304,0)),""))</f>
        <v/>
      </c>
      <c r="L4045" s="16">
        <f>IF(J4045="","",J4045-K4045)</f>
        <v/>
      </c>
      <c r="M4045" s="14">
        <f>IF(A4045="","",MONTH(A4045))</f>
        <v/>
      </c>
      <c r="N4045" s="14">
        <f>IF(A4045="","",YEAR(A4045))</f>
        <v/>
      </c>
    </row>
    <row r="4046">
      <c r="A4046" s="15" t="n"/>
      <c r="B4046" s="10" t="n"/>
      <c r="C4046" s="10" t="n"/>
      <c r="D4046" s="10" t="n"/>
      <c r="E4046" s="14">
        <f>IF(D4046="","",IFERROR(INDEX('Sản phẩm'!$B$5:$B$304,MATCH(D4046,'Sản phẩm'!$A$5:$A$304,0)),""))</f>
        <v/>
      </c>
      <c r="F4046" s="12" t="n"/>
      <c r="G4046" s="11" t="n"/>
      <c r="H4046" s="11" t="n"/>
      <c r="I4046" s="16">
        <f>IF(D4046="","",IF(G4046&lt;&gt;"",G4046,IFERROR(INDEX('Sản phẩm'!$E$5:$E$304,MATCH(D4046,'Sản phẩm'!$A$5:$A$304,0)),"")))</f>
        <v/>
      </c>
      <c r="J4046" s="16">
        <f>IF(OR(D4046="",F4046=""),"",F4046*I4046-N(H4046))</f>
        <v/>
      </c>
      <c r="K4046" s="16">
        <f>IF(OR(D4046="",F4046=""),"",F4046*IFERROR(INDEX('Sản phẩm'!$D$5:$D$304,MATCH(D4046,'Sản phẩm'!$A$5:$A$304,0)),""))</f>
        <v/>
      </c>
      <c r="L4046" s="16">
        <f>IF(J4046="","",J4046-K4046)</f>
        <v/>
      </c>
      <c r="M4046" s="14">
        <f>IF(A4046="","",MONTH(A4046))</f>
        <v/>
      </c>
      <c r="N4046" s="14">
        <f>IF(A4046="","",YEAR(A4046))</f>
        <v/>
      </c>
    </row>
    <row r="4047">
      <c r="A4047" s="15" t="n"/>
      <c r="B4047" s="10" t="n"/>
      <c r="C4047" s="10" t="n"/>
      <c r="D4047" s="10" t="n"/>
      <c r="E4047" s="14">
        <f>IF(D4047="","",IFERROR(INDEX('Sản phẩm'!$B$5:$B$304,MATCH(D4047,'Sản phẩm'!$A$5:$A$304,0)),""))</f>
        <v/>
      </c>
      <c r="F4047" s="12" t="n"/>
      <c r="G4047" s="11" t="n"/>
      <c r="H4047" s="11" t="n"/>
      <c r="I4047" s="16">
        <f>IF(D4047="","",IF(G4047&lt;&gt;"",G4047,IFERROR(INDEX('Sản phẩm'!$E$5:$E$304,MATCH(D4047,'Sản phẩm'!$A$5:$A$304,0)),"")))</f>
        <v/>
      </c>
      <c r="J4047" s="16">
        <f>IF(OR(D4047="",F4047=""),"",F4047*I4047-N(H4047))</f>
        <v/>
      </c>
      <c r="K4047" s="16">
        <f>IF(OR(D4047="",F4047=""),"",F4047*IFERROR(INDEX('Sản phẩm'!$D$5:$D$304,MATCH(D4047,'Sản phẩm'!$A$5:$A$304,0)),""))</f>
        <v/>
      </c>
      <c r="L4047" s="16">
        <f>IF(J4047="","",J4047-K4047)</f>
        <v/>
      </c>
      <c r="M4047" s="14">
        <f>IF(A4047="","",MONTH(A4047))</f>
        <v/>
      </c>
      <c r="N4047" s="14">
        <f>IF(A4047="","",YEAR(A4047))</f>
        <v/>
      </c>
    </row>
    <row r="4048">
      <c r="A4048" s="15" t="n"/>
      <c r="B4048" s="10" t="n"/>
      <c r="C4048" s="10" t="n"/>
      <c r="D4048" s="10" t="n"/>
      <c r="E4048" s="14">
        <f>IF(D4048="","",IFERROR(INDEX('Sản phẩm'!$B$5:$B$304,MATCH(D4048,'Sản phẩm'!$A$5:$A$304,0)),""))</f>
        <v/>
      </c>
      <c r="F4048" s="12" t="n"/>
      <c r="G4048" s="11" t="n"/>
      <c r="H4048" s="11" t="n"/>
      <c r="I4048" s="16">
        <f>IF(D4048="","",IF(G4048&lt;&gt;"",G4048,IFERROR(INDEX('Sản phẩm'!$E$5:$E$304,MATCH(D4048,'Sản phẩm'!$A$5:$A$304,0)),"")))</f>
        <v/>
      </c>
      <c r="J4048" s="16">
        <f>IF(OR(D4048="",F4048=""),"",F4048*I4048-N(H4048))</f>
        <v/>
      </c>
      <c r="K4048" s="16">
        <f>IF(OR(D4048="",F4048=""),"",F4048*IFERROR(INDEX('Sản phẩm'!$D$5:$D$304,MATCH(D4048,'Sản phẩm'!$A$5:$A$304,0)),""))</f>
        <v/>
      </c>
      <c r="L4048" s="16">
        <f>IF(J4048="","",J4048-K4048)</f>
        <v/>
      </c>
      <c r="M4048" s="14">
        <f>IF(A4048="","",MONTH(A4048))</f>
        <v/>
      </c>
      <c r="N4048" s="14">
        <f>IF(A4048="","",YEAR(A4048))</f>
        <v/>
      </c>
    </row>
    <row r="4049">
      <c r="A4049" s="15" t="n"/>
      <c r="B4049" s="10" t="n"/>
      <c r="C4049" s="10" t="n"/>
      <c r="D4049" s="10" t="n"/>
      <c r="E4049" s="14">
        <f>IF(D4049="","",IFERROR(INDEX('Sản phẩm'!$B$5:$B$304,MATCH(D4049,'Sản phẩm'!$A$5:$A$304,0)),""))</f>
        <v/>
      </c>
      <c r="F4049" s="12" t="n"/>
      <c r="G4049" s="11" t="n"/>
      <c r="H4049" s="11" t="n"/>
      <c r="I4049" s="16">
        <f>IF(D4049="","",IF(G4049&lt;&gt;"",G4049,IFERROR(INDEX('Sản phẩm'!$E$5:$E$304,MATCH(D4049,'Sản phẩm'!$A$5:$A$304,0)),"")))</f>
        <v/>
      </c>
      <c r="J4049" s="16">
        <f>IF(OR(D4049="",F4049=""),"",F4049*I4049-N(H4049))</f>
        <v/>
      </c>
      <c r="K4049" s="16">
        <f>IF(OR(D4049="",F4049=""),"",F4049*IFERROR(INDEX('Sản phẩm'!$D$5:$D$304,MATCH(D4049,'Sản phẩm'!$A$5:$A$304,0)),""))</f>
        <v/>
      </c>
      <c r="L4049" s="16">
        <f>IF(J4049="","",J4049-K4049)</f>
        <v/>
      </c>
      <c r="M4049" s="14">
        <f>IF(A4049="","",MONTH(A4049))</f>
        <v/>
      </c>
      <c r="N4049" s="14">
        <f>IF(A4049="","",YEAR(A4049))</f>
        <v/>
      </c>
    </row>
    <row r="4050">
      <c r="A4050" s="15" t="n"/>
      <c r="B4050" s="10" t="n"/>
      <c r="C4050" s="10" t="n"/>
      <c r="D4050" s="10" t="n"/>
      <c r="E4050" s="14">
        <f>IF(D4050="","",IFERROR(INDEX('Sản phẩm'!$B$5:$B$304,MATCH(D4050,'Sản phẩm'!$A$5:$A$304,0)),""))</f>
        <v/>
      </c>
      <c r="F4050" s="12" t="n"/>
      <c r="G4050" s="11" t="n"/>
      <c r="H4050" s="11" t="n"/>
      <c r="I4050" s="16">
        <f>IF(D4050="","",IF(G4050&lt;&gt;"",G4050,IFERROR(INDEX('Sản phẩm'!$E$5:$E$304,MATCH(D4050,'Sản phẩm'!$A$5:$A$304,0)),"")))</f>
        <v/>
      </c>
      <c r="J4050" s="16">
        <f>IF(OR(D4050="",F4050=""),"",F4050*I4050-N(H4050))</f>
        <v/>
      </c>
      <c r="K4050" s="16">
        <f>IF(OR(D4050="",F4050=""),"",F4050*IFERROR(INDEX('Sản phẩm'!$D$5:$D$304,MATCH(D4050,'Sản phẩm'!$A$5:$A$304,0)),""))</f>
        <v/>
      </c>
      <c r="L4050" s="16">
        <f>IF(J4050="","",J4050-K4050)</f>
        <v/>
      </c>
      <c r="M4050" s="14">
        <f>IF(A4050="","",MONTH(A4050))</f>
        <v/>
      </c>
      <c r="N4050" s="14">
        <f>IF(A4050="","",YEAR(A4050))</f>
        <v/>
      </c>
    </row>
    <row r="4051">
      <c r="A4051" s="15" t="n"/>
      <c r="B4051" s="10" t="n"/>
      <c r="C4051" s="10" t="n"/>
      <c r="D4051" s="10" t="n"/>
      <c r="E4051" s="14">
        <f>IF(D4051="","",IFERROR(INDEX('Sản phẩm'!$B$5:$B$304,MATCH(D4051,'Sản phẩm'!$A$5:$A$304,0)),""))</f>
        <v/>
      </c>
      <c r="F4051" s="12" t="n"/>
      <c r="G4051" s="11" t="n"/>
      <c r="H4051" s="11" t="n"/>
      <c r="I4051" s="16">
        <f>IF(D4051="","",IF(G4051&lt;&gt;"",G4051,IFERROR(INDEX('Sản phẩm'!$E$5:$E$304,MATCH(D4051,'Sản phẩm'!$A$5:$A$304,0)),"")))</f>
        <v/>
      </c>
      <c r="J4051" s="16">
        <f>IF(OR(D4051="",F4051=""),"",F4051*I4051-N(H4051))</f>
        <v/>
      </c>
      <c r="K4051" s="16">
        <f>IF(OR(D4051="",F4051=""),"",F4051*IFERROR(INDEX('Sản phẩm'!$D$5:$D$304,MATCH(D4051,'Sản phẩm'!$A$5:$A$304,0)),""))</f>
        <v/>
      </c>
      <c r="L4051" s="16">
        <f>IF(J4051="","",J4051-K4051)</f>
        <v/>
      </c>
      <c r="M4051" s="14">
        <f>IF(A4051="","",MONTH(A4051))</f>
        <v/>
      </c>
      <c r="N4051" s="14">
        <f>IF(A4051="","",YEAR(A4051))</f>
        <v/>
      </c>
    </row>
    <row r="4052">
      <c r="A4052" s="15" t="n"/>
      <c r="B4052" s="10" t="n"/>
      <c r="C4052" s="10" t="n"/>
      <c r="D4052" s="10" t="n"/>
      <c r="E4052" s="14">
        <f>IF(D4052="","",IFERROR(INDEX('Sản phẩm'!$B$5:$B$304,MATCH(D4052,'Sản phẩm'!$A$5:$A$304,0)),""))</f>
        <v/>
      </c>
      <c r="F4052" s="12" t="n"/>
      <c r="G4052" s="11" t="n"/>
      <c r="H4052" s="11" t="n"/>
      <c r="I4052" s="16">
        <f>IF(D4052="","",IF(G4052&lt;&gt;"",G4052,IFERROR(INDEX('Sản phẩm'!$E$5:$E$304,MATCH(D4052,'Sản phẩm'!$A$5:$A$304,0)),"")))</f>
        <v/>
      </c>
      <c r="J4052" s="16">
        <f>IF(OR(D4052="",F4052=""),"",F4052*I4052-N(H4052))</f>
        <v/>
      </c>
      <c r="K4052" s="16">
        <f>IF(OR(D4052="",F4052=""),"",F4052*IFERROR(INDEX('Sản phẩm'!$D$5:$D$304,MATCH(D4052,'Sản phẩm'!$A$5:$A$304,0)),""))</f>
        <v/>
      </c>
      <c r="L4052" s="16">
        <f>IF(J4052="","",J4052-K4052)</f>
        <v/>
      </c>
      <c r="M4052" s="14">
        <f>IF(A4052="","",MONTH(A4052))</f>
        <v/>
      </c>
      <c r="N4052" s="14">
        <f>IF(A4052="","",YEAR(A4052))</f>
        <v/>
      </c>
    </row>
    <row r="4053">
      <c r="A4053" s="15" t="n"/>
      <c r="B4053" s="10" t="n"/>
      <c r="C4053" s="10" t="n"/>
      <c r="D4053" s="10" t="n"/>
      <c r="E4053" s="14">
        <f>IF(D4053="","",IFERROR(INDEX('Sản phẩm'!$B$5:$B$304,MATCH(D4053,'Sản phẩm'!$A$5:$A$304,0)),""))</f>
        <v/>
      </c>
      <c r="F4053" s="12" t="n"/>
      <c r="G4053" s="11" t="n"/>
      <c r="H4053" s="11" t="n"/>
      <c r="I4053" s="16">
        <f>IF(D4053="","",IF(G4053&lt;&gt;"",G4053,IFERROR(INDEX('Sản phẩm'!$E$5:$E$304,MATCH(D4053,'Sản phẩm'!$A$5:$A$304,0)),"")))</f>
        <v/>
      </c>
      <c r="J4053" s="16">
        <f>IF(OR(D4053="",F4053=""),"",F4053*I4053-N(H4053))</f>
        <v/>
      </c>
      <c r="K4053" s="16">
        <f>IF(OR(D4053="",F4053=""),"",F4053*IFERROR(INDEX('Sản phẩm'!$D$5:$D$304,MATCH(D4053,'Sản phẩm'!$A$5:$A$304,0)),""))</f>
        <v/>
      </c>
      <c r="L4053" s="16">
        <f>IF(J4053="","",J4053-K4053)</f>
        <v/>
      </c>
      <c r="M4053" s="14">
        <f>IF(A4053="","",MONTH(A4053))</f>
        <v/>
      </c>
      <c r="N4053" s="14">
        <f>IF(A4053="","",YEAR(A4053))</f>
        <v/>
      </c>
    </row>
    <row r="4054">
      <c r="A4054" s="15" t="n"/>
      <c r="B4054" s="10" t="n"/>
      <c r="C4054" s="10" t="n"/>
      <c r="D4054" s="10" t="n"/>
      <c r="E4054" s="14">
        <f>IF(D4054="","",IFERROR(INDEX('Sản phẩm'!$B$5:$B$304,MATCH(D4054,'Sản phẩm'!$A$5:$A$304,0)),""))</f>
        <v/>
      </c>
      <c r="F4054" s="12" t="n"/>
      <c r="G4054" s="11" t="n"/>
      <c r="H4054" s="11" t="n"/>
      <c r="I4054" s="16">
        <f>IF(D4054="","",IF(G4054&lt;&gt;"",G4054,IFERROR(INDEX('Sản phẩm'!$E$5:$E$304,MATCH(D4054,'Sản phẩm'!$A$5:$A$304,0)),"")))</f>
        <v/>
      </c>
      <c r="J4054" s="16">
        <f>IF(OR(D4054="",F4054=""),"",F4054*I4054-N(H4054))</f>
        <v/>
      </c>
      <c r="K4054" s="16">
        <f>IF(OR(D4054="",F4054=""),"",F4054*IFERROR(INDEX('Sản phẩm'!$D$5:$D$304,MATCH(D4054,'Sản phẩm'!$A$5:$A$304,0)),""))</f>
        <v/>
      </c>
      <c r="L4054" s="16">
        <f>IF(J4054="","",J4054-K4054)</f>
        <v/>
      </c>
      <c r="M4054" s="14">
        <f>IF(A4054="","",MONTH(A4054))</f>
        <v/>
      </c>
      <c r="N4054" s="14">
        <f>IF(A4054="","",YEAR(A4054))</f>
        <v/>
      </c>
    </row>
    <row r="4055">
      <c r="A4055" s="15" t="n"/>
      <c r="B4055" s="10" t="n"/>
      <c r="C4055" s="10" t="n"/>
      <c r="D4055" s="10" t="n"/>
      <c r="E4055" s="14">
        <f>IF(D4055="","",IFERROR(INDEX('Sản phẩm'!$B$5:$B$304,MATCH(D4055,'Sản phẩm'!$A$5:$A$304,0)),""))</f>
        <v/>
      </c>
      <c r="F4055" s="12" t="n"/>
      <c r="G4055" s="11" t="n"/>
      <c r="H4055" s="11" t="n"/>
      <c r="I4055" s="16">
        <f>IF(D4055="","",IF(G4055&lt;&gt;"",G4055,IFERROR(INDEX('Sản phẩm'!$E$5:$E$304,MATCH(D4055,'Sản phẩm'!$A$5:$A$304,0)),"")))</f>
        <v/>
      </c>
      <c r="J4055" s="16">
        <f>IF(OR(D4055="",F4055=""),"",F4055*I4055-N(H4055))</f>
        <v/>
      </c>
      <c r="K4055" s="16">
        <f>IF(OR(D4055="",F4055=""),"",F4055*IFERROR(INDEX('Sản phẩm'!$D$5:$D$304,MATCH(D4055,'Sản phẩm'!$A$5:$A$304,0)),""))</f>
        <v/>
      </c>
      <c r="L4055" s="16">
        <f>IF(J4055="","",J4055-K4055)</f>
        <v/>
      </c>
      <c r="M4055" s="14">
        <f>IF(A4055="","",MONTH(A4055))</f>
        <v/>
      </c>
      <c r="N4055" s="14">
        <f>IF(A4055="","",YEAR(A4055))</f>
        <v/>
      </c>
    </row>
    <row r="4056">
      <c r="A4056" s="15" t="n"/>
      <c r="B4056" s="10" t="n"/>
      <c r="C4056" s="10" t="n"/>
      <c r="D4056" s="10" t="n"/>
      <c r="E4056" s="14">
        <f>IF(D4056="","",IFERROR(INDEX('Sản phẩm'!$B$5:$B$304,MATCH(D4056,'Sản phẩm'!$A$5:$A$304,0)),""))</f>
        <v/>
      </c>
      <c r="F4056" s="12" t="n"/>
      <c r="G4056" s="11" t="n"/>
      <c r="H4056" s="11" t="n"/>
      <c r="I4056" s="16">
        <f>IF(D4056="","",IF(G4056&lt;&gt;"",G4056,IFERROR(INDEX('Sản phẩm'!$E$5:$E$304,MATCH(D4056,'Sản phẩm'!$A$5:$A$304,0)),"")))</f>
        <v/>
      </c>
      <c r="J4056" s="16">
        <f>IF(OR(D4056="",F4056=""),"",F4056*I4056-N(H4056))</f>
        <v/>
      </c>
      <c r="K4056" s="16">
        <f>IF(OR(D4056="",F4056=""),"",F4056*IFERROR(INDEX('Sản phẩm'!$D$5:$D$304,MATCH(D4056,'Sản phẩm'!$A$5:$A$304,0)),""))</f>
        <v/>
      </c>
      <c r="L4056" s="16">
        <f>IF(J4056="","",J4056-K4056)</f>
        <v/>
      </c>
      <c r="M4056" s="14">
        <f>IF(A4056="","",MONTH(A4056))</f>
        <v/>
      </c>
      <c r="N4056" s="14">
        <f>IF(A4056="","",YEAR(A4056))</f>
        <v/>
      </c>
    </row>
    <row r="4057">
      <c r="A4057" s="15" t="n"/>
      <c r="B4057" s="10" t="n"/>
      <c r="C4057" s="10" t="n"/>
      <c r="D4057" s="10" t="n"/>
      <c r="E4057" s="14">
        <f>IF(D4057="","",IFERROR(INDEX('Sản phẩm'!$B$5:$B$304,MATCH(D4057,'Sản phẩm'!$A$5:$A$304,0)),""))</f>
        <v/>
      </c>
      <c r="F4057" s="12" t="n"/>
      <c r="G4057" s="11" t="n"/>
      <c r="H4057" s="11" t="n"/>
      <c r="I4057" s="16">
        <f>IF(D4057="","",IF(G4057&lt;&gt;"",G4057,IFERROR(INDEX('Sản phẩm'!$E$5:$E$304,MATCH(D4057,'Sản phẩm'!$A$5:$A$304,0)),"")))</f>
        <v/>
      </c>
      <c r="J4057" s="16">
        <f>IF(OR(D4057="",F4057=""),"",F4057*I4057-N(H4057))</f>
        <v/>
      </c>
      <c r="K4057" s="16">
        <f>IF(OR(D4057="",F4057=""),"",F4057*IFERROR(INDEX('Sản phẩm'!$D$5:$D$304,MATCH(D4057,'Sản phẩm'!$A$5:$A$304,0)),""))</f>
        <v/>
      </c>
      <c r="L4057" s="16">
        <f>IF(J4057="","",J4057-K4057)</f>
        <v/>
      </c>
      <c r="M4057" s="14">
        <f>IF(A4057="","",MONTH(A4057))</f>
        <v/>
      </c>
      <c r="N4057" s="14">
        <f>IF(A4057="","",YEAR(A4057))</f>
        <v/>
      </c>
    </row>
    <row r="4058">
      <c r="A4058" s="15" t="n"/>
      <c r="B4058" s="10" t="n"/>
      <c r="C4058" s="10" t="n"/>
      <c r="D4058" s="10" t="n"/>
      <c r="E4058" s="14">
        <f>IF(D4058="","",IFERROR(INDEX('Sản phẩm'!$B$5:$B$304,MATCH(D4058,'Sản phẩm'!$A$5:$A$304,0)),""))</f>
        <v/>
      </c>
      <c r="F4058" s="12" t="n"/>
      <c r="G4058" s="11" t="n"/>
      <c r="H4058" s="11" t="n"/>
      <c r="I4058" s="16">
        <f>IF(D4058="","",IF(G4058&lt;&gt;"",G4058,IFERROR(INDEX('Sản phẩm'!$E$5:$E$304,MATCH(D4058,'Sản phẩm'!$A$5:$A$304,0)),"")))</f>
        <v/>
      </c>
      <c r="J4058" s="16">
        <f>IF(OR(D4058="",F4058=""),"",F4058*I4058-N(H4058))</f>
        <v/>
      </c>
      <c r="K4058" s="16">
        <f>IF(OR(D4058="",F4058=""),"",F4058*IFERROR(INDEX('Sản phẩm'!$D$5:$D$304,MATCH(D4058,'Sản phẩm'!$A$5:$A$304,0)),""))</f>
        <v/>
      </c>
      <c r="L4058" s="16">
        <f>IF(J4058="","",J4058-K4058)</f>
        <v/>
      </c>
      <c r="M4058" s="14">
        <f>IF(A4058="","",MONTH(A4058))</f>
        <v/>
      </c>
      <c r="N4058" s="14">
        <f>IF(A4058="","",YEAR(A4058))</f>
        <v/>
      </c>
    </row>
    <row r="4059">
      <c r="A4059" s="15" t="n"/>
      <c r="B4059" s="10" t="n"/>
      <c r="C4059" s="10" t="n"/>
      <c r="D4059" s="10" t="n"/>
      <c r="E4059" s="14">
        <f>IF(D4059="","",IFERROR(INDEX('Sản phẩm'!$B$5:$B$304,MATCH(D4059,'Sản phẩm'!$A$5:$A$304,0)),""))</f>
        <v/>
      </c>
      <c r="F4059" s="12" t="n"/>
      <c r="G4059" s="11" t="n"/>
      <c r="H4059" s="11" t="n"/>
      <c r="I4059" s="16">
        <f>IF(D4059="","",IF(G4059&lt;&gt;"",G4059,IFERROR(INDEX('Sản phẩm'!$E$5:$E$304,MATCH(D4059,'Sản phẩm'!$A$5:$A$304,0)),"")))</f>
        <v/>
      </c>
      <c r="J4059" s="16">
        <f>IF(OR(D4059="",F4059=""),"",F4059*I4059-N(H4059))</f>
        <v/>
      </c>
      <c r="K4059" s="16">
        <f>IF(OR(D4059="",F4059=""),"",F4059*IFERROR(INDEX('Sản phẩm'!$D$5:$D$304,MATCH(D4059,'Sản phẩm'!$A$5:$A$304,0)),""))</f>
        <v/>
      </c>
      <c r="L4059" s="16">
        <f>IF(J4059="","",J4059-K4059)</f>
        <v/>
      </c>
      <c r="M4059" s="14">
        <f>IF(A4059="","",MONTH(A4059))</f>
        <v/>
      </c>
      <c r="N4059" s="14">
        <f>IF(A4059="","",YEAR(A4059))</f>
        <v/>
      </c>
    </row>
    <row r="4060">
      <c r="A4060" s="15" t="n"/>
      <c r="B4060" s="10" t="n"/>
      <c r="C4060" s="10" t="n"/>
      <c r="D4060" s="10" t="n"/>
      <c r="E4060" s="14">
        <f>IF(D4060="","",IFERROR(INDEX('Sản phẩm'!$B$5:$B$304,MATCH(D4060,'Sản phẩm'!$A$5:$A$304,0)),""))</f>
        <v/>
      </c>
      <c r="F4060" s="12" t="n"/>
      <c r="G4060" s="11" t="n"/>
      <c r="H4060" s="11" t="n"/>
      <c r="I4060" s="16">
        <f>IF(D4060="","",IF(G4060&lt;&gt;"",G4060,IFERROR(INDEX('Sản phẩm'!$E$5:$E$304,MATCH(D4060,'Sản phẩm'!$A$5:$A$304,0)),"")))</f>
        <v/>
      </c>
      <c r="J4060" s="16">
        <f>IF(OR(D4060="",F4060=""),"",F4060*I4060-N(H4060))</f>
        <v/>
      </c>
      <c r="K4060" s="16">
        <f>IF(OR(D4060="",F4060=""),"",F4060*IFERROR(INDEX('Sản phẩm'!$D$5:$D$304,MATCH(D4060,'Sản phẩm'!$A$5:$A$304,0)),""))</f>
        <v/>
      </c>
      <c r="L4060" s="16">
        <f>IF(J4060="","",J4060-K4060)</f>
        <v/>
      </c>
      <c r="M4060" s="14">
        <f>IF(A4060="","",MONTH(A4060))</f>
        <v/>
      </c>
      <c r="N4060" s="14">
        <f>IF(A4060="","",YEAR(A4060))</f>
        <v/>
      </c>
    </row>
    <row r="4061">
      <c r="A4061" s="15" t="n"/>
      <c r="B4061" s="10" t="n"/>
      <c r="C4061" s="10" t="n"/>
      <c r="D4061" s="10" t="n"/>
      <c r="E4061" s="14">
        <f>IF(D4061="","",IFERROR(INDEX('Sản phẩm'!$B$5:$B$304,MATCH(D4061,'Sản phẩm'!$A$5:$A$304,0)),""))</f>
        <v/>
      </c>
      <c r="F4061" s="12" t="n"/>
      <c r="G4061" s="11" t="n"/>
      <c r="H4061" s="11" t="n"/>
      <c r="I4061" s="16">
        <f>IF(D4061="","",IF(G4061&lt;&gt;"",G4061,IFERROR(INDEX('Sản phẩm'!$E$5:$E$304,MATCH(D4061,'Sản phẩm'!$A$5:$A$304,0)),"")))</f>
        <v/>
      </c>
      <c r="J4061" s="16">
        <f>IF(OR(D4061="",F4061=""),"",F4061*I4061-N(H4061))</f>
        <v/>
      </c>
      <c r="K4061" s="16">
        <f>IF(OR(D4061="",F4061=""),"",F4061*IFERROR(INDEX('Sản phẩm'!$D$5:$D$304,MATCH(D4061,'Sản phẩm'!$A$5:$A$304,0)),""))</f>
        <v/>
      </c>
      <c r="L4061" s="16">
        <f>IF(J4061="","",J4061-K4061)</f>
        <v/>
      </c>
      <c r="M4061" s="14">
        <f>IF(A4061="","",MONTH(A4061))</f>
        <v/>
      </c>
      <c r="N4061" s="14">
        <f>IF(A4061="","",YEAR(A4061))</f>
        <v/>
      </c>
    </row>
    <row r="4062">
      <c r="A4062" s="15" t="n"/>
      <c r="B4062" s="10" t="n"/>
      <c r="C4062" s="10" t="n"/>
      <c r="D4062" s="10" t="n"/>
      <c r="E4062" s="14">
        <f>IF(D4062="","",IFERROR(INDEX('Sản phẩm'!$B$5:$B$304,MATCH(D4062,'Sản phẩm'!$A$5:$A$304,0)),""))</f>
        <v/>
      </c>
      <c r="F4062" s="12" t="n"/>
      <c r="G4062" s="11" t="n"/>
      <c r="H4062" s="11" t="n"/>
      <c r="I4062" s="16">
        <f>IF(D4062="","",IF(G4062&lt;&gt;"",G4062,IFERROR(INDEX('Sản phẩm'!$E$5:$E$304,MATCH(D4062,'Sản phẩm'!$A$5:$A$304,0)),"")))</f>
        <v/>
      </c>
      <c r="J4062" s="16">
        <f>IF(OR(D4062="",F4062=""),"",F4062*I4062-N(H4062))</f>
        <v/>
      </c>
      <c r="K4062" s="16">
        <f>IF(OR(D4062="",F4062=""),"",F4062*IFERROR(INDEX('Sản phẩm'!$D$5:$D$304,MATCH(D4062,'Sản phẩm'!$A$5:$A$304,0)),""))</f>
        <v/>
      </c>
      <c r="L4062" s="16">
        <f>IF(J4062="","",J4062-K4062)</f>
        <v/>
      </c>
      <c r="M4062" s="14">
        <f>IF(A4062="","",MONTH(A4062))</f>
        <v/>
      </c>
      <c r="N4062" s="14">
        <f>IF(A4062="","",YEAR(A4062))</f>
        <v/>
      </c>
    </row>
    <row r="4063">
      <c r="A4063" s="15" t="n"/>
      <c r="B4063" s="10" t="n"/>
      <c r="C4063" s="10" t="n"/>
      <c r="D4063" s="10" t="n"/>
      <c r="E4063" s="14">
        <f>IF(D4063="","",IFERROR(INDEX('Sản phẩm'!$B$5:$B$304,MATCH(D4063,'Sản phẩm'!$A$5:$A$304,0)),""))</f>
        <v/>
      </c>
      <c r="F4063" s="12" t="n"/>
      <c r="G4063" s="11" t="n"/>
      <c r="H4063" s="11" t="n"/>
      <c r="I4063" s="16">
        <f>IF(D4063="","",IF(G4063&lt;&gt;"",G4063,IFERROR(INDEX('Sản phẩm'!$E$5:$E$304,MATCH(D4063,'Sản phẩm'!$A$5:$A$304,0)),"")))</f>
        <v/>
      </c>
      <c r="J4063" s="16">
        <f>IF(OR(D4063="",F4063=""),"",F4063*I4063-N(H4063))</f>
        <v/>
      </c>
      <c r="K4063" s="16">
        <f>IF(OR(D4063="",F4063=""),"",F4063*IFERROR(INDEX('Sản phẩm'!$D$5:$D$304,MATCH(D4063,'Sản phẩm'!$A$5:$A$304,0)),""))</f>
        <v/>
      </c>
      <c r="L4063" s="16">
        <f>IF(J4063="","",J4063-K4063)</f>
        <v/>
      </c>
      <c r="M4063" s="14">
        <f>IF(A4063="","",MONTH(A4063))</f>
        <v/>
      </c>
      <c r="N4063" s="14">
        <f>IF(A4063="","",YEAR(A4063))</f>
        <v/>
      </c>
    </row>
    <row r="4064">
      <c r="A4064" s="15" t="n"/>
      <c r="B4064" s="10" t="n"/>
      <c r="C4064" s="10" t="n"/>
      <c r="D4064" s="10" t="n"/>
      <c r="E4064" s="14">
        <f>IF(D4064="","",IFERROR(INDEX('Sản phẩm'!$B$5:$B$304,MATCH(D4064,'Sản phẩm'!$A$5:$A$304,0)),""))</f>
        <v/>
      </c>
      <c r="F4064" s="12" t="n"/>
      <c r="G4064" s="11" t="n"/>
      <c r="H4064" s="11" t="n"/>
      <c r="I4064" s="16">
        <f>IF(D4064="","",IF(G4064&lt;&gt;"",G4064,IFERROR(INDEX('Sản phẩm'!$E$5:$E$304,MATCH(D4064,'Sản phẩm'!$A$5:$A$304,0)),"")))</f>
        <v/>
      </c>
      <c r="J4064" s="16">
        <f>IF(OR(D4064="",F4064=""),"",F4064*I4064-N(H4064))</f>
        <v/>
      </c>
      <c r="K4064" s="16">
        <f>IF(OR(D4064="",F4064=""),"",F4064*IFERROR(INDEX('Sản phẩm'!$D$5:$D$304,MATCH(D4064,'Sản phẩm'!$A$5:$A$304,0)),""))</f>
        <v/>
      </c>
      <c r="L4064" s="16">
        <f>IF(J4064="","",J4064-K4064)</f>
        <v/>
      </c>
      <c r="M4064" s="14">
        <f>IF(A4064="","",MONTH(A4064))</f>
        <v/>
      </c>
      <c r="N4064" s="14">
        <f>IF(A4064="","",YEAR(A4064))</f>
        <v/>
      </c>
    </row>
    <row r="4065">
      <c r="A4065" s="15" t="n"/>
      <c r="B4065" s="10" t="n"/>
      <c r="C4065" s="10" t="n"/>
      <c r="D4065" s="10" t="n"/>
      <c r="E4065" s="14">
        <f>IF(D4065="","",IFERROR(INDEX('Sản phẩm'!$B$5:$B$304,MATCH(D4065,'Sản phẩm'!$A$5:$A$304,0)),""))</f>
        <v/>
      </c>
      <c r="F4065" s="12" t="n"/>
      <c r="G4065" s="11" t="n"/>
      <c r="H4065" s="11" t="n"/>
      <c r="I4065" s="16">
        <f>IF(D4065="","",IF(G4065&lt;&gt;"",G4065,IFERROR(INDEX('Sản phẩm'!$E$5:$E$304,MATCH(D4065,'Sản phẩm'!$A$5:$A$304,0)),"")))</f>
        <v/>
      </c>
      <c r="J4065" s="16">
        <f>IF(OR(D4065="",F4065=""),"",F4065*I4065-N(H4065))</f>
        <v/>
      </c>
      <c r="K4065" s="16">
        <f>IF(OR(D4065="",F4065=""),"",F4065*IFERROR(INDEX('Sản phẩm'!$D$5:$D$304,MATCH(D4065,'Sản phẩm'!$A$5:$A$304,0)),""))</f>
        <v/>
      </c>
      <c r="L4065" s="16">
        <f>IF(J4065="","",J4065-K4065)</f>
        <v/>
      </c>
      <c r="M4065" s="14">
        <f>IF(A4065="","",MONTH(A4065))</f>
        <v/>
      </c>
      <c r="N4065" s="14">
        <f>IF(A4065="","",YEAR(A4065))</f>
        <v/>
      </c>
    </row>
    <row r="4066">
      <c r="A4066" s="15" t="n"/>
      <c r="B4066" s="10" t="n"/>
      <c r="C4066" s="10" t="n"/>
      <c r="D4066" s="10" t="n"/>
      <c r="E4066" s="14">
        <f>IF(D4066="","",IFERROR(INDEX('Sản phẩm'!$B$5:$B$304,MATCH(D4066,'Sản phẩm'!$A$5:$A$304,0)),""))</f>
        <v/>
      </c>
      <c r="F4066" s="12" t="n"/>
      <c r="G4066" s="11" t="n"/>
      <c r="H4066" s="11" t="n"/>
      <c r="I4066" s="16">
        <f>IF(D4066="","",IF(G4066&lt;&gt;"",G4066,IFERROR(INDEX('Sản phẩm'!$E$5:$E$304,MATCH(D4066,'Sản phẩm'!$A$5:$A$304,0)),"")))</f>
        <v/>
      </c>
      <c r="J4066" s="16">
        <f>IF(OR(D4066="",F4066=""),"",F4066*I4066-N(H4066))</f>
        <v/>
      </c>
      <c r="K4066" s="16">
        <f>IF(OR(D4066="",F4066=""),"",F4066*IFERROR(INDEX('Sản phẩm'!$D$5:$D$304,MATCH(D4066,'Sản phẩm'!$A$5:$A$304,0)),""))</f>
        <v/>
      </c>
      <c r="L4066" s="16">
        <f>IF(J4066="","",J4066-K4066)</f>
        <v/>
      </c>
      <c r="M4066" s="14">
        <f>IF(A4066="","",MONTH(A4066))</f>
        <v/>
      </c>
      <c r="N4066" s="14">
        <f>IF(A4066="","",YEAR(A4066))</f>
        <v/>
      </c>
    </row>
    <row r="4067">
      <c r="A4067" s="15" t="n"/>
      <c r="B4067" s="10" t="n"/>
      <c r="C4067" s="10" t="n"/>
      <c r="D4067" s="10" t="n"/>
      <c r="E4067" s="14">
        <f>IF(D4067="","",IFERROR(INDEX('Sản phẩm'!$B$5:$B$304,MATCH(D4067,'Sản phẩm'!$A$5:$A$304,0)),""))</f>
        <v/>
      </c>
      <c r="F4067" s="12" t="n"/>
      <c r="G4067" s="11" t="n"/>
      <c r="H4067" s="11" t="n"/>
      <c r="I4067" s="16">
        <f>IF(D4067="","",IF(G4067&lt;&gt;"",G4067,IFERROR(INDEX('Sản phẩm'!$E$5:$E$304,MATCH(D4067,'Sản phẩm'!$A$5:$A$304,0)),"")))</f>
        <v/>
      </c>
      <c r="J4067" s="16">
        <f>IF(OR(D4067="",F4067=""),"",F4067*I4067-N(H4067))</f>
        <v/>
      </c>
      <c r="K4067" s="16">
        <f>IF(OR(D4067="",F4067=""),"",F4067*IFERROR(INDEX('Sản phẩm'!$D$5:$D$304,MATCH(D4067,'Sản phẩm'!$A$5:$A$304,0)),""))</f>
        <v/>
      </c>
      <c r="L4067" s="16">
        <f>IF(J4067="","",J4067-K4067)</f>
        <v/>
      </c>
      <c r="M4067" s="14">
        <f>IF(A4067="","",MONTH(A4067))</f>
        <v/>
      </c>
      <c r="N4067" s="14">
        <f>IF(A4067="","",YEAR(A4067))</f>
        <v/>
      </c>
    </row>
    <row r="4068">
      <c r="A4068" s="15" t="n"/>
      <c r="B4068" s="10" t="n"/>
      <c r="C4068" s="10" t="n"/>
      <c r="D4068" s="10" t="n"/>
      <c r="E4068" s="14">
        <f>IF(D4068="","",IFERROR(INDEX('Sản phẩm'!$B$5:$B$304,MATCH(D4068,'Sản phẩm'!$A$5:$A$304,0)),""))</f>
        <v/>
      </c>
      <c r="F4068" s="12" t="n"/>
      <c r="G4068" s="11" t="n"/>
      <c r="H4068" s="11" t="n"/>
      <c r="I4068" s="16">
        <f>IF(D4068="","",IF(G4068&lt;&gt;"",G4068,IFERROR(INDEX('Sản phẩm'!$E$5:$E$304,MATCH(D4068,'Sản phẩm'!$A$5:$A$304,0)),"")))</f>
        <v/>
      </c>
      <c r="J4068" s="16">
        <f>IF(OR(D4068="",F4068=""),"",F4068*I4068-N(H4068))</f>
        <v/>
      </c>
      <c r="K4068" s="16">
        <f>IF(OR(D4068="",F4068=""),"",F4068*IFERROR(INDEX('Sản phẩm'!$D$5:$D$304,MATCH(D4068,'Sản phẩm'!$A$5:$A$304,0)),""))</f>
        <v/>
      </c>
      <c r="L4068" s="16">
        <f>IF(J4068="","",J4068-K4068)</f>
        <v/>
      </c>
      <c r="M4068" s="14">
        <f>IF(A4068="","",MONTH(A4068))</f>
        <v/>
      </c>
      <c r="N4068" s="14">
        <f>IF(A4068="","",YEAR(A4068))</f>
        <v/>
      </c>
    </row>
    <row r="4069">
      <c r="A4069" s="15" t="n"/>
      <c r="B4069" s="10" t="n"/>
      <c r="C4069" s="10" t="n"/>
      <c r="D4069" s="10" t="n"/>
      <c r="E4069" s="14">
        <f>IF(D4069="","",IFERROR(INDEX('Sản phẩm'!$B$5:$B$304,MATCH(D4069,'Sản phẩm'!$A$5:$A$304,0)),""))</f>
        <v/>
      </c>
      <c r="F4069" s="12" t="n"/>
      <c r="G4069" s="11" t="n"/>
      <c r="H4069" s="11" t="n"/>
      <c r="I4069" s="16">
        <f>IF(D4069="","",IF(G4069&lt;&gt;"",G4069,IFERROR(INDEX('Sản phẩm'!$E$5:$E$304,MATCH(D4069,'Sản phẩm'!$A$5:$A$304,0)),"")))</f>
        <v/>
      </c>
      <c r="J4069" s="16">
        <f>IF(OR(D4069="",F4069=""),"",F4069*I4069-N(H4069))</f>
        <v/>
      </c>
      <c r="K4069" s="16">
        <f>IF(OR(D4069="",F4069=""),"",F4069*IFERROR(INDEX('Sản phẩm'!$D$5:$D$304,MATCH(D4069,'Sản phẩm'!$A$5:$A$304,0)),""))</f>
        <v/>
      </c>
      <c r="L4069" s="16">
        <f>IF(J4069="","",J4069-K4069)</f>
        <v/>
      </c>
      <c r="M4069" s="14">
        <f>IF(A4069="","",MONTH(A4069))</f>
        <v/>
      </c>
      <c r="N4069" s="14">
        <f>IF(A4069="","",YEAR(A4069))</f>
        <v/>
      </c>
    </row>
    <row r="4070">
      <c r="A4070" s="15" t="n"/>
      <c r="B4070" s="10" t="n"/>
      <c r="C4070" s="10" t="n"/>
      <c r="D4070" s="10" t="n"/>
      <c r="E4070" s="14">
        <f>IF(D4070="","",IFERROR(INDEX('Sản phẩm'!$B$5:$B$304,MATCH(D4070,'Sản phẩm'!$A$5:$A$304,0)),""))</f>
        <v/>
      </c>
      <c r="F4070" s="12" t="n"/>
      <c r="G4070" s="11" t="n"/>
      <c r="H4070" s="11" t="n"/>
      <c r="I4070" s="16">
        <f>IF(D4070="","",IF(G4070&lt;&gt;"",G4070,IFERROR(INDEX('Sản phẩm'!$E$5:$E$304,MATCH(D4070,'Sản phẩm'!$A$5:$A$304,0)),"")))</f>
        <v/>
      </c>
      <c r="J4070" s="16">
        <f>IF(OR(D4070="",F4070=""),"",F4070*I4070-N(H4070))</f>
        <v/>
      </c>
      <c r="K4070" s="16">
        <f>IF(OR(D4070="",F4070=""),"",F4070*IFERROR(INDEX('Sản phẩm'!$D$5:$D$304,MATCH(D4070,'Sản phẩm'!$A$5:$A$304,0)),""))</f>
        <v/>
      </c>
      <c r="L4070" s="16">
        <f>IF(J4070="","",J4070-K4070)</f>
        <v/>
      </c>
      <c r="M4070" s="14">
        <f>IF(A4070="","",MONTH(A4070))</f>
        <v/>
      </c>
      <c r="N4070" s="14">
        <f>IF(A4070="","",YEAR(A4070))</f>
        <v/>
      </c>
    </row>
    <row r="4071">
      <c r="A4071" s="15" t="n"/>
      <c r="B4071" s="10" t="n"/>
      <c r="C4071" s="10" t="n"/>
      <c r="D4071" s="10" t="n"/>
      <c r="E4071" s="14">
        <f>IF(D4071="","",IFERROR(INDEX('Sản phẩm'!$B$5:$B$304,MATCH(D4071,'Sản phẩm'!$A$5:$A$304,0)),""))</f>
        <v/>
      </c>
      <c r="F4071" s="12" t="n"/>
      <c r="G4071" s="11" t="n"/>
      <c r="H4071" s="11" t="n"/>
      <c r="I4071" s="16">
        <f>IF(D4071="","",IF(G4071&lt;&gt;"",G4071,IFERROR(INDEX('Sản phẩm'!$E$5:$E$304,MATCH(D4071,'Sản phẩm'!$A$5:$A$304,0)),"")))</f>
        <v/>
      </c>
      <c r="J4071" s="16">
        <f>IF(OR(D4071="",F4071=""),"",F4071*I4071-N(H4071))</f>
        <v/>
      </c>
      <c r="K4071" s="16">
        <f>IF(OR(D4071="",F4071=""),"",F4071*IFERROR(INDEX('Sản phẩm'!$D$5:$D$304,MATCH(D4071,'Sản phẩm'!$A$5:$A$304,0)),""))</f>
        <v/>
      </c>
      <c r="L4071" s="16">
        <f>IF(J4071="","",J4071-K4071)</f>
        <v/>
      </c>
      <c r="M4071" s="14">
        <f>IF(A4071="","",MONTH(A4071))</f>
        <v/>
      </c>
      <c r="N4071" s="14">
        <f>IF(A4071="","",YEAR(A4071))</f>
        <v/>
      </c>
    </row>
    <row r="4072">
      <c r="A4072" s="15" t="n"/>
      <c r="B4072" s="10" t="n"/>
      <c r="C4072" s="10" t="n"/>
      <c r="D4072" s="10" t="n"/>
      <c r="E4072" s="14">
        <f>IF(D4072="","",IFERROR(INDEX('Sản phẩm'!$B$5:$B$304,MATCH(D4072,'Sản phẩm'!$A$5:$A$304,0)),""))</f>
        <v/>
      </c>
      <c r="F4072" s="12" t="n"/>
      <c r="G4072" s="11" t="n"/>
      <c r="H4072" s="11" t="n"/>
      <c r="I4072" s="16">
        <f>IF(D4072="","",IF(G4072&lt;&gt;"",G4072,IFERROR(INDEX('Sản phẩm'!$E$5:$E$304,MATCH(D4072,'Sản phẩm'!$A$5:$A$304,0)),"")))</f>
        <v/>
      </c>
      <c r="J4072" s="16">
        <f>IF(OR(D4072="",F4072=""),"",F4072*I4072-N(H4072))</f>
        <v/>
      </c>
      <c r="K4072" s="16">
        <f>IF(OR(D4072="",F4072=""),"",F4072*IFERROR(INDEX('Sản phẩm'!$D$5:$D$304,MATCH(D4072,'Sản phẩm'!$A$5:$A$304,0)),""))</f>
        <v/>
      </c>
      <c r="L4072" s="16">
        <f>IF(J4072="","",J4072-K4072)</f>
        <v/>
      </c>
      <c r="M4072" s="14">
        <f>IF(A4072="","",MONTH(A4072))</f>
        <v/>
      </c>
      <c r="N4072" s="14">
        <f>IF(A4072="","",YEAR(A4072))</f>
        <v/>
      </c>
    </row>
    <row r="4073">
      <c r="A4073" s="15" t="n"/>
      <c r="B4073" s="10" t="n"/>
      <c r="C4073" s="10" t="n"/>
      <c r="D4073" s="10" t="n"/>
      <c r="E4073" s="14">
        <f>IF(D4073="","",IFERROR(INDEX('Sản phẩm'!$B$5:$B$304,MATCH(D4073,'Sản phẩm'!$A$5:$A$304,0)),""))</f>
        <v/>
      </c>
      <c r="F4073" s="12" t="n"/>
      <c r="G4073" s="11" t="n"/>
      <c r="H4073" s="11" t="n"/>
      <c r="I4073" s="16">
        <f>IF(D4073="","",IF(G4073&lt;&gt;"",G4073,IFERROR(INDEX('Sản phẩm'!$E$5:$E$304,MATCH(D4073,'Sản phẩm'!$A$5:$A$304,0)),"")))</f>
        <v/>
      </c>
      <c r="J4073" s="16">
        <f>IF(OR(D4073="",F4073=""),"",F4073*I4073-N(H4073))</f>
        <v/>
      </c>
      <c r="K4073" s="16">
        <f>IF(OR(D4073="",F4073=""),"",F4073*IFERROR(INDEX('Sản phẩm'!$D$5:$D$304,MATCH(D4073,'Sản phẩm'!$A$5:$A$304,0)),""))</f>
        <v/>
      </c>
      <c r="L4073" s="16">
        <f>IF(J4073="","",J4073-K4073)</f>
        <v/>
      </c>
      <c r="M4073" s="14">
        <f>IF(A4073="","",MONTH(A4073))</f>
        <v/>
      </c>
      <c r="N4073" s="14">
        <f>IF(A4073="","",YEAR(A4073))</f>
        <v/>
      </c>
    </row>
    <row r="4074">
      <c r="A4074" s="15" t="n"/>
      <c r="B4074" s="10" t="n"/>
      <c r="C4074" s="10" t="n"/>
      <c r="D4074" s="10" t="n"/>
      <c r="E4074" s="14">
        <f>IF(D4074="","",IFERROR(INDEX('Sản phẩm'!$B$5:$B$304,MATCH(D4074,'Sản phẩm'!$A$5:$A$304,0)),""))</f>
        <v/>
      </c>
      <c r="F4074" s="12" t="n"/>
      <c r="G4074" s="11" t="n"/>
      <c r="H4074" s="11" t="n"/>
      <c r="I4074" s="16">
        <f>IF(D4074="","",IF(G4074&lt;&gt;"",G4074,IFERROR(INDEX('Sản phẩm'!$E$5:$E$304,MATCH(D4074,'Sản phẩm'!$A$5:$A$304,0)),"")))</f>
        <v/>
      </c>
      <c r="J4074" s="16">
        <f>IF(OR(D4074="",F4074=""),"",F4074*I4074-N(H4074))</f>
        <v/>
      </c>
      <c r="K4074" s="16">
        <f>IF(OR(D4074="",F4074=""),"",F4074*IFERROR(INDEX('Sản phẩm'!$D$5:$D$304,MATCH(D4074,'Sản phẩm'!$A$5:$A$304,0)),""))</f>
        <v/>
      </c>
      <c r="L4074" s="16">
        <f>IF(J4074="","",J4074-K4074)</f>
        <v/>
      </c>
      <c r="M4074" s="14">
        <f>IF(A4074="","",MONTH(A4074))</f>
        <v/>
      </c>
      <c r="N4074" s="14">
        <f>IF(A4074="","",YEAR(A4074))</f>
        <v/>
      </c>
    </row>
    <row r="4075">
      <c r="A4075" s="15" t="n"/>
      <c r="B4075" s="10" t="n"/>
      <c r="C4075" s="10" t="n"/>
      <c r="D4075" s="10" t="n"/>
      <c r="E4075" s="14">
        <f>IF(D4075="","",IFERROR(INDEX('Sản phẩm'!$B$5:$B$304,MATCH(D4075,'Sản phẩm'!$A$5:$A$304,0)),""))</f>
        <v/>
      </c>
      <c r="F4075" s="12" t="n"/>
      <c r="G4075" s="11" t="n"/>
      <c r="H4075" s="11" t="n"/>
      <c r="I4075" s="16">
        <f>IF(D4075="","",IF(G4075&lt;&gt;"",G4075,IFERROR(INDEX('Sản phẩm'!$E$5:$E$304,MATCH(D4075,'Sản phẩm'!$A$5:$A$304,0)),"")))</f>
        <v/>
      </c>
      <c r="J4075" s="16">
        <f>IF(OR(D4075="",F4075=""),"",F4075*I4075-N(H4075))</f>
        <v/>
      </c>
      <c r="K4075" s="16">
        <f>IF(OR(D4075="",F4075=""),"",F4075*IFERROR(INDEX('Sản phẩm'!$D$5:$D$304,MATCH(D4075,'Sản phẩm'!$A$5:$A$304,0)),""))</f>
        <v/>
      </c>
      <c r="L4075" s="16">
        <f>IF(J4075="","",J4075-K4075)</f>
        <v/>
      </c>
      <c r="M4075" s="14">
        <f>IF(A4075="","",MONTH(A4075))</f>
        <v/>
      </c>
      <c r="N4075" s="14">
        <f>IF(A4075="","",YEAR(A4075))</f>
        <v/>
      </c>
    </row>
    <row r="4076">
      <c r="A4076" s="15" t="n"/>
      <c r="B4076" s="10" t="n"/>
      <c r="C4076" s="10" t="n"/>
      <c r="D4076" s="10" t="n"/>
      <c r="E4076" s="14">
        <f>IF(D4076="","",IFERROR(INDEX('Sản phẩm'!$B$5:$B$304,MATCH(D4076,'Sản phẩm'!$A$5:$A$304,0)),""))</f>
        <v/>
      </c>
      <c r="F4076" s="12" t="n"/>
      <c r="G4076" s="11" t="n"/>
      <c r="H4076" s="11" t="n"/>
      <c r="I4076" s="16">
        <f>IF(D4076="","",IF(G4076&lt;&gt;"",G4076,IFERROR(INDEX('Sản phẩm'!$E$5:$E$304,MATCH(D4076,'Sản phẩm'!$A$5:$A$304,0)),"")))</f>
        <v/>
      </c>
      <c r="J4076" s="16">
        <f>IF(OR(D4076="",F4076=""),"",F4076*I4076-N(H4076))</f>
        <v/>
      </c>
      <c r="K4076" s="16">
        <f>IF(OR(D4076="",F4076=""),"",F4076*IFERROR(INDEX('Sản phẩm'!$D$5:$D$304,MATCH(D4076,'Sản phẩm'!$A$5:$A$304,0)),""))</f>
        <v/>
      </c>
      <c r="L4076" s="16">
        <f>IF(J4076="","",J4076-K4076)</f>
        <v/>
      </c>
      <c r="M4076" s="14">
        <f>IF(A4076="","",MONTH(A4076))</f>
        <v/>
      </c>
      <c r="N4076" s="14">
        <f>IF(A4076="","",YEAR(A4076))</f>
        <v/>
      </c>
    </row>
    <row r="4077">
      <c r="A4077" s="15" t="n"/>
      <c r="B4077" s="10" t="n"/>
      <c r="C4077" s="10" t="n"/>
      <c r="D4077" s="10" t="n"/>
      <c r="E4077" s="14">
        <f>IF(D4077="","",IFERROR(INDEX('Sản phẩm'!$B$5:$B$304,MATCH(D4077,'Sản phẩm'!$A$5:$A$304,0)),""))</f>
        <v/>
      </c>
      <c r="F4077" s="12" t="n"/>
      <c r="G4077" s="11" t="n"/>
      <c r="H4077" s="11" t="n"/>
      <c r="I4077" s="16">
        <f>IF(D4077="","",IF(G4077&lt;&gt;"",G4077,IFERROR(INDEX('Sản phẩm'!$E$5:$E$304,MATCH(D4077,'Sản phẩm'!$A$5:$A$304,0)),"")))</f>
        <v/>
      </c>
      <c r="J4077" s="16">
        <f>IF(OR(D4077="",F4077=""),"",F4077*I4077-N(H4077))</f>
        <v/>
      </c>
      <c r="K4077" s="16">
        <f>IF(OR(D4077="",F4077=""),"",F4077*IFERROR(INDEX('Sản phẩm'!$D$5:$D$304,MATCH(D4077,'Sản phẩm'!$A$5:$A$304,0)),""))</f>
        <v/>
      </c>
      <c r="L4077" s="16">
        <f>IF(J4077="","",J4077-K4077)</f>
        <v/>
      </c>
      <c r="M4077" s="14">
        <f>IF(A4077="","",MONTH(A4077))</f>
        <v/>
      </c>
      <c r="N4077" s="14">
        <f>IF(A4077="","",YEAR(A4077))</f>
        <v/>
      </c>
    </row>
    <row r="4078">
      <c r="A4078" s="15" t="n"/>
      <c r="B4078" s="10" t="n"/>
      <c r="C4078" s="10" t="n"/>
      <c r="D4078" s="10" t="n"/>
      <c r="E4078" s="14">
        <f>IF(D4078="","",IFERROR(INDEX('Sản phẩm'!$B$5:$B$304,MATCH(D4078,'Sản phẩm'!$A$5:$A$304,0)),""))</f>
        <v/>
      </c>
      <c r="F4078" s="12" t="n"/>
      <c r="G4078" s="11" t="n"/>
      <c r="H4078" s="11" t="n"/>
      <c r="I4078" s="16">
        <f>IF(D4078="","",IF(G4078&lt;&gt;"",G4078,IFERROR(INDEX('Sản phẩm'!$E$5:$E$304,MATCH(D4078,'Sản phẩm'!$A$5:$A$304,0)),"")))</f>
        <v/>
      </c>
      <c r="J4078" s="16">
        <f>IF(OR(D4078="",F4078=""),"",F4078*I4078-N(H4078))</f>
        <v/>
      </c>
      <c r="K4078" s="16">
        <f>IF(OR(D4078="",F4078=""),"",F4078*IFERROR(INDEX('Sản phẩm'!$D$5:$D$304,MATCH(D4078,'Sản phẩm'!$A$5:$A$304,0)),""))</f>
        <v/>
      </c>
      <c r="L4078" s="16">
        <f>IF(J4078="","",J4078-K4078)</f>
        <v/>
      </c>
      <c r="M4078" s="14">
        <f>IF(A4078="","",MONTH(A4078))</f>
        <v/>
      </c>
      <c r="N4078" s="14">
        <f>IF(A4078="","",YEAR(A4078))</f>
        <v/>
      </c>
    </row>
    <row r="4079">
      <c r="A4079" s="15" t="n"/>
      <c r="B4079" s="10" t="n"/>
      <c r="C4079" s="10" t="n"/>
      <c r="D4079" s="10" t="n"/>
      <c r="E4079" s="14">
        <f>IF(D4079="","",IFERROR(INDEX('Sản phẩm'!$B$5:$B$304,MATCH(D4079,'Sản phẩm'!$A$5:$A$304,0)),""))</f>
        <v/>
      </c>
      <c r="F4079" s="12" t="n"/>
      <c r="G4079" s="11" t="n"/>
      <c r="H4079" s="11" t="n"/>
      <c r="I4079" s="16">
        <f>IF(D4079="","",IF(G4079&lt;&gt;"",G4079,IFERROR(INDEX('Sản phẩm'!$E$5:$E$304,MATCH(D4079,'Sản phẩm'!$A$5:$A$304,0)),"")))</f>
        <v/>
      </c>
      <c r="J4079" s="16">
        <f>IF(OR(D4079="",F4079=""),"",F4079*I4079-N(H4079))</f>
        <v/>
      </c>
      <c r="K4079" s="16">
        <f>IF(OR(D4079="",F4079=""),"",F4079*IFERROR(INDEX('Sản phẩm'!$D$5:$D$304,MATCH(D4079,'Sản phẩm'!$A$5:$A$304,0)),""))</f>
        <v/>
      </c>
      <c r="L4079" s="16">
        <f>IF(J4079="","",J4079-K4079)</f>
        <v/>
      </c>
      <c r="M4079" s="14">
        <f>IF(A4079="","",MONTH(A4079))</f>
        <v/>
      </c>
      <c r="N4079" s="14">
        <f>IF(A4079="","",YEAR(A4079))</f>
        <v/>
      </c>
    </row>
    <row r="4080">
      <c r="A4080" s="15" t="n"/>
      <c r="B4080" s="10" t="n"/>
      <c r="C4080" s="10" t="n"/>
      <c r="D4080" s="10" t="n"/>
      <c r="E4080" s="14">
        <f>IF(D4080="","",IFERROR(INDEX('Sản phẩm'!$B$5:$B$304,MATCH(D4080,'Sản phẩm'!$A$5:$A$304,0)),""))</f>
        <v/>
      </c>
      <c r="F4080" s="12" t="n"/>
      <c r="G4080" s="11" t="n"/>
      <c r="H4080" s="11" t="n"/>
      <c r="I4080" s="16">
        <f>IF(D4080="","",IF(G4080&lt;&gt;"",G4080,IFERROR(INDEX('Sản phẩm'!$E$5:$E$304,MATCH(D4080,'Sản phẩm'!$A$5:$A$304,0)),"")))</f>
        <v/>
      </c>
      <c r="J4080" s="16">
        <f>IF(OR(D4080="",F4080=""),"",F4080*I4080-N(H4080))</f>
        <v/>
      </c>
      <c r="K4080" s="16">
        <f>IF(OR(D4080="",F4080=""),"",F4080*IFERROR(INDEX('Sản phẩm'!$D$5:$D$304,MATCH(D4080,'Sản phẩm'!$A$5:$A$304,0)),""))</f>
        <v/>
      </c>
      <c r="L4080" s="16">
        <f>IF(J4080="","",J4080-K4080)</f>
        <v/>
      </c>
      <c r="M4080" s="14">
        <f>IF(A4080="","",MONTH(A4080))</f>
        <v/>
      </c>
      <c r="N4080" s="14">
        <f>IF(A4080="","",YEAR(A4080))</f>
        <v/>
      </c>
    </row>
    <row r="4081">
      <c r="A4081" s="15" t="n"/>
      <c r="B4081" s="10" t="n"/>
      <c r="C4081" s="10" t="n"/>
      <c r="D4081" s="10" t="n"/>
      <c r="E4081" s="14">
        <f>IF(D4081="","",IFERROR(INDEX('Sản phẩm'!$B$5:$B$304,MATCH(D4081,'Sản phẩm'!$A$5:$A$304,0)),""))</f>
        <v/>
      </c>
      <c r="F4081" s="12" t="n"/>
      <c r="G4081" s="11" t="n"/>
      <c r="H4081" s="11" t="n"/>
      <c r="I4081" s="16">
        <f>IF(D4081="","",IF(G4081&lt;&gt;"",G4081,IFERROR(INDEX('Sản phẩm'!$E$5:$E$304,MATCH(D4081,'Sản phẩm'!$A$5:$A$304,0)),"")))</f>
        <v/>
      </c>
      <c r="J4081" s="16">
        <f>IF(OR(D4081="",F4081=""),"",F4081*I4081-N(H4081))</f>
        <v/>
      </c>
      <c r="K4081" s="16">
        <f>IF(OR(D4081="",F4081=""),"",F4081*IFERROR(INDEX('Sản phẩm'!$D$5:$D$304,MATCH(D4081,'Sản phẩm'!$A$5:$A$304,0)),""))</f>
        <v/>
      </c>
      <c r="L4081" s="16">
        <f>IF(J4081="","",J4081-K4081)</f>
        <v/>
      </c>
      <c r="M4081" s="14">
        <f>IF(A4081="","",MONTH(A4081))</f>
        <v/>
      </c>
      <c r="N4081" s="14">
        <f>IF(A4081="","",YEAR(A4081))</f>
        <v/>
      </c>
    </row>
    <row r="4082">
      <c r="A4082" s="15" t="n"/>
      <c r="B4082" s="10" t="n"/>
      <c r="C4082" s="10" t="n"/>
      <c r="D4082" s="10" t="n"/>
      <c r="E4082" s="14">
        <f>IF(D4082="","",IFERROR(INDEX('Sản phẩm'!$B$5:$B$304,MATCH(D4082,'Sản phẩm'!$A$5:$A$304,0)),""))</f>
        <v/>
      </c>
      <c r="F4082" s="12" t="n"/>
      <c r="G4082" s="11" t="n"/>
      <c r="H4082" s="11" t="n"/>
      <c r="I4082" s="16">
        <f>IF(D4082="","",IF(G4082&lt;&gt;"",G4082,IFERROR(INDEX('Sản phẩm'!$E$5:$E$304,MATCH(D4082,'Sản phẩm'!$A$5:$A$304,0)),"")))</f>
        <v/>
      </c>
      <c r="J4082" s="16">
        <f>IF(OR(D4082="",F4082=""),"",F4082*I4082-N(H4082))</f>
        <v/>
      </c>
      <c r="K4082" s="16">
        <f>IF(OR(D4082="",F4082=""),"",F4082*IFERROR(INDEX('Sản phẩm'!$D$5:$D$304,MATCH(D4082,'Sản phẩm'!$A$5:$A$304,0)),""))</f>
        <v/>
      </c>
      <c r="L4082" s="16">
        <f>IF(J4082="","",J4082-K4082)</f>
        <v/>
      </c>
      <c r="M4082" s="14">
        <f>IF(A4082="","",MONTH(A4082))</f>
        <v/>
      </c>
      <c r="N4082" s="14">
        <f>IF(A4082="","",YEAR(A4082))</f>
        <v/>
      </c>
    </row>
    <row r="4083">
      <c r="A4083" s="15" t="n"/>
      <c r="B4083" s="10" t="n"/>
      <c r="C4083" s="10" t="n"/>
      <c r="D4083" s="10" t="n"/>
      <c r="E4083" s="14">
        <f>IF(D4083="","",IFERROR(INDEX('Sản phẩm'!$B$5:$B$304,MATCH(D4083,'Sản phẩm'!$A$5:$A$304,0)),""))</f>
        <v/>
      </c>
      <c r="F4083" s="12" t="n"/>
      <c r="G4083" s="11" t="n"/>
      <c r="H4083" s="11" t="n"/>
      <c r="I4083" s="16">
        <f>IF(D4083="","",IF(G4083&lt;&gt;"",G4083,IFERROR(INDEX('Sản phẩm'!$E$5:$E$304,MATCH(D4083,'Sản phẩm'!$A$5:$A$304,0)),"")))</f>
        <v/>
      </c>
      <c r="J4083" s="16">
        <f>IF(OR(D4083="",F4083=""),"",F4083*I4083-N(H4083))</f>
        <v/>
      </c>
      <c r="K4083" s="16">
        <f>IF(OR(D4083="",F4083=""),"",F4083*IFERROR(INDEX('Sản phẩm'!$D$5:$D$304,MATCH(D4083,'Sản phẩm'!$A$5:$A$304,0)),""))</f>
        <v/>
      </c>
      <c r="L4083" s="16">
        <f>IF(J4083="","",J4083-K4083)</f>
        <v/>
      </c>
      <c r="M4083" s="14">
        <f>IF(A4083="","",MONTH(A4083))</f>
        <v/>
      </c>
      <c r="N4083" s="14">
        <f>IF(A4083="","",YEAR(A4083))</f>
        <v/>
      </c>
    </row>
    <row r="4084">
      <c r="A4084" s="15" t="n"/>
      <c r="B4084" s="10" t="n"/>
      <c r="C4084" s="10" t="n"/>
      <c r="D4084" s="10" t="n"/>
      <c r="E4084" s="14">
        <f>IF(D4084="","",IFERROR(INDEX('Sản phẩm'!$B$5:$B$304,MATCH(D4084,'Sản phẩm'!$A$5:$A$304,0)),""))</f>
        <v/>
      </c>
      <c r="F4084" s="12" t="n"/>
      <c r="G4084" s="11" t="n"/>
      <c r="H4084" s="11" t="n"/>
      <c r="I4084" s="16">
        <f>IF(D4084="","",IF(G4084&lt;&gt;"",G4084,IFERROR(INDEX('Sản phẩm'!$E$5:$E$304,MATCH(D4084,'Sản phẩm'!$A$5:$A$304,0)),"")))</f>
        <v/>
      </c>
      <c r="J4084" s="16">
        <f>IF(OR(D4084="",F4084=""),"",F4084*I4084-N(H4084))</f>
        <v/>
      </c>
      <c r="K4084" s="16">
        <f>IF(OR(D4084="",F4084=""),"",F4084*IFERROR(INDEX('Sản phẩm'!$D$5:$D$304,MATCH(D4084,'Sản phẩm'!$A$5:$A$304,0)),""))</f>
        <v/>
      </c>
      <c r="L4084" s="16">
        <f>IF(J4084="","",J4084-K4084)</f>
        <v/>
      </c>
      <c r="M4084" s="14">
        <f>IF(A4084="","",MONTH(A4084))</f>
        <v/>
      </c>
      <c r="N4084" s="14">
        <f>IF(A4084="","",YEAR(A4084))</f>
        <v/>
      </c>
    </row>
    <row r="4085">
      <c r="A4085" s="15" t="n"/>
      <c r="B4085" s="10" t="n"/>
      <c r="C4085" s="10" t="n"/>
      <c r="D4085" s="10" t="n"/>
      <c r="E4085" s="14">
        <f>IF(D4085="","",IFERROR(INDEX('Sản phẩm'!$B$5:$B$304,MATCH(D4085,'Sản phẩm'!$A$5:$A$304,0)),""))</f>
        <v/>
      </c>
      <c r="F4085" s="12" t="n"/>
      <c r="G4085" s="11" t="n"/>
      <c r="H4085" s="11" t="n"/>
      <c r="I4085" s="16">
        <f>IF(D4085="","",IF(G4085&lt;&gt;"",G4085,IFERROR(INDEX('Sản phẩm'!$E$5:$E$304,MATCH(D4085,'Sản phẩm'!$A$5:$A$304,0)),"")))</f>
        <v/>
      </c>
      <c r="J4085" s="16">
        <f>IF(OR(D4085="",F4085=""),"",F4085*I4085-N(H4085))</f>
        <v/>
      </c>
      <c r="K4085" s="16">
        <f>IF(OR(D4085="",F4085=""),"",F4085*IFERROR(INDEX('Sản phẩm'!$D$5:$D$304,MATCH(D4085,'Sản phẩm'!$A$5:$A$304,0)),""))</f>
        <v/>
      </c>
      <c r="L4085" s="16">
        <f>IF(J4085="","",J4085-K4085)</f>
        <v/>
      </c>
      <c r="M4085" s="14">
        <f>IF(A4085="","",MONTH(A4085))</f>
        <v/>
      </c>
      <c r="N4085" s="14">
        <f>IF(A4085="","",YEAR(A4085))</f>
        <v/>
      </c>
    </row>
    <row r="4086">
      <c r="A4086" s="15" t="n"/>
      <c r="B4086" s="10" t="n"/>
      <c r="C4086" s="10" t="n"/>
      <c r="D4086" s="10" t="n"/>
      <c r="E4086" s="14">
        <f>IF(D4086="","",IFERROR(INDEX('Sản phẩm'!$B$5:$B$304,MATCH(D4086,'Sản phẩm'!$A$5:$A$304,0)),""))</f>
        <v/>
      </c>
      <c r="F4086" s="12" t="n"/>
      <c r="G4086" s="11" t="n"/>
      <c r="H4086" s="11" t="n"/>
      <c r="I4086" s="16">
        <f>IF(D4086="","",IF(G4086&lt;&gt;"",G4086,IFERROR(INDEX('Sản phẩm'!$E$5:$E$304,MATCH(D4086,'Sản phẩm'!$A$5:$A$304,0)),"")))</f>
        <v/>
      </c>
      <c r="J4086" s="16">
        <f>IF(OR(D4086="",F4086=""),"",F4086*I4086-N(H4086))</f>
        <v/>
      </c>
      <c r="K4086" s="16">
        <f>IF(OR(D4086="",F4086=""),"",F4086*IFERROR(INDEX('Sản phẩm'!$D$5:$D$304,MATCH(D4086,'Sản phẩm'!$A$5:$A$304,0)),""))</f>
        <v/>
      </c>
      <c r="L4086" s="16">
        <f>IF(J4086="","",J4086-K4086)</f>
        <v/>
      </c>
      <c r="M4086" s="14">
        <f>IF(A4086="","",MONTH(A4086))</f>
        <v/>
      </c>
      <c r="N4086" s="14">
        <f>IF(A4086="","",YEAR(A4086))</f>
        <v/>
      </c>
    </row>
    <row r="4087">
      <c r="A4087" s="15" t="n"/>
      <c r="B4087" s="10" t="n"/>
      <c r="C4087" s="10" t="n"/>
      <c r="D4087" s="10" t="n"/>
      <c r="E4087" s="14">
        <f>IF(D4087="","",IFERROR(INDEX('Sản phẩm'!$B$5:$B$304,MATCH(D4087,'Sản phẩm'!$A$5:$A$304,0)),""))</f>
        <v/>
      </c>
      <c r="F4087" s="12" t="n"/>
      <c r="G4087" s="11" t="n"/>
      <c r="H4087" s="11" t="n"/>
      <c r="I4087" s="16">
        <f>IF(D4087="","",IF(G4087&lt;&gt;"",G4087,IFERROR(INDEX('Sản phẩm'!$E$5:$E$304,MATCH(D4087,'Sản phẩm'!$A$5:$A$304,0)),"")))</f>
        <v/>
      </c>
      <c r="J4087" s="16">
        <f>IF(OR(D4087="",F4087=""),"",F4087*I4087-N(H4087))</f>
        <v/>
      </c>
      <c r="K4087" s="16">
        <f>IF(OR(D4087="",F4087=""),"",F4087*IFERROR(INDEX('Sản phẩm'!$D$5:$D$304,MATCH(D4087,'Sản phẩm'!$A$5:$A$304,0)),""))</f>
        <v/>
      </c>
      <c r="L4087" s="16">
        <f>IF(J4087="","",J4087-K4087)</f>
        <v/>
      </c>
      <c r="M4087" s="14">
        <f>IF(A4087="","",MONTH(A4087))</f>
        <v/>
      </c>
      <c r="N4087" s="14">
        <f>IF(A4087="","",YEAR(A4087))</f>
        <v/>
      </c>
    </row>
    <row r="4088">
      <c r="A4088" s="15" t="n"/>
      <c r="B4088" s="10" t="n"/>
      <c r="C4088" s="10" t="n"/>
      <c r="D4088" s="10" t="n"/>
      <c r="E4088" s="14">
        <f>IF(D4088="","",IFERROR(INDEX('Sản phẩm'!$B$5:$B$304,MATCH(D4088,'Sản phẩm'!$A$5:$A$304,0)),""))</f>
        <v/>
      </c>
      <c r="F4088" s="12" t="n"/>
      <c r="G4088" s="11" t="n"/>
      <c r="H4088" s="11" t="n"/>
      <c r="I4088" s="16">
        <f>IF(D4088="","",IF(G4088&lt;&gt;"",G4088,IFERROR(INDEX('Sản phẩm'!$E$5:$E$304,MATCH(D4088,'Sản phẩm'!$A$5:$A$304,0)),"")))</f>
        <v/>
      </c>
      <c r="J4088" s="16">
        <f>IF(OR(D4088="",F4088=""),"",F4088*I4088-N(H4088))</f>
        <v/>
      </c>
      <c r="K4088" s="16">
        <f>IF(OR(D4088="",F4088=""),"",F4088*IFERROR(INDEX('Sản phẩm'!$D$5:$D$304,MATCH(D4088,'Sản phẩm'!$A$5:$A$304,0)),""))</f>
        <v/>
      </c>
      <c r="L4088" s="16">
        <f>IF(J4088="","",J4088-K4088)</f>
        <v/>
      </c>
      <c r="M4088" s="14">
        <f>IF(A4088="","",MONTH(A4088))</f>
        <v/>
      </c>
      <c r="N4088" s="14">
        <f>IF(A4088="","",YEAR(A4088))</f>
        <v/>
      </c>
    </row>
    <row r="4089">
      <c r="A4089" s="15" t="n"/>
      <c r="B4089" s="10" t="n"/>
      <c r="C4089" s="10" t="n"/>
      <c r="D4089" s="10" t="n"/>
      <c r="E4089" s="14">
        <f>IF(D4089="","",IFERROR(INDEX('Sản phẩm'!$B$5:$B$304,MATCH(D4089,'Sản phẩm'!$A$5:$A$304,0)),""))</f>
        <v/>
      </c>
      <c r="F4089" s="12" t="n"/>
      <c r="G4089" s="11" t="n"/>
      <c r="H4089" s="11" t="n"/>
      <c r="I4089" s="16">
        <f>IF(D4089="","",IF(G4089&lt;&gt;"",G4089,IFERROR(INDEX('Sản phẩm'!$E$5:$E$304,MATCH(D4089,'Sản phẩm'!$A$5:$A$304,0)),"")))</f>
        <v/>
      </c>
      <c r="J4089" s="16">
        <f>IF(OR(D4089="",F4089=""),"",F4089*I4089-N(H4089))</f>
        <v/>
      </c>
      <c r="K4089" s="16">
        <f>IF(OR(D4089="",F4089=""),"",F4089*IFERROR(INDEX('Sản phẩm'!$D$5:$D$304,MATCH(D4089,'Sản phẩm'!$A$5:$A$304,0)),""))</f>
        <v/>
      </c>
      <c r="L4089" s="16">
        <f>IF(J4089="","",J4089-K4089)</f>
        <v/>
      </c>
      <c r="M4089" s="14">
        <f>IF(A4089="","",MONTH(A4089))</f>
        <v/>
      </c>
      <c r="N4089" s="14">
        <f>IF(A4089="","",YEAR(A4089))</f>
        <v/>
      </c>
    </row>
    <row r="4090">
      <c r="A4090" s="15" t="n"/>
      <c r="B4090" s="10" t="n"/>
      <c r="C4090" s="10" t="n"/>
      <c r="D4090" s="10" t="n"/>
      <c r="E4090" s="14">
        <f>IF(D4090="","",IFERROR(INDEX('Sản phẩm'!$B$5:$B$304,MATCH(D4090,'Sản phẩm'!$A$5:$A$304,0)),""))</f>
        <v/>
      </c>
      <c r="F4090" s="12" t="n"/>
      <c r="G4090" s="11" t="n"/>
      <c r="H4090" s="11" t="n"/>
      <c r="I4090" s="16">
        <f>IF(D4090="","",IF(G4090&lt;&gt;"",G4090,IFERROR(INDEX('Sản phẩm'!$E$5:$E$304,MATCH(D4090,'Sản phẩm'!$A$5:$A$304,0)),"")))</f>
        <v/>
      </c>
      <c r="J4090" s="16">
        <f>IF(OR(D4090="",F4090=""),"",F4090*I4090-N(H4090))</f>
        <v/>
      </c>
      <c r="K4090" s="16">
        <f>IF(OR(D4090="",F4090=""),"",F4090*IFERROR(INDEX('Sản phẩm'!$D$5:$D$304,MATCH(D4090,'Sản phẩm'!$A$5:$A$304,0)),""))</f>
        <v/>
      </c>
      <c r="L4090" s="16">
        <f>IF(J4090="","",J4090-K4090)</f>
        <v/>
      </c>
      <c r="M4090" s="14">
        <f>IF(A4090="","",MONTH(A4090))</f>
        <v/>
      </c>
      <c r="N4090" s="14">
        <f>IF(A4090="","",YEAR(A4090))</f>
        <v/>
      </c>
    </row>
    <row r="4091">
      <c r="A4091" s="15" t="n"/>
      <c r="B4091" s="10" t="n"/>
      <c r="C4091" s="10" t="n"/>
      <c r="D4091" s="10" t="n"/>
      <c r="E4091" s="14">
        <f>IF(D4091="","",IFERROR(INDEX('Sản phẩm'!$B$5:$B$304,MATCH(D4091,'Sản phẩm'!$A$5:$A$304,0)),""))</f>
        <v/>
      </c>
      <c r="F4091" s="12" t="n"/>
      <c r="G4091" s="11" t="n"/>
      <c r="H4091" s="11" t="n"/>
      <c r="I4091" s="16">
        <f>IF(D4091="","",IF(G4091&lt;&gt;"",G4091,IFERROR(INDEX('Sản phẩm'!$E$5:$E$304,MATCH(D4091,'Sản phẩm'!$A$5:$A$304,0)),"")))</f>
        <v/>
      </c>
      <c r="J4091" s="16">
        <f>IF(OR(D4091="",F4091=""),"",F4091*I4091-N(H4091))</f>
        <v/>
      </c>
      <c r="K4091" s="16">
        <f>IF(OR(D4091="",F4091=""),"",F4091*IFERROR(INDEX('Sản phẩm'!$D$5:$D$304,MATCH(D4091,'Sản phẩm'!$A$5:$A$304,0)),""))</f>
        <v/>
      </c>
      <c r="L4091" s="16">
        <f>IF(J4091="","",J4091-K4091)</f>
        <v/>
      </c>
      <c r="M4091" s="14">
        <f>IF(A4091="","",MONTH(A4091))</f>
        <v/>
      </c>
      <c r="N4091" s="14">
        <f>IF(A4091="","",YEAR(A4091))</f>
        <v/>
      </c>
    </row>
    <row r="4092">
      <c r="A4092" s="15" t="n"/>
      <c r="B4092" s="10" t="n"/>
      <c r="C4092" s="10" t="n"/>
      <c r="D4092" s="10" t="n"/>
      <c r="E4092" s="14">
        <f>IF(D4092="","",IFERROR(INDEX('Sản phẩm'!$B$5:$B$304,MATCH(D4092,'Sản phẩm'!$A$5:$A$304,0)),""))</f>
        <v/>
      </c>
      <c r="F4092" s="12" t="n"/>
      <c r="G4092" s="11" t="n"/>
      <c r="H4092" s="11" t="n"/>
      <c r="I4092" s="16">
        <f>IF(D4092="","",IF(G4092&lt;&gt;"",G4092,IFERROR(INDEX('Sản phẩm'!$E$5:$E$304,MATCH(D4092,'Sản phẩm'!$A$5:$A$304,0)),"")))</f>
        <v/>
      </c>
      <c r="J4092" s="16">
        <f>IF(OR(D4092="",F4092=""),"",F4092*I4092-N(H4092))</f>
        <v/>
      </c>
      <c r="K4092" s="16">
        <f>IF(OR(D4092="",F4092=""),"",F4092*IFERROR(INDEX('Sản phẩm'!$D$5:$D$304,MATCH(D4092,'Sản phẩm'!$A$5:$A$304,0)),""))</f>
        <v/>
      </c>
      <c r="L4092" s="16">
        <f>IF(J4092="","",J4092-K4092)</f>
        <v/>
      </c>
      <c r="M4092" s="14">
        <f>IF(A4092="","",MONTH(A4092))</f>
        <v/>
      </c>
      <c r="N4092" s="14">
        <f>IF(A4092="","",YEAR(A4092))</f>
        <v/>
      </c>
    </row>
    <row r="4093">
      <c r="A4093" s="15" t="n"/>
      <c r="B4093" s="10" t="n"/>
      <c r="C4093" s="10" t="n"/>
      <c r="D4093" s="10" t="n"/>
      <c r="E4093" s="14">
        <f>IF(D4093="","",IFERROR(INDEX('Sản phẩm'!$B$5:$B$304,MATCH(D4093,'Sản phẩm'!$A$5:$A$304,0)),""))</f>
        <v/>
      </c>
      <c r="F4093" s="12" t="n"/>
      <c r="G4093" s="11" t="n"/>
      <c r="H4093" s="11" t="n"/>
      <c r="I4093" s="16">
        <f>IF(D4093="","",IF(G4093&lt;&gt;"",G4093,IFERROR(INDEX('Sản phẩm'!$E$5:$E$304,MATCH(D4093,'Sản phẩm'!$A$5:$A$304,0)),"")))</f>
        <v/>
      </c>
      <c r="J4093" s="16">
        <f>IF(OR(D4093="",F4093=""),"",F4093*I4093-N(H4093))</f>
        <v/>
      </c>
      <c r="K4093" s="16">
        <f>IF(OR(D4093="",F4093=""),"",F4093*IFERROR(INDEX('Sản phẩm'!$D$5:$D$304,MATCH(D4093,'Sản phẩm'!$A$5:$A$304,0)),""))</f>
        <v/>
      </c>
      <c r="L4093" s="16">
        <f>IF(J4093="","",J4093-K4093)</f>
        <v/>
      </c>
      <c r="M4093" s="14">
        <f>IF(A4093="","",MONTH(A4093))</f>
        <v/>
      </c>
      <c r="N4093" s="14">
        <f>IF(A4093="","",YEAR(A4093))</f>
        <v/>
      </c>
    </row>
    <row r="4094">
      <c r="A4094" s="15" t="n"/>
      <c r="B4094" s="10" t="n"/>
      <c r="C4094" s="10" t="n"/>
      <c r="D4094" s="10" t="n"/>
      <c r="E4094" s="14">
        <f>IF(D4094="","",IFERROR(INDEX('Sản phẩm'!$B$5:$B$304,MATCH(D4094,'Sản phẩm'!$A$5:$A$304,0)),""))</f>
        <v/>
      </c>
      <c r="F4094" s="12" t="n"/>
      <c r="G4094" s="11" t="n"/>
      <c r="H4094" s="11" t="n"/>
      <c r="I4094" s="16">
        <f>IF(D4094="","",IF(G4094&lt;&gt;"",G4094,IFERROR(INDEX('Sản phẩm'!$E$5:$E$304,MATCH(D4094,'Sản phẩm'!$A$5:$A$304,0)),"")))</f>
        <v/>
      </c>
      <c r="J4094" s="16">
        <f>IF(OR(D4094="",F4094=""),"",F4094*I4094-N(H4094))</f>
        <v/>
      </c>
      <c r="K4094" s="16">
        <f>IF(OR(D4094="",F4094=""),"",F4094*IFERROR(INDEX('Sản phẩm'!$D$5:$D$304,MATCH(D4094,'Sản phẩm'!$A$5:$A$304,0)),""))</f>
        <v/>
      </c>
      <c r="L4094" s="16">
        <f>IF(J4094="","",J4094-K4094)</f>
        <v/>
      </c>
      <c r="M4094" s="14">
        <f>IF(A4094="","",MONTH(A4094))</f>
        <v/>
      </c>
      <c r="N4094" s="14">
        <f>IF(A4094="","",YEAR(A4094))</f>
        <v/>
      </c>
    </row>
    <row r="4095">
      <c r="A4095" s="15" t="n"/>
      <c r="B4095" s="10" t="n"/>
      <c r="C4095" s="10" t="n"/>
      <c r="D4095" s="10" t="n"/>
      <c r="E4095" s="14">
        <f>IF(D4095="","",IFERROR(INDEX('Sản phẩm'!$B$5:$B$304,MATCH(D4095,'Sản phẩm'!$A$5:$A$304,0)),""))</f>
        <v/>
      </c>
      <c r="F4095" s="12" t="n"/>
      <c r="G4095" s="11" t="n"/>
      <c r="H4095" s="11" t="n"/>
      <c r="I4095" s="16">
        <f>IF(D4095="","",IF(G4095&lt;&gt;"",G4095,IFERROR(INDEX('Sản phẩm'!$E$5:$E$304,MATCH(D4095,'Sản phẩm'!$A$5:$A$304,0)),"")))</f>
        <v/>
      </c>
      <c r="J4095" s="16">
        <f>IF(OR(D4095="",F4095=""),"",F4095*I4095-N(H4095))</f>
        <v/>
      </c>
      <c r="K4095" s="16">
        <f>IF(OR(D4095="",F4095=""),"",F4095*IFERROR(INDEX('Sản phẩm'!$D$5:$D$304,MATCH(D4095,'Sản phẩm'!$A$5:$A$304,0)),""))</f>
        <v/>
      </c>
      <c r="L4095" s="16">
        <f>IF(J4095="","",J4095-K4095)</f>
        <v/>
      </c>
      <c r="M4095" s="14">
        <f>IF(A4095="","",MONTH(A4095))</f>
        <v/>
      </c>
      <c r="N4095" s="14">
        <f>IF(A4095="","",YEAR(A4095))</f>
        <v/>
      </c>
    </row>
    <row r="4096">
      <c r="A4096" s="15" t="n"/>
      <c r="B4096" s="10" t="n"/>
      <c r="C4096" s="10" t="n"/>
      <c r="D4096" s="10" t="n"/>
      <c r="E4096" s="14">
        <f>IF(D4096="","",IFERROR(INDEX('Sản phẩm'!$B$5:$B$304,MATCH(D4096,'Sản phẩm'!$A$5:$A$304,0)),""))</f>
        <v/>
      </c>
      <c r="F4096" s="12" t="n"/>
      <c r="G4096" s="11" t="n"/>
      <c r="H4096" s="11" t="n"/>
      <c r="I4096" s="16">
        <f>IF(D4096="","",IF(G4096&lt;&gt;"",G4096,IFERROR(INDEX('Sản phẩm'!$E$5:$E$304,MATCH(D4096,'Sản phẩm'!$A$5:$A$304,0)),"")))</f>
        <v/>
      </c>
      <c r="J4096" s="16">
        <f>IF(OR(D4096="",F4096=""),"",F4096*I4096-N(H4096))</f>
        <v/>
      </c>
      <c r="K4096" s="16">
        <f>IF(OR(D4096="",F4096=""),"",F4096*IFERROR(INDEX('Sản phẩm'!$D$5:$D$304,MATCH(D4096,'Sản phẩm'!$A$5:$A$304,0)),""))</f>
        <v/>
      </c>
      <c r="L4096" s="16">
        <f>IF(J4096="","",J4096-K4096)</f>
        <v/>
      </c>
      <c r="M4096" s="14">
        <f>IF(A4096="","",MONTH(A4096))</f>
        <v/>
      </c>
      <c r="N4096" s="14">
        <f>IF(A4096="","",YEAR(A4096))</f>
        <v/>
      </c>
    </row>
    <row r="4097">
      <c r="A4097" s="15" t="n"/>
      <c r="B4097" s="10" t="n"/>
      <c r="C4097" s="10" t="n"/>
      <c r="D4097" s="10" t="n"/>
      <c r="E4097" s="14">
        <f>IF(D4097="","",IFERROR(INDEX('Sản phẩm'!$B$5:$B$304,MATCH(D4097,'Sản phẩm'!$A$5:$A$304,0)),""))</f>
        <v/>
      </c>
      <c r="F4097" s="12" t="n"/>
      <c r="G4097" s="11" t="n"/>
      <c r="H4097" s="11" t="n"/>
      <c r="I4097" s="16">
        <f>IF(D4097="","",IF(G4097&lt;&gt;"",G4097,IFERROR(INDEX('Sản phẩm'!$E$5:$E$304,MATCH(D4097,'Sản phẩm'!$A$5:$A$304,0)),"")))</f>
        <v/>
      </c>
      <c r="J4097" s="16">
        <f>IF(OR(D4097="",F4097=""),"",F4097*I4097-N(H4097))</f>
        <v/>
      </c>
      <c r="K4097" s="16">
        <f>IF(OR(D4097="",F4097=""),"",F4097*IFERROR(INDEX('Sản phẩm'!$D$5:$D$304,MATCH(D4097,'Sản phẩm'!$A$5:$A$304,0)),""))</f>
        <v/>
      </c>
      <c r="L4097" s="16">
        <f>IF(J4097="","",J4097-K4097)</f>
        <v/>
      </c>
      <c r="M4097" s="14">
        <f>IF(A4097="","",MONTH(A4097))</f>
        <v/>
      </c>
      <c r="N4097" s="14">
        <f>IF(A4097="","",YEAR(A4097))</f>
        <v/>
      </c>
    </row>
    <row r="4098">
      <c r="A4098" s="15" t="n"/>
      <c r="B4098" s="10" t="n"/>
      <c r="C4098" s="10" t="n"/>
      <c r="D4098" s="10" t="n"/>
      <c r="E4098" s="14">
        <f>IF(D4098="","",IFERROR(INDEX('Sản phẩm'!$B$5:$B$304,MATCH(D4098,'Sản phẩm'!$A$5:$A$304,0)),""))</f>
        <v/>
      </c>
      <c r="F4098" s="12" t="n"/>
      <c r="G4098" s="11" t="n"/>
      <c r="H4098" s="11" t="n"/>
      <c r="I4098" s="16">
        <f>IF(D4098="","",IF(G4098&lt;&gt;"",G4098,IFERROR(INDEX('Sản phẩm'!$E$5:$E$304,MATCH(D4098,'Sản phẩm'!$A$5:$A$304,0)),"")))</f>
        <v/>
      </c>
      <c r="J4098" s="16">
        <f>IF(OR(D4098="",F4098=""),"",F4098*I4098-N(H4098))</f>
        <v/>
      </c>
      <c r="K4098" s="16">
        <f>IF(OR(D4098="",F4098=""),"",F4098*IFERROR(INDEX('Sản phẩm'!$D$5:$D$304,MATCH(D4098,'Sản phẩm'!$A$5:$A$304,0)),""))</f>
        <v/>
      </c>
      <c r="L4098" s="16">
        <f>IF(J4098="","",J4098-K4098)</f>
        <v/>
      </c>
      <c r="M4098" s="14">
        <f>IF(A4098="","",MONTH(A4098))</f>
        <v/>
      </c>
      <c r="N4098" s="14">
        <f>IF(A4098="","",YEAR(A4098))</f>
        <v/>
      </c>
    </row>
    <row r="4099">
      <c r="A4099" s="15" t="n"/>
      <c r="B4099" s="10" t="n"/>
      <c r="C4099" s="10" t="n"/>
      <c r="D4099" s="10" t="n"/>
      <c r="E4099" s="14">
        <f>IF(D4099="","",IFERROR(INDEX('Sản phẩm'!$B$5:$B$304,MATCH(D4099,'Sản phẩm'!$A$5:$A$304,0)),""))</f>
        <v/>
      </c>
      <c r="F4099" s="12" t="n"/>
      <c r="G4099" s="11" t="n"/>
      <c r="H4099" s="11" t="n"/>
      <c r="I4099" s="16">
        <f>IF(D4099="","",IF(G4099&lt;&gt;"",G4099,IFERROR(INDEX('Sản phẩm'!$E$5:$E$304,MATCH(D4099,'Sản phẩm'!$A$5:$A$304,0)),"")))</f>
        <v/>
      </c>
      <c r="J4099" s="16">
        <f>IF(OR(D4099="",F4099=""),"",F4099*I4099-N(H4099))</f>
        <v/>
      </c>
      <c r="K4099" s="16">
        <f>IF(OR(D4099="",F4099=""),"",F4099*IFERROR(INDEX('Sản phẩm'!$D$5:$D$304,MATCH(D4099,'Sản phẩm'!$A$5:$A$304,0)),""))</f>
        <v/>
      </c>
      <c r="L4099" s="16">
        <f>IF(J4099="","",J4099-K4099)</f>
        <v/>
      </c>
      <c r="M4099" s="14">
        <f>IF(A4099="","",MONTH(A4099))</f>
        <v/>
      </c>
      <c r="N4099" s="14">
        <f>IF(A4099="","",YEAR(A4099))</f>
        <v/>
      </c>
    </row>
    <row r="4100">
      <c r="A4100" s="15" t="n"/>
      <c r="B4100" s="10" t="n"/>
      <c r="C4100" s="10" t="n"/>
      <c r="D4100" s="10" t="n"/>
      <c r="E4100" s="14">
        <f>IF(D4100="","",IFERROR(INDEX('Sản phẩm'!$B$5:$B$304,MATCH(D4100,'Sản phẩm'!$A$5:$A$304,0)),""))</f>
        <v/>
      </c>
      <c r="F4100" s="12" t="n"/>
      <c r="G4100" s="11" t="n"/>
      <c r="H4100" s="11" t="n"/>
      <c r="I4100" s="16">
        <f>IF(D4100="","",IF(G4100&lt;&gt;"",G4100,IFERROR(INDEX('Sản phẩm'!$E$5:$E$304,MATCH(D4100,'Sản phẩm'!$A$5:$A$304,0)),"")))</f>
        <v/>
      </c>
      <c r="J4100" s="16">
        <f>IF(OR(D4100="",F4100=""),"",F4100*I4100-N(H4100))</f>
        <v/>
      </c>
      <c r="K4100" s="16">
        <f>IF(OR(D4100="",F4100=""),"",F4100*IFERROR(INDEX('Sản phẩm'!$D$5:$D$304,MATCH(D4100,'Sản phẩm'!$A$5:$A$304,0)),""))</f>
        <v/>
      </c>
      <c r="L4100" s="16">
        <f>IF(J4100="","",J4100-K4100)</f>
        <v/>
      </c>
      <c r="M4100" s="14">
        <f>IF(A4100="","",MONTH(A4100))</f>
        <v/>
      </c>
      <c r="N4100" s="14">
        <f>IF(A4100="","",YEAR(A4100))</f>
        <v/>
      </c>
    </row>
    <row r="4101">
      <c r="A4101" s="15" t="n"/>
      <c r="B4101" s="10" t="n"/>
      <c r="C4101" s="10" t="n"/>
      <c r="D4101" s="10" t="n"/>
      <c r="E4101" s="14">
        <f>IF(D4101="","",IFERROR(INDEX('Sản phẩm'!$B$5:$B$304,MATCH(D4101,'Sản phẩm'!$A$5:$A$304,0)),""))</f>
        <v/>
      </c>
      <c r="F4101" s="12" t="n"/>
      <c r="G4101" s="11" t="n"/>
      <c r="H4101" s="11" t="n"/>
      <c r="I4101" s="16">
        <f>IF(D4101="","",IF(G4101&lt;&gt;"",G4101,IFERROR(INDEX('Sản phẩm'!$E$5:$E$304,MATCH(D4101,'Sản phẩm'!$A$5:$A$304,0)),"")))</f>
        <v/>
      </c>
      <c r="J4101" s="16">
        <f>IF(OR(D4101="",F4101=""),"",F4101*I4101-N(H4101))</f>
        <v/>
      </c>
      <c r="K4101" s="16">
        <f>IF(OR(D4101="",F4101=""),"",F4101*IFERROR(INDEX('Sản phẩm'!$D$5:$D$304,MATCH(D4101,'Sản phẩm'!$A$5:$A$304,0)),""))</f>
        <v/>
      </c>
      <c r="L4101" s="16">
        <f>IF(J4101="","",J4101-K4101)</f>
        <v/>
      </c>
      <c r="M4101" s="14">
        <f>IF(A4101="","",MONTH(A4101))</f>
        <v/>
      </c>
      <c r="N4101" s="14">
        <f>IF(A4101="","",YEAR(A4101))</f>
        <v/>
      </c>
    </row>
    <row r="4102">
      <c r="A4102" s="15" t="n"/>
      <c r="B4102" s="10" t="n"/>
      <c r="C4102" s="10" t="n"/>
      <c r="D4102" s="10" t="n"/>
      <c r="E4102" s="14">
        <f>IF(D4102="","",IFERROR(INDEX('Sản phẩm'!$B$5:$B$304,MATCH(D4102,'Sản phẩm'!$A$5:$A$304,0)),""))</f>
        <v/>
      </c>
      <c r="F4102" s="12" t="n"/>
      <c r="G4102" s="11" t="n"/>
      <c r="H4102" s="11" t="n"/>
      <c r="I4102" s="16">
        <f>IF(D4102="","",IF(G4102&lt;&gt;"",G4102,IFERROR(INDEX('Sản phẩm'!$E$5:$E$304,MATCH(D4102,'Sản phẩm'!$A$5:$A$304,0)),"")))</f>
        <v/>
      </c>
      <c r="J4102" s="16">
        <f>IF(OR(D4102="",F4102=""),"",F4102*I4102-N(H4102))</f>
        <v/>
      </c>
      <c r="K4102" s="16">
        <f>IF(OR(D4102="",F4102=""),"",F4102*IFERROR(INDEX('Sản phẩm'!$D$5:$D$304,MATCH(D4102,'Sản phẩm'!$A$5:$A$304,0)),""))</f>
        <v/>
      </c>
      <c r="L4102" s="16">
        <f>IF(J4102="","",J4102-K4102)</f>
        <v/>
      </c>
      <c r="M4102" s="14">
        <f>IF(A4102="","",MONTH(A4102))</f>
        <v/>
      </c>
      <c r="N4102" s="14">
        <f>IF(A4102="","",YEAR(A4102))</f>
        <v/>
      </c>
    </row>
    <row r="4103">
      <c r="A4103" s="15" t="n"/>
      <c r="B4103" s="10" t="n"/>
      <c r="C4103" s="10" t="n"/>
      <c r="D4103" s="10" t="n"/>
      <c r="E4103" s="14">
        <f>IF(D4103="","",IFERROR(INDEX('Sản phẩm'!$B$5:$B$304,MATCH(D4103,'Sản phẩm'!$A$5:$A$304,0)),""))</f>
        <v/>
      </c>
      <c r="F4103" s="12" t="n"/>
      <c r="G4103" s="11" t="n"/>
      <c r="H4103" s="11" t="n"/>
      <c r="I4103" s="16">
        <f>IF(D4103="","",IF(G4103&lt;&gt;"",G4103,IFERROR(INDEX('Sản phẩm'!$E$5:$E$304,MATCH(D4103,'Sản phẩm'!$A$5:$A$304,0)),"")))</f>
        <v/>
      </c>
      <c r="J4103" s="16">
        <f>IF(OR(D4103="",F4103=""),"",F4103*I4103-N(H4103))</f>
        <v/>
      </c>
      <c r="K4103" s="16">
        <f>IF(OR(D4103="",F4103=""),"",F4103*IFERROR(INDEX('Sản phẩm'!$D$5:$D$304,MATCH(D4103,'Sản phẩm'!$A$5:$A$304,0)),""))</f>
        <v/>
      </c>
      <c r="L4103" s="16">
        <f>IF(J4103="","",J4103-K4103)</f>
        <v/>
      </c>
      <c r="M4103" s="14">
        <f>IF(A4103="","",MONTH(A4103))</f>
        <v/>
      </c>
      <c r="N4103" s="14">
        <f>IF(A4103="","",YEAR(A4103))</f>
        <v/>
      </c>
    </row>
    <row r="4104">
      <c r="A4104" s="15" t="n"/>
      <c r="B4104" s="10" t="n"/>
      <c r="C4104" s="10" t="n"/>
      <c r="D4104" s="10" t="n"/>
      <c r="E4104" s="14">
        <f>IF(D4104="","",IFERROR(INDEX('Sản phẩm'!$B$5:$B$304,MATCH(D4104,'Sản phẩm'!$A$5:$A$304,0)),""))</f>
        <v/>
      </c>
      <c r="F4104" s="12" t="n"/>
      <c r="G4104" s="11" t="n"/>
      <c r="H4104" s="11" t="n"/>
      <c r="I4104" s="16">
        <f>IF(D4104="","",IF(G4104&lt;&gt;"",G4104,IFERROR(INDEX('Sản phẩm'!$E$5:$E$304,MATCH(D4104,'Sản phẩm'!$A$5:$A$304,0)),"")))</f>
        <v/>
      </c>
      <c r="J4104" s="16">
        <f>IF(OR(D4104="",F4104=""),"",F4104*I4104-N(H4104))</f>
        <v/>
      </c>
      <c r="K4104" s="16">
        <f>IF(OR(D4104="",F4104=""),"",F4104*IFERROR(INDEX('Sản phẩm'!$D$5:$D$304,MATCH(D4104,'Sản phẩm'!$A$5:$A$304,0)),""))</f>
        <v/>
      </c>
      <c r="L4104" s="16">
        <f>IF(J4104="","",J4104-K4104)</f>
        <v/>
      </c>
      <c r="M4104" s="14">
        <f>IF(A4104="","",MONTH(A4104))</f>
        <v/>
      </c>
      <c r="N4104" s="14">
        <f>IF(A4104="","",YEAR(A4104))</f>
        <v/>
      </c>
    </row>
    <row r="4105">
      <c r="A4105" s="15" t="n"/>
      <c r="B4105" s="10" t="n"/>
      <c r="C4105" s="10" t="n"/>
      <c r="D4105" s="10" t="n"/>
      <c r="E4105" s="14">
        <f>IF(D4105="","",IFERROR(INDEX('Sản phẩm'!$B$5:$B$304,MATCH(D4105,'Sản phẩm'!$A$5:$A$304,0)),""))</f>
        <v/>
      </c>
      <c r="F4105" s="12" t="n"/>
      <c r="G4105" s="11" t="n"/>
      <c r="H4105" s="11" t="n"/>
      <c r="I4105" s="16">
        <f>IF(D4105="","",IF(G4105&lt;&gt;"",G4105,IFERROR(INDEX('Sản phẩm'!$E$5:$E$304,MATCH(D4105,'Sản phẩm'!$A$5:$A$304,0)),"")))</f>
        <v/>
      </c>
      <c r="J4105" s="16">
        <f>IF(OR(D4105="",F4105=""),"",F4105*I4105-N(H4105))</f>
        <v/>
      </c>
      <c r="K4105" s="16">
        <f>IF(OR(D4105="",F4105=""),"",F4105*IFERROR(INDEX('Sản phẩm'!$D$5:$D$304,MATCH(D4105,'Sản phẩm'!$A$5:$A$304,0)),""))</f>
        <v/>
      </c>
      <c r="L4105" s="16">
        <f>IF(J4105="","",J4105-K4105)</f>
        <v/>
      </c>
      <c r="M4105" s="14">
        <f>IF(A4105="","",MONTH(A4105))</f>
        <v/>
      </c>
      <c r="N4105" s="14">
        <f>IF(A4105="","",YEAR(A4105))</f>
        <v/>
      </c>
    </row>
    <row r="4106">
      <c r="A4106" s="15" t="n"/>
      <c r="B4106" s="10" t="n"/>
      <c r="C4106" s="10" t="n"/>
      <c r="D4106" s="10" t="n"/>
      <c r="E4106" s="14">
        <f>IF(D4106="","",IFERROR(INDEX('Sản phẩm'!$B$5:$B$304,MATCH(D4106,'Sản phẩm'!$A$5:$A$304,0)),""))</f>
        <v/>
      </c>
      <c r="F4106" s="12" t="n"/>
      <c r="G4106" s="11" t="n"/>
      <c r="H4106" s="11" t="n"/>
      <c r="I4106" s="16">
        <f>IF(D4106="","",IF(G4106&lt;&gt;"",G4106,IFERROR(INDEX('Sản phẩm'!$E$5:$E$304,MATCH(D4106,'Sản phẩm'!$A$5:$A$304,0)),"")))</f>
        <v/>
      </c>
      <c r="J4106" s="16">
        <f>IF(OR(D4106="",F4106=""),"",F4106*I4106-N(H4106))</f>
        <v/>
      </c>
      <c r="K4106" s="16">
        <f>IF(OR(D4106="",F4106=""),"",F4106*IFERROR(INDEX('Sản phẩm'!$D$5:$D$304,MATCH(D4106,'Sản phẩm'!$A$5:$A$304,0)),""))</f>
        <v/>
      </c>
      <c r="L4106" s="16">
        <f>IF(J4106="","",J4106-K4106)</f>
        <v/>
      </c>
      <c r="M4106" s="14">
        <f>IF(A4106="","",MONTH(A4106))</f>
        <v/>
      </c>
      <c r="N4106" s="14">
        <f>IF(A4106="","",YEAR(A4106))</f>
        <v/>
      </c>
    </row>
    <row r="4107">
      <c r="A4107" s="15" t="n"/>
      <c r="B4107" s="10" t="n"/>
      <c r="C4107" s="10" t="n"/>
      <c r="D4107" s="10" t="n"/>
      <c r="E4107" s="14">
        <f>IF(D4107="","",IFERROR(INDEX('Sản phẩm'!$B$5:$B$304,MATCH(D4107,'Sản phẩm'!$A$5:$A$304,0)),""))</f>
        <v/>
      </c>
      <c r="F4107" s="12" t="n"/>
      <c r="G4107" s="11" t="n"/>
      <c r="H4107" s="11" t="n"/>
      <c r="I4107" s="16">
        <f>IF(D4107="","",IF(G4107&lt;&gt;"",G4107,IFERROR(INDEX('Sản phẩm'!$E$5:$E$304,MATCH(D4107,'Sản phẩm'!$A$5:$A$304,0)),"")))</f>
        <v/>
      </c>
      <c r="J4107" s="16">
        <f>IF(OR(D4107="",F4107=""),"",F4107*I4107-N(H4107))</f>
        <v/>
      </c>
      <c r="K4107" s="16">
        <f>IF(OR(D4107="",F4107=""),"",F4107*IFERROR(INDEX('Sản phẩm'!$D$5:$D$304,MATCH(D4107,'Sản phẩm'!$A$5:$A$304,0)),""))</f>
        <v/>
      </c>
      <c r="L4107" s="16">
        <f>IF(J4107="","",J4107-K4107)</f>
        <v/>
      </c>
      <c r="M4107" s="14">
        <f>IF(A4107="","",MONTH(A4107))</f>
        <v/>
      </c>
      <c r="N4107" s="14">
        <f>IF(A4107="","",YEAR(A4107))</f>
        <v/>
      </c>
    </row>
    <row r="4108">
      <c r="A4108" s="15" t="n"/>
      <c r="B4108" s="10" t="n"/>
      <c r="C4108" s="10" t="n"/>
      <c r="D4108" s="10" t="n"/>
      <c r="E4108" s="14">
        <f>IF(D4108="","",IFERROR(INDEX('Sản phẩm'!$B$5:$B$304,MATCH(D4108,'Sản phẩm'!$A$5:$A$304,0)),""))</f>
        <v/>
      </c>
      <c r="F4108" s="12" t="n"/>
      <c r="G4108" s="11" t="n"/>
      <c r="H4108" s="11" t="n"/>
      <c r="I4108" s="16">
        <f>IF(D4108="","",IF(G4108&lt;&gt;"",G4108,IFERROR(INDEX('Sản phẩm'!$E$5:$E$304,MATCH(D4108,'Sản phẩm'!$A$5:$A$304,0)),"")))</f>
        <v/>
      </c>
      <c r="J4108" s="16">
        <f>IF(OR(D4108="",F4108=""),"",F4108*I4108-N(H4108))</f>
        <v/>
      </c>
      <c r="K4108" s="16">
        <f>IF(OR(D4108="",F4108=""),"",F4108*IFERROR(INDEX('Sản phẩm'!$D$5:$D$304,MATCH(D4108,'Sản phẩm'!$A$5:$A$304,0)),""))</f>
        <v/>
      </c>
      <c r="L4108" s="16">
        <f>IF(J4108="","",J4108-K4108)</f>
        <v/>
      </c>
      <c r="M4108" s="14">
        <f>IF(A4108="","",MONTH(A4108))</f>
        <v/>
      </c>
      <c r="N4108" s="14">
        <f>IF(A4108="","",YEAR(A4108))</f>
        <v/>
      </c>
    </row>
    <row r="4109">
      <c r="A4109" s="15" t="n"/>
      <c r="B4109" s="10" t="n"/>
      <c r="C4109" s="10" t="n"/>
      <c r="D4109" s="10" t="n"/>
      <c r="E4109" s="14">
        <f>IF(D4109="","",IFERROR(INDEX('Sản phẩm'!$B$5:$B$304,MATCH(D4109,'Sản phẩm'!$A$5:$A$304,0)),""))</f>
        <v/>
      </c>
      <c r="F4109" s="12" t="n"/>
      <c r="G4109" s="11" t="n"/>
      <c r="H4109" s="11" t="n"/>
      <c r="I4109" s="16">
        <f>IF(D4109="","",IF(G4109&lt;&gt;"",G4109,IFERROR(INDEX('Sản phẩm'!$E$5:$E$304,MATCH(D4109,'Sản phẩm'!$A$5:$A$304,0)),"")))</f>
        <v/>
      </c>
      <c r="J4109" s="16">
        <f>IF(OR(D4109="",F4109=""),"",F4109*I4109-N(H4109))</f>
        <v/>
      </c>
      <c r="K4109" s="16">
        <f>IF(OR(D4109="",F4109=""),"",F4109*IFERROR(INDEX('Sản phẩm'!$D$5:$D$304,MATCH(D4109,'Sản phẩm'!$A$5:$A$304,0)),""))</f>
        <v/>
      </c>
      <c r="L4109" s="16">
        <f>IF(J4109="","",J4109-K4109)</f>
        <v/>
      </c>
      <c r="M4109" s="14">
        <f>IF(A4109="","",MONTH(A4109))</f>
        <v/>
      </c>
      <c r="N4109" s="14">
        <f>IF(A4109="","",YEAR(A4109))</f>
        <v/>
      </c>
    </row>
    <row r="4110">
      <c r="A4110" s="15" t="n"/>
      <c r="B4110" s="10" t="n"/>
      <c r="C4110" s="10" t="n"/>
      <c r="D4110" s="10" t="n"/>
      <c r="E4110" s="14">
        <f>IF(D4110="","",IFERROR(INDEX('Sản phẩm'!$B$5:$B$304,MATCH(D4110,'Sản phẩm'!$A$5:$A$304,0)),""))</f>
        <v/>
      </c>
      <c r="F4110" s="12" t="n"/>
      <c r="G4110" s="11" t="n"/>
      <c r="H4110" s="11" t="n"/>
      <c r="I4110" s="16">
        <f>IF(D4110="","",IF(G4110&lt;&gt;"",G4110,IFERROR(INDEX('Sản phẩm'!$E$5:$E$304,MATCH(D4110,'Sản phẩm'!$A$5:$A$304,0)),"")))</f>
        <v/>
      </c>
      <c r="J4110" s="16">
        <f>IF(OR(D4110="",F4110=""),"",F4110*I4110-N(H4110))</f>
        <v/>
      </c>
      <c r="K4110" s="16">
        <f>IF(OR(D4110="",F4110=""),"",F4110*IFERROR(INDEX('Sản phẩm'!$D$5:$D$304,MATCH(D4110,'Sản phẩm'!$A$5:$A$304,0)),""))</f>
        <v/>
      </c>
      <c r="L4110" s="16">
        <f>IF(J4110="","",J4110-K4110)</f>
        <v/>
      </c>
      <c r="M4110" s="14">
        <f>IF(A4110="","",MONTH(A4110))</f>
        <v/>
      </c>
      <c r="N4110" s="14">
        <f>IF(A4110="","",YEAR(A4110))</f>
        <v/>
      </c>
    </row>
    <row r="4111">
      <c r="A4111" s="15" t="n"/>
      <c r="B4111" s="10" t="n"/>
      <c r="C4111" s="10" t="n"/>
      <c r="D4111" s="10" t="n"/>
      <c r="E4111" s="14">
        <f>IF(D4111="","",IFERROR(INDEX('Sản phẩm'!$B$5:$B$304,MATCH(D4111,'Sản phẩm'!$A$5:$A$304,0)),""))</f>
        <v/>
      </c>
      <c r="F4111" s="12" t="n"/>
      <c r="G4111" s="11" t="n"/>
      <c r="H4111" s="11" t="n"/>
      <c r="I4111" s="16">
        <f>IF(D4111="","",IF(G4111&lt;&gt;"",G4111,IFERROR(INDEX('Sản phẩm'!$E$5:$E$304,MATCH(D4111,'Sản phẩm'!$A$5:$A$304,0)),"")))</f>
        <v/>
      </c>
      <c r="J4111" s="16">
        <f>IF(OR(D4111="",F4111=""),"",F4111*I4111-N(H4111))</f>
        <v/>
      </c>
      <c r="K4111" s="16">
        <f>IF(OR(D4111="",F4111=""),"",F4111*IFERROR(INDEX('Sản phẩm'!$D$5:$D$304,MATCH(D4111,'Sản phẩm'!$A$5:$A$304,0)),""))</f>
        <v/>
      </c>
      <c r="L4111" s="16">
        <f>IF(J4111="","",J4111-K4111)</f>
        <v/>
      </c>
      <c r="M4111" s="14">
        <f>IF(A4111="","",MONTH(A4111))</f>
        <v/>
      </c>
      <c r="N4111" s="14">
        <f>IF(A4111="","",YEAR(A4111))</f>
        <v/>
      </c>
    </row>
    <row r="4112">
      <c r="A4112" s="15" t="n"/>
      <c r="B4112" s="10" t="n"/>
      <c r="C4112" s="10" t="n"/>
      <c r="D4112" s="10" t="n"/>
      <c r="E4112" s="14">
        <f>IF(D4112="","",IFERROR(INDEX('Sản phẩm'!$B$5:$B$304,MATCH(D4112,'Sản phẩm'!$A$5:$A$304,0)),""))</f>
        <v/>
      </c>
      <c r="F4112" s="12" t="n"/>
      <c r="G4112" s="11" t="n"/>
      <c r="H4112" s="11" t="n"/>
      <c r="I4112" s="16">
        <f>IF(D4112="","",IF(G4112&lt;&gt;"",G4112,IFERROR(INDEX('Sản phẩm'!$E$5:$E$304,MATCH(D4112,'Sản phẩm'!$A$5:$A$304,0)),"")))</f>
        <v/>
      </c>
      <c r="J4112" s="16">
        <f>IF(OR(D4112="",F4112=""),"",F4112*I4112-N(H4112))</f>
        <v/>
      </c>
      <c r="K4112" s="16">
        <f>IF(OR(D4112="",F4112=""),"",F4112*IFERROR(INDEX('Sản phẩm'!$D$5:$D$304,MATCH(D4112,'Sản phẩm'!$A$5:$A$304,0)),""))</f>
        <v/>
      </c>
      <c r="L4112" s="16">
        <f>IF(J4112="","",J4112-K4112)</f>
        <v/>
      </c>
      <c r="M4112" s="14">
        <f>IF(A4112="","",MONTH(A4112))</f>
        <v/>
      </c>
      <c r="N4112" s="14">
        <f>IF(A4112="","",YEAR(A4112))</f>
        <v/>
      </c>
    </row>
    <row r="4113">
      <c r="A4113" s="15" t="n"/>
      <c r="B4113" s="10" t="n"/>
      <c r="C4113" s="10" t="n"/>
      <c r="D4113" s="10" t="n"/>
      <c r="E4113" s="14">
        <f>IF(D4113="","",IFERROR(INDEX('Sản phẩm'!$B$5:$B$304,MATCH(D4113,'Sản phẩm'!$A$5:$A$304,0)),""))</f>
        <v/>
      </c>
      <c r="F4113" s="12" t="n"/>
      <c r="G4113" s="11" t="n"/>
      <c r="H4113" s="11" t="n"/>
      <c r="I4113" s="16">
        <f>IF(D4113="","",IF(G4113&lt;&gt;"",G4113,IFERROR(INDEX('Sản phẩm'!$E$5:$E$304,MATCH(D4113,'Sản phẩm'!$A$5:$A$304,0)),"")))</f>
        <v/>
      </c>
      <c r="J4113" s="16">
        <f>IF(OR(D4113="",F4113=""),"",F4113*I4113-N(H4113))</f>
        <v/>
      </c>
      <c r="K4113" s="16">
        <f>IF(OR(D4113="",F4113=""),"",F4113*IFERROR(INDEX('Sản phẩm'!$D$5:$D$304,MATCH(D4113,'Sản phẩm'!$A$5:$A$304,0)),""))</f>
        <v/>
      </c>
      <c r="L4113" s="16">
        <f>IF(J4113="","",J4113-K4113)</f>
        <v/>
      </c>
      <c r="M4113" s="14">
        <f>IF(A4113="","",MONTH(A4113))</f>
        <v/>
      </c>
      <c r="N4113" s="14">
        <f>IF(A4113="","",YEAR(A4113))</f>
        <v/>
      </c>
    </row>
    <row r="4114">
      <c r="A4114" s="15" t="n"/>
      <c r="B4114" s="10" t="n"/>
      <c r="C4114" s="10" t="n"/>
      <c r="D4114" s="10" t="n"/>
      <c r="E4114" s="14">
        <f>IF(D4114="","",IFERROR(INDEX('Sản phẩm'!$B$5:$B$304,MATCH(D4114,'Sản phẩm'!$A$5:$A$304,0)),""))</f>
        <v/>
      </c>
      <c r="F4114" s="12" t="n"/>
      <c r="G4114" s="11" t="n"/>
      <c r="H4114" s="11" t="n"/>
      <c r="I4114" s="16">
        <f>IF(D4114="","",IF(G4114&lt;&gt;"",G4114,IFERROR(INDEX('Sản phẩm'!$E$5:$E$304,MATCH(D4114,'Sản phẩm'!$A$5:$A$304,0)),"")))</f>
        <v/>
      </c>
      <c r="J4114" s="16">
        <f>IF(OR(D4114="",F4114=""),"",F4114*I4114-N(H4114))</f>
        <v/>
      </c>
      <c r="K4114" s="16">
        <f>IF(OR(D4114="",F4114=""),"",F4114*IFERROR(INDEX('Sản phẩm'!$D$5:$D$304,MATCH(D4114,'Sản phẩm'!$A$5:$A$304,0)),""))</f>
        <v/>
      </c>
      <c r="L4114" s="16">
        <f>IF(J4114="","",J4114-K4114)</f>
        <v/>
      </c>
      <c r="M4114" s="14">
        <f>IF(A4114="","",MONTH(A4114))</f>
        <v/>
      </c>
      <c r="N4114" s="14">
        <f>IF(A4114="","",YEAR(A4114))</f>
        <v/>
      </c>
    </row>
    <row r="4115">
      <c r="A4115" s="15" t="n"/>
      <c r="B4115" s="10" t="n"/>
      <c r="C4115" s="10" t="n"/>
      <c r="D4115" s="10" t="n"/>
      <c r="E4115" s="14">
        <f>IF(D4115="","",IFERROR(INDEX('Sản phẩm'!$B$5:$B$304,MATCH(D4115,'Sản phẩm'!$A$5:$A$304,0)),""))</f>
        <v/>
      </c>
      <c r="F4115" s="12" t="n"/>
      <c r="G4115" s="11" t="n"/>
      <c r="H4115" s="11" t="n"/>
      <c r="I4115" s="16">
        <f>IF(D4115="","",IF(G4115&lt;&gt;"",G4115,IFERROR(INDEX('Sản phẩm'!$E$5:$E$304,MATCH(D4115,'Sản phẩm'!$A$5:$A$304,0)),"")))</f>
        <v/>
      </c>
      <c r="J4115" s="16">
        <f>IF(OR(D4115="",F4115=""),"",F4115*I4115-N(H4115))</f>
        <v/>
      </c>
      <c r="K4115" s="16">
        <f>IF(OR(D4115="",F4115=""),"",F4115*IFERROR(INDEX('Sản phẩm'!$D$5:$D$304,MATCH(D4115,'Sản phẩm'!$A$5:$A$304,0)),""))</f>
        <v/>
      </c>
      <c r="L4115" s="16">
        <f>IF(J4115="","",J4115-K4115)</f>
        <v/>
      </c>
      <c r="M4115" s="14">
        <f>IF(A4115="","",MONTH(A4115))</f>
        <v/>
      </c>
      <c r="N4115" s="14">
        <f>IF(A4115="","",YEAR(A4115))</f>
        <v/>
      </c>
    </row>
    <row r="4116">
      <c r="A4116" s="15" t="n"/>
      <c r="B4116" s="10" t="n"/>
      <c r="C4116" s="10" t="n"/>
      <c r="D4116" s="10" t="n"/>
      <c r="E4116" s="14">
        <f>IF(D4116="","",IFERROR(INDEX('Sản phẩm'!$B$5:$B$304,MATCH(D4116,'Sản phẩm'!$A$5:$A$304,0)),""))</f>
        <v/>
      </c>
      <c r="F4116" s="12" t="n"/>
      <c r="G4116" s="11" t="n"/>
      <c r="H4116" s="11" t="n"/>
      <c r="I4116" s="16">
        <f>IF(D4116="","",IF(G4116&lt;&gt;"",G4116,IFERROR(INDEX('Sản phẩm'!$E$5:$E$304,MATCH(D4116,'Sản phẩm'!$A$5:$A$304,0)),"")))</f>
        <v/>
      </c>
      <c r="J4116" s="16">
        <f>IF(OR(D4116="",F4116=""),"",F4116*I4116-N(H4116))</f>
        <v/>
      </c>
      <c r="K4116" s="16">
        <f>IF(OR(D4116="",F4116=""),"",F4116*IFERROR(INDEX('Sản phẩm'!$D$5:$D$304,MATCH(D4116,'Sản phẩm'!$A$5:$A$304,0)),""))</f>
        <v/>
      </c>
      <c r="L4116" s="16">
        <f>IF(J4116="","",J4116-K4116)</f>
        <v/>
      </c>
      <c r="M4116" s="14">
        <f>IF(A4116="","",MONTH(A4116))</f>
        <v/>
      </c>
      <c r="N4116" s="14">
        <f>IF(A4116="","",YEAR(A4116))</f>
        <v/>
      </c>
    </row>
    <row r="4117">
      <c r="A4117" s="15" t="n"/>
      <c r="B4117" s="10" t="n"/>
      <c r="C4117" s="10" t="n"/>
      <c r="D4117" s="10" t="n"/>
      <c r="E4117" s="14">
        <f>IF(D4117="","",IFERROR(INDEX('Sản phẩm'!$B$5:$B$304,MATCH(D4117,'Sản phẩm'!$A$5:$A$304,0)),""))</f>
        <v/>
      </c>
      <c r="F4117" s="12" t="n"/>
      <c r="G4117" s="11" t="n"/>
      <c r="H4117" s="11" t="n"/>
      <c r="I4117" s="16">
        <f>IF(D4117="","",IF(G4117&lt;&gt;"",G4117,IFERROR(INDEX('Sản phẩm'!$E$5:$E$304,MATCH(D4117,'Sản phẩm'!$A$5:$A$304,0)),"")))</f>
        <v/>
      </c>
      <c r="J4117" s="16">
        <f>IF(OR(D4117="",F4117=""),"",F4117*I4117-N(H4117))</f>
        <v/>
      </c>
      <c r="K4117" s="16">
        <f>IF(OR(D4117="",F4117=""),"",F4117*IFERROR(INDEX('Sản phẩm'!$D$5:$D$304,MATCH(D4117,'Sản phẩm'!$A$5:$A$304,0)),""))</f>
        <v/>
      </c>
      <c r="L4117" s="16">
        <f>IF(J4117="","",J4117-K4117)</f>
        <v/>
      </c>
      <c r="M4117" s="14">
        <f>IF(A4117="","",MONTH(A4117))</f>
        <v/>
      </c>
      <c r="N4117" s="14">
        <f>IF(A4117="","",YEAR(A4117))</f>
        <v/>
      </c>
    </row>
    <row r="4118">
      <c r="A4118" s="15" t="n"/>
      <c r="B4118" s="10" t="n"/>
      <c r="C4118" s="10" t="n"/>
      <c r="D4118" s="10" t="n"/>
      <c r="E4118" s="14">
        <f>IF(D4118="","",IFERROR(INDEX('Sản phẩm'!$B$5:$B$304,MATCH(D4118,'Sản phẩm'!$A$5:$A$304,0)),""))</f>
        <v/>
      </c>
      <c r="F4118" s="12" t="n"/>
      <c r="G4118" s="11" t="n"/>
      <c r="H4118" s="11" t="n"/>
      <c r="I4118" s="16">
        <f>IF(D4118="","",IF(G4118&lt;&gt;"",G4118,IFERROR(INDEX('Sản phẩm'!$E$5:$E$304,MATCH(D4118,'Sản phẩm'!$A$5:$A$304,0)),"")))</f>
        <v/>
      </c>
      <c r="J4118" s="16">
        <f>IF(OR(D4118="",F4118=""),"",F4118*I4118-N(H4118))</f>
        <v/>
      </c>
      <c r="K4118" s="16">
        <f>IF(OR(D4118="",F4118=""),"",F4118*IFERROR(INDEX('Sản phẩm'!$D$5:$D$304,MATCH(D4118,'Sản phẩm'!$A$5:$A$304,0)),""))</f>
        <v/>
      </c>
      <c r="L4118" s="16">
        <f>IF(J4118="","",J4118-K4118)</f>
        <v/>
      </c>
      <c r="M4118" s="14">
        <f>IF(A4118="","",MONTH(A4118))</f>
        <v/>
      </c>
      <c r="N4118" s="14">
        <f>IF(A4118="","",YEAR(A4118))</f>
        <v/>
      </c>
    </row>
    <row r="4119">
      <c r="A4119" s="15" t="n"/>
      <c r="B4119" s="10" t="n"/>
      <c r="C4119" s="10" t="n"/>
      <c r="D4119" s="10" t="n"/>
      <c r="E4119" s="14">
        <f>IF(D4119="","",IFERROR(INDEX('Sản phẩm'!$B$5:$B$304,MATCH(D4119,'Sản phẩm'!$A$5:$A$304,0)),""))</f>
        <v/>
      </c>
      <c r="F4119" s="12" t="n"/>
      <c r="G4119" s="11" t="n"/>
      <c r="H4119" s="11" t="n"/>
      <c r="I4119" s="16">
        <f>IF(D4119="","",IF(G4119&lt;&gt;"",G4119,IFERROR(INDEX('Sản phẩm'!$E$5:$E$304,MATCH(D4119,'Sản phẩm'!$A$5:$A$304,0)),"")))</f>
        <v/>
      </c>
      <c r="J4119" s="16">
        <f>IF(OR(D4119="",F4119=""),"",F4119*I4119-N(H4119))</f>
        <v/>
      </c>
      <c r="K4119" s="16">
        <f>IF(OR(D4119="",F4119=""),"",F4119*IFERROR(INDEX('Sản phẩm'!$D$5:$D$304,MATCH(D4119,'Sản phẩm'!$A$5:$A$304,0)),""))</f>
        <v/>
      </c>
      <c r="L4119" s="16">
        <f>IF(J4119="","",J4119-K4119)</f>
        <v/>
      </c>
      <c r="M4119" s="14">
        <f>IF(A4119="","",MONTH(A4119))</f>
        <v/>
      </c>
      <c r="N4119" s="14">
        <f>IF(A4119="","",YEAR(A4119))</f>
        <v/>
      </c>
    </row>
    <row r="4120">
      <c r="A4120" s="15" t="n"/>
      <c r="B4120" s="10" t="n"/>
      <c r="C4120" s="10" t="n"/>
      <c r="D4120" s="10" t="n"/>
      <c r="E4120" s="14">
        <f>IF(D4120="","",IFERROR(INDEX('Sản phẩm'!$B$5:$B$304,MATCH(D4120,'Sản phẩm'!$A$5:$A$304,0)),""))</f>
        <v/>
      </c>
      <c r="F4120" s="12" t="n"/>
      <c r="G4120" s="11" t="n"/>
      <c r="H4120" s="11" t="n"/>
      <c r="I4120" s="16">
        <f>IF(D4120="","",IF(G4120&lt;&gt;"",G4120,IFERROR(INDEX('Sản phẩm'!$E$5:$E$304,MATCH(D4120,'Sản phẩm'!$A$5:$A$304,0)),"")))</f>
        <v/>
      </c>
      <c r="J4120" s="16">
        <f>IF(OR(D4120="",F4120=""),"",F4120*I4120-N(H4120))</f>
        <v/>
      </c>
      <c r="K4120" s="16">
        <f>IF(OR(D4120="",F4120=""),"",F4120*IFERROR(INDEX('Sản phẩm'!$D$5:$D$304,MATCH(D4120,'Sản phẩm'!$A$5:$A$304,0)),""))</f>
        <v/>
      </c>
      <c r="L4120" s="16">
        <f>IF(J4120="","",J4120-K4120)</f>
        <v/>
      </c>
      <c r="M4120" s="14">
        <f>IF(A4120="","",MONTH(A4120))</f>
        <v/>
      </c>
      <c r="N4120" s="14">
        <f>IF(A4120="","",YEAR(A4120))</f>
        <v/>
      </c>
    </row>
    <row r="4121">
      <c r="A4121" s="15" t="n"/>
      <c r="B4121" s="10" t="n"/>
      <c r="C4121" s="10" t="n"/>
      <c r="D4121" s="10" t="n"/>
      <c r="E4121" s="14">
        <f>IF(D4121="","",IFERROR(INDEX('Sản phẩm'!$B$5:$B$304,MATCH(D4121,'Sản phẩm'!$A$5:$A$304,0)),""))</f>
        <v/>
      </c>
      <c r="F4121" s="12" t="n"/>
      <c r="G4121" s="11" t="n"/>
      <c r="H4121" s="11" t="n"/>
      <c r="I4121" s="16">
        <f>IF(D4121="","",IF(G4121&lt;&gt;"",G4121,IFERROR(INDEX('Sản phẩm'!$E$5:$E$304,MATCH(D4121,'Sản phẩm'!$A$5:$A$304,0)),"")))</f>
        <v/>
      </c>
      <c r="J4121" s="16">
        <f>IF(OR(D4121="",F4121=""),"",F4121*I4121-N(H4121))</f>
        <v/>
      </c>
      <c r="K4121" s="16">
        <f>IF(OR(D4121="",F4121=""),"",F4121*IFERROR(INDEX('Sản phẩm'!$D$5:$D$304,MATCH(D4121,'Sản phẩm'!$A$5:$A$304,0)),""))</f>
        <v/>
      </c>
      <c r="L4121" s="16">
        <f>IF(J4121="","",J4121-K4121)</f>
        <v/>
      </c>
      <c r="M4121" s="14">
        <f>IF(A4121="","",MONTH(A4121))</f>
        <v/>
      </c>
      <c r="N4121" s="14">
        <f>IF(A4121="","",YEAR(A4121))</f>
        <v/>
      </c>
    </row>
    <row r="4122">
      <c r="A4122" s="15" t="n"/>
      <c r="B4122" s="10" t="n"/>
      <c r="C4122" s="10" t="n"/>
      <c r="D4122" s="10" t="n"/>
      <c r="E4122" s="14">
        <f>IF(D4122="","",IFERROR(INDEX('Sản phẩm'!$B$5:$B$304,MATCH(D4122,'Sản phẩm'!$A$5:$A$304,0)),""))</f>
        <v/>
      </c>
      <c r="F4122" s="12" t="n"/>
      <c r="G4122" s="11" t="n"/>
      <c r="H4122" s="11" t="n"/>
      <c r="I4122" s="16">
        <f>IF(D4122="","",IF(G4122&lt;&gt;"",G4122,IFERROR(INDEX('Sản phẩm'!$E$5:$E$304,MATCH(D4122,'Sản phẩm'!$A$5:$A$304,0)),"")))</f>
        <v/>
      </c>
      <c r="J4122" s="16">
        <f>IF(OR(D4122="",F4122=""),"",F4122*I4122-N(H4122))</f>
        <v/>
      </c>
      <c r="K4122" s="16">
        <f>IF(OR(D4122="",F4122=""),"",F4122*IFERROR(INDEX('Sản phẩm'!$D$5:$D$304,MATCH(D4122,'Sản phẩm'!$A$5:$A$304,0)),""))</f>
        <v/>
      </c>
      <c r="L4122" s="16">
        <f>IF(J4122="","",J4122-K4122)</f>
        <v/>
      </c>
      <c r="M4122" s="14">
        <f>IF(A4122="","",MONTH(A4122))</f>
        <v/>
      </c>
      <c r="N4122" s="14">
        <f>IF(A4122="","",YEAR(A4122))</f>
        <v/>
      </c>
    </row>
    <row r="4123">
      <c r="A4123" s="15" t="n"/>
      <c r="B4123" s="10" t="n"/>
      <c r="C4123" s="10" t="n"/>
      <c r="D4123" s="10" t="n"/>
      <c r="E4123" s="14">
        <f>IF(D4123="","",IFERROR(INDEX('Sản phẩm'!$B$5:$B$304,MATCH(D4123,'Sản phẩm'!$A$5:$A$304,0)),""))</f>
        <v/>
      </c>
      <c r="F4123" s="12" t="n"/>
      <c r="G4123" s="11" t="n"/>
      <c r="H4123" s="11" t="n"/>
      <c r="I4123" s="16">
        <f>IF(D4123="","",IF(G4123&lt;&gt;"",G4123,IFERROR(INDEX('Sản phẩm'!$E$5:$E$304,MATCH(D4123,'Sản phẩm'!$A$5:$A$304,0)),"")))</f>
        <v/>
      </c>
      <c r="J4123" s="16">
        <f>IF(OR(D4123="",F4123=""),"",F4123*I4123-N(H4123))</f>
        <v/>
      </c>
      <c r="K4123" s="16">
        <f>IF(OR(D4123="",F4123=""),"",F4123*IFERROR(INDEX('Sản phẩm'!$D$5:$D$304,MATCH(D4123,'Sản phẩm'!$A$5:$A$304,0)),""))</f>
        <v/>
      </c>
      <c r="L4123" s="16">
        <f>IF(J4123="","",J4123-K4123)</f>
        <v/>
      </c>
      <c r="M4123" s="14">
        <f>IF(A4123="","",MONTH(A4123))</f>
        <v/>
      </c>
      <c r="N4123" s="14">
        <f>IF(A4123="","",YEAR(A4123))</f>
        <v/>
      </c>
    </row>
    <row r="4124">
      <c r="A4124" s="15" t="n"/>
      <c r="B4124" s="10" t="n"/>
      <c r="C4124" s="10" t="n"/>
      <c r="D4124" s="10" t="n"/>
      <c r="E4124" s="14">
        <f>IF(D4124="","",IFERROR(INDEX('Sản phẩm'!$B$5:$B$304,MATCH(D4124,'Sản phẩm'!$A$5:$A$304,0)),""))</f>
        <v/>
      </c>
      <c r="F4124" s="12" t="n"/>
      <c r="G4124" s="11" t="n"/>
      <c r="H4124" s="11" t="n"/>
      <c r="I4124" s="16">
        <f>IF(D4124="","",IF(G4124&lt;&gt;"",G4124,IFERROR(INDEX('Sản phẩm'!$E$5:$E$304,MATCH(D4124,'Sản phẩm'!$A$5:$A$304,0)),"")))</f>
        <v/>
      </c>
      <c r="J4124" s="16">
        <f>IF(OR(D4124="",F4124=""),"",F4124*I4124-N(H4124))</f>
        <v/>
      </c>
      <c r="K4124" s="16">
        <f>IF(OR(D4124="",F4124=""),"",F4124*IFERROR(INDEX('Sản phẩm'!$D$5:$D$304,MATCH(D4124,'Sản phẩm'!$A$5:$A$304,0)),""))</f>
        <v/>
      </c>
      <c r="L4124" s="16">
        <f>IF(J4124="","",J4124-K4124)</f>
        <v/>
      </c>
      <c r="M4124" s="14">
        <f>IF(A4124="","",MONTH(A4124))</f>
        <v/>
      </c>
      <c r="N4124" s="14">
        <f>IF(A4124="","",YEAR(A4124))</f>
        <v/>
      </c>
    </row>
    <row r="4125">
      <c r="A4125" s="15" t="n"/>
      <c r="B4125" s="10" t="n"/>
      <c r="C4125" s="10" t="n"/>
      <c r="D4125" s="10" t="n"/>
      <c r="E4125" s="14">
        <f>IF(D4125="","",IFERROR(INDEX('Sản phẩm'!$B$5:$B$304,MATCH(D4125,'Sản phẩm'!$A$5:$A$304,0)),""))</f>
        <v/>
      </c>
      <c r="F4125" s="12" t="n"/>
      <c r="G4125" s="11" t="n"/>
      <c r="H4125" s="11" t="n"/>
      <c r="I4125" s="16">
        <f>IF(D4125="","",IF(G4125&lt;&gt;"",G4125,IFERROR(INDEX('Sản phẩm'!$E$5:$E$304,MATCH(D4125,'Sản phẩm'!$A$5:$A$304,0)),"")))</f>
        <v/>
      </c>
      <c r="J4125" s="16">
        <f>IF(OR(D4125="",F4125=""),"",F4125*I4125-N(H4125))</f>
        <v/>
      </c>
      <c r="K4125" s="16">
        <f>IF(OR(D4125="",F4125=""),"",F4125*IFERROR(INDEX('Sản phẩm'!$D$5:$D$304,MATCH(D4125,'Sản phẩm'!$A$5:$A$304,0)),""))</f>
        <v/>
      </c>
      <c r="L4125" s="16">
        <f>IF(J4125="","",J4125-K4125)</f>
        <v/>
      </c>
      <c r="M4125" s="14">
        <f>IF(A4125="","",MONTH(A4125))</f>
        <v/>
      </c>
      <c r="N4125" s="14">
        <f>IF(A4125="","",YEAR(A4125))</f>
        <v/>
      </c>
    </row>
    <row r="4126">
      <c r="A4126" s="15" t="n"/>
      <c r="B4126" s="10" t="n"/>
      <c r="C4126" s="10" t="n"/>
      <c r="D4126" s="10" t="n"/>
      <c r="E4126" s="14">
        <f>IF(D4126="","",IFERROR(INDEX('Sản phẩm'!$B$5:$B$304,MATCH(D4126,'Sản phẩm'!$A$5:$A$304,0)),""))</f>
        <v/>
      </c>
      <c r="F4126" s="12" t="n"/>
      <c r="G4126" s="11" t="n"/>
      <c r="H4126" s="11" t="n"/>
      <c r="I4126" s="16">
        <f>IF(D4126="","",IF(G4126&lt;&gt;"",G4126,IFERROR(INDEX('Sản phẩm'!$E$5:$E$304,MATCH(D4126,'Sản phẩm'!$A$5:$A$304,0)),"")))</f>
        <v/>
      </c>
      <c r="J4126" s="16">
        <f>IF(OR(D4126="",F4126=""),"",F4126*I4126-N(H4126))</f>
        <v/>
      </c>
      <c r="K4126" s="16">
        <f>IF(OR(D4126="",F4126=""),"",F4126*IFERROR(INDEX('Sản phẩm'!$D$5:$D$304,MATCH(D4126,'Sản phẩm'!$A$5:$A$304,0)),""))</f>
        <v/>
      </c>
      <c r="L4126" s="16">
        <f>IF(J4126="","",J4126-K4126)</f>
        <v/>
      </c>
      <c r="M4126" s="14">
        <f>IF(A4126="","",MONTH(A4126))</f>
        <v/>
      </c>
      <c r="N4126" s="14">
        <f>IF(A4126="","",YEAR(A4126))</f>
        <v/>
      </c>
    </row>
    <row r="4127">
      <c r="A4127" s="15" t="n"/>
      <c r="B4127" s="10" t="n"/>
      <c r="C4127" s="10" t="n"/>
      <c r="D4127" s="10" t="n"/>
      <c r="E4127" s="14">
        <f>IF(D4127="","",IFERROR(INDEX('Sản phẩm'!$B$5:$B$304,MATCH(D4127,'Sản phẩm'!$A$5:$A$304,0)),""))</f>
        <v/>
      </c>
      <c r="F4127" s="12" t="n"/>
      <c r="G4127" s="11" t="n"/>
      <c r="H4127" s="11" t="n"/>
      <c r="I4127" s="16">
        <f>IF(D4127="","",IF(G4127&lt;&gt;"",G4127,IFERROR(INDEX('Sản phẩm'!$E$5:$E$304,MATCH(D4127,'Sản phẩm'!$A$5:$A$304,0)),"")))</f>
        <v/>
      </c>
      <c r="J4127" s="16">
        <f>IF(OR(D4127="",F4127=""),"",F4127*I4127-N(H4127))</f>
        <v/>
      </c>
      <c r="K4127" s="16">
        <f>IF(OR(D4127="",F4127=""),"",F4127*IFERROR(INDEX('Sản phẩm'!$D$5:$D$304,MATCH(D4127,'Sản phẩm'!$A$5:$A$304,0)),""))</f>
        <v/>
      </c>
      <c r="L4127" s="16">
        <f>IF(J4127="","",J4127-K4127)</f>
        <v/>
      </c>
      <c r="M4127" s="14">
        <f>IF(A4127="","",MONTH(A4127))</f>
        <v/>
      </c>
      <c r="N4127" s="14">
        <f>IF(A4127="","",YEAR(A4127))</f>
        <v/>
      </c>
    </row>
    <row r="4128">
      <c r="A4128" s="15" t="n"/>
      <c r="B4128" s="10" t="n"/>
      <c r="C4128" s="10" t="n"/>
      <c r="D4128" s="10" t="n"/>
      <c r="E4128" s="14">
        <f>IF(D4128="","",IFERROR(INDEX('Sản phẩm'!$B$5:$B$304,MATCH(D4128,'Sản phẩm'!$A$5:$A$304,0)),""))</f>
        <v/>
      </c>
      <c r="F4128" s="12" t="n"/>
      <c r="G4128" s="11" t="n"/>
      <c r="H4128" s="11" t="n"/>
      <c r="I4128" s="16">
        <f>IF(D4128="","",IF(G4128&lt;&gt;"",G4128,IFERROR(INDEX('Sản phẩm'!$E$5:$E$304,MATCH(D4128,'Sản phẩm'!$A$5:$A$304,0)),"")))</f>
        <v/>
      </c>
      <c r="J4128" s="16">
        <f>IF(OR(D4128="",F4128=""),"",F4128*I4128-N(H4128))</f>
        <v/>
      </c>
      <c r="K4128" s="16">
        <f>IF(OR(D4128="",F4128=""),"",F4128*IFERROR(INDEX('Sản phẩm'!$D$5:$D$304,MATCH(D4128,'Sản phẩm'!$A$5:$A$304,0)),""))</f>
        <v/>
      </c>
      <c r="L4128" s="16">
        <f>IF(J4128="","",J4128-K4128)</f>
        <v/>
      </c>
      <c r="M4128" s="14">
        <f>IF(A4128="","",MONTH(A4128))</f>
        <v/>
      </c>
      <c r="N4128" s="14">
        <f>IF(A4128="","",YEAR(A4128))</f>
        <v/>
      </c>
    </row>
    <row r="4129">
      <c r="A4129" s="15" t="n"/>
      <c r="B4129" s="10" t="n"/>
      <c r="C4129" s="10" t="n"/>
      <c r="D4129" s="10" t="n"/>
      <c r="E4129" s="14">
        <f>IF(D4129="","",IFERROR(INDEX('Sản phẩm'!$B$5:$B$304,MATCH(D4129,'Sản phẩm'!$A$5:$A$304,0)),""))</f>
        <v/>
      </c>
      <c r="F4129" s="12" t="n"/>
      <c r="G4129" s="11" t="n"/>
      <c r="H4129" s="11" t="n"/>
      <c r="I4129" s="16">
        <f>IF(D4129="","",IF(G4129&lt;&gt;"",G4129,IFERROR(INDEX('Sản phẩm'!$E$5:$E$304,MATCH(D4129,'Sản phẩm'!$A$5:$A$304,0)),"")))</f>
        <v/>
      </c>
      <c r="J4129" s="16">
        <f>IF(OR(D4129="",F4129=""),"",F4129*I4129-N(H4129))</f>
        <v/>
      </c>
      <c r="K4129" s="16">
        <f>IF(OR(D4129="",F4129=""),"",F4129*IFERROR(INDEX('Sản phẩm'!$D$5:$D$304,MATCH(D4129,'Sản phẩm'!$A$5:$A$304,0)),""))</f>
        <v/>
      </c>
      <c r="L4129" s="16">
        <f>IF(J4129="","",J4129-K4129)</f>
        <v/>
      </c>
      <c r="M4129" s="14">
        <f>IF(A4129="","",MONTH(A4129))</f>
        <v/>
      </c>
      <c r="N4129" s="14">
        <f>IF(A4129="","",YEAR(A4129))</f>
        <v/>
      </c>
    </row>
    <row r="4130">
      <c r="A4130" s="15" t="n"/>
      <c r="B4130" s="10" t="n"/>
      <c r="C4130" s="10" t="n"/>
      <c r="D4130" s="10" t="n"/>
      <c r="E4130" s="14">
        <f>IF(D4130="","",IFERROR(INDEX('Sản phẩm'!$B$5:$B$304,MATCH(D4130,'Sản phẩm'!$A$5:$A$304,0)),""))</f>
        <v/>
      </c>
      <c r="F4130" s="12" t="n"/>
      <c r="G4130" s="11" t="n"/>
      <c r="H4130" s="11" t="n"/>
      <c r="I4130" s="16">
        <f>IF(D4130="","",IF(G4130&lt;&gt;"",G4130,IFERROR(INDEX('Sản phẩm'!$E$5:$E$304,MATCH(D4130,'Sản phẩm'!$A$5:$A$304,0)),"")))</f>
        <v/>
      </c>
      <c r="J4130" s="16">
        <f>IF(OR(D4130="",F4130=""),"",F4130*I4130-N(H4130))</f>
        <v/>
      </c>
      <c r="K4130" s="16">
        <f>IF(OR(D4130="",F4130=""),"",F4130*IFERROR(INDEX('Sản phẩm'!$D$5:$D$304,MATCH(D4130,'Sản phẩm'!$A$5:$A$304,0)),""))</f>
        <v/>
      </c>
      <c r="L4130" s="16">
        <f>IF(J4130="","",J4130-K4130)</f>
        <v/>
      </c>
      <c r="M4130" s="14">
        <f>IF(A4130="","",MONTH(A4130))</f>
        <v/>
      </c>
      <c r="N4130" s="14">
        <f>IF(A4130="","",YEAR(A4130))</f>
        <v/>
      </c>
    </row>
    <row r="4131">
      <c r="A4131" s="15" t="n"/>
      <c r="B4131" s="10" t="n"/>
      <c r="C4131" s="10" t="n"/>
      <c r="D4131" s="10" t="n"/>
      <c r="E4131" s="14">
        <f>IF(D4131="","",IFERROR(INDEX('Sản phẩm'!$B$5:$B$304,MATCH(D4131,'Sản phẩm'!$A$5:$A$304,0)),""))</f>
        <v/>
      </c>
      <c r="F4131" s="12" t="n"/>
      <c r="G4131" s="11" t="n"/>
      <c r="H4131" s="11" t="n"/>
      <c r="I4131" s="16">
        <f>IF(D4131="","",IF(G4131&lt;&gt;"",G4131,IFERROR(INDEX('Sản phẩm'!$E$5:$E$304,MATCH(D4131,'Sản phẩm'!$A$5:$A$304,0)),"")))</f>
        <v/>
      </c>
      <c r="J4131" s="16">
        <f>IF(OR(D4131="",F4131=""),"",F4131*I4131-N(H4131))</f>
        <v/>
      </c>
      <c r="K4131" s="16">
        <f>IF(OR(D4131="",F4131=""),"",F4131*IFERROR(INDEX('Sản phẩm'!$D$5:$D$304,MATCH(D4131,'Sản phẩm'!$A$5:$A$304,0)),""))</f>
        <v/>
      </c>
      <c r="L4131" s="16">
        <f>IF(J4131="","",J4131-K4131)</f>
        <v/>
      </c>
      <c r="M4131" s="14">
        <f>IF(A4131="","",MONTH(A4131))</f>
        <v/>
      </c>
      <c r="N4131" s="14">
        <f>IF(A4131="","",YEAR(A4131))</f>
        <v/>
      </c>
    </row>
    <row r="4132">
      <c r="A4132" s="15" t="n"/>
      <c r="B4132" s="10" t="n"/>
      <c r="C4132" s="10" t="n"/>
      <c r="D4132" s="10" t="n"/>
      <c r="E4132" s="14">
        <f>IF(D4132="","",IFERROR(INDEX('Sản phẩm'!$B$5:$B$304,MATCH(D4132,'Sản phẩm'!$A$5:$A$304,0)),""))</f>
        <v/>
      </c>
      <c r="F4132" s="12" t="n"/>
      <c r="G4132" s="11" t="n"/>
      <c r="H4132" s="11" t="n"/>
      <c r="I4132" s="16">
        <f>IF(D4132="","",IF(G4132&lt;&gt;"",G4132,IFERROR(INDEX('Sản phẩm'!$E$5:$E$304,MATCH(D4132,'Sản phẩm'!$A$5:$A$304,0)),"")))</f>
        <v/>
      </c>
      <c r="J4132" s="16">
        <f>IF(OR(D4132="",F4132=""),"",F4132*I4132-N(H4132))</f>
        <v/>
      </c>
      <c r="K4132" s="16">
        <f>IF(OR(D4132="",F4132=""),"",F4132*IFERROR(INDEX('Sản phẩm'!$D$5:$D$304,MATCH(D4132,'Sản phẩm'!$A$5:$A$304,0)),""))</f>
        <v/>
      </c>
      <c r="L4132" s="16">
        <f>IF(J4132="","",J4132-K4132)</f>
        <v/>
      </c>
      <c r="M4132" s="14">
        <f>IF(A4132="","",MONTH(A4132))</f>
        <v/>
      </c>
      <c r="N4132" s="14">
        <f>IF(A4132="","",YEAR(A4132))</f>
        <v/>
      </c>
    </row>
    <row r="4133">
      <c r="A4133" s="15" t="n"/>
      <c r="B4133" s="10" t="n"/>
      <c r="C4133" s="10" t="n"/>
      <c r="D4133" s="10" t="n"/>
      <c r="E4133" s="14">
        <f>IF(D4133="","",IFERROR(INDEX('Sản phẩm'!$B$5:$B$304,MATCH(D4133,'Sản phẩm'!$A$5:$A$304,0)),""))</f>
        <v/>
      </c>
      <c r="F4133" s="12" t="n"/>
      <c r="G4133" s="11" t="n"/>
      <c r="H4133" s="11" t="n"/>
      <c r="I4133" s="16">
        <f>IF(D4133="","",IF(G4133&lt;&gt;"",G4133,IFERROR(INDEX('Sản phẩm'!$E$5:$E$304,MATCH(D4133,'Sản phẩm'!$A$5:$A$304,0)),"")))</f>
        <v/>
      </c>
      <c r="J4133" s="16">
        <f>IF(OR(D4133="",F4133=""),"",F4133*I4133-N(H4133))</f>
        <v/>
      </c>
      <c r="K4133" s="16">
        <f>IF(OR(D4133="",F4133=""),"",F4133*IFERROR(INDEX('Sản phẩm'!$D$5:$D$304,MATCH(D4133,'Sản phẩm'!$A$5:$A$304,0)),""))</f>
        <v/>
      </c>
      <c r="L4133" s="16">
        <f>IF(J4133="","",J4133-K4133)</f>
        <v/>
      </c>
      <c r="M4133" s="14">
        <f>IF(A4133="","",MONTH(A4133))</f>
        <v/>
      </c>
      <c r="N4133" s="14">
        <f>IF(A4133="","",YEAR(A4133))</f>
        <v/>
      </c>
    </row>
    <row r="4134">
      <c r="A4134" s="15" t="n"/>
      <c r="B4134" s="10" t="n"/>
      <c r="C4134" s="10" t="n"/>
      <c r="D4134" s="10" t="n"/>
      <c r="E4134" s="14">
        <f>IF(D4134="","",IFERROR(INDEX('Sản phẩm'!$B$5:$B$304,MATCH(D4134,'Sản phẩm'!$A$5:$A$304,0)),""))</f>
        <v/>
      </c>
      <c r="F4134" s="12" t="n"/>
      <c r="G4134" s="11" t="n"/>
      <c r="H4134" s="11" t="n"/>
      <c r="I4134" s="16">
        <f>IF(D4134="","",IF(G4134&lt;&gt;"",G4134,IFERROR(INDEX('Sản phẩm'!$E$5:$E$304,MATCH(D4134,'Sản phẩm'!$A$5:$A$304,0)),"")))</f>
        <v/>
      </c>
      <c r="J4134" s="16">
        <f>IF(OR(D4134="",F4134=""),"",F4134*I4134-N(H4134))</f>
        <v/>
      </c>
      <c r="K4134" s="16">
        <f>IF(OR(D4134="",F4134=""),"",F4134*IFERROR(INDEX('Sản phẩm'!$D$5:$D$304,MATCH(D4134,'Sản phẩm'!$A$5:$A$304,0)),""))</f>
        <v/>
      </c>
      <c r="L4134" s="16">
        <f>IF(J4134="","",J4134-K4134)</f>
        <v/>
      </c>
      <c r="M4134" s="14">
        <f>IF(A4134="","",MONTH(A4134))</f>
        <v/>
      </c>
      <c r="N4134" s="14">
        <f>IF(A4134="","",YEAR(A4134))</f>
        <v/>
      </c>
    </row>
    <row r="4135">
      <c r="A4135" s="15" t="n"/>
      <c r="B4135" s="10" t="n"/>
      <c r="C4135" s="10" t="n"/>
      <c r="D4135" s="10" t="n"/>
      <c r="E4135" s="14">
        <f>IF(D4135="","",IFERROR(INDEX('Sản phẩm'!$B$5:$B$304,MATCH(D4135,'Sản phẩm'!$A$5:$A$304,0)),""))</f>
        <v/>
      </c>
      <c r="F4135" s="12" t="n"/>
      <c r="G4135" s="11" t="n"/>
      <c r="H4135" s="11" t="n"/>
      <c r="I4135" s="16">
        <f>IF(D4135="","",IF(G4135&lt;&gt;"",G4135,IFERROR(INDEX('Sản phẩm'!$E$5:$E$304,MATCH(D4135,'Sản phẩm'!$A$5:$A$304,0)),"")))</f>
        <v/>
      </c>
      <c r="J4135" s="16">
        <f>IF(OR(D4135="",F4135=""),"",F4135*I4135-N(H4135))</f>
        <v/>
      </c>
      <c r="K4135" s="16">
        <f>IF(OR(D4135="",F4135=""),"",F4135*IFERROR(INDEX('Sản phẩm'!$D$5:$D$304,MATCH(D4135,'Sản phẩm'!$A$5:$A$304,0)),""))</f>
        <v/>
      </c>
      <c r="L4135" s="16">
        <f>IF(J4135="","",J4135-K4135)</f>
        <v/>
      </c>
      <c r="M4135" s="14">
        <f>IF(A4135="","",MONTH(A4135))</f>
        <v/>
      </c>
      <c r="N4135" s="14">
        <f>IF(A4135="","",YEAR(A4135))</f>
        <v/>
      </c>
    </row>
    <row r="4136">
      <c r="A4136" s="15" t="n"/>
      <c r="B4136" s="10" t="n"/>
      <c r="C4136" s="10" t="n"/>
      <c r="D4136" s="10" t="n"/>
      <c r="E4136" s="14">
        <f>IF(D4136="","",IFERROR(INDEX('Sản phẩm'!$B$5:$B$304,MATCH(D4136,'Sản phẩm'!$A$5:$A$304,0)),""))</f>
        <v/>
      </c>
      <c r="F4136" s="12" t="n"/>
      <c r="G4136" s="11" t="n"/>
      <c r="H4136" s="11" t="n"/>
      <c r="I4136" s="16">
        <f>IF(D4136="","",IF(G4136&lt;&gt;"",G4136,IFERROR(INDEX('Sản phẩm'!$E$5:$E$304,MATCH(D4136,'Sản phẩm'!$A$5:$A$304,0)),"")))</f>
        <v/>
      </c>
      <c r="J4136" s="16">
        <f>IF(OR(D4136="",F4136=""),"",F4136*I4136-N(H4136))</f>
        <v/>
      </c>
      <c r="K4136" s="16">
        <f>IF(OR(D4136="",F4136=""),"",F4136*IFERROR(INDEX('Sản phẩm'!$D$5:$D$304,MATCH(D4136,'Sản phẩm'!$A$5:$A$304,0)),""))</f>
        <v/>
      </c>
      <c r="L4136" s="16">
        <f>IF(J4136="","",J4136-K4136)</f>
        <v/>
      </c>
      <c r="M4136" s="14">
        <f>IF(A4136="","",MONTH(A4136))</f>
        <v/>
      </c>
      <c r="N4136" s="14">
        <f>IF(A4136="","",YEAR(A4136))</f>
        <v/>
      </c>
    </row>
    <row r="4137">
      <c r="A4137" s="15" t="n"/>
      <c r="B4137" s="10" t="n"/>
      <c r="C4137" s="10" t="n"/>
      <c r="D4137" s="10" t="n"/>
      <c r="E4137" s="14">
        <f>IF(D4137="","",IFERROR(INDEX('Sản phẩm'!$B$5:$B$304,MATCH(D4137,'Sản phẩm'!$A$5:$A$304,0)),""))</f>
        <v/>
      </c>
      <c r="F4137" s="12" t="n"/>
      <c r="G4137" s="11" t="n"/>
      <c r="H4137" s="11" t="n"/>
      <c r="I4137" s="16">
        <f>IF(D4137="","",IF(G4137&lt;&gt;"",G4137,IFERROR(INDEX('Sản phẩm'!$E$5:$E$304,MATCH(D4137,'Sản phẩm'!$A$5:$A$304,0)),"")))</f>
        <v/>
      </c>
      <c r="J4137" s="16">
        <f>IF(OR(D4137="",F4137=""),"",F4137*I4137-N(H4137))</f>
        <v/>
      </c>
      <c r="K4137" s="16">
        <f>IF(OR(D4137="",F4137=""),"",F4137*IFERROR(INDEX('Sản phẩm'!$D$5:$D$304,MATCH(D4137,'Sản phẩm'!$A$5:$A$304,0)),""))</f>
        <v/>
      </c>
      <c r="L4137" s="16">
        <f>IF(J4137="","",J4137-K4137)</f>
        <v/>
      </c>
      <c r="M4137" s="14">
        <f>IF(A4137="","",MONTH(A4137))</f>
        <v/>
      </c>
      <c r="N4137" s="14">
        <f>IF(A4137="","",YEAR(A4137))</f>
        <v/>
      </c>
    </row>
    <row r="4138">
      <c r="A4138" s="15" t="n"/>
      <c r="B4138" s="10" t="n"/>
      <c r="C4138" s="10" t="n"/>
      <c r="D4138" s="10" t="n"/>
      <c r="E4138" s="14">
        <f>IF(D4138="","",IFERROR(INDEX('Sản phẩm'!$B$5:$B$304,MATCH(D4138,'Sản phẩm'!$A$5:$A$304,0)),""))</f>
        <v/>
      </c>
      <c r="F4138" s="12" t="n"/>
      <c r="G4138" s="11" t="n"/>
      <c r="H4138" s="11" t="n"/>
      <c r="I4138" s="16">
        <f>IF(D4138="","",IF(G4138&lt;&gt;"",G4138,IFERROR(INDEX('Sản phẩm'!$E$5:$E$304,MATCH(D4138,'Sản phẩm'!$A$5:$A$304,0)),"")))</f>
        <v/>
      </c>
      <c r="J4138" s="16">
        <f>IF(OR(D4138="",F4138=""),"",F4138*I4138-N(H4138))</f>
        <v/>
      </c>
      <c r="K4138" s="16">
        <f>IF(OR(D4138="",F4138=""),"",F4138*IFERROR(INDEX('Sản phẩm'!$D$5:$D$304,MATCH(D4138,'Sản phẩm'!$A$5:$A$304,0)),""))</f>
        <v/>
      </c>
      <c r="L4138" s="16">
        <f>IF(J4138="","",J4138-K4138)</f>
        <v/>
      </c>
      <c r="M4138" s="14">
        <f>IF(A4138="","",MONTH(A4138))</f>
        <v/>
      </c>
      <c r="N4138" s="14">
        <f>IF(A4138="","",YEAR(A4138))</f>
        <v/>
      </c>
    </row>
    <row r="4139">
      <c r="A4139" s="15" t="n"/>
      <c r="B4139" s="10" t="n"/>
      <c r="C4139" s="10" t="n"/>
      <c r="D4139" s="10" t="n"/>
      <c r="E4139" s="14">
        <f>IF(D4139="","",IFERROR(INDEX('Sản phẩm'!$B$5:$B$304,MATCH(D4139,'Sản phẩm'!$A$5:$A$304,0)),""))</f>
        <v/>
      </c>
      <c r="F4139" s="12" t="n"/>
      <c r="G4139" s="11" t="n"/>
      <c r="H4139" s="11" t="n"/>
      <c r="I4139" s="16">
        <f>IF(D4139="","",IF(G4139&lt;&gt;"",G4139,IFERROR(INDEX('Sản phẩm'!$E$5:$E$304,MATCH(D4139,'Sản phẩm'!$A$5:$A$304,0)),"")))</f>
        <v/>
      </c>
      <c r="J4139" s="16">
        <f>IF(OR(D4139="",F4139=""),"",F4139*I4139-N(H4139))</f>
        <v/>
      </c>
      <c r="K4139" s="16">
        <f>IF(OR(D4139="",F4139=""),"",F4139*IFERROR(INDEX('Sản phẩm'!$D$5:$D$304,MATCH(D4139,'Sản phẩm'!$A$5:$A$304,0)),""))</f>
        <v/>
      </c>
      <c r="L4139" s="16">
        <f>IF(J4139="","",J4139-K4139)</f>
        <v/>
      </c>
      <c r="M4139" s="14">
        <f>IF(A4139="","",MONTH(A4139))</f>
        <v/>
      </c>
      <c r="N4139" s="14">
        <f>IF(A4139="","",YEAR(A4139))</f>
        <v/>
      </c>
    </row>
    <row r="4140">
      <c r="A4140" s="15" t="n"/>
      <c r="B4140" s="10" t="n"/>
      <c r="C4140" s="10" t="n"/>
      <c r="D4140" s="10" t="n"/>
      <c r="E4140" s="14">
        <f>IF(D4140="","",IFERROR(INDEX('Sản phẩm'!$B$5:$B$304,MATCH(D4140,'Sản phẩm'!$A$5:$A$304,0)),""))</f>
        <v/>
      </c>
      <c r="F4140" s="12" t="n"/>
      <c r="G4140" s="11" t="n"/>
      <c r="H4140" s="11" t="n"/>
      <c r="I4140" s="16">
        <f>IF(D4140="","",IF(G4140&lt;&gt;"",G4140,IFERROR(INDEX('Sản phẩm'!$E$5:$E$304,MATCH(D4140,'Sản phẩm'!$A$5:$A$304,0)),"")))</f>
        <v/>
      </c>
      <c r="J4140" s="16">
        <f>IF(OR(D4140="",F4140=""),"",F4140*I4140-N(H4140))</f>
        <v/>
      </c>
      <c r="K4140" s="16">
        <f>IF(OR(D4140="",F4140=""),"",F4140*IFERROR(INDEX('Sản phẩm'!$D$5:$D$304,MATCH(D4140,'Sản phẩm'!$A$5:$A$304,0)),""))</f>
        <v/>
      </c>
      <c r="L4140" s="16">
        <f>IF(J4140="","",J4140-K4140)</f>
        <v/>
      </c>
      <c r="M4140" s="14">
        <f>IF(A4140="","",MONTH(A4140))</f>
        <v/>
      </c>
      <c r="N4140" s="14">
        <f>IF(A4140="","",YEAR(A4140))</f>
        <v/>
      </c>
    </row>
    <row r="4141">
      <c r="A4141" s="15" t="n"/>
      <c r="B4141" s="10" t="n"/>
      <c r="C4141" s="10" t="n"/>
      <c r="D4141" s="10" t="n"/>
      <c r="E4141" s="14">
        <f>IF(D4141="","",IFERROR(INDEX('Sản phẩm'!$B$5:$B$304,MATCH(D4141,'Sản phẩm'!$A$5:$A$304,0)),""))</f>
        <v/>
      </c>
      <c r="F4141" s="12" t="n"/>
      <c r="G4141" s="11" t="n"/>
      <c r="H4141" s="11" t="n"/>
      <c r="I4141" s="16">
        <f>IF(D4141="","",IF(G4141&lt;&gt;"",G4141,IFERROR(INDEX('Sản phẩm'!$E$5:$E$304,MATCH(D4141,'Sản phẩm'!$A$5:$A$304,0)),"")))</f>
        <v/>
      </c>
      <c r="J4141" s="16">
        <f>IF(OR(D4141="",F4141=""),"",F4141*I4141-N(H4141))</f>
        <v/>
      </c>
      <c r="K4141" s="16">
        <f>IF(OR(D4141="",F4141=""),"",F4141*IFERROR(INDEX('Sản phẩm'!$D$5:$D$304,MATCH(D4141,'Sản phẩm'!$A$5:$A$304,0)),""))</f>
        <v/>
      </c>
      <c r="L4141" s="16">
        <f>IF(J4141="","",J4141-K4141)</f>
        <v/>
      </c>
      <c r="M4141" s="14">
        <f>IF(A4141="","",MONTH(A4141))</f>
        <v/>
      </c>
      <c r="N4141" s="14">
        <f>IF(A4141="","",YEAR(A4141))</f>
        <v/>
      </c>
    </row>
    <row r="4142">
      <c r="A4142" s="15" t="n"/>
      <c r="B4142" s="10" t="n"/>
      <c r="C4142" s="10" t="n"/>
      <c r="D4142" s="10" t="n"/>
      <c r="E4142" s="14">
        <f>IF(D4142="","",IFERROR(INDEX('Sản phẩm'!$B$5:$B$304,MATCH(D4142,'Sản phẩm'!$A$5:$A$304,0)),""))</f>
        <v/>
      </c>
      <c r="F4142" s="12" t="n"/>
      <c r="G4142" s="11" t="n"/>
      <c r="H4142" s="11" t="n"/>
      <c r="I4142" s="16">
        <f>IF(D4142="","",IF(G4142&lt;&gt;"",G4142,IFERROR(INDEX('Sản phẩm'!$E$5:$E$304,MATCH(D4142,'Sản phẩm'!$A$5:$A$304,0)),"")))</f>
        <v/>
      </c>
      <c r="J4142" s="16">
        <f>IF(OR(D4142="",F4142=""),"",F4142*I4142-N(H4142))</f>
        <v/>
      </c>
      <c r="K4142" s="16">
        <f>IF(OR(D4142="",F4142=""),"",F4142*IFERROR(INDEX('Sản phẩm'!$D$5:$D$304,MATCH(D4142,'Sản phẩm'!$A$5:$A$304,0)),""))</f>
        <v/>
      </c>
      <c r="L4142" s="16">
        <f>IF(J4142="","",J4142-K4142)</f>
        <v/>
      </c>
      <c r="M4142" s="14">
        <f>IF(A4142="","",MONTH(A4142))</f>
        <v/>
      </c>
      <c r="N4142" s="14">
        <f>IF(A4142="","",YEAR(A4142))</f>
        <v/>
      </c>
    </row>
    <row r="4143">
      <c r="A4143" s="15" t="n"/>
      <c r="B4143" s="10" t="n"/>
      <c r="C4143" s="10" t="n"/>
      <c r="D4143" s="10" t="n"/>
      <c r="E4143" s="14">
        <f>IF(D4143="","",IFERROR(INDEX('Sản phẩm'!$B$5:$B$304,MATCH(D4143,'Sản phẩm'!$A$5:$A$304,0)),""))</f>
        <v/>
      </c>
      <c r="F4143" s="12" t="n"/>
      <c r="G4143" s="11" t="n"/>
      <c r="H4143" s="11" t="n"/>
      <c r="I4143" s="16">
        <f>IF(D4143="","",IF(G4143&lt;&gt;"",G4143,IFERROR(INDEX('Sản phẩm'!$E$5:$E$304,MATCH(D4143,'Sản phẩm'!$A$5:$A$304,0)),"")))</f>
        <v/>
      </c>
      <c r="J4143" s="16">
        <f>IF(OR(D4143="",F4143=""),"",F4143*I4143-N(H4143))</f>
        <v/>
      </c>
      <c r="K4143" s="16">
        <f>IF(OR(D4143="",F4143=""),"",F4143*IFERROR(INDEX('Sản phẩm'!$D$5:$D$304,MATCH(D4143,'Sản phẩm'!$A$5:$A$304,0)),""))</f>
        <v/>
      </c>
      <c r="L4143" s="16">
        <f>IF(J4143="","",J4143-K4143)</f>
        <v/>
      </c>
      <c r="M4143" s="14">
        <f>IF(A4143="","",MONTH(A4143))</f>
        <v/>
      </c>
      <c r="N4143" s="14">
        <f>IF(A4143="","",YEAR(A4143))</f>
        <v/>
      </c>
    </row>
    <row r="4144">
      <c r="A4144" s="15" t="n"/>
      <c r="B4144" s="10" t="n"/>
      <c r="C4144" s="10" t="n"/>
      <c r="D4144" s="10" t="n"/>
      <c r="E4144" s="14">
        <f>IF(D4144="","",IFERROR(INDEX('Sản phẩm'!$B$5:$B$304,MATCH(D4144,'Sản phẩm'!$A$5:$A$304,0)),""))</f>
        <v/>
      </c>
      <c r="F4144" s="12" t="n"/>
      <c r="G4144" s="11" t="n"/>
      <c r="H4144" s="11" t="n"/>
      <c r="I4144" s="16">
        <f>IF(D4144="","",IF(G4144&lt;&gt;"",G4144,IFERROR(INDEX('Sản phẩm'!$E$5:$E$304,MATCH(D4144,'Sản phẩm'!$A$5:$A$304,0)),"")))</f>
        <v/>
      </c>
      <c r="J4144" s="16">
        <f>IF(OR(D4144="",F4144=""),"",F4144*I4144-N(H4144))</f>
        <v/>
      </c>
      <c r="K4144" s="16">
        <f>IF(OR(D4144="",F4144=""),"",F4144*IFERROR(INDEX('Sản phẩm'!$D$5:$D$304,MATCH(D4144,'Sản phẩm'!$A$5:$A$304,0)),""))</f>
        <v/>
      </c>
      <c r="L4144" s="16">
        <f>IF(J4144="","",J4144-K4144)</f>
        <v/>
      </c>
      <c r="M4144" s="14">
        <f>IF(A4144="","",MONTH(A4144))</f>
        <v/>
      </c>
      <c r="N4144" s="14">
        <f>IF(A4144="","",YEAR(A4144))</f>
        <v/>
      </c>
    </row>
    <row r="4145">
      <c r="A4145" s="15" t="n"/>
      <c r="B4145" s="10" t="n"/>
      <c r="C4145" s="10" t="n"/>
      <c r="D4145" s="10" t="n"/>
      <c r="E4145" s="14">
        <f>IF(D4145="","",IFERROR(INDEX('Sản phẩm'!$B$5:$B$304,MATCH(D4145,'Sản phẩm'!$A$5:$A$304,0)),""))</f>
        <v/>
      </c>
      <c r="F4145" s="12" t="n"/>
      <c r="G4145" s="11" t="n"/>
      <c r="H4145" s="11" t="n"/>
      <c r="I4145" s="16">
        <f>IF(D4145="","",IF(G4145&lt;&gt;"",G4145,IFERROR(INDEX('Sản phẩm'!$E$5:$E$304,MATCH(D4145,'Sản phẩm'!$A$5:$A$304,0)),"")))</f>
        <v/>
      </c>
      <c r="J4145" s="16">
        <f>IF(OR(D4145="",F4145=""),"",F4145*I4145-N(H4145))</f>
        <v/>
      </c>
      <c r="K4145" s="16">
        <f>IF(OR(D4145="",F4145=""),"",F4145*IFERROR(INDEX('Sản phẩm'!$D$5:$D$304,MATCH(D4145,'Sản phẩm'!$A$5:$A$304,0)),""))</f>
        <v/>
      </c>
      <c r="L4145" s="16">
        <f>IF(J4145="","",J4145-K4145)</f>
        <v/>
      </c>
      <c r="M4145" s="14">
        <f>IF(A4145="","",MONTH(A4145))</f>
        <v/>
      </c>
      <c r="N4145" s="14">
        <f>IF(A4145="","",YEAR(A4145))</f>
        <v/>
      </c>
    </row>
    <row r="4146">
      <c r="A4146" s="15" t="n"/>
      <c r="B4146" s="10" t="n"/>
      <c r="C4146" s="10" t="n"/>
      <c r="D4146" s="10" t="n"/>
      <c r="E4146" s="14">
        <f>IF(D4146="","",IFERROR(INDEX('Sản phẩm'!$B$5:$B$304,MATCH(D4146,'Sản phẩm'!$A$5:$A$304,0)),""))</f>
        <v/>
      </c>
      <c r="F4146" s="12" t="n"/>
      <c r="G4146" s="11" t="n"/>
      <c r="H4146" s="11" t="n"/>
      <c r="I4146" s="16">
        <f>IF(D4146="","",IF(G4146&lt;&gt;"",G4146,IFERROR(INDEX('Sản phẩm'!$E$5:$E$304,MATCH(D4146,'Sản phẩm'!$A$5:$A$304,0)),"")))</f>
        <v/>
      </c>
      <c r="J4146" s="16">
        <f>IF(OR(D4146="",F4146=""),"",F4146*I4146-N(H4146))</f>
        <v/>
      </c>
      <c r="K4146" s="16">
        <f>IF(OR(D4146="",F4146=""),"",F4146*IFERROR(INDEX('Sản phẩm'!$D$5:$D$304,MATCH(D4146,'Sản phẩm'!$A$5:$A$304,0)),""))</f>
        <v/>
      </c>
      <c r="L4146" s="16">
        <f>IF(J4146="","",J4146-K4146)</f>
        <v/>
      </c>
      <c r="M4146" s="14">
        <f>IF(A4146="","",MONTH(A4146))</f>
        <v/>
      </c>
      <c r="N4146" s="14">
        <f>IF(A4146="","",YEAR(A4146))</f>
        <v/>
      </c>
    </row>
    <row r="4147">
      <c r="A4147" s="15" t="n"/>
      <c r="B4147" s="10" t="n"/>
      <c r="C4147" s="10" t="n"/>
      <c r="D4147" s="10" t="n"/>
      <c r="E4147" s="14">
        <f>IF(D4147="","",IFERROR(INDEX('Sản phẩm'!$B$5:$B$304,MATCH(D4147,'Sản phẩm'!$A$5:$A$304,0)),""))</f>
        <v/>
      </c>
      <c r="F4147" s="12" t="n"/>
      <c r="G4147" s="11" t="n"/>
      <c r="H4147" s="11" t="n"/>
      <c r="I4147" s="16">
        <f>IF(D4147="","",IF(G4147&lt;&gt;"",G4147,IFERROR(INDEX('Sản phẩm'!$E$5:$E$304,MATCH(D4147,'Sản phẩm'!$A$5:$A$304,0)),"")))</f>
        <v/>
      </c>
      <c r="J4147" s="16">
        <f>IF(OR(D4147="",F4147=""),"",F4147*I4147-N(H4147))</f>
        <v/>
      </c>
      <c r="K4147" s="16">
        <f>IF(OR(D4147="",F4147=""),"",F4147*IFERROR(INDEX('Sản phẩm'!$D$5:$D$304,MATCH(D4147,'Sản phẩm'!$A$5:$A$304,0)),""))</f>
        <v/>
      </c>
      <c r="L4147" s="16">
        <f>IF(J4147="","",J4147-K4147)</f>
        <v/>
      </c>
      <c r="M4147" s="14">
        <f>IF(A4147="","",MONTH(A4147))</f>
        <v/>
      </c>
      <c r="N4147" s="14">
        <f>IF(A4147="","",YEAR(A4147))</f>
        <v/>
      </c>
    </row>
    <row r="4148">
      <c r="A4148" s="15" t="n"/>
      <c r="B4148" s="10" t="n"/>
      <c r="C4148" s="10" t="n"/>
      <c r="D4148" s="10" t="n"/>
      <c r="E4148" s="14">
        <f>IF(D4148="","",IFERROR(INDEX('Sản phẩm'!$B$5:$B$304,MATCH(D4148,'Sản phẩm'!$A$5:$A$304,0)),""))</f>
        <v/>
      </c>
      <c r="F4148" s="12" t="n"/>
      <c r="G4148" s="11" t="n"/>
      <c r="H4148" s="11" t="n"/>
      <c r="I4148" s="16">
        <f>IF(D4148="","",IF(G4148&lt;&gt;"",G4148,IFERROR(INDEX('Sản phẩm'!$E$5:$E$304,MATCH(D4148,'Sản phẩm'!$A$5:$A$304,0)),"")))</f>
        <v/>
      </c>
      <c r="J4148" s="16">
        <f>IF(OR(D4148="",F4148=""),"",F4148*I4148-N(H4148))</f>
        <v/>
      </c>
      <c r="K4148" s="16">
        <f>IF(OR(D4148="",F4148=""),"",F4148*IFERROR(INDEX('Sản phẩm'!$D$5:$D$304,MATCH(D4148,'Sản phẩm'!$A$5:$A$304,0)),""))</f>
        <v/>
      </c>
      <c r="L4148" s="16">
        <f>IF(J4148="","",J4148-K4148)</f>
        <v/>
      </c>
      <c r="M4148" s="14">
        <f>IF(A4148="","",MONTH(A4148))</f>
        <v/>
      </c>
      <c r="N4148" s="14">
        <f>IF(A4148="","",YEAR(A4148))</f>
        <v/>
      </c>
    </row>
    <row r="4149">
      <c r="A4149" s="15" t="n"/>
      <c r="B4149" s="10" t="n"/>
      <c r="C4149" s="10" t="n"/>
      <c r="D4149" s="10" t="n"/>
      <c r="E4149" s="14">
        <f>IF(D4149="","",IFERROR(INDEX('Sản phẩm'!$B$5:$B$304,MATCH(D4149,'Sản phẩm'!$A$5:$A$304,0)),""))</f>
        <v/>
      </c>
      <c r="F4149" s="12" t="n"/>
      <c r="G4149" s="11" t="n"/>
      <c r="H4149" s="11" t="n"/>
      <c r="I4149" s="16">
        <f>IF(D4149="","",IF(G4149&lt;&gt;"",G4149,IFERROR(INDEX('Sản phẩm'!$E$5:$E$304,MATCH(D4149,'Sản phẩm'!$A$5:$A$304,0)),"")))</f>
        <v/>
      </c>
      <c r="J4149" s="16">
        <f>IF(OR(D4149="",F4149=""),"",F4149*I4149-N(H4149))</f>
        <v/>
      </c>
      <c r="K4149" s="16">
        <f>IF(OR(D4149="",F4149=""),"",F4149*IFERROR(INDEX('Sản phẩm'!$D$5:$D$304,MATCH(D4149,'Sản phẩm'!$A$5:$A$304,0)),""))</f>
        <v/>
      </c>
      <c r="L4149" s="16">
        <f>IF(J4149="","",J4149-K4149)</f>
        <v/>
      </c>
      <c r="M4149" s="14">
        <f>IF(A4149="","",MONTH(A4149))</f>
        <v/>
      </c>
      <c r="N4149" s="14">
        <f>IF(A4149="","",YEAR(A4149))</f>
        <v/>
      </c>
    </row>
    <row r="4150">
      <c r="A4150" s="15" t="n"/>
      <c r="B4150" s="10" t="n"/>
      <c r="C4150" s="10" t="n"/>
      <c r="D4150" s="10" t="n"/>
      <c r="E4150" s="14">
        <f>IF(D4150="","",IFERROR(INDEX('Sản phẩm'!$B$5:$B$304,MATCH(D4150,'Sản phẩm'!$A$5:$A$304,0)),""))</f>
        <v/>
      </c>
      <c r="F4150" s="12" t="n"/>
      <c r="G4150" s="11" t="n"/>
      <c r="H4150" s="11" t="n"/>
      <c r="I4150" s="16">
        <f>IF(D4150="","",IF(G4150&lt;&gt;"",G4150,IFERROR(INDEX('Sản phẩm'!$E$5:$E$304,MATCH(D4150,'Sản phẩm'!$A$5:$A$304,0)),"")))</f>
        <v/>
      </c>
      <c r="J4150" s="16">
        <f>IF(OR(D4150="",F4150=""),"",F4150*I4150-N(H4150))</f>
        <v/>
      </c>
      <c r="K4150" s="16">
        <f>IF(OR(D4150="",F4150=""),"",F4150*IFERROR(INDEX('Sản phẩm'!$D$5:$D$304,MATCH(D4150,'Sản phẩm'!$A$5:$A$304,0)),""))</f>
        <v/>
      </c>
      <c r="L4150" s="16">
        <f>IF(J4150="","",J4150-K4150)</f>
        <v/>
      </c>
      <c r="M4150" s="14">
        <f>IF(A4150="","",MONTH(A4150))</f>
        <v/>
      </c>
      <c r="N4150" s="14">
        <f>IF(A4150="","",YEAR(A4150))</f>
        <v/>
      </c>
    </row>
    <row r="4151">
      <c r="A4151" s="15" t="n"/>
      <c r="B4151" s="10" t="n"/>
      <c r="C4151" s="10" t="n"/>
      <c r="D4151" s="10" t="n"/>
      <c r="E4151" s="14">
        <f>IF(D4151="","",IFERROR(INDEX('Sản phẩm'!$B$5:$B$304,MATCH(D4151,'Sản phẩm'!$A$5:$A$304,0)),""))</f>
        <v/>
      </c>
      <c r="F4151" s="12" t="n"/>
      <c r="G4151" s="11" t="n"/>
      <c r="H4151" s="11" t="n"/>
      <c r="I4151" s="16">
        <f>IF(D4151="","",IF(G4151&lt;&gt;"",G4151,IFERROR(INDEX('Sản phẩm'!$E$5:$E$304,MATCH(D4151,'Sản phẩm'!$A$5:$A$304,0)),"")))</f>
        <v/>
      </c>
      <c r="J4151" s="16">
        <f>IF(OR(D4151="",F4151=""),"",F4151*I4151-N(H4151))</f>
        <v/>
      </c>
      <c r="K4151" s="16">
        <f>IF(OR(D4151="",F4151=""),"",F4151*IFERROR(INDEX('Sản phẩm'!$D$5:$D$304,MATCH(D4151,'Sản phẩm'!$A$5:$A$304,0)),""))</f>
        <v/>
      </c>
      <c r="L4151" s="16">
        <f>IF(J4151="","",J4151-K4151)</f>
        <v/>
      </c>
      <c r="M4151" s="14">
        <f>IF(A4151="","",MONTH(A4151))</f>
        <v/>
      </c>
      <c r="N4151" s="14">
        <f>IF(A4151="","",YEAR(A4151))</f>
        <v/>
      </c>
    </row>
    <row r="4152">
      <c r="A4152" s="15" t="n"/>
      <c r="B4152" s="10" t="n"/>
      <c r="C4152" s="10" t="n"/>
      <c r="D4152" s="10" t="n"/>
      <c r="E4152" s="14">
        <f>IF(D4152="","",IFERROR(INDEX('Sản phẩm'!$B$5:$B$304,MATCH(D4152,'Sản phẩm'!$A$5:$A$304,0)),""))</f>
        <v/>
      </c>
      <c r="F4152" s="12" t="n"/>
      <c r="G4152" s="11" t="n"/>
      <c r="H4152" s="11" t="n"/>
      <c r="I4152" s="16">
        <f>IF(D4152="","",IF(G4152&lt;&gt;"",G4152,IFERROR(INDEX('Sản phẩm'!$E$5:$E$304,MATCH(D4152,'Sản phẩm'!$A$5:$A$304,0)),"")))</f>
        <v/>
      </c>
      <c r="J4152" s="16">
        <f>IF(OR(D4152="",F4152=""),"",F4152*I4152-N(H4152))</f>
        <v/>
      </c>
      <c r="K4152" s="16">
        <f>IF(OR(D4152="",F4152=""),"",F4152*IFERROR(INDEX('Sản phẩm'!$D$5:$D$304,MATCH(D4152,'Sản phẩm'!$A$5:$A$304,0)),""))</f>
        <v/>
      </c>
      <c r="L4152" s="16">
        <f>IF(J4152="","",J4152-K4152)</f>
        <v/>
      </c>
      <c r="M4152" s="14">
        <f>IF(A4152="","",MONTH(A4152))</f>
        <v/>
      </c>
      <c r="N4152" s="14">
        <f>IF(A4152="","",YEAR(A4152))</f>
        <v/>
      </c>
    </row>
    <row r="4153">
      <c r="A4153" s="15" t="n"/>
      <c r="B4153" s="10" t="n"/>
      <c r="C4153" s="10" t="n"/>
      <c r="D4153" s="10" t="n"/>
      <c r="E4153" s="14">
        <f>IF(D4153="","",IFERROR(INDEX('Sản phẩm'!$B$5:$B$304,MATCH(D4153,'Sản phẩm'!$A$5:$A$304,0)),""))</f>
        <v/>
      </c>
      <c r="F4153" s="12" t="n"/>
      <c r="G4153" s="11" t="n"/>
      <c r="H4153" s="11" t="n"/>
      <c r="I4153" s="16">
        <f>IF(D4153="","",IF(G4153&lt;&gt;"",G4153,IFERROR(INDEX('Sản phẩm'!$E$5:$E$304,MATCH(D4153,'Sản phẩm'!$A$5:$A$304,0)),"")))</f>
        <v/>
      </c>
      <c r="J4153" s="16">
        <f>IF(OR(D4153="",F4153=""),"",F4153*I4153-N(H4153))</f>
        <v/>
      </c>
      <c r="K4153" s="16">
        <f>IF(OR(D4153="",F4153=""),"",F4153*IFERROR(INDEX('Sản phẩm'!$D$5:$D$304,MATCH(D4153,'Sản phẩm'!$A$5:$A$304,0)),""))</f>
        <v/>
      </c>
      <c r="L4153" s="16">
        <f>IF(J4153="","",J4153-K4153)</f>
        <v/>
      </c>
      <c r="M4153" s="14">
        <f>IF(A4153="","",MONTH(A4153))</f>
        <v/>
      </c>
      <c r="N4153" s="14">
        <f>IF(A4153="","",YEAR(A4153))</f>
        <v/>
      </c>
    </row>
    <row r="4154">
      <c r="A4154" s="15" t="n"/>
      <c r="B4154" s="10" t="n"/>
      <c r="C4154" s="10" t="n"/>
      <c r="D4154" s="10" t="n"/>
      <c r="E4154" s="14">
        <f>IF(D4154="","",IFERROR(INDEX('Sản phẩm'!$B$5:$B$304,MATCH(D4154,'Sản phẩm'!$A$5:$A$304,0)),""))</f>
        <v/>
      </c>
      <c r="F4154" s="12" t="n"/>
      <c r="G4154" s="11" t="n"/>
      <c r="H4154" s="11" t="n"/>
      <c r="I4154" s="16">
        <f>IF(D4154="","",IF(G4154&lt;&gt;"",G4154,IFERROR(INDEX('Sản phẩm'!$E$5:$E$304,MATCH(D4154,'Sản phẩm'!$A$5:$A$304,0)),"")))</f>
        <v/>
      </c>
      <c r="J4154" s="16">
        <f>IF(OR(D4154="",F4154=""),"",F4154*I4154-N(H4154))</f>
        <v/>
      </c>
      <c r="K4154" s="16">
        <f>IF(OR(D4154="",F4154=""),"",F4154*IFERROR(INDEX('Sản phẩm'!$D$5:$D$304,MATCH(D4154,'Sản phẩm'!$A$5:$A$304,0)),""))</f>
        <v/>
      </c>
      <c r="L4154" s="16">
        <f>IF(J4154="","",J4154-K4154)</f>
        <v/>
      </c>
      <c r="M4154" s="14">
        <f>IF(A4154="","",MONTH(A4154))</f>
        <v/>
      </c>
      <c r="N4154" s="14">
        <f>IF(A4154="","",YEAR(A4154))</f>
        <v/>
      </c>
    </row>
    <row r="4155">
      <c r="A4155" s="15" t="n"/>
      <c r="B4155" s="10" t="n"/>
      <c r="C4155" s="10" t="n"/>
      <c r="D4155" s="10" t="n"/>
      <c r="E4155" s="14">
        <f>IF(D4155="","",IFERROR(INDEX('Sản phẩm'!$B$5:$B$304,MATCH(D4155,'Sản phẩm'!$A$5:$A$304,0)),""))</f>
        <v/>
      </c>
      <c r="F4155" s="12" t="n"/>
      <c r="G4155" s="11" t="n"/>
      <c r="H4155" s="11" t="n"/>
      <c r="I4155" s="16">
        <f>IF(D4155="","",IF(G4155&lt;&gt;"",G4155,IFERROR(INDEX('Sản phẩm'!$E$5:$E$304,MATCH(D4155,'Sản phẩm'!$A$5:$A$304,0)),"")))</f>
        <v/>
      </c>
      <c r="J4155" s="16">
        <f>IF(OR(D4155="",F4155=""),"",F4155*I4155-N(H4155))</f>
        <v/>
      </c>
      <c r="K4155" s="16">
        <f>IF(OR(D4155="",F4155=""),"",F4155*IFERROR(INDEX('Sản phẩm'!$D$5:$D$304,MATCH(D4155,'Sản phẩm'!$A$5:$A$304,0)),""))</f>
        <v/>
      </c>
      <c r="L4155" s="16">
        <f>IF(J4155="","",J4155-K4155)</f>
        <v/>
      </c>
      <c r="M4155" s="14">
        <f>IF(A4155="","",MONTH(A4155))</f>
        <v/>
      </c>
      <c r="N4155" s="14">
        <f>IF(A4155="","",YEAR(A4155))</f>
        <v/>
      </c>
    </row>
    <row r="4156">
      <c r="A4156" s="15" t="n"/>
      <c r="B4156" s="10" t="n"/>
      <c r="C4156" s="10" t="n"/>
      <c r="D4156" s="10" t="n"/>
      <c r="E4156" s="14">
        <f>IF(D4156="","",IFERROR(INDEX('Sản phẩm'!$B$5:$B$304,MATCH(D4156,'Sản phẩm'!$A$5:$A$304,0)),""))</f>
        <v/>
      </c>
      <c r="F4156" s="12" t="n"/>
      <c r="G4156" s="11" t="n"/>
      <c r="H4156" s="11" t="n"/>
      <c r="I4156" s="16">
        <f>IF(D4156="","",IF(G4156&lt;&gt;"",G4156,IFERROR(INDEX('Sản phẩm'!$E$5:$E$304,MATCH(D4156,'Sản phẩm'!$A$5:$A$304,0)),"")))</f>
        <v/>
      </c>
      <c r="J4156" s="16">
        <f>IF(OR(D4156="",F4156=""),"",F4156*I4156-N(H4156))</f>
        <v/>
      </c>
      <c r="K4156" s="16">
        <f>IF(OR(D4156="",F4156=""),"",F4156*IFERROR(INDEX('Sản phẩm'!$D$5:$D$304,MATCH(D4156,'Sản phẩm'!$A$5:$A$304,0)),""))</f>
        <v/>
      </c>
      <c r="L4156" s="16">
        <f>IF(J4156="","",J4156-K4156)</f>
        <v/>
      </c>
      <c r="M4156" s="14">
        <f>IF(A4156="","",MONTH(A4156))</f>
        <v/>
      </c>
      <c r="N4156" s="14">
        <f>IF(A4156="","",YEAR(A4156))</f>
        <v/>
      </c>
    </row>
    <row r="4157">
      <c r="A4157" s="15" t="n"/>
      <c r="B4157" s="10" t="n"/>
      <c r="C4157" s="10" t="n"/>
      <c r="D4157" s="10" t="n"/>
      <c r="E4157" s="14">
        <f>IF(D4157="","",IFERROR(INDEX('Sản phẩm'!$B$5:$B$304,MATCH(D4157,'Sản phẩm'!$A$5:$A$304,0)),""))</f>
        <v/>
      </c>
      <c r="F4157" s="12" t="n"/>
      <c r="G4157" s="11" t="n"/>
      <c r="H4157" s="11" t="n"/>
      <c r="I4157" s="16">
        <f>IF(D4157="","",IF(G4157&lt;&gt;"",G4157,IFERROR(INDEX('Sản phẩm'!$E$5:$E$304,MATCH(D4157,'Sản phẩm'!$A$5:$A$304,0)),"")))</f>
        <v/>
      </c>
      <c r="J4157" s="16">
        <f>IF(OR(D4157="",F4157=""),"",F4157*I4157-N(H4157))</f>
        <v/>
      </c>
      <c r="K4157" s="16">
        <f>IF(OR(D4157="",F4157=""),"",F4157*IFERROR(INDEX('Sản phẩm'!$D$5:$D$304,MATCH(D4157,'Sản phẩm'!$A$5:$A$304,0)),""))</f>
        <v/>
      </c>
      <c r="L4157" s="16">
        <f>IF(J4157="","",J4157-K4157)</f>
        <v/>
      </c>
      <c r="M4157" s="14">
        <f>IF(A4157="","",MONTH(A4157))</f>
        <v/>
      </c>
      <c r="N4157" s="14">
        <f>IF(A4157="","",YEAR(A4157))</f>
        <v/>
      </c>
    </row>
    <row r="4158">
      <c r="A4158" s="15" t="n"/>
      <c r="B4158" s="10" t="n"/>
      <c r="C4158" s="10" t="n"/>
      <c r="D4158" s="10" t="n"/>
      <c r="E4158" s="14">
        <f>IF(D4158="","",IFERROR(INDEX('Sản phẩm'!$B$5:$B$304,MATCH(D4158,'Sản phẩm'!$A$5:$A$304,0)),""))</f>
        <v/>
      </c>
      <c r="F4158" s="12" t="n"/>
      <c r="G4158" s="11" t="n"/>
      <c r="H4158" s="11" t="n"/>
      <c r="I4158" s="16">
        <f>IF(D4158="","",IF(G4158&lt;&gt;"",G4158,IFERROR(INDEX('Sản phẩm'!$E$5:$E$304,MATCH(D4158,'Sản phẩm'!$A$5:$A$304,0)),"")))</f>
        <v/>
      </c>
      <c r="J4158" s="16">
        <f>IF(OR(D4158="",F4158=""),"",F4158*I4158-N(H4158))</f>
        <v/>
      </c>
      <c r="K4158" s="16">
        <f>IF(OR(D4158="",F4158=""),"",F4158*IFERROR(INDEX('Sản phẩm'!$D$5:$D$304,MATCH(D4158,'Sản phẩm'!$A$5:$A$304,0)),""))</f>
        <v/>
      </c>
      <c r="L4158" s="16">
        <f>IF(J4158="","",J4158-K4158)</f>
        <v/>
      </c>
      <c r="M4158" s="14">
        <f>IF(A4158="","",MONTH(A4158))</f>
        <v/>
      </c>
      <c r="N4158" s="14">
        <f>IF(A4158="","",YEAR(A4158))</f>
        <v/>
      </c>
    </row>
    <row r="4159">
      <c r="A4159" s="15" t="n"/>
      <c r="B4159" s="10" t="n"/>
      <c r="C4159" s="10" t="n"/>
      <c r="D4159" s="10" t="n"/>
      <c r="E4159" s="14">
        <f>IF(D4159="","",IFERROR(INDEX('Sản phẩm'!$B$5:$B$304,MATCH(D4159,'Sản phẩm'!$A$5:$A$304,0)),""))</f>
        <v/>
      </c>
      <c r="F4159" s="12" t="n"/>
      <c r="G4159" s="11" t="n"/>
      <c r="H4159" s="11" t="n"/>
      <c r="I4159" s="16">
        <f>IF(D4159="","",IF(G4159&lt;&gt;"",G4159,IFERROR(INDEX('Sản phẩm'!$E$5:$E$304,MATCH(D4159,'Sản phẩm'!$A$5:$A$304,0)),"")))</f>
        <v/>
      </c>
      <c r="J4159" s="16">
        <f>IF(OR(D4159="",F4159=""),"",F4159*I4159-N(H4159))</f>
        <v/>
      </c>
      <c r="K4159" s="16">
        <f>IF(OR(D4159="",F4159=""),"",F4159*IFERROR(INDEX('Sản phẩm'!$D$5:$D$304,MATCH(D4159,'Sản phẩm'!$A$5:$A$304,0)),""))</f>
        <v/>
      </c>
      <c r="L4159" s="16">
        <f>IF(J4159="","",J4159-K4159)</f>
        <v/>
      </c>
      <c r="M4159" s="14">
        <f>IF(A4159="","",MONTH(A4159))</f>
        <v/>
      </c>
      <c r="N4159" s="14">
        <f>IF(A4159="","",YEAR(A4159))</f>
        <v/>
      </c>
    </row>
    <row r="4160">
      <c r="A4160" s="15" t="n"/>
      <c r="B4160" s="10" t="n"/>
      <c r="C4160" s="10" t="n"/>
      <c r="D4160" s="10" t="n"/>
      <c r="E4160" s="14">
        <f>IF(D4160="","",IFERROR(INDEX('Sản phẩm'!$B$5:$B$304,MATCH(D4160,'Sản phẩm'!$A$5:$A$304,0)),""))</f>
        <v/>
      </c>
      <c r="F4160" s="12" t="n"/>
      <c r="G4160" s="11" t="n"/>
      <c r="H4160" s="11" t="n"/>
      <c r="I4160" s="16">
        <f>IF(D4160="","",IF(G4160&lt;&gt;"",G4160,IFERROR(INDEX('Sản phẩm'!$E$5:$E$304,MATCH(D4160,'Sản phẩm'!$A$5:$A$304,0)),"")))</f>
        <v/>
      </c>
      <c r="J4160" s="16">
        <f>IF(OR(D4160="",F4160=""),"",F4160*I4160-N(H4160))</f>
        <v/>
      </c>
      <c r="K4160" s="16">
        <f>IF(OR(D4160="",F4160=""),"",F4160*IFERROR(INDEX('Sản phẩm'!$D$5:$D$304,MATCH(D4160,'Sản phẩm'!$A$5:$A$304,0)),""))</f>
        <v/>
      </c>
      <c r="L4160" s="16">
        <f>IF(J4160="","",J4160-K4160)</f>
        <v/>
      </c>
      <c r="M4160" s="14">
        <f>IF(A4160="","",MONTH(A4160))</f>
        <v/>
      </c>
      <c r="N4160" s="14">
        <f>IF(A4160="","",YEAR(A4160))</f>
        <v/>
      </c>
    </row>
    <row r="4161">
      <c r="A4161" s="15" t="n"/>
      <c r="B4161" s="10" t="n"/>
      <c r="C4161" s="10" t="n"/>
      <c r="D4161" s="10" t="n"/>
      <c r="E4161" s="14">
        <f>IF(D4161="","",IFERROR(INDEX('Sản phẩm'!$B$5:$B$304,MATCH(D4161,'Sản phẩm'!$A$5:$A$304,0)),""))</f>
        <v/>
      </c>
      <c r="F4161" s="12" t="n"/>
      <c r="G4161" s="11" t="n"/>
      <c r="H4161" s="11" t="n"/>
      <c r="I4161" s="16">
        <f>IF(D4161="","",IF(G4161&lt;&gt;"",G4161,IFERROR(INDEX('Sản phẩm'!$E$5:$E$304,MATCH(D4161,'Sản phẩm'!$A$5:$A$304,0)),"")))</f>
        <v/>
      </c>
      <c r="J4161" s="16">
        <f>IF(OR(D4161="",F4161=""),"",F4161*I4161-N(H4161))</f>
        <v/>
      </c>
      <c r="K4161" s="16">
        <f>IF(OR(D4161="",F4161=""),"",F4161*IFERROR(INDEX('Sản phẩm'!$D$5:$D$304,MATCH(D4161,'Sản phẩm'!$A$5:$A$304,0)),""))</f>
        <v/>
      </c>
      <c r="L4161" s="16">
        <f>IF(J4161="","",J4161-K4161)</f>
        <v/>
      </c>
      <c r="M4161" s="14">
        <f>IF(A4161="","",MONTH(A4161))</f>
        <v/>
      </c>
      <c r="N4161" s="14">
        <f>IF(A4161="","",YEAR(A4161))</f>
        <v/>
      </c>
    </row>
    <row r="4162">
      <c r="A4162" s="15" t="n"/>
      <c r="B4162" s="10" t="n"/>
      <c r="C4162" s="10" t="n"/>
      <c r="D4162" s="10" t="n"/>
      <c r="E4162" s="14">
        <f>IF(D4162="","",IFERROR(INDEX('Sản phẩm'!$B$5:$B$304,MATCH(D4162,'Sản phẩm'!$A$5:$A$304,0)),""))</f>
        <v/>
      </c>
      <c r="F4162" s="12" t="n"/>
      <c r="G4162" s="11" t="n"/>
      <c r="H4162" s="11" t="n"/>
      <c r="I4162" s="16">
        <f>IF(D4162="","",IF(G4162&lt;&gt;"",G4162,IFERROR(INDEX('Sản phẩm'!$E$5:$E$304,MATCH(D4162,'Sản phẩm'!$A$5:$A$304,0)),"")))</f>
        <v/>
      </c>
      <c r="J4162" s="16">
        <f>IF(OR(D4162="",F4162=""),"",F4162*I4162-N(H4162))</f>
        <v/>
      </c>
      <c r="K4162" s="16">
        <f>IF(OR(D4162="",F4162=""),"",F4162*IFERROR(INDEX('Sản phẩm'!$D$5:$D$304,MATCH(D4162,'Sản phẩm'!$A$5:$A$304,0)),""))</f>
        <v/>
      </c>
      <c r="L4162" s="16">
        <f>IF(J4162="","",J4162-K4162)</f>
        <v/>
      </c>
      <c r="M4162" s="14">
        <f>IF(A4162="","",MONTH(A4162))</f>
        <v/>
      </c>
      <c r="N4162" s="14">
        <f>IF(A4162="","",YEAR(A4162))</f>
        <v/>
      </c>
    </row>
    <row r="4163">
      <c r="A4163" s="15" t="n"/>
      <c r="B4163" s="10" t="n"/>
      <c r="C4163" s="10" t="n"/>
      <c r="D4163" s="10" t="n"/>
      <c r="E4163" s="14">
        <f>IF(D4163="","",IFERROR(INDEX('Sản phẩm'!$B$5:$B$304,MATCH(D4163,'Sản phẩm'!$A$5:$A$304,0)),""))</f>
        <v/>
      </c>
      <c r="F4163" s="12" t="n"/>
      <c r="G4163" s="11" t="n"/>
      <c r="H4163" s="11" t="n"/>
      <c r="I4163" s="16">
        <f>IF(D4163="","",IF(G4163&lt;&gt;"",G4163,IFERROR(INDEX('Sản phẩm'!$E$5:$E$304,MATCH(D4163,'Sản phẩm'!$A$5:$A$304,0)),"")))</f>
        <v/>
      </c>
      <c r="J4163" s="16">
        <f>IF(OR(D4163="",F4163=""),"",F4163*I4163-N(H4163))</f>
        <v/>
      </c>
      <c r="K4163" s="16">
        <f>IF(OR(D4163="",F4163=""),"",F4163*IFERROR(INDEX('Sản phẩm'!$D$5:$D$304,MATCH(D4163,'Sản phẩm'!$A$5:$A$304,0)),""))</f>
        <v/>
      </c>
      <c r="L4163" s="16">
        <f>IF(J4163="","",J4163-K4163)</f>
        <v/>
      </c>
      <c r="M4163" s="14">
        <f>IF(A4163="","",MONTH(A4163))</f>
        <v/>
      </c>
      <c r="N4163" s="14">
        <f>IF(A4163="","",YEAR(A4163))</f>
        <v/>
      </c>
    </row>
    <row r="4164">
      <c r="A4164" s="15" t="n"/>
      <c r="B4164" s="10" t="n"/>
      <c r="C4164" s="10" t="n"/>
      <c r="D4164" s="10" t="n"/>
      <c r="E4164" s="14">
        <f>IF(D4164="","",IFERROR(INDEX('Sản phẩm'!$B$5:$B$304,MATCH(D4164,'Sản phẩm'!$A$5:$A$304,0)),""))</f>
        <v/>
      </c>
      <c r="F4164" s="12" t="n"/>
      <c r="G4164" s="11" t="n"/>
      <c r="H4164" s="11" t="n"/>
      <c r="I4164" s="16">
        <f>IF(D4164="","",IF(G4164&lt;&gt;"",G4164,IFERROR(INDEX('Sản phẩm'!$E$5:$E$304,MATCH(D4164,'Sản phẩm'!$A$5:$A$304,0)),"")))</f>
        <v/>
      </c>
      <c r="J4164" s="16">
        <f>IF(OR(D4164="",F4164=""),"",F4164*I4164-N(H4164))</f>
        <v/>
      </c>
      <c r="K4164" s="16">
        <f>IF(OR(D4164="",F4164=""),"",F4164*IFERROR(INDEX('Sản phẩm'!$D$5:$D$304,MATCH(D4164,'Sản phẩm'!$A$5:$A$304,0)),""))</f>
        <v/>
      </c>
      <c r="L4164" s="16">
        <f>IF(J4164="","",J4164-K4164)</f>
        <v/>
      </c>
      <c r="M4164" s="14">
        <f>IF(A4164="","",MONTH(A4164))</f>
        <v/>
      </c>
      <c r="N4164" s="14">
        <f>IF(A4164="","",YEAR(A4164))</f>
        <v/>
      </c>
    </row>
    <row r="4165">
      <c r="A4165" s="15" t="n"/>
      <c r="B4165" s="10" t="n"/>
      <c r="C4165" s="10" t="n"/>
      <c r="D4165" s="10" t="n"/>
      <c r="E4165" s="14">
        <f>IF(D4165="","",IFERROR(INDEX('Sản phẩm'!$B$5:$B$304,MATCH(D4165,'Sản phẩm'!$A$5:$A$304,0)),""))</f>
        <v/>
      </c>
      <c r="F4165" s="12" t="n"/>
      <c r="G4165" s="11" t="n"/>
      <c r="H4165" s="11" t="n"/>
      <c r="I4165" s="16">
        <f>IF(D4165="","",IF(G4165&lt;&gt;"",G4165,IFERROR(INDEX('Sản phẩm'!$E$5:$E$304,MATCH(D4165,'Sản phẩm'!$A$5:$A$304,0)),"")))</f>
        <v/>
      </c>
      <c r="J4165" s="16">
        <f>IF(OR(D4165="",F4165=""),"",F4165*I4165-N(H4165))</f>
        <v/>
      </c>
      <c r="K4165" s="16">
        <f>IF(OR(D4165="",F4165=""),"",F4165*IFERROR(INDEX('Sản phẩm'!$D$5:$D$304,MATCH(D4165,'Sản phẩm'!$A$5:$A$304,0)),""))</f>
        <v/>
      </c>
      <c r="L4165" s="16">
        <f>IF(J4165="","",J4165-K4165)</f>
        <v/>
      </c>
      <c r="M4165" s="14">
        <f>IF(A4165="","",MONTH(A4165))</f>
        <v/>
      </c>
      <c r="N4165" s="14">
        <f>IF(A4165="","",YEAR(A4165))</f>
        <v/>
      </c>
    </row>
    <row r="4166">
      <c r="A4166" s="15" t="n"/>
      <c r="B4166" s="10" t="n"/>
      <c r="C4166" s="10" t="n"/>
      <c r="D4166" s="10" t="n"/>
      <c r="E4166" s="14">
        <f>IF(D4166="","",IFERROR(INDEX('Sản phẩm'!$B$5:$B$304,MATCH(D4166,'Sản phẩm'!$A$5:$A$304,0)),""))</f>
        <v/>
      </c>
      <c r="F4166" s="12" t="n"/>
      <c r="G4166" s="11" t="n"/>
      <c r="H4166" s="11" t="n"/>
      <c r="I4166" s="16">
        <f>IF(D4166="","",IF(G4166&lt;&gt;"",G4166,IFERROR(INDEX('Sản phẩm'!$E$5:$E$304,MATCH(D4166,'Sản phẩm'!$A$5:$A$304,0)),"")))</f>
        <v/>
      </c>
      <c r="J4166" s="16">
        <f>IF(OR(D4166="",F4166=""),"",F4166*I4166-N(H4166))</f>
        <v/>
      </c>
      <c r="K4166" s="16">
        <f>IF(OR(D4166="",F4166=""),"",F4166*IFERROR(INDEX('Sản phẩm'!$D$5:$D$304,MATCH(D4166,'Sản phẩm'!$A$5:$A$304,0)),""))</f>
        <v/>
      </c>
      <c r="L4166" s="16">
        <f>IF(J4166="","",J4166-K4166)</f>
        <v/>
      </c>
      <c r="M4166" s="14">
        <f>IF(A4166="","",MONTH(A4166))</f>
        <v/>
      </c>
      <c r="N4166" s="14">
        <f>IF(A4166="","",YEAR(A4166))</f>
        <v/>
      </c>
    </row>
    <row r="4167">
      <c r="A4167" s="15" t="n"/>
      <c r="B4167" s="10" t="n"/>
      <c r="C4167" s="10" t="n"/>
      <c r="D4167" s="10" t="n"/>
      <c r="E4167" s="14">
        <f>IF(D4167="","",IFERROR(INDEX('Sản phẩm'!$B$5:$B$304,MATCH(D4167,'Sản phẩm'!$A$5:$A$304,0)),""))</f>
        <v/>
      </c>
      <c r="F4167" s="12" t="n"/>
      <c r="G4167" s="11" t="n"/>
      <c r="H4167" s="11" t="n"/>
      <c r="I4167" s="16">
        <f>IF(D4167="","",IF(G4167&lt;&gt;"",G4167,IFERROR(INDEX('Sản phẩm'!$E$5:$E$304,MATCH(D4167,'Sản phẩm'!$A$5:$A$304,0)),"")))</f>
        <v/>
      </c>
      <c r="J4167" s="16">
        <f>IF(OR(D4167="",F4167=""),"",F4167*I4167-N(H4167))</f>
        <v/>
      </c>
      <c r="K4167" s="16">
        <f>IF(OR(D4167="",F4167=""),"",F4167*IFERROR(INDEX('Sản phẩm'!$D$5:$D$304,MATCH(D4167,'Sản phẩm'!$A$5:$A$304,0)),""))</f>
        <v/>
      </c>
      <c r="L4167" s="16">
        <f>IF(J4167="","",J4167-K4167)</f>
        <v/>
      </c>
      <c r="M4167" s="14">
        <f>IF(A4167="","",MONTH(A4167))</f>
        <v/>
      </c>
      <c r="N4167" s="14">
        <f>IF(A4167="","",YEAR(A4167))</f>
        <v/>
      </c>
    </row>
    <row r="4168">
      <c r="A4168" s="15" t="n"/>
      <c r="B4168" s="10" t="n"/>
      <c r="C4168" s="10" t="n"/>
      <c r="D4168" s="10" t="n"/>
      <c r="E4168" s="14">
        <f>IF(D4168="","",IFERROR(INDEX('Sản phẩm'!$B$5:$B$304,MATCH(D4168,'Sản phẩm'!$A$5:$A$304,0)),""))</f>
        <v/>
      </c>
      <c r="F4168" s="12" t="n"/>
      <c r="G4168" s="11" t="n"/>
      <c r="H4168" s="11" t="n"/>
      <c r="I4168" s="16">
        <f>IF(D4168="","",IF(G4168&lt;&gt;"",G4168,IFERROR(INDEX('Sản phẩm'!$E$5:$E$304,MATCH(D4168,'Sản phẩm'!$A$5:$A$304,0)),"")))</f>
        <v/>
      </c>
      <c r="J4168" s="16">
        <f>IF(OR(D4168="",F4168=""),"",F4168*I4168-N(H4168))</f>
        <v/>
      </c>
      <c r="K4168" s="16">
        <f>IF(OR(D4168="",F4168=""),"",F4168*IFERROR(INDEX('Sản phẩm'!$D$5:$D$304,MATCH(D4168,'Sản phẩm'!$A$5:$A$304,0)),""))</f>
        <v/>
      </c>
      <c r="L4168" s="16">
        <f>IF(J4168="","",J4168-K4168)</f>
        <v/>
      </c>
      <c r="M4168" s="14">
        <f>IF(A4168="","",MONTH(A4168))</f>
        <v/>
      </c>
      <c r="N4168" s="14">
        <f>IF(A4168="","",YEAR(A4168))</f>
        <v/>
      </c>
    </row>
    <row r="4169">
      <c r="A4169" s="15" t="n"/>
      <c r="B4169" s="10" t="n"/>
      <c r="C4169" s="10" t="n"/>
      <c r="D4169" s="10" t="n"/>
      <c r="E4169" s="14">
        <f>IF(D4169="","",IFERROR(INDEX('Sản phẩm'!$B$5:$B$304,MATCH(D4169,'Sản phẩm'!$A$5:$A$304,0)),""))</f>
        <v/>
      </c>
      <c r="F4169" s="12" t="n"/>
      <c r="G4169" s="11" t="n"/>
      <c r="H4169" s="11" t="n"/>
      <c r="I4169" s="16">
        <f>IF(D4169="","",IF(G4169&lt;&gt;"",G4169,IFERROR(INDEX('Sản phẩm'!$E$5:$E$304,MATCH(D4169,'Sản phẩm'!$A$5:$A$304,0)),"")))</f>
        <v/>
      </c>
      <c r="J4169" s="16">
        <f>IF(OR(D4169="",F4169=""),"",F4169*I4169-N(H4169))</f>
        <v/>
      </c>
      <c r="K4169" s="16">
        <f>IF(OR(D4169="",F4169=""),"",F4169*IFERROR(INDEX('Sản phẩm'!$D$5:$D$304,MATCH(D4169,'Sản phẩm'!$A$5:$A$304,0)),""))</f>
        <v/>
      </c>
      <c r="L4169" s="16">
        <f>IF(J4169="","",J4169-K4169)</f>
        <v/>
      </c>
      <c r="M4169" s="14">
        <f>IF(A4169="","",MONTH(A4169))</f>
        <v/>
      </c>
      <c r="N4169" s="14">
        <f>IF(A4169="","",YEAR(A4169))</f>
        <v/>
      </c>
    </row>
    <row r="4170">
      <c r="A4170" s="15" t="n"/>
      <c r="B4170" s="10" t="n"/>
      <c r="C4170" s="10" t="n"/>
      <c r="D4170" s="10" t="n"/>
      <c r="E4170" s="14">
        <f>IF(D4170="","",IFERROR(INDEX('Sản phẩm'!$B$5:$B$304,MATCH(D4170,'Sản phẩm'!$A$5:$A$304,0)),""))</f>
        <v/>
      </c>
      <c r="F4170" s="12" t="n"/>
      <c r="G4170" s="11" t="n"/>
      <c r="H4170" s="11" t="n"/>
      <c r="I4170" s="16">
        <f>IF(D4170="","",IF(G4170&lt;&gt;"",G4170,IFERROR(INDEX('Sản phẩm'!$E$5:$E$304,MATCH(D4170,'Sản phẩm'!$A$5:$A$304,0)),"")))</f>
        <v/>
      </c>
      <c r="J4170" s="16">
        <f>IF(OR(D4170="",F4170=""),"",F4170*I4170-N(H4170))</f>
        <v/>
      </c>
      <c r="K4170" s="16">
        <f>IF(OR(D4170="",F4170=""),"",F4170*IFERROR(INDEX('Sản phẩm'!$D$5:$D$304,MATCH(D4170,'Sản phẩm'!$A$5:$A$304,0)),""))</f>
        <v/>
      </c>
      <c r="L4170" s="16">
        <f>IF(J4170="","",J4170-K4170)</f>
        <v/>
      </c>
      <c r="M4170" s="14">
        <f>IF(A4170="","",MONTH(A4170))</f>
        <v/>
      </c>
      <c r="N4170" s="14">
        <f>IF(A4170="","",YEAR(A4170))</f>
        <v/>
      </c>
    </row>
    <row r="4171">
      <c r="A4171" s="15" t="n"/>
      <c r="B4171" s="10" t="n"/>
      <c r="C4171" s="10" t="n"/>
      <c r="D4171" s="10" t="n"/>
      <c r="E4171" s="14">
        <f>IF(D4171="","",IFERROR(INDEX('Sản phẩm'!$B$5:$B$304,MATCH(D4171,'Sản phẩm'!$A$5:$A$304,0)),""))</f>
        <v/>
      </c>
      <c r="F4171" s="12" t="n"/>
      <c r="G4171" s="11" t="n"/>
      <c r="H4171" s="11" t="n"/>
      <c r="I4171" s="16">
        <f>IF(D4171="","",IF(G4171&lt;&gt;"",G4171,IFERROR(INDEX('Sản phẩm'!$E$5:$E$304,MATCH(D4171,'Sản phẩm'!$A$5:$A$304,0)),"")))</f>
        <v/>
      </c>
      <c r="J4171" s="16">
        <f>IF(OR(D4171="",F4171=""),"",F4171*I4171-N(H4171))</f>
        <v/>
      </c>
      <c r="K4171" s="16">
        <f>IF(OR(D4171="",F4171=""),"",F4171*IFERROR(INDEX('Sản phẩm'!$D$5:$D$304,MATCH(D4171,'Sản phẩm'!$A$5:$A$304,0)),""))</f>
        <v/>
      </c>
      <c r="L4171" s="16">
        <f>IF(J4171="","",J4171-K4171)</f>
        <v/>
      </c>
      <c r="M4171" s="14">
        <f>IF(A4171="","",MONTH(A4171))</f>
        <v/>
      </c>
      <c r="N4171" s="14">
        <f>IF(A4171="","",YEAR(A4171))</f>
        <v/>
      </c>
    </row>
    <row r="4172">
      <c r="A4172" s="15" t="n"/>
      <c r="B4172" s="10" t="n"/>
      <c r="C4172" s="10" t="n"/>
      <c r="D4172" s="10" t="n"/>
      <c r="E4172" s="14">
        <f>IF(D4172="","",IFERROR(INDEX('Sản phẩm'!$B$5:$B$304,MATCH(D4172,'Sản phẩm'!$A$5:$A$304,0)),""))</f>
        <v/>
      </c>
      <c r="F4172" s="12" t="n"/>
      <c r="G4172" s="11" t="n"/>
      <c r="H4172" s="11" t="n"/>
      <c r="I4172" s="16">
        <f>IF(D4172="","",IF(G4172&lt;&gt;"",G4172,IFERROR(INDEX('Sản phẩm'!$E$5:$E$304,MATCH(D4172,'Sản phẩm'!$A$5:$A$304,0)),"")))</f>
        <v/>
      </c>
      <c r="J4172" s="16">
        <f>IF(OR(D4172="",F4172=""),"",F4172*I4172-N(H4172))</f>
        <v/>
      </c>
      <c r="K4172" s="16">
        <f>IF(OR(D4172="",F4172=""),"",F4172*IFERROR(INDEX('Sản phẩm'!$D$5:$D$304,MATCH(D4172,'Sản phẩm'!$A$5:$A$304,0)),""))</f>
        <v/>
      </c>
      <c r="L4172" s="16">
        <f>IF(J4172="","",J4172-K4172)</f>
        <v/>
      </c>
      <c r="M4172" s="14">
        <f>IF(A4172="","",MONTH(A4172))</f>
        <v/>
      </c>
      <c r="N4172" s="14">
        <f>IF(A4172="","",YEAR(A4172))</f>
        <v/>
      </c>
    </row>
    <row r="4173">
      <c r="A4173" s="15" t="n"/>
      <c r="B4173" s="10" t="n"/>
      <c r="C4173" s="10" t="n"/>
      <c r="D4173" s="10" t="n"/>
      <c r="E4173" s="14">
        <f>IF(D4173="","",IFERROR(INDEX('Sản phẩm'!$B$5:$B$304,MATCH(D4173,'Sản phẩm'!$A$5:$A$304,0)),""))</f>
        <v/>
      </c>
      <c r="F4173" s="12" t="n"/>
      <c r="G4173" s="11" t="n"/>
      <c r="H4173" s="11" t="n"/>
      <c r="I4173" s="16">
        <f>IF(D4173="","",IF(G4173&lt;&gt;"",G4173,IFERROR(INDEX('Sản phẩm'!$E$5:$E$304,MATCH(D4173,'Sản phẩm'!$A$5:$A$304,0)),"")))</f>
        <v/>
      </c>
      <c r="J4173" s="16">
        <f>IF(OR(D4173="",F4173=""),"",F4173*I4173-N(H4173))</f>
        <v/>
      </c>
      <c r="K4173" s="16">
        <f>IF(OR(D4173="",F4173=""),"",F4173*IFERROR(INDEX('Sản phẩm'!$D$5:$D$304,MATCH(D4173,'Sản phẩm'!$A$5:$A$304,0)),""))</f>
        <v/>
      </c>
      <c r="L4173" s="16">
        <f>IF(J4173="","",J4173-K4173)</f>
        <v/>
      </c>
      <c r="M4173" s="14">
        <f>IF(A4173="","",MONTH(A4173))</f>
        <v/>
      </c>
      <c r="N4173" s="14">
        <f>IF(A4173="","",YEAR(A4173))</f>
        <v/>
      </c>
    </row>
    <row r="4174">
      <c r="A4174" s="15" t="n"/>
      <c r="B4174" s="10" t="n"/>
      <c r="C4174" s="10" t="n"/>
      <c r="D4174" s="10" t="n"/>
      <c r="E4174" s="14">
        <f>IF(D4174="","",IFERROR(INDEX('Sản phẩm'!$B$5:$B$304,MATCH(D4174,'Sản phẩm'!$A$5:$A$304,0)),""))</f>
        <v/>
      </c>
      <c r="F4174" s="12" t="n"/>
      <c r="G4174" s="11" t="n"/>
      <c r="H4174" s="11" t="n"/>
      <c r="I4174" s="16">
        <f>IF(D4174="","",IF(G4174&lt;&gt;"",G4174,IFERROR(INDEX('Sản phẩm'!$E$5:$E$304,MATCH(D4174,'Sản phẩm'!$A$5:$A$304,0)),"")))</f>
        <v/>
      </c>
      <c r="J4174" s="16">
        <f>IF(OR(D4174="",F4174=""),"",F4174*I4174-N(H4174))</f>
        <v/>
      </c>
      <c r="K4174" s="16">
        <f>IF(OR(D4174="",F4174=""),"",F4174*IFERROR(INDEX('Sản phẩm'!$D$5:$D$304,MATCH(D4174,'Sản phẩm'!$A$5:$A$304,0)),""))</f>
        <v/>
      </c>
      <c r="L4174" s="16">
        <f>IF(J4174="","",J4174-K4174)</f>
        <v/>
      </c>
      <c r="M4174" s="14">
        <f>IF(A4174="","",MONTH(A4174))</f>
        <v/>
      </c>
      <c r="N4174" s="14">
        <f>IF(A4174="","",YEAR(A4174))</f>
        <v/>
      </c>
    </row>
    <row r="4175">
      <c r="A4175" s="15" t="n"/>
      <c r="B4175" s="10" t="n"/>
      <c r="C4175" s="10" t="n"/>
      <c r="D4175" s="10" t="n"/>
      <c r="E4175" s="14">
        <f>IF(D4175="","",IFERROR(INDEX('Sản phẩm'!$B$5:$B$304,MATCH(D4175,'Sản phẩm'!$A$5:$A$304,0)),""))</f>
        <v/>
      </c>
      <c r="F4175" s="12" t="n"/>
      <c r="G4175" s="11" t="n"/>
      <c r="H4175" s="11" t="n"/>
      <c r="I4175" s="16">
        <f>IF(D4175="","",IF(G4175&lt;&gt;"",G4175,IFERROR(INDEX('Sản phẩm'!$E$5:$E$304,MATCH(D4175,'Sản phẩm'!$A$5:$A$304,0)),"")))</f>
        <v/>
      </c>
      <c r="J4175" s="16">
        <f>IF(OR(D4175="",F4175=""),"",F4175*I4175-N(H4175))</f>
        <v/>
      </c>
      <c r="K4175" s="16">
        <f>IF(OR(D4175="",F4175=""),"",F4175*IFERROR(INDEX('Sản phẩm'!$D$5:$D$304,MATCH(D4175,'Sản phẩm'!$A$5:$A$304,0)),""))</f>
        <v/>
      </c>
      <c r="L4175" s="16">
        <f>IF(J4175="","",J4175-K4175)</f>
        <v/>
      </c>
      <c r="M4175" s="14">
        <f>IF(A4175="","",MONTH(A4175))</f>
        <v/>
      </c>
      <c r="N4175" s="14">
        <f>IF(A4175="","",YEAR(A4175))</f>
        <v/>
      </c>
    </row>
    <row r="4176">
      <c r="A4176" s="15" t="n"/>
      <c r="B4176" s="10" t="n"/>
      <c r="C4176" s="10" t="n"/>
      <c r="D4176" s="10" t="n"/>
      <c r="E4176" s="14">
        <f>IF(D4176="","",IFERROR(INDEX('Sản phẩm'!$B$5:$B$304,MATCH(D4176,'Sản phẩm'!$A$5:$A$304,0)),""))</f>
        <v/>
      </c>
      <c r="F4176" s="12" t="n"/>
      <c r="G4176" s="11" t="n"/>
      <c r="H4176" s="11" t="n"/>
      <c r="I4176" s="16">
        <f>IF(D4176="","",IF(G4176&lt;&gt;"",G4176,IFERROR(INDEX('Sản phẩm'!$E$5:$E$304,MATCH(D4176,'Sản phẩm'!$A$5:$A$304,0)),"")))</f>
        <v/>
      </c>
      <c r="J4176" s="16">
        <f>IF(OR(D4176="",F4176=""),"",F4176*I4176-N(H4176))</f>
        <v/>
      </c>
      <c r="K4176" s="16">
        <f>IF(OR(D4176="",F4176=""),"",F4176*IFERROR(INDEX('Sản phẩm'!$D$5:$D$304,MATCH(D4176,'Sản phẩm'!$A$5:$A$304,0)),""))</f>
        <v/>
      </c>
      <c r="L4176" s="16">
        <f>IF(J4176="","",J4176-K4176)</f>
        <v/>
      </c>
      <c r="M4176" s="14">
        <f>IF(A4176="","",MONTH(A4176))</f>
        <v/>
      </c>
      <c r="N4176" s="14">
        <f>IF(A4176="","",YEAR(A4176))</f>
        <v/>
      </c>
    </row>
    <row r="4177">
      <c r="A4177" s="15" t="n"/>
      <c r="B4177" s="10" t="n"/>
      <c r="C4177" s="10" t="n"/>
      <c r="D4177" s="10" t="n"/>
      <c r="E4177" s="14">
        <f>IF(D4177="","",IFERROR(INDEX('Sản phẩm'!$B$5:$B$304,MATCH(D4177,'Sản phẩm'!$A$5:$A$304,0)),""))</f>
        <v/>
      </c>
      <c r="F4177" s="12" t="n"/>
      <c r="G4177" s="11" t="n"/>
      <c r="H4177" s="11" t="n"/>
      <c r="I4177" s="16">
        <f>IF(D4177="","",IF(G4177&lt;&gt;"",G4177,IFERROR(INDEX('Sản phẩm'!$E$5:$E$304,MATCH(D4177,'Sản phẩm'!$A$5:$A$304,0)),"")))</f>
        <v/>
      </c>
      <c r="J4177" s="16">
        <f>IF(OR(D4177="",F4177=""),"",F4177*I4177-N(H4177))</f>
        <v/>
      </c>
      <c r="K4177" s="16">
        <f>IF(OR(D4177="",F4177=""),"",F4177*IFERROR(INDEX('Sản phẩm'!$D$5:$D$304,MATCH(D4177,'Sản phẩm'!$A$5:$A$304,0)),""))</f>
        <v/>
      </c>
      <c r="L4177" s="16">
        <f>IF(J4177="","",J4177-K4177)</f>
        <v/>
      </c>
      <c r="M4177" s="14">
        <f>IF(A4177="","",MONTH(A4177))</f>
        <v/>
      </c>
      <c r="N4177" s="14">
        <f>IF(A4177="","",YEAR(A4177))</f>
        <v/>
      </c>
    </row>
    <row r="4178">
      <c r="A4178" s="15" t="n"/>
      <c r="B4178" s="10" t="n"/>
      <c r="C4178" s="10" t="n"/>
      <c r="D4178" s="10" t="n"/>
      <c r="E4178" s="14">
        <f>IF(D4178="","",IFERROR(INDEX('Sản phẩm'!$B$5:$B$304,MATCH(D4178,'Sản phẩm'!$A$5:$A$304,0)),""))</f>
        <v/>
      </c>
      <c r="F4178" s="12" t="n"/>
      <c r="G4178" s="11" t="n"/>
      <c r="H4178" s="11" t="n"/>
      <c r="I4178" s="16">
        <f>IF(D4178="","",IF(G4178&lt;&gt;"",G4178,IFERROR(INDEX('Sản phẩm'!$E$5:$E$304,MATCH(D4178,'Sản phẩm'!$A$5:$A$304,0)),"")))</f>
        <v/>
      </c>
      <c r="J4178" s="16">
        <f>IF(OR(D4178="",F4178=""),"",F4178*I4178-N(H4178))</f>
        <v/>
      </c>
      <c r="K4178" s="16">
        <f>IF(OR(D4178="",F4178=""),"",F4178*IFERROR(INDEX('Sản phẩm'!$D$5:$D$304,MATCH(D4178,'Sản phẩm'!$A$5:$A$304,0)),""))</f>
        <v/>
      </c>
      <c r="L4178" s="16">
        <f>IF(J4178="","",J4178-K4178)</f>
        <v/>
      </c>
      <c r="M4178" s="14">
        <f>IF(A4178="","",MONTH(A4178))</f>
        <v/>
      </c>
      <c r="N4178" s="14">
        <f>IF(A4178="","",YEAR(A4178))</f>
        <v/>
      </c>
    </row>
    <row r="4179">
      <c r="A4179" s="15" t="n"/>
      <c r="B4179" s="10" t="n"/>
      <c r="C4179" s="10" t="n"/>
      <c r="D4179" s="10" t="n"/>
      <c r="E4179" s="14">
        <f>IF(D4179="","",IFERROR(INDEX('Sản phẩm'!$B$5:$B$304,MATCH(D4179,'Sản phẩm'!$A$5:$A$304,0)),""))</f>
        <v/>
      </c>
      <c r="F4179" s="12" t="n"/>
      <c r="G4179" s="11" t="n"/>
      <c r="H4179" s="11" t="n"/>
      <c r="I4179" s="16">
        <f>IF(D4179="","",IF(G4179&lt;&gt;"",G4179,IFERROR(INDEX('Sản phẩm'!$E$5:$E$304,MATCH(D4179,'Sản phẩm'!$A$5:$A$304,0)),"")))</f>
        <v/>
      </c>
      <c r="J4179" s="16">
        <f>IF(OR(D4179="",F4179=""),"",F4179*I4179-N(H4179))</f>
        <v/>
      </c>
      <c r="K4179" s="16">
        <f>IF(OR(D4179="",F4179=""),"",F4179*IFERROR(INDEX('Sản phẩm'!$D$5:$D$304,MATCH(D4179,'Sản phẩm'!$A$5:$A$304,0)),""))</f>
        <v/>
      </c>
      <c r="L4179" s="16">
        <f>IF(J4179="","",J4179-K4179)</f>
        <v/>
      </c>
      <c r="M4179" s="14">
        <f>IF(A4179="","",MONTH(A4179))</f>
        <v/>
      </c>
      <c r="N4179" s="14">
        <f>IF(A4179="","",YEAR(A4179))</f>
        <v/>
      </c>
    </row>
    <row r="4180">
      <c r="A4180" s="15" t="n"/>
      <c r="B4180" s="10" t="n"/>
      <c r="C4180" s="10" t="n"/>
      <c r="D4180" s="10" t="n"/>
      <c r="E4180" s="14">
        <f>IF(D4180="","",IFERROR(INDEX('Sản phẩm'!$B$5:$B$304,MATCH(D4180,'Sản phẩm'!$A$5:$A$304,0)),""))</f>
        <v/>
      </c>
      <c r="F4180" s="12" t="n"/>
      <c r="G4180" s="11" t="n"/>
      <c r="H4180" s="11" t="n"/>
      <c r="I4180" s="16">
        <f>IF(D4180="","",IF(G4180&lt;&gt;"",G4180,IFERROR(INDEX('Sản phẩm'!$E$5:$E$304,MATCH(D4180,'Sản phẩm'!$A$5:$A$304,0)),"")))</f>
        <v/>
      </c>
      <c r="J4180" s="16">
        <f>IF(OR(D4180="",F4180=""),"",F4180*I4180-N(H4180))</f>
        <v/>
      </c>
      <c r="K4180" s="16">
        <f>IF(OR(D4180="",F4180=""),"",F4180*IFERROR(INDEX('Sản phẩm'!$D$5:$D$304,MATCH(D4180,'Sản phẩm'!$A$5:$A$304,0)),""))</f>
        <v/>
      </c>
      <c r="L4180" s="16">
        <f>IF(J4180="","",J4180-K4180)</f>
        <v/>
      </c>
      <c r="M4180" s="14">
        <f>IF(A4180="","",MONTH(A4180))</f>
        <v/>
      </c>
      <c r="N4180" s="14">
        <f>IF(A4180="","",YEAR(A4180))</f>
        <v/>
      </c>
    </row>
    <row r="4181">
      <c r="A4181" s="15" t="n"/>
      <c r="B4181" s="10" t="n"/>
      <c r="C4181" s="10" t="n"/>
      <c r="D4181" s="10" t="n"/>
      <c r="E4181" s="14">
        <f>IF(D4181="","",IFERROR(INDEX('Sản phẩm'!$B$5:$B$304,MATCH(D4181,'Sản phẩm'!$A$5:$A$304,0)),""))</f>
        <v/>
      </c>
      <c r="F4181" s="12" t="n"/>
      <c r="G4181" s="11" t="n"/>
      <c r="H4181" s="11" t="n"/>
      <c r="I4181" s="16">
        <f>IF(D4181="","",IF(G4181&lt;&gt;"",G4181,IFERROR(INDEX('Sản phẩm'!$E$5:$E$304,MATCH(D4181,'Sản phẩm'!$A$5:$A$304,0)),"")))</f>
        <v/>
      </c>
      <c r="J4181" s="16">
        <f>IF(OR(D4181="",F4181=""),"",F4181*I4181-N(H4181))</f>
        <v/>
      </c>
      <c r="K4181" s="16">
        <f>IF(OR(D4181="",F4181=""),"",F4181*IFERROR(INDEX('Sản phẩm'!$D$5:$D$304,MATCH(D4181,'Sản phẩm'!$A$5:$A$304,0)),""))</f>
        <v/>
      </c>
      <c r="L4181" s="16">
        <f>IF(J4181="","",J4181-K4181)</f>
        <v/>
      </c>
      <c r="M4181" s="14">
        <f>IF(A4181="","",MONTH(A4181))</f>
        <v/>
      </c>
      <c r="N4181" s="14">
        <f>IF(A4181="","",YEAR(A4181))</f>
        <v/>
      </c>
    </row>
    <row r="4182">
      <c r="A4182" s="15" t="n"/>
      <c r="B4182" s="10" t="n"/>
      <c r="C4182" s="10" t="n"/>
      <c r="D4182" s="10" t="n"/>
      <c r="E4182" s="14">
        <f>IF(D4182="","",IFERROR(INDEX('Sản phẩm'!$B$5:$B$304,MATCH(D4182,'Sản phẩm'!$A$5:$A$304,0)),""))</f>
        <v/>
      </c>
      <c r="F4182" s="12" t="n"/>
      <c r="G4182" s="11" t="n"/>
      <c r="H4182" s="11" t="n"/>
      <c r="I4182" s="16">
        <f>IF(D4182="","",IF(G4182&lt;&gt;"",G4182,IFERROR(INDEX('Sản phẩm'!$E$5:$E$304,MATCH(D4182,'Sản phẩm'!$A$5:$A$304,0)),"")))</f>
        <v/>
      </c>
      <c r="J4182" s="16">
        <f>IF(OR(D4182="",F4182=""),"",F4182*I4182-N(H4182))</f>
        <v/>
      </c>
      <c r="K4182" s="16">
        <f>IF(OR(D4182="",F4182=""),"",F4182*IFERROR(INDEX('Sản phẩm'!$D$5:$D$304,MATCH(D4182,'Sản phẩm'!$A$5:$A$304,0)),""))</f>
        <v/>
      </c>
      <c r="L4182" s="16">
        <f>IF(J4182="","",J4182-K4182)</f>
        <v/>
      </c>
      <c r="M4182" s="14">
        <f>IF(A4182="","",MONTH(A4182))</f>
        <v/>
      </c>
      <c r="N4182" s="14">
        <f>IF(A4182="","",YEAR(A4182))</f>
        <v/>
      </c>
    </row>
    <row r="4183">
      <c r="A4183" s="15" t="n"/>
      <c r="B4183" s="10" t="n"/>
      <c r="C4183" s="10" t="n"/>
      <c r="D4183" s="10" t="n"/>
      <c r="E4183" s="14">
        <f>IF(D4183="","",IFERROR(INDEX('Sản phẩm'!$B$5:$B$304,MATCH(D4183,'Sản phẩm'!$A$5:$A$304,0)),""))</f>
        <v/>
      </c>
      <c r="F4183" s="12" t="n"/>
      <c r="G4183" s="11" t="n"/>
      <c r="H4183" s="11" t="n"/>
      <c r="I4183" s="16">
        <f>IF(D4183="","",IF(G4183&lt;&gt;"",G4183,IFERROR(INDEX('Sản phẩm'!$E$5:$E$304,MATCH(D4183,'Sản phẩm'!$A$5:$A$304,0)),"")))</f>
        <v/>
      </c>
      <c r="J4183" s="16">
        <f>IF(OR(D4183="",F4183=""),"",F4183*I4183-N(H4183))</f>
        <v/>
      </c>
      <c r="K4183" s="16">
        <f>IF(OR(D4183="",F4183=""),"",F4183*IFERROR(INDEX('Sản phẩm'!$D$5:$D$304,MATCH(D4183,'Sản phẩm'!$A$5:$A$304,0)),""))</f>
        <v/>
      </c>
      <c r="L4183" s="16">
        <f>IF(J4183="","",J4183-K4183)</f>
        <v/>
      </c>
      <c r="M4183" s="14">
        <f>IF(A4183="","",MONTH(A4183))</f>
        <v/>
      </c>
      <c r="N4183" s="14">
        <f>IF(A4183="","",YEAR(A4183))</f>
        <v/>
      </c>
    </row>
    <row r="4184">
      <c r="A4184" s="15" t="n"/>
      <c r="B4184" s="10" t="n"/>
      <c r="C4184" s="10" t="n"/>
      <c r="D4184" s="10" t="n"/>
      <c r="E4184" s="14">
        <f>IF(D4184="","",IFERROR(INDEX('Sản phẩm'!$B$5:$B$304,MATCH(D4184,'Sản phẩm'!$A$5:$A$304,0)),""))</f>
        <v/>
      </c>
      <c r="F4184" s="12" t="n"/>
      <c r="G4184" s="11" t="n"/>
      <c r="H4184" s="11" t="n"/>
      <c r="I4184" s="16">
        <f>IF(D4184="","",IF(G4184&lt;&gt;"",G4184,IFERROR(INDEX('Sản phẩm'!$E$5:$E$304,MATCH(D4184,'Sản phẩm'!$A$5:$A$304,0)),"")))</f>
        <v/>
      </c>
      <c r="J4184" s="16">
        <f>IF(OR(D4184="",F4184=""),"",F4184*I4184-N(H4184))</f>
        <v/>
      </c>
      <c r="K4184" s="16">
        <f>IF(OR(D4184="",F4184=""),"",F4184*IFERROR(INDEX('Sản phẩm'!$D$5:$D$304,MATCH(D4184,'Sản phẩm'!$A$5:$A$304,0)),""))</f>
        <v/>
      </c>
      <c r="L4184" s="16">
        <f>IF(J4184="","",J4184-K4184)</f>
        <v/>
      </c>
      <c r="M4184" s="14">
        <f>IF(A4184="","",MONTH(A4184))</f>
        <v/>
      </c>
      <c r="N4184" s="14">
        <f>IF(A4184="","",YEAR(A4184))</f>
        <v/>
      </c>
    </row>
    <row r="4185">
      <c r="A4185" s="15" t="n"/>
      <c r="B4185" s="10" t="n"/>
      <c r="C4185" s="10" t="n"/>
      <c r="D4185" s="10" t="n"/>
      <c r="E4185" s="14">
        <f>IF(D4185="","",IFERROR(INDEX('Sản phẩm'!$B$5:$B$304,MATCH(D4185,'Sản phẩm'!$A$5:$A$304,0)),""))</f>
        <v/>
      </c>
      <c r="F4185" s="12" t="n"/>
      <c r="G4185" s="11" t="n"/>
      <c r="H4185" s="11" t="n"/>
      <c r="I4185" s="16">
        <f>IF(D4185="","",IF(G4185&lt;&gt;"",G4185,IFERROR(INDEX('Sản phẩm'!$E$5:$E$304,MATCH(D4185,'Sản phẩm'!$A$5:$A$304,0)),"")))</f>
        <v/>
      </c>
      <c r="J4185" s="16">
        <f>IF(OR(D4185="",F4185=""),"",F4185*I4185-N(H4185))</f>
        <v/>
      </c>
      <c r="K4185" s="16">
        <f>IF(OR(D4185="",F4185=""),"",F4185*IFERROR(INDEX('Sản phẩm'!$D$5:$D$304,MATCH(D4185,'Sản phẩm'!$A$5:$A$304,0)),""))</f>
        <v/>
      </c>
      <c r="L4185" s="16">
        <f>IF(J4185="","",J4185-K4185)</f>
        <v/>
      </c>
      <c r="M4185" s="14">
        <f>IF(A4185="","",MONTH(A4185))</f>
        <v/>
      </c>
      <c r="N4185" s="14">
        <f>IF(A4185="","",YEAR(A4185))</f>
        <v/>
      </c>
    </row>
    <row r="4186">
      <c r="A4186" s="15" t="n"/>
      <c r="B4186" s="10" t="n"/>
      <c r="C4186" s="10" t="n"/>
      <c r="D4186" s="10" t="n"/>
      <c r="E4186" s="14">
        <f>IF(D4186="","",IFERROR(INDEX('Sản phẩm'!$B$5:$B$304,MATCH(D4186,'Sản phẩm'!$A$5:$A$304,0)),""))</f>
        <v/>
      </c>
      <c r="F4186" s="12" t="n"/>
      <c r="G4186" s="11" t="n"/>
      <c r="H4186" s="11" t="n"/>
      <c r="I4186" s="16">
        <f>IF(D4186="","",IF(G4186&lt;&gt;"",G4186,IFERROR(INDEX('Sản phẩm'!$E$5:$E$304,MATCH(D4186,'Sản phẩm'!$A$5:$A$304,0)),"")))</f>
        <v/>
      </c>
      <c r="J4186" s="16">
        <f>IF(OR(D4186="",F4186=""),"",F4186*I4186-N(H4186))</f>
        <v/>
      </c>
      <c r="K4186" s="16">
        <f>IF(OR(D4186="",F4186=""),"",F4186*IFERROR(INDEX('Sản phẩm'!$D$5:$D$304,MATCH(D4186,'Sản phẩm'!$A$5:$A$304,0)),""))</f>
        <v/>
      </c>
      <c r="L4186" s="16">
        <f>IF(J4186="","",J4186-K4186)</f>
        <v/>
      </c>
      <c r="M4186" s="14">
        <f>IF(A4186="","",MONTH(A4186))</f>
        <v/>
      </c>
      <c r="N4186" s="14">
        <f>IF(A4186="","",YEAR(A4186))</f>
        <v/>
      </c>
    </row>
    <row r="4187">
      <c r="A4187" s="15" t="n"/>
      <c r="B4187" s="10" t="n"/>
      <c r="C4187" s="10" t="n"/>
      <c r="D4187" s="10" t="n"/>
      <c r="E4187" s="14">
        <f>IF(D4187="","",IFERROR(INDEX('Sản phẩm'!$B$5:$B$304,MATCH(D4187,'Sản phẩm'!$A$5:$A$304,0)),""))</f>
        <v/>
      </c>
      <c r="F4187" s="12" t="n"/>
      <c r="G4187" s="11" t="n"/>
      <c r="H4187" s="11" t="n"/>
      <c r="I4187" s="16">
        <f>IF(D4187="","",IF(G4187&lt;&gt;"",G4187,IFERROR(INDEX('Sản phẩm'!$E$5:$E$304,MATCH(D4187,'Sản phẩm'!$A$5:$A$304,0)),"")))</f>
        <v/>
      </c>
      <c r="J4187" s="16">
        <f>IF(OR(D4187="",F4187=""),"",F4187*I4187-N(H4187))</f>
        <v/>
      </c>
      <c r="K4187" s="16">
        <f>IF(OR(D4187="",F4187=""),"",F4187*IFERROR(INDEX('Sản phẩm'!$D$5:$D$304,MATCH(D4187,'Sản phẩm'!$A$5:$A$304,0)),""))</f>
        <v/>
      </c>
      <c r="L4187" s="16">
        <f>IF(J4187="","",J4187-K4187)</f>
        <v/>
      </c>
      <c r="M4187" s="14">
        <f>IF(A4187="","",MONTH(A4187))</f>
        <v/>
      </c>
      <c r="N4187" s="14">
        <f>IF(A4187="","",YEAR(A4187))</f>
        <v/>
      </c>
    </row>
    <row r="4188">
      <c r="A4188" s="15" t="n"/>
      <c r="B4188" s="10" t="n"/>
      <c r="C4188" s="10" t="n"/>
      <c r="D4188" s="10" t="n"/>
      <c r="E4188" s="14">
        <f>IF(D4188="","",IFERROR(INDEX('Sản phẩm'!$B$5:$B$304,MATCH(D4188,'Sản phẩm'!$A$5:$A$304,0)),""))</f>
        <v/>
      </c>
      <c r="F4188" s="12" t="n"/>
      <c r="G4188" s="11" t="n"/>
      <c r="H4188" s="11" t="n"/>
      <c r="I4188" s="16">
        <f>IF(D4188="","",IF(G4188&lt;&gt;"",G4188,IFERROR(INDEX('Sản phẩm'!$E$5:$E$304,MATCH(D4188,'Sản phẩm'!$A$5:$A$304,0)),"")))</f>
        <v/>
      </c>
      <c r="J4188" s="16">
        <f>IF(OR(D4188="",F4188=""),"",F4188*I4188-N(H4188))</f>
        <v/>
      </c>
      <c r="K4188" s="16">
        <f>IF(OR(D4188="",F4188=""),"",F4188*IFERROR(INDEX('Sản phẩm'!$D$5:$D$304,MATCH(D4188,'Sản phẩm'!$A$5:$A$304,0)),""))</f>
        <v/>
      </c>
      <c r="L4188" s="16">
        <f>IF(J4188="","",J4188-K4188)</f>
        <v/>
      </c>
      <c r="M4188" s="14">
        <f>IF(A4188="","",MONTH(A4188))</f>
        <v/>
      </c>
      <c r="N4188" s="14">
        <f>IF(A4188="","",YEAR(A4188))</f>
        <v/>
      </c>
    </row>
    <row r="4189">
      <c r="A4189" s="15" t="n"/>
      <c r="B4189" s="10" t="n"/>
      <c r="C4189" s="10" t="n"/>
      <c r="D4189" s="10" t="n"/>
      <c r="E4189" s="14">
        <f>IF(D4189="","",IFERROR(INDEX('Sản phẩm'!$B$5:$B$304,MATCH(D4189,'Sản phẩm'!$A$5:$A$304,0)),""))</f>
        <v/>
      </c>
      <c r="F4189" s="12" t="n"/>
      <c r="G4189" s="11" t="n"/>
      <c r="H4189" s="11" t="n"/>
      <c r="I4189" s="16">
        <f>IF(D4189="","",IF(G4189&lt;&gt;"",G4189,IFERROR(INDEX('Sản phẩm'!$E$5:$E$304,MATCH(D4189,'Sản phẩm'!$A$5:$A$304,0)),"")))</f>
        <v/>
      </c>
      <c r="J4189" s="16">
        <f>IF(OR(D4189="",F4189=""),"",F4189*I4189-N(H4189))</f>
        <v/>
      </c>
      <c r="K4189" s="16">
        <f>IF(OR(D4189="",F4189=""),"",F4189*IFERROR(INDEX('Sản phẩm'!$D$5:$D$304,MATCH(D4189,'Sản phẩm'!$A$5:$A$304,0)),""))</f>
        <v/>
      </c>
      <c r="L4189" s="16">
        <f>IF(J4189="","",J4189-K4189)</f>
        <v/>
      </c>
      <c r="M4189" s="14">
        <f>IF(A4189="","",MONTH(A4189))</f>
        <v/>
      </c>
      <c r="N4189" s="14">
        <f>IF(A4189="","",YEAR(A4189))</f>
        <v/>
      </c>
    </row>
    <row r="4190">
      <c r="A4190" s="15" t="n"/>
      <c r="B4190" s="10" t="n"/>
      <c r="C4190" s="10" t="n"/>
      <c r="D4190" s="10" t="n"/>
      <c r="E4190" s="14">
        <f>IF(D4190="","",IFERROR(INDEX('Sản phẩm'!$B$5:$B$304,MATCH(D4190,'Sản phẩm'!$A$5:$A$304,0)),""))</f>
        <v/>
      </c>
      <c r="F4190" s="12" t="n"/>
      <c r="G4190" s="11" t="n"/>
      <c r="H4190" s="11" t="n"/>
      <c r="I4190" s="16">
        <f>IF(D4190="","",IF(G4190&lt;&gt;"",G4190,IFERROR(INDEX('Sản phẩm'!$E$5:$E$304,MATCH(D4190,'Sản phẩm'!$A$5:$A$304,0)),"")))</f>
        <v/>
      </c>
      <c r="J4190" s="16">
        <f>IF(OR(D4190="",F4190=""),"",F4190*I4190-N(H4190))</f>
        <v/>
      </c>
      <c r="K4190" s="16">
        <f>IF(OR(D4190="",F4190=""),"",F4190*IFERROR(INDEX('Sản phẩm'!$D$5:$D$304,MATCH(D4190,'Sản phẩm'!$A$5:$A$304,0)),""))</f>
        <v/>
      </c>
      <c r="L4190" s="16">
        <f>IF(J4190="","",J4190-K4190)</f>
        <v/>
      </c>
      <c r="M4190" s="14">
        <f>IF(A4190="","",MONTH(A4190))</f>
        <v/>
      </c>
      <c r="N4190" s="14">
        <f>IF(A4190="","",YEAR(A4190))</f>
        <v/>
      </c>
    </row>
    <row r="4191">
      <c r="A4191" s="15" t="n"/>
      <c r="B4191" s="10" t="n"/>
      <c r="C4191" s="10" t="n"/>
      <c r="D4191" s="10" t="n"/>
      <c r="E4191" s="14">
        <f>IF(D4191="","",IFERROR(INDEX('Sản phẩm'!$B$5:$B$304,MATCH(D4191,'Sản phẩm'!$A$5:$A$304,0)),""))</f>
        <v/>
      </c>
      <c r="F4191" s="12" t="n"/>
      <c r="G4191" s="11" t="n"/>
      <c r="H4191" s="11" t="n"/>
      <c r="I4191" s="16">
        <f>IF(D4191="","",IF(G4191&lt;&gt;"",G4191,IFERROR(INDEX('Sản phẩm'!$E$5:$E$304,MATCH(D4191,'Sản phẩm'!$A$5:$A$304,0)),"")))</f>
        <v/>
      </c>
      <c r="J4191" s="16">
        <f>IF(OR(D4191="",F4191=""),"",F4191*I4191-N(H4191))</f>
        <v/>
      </c>
      <c r="K4191" s="16">
        <f>IF(OR(D4191="",F4191=""),"",F4191*IFERROR(INDEX('Sản phẩm'!$D$5:$D$304,MATCH(D4191,'Sản phẩm'!$A$5:$A$304,0)),""))</f>
        <v/>
      </c>
      <c r="L4191" s="16">
        <f>IF(J4191="","",J4191-K4191)</f>
        <v/>
      </c>
      <c r="M4191" s="14">
        <f>IF(A4191="","",MONTH(A4191))</f>
        <v/>
      </c>
      <c r="N4191" s="14">
        <f>IF(A4191="","",YEAR(A4191))</f>
        <v/>
      </c>
    </row>
    <row r="4192">
      <c r="A4192" s="15" t="n"/>
      <c r="B4192" s="10" t="n"/>
      <c r="C4192" s="10" t="n"/>
      <c r="D4192" s="10" t="n"/>
      <c r="E4192" s="14">
        <f>IF(D4192="","",IFERROR(INDEX('Sản phẩm'!$B$5:$B$304,MATCH(D4192,'Sản phẩm'!$A$5:$A$304,0)),""))</f>
        <v/>
      </c>
      <c r="F4192" s="12" t="n"/>
      <c r="G4192" s="11" t="n"/>
      <c r="H4192" s="11" t="n"/>
      <c r="I4192" s="16">
        <f>IF(D4192="","",IF(G4192&lt;&gt;"",G4192,IFERROR(INDEX('Sản phẩm'!$E$5:$E$304,MATCH(D4192,'Sản phẩm'!$A$5:$A$304,0)),"")))</f>
        <v/>
      </c>
      <c r="J4192" s="16">
        <f>IF(OR(D4192="",F4192=""),"",F4192*I4192-N(H4192))</f>
        <v/>
      </c>
      <c r="K4192" s="16">
        <f>IF(OR(D4192="",F4192=""),"",F4192*IFERROR(INDEX('Sản phẩm'!$D$5:$D$304,MATCH(D4192,'Sản phẩm'!$A$5:$A$304,0)),""))</f>
        <v/>
      </c>
      <c r="L4192" s="16">
        <f>IF(J4192="","",J4192-K4192)</f>
        <v/>
      </c>
      <c r="M4192" s="14">
        <f>IF(A4192="","",MONTH(A4192))</f>
        <v/>
      </c>
      <c r="N4192" s="14">
        <f>IF(A4192="","",YEAR(A4192))</f>
        <v/>
      </c>
    </row>
    <row r="4193">
      <c r="A4193" s="15" t="n"/>
      <c r="B4193" s="10" t="n"/>
      <c r="C4193" s="10" t="n"/>
      <c r="D4193" s="10" t="n"/>
      <c r="E4193" s="14">
        <f>IF(D4193="","",IFERROR(INDEX('Sản phẩm'!$B$5:$B$304,MATCH(D4193,'Sản phẩm'!$A$5:$A$304,0)),""))</f>
        <v/>
      </c>
      <c r="F4193" s="12" t="n"/>
      <c r="G4193" s="11" t="n"/>
      <c r="H4193" s="11" t="n"/>
      <c r="I4193" s="16">
        <f>IF(D4193="","",IF(G4193&lt;&gt;"",G4193,IFERROR(INDEX('Sản phẩm'!$E$5:$E$304,MATCH(D4193,'Sản phẩm'!$A$5:$A$304,0)),"")))</f>
        <v/>
      </c>
      <c r="J4193" s="16">
        <f>IF(OR(D4193="",F4193=""),"",F4193*I4193-N(H4193))</f>
        <v/>
      </c>
      <c r="K4193" s="16">
        <f>IF(OR(D4193="",F4193=""),"",F4193*IFERROR(INDEX('Sản phẩm'!$D$5:$D$304,MATCH(D4193,'Sản phẩm'!$A$5:$A$304,0)),""))</f>
        <v/>
      </c>
      <c r="L4193" s="16">
        <f>IF(J4193="","",J4193-K4193)</f>
        <v/>
      </c>
      <c r="M4193" s="14">
        <f>IF(A4193="","",MONTH(A4193))</f>
        <v/>
      </c>
      <c r="N4193" s="14">
        <f>IF(A4193="","",YEAR(A4193))</f>
        <v/>
      </c>
    </row>
    <row r="4194">
      <c r="A4194" s="15" t="n"/>
      <c r="B4194" s="10" t="n"/>
      <c r="C4194" s="10" t="n"/>
      <c r="D4194" s="10" t="n"/>
      <c r="E4194" s="14">
        <f>IF(D4194="","",IFERROR(INDEX('Sản phẩm'!$B$5:$B$304,MATCH(D4194,'Sản phẩm'!$A$5:$A$304,0)),""))</f>
        <v/>
      </c>
      <c r="F4194" s="12" t="n"/>
      <c r="G4194" s="11" t="n"/>
      <c r="H4194" s="11" t="n"/>
      <c r="I4194" s="16">
        <f>IF(D4194="","",IF(G4194&lt;&gt;"",G4194,IFERROR(INDEX('Sản phẩm'!$E$5:$E$304,MATCH(D4194,'Sản phẩm'!$A$5:$A$304,0)),"")))</f>
        <v/>
      </c>
      <c r="J4194" s="16">
        <f>IF(OR(D4194="",F4194=""),"",F4194*I4194-N(H4194))</f>
        <v/>
      </c>
      <c r="K4194" s="16">
        <f>IF(OR(D4194="",F4194=""),"",F4194*IFERROR(INDEX('Sản phẩm'!$D$5:$D$304,MATCH(D4194,'Sản phẩm'!$A$5:$A$304,0)),""))</f>
        <v/>
      </c>
      <c r="L4194" s="16">
        <f>IF(J4194="","",J4194-K4194)</f>
        <v/>
      </c>
      <c r="M4194" s="14">
        <f>IF(A4194="","",MONTH(A4194))</f>
        <v/>
      </c>
      <c r="N4194" s="14">
        <f>IF(A4194="","",YEAR(A4194))</f>
        <v/>
      </c>
    </row>
    <row r="4195">
      <c r="A4195" s="15" t="n"/>
      <c r="B4195" s="10" t="n"/>
      <c r="C4195" s="10" t="n"/>
      <c r="D4195" s="10" t="n"/>
      <c r="E4195" s="14">
        <f>IF(D4195="","",IFERROR(INDEX('Sản phẩm'!$B$5:$B$304,MATCH(D4195,'Sản phẩm'!$A$5:$A$304,0)),""))</f>
        <v/>
      </c>
      <c r="F4195" s="12" t="n"/>
      <c r="G4195" s="11" t="n"/>
      <c r="H4195" s="11" t="n"/>
      <c r="I4195" s="16">
        <f>IF(D4195="","",IF(G4195&lt;&gt;"",G4195,IFERROR(INDEX('Sản phẩm'!$E$5:$E$304,MATCH(D4195,'Sản phẩm'!$A$5:$A$304,0)),"")))</f>
        <v/>
      </c>
      <c r="J4195" s="16">
        <f>IF(OR(D4195="",F4195=""),"",F4195*I4195-N(H4195))</f>
        <v/>
      </c>
      <c r="K4195" s="16">
        <f>IF(OR(D4195="",F4195=""),"",F4195*IFERROR(INDEX('Sản phẩm'!$D$5:$D$304,MATCH(D4195,'Sản phẩm'!$A$5:$A$304,0)),""))</f>
        <v/>
      </c>
      <c r="L4195" s="16">
        <f>IF(J4195="","",J4195-K4195)</f>
        <v/>
      </c>
      <c r="M4195" s="14">
        <f>IF(A4195="","",MONTH(A4195))</f>
        <v/>
      </c>
      <c r="N4195" s="14">
        <f>IF(A4195="","",YEAR(A4195))</f>
        <v/>
      </c>
    </row>
    <row r="4196">
      <c r="A4196" s="15" t="n"/>
      <c r="B4196" s="10" t="n"/>
      <c r="C4196" s="10" t="n"/>
      <c r="D4196" s="10" t="n"/>
      <c r="E4196" s="14">
        <f>IF(D4196="","",IFERROR(INDEX('Sản phẩm'!$B$5:$B$304,MATCH(D4196,'Sản phẩm'!$A$5:$A$304,0)),""))</f>
        <v/>
      </c>
      <c r="F4196" s="12" t="n"/>
      <c r="G4196" s="11" t="n"/>
      <c r="H4196" s="11" t="n"/>
      <c r="I4196" s="16">
        <f>IF(D4196="","",IF(G4196&lt;&gt;"",G4196,IFERROR(INDEX('Sản phẩm'!$E$5:$E$304,MATCH(D4196,'Sản phẩm'!$A$5:$A$304,0)),"")))</f>
        <v/>
      </c>
      <c r="J4196" s="16">
        <f>IF(OR(D4196="",F4196=""),"",F4196*I4196-N(H4196))</f>
        <v/>
      </c>
      <c r="K4196" s="16">
        <f>IF(OR(D4196="",F4196=""),"",F4196*IFERROR(INDEX('Sản phẩm'!$D$5:$D$304,MATCH(D4196,'Sản phẩm'!$A$5:$A$304,0)),""))</f>
        <v/>
      </c>
      <c r="L4196" s="16">
        <f>IF(J4196="","",J4196-K4196)</f>
        <v/>
      </c>
      <c r="M4196" s="14">
        <f>IF(A4196="","",MONTH(A4196))</f>
        <v/>
      </c>
      <c r="N4196" s="14">
        <f>IF(A4196="","",YEAR(A4196))</f>
        <v/>
      </c>
    </row>
    <row r="4197">
      <c r="A4197" s="15" t="n"/>
      <c r="B4197" s="10" t="n"/>
      <c r="C4197" s="10" t="n"/>
      <c r="D4197" s="10" t="n"/>
      <c r="E4197" s="14">
        <f>IF(D4197="","",IFERROR(INDEX('Sản phẩm'!$B$5:$B$304,MATCH(D4197,'Sản phẩm'!$A$5:$A$304,0)),""))</f>
        <v/>
      </c>
      <c r="F4197" s="12" t="n"/>
      <c r="G4197" s="11" t="n"/>
      <c r="H4197" s="11" t="n"/>
      <c r="I4197" s="16">
        <f>IF(D4197="","",IF(G4197&lt;&gt;"",G4197,IFERROR(INDEX('Sản phẩm'!$E$5:$E$304,MATCH(D4197,'Sản phẩm'!$A$5:$A$304,0)),"")))</f>
        <v/>
      </c>
      <c r="J4197" s="16">
        <f>IF(OR(D4197="",F4197=""),"",F4197*I4197-N(H4197))</f>
        <v/>
      </c>
      <c r="K4197" s="16">
        <f>IF(OR(D4197="",F4197=""),"",F4197*IFERROR(INDEX('Sản phẩm'!$D$5:$D$304,MATCH(D4197,'Sản phẩm'!$A$5:$A$304,0)),""))</f>
        <v/>
      </c>
      <c r="L4197" s="16">
        <f>IF(J4197="","",J4197-K4197)</f>
        <v/>
      </c>
      <c r="M4197" s="14">
        <f>IF(A4197="","",MONTH(A4197))</f>
        <v/>
      </c>
      <c r="N4197" s="14">
        <f>IF(A4197="","",YEAR(A4197))</f>
        <v/>
      </c>
    </row>
    <row r="4198">
      <c r="A4198" s="15" t="n"/>
      <c r="B4198" s="10" t="n"/>
      <c r="C4198" s="10" t="n"/>
      <c r="D4198" s="10" t="n"/>
      <c r="E4198" s="14">
        <f>IF(D4198="","",IFERROR(INDEX('Sản phẩm'!$B$5:$B$304,MATCH(D4198,'Sản phẩm'!$A$5:$A$304,0)),""))</f>
        <v/>
      </c>
      <c r="F4198" s="12" t="n"/>
      <c r="G4198" s="11" t="n"/>
      <c r="H4198" s="11" t="n"/>
      <c r="I4198" s="16">
        <f>IF(D4198="","",IF(G4198&lt;&gt;"",G4198,IFERROR(INDEX('Sản phẩm'!$E$5:$E$304,MATCH(D4198,'Sản phẩm'!$A$5:$A$304,0)),"")))</f>
        <v/>
      </c>
      <c r="J4198" s="16">
        <f>IF(OR(D4198="",F4198=""),"",F4198*I4198-N(H4198))</f>
        <v/>
      </c>
      <c r="K4198" s="16">
        <f>IF(OR(D4198="",F4198=""),"",F4198*IFERROR(INDEX('Sản phẩm'!$D$5:$D$304,MATCH(D4198,'Sản phẩm'!$A$5:$A$304,0)),""))</f>
        <v/>
      </c>
      <c r="L4198" s="16">
        <f>IF(J4198="","",J4198-K4198)</f>
        <v/>
      </c>
      <c r="M4198" s="14">
        <f>IF(A4198="","",MONTH(A4198))</f>
        <v/>
      </c>
      <c r="N4198" s="14">
        <f>IF(A4198="","",YEAR(A4198))</f>
        <v/>
      </c>
    </row>
    <row r="4199">
      <c r="A4199" s="15" t="n"/>
      <c r="B4199" s="10" t="n"/>
      <c r="C4199" s="10" t="n"/>
      <c r="D4199" s="10" t="n"/>
      <c r="E4199" s="14">
        <f>IF(D4199="","",IFERROR(INDEX('Sản phẩm'!$B$5:$B$304,MATCH(D4199,'Sản phẩm'!$A$5:$A$304,0)),""))</f>
        <v/>
      </c>
      <c r="F4199" s="12" t="n"/>
      <c r="G4199" s="11" t="n"/>
      <c r="H4199" s="11" t="n"/>
      <c r="I4199" s="16">
        <f>IF(D4199="","",IF(G4199&lt;&gt;"",G4199,IFERROR(INDEX('Sản phẩm'!$E$5:$E$304,MATCH(D4199,'Sản phẩm'!$A$5:$A$304,0)),"")))</f>
        <v/>
      </c>
      <c r="J4199" s="16">
        <f>IF(OR(D4199="",F4199=""),"",F4199*I4199-N(H4199))</f>
        <v/>
      </c>
      <c r="K4199" s="16">
        <f>IF(OR(D4199="",F4199=""),"",F4199*IFERROR(INDEX('Sản phẩm'!$D$5:$D$304,MATCH(D4199,'Sản phẩm'!$A$5:$A$304,0)),""))</f>
        <v/>
      </c>
      <c r="L4199" s="16">
        <f>IF(J4199="","",J4199-K4199)</f>
        <v/>
      </c>
      <c r="M4199" s="14">
        <f>IF(A4199="","",MONTH(A4199))</f>
        <v/>
      </c>
      <c r="N4199" s="14">
        <f>IF(A4199="","",YEAR(A4199))</f>
        <v/>
      </c>
    </row>
    <row r="4200">
      <c r="A4200" s="15" t="n"/>
      <c r="B4200" s="10" t="n"/>
      <c r="C4200" s="10" t="n"/>
      <c r="D4200" s="10" t="n"/>
      <c r="E4200" s="14">
        <f>IF(D4200="","",IFERROR(INDEX('Sản phẩm'!$B$5:$B$304,MATCH(D4200,'Sản phẩm'!$A$5:$A$304,0)),""))</f>
        <v/>
      </c>
      <c r="F4200" s="12" t="n"/>
      <c r="G4200" s="11" t="n"/>
      <c r="H4200" s="11" t="n"/>
      <c r="I4200" s="16">
        <f>IF(D4200="","",IF(G4200&lt;&gt;"",G4200,IFERROR(INDEX('Sản phẩm'!$E$5:$E$304,MATCH(D4200,'Sản phẩm'!$A$5:$A$304,0)),"")))</f>
        <v/>
      </c>
      <c r="J4200" s="16">
        <f>IF(OR(D4200="",F4200=""),"",F4200*I4200-N(H4200))</f>
        <v/>
      </c>
      <c r="K4200" s="16">
        <f>IF(OR(D4200="",F4200=""),"",F4200*IFERROR(INDEX('Sản phẩm'!$D$5:$D$304,MATCH(D4200,'Sản phẩm'!$A$5:$A$304,0)),""))</f>
        <v/>
      </c>
      <c r="L4200" s="16">
        <f>IF(J4200="","",J4200-K4200)</f>
        <v/>
      </c>
      <c r="M4200" s="14">
        <f>IF(A4200="","",MONTH(A4200))</f>
        <v/>
      </c>
      <c r="N4200" s="14">
        <f>IF(A4200="","",YEAR(A4200))</f>
        <v/>
      </c>
    </row>
    <row r="4201">
      <c r="A4201" s="15" t="n"/>
      <c r="B4201" s="10" t="n"/>
      <c r="C4201" s="10" t="n"/>
      <c r="D4201" s="10" t="n"/>
      <c r="E4201" s="14">
        <f>IF(D4201="","",IFERROR(INDEX('Sản phẩm'!$B$5:$B$304,MATCH(D4201,'Sản phẩm'!$A$5:$A$304,0)),""))</f>
        <v/>
      </c>
      <c r="F4201" s="12" t="n"/>
      <c r="G4201" s="11" t="n"/>
      <c r="H4201" s="11" t="n"/>
      <c r="I4201" s="16">
        <f>IF(D4201="","",IF(G4201&lt;&gt;"",G4201,IFERROR(INDEX('Sản phẩm'!$E$5:$E$304,MATCH(D4201,'Sản phẩm'!$A$5:$A$304,0)),"")))</f>
        <v/>
      </c>
      <c r="J4201" s="16">
        <f>IF(OR(D4201="",F4201=""),"",F4201*I4201-N(H4201))</f>
        <v/>
      </c>
      <c r="K4201" s="16">
        <f>IF(OR(D4201="",F4201=""),"",F4201*IFERROR(INDEX('Sản phẩm'!$D$5:$D$304,MATCH(D4201,'Sản phẩm'!$A$5:$A$304,0)),""))</f>
        <v/>
      </c>
      <c r="L4201" s="16">
        <f>IF(J4201="","",J4201-K4201)</f>
        <v/>
      </c>
      <c r="M4201" s="14">
        <f>IF(A4201="","",MONTH(A4201))</f>
        <v/>
      </c>
      <c r="N4201" s="14">
        <f>IF(A4201="","",YEAR(A4201))</f>
        <v/>
      </c>
    </row>
    <row r="4202">
      <c r="A4202" s="15" t="n"/>
      <c r="B4202" s="10" t="n"/>
      <c r="C4202" s="10" t="n"/>
      <c r="D4202" s="10" t="n"/>
      <c r="E4202" s="14">
        <f>IF(D4202="","",IFERROR(INDEX('Sản phẩm'!$B$5:$B$304,MATCH(D4202,'Sản phẩm'!$A$5:$A$304,0)),""))</f>
        <v/>
      </c>
      <c r="F4202" s="12" t="n"/>
      <c r="G4202" s="11" t="n"/>
      <c r="H4202" s="11" t="n"/>
      <c r="I4202" s="16">
        <f>IF(D4202="","",IF(G4202&lt;&gt;"",G4202,IFERROR(INDEX('Sản phẩm'!$E$5:$E$304,MATCH(D4202,'Sản phẩm'!$A$5:$A$304,0)),"")))</f>
        <v/>
      </c>
      <c r="J4202" s="16">
        <f>IF(OR(D4202="",F4202=""),"",F4202*I4202-N(H4202))</f>
        <v/>
      </c>
      <c r="K4202" s="16">
        <f>IF(OR(D4202="",F4202=""),"",F4202*IFERROR(INDEX('Sản phẩm'!$D$5:$D$304,MATCH(D4202,'Sản phẩm'!$A$5:$A$304,0)),""))</f>
        <v/>
      </c>
      <c r="L4202" s="16">
        <f>IF(J4202="","",J4202-K4202)</f>
        <v/>
      </c>
      <c r="M4202" s="14">
        <f>IF(A4202="","",MONTH(A4202))</f>
        <v/>
      </c>
      <c r="N4202" s="14">
        <f>IF(A4202="","",YEAR(A4202))</f>
        <v/>
      </c>
    </row>
    <row r="4203">
      <c r="A4203" s="15" t="n"/>
      <c r="B4203" s="10" t="n"/>
      <c r="C4203" s="10" t="n"/>
      <c r="D4203" s="10" t="n"/>
      <c r="E4203" s="14">
        <f>IF(D4203="","",IFERROR(INDEX('Sản phẩm'!$B$5:$B$304,MATCH(D4203,'Sản phẩm'!$A$5:$A$304,0)),""))</f>
        <v/>
      </c>
      <c r="F4203" s="12" t="n"/>
      <c r="G4203" s="11" t="n"/>
      <c r="H4203" s="11" t="n"/>
      <c r="I4203" s="16">
        <f>IF(D4203="","",IF(G4203&lt;&gt;"",G4203,IFERROR(INDEX('Sản phẩm'!$E$5:$E$304,MATCH(D4203,'Sản phẩm'!$A$5:$A$304,0)),"")))</f>
        <v/>
      </c>
      <c r="J4203" s="16">
        <f>IF(OR(D4203="",F4203=""),"",F4203*I4203-N(H4203))</f>
        <v/>
      </c>
      <c r="K4203" s="16">
        <f>IF(OR(D4203="",F4203=""),"",F4203*IFERROR(INDEX('Sản phẩm'!$D$5:$D$304,MATCH(D4203,'Sản phẩm'!$A$5:$A$304,0)),""))</f>
        <v/>
      </c>
      <c r="L4203" s="16">
        <f>IF(J4203="","",J4203-K4203)</f>
        <v/>
      </c>
      <c r="M4203" s="14">
        <f>IF(A4203="","",MONTH(A4203))</f>
        <v/>
      </c>
      <c r="N4203" s="14">
        <f>IF(A4203="","",YEAR(A4203))</f>
        <v/>
      </c>
    </row>
    <row r="4204">
      <c r="A4204" s="15" t="n"/>
      <c r="B4204" s="10" t="n"/>
      <c r="C4204" s="10" t="n"/>
      <c r="D4204" s="10" t="n"/>
      <c r="E4204" s="14">
        <f>IF(D4204="","",IFERROR(INDEX('Sản phẩm'!$B$5:$B$304,MATCH(D4204,'Sản phẩm'!$A$5:$A$304,0)),""))</f>
        <v/>
      </c>
      <c r="F4204" s="12" t="n"/>
      <c r="G4204" s="11" t="n"/>
      <c r="H4204" s="11" t="n"/>
      <c r="I4204" s="16">
        <f>IF(D4204="","",IF(G4204&lt;&gt;"",G4204,IFERROR(INDEX('Sản phẩm'!$E$5:$E$304,MATCH(D4204,'Sản phẩm'!$A$5:$A$304,0)),"")))</f>
        <v/>
      </c>
      <c r="J4204" s="16">
        <f>IF(OR(D4204="",F4204=""),"",F4204*I4204-N(H4204))</f>
        <v/>
      </c>
      <c r="K4204" s="16">
        <f>IF(OR(D4204="",F4204=""),"",F4204*IFERROR(INDEX('Sản phẩm'!$D$5:$D$304,MATCH(D4204,'Sản phẩm'!$A$5:$A$304,0)),""))</f>
        <v/>
      </c>
      <c r="L4204" s="16">
        <f>IF(J4204="","",J4204-K4204)</f>
        <v/>
      </c>
      <c r="M4204" s="14">
        <f>IF(A4204="","",MONTH(A4204))</f>
        <v/>
      </c>
      <c r="N4204" s="14">
        <f>IF(A4204="","",YEAR(A4204))</f>
        <v/>
      </c>
    </row>
    <row r="4205">
      <c r="A4205" s="15" t="n"/>
      <c r="B4205" s="10" t="n"/>
      <c r="C4205" s="10" t="n"/>
      <c r="D4205" s="10" t="n"/>
      <c r="E4205" s="14">
        <f>IF(D4205="","",IFERROR(INDEX('Sản phẩm'!$B$5:$B$304,MATCH(D4205,'Sản phẩm'!$A$5:$A$304,0)),""))</f>
        <v/>
      </c>
      <c r="F4205" s="12" t="n"/>
      <c r="G4205" s="11" t="n"/>
      <c r="H4205" s="11" t="n"/>
      <c r="I4205" s="16">
        <f>IF(D4205="","",IF(G4205&lt;&gt;"",G4205,IFERROR(INDEX('Sản phẩm'!$E$5:$E$304,MATCH(D4205,'Sản phẩm'!$A$5:$A$304,0)),"")))</f>
        <v/>
      </c>
      <c r="J4205" s="16">
        <f>IF(OR(D4205="",F4205=""),"",F4205*I4205-N(H4205))</f>
        <v/>
      </c>
      <c r="K4205" s="16">
        <f>IF(OR(D4205="",F4205=""),"",F4205*IFERROR(INDEX('Sản phẩm'!$D$5:$D$304,MATCH(D4205,'Sản phẩm'!$A$5:$A$304,0)),""))</f>
        <v/>
      </c>
      <c r="L4205" s="16">
        <f>IF(J4205="","",J4205-K4205)</f>
        <v/>
      </c>
      <c r="M4205" s="14">
        <f>IF(A4205="","",MONTH(A4205))</f>
        <v/>
      </c>
      <c r="N4205" s="14">
        <f>IF(A4205="","",YEAR(A4205))</f>
        <v/>
      </c>
    </row>
    <row r="4206">
      <c r="A4206" s="15" t="n"/>
      <c r="B4206" s="10" t="n"/>
      <c r="C4206" s="10" t="n"/>
      <c r="D4206" s="10" t="n"/>
      <c r="E4206" s="14">
        <f>IF(D4206="","",IFERROR(INDEX('Sản phẩm'!$B$5:$B$304,MATCH(D4206,'Sản phẩm'!$A$5:$A$304,0)),""))</f>
        <v/>
      </c>
      <c r="F4206" s="12" t="n"/>
      <c r="G4206" s="11" t="n"/>
      <c r="H4206" s="11" t="n"/>
      <c r="I4206" s="16">
        <f>IF(D4206="","",IF(G4206&lt;&gt;"",G4206,IFERROR(INDEX('Sản phẩm'!$E$5:$E$304,MATCH(D4206,'Sản phẩm'!$A$5:$A$304,0)),"")))</f>
        <v/>
      </c>
      <c r="J4206" s="16">
        <f>IF(OR(D4206="",F4206=""),"",F4206*I4206-N(H4206))</f>
        <v/>
      </c>
      <c r="K4206" s="16">
        <f>IF(OR(D4206="",F4206=""),"",F4206*IFERROR(INDEX('Sản phẩm'!$D$5:$D$304,MATCH(D4206,'Sản phẩm'!$A$5:$A$304,0)),""))</f>
        <v/>
      </c>
      <c r="L4206" s="16">
        <f>IF(J4206="","",J4206-K4206)</f>
        <v/>
      </c>
      <c r="M4206" s="14">
        <f>IF(A4206="","",MONTH(A4206))</f>
        <v/>
      </c>
      <c r="N4206" s="14">
        <f>IF(A4206="","",YEAR(A4206))</f>
        <v/>
      </c>
    </row>
    <row r="4207">
      <c r="A4207" s="15" t="n"/>
      <c r="B4207" s="10" t="n"/>
      <c r="C4207" s="10" t="n"/>
      <c r="D4207" s="10" t="n"/>
      <c r="E4207" s="14">
        <f>IF(D4207="","",IFERROR(INDEX('Sản phẩm'!$B$5:$B$304,MATCH(D4207,'Sản phẩm'!$A$5:$A$304,0)),""))</f>
        <v/>
      </c>
      <c r="F4207" s="12" t="n"/>
      <c r="G4207" s="11" t="n"/>
      <c r="H4207" s="11" t="n"/>
      <c r="I4207" s="16">
        <f>IF(D4207="","",IF(G4207&lt;&gt;"",G4207,IFERROR(INDEX('Sản phẩm'!$E$5:$E$304,MATCH(D4207,'Sản phẩm'!$A$5:$A$304,0)),"")))</f>
        <v/>
      </c>
      <c r="J4207" s="16">
        <f>IF(OR(D4207="",F4207=""),"",F4207*I4207-N(H4207))</f>
        <v/>
      </c>
      <c r="K4207" s="16">
        <f>IF(OR(D4207="",F4207=""),"",F4207*IFERROR(INDEX('Sản phẩm'!$D$5:$D$304,MATCH(D4207,'Sản phẩm'!$A$5:$A$304,0)),""))</f>
        <v/>
      </c>
      <c r="L4207" s="16">
        <f>IF(J4207="","",J4207-K4207)</f>
        <v/>
      </c>
      <c r="M4207" s="14">
        <f>IF(A4207="","",MONTH(A4207))</f>
        <v/>
      </c>
      <c r="N4207" s="14">
        <f>IF(A4207="","",YEAR(A4207))</f>
        <v/>
      </c>
    </row>
    <row r="4208">
      <c r="A4208" s="15" t="n"/>
      <c r="B4208" s="10" t="n"/>
      <c r="C4208" s="10" t="n"/>
      <c r="D4208" s="10" t="n"/>
      <c r="E4208" s="14">
        <f>IF(D4208="","",IFERROR(INDEX('Sản phẩm'!$B$5:$B$304,MATCH(D4208,'Sản phẩm'!$A$5:$A$304,0)),""))</f>
        <v/>
      </c>
      <c r="F4208" s="12" t="n"/>
      <c r="G4208" s="11" t="n"/>
      <c r="H4208" s="11" t="n"/>
      <c r="I4208" s="16">
        <f>IF(D4208="","",IF(G4208&lt;&gt;"",G4208,IFERROR(INDEX('Sản phẩm'!$E$5:$E$304,MATCH(D4208,'Sản phẩm'!$A$5:$A$304,0)),"")))</f>
        <v/>
      </c>
      <c r="J4208" s="16">
        <f>IF(OR(D4208="",F4208=""),"",F4208*I4208-N(H4208))</f>
        <v/>
      </c>
      <c r="K4208" s="16">
        <f>IF(OR(D4208="",F4208=""),"",F4208*IFERROR(INDEX('Sản phẩm'!$D$5:$D$304,MATCH(D4208,'Sản phẩm'!$A$5:$A$304,0)),""))</f>
        <v/>
      </c>
      <c r="L4208" s="16">
        <f>IF(J4208="","",J4208-K4208)</f>
        <v/>
      </c>
      <c r="M4208" s="14">
        <f>IF(A4208="","",MONTH(A4208))</f>
        <v/>
      </c>
      <c r="N4208" s="14">
        <f>IF(A4208="","",YEAR(A4208))</f>
        <v/>
      </c>
    </row>
    <row r="4209">
      <c r="A4209" s="15" t="n"/>
      <c r="B4209" s="10" t="n"/>
      <c r="C4209" s="10" t="n"/>
      <c r="D4209" s="10" t="n"/>
      <c r="E4209" s="14">
        <f>IF(D4209="","",IFERROR(INDEX('Sản phẩm'!$B$5:$B$304,MATCH(D4209,'Sản phẩm'!$A$5:$A$304,0)),""))</f>
        <v/>
      </c>
      <c r="F4209" s="12" t="n"/>
      <c r="G4209" s="11" t="n"/>
      <c r="H4209" s="11" t="n"/>
      <c r="I4209" s="16">
        <f>IF(D4209="","",IF(G4209&lt;&gt;"",G4209,IFERROR(INDEX('Sản phẩm'!$E$5:$E$304,MATCH(D4209,'Sản phẩm'!$A$5:$A$304,0)),"")))</f>
        <v/>
      </c>
      <c r="J4209" s="16">
        <f>IF(OR(D4209="",F4209=""),"",F4209*I4209-N(H4209))</f>
        <v/>
      </c>
      <c r="K4209" s="16">
        <f>IF(OR(D4209="",F4209=""),"",F4209*IFERROR(INDEX('Sản phẩm'!$D$5:$D$304,MATCH(D4209,'Sản phẩm'!$A$5:$A$304,0)),""))</f>
        <v/>
      </c>
      <c r="L4209" s="16">
        <f>IF(J4209="","",J4209-K4209)</f>
        <v/>
      </c>
      <c r="M4209" s="14">
        <f>IF(A4209="","",MONTH(A4209))</f>
        <v/>
      </c>
      <c r="N4209" s="14">
        <f>IF(A4209="","",YEAR(A4209))</f>
        <v/>
      </c>
    </row>
    <row r="4210">
      <c r="A4210" s="15" t="n"/>
      <c r="B4210" s="10" t="n"/>
      <c r="C4210" s="10" t="n"/>
      <c r="D4210" s="10" t="n"/>
      <c r="E4210" s="14">
        <f>IF(D4210="","",IFERROR(INDEX('Sản phẩm'!$B$5:$B$304,MATCH(D4210,'Sản phẩm'!$A$5:$A$304,0)),""))</f>
        <v/>
      </c>
      <c r="F4210" s="12" t="n"/>
      <c r="G4210" s="11" t="n"/>
      <c r="H4210" s="11" t="n"/>
      <c r="I4210" s="16">
        <f>IF(D4210="","",IF(G4210&lt;&gt;"",G4210,IFERROR(INDEX('Sản phẩm'!$E$5:$E$304,MATCH(D4210,'Sản phẩm'!$A$5:$A$304,0)),"")))</f>
        <v/>
      </c>
      <c r="J4210" s="16">
        <f>IF(OR(D4210="",F4210=""),"",F4210*I4210-N(H4210))</f>
        <v/>
      </c>
      <c r="K4210" s="16">
        <f>IF(OR(D4210="",F4210=""),"",F4210*IFERROR(INDEX('Sản phẩm'!$D$5:$D$304,MATCH(D4210,'Sản phẩm'!$A$5:$A$304,0)),""))</f>
        <v/>
      </c>
      <c r="L4210" s="16">
        <f>IF(J4210="","",J4210-K4210)</f>
        <v/>
      </c>
      <c r="M4210" s="14">
        <f>IF(A4210="","",MONTH(A4210))</f>
        <v/>
      </c>
      <c r="N4210" s="14">
        <f>IF(A4210="","",YEAR(A4210))</f>
        <v/>
      </c>
    </row>
    <row r="4211">
      <c r="A4211" s="15" t="n"/>
      <c r="B4211" s="10" t="n"/>
      <c r="C4211" s="10" t="n"/>
      <c r="D4211" s="10" t="n"/>
      <c r="E4211" s="14">
        <f>IF(D4211="","",IFERROR(INDEX('Sản phẩm'!$B$5:$B$304,MATCH(D4211,'Sản phẩm'!$A$5:$A$304,0)),""))</f>
        <v/>
      </c>
      <c r="F4211" s="12" t="n"/>
      <c r="G4211" s="11" t="n"/>
      <c r="H4211" s="11" t="n"/>
      <c r="I4211" s="16">
        <f>IF(D4211="","",IF(G4211&lt;&gt;"",G4211,IFERROR(INDEX('Sản phẩm'!$E$5:$E$304,MATCH(D4211,'Sản phẩm'!$A$5:$A$304,0)),"")))</f>
        <v/>
      </c>
      <c r="J4211" s="16">
        <f>IF(OR(D4211="",F4211=""),"",F4211*I4211-N(H4211))</f>
        <v/>
      </c>
      <c r="K4211" s="16">
        <f>IF(OR(D4211="",F4211=""),"",F4211*IFERROR(INDEX('Sản phẩm'!$D$5:$D$304,MATCH(D4211,'Sản phẩm'!$A$5:$A$304,0)),""))</f>
        <v/>
      </c>
      <c r="L4211" s="16">
        <f>IF(J4211="","",J4211-K4211)</f>
        <v/>
      </c>
      <c r="M4211" s="14">
        <f>IF(A4211="","",MONTH(A4211))</f>
        <v/>
      </c>
      <c r="N4211" s="14">
        <f>IF(A4211="","",YEAR(A4211))</f>
        <v/>
      </c>
    </row>
    <row r="4212">
      <c r="A4212" s="15" t="n"/>
      <c r="B4212" s="10" t="n"/>
      <c r="C4212" s="10" t="n"/>
      <c r="D4212" s="10" t="n"/>
      <c r="E4212" s="14">
        <f>IF(D4212="","",IFERROR(INDEX('Sản phẩm'!$B$5:$B$304,MATCH(D4212,'Sản phẩm'!$A$5:$A$304,0)),""))</f>
        <v/>
      </c>
      <c r="F4212" s="12" t="n"/>
      <c r="G4212" s="11" t="n"/>
      <c r="H4212" s="11" t="n"/>
      <c r="I4212" s="16">
        <f>IF(D4212="","",IF(G4212&lt;&gt;"",G4212,IFERROR(INDEX('Sản phẩm'!$E$5:$E$304,MATCH(D4212,'Sản phẩm'!$A$5:$A$304,0)),"")))</f>
        <v/>
      </c>
      <c r="J4212" s="16">
        <f>IF(OR(D4212="",F4212=""),"",F4212*I4212-N(H4212))</f>
        <v/>
      </c>
      <c r="K4212" s="16">
        <f>IF(OR(D4212="",F4212=""),"",F4212*IFERROR(INDEX('Sản phẩm'!$D$5:$D$304,MATCH(D4212,'Sản phẩm'!$A$5:$A$304,0)),""))</f>
        <v/>
      </c>
      <c r="L4212" s="16">
        <f>IF(J4212="","",J4212-K4212)</f>
        <v/>
      </c>
      <c r="M4212" s="14">
        <f>IF(A4212="","",MONTH(A4212))</f>
        <v/>
      </c>
      <c r="N4212" s="14">
        <f>IF(A4212="","",YEAR(A4212))</f>
        <v/>
      </c>
    </row>
    <row r="4213">
      <c r="A4213" s="15" t="n"/>
      <c r="B4213" s="10" t="n"/>
      <c r="C4213" s="10" t="n"/>
      <c r="D4213" s="10" t="n"/>
      <c r="E4213" s="14">
        <f>IF(D4213="","",IFERROR(INDEX('Sản phẩm'!$B$5:$B$304,MATCH(D4213,'Sản phẩm'!$A$5:$A$304,0)),""))</f>
        <v/>
      </c>
      <c r="F4213" s="12" t="n"/>
      <c r="G4213" s="11" t="n"/>
      <c r="H4213" s="11" t="n"/>
      <c r="I4213" s="16">
        <f>IF(D4213="","",IF(G4213&lt;&gt;"",G4213,IFERROR(INDEX('Sản phẩm'!$E$5:$E$304,MATCH(D4213,'Sản phẩm'!$A$5:$A$304,0)),"")))</f>
        <v/>
      </c>
      <c r="J4213" s="16">
        <f>IF(OR(D4213="",F4213=""),"",F4213*I4213-N(H4213))</f>
        <v/>
      </c>
      <c r="K4213" s="16">
        <f>IF(OR(D4213="",F4213=""),"",F4213*IFERROR(INDEX('Sản phẩm'!$D$5:$D$304,MATCH(D4213,'Sản phẩm'!$A$5:$A$304,0)),""))</f>
        <v/>
      </c>
      <c r="L4213" s="16">
        <f>IF(J4213="","",J4213-K4213)</f>
        <v/>
      </c>
      <c r="M4213" s="14">
        <f>IF(A4213="","",MONTH(A4213))</f>
        <v/>
      </c>
      <c r="N4213" s="14">
        <f>IF(A4213="","",YEAR(A4213))</f>
        <v/>
      </c>
    </row>
    <row r="4214">
      <c r="A4214" s="15" t="n"/>
      <c r="B4214" s="10" t="n"/>
      <c r="C4214" s="10" t="n"/>
      <c r="D4214" s="10" t="n"/>
      <c r="E4214" s="14">
        <f>IF(D4214="","",IFERROR(INDEX('Sản phẩm'!$B$5:$B$304,MATCH(D4214,'Sản phẩm'!$A$5:$A$304,0)),""))</f>
        <v/>
      </c>
      <c r="F4214" s="12" t="n"/>
      <c r="G4214" s="11" t="n"/>
      <c r="H4214" s="11" t="n"/>
      <c r="I4214" s="16">
        <f>IF(D4214="","",IF(G4214&lt;&gt;"",G4214,IFERROR(INDEX('Sản phẩm'!$E$5:$E$304,MATCH(D4214,'Sản phẩm'!$A$5:$A$304,0)),"")))</f>
        <v/>
      </c>
      <c r="J4214" s="16">
        <f>IF(OR(D4214="",F4214=""),"",F4214*I4214-N(H4214))</f>
        <v/>
      </c>
      <c r="K4214" s="16">
        <f>IF(OR(D4214="",F4214=""),"",F4214*IFERROR(INDEX('Sản phẩm'!$D$5:$D$304,MATCH(D4214,'Sản phẩm'!$A$5:$A$304,0)),""))</f>
        <v/>
      </c>
      <c r="L4214" s="16">
        <f>IF(J4214="","",J4214-K4214)</f>
        <v/>
      </c>
      <c r="M4214" s="14">
        <f>IF(A4214="","",MONTH(A4214))</f>
        <v/>
      </c>
      <c r="N4214" s="14">
        <f>IF(A4214="","",YEAR(A4214))</f>
        <v/>
      </c>
    </row>
    <row r="4215">
      <c r="A4215" s="15" t="n"/>
      <c r="B4215" s="10" t="n"/>
      <c r="C4215" s="10" t="n"/>
      <c r="D4215" s="10" t="n"/>
      <c r="E4215" s="14">
        <f>IF(D4215="","",IFERROR(INDEX('Sản phẩm'!$B$5:$B$304,MATCH(D4215,'Sản phẩm'!$A$5:$A$304,0)),""))</f>
        <v/>
      </c>
      <c r="F4215" s="12" t="n"/>
      <c r="G4215" s="11" t="n"/>
      <c r="H4215" s="11" t="n"/>
      <c r="I4215" s="16">
        <f>IF(D4215="","",IF(G4215&lt;&gt;"",G4215,IFERROR(INDEX('Sản phẩm'!$E$5:$E$304,MATCH(D4215,'Sản phẩm'!$A$5:$A$304,0)),"")))</f>
        <v/>
      </c>
      <c r="J4215" s="16">
        <f>IF(OR(D4215="",F4215=""),"",F4215*I4215-N(H4215))</f>
        <v/>
      </c>
      <c r="K4215" s="16">
        <f>IF(OR(D4215="",F4215=""),"",F4215*IFERROR(INDEX('Sản phẩm'!$D$5:$D$304,MATCH(D4215,'Sản phẩm'!$A$5:$A$304,0)),""))</f>
        <v/>
      </c>
      <c r="L4215" s="16">
        <f>IF(J4215="","",J4215-K4215)</f>
        <v/>
      </c>
      <c r="M4215" s="14">
        <f>IF(A4215="","",MONTH(A4215))</f>
        <v/>
      </c>
      <c r="N4215" s="14">
        <f>IF(A4215="","",YEAR(A4215))</f>
        <v/>
      </c>
    </row>
    <row r="4216">
      <c r="A4216" s="15" t="n"/>
      <c r="B4216" s="10" t="n"/>
      <c r="C4216" s="10" t="n"/>
      <c r="D4216" s="10" t="n"/>
      <c r="E4216" s="14">
        <f>IF(D4216="","",IFERROR(INDEX('Sản phẩm'!$B$5:$B$304,MATCH(D4216,'Sản phẩm'!$A$5:$A$304,0)),""))</f>
        <v/>
      </c>
      <c r="F4216" s="12" t="n"/>
      <c r="G4216" s="11" t="n"/>
      <c r="H4216" s="11" t="n"/>
      <c r="I4216" s="16">
        <f>IF(D4216="","",IF(G4216&lt;&gt;"",G4216,IFERROR(INDEX('Sản phẩm'!$E$5:$E$304,MATCH(D4216,'Sản phẩm'!$A$5:$A$304,0)),"")))</f>
        <v/>
      </c>
      <c r="J4216" s="16">
        <f>IF(OR(D4216="",F4216=""),"",F4216*I4216-N(H4216))</f>
        <v/>
      </c>
      <c r="K4216" s="16">
        <f>IF(OR(D4216="",F4216=""),"",F4216*IFERROR(INDEX('Sản phẩm'!$D$5:$D$304,MATCH(D4216,'Sản phẩm'!$A$5:$A$304,0)),""))</f>
        <v/>
      </c>
      <c r="L4216" s="16">
        <f>IF(J4216="","",J4216-K4216)</f>
        <v/>
      </c>
      <c r="M4216" s="14">
        <f>IF(A4216="","",MONTH(A4216))</f>
        <v/>
      </c>
      <c r="N4216" s="14">
        <f>IF(A4216="","",YEAR(A4216))</f>
        <v/>
      </c>
    </row>
    <row r="4217">
      <c r="A4217" s="15" t="n"/>
      <c r="B4217" s="10" t="n"/>
      <c r="C4217" s="10" t="n"/>
      <c r="D4217" s="10" t="n"/>
      <c r="E4217" s="14">
        <f>IF(D4217="","",IFERROR(INDEX('Sản phẩm'!$B$5:$B$304,MATCH(D4217,'Sản phẩm'!$A$5:$A$304,0)),""))</f>
        <v/>
      </c>
      <c r="F4217" s="12" t="n"/>
      <c r="G4217" s="11" t="n"/>
      <c r="H4217" s="11" t="n"/>
      <c r="I4217" s="16">
        <f>IF(D4217="","",IF(G4217&lt;&gt;"",G4217,IFERROR(INDEX('Sản phẩm'!$E$5:$E$304,MATCH(D4217,'Sản phẩm'!$A$5:$A$304,0)),"")))</f>
        <v/>
      </c>
      <c r="J4217" s="16">
        <f>IF(OR(D4217="",F4217=""),"",F4217*I4217-N(H4217))</f>
        <v/>
      </c>
      <c r="K4217" s="16">
        <f>IF(OR(D4217="",F4217=""),"",F4217*IFERROR(INDEX('Sản phẩm'!$D$5:$D$304,MATCH(D4217,'Sản phẩm'!$A$5:$A$304,0)),""))</f>
        <v/>
      </c>
      <c r="L4217" s="16">
        <f>IF(J4217="","",J4217-K4217)</f>
        <v/>
      </c>
      <c r="M4217" s="14">
        <f>IF(A4217="","",MONTH(A4217))</f>
        <v/>
      </c>
      <c r="N4217" s="14">
        <f>IF(A4217="","",YEAR(A4217))</f>
        <v/>
      </c>
    </row>
    <row r="4218">
      <c r="A4218" s="15" t="n"/>
      <c r="B4218" s="10" t="n"/>
      <c r="C4218" s="10" t="n"/>
      <c r="D4218" s="10" t="n"/>
      <c r="E4218" s="14">
        <f>IF(D4218="","",IFERROR(INDEX('Sản phẩm'!$B$5:$B$304,MATCH(D4218,'Sản phẩm'!$A$5:$A$304,0)),""))</f>
        <v/>
      </c>
      <c r="F4218" s="12" t="n"/>
      <c r="G4218" s="11" t="n"/>
      <c r="H4218" s="11" t="n"/>
      <c r="I4218" s="16">
        <f>IF(D4218="","",IF(G4218&lt;&gt;"",G4218,IFERROR(INDEX('Sản phẩm'!$E$5:$E$304,MATCH(D4218,'Sản phẩm'!$A$5:$A$304,0)),"")))</f>
        <v/>
      </c>
      <c r="J4218" s="16">
        <f>IF(OR(D4218="",F4218=""),"",F4218*I4218-N(H4218))</f>
        <v/>
      </c>
      <c r="K4218" s="16">
        <f>IF(OR(D4218="",F4218=""),"",F4218*IFERROR(INDEX('Sản phẩm'!$D$5:$D$304,MATCH(D4218,'Sản phẩm'!$A$5:$A$304,0)),""))</f>
        <v/>
      </c>
      <c r="L4218" s="16">
        <f>IF(J4218="","",J4218-K4218)</f>
        <v/>
      </c>
      <c r="M4218" s="14">
        <f>IF(A4218="","",MONTH(A4218))</f>
        <v/>
      </c>
      <c r="N4218" s="14">
        <f>IF(A4218="","",YEAR(A4218))</f>
        <v/>
      </c>
    </row>
    <row r="4219">
      <c r="A4219" s="15" t="n"/>
      <c r="B4219" s="10" t="n"/>
      <c r="C4219" s="10" t="n"/>
      <c r="D4219" s="10" t="n"/>
      <c r="E4219" s="14">
        <f>IF(D4219="","",IFERROR(INDEX('Sản phẩm'!$B$5:$B$304,MATCH(D4219,'Sản phẩm'!$A$5:$A$304,0)),""))</f>
        <v/>
      </c>
      <c r="F4219" s="12" t="n"/>
      <c r="G4219" s="11" t="n"/>
      <c r="H4219" s="11" t="n"/>
      <c r="I4219" s="16">
        <f>IF(D4219="","",IF(G4219&lt;&gt;"",G4219,IFERROR(INDEX('Sản phẩm'!$E$5:$E$304,MATCH(D4219,'Sản phẩm'!$A$5:$A$304,0)),"")))</f>
        <v/>
      </c>
      <c r="J4219" s="16">
        <f>IF(OR(D4219="",F4219=""),"",F4219*I4219-N(H4219))</f>
        <v/>
      </c>
      <c r="K4219" s="16">
        <f>IF(OR(D4219="",F4219=""),"",F4219*IFERROR(INDEX('Sản phẩm'!$D$5:$D$304,MATCH(D4219,'Sản phẩm'!$A$5:$A$304,0)),""))</f>
        <v/>
      </c>
      <c r="L4219" s="16">
        <f>IF(J4219="","",J4219-K4219)</f>
        <v/>
      </c>
      <c r="M4219" s="14">
        <f>IF(A4219="","",MONTH(A4219))</f>
        <v/>
      </c>
      <c r="N4219" s="14">
        <f>IF(A4219="","",YEAR(A4219))</f>
        <v/>
      </c>
    </row>
    <row r="4220">
      <c r="A4220" s="15" t="n"/>
      <c r="B4220" s="10" t="n"/>
      <c r="C4220" s="10" t="n"/>
      <c r="D4220" s="10" t="n"/>
      <c r="E4220" s="14">
        <f>IF(D4220="","",IFERROR(INDEX('Sản phẩm'!$B$5:$B$304,MATCH(D4220,'Sản phẩm'!$A$5:$A$304,0)),""))</f>
        <v/>
      </c>
      <c r="F4220" s="12" t="n"/>
      <c r="G4220" s="11" t="n"/>
      <c r="H4220" s="11" t="n"/>
      <c r="I4220" s="16">
        <f>IF(D4220="","",IF(G4220&lt;&gt;"",G4220,IFERROR(INDEX('Sản phẩm'!$E$5:$E$304,MATCH(D4220,'Sản phẩm'!$A$5:$A$304,0)),"")))</f>
        <v/>
      </c>
      <c r="J4220" s="16">
        <f>IF(OR(D4220="",F4220=""),"",F4220*I4220-N(H4220))</f>
        <v/>
      </c>
      <c r="K4220" s="16">
        <f>IF(OR(D4220="",F4220=""),"",F4220*IFERROR(INDEX('Sản phẩm'!$D$5:$D$304,MATCH(D4220,'Sản phẩm'!$A$5:$A$304,0)),""))</f>
        <v/>
      </c>
      <c r="L4220" s="16">
        <f>IF(J4220="","",J4220-K4220)</f>
        <v/>
      </c>
      <c r="M4220" s="14">
        <f>IF(A4220="","",MONTH(A4220))</f>
        <v/>
      </c>
      <c r="N4220" s="14">
        <f>IF(A4220="","",YEAR(A4220))</f>
        <v/>
      </c>
    </row>
    <row r="4221">
      <c r="A4221" s="15" t="n"/>
      <c r="B4221" s="10" t="n"/>
      <c r="C4221" s="10" t="n"/>
      <c r="D4221" s="10" t="n"/>
      <c r="E4221" s="14">
        <f>IF(D4221="","",IFERROR(INDEX('Sản phẩm'!$B$5:$B$304,MATCH(D4221,'Sản phẩm'!$A$5:$A$304,0)),""))</f>
        <v/>
      </c>
      <c r="F4221" s="12" t="n"/>
      <c r="G4221" s="11" t="n"/>
      <c r="H4221" s="11" t="n"/>
      <c r="I4221" s="16">
        <f>IF(D4221="","",IF(G4221&lt;&gt;"",G4221,IFERROR(INDEX('Sản phẩm'!$E$5:$E$304,MATCH(D4221,'Sản phẩm'!$A$5:$A$304,0)),"")))</f>
        <v/>
      </c>
      <c r="J4221" s="16">
        <f>IF(OR(D4221="",F4221=""),"",F4221*I4221-N(H4221))</f>
        <v/>
      </c>
      <c r="K4221" s="16">
        <f>IF(OR(D4221="",F4221=""),"",F4221*IFERROR(INDEX('Sản phẩm'!$D$5:$D$304,MATCH(D4221,'Sản phẩm'!$A$5:$A$304,0)),""))</f>
        <v/>
      </c>
      <c r="L4221" s="16">
        <f>IF(J4221="","",J4221-K4221)</f>
        <v/>
      </c>
      <c r="M4221" s="14">
        <f>IF(A4221="","",MONTH(A4221))</f>
        <v/>
      </c>
      <c r="N4221" s="14">
        <f>IF(A4221="","",YEAR(A4221))</f>
        <v/>
      </c>
    </row>
    <row r="4222">
      <c r="A4222" s="15" t="n"/>
      <c r="B4222" s="10" t="n"/>
      <c r="C4222" s="10" t="n"/>
      <c r="D4222" s="10" t="n"/>
      <c r="E4222" s="14">
        <f>IF(D4222="","",IFERROR(INDEX('Sản phẩm'!$B$5:$B$304,MATCH(D4222,'Sản phẩm'!$A$5:$A$304,0)),""))</f>
        <v/>
      </c>
      <c r="F4222" s="12" t="n"/>
      <c r="G4222" s="11" t="n"/>
      <c r="H4222" s="11" t="n"/>
      <c r="I4222" s="16">
        <f>IF(D4222="","",IF(G4222&lt;&gt;"",G4222,IFERROR(INDEX('Sản phẩm'!$E$5:$E$304,MATCH(D4222,'Sản phẩm'!$A$5:$A$304,0)),"")))</f>
        <v/>
      </c>
      <c r="J4222" s="16">
        <f>IF(OR(D4222="",F4222=""),"",F4222*I4222-N(H4222))</f>
        <v/>
      </c>
      <c r="K4222" s="16">
        <f>IF(OR(D4222="",F4222=""),"",F4222*IFERROR(INDEX('Sản phẩm'!$D$5:$D$304,MATCH(D4222,'Sản phẩm'!$A$5:$A$304,0)),""))</f>
        <v/>
      </c>
      <c r="L4222" s="16">
        <f>IF(J4222="","",J4222-K4222)</f>
        <v/>
      </c>
      <c r="M4222" s="14">
        <f>IF(A4222="","",MONTH(A4222))</f>
        <v/>
      </c>
      <c r="N4222" s="14">
        <f>IF(A4222="","",YEAR(A4222))</f>
        <v/>
      </c>
    </row>
    <row r="4223">
      <c r="A4223" s="15" t="n"/>
      <c r="B4223" s="10" t="n"/>
      <c r="C4223" s="10" t="n"/>
      <c r="D4223" s="10" t="n"/>
      <c r="E4223" s="14">
        <f>IF(D4223="","",IFERROR(INDEX('Sản phẩm'!$B$5:$B$304,MATCH(D4223,'Sản phẩm'!$A$5:$A$304,0)),""))</f>
        <v/>
      </c>
      <c r="F4223" s="12" t="n"/>
      <c r="G4223" s="11" t="n"/>
      <c r="H4223" s="11" t="n"/>
      <c r="I4223" s="16">
        <f>IF(D4223="","",IF(G4223&lt;&gt;"",G4223,IFERROR(INDEX('Sản phẩm'!$E$5:$E$304,MATCH(D4223,'Sản phẩm'!$A$5:$A$304,0)),"")))</f>
        <v/>
      </c>
      <c r="J4223" s="16">
        <f>IF(OR(D4223="",F4223=""),"",F4223*I4223-N(H4223))</f>
        <v/>
      </c>
      <c r="K4223" s="16">
        <f>IF(OR(D4223="",F4223=""),"",F4223*IFERROR(INDEX('Sản phẩm'!$D$5:$D$304,MATCH(D4223,'Sản phẩm'!$A$5:$A$304,0)),""))</f>
        <v/>
      </c>
      <c r="L4223" s="16">
        <f>IF(J4223="","",J4223-K4223)</f>
        <v/>
      </c>
      <c r="M4223" s="14">
        <f>IF(A4223="","",MONTH(A4223))</f>
        <v/>
      </c>
      <c r="N4223" s="14">
        <f>IF(A4223="","",YEAR(A4223))</f>
        <v/>
      </c>
    </row>
    <row r="4224">
      <c r="A4224" s="15" t="n"/>
      <c r="B4224" s="10" t="n"/>
      <c r="C4224" s="10" t="n"/>
      <c r="D4224" s="10" t="n"/>
      <c r="E4224" s="14">
        <f>IF(D4224="","",IFERROR(INDEX('Sản phẩm'!$B$5:$B$304,MATCH(D4224,'Sản phẩm'!$A$5:$A$304,0)),""))</f>
        <v/>
      </c>
      <c r="F4224" s="12" t="n"/>
      <c r="G4224" s="11" t="n"/>
      <c r="H4224" s="11" t="n"/>
      <c r="I4224" s="16">
        <f>IF(D4224="","",IF(G4224&lt;&gt;"",G4224,IFERROR(INDEX('Sản phẩm'!$E$5:$E$304,MATCH(D4224,'Sản phẩm'!$A$5:$A$304,0)),"")))</f>
        <v/>
      </c>
      <c r="J4224" s="16">
        <f>IF(OR(D4224="",F4224=""),"",F4224*I4224-N(H4224))</f>
        <v/>
      </c>
      <c r="K4224" s="16">
        <f>IF(OR(D4224="",F4224=""),"",F4224*IFERROR(INDEX('Sản phẩm'!$D$5:$D$304,MATCH(D4224,'Sản phẩm'!$A$5:$A$304,0)),""))</f>
        <v/>
      </c>
      <c r="L4224" s="16">
        <f>IF(J4224="","",J4224-K4224)</f>
        <v/>
      </c>
      <c r="M4224" s="14">
        <f>IF(A4224="","",MONTH(A4224))</f>
        <v/>
      </c>
      <c r="N4224" s="14">
        <f>IF(A4224="","",YEAR(A4224))</f>
        <v/>
      </c>
    </row>
    <row r="4225">
      <c r="A4225" s="15" t="n"/>
      <c r="B4225" s="10" t="n"/>
      <c r="C4225" s="10" t="n"/>
      <c r="D4225" s="10" t="n"/>
      <c r="E4225" s="14">
        <f>IF(D4225="","",IFERROR(INDEX('Sản phẩm'!$B$5:$B$304,MATCH(D4225,'Sản phẩm'!$A$5:$A$304,0)),""))</f>
        <v/>
      </c>
      <c r="F4225" s="12" t="n"/>
      <c r="G4225" s="11" t="n"/>
      <c r="H4225" s="11" t="n"/>
      <c r="I4225" s="16">
        <f>IF(D4225="","",IF(G4225&lt;&gt;"",G4225,IFERROR(INDEX('Sản phẩm'!$E$5:$E$304,MATCH(D4225,'Sản phẩm'!$A$5:$A$304,0)),"")))</f>
        <v/>
      </c>
      <c r="J4225" s="16">
        <f>IF(OR(D4225="",F4225=""),"",F4225*I4225-N(H4225))</f>
        <v/>
      </c>
      <c r="K4225" s="16">
        <f>IF(OR(D4225="",F4225=""),"",F4225*IFERROR(INDEX('Sản phẩm'!$D$5:$D$304,MATCH(D4225,'Sản phẩm'!$A$5:$A$304,0)),""))</f>
        <v/>
      </c>
      <c r="L4225" s="16">
        <f>IF(J4225="","",J4225-K4225)</f>
        <v/>
      </c>
      <c r="M4225" s="14">
        <f>IF(A4225="","",MONTH(A4225))</f>
        <v/>
      </c>
      <c r="N4225" s="14">
        <f>IF(A4225="","",YEAR(A4225))</f>
        <v/>
      </c>
    </row>
    <row r="4226">
      <c r="A4226" s="15" t="n"/>
      <c r="B4226" s="10" t="n"/>
      <c r="C4226" s="10" t="n"/>
      <c r="D4226" s="10" t="n"/>
      <c r="E4226" s="14">
        <f>IF(D4226="","",IFERROR(INDEX('Sản phẩm'!$B$5:$B$304,MATCH(D4226,'Sản phẩm'!$A$5:$A$304,0)),""))</f>
        <v/>
      </c>
      <c r="F4226" s="12" t="n"/>
      <c r="G4226" s="11" t="n"/>
      <c r="H4226" s="11" t="n"/>
      <c r="I4226" s="16">
        <f>IF(D4226="","",IF(G4226&lt;&gt;"",G4226,IFERROR(INDEX('Sản phẩm'!$E$5:$E$304,MATCH(D4226,'Sản phẩm'!$A$5:$A$304,0)),"")))</f>
        <v/>
      </c>
      <c r="J4226" s="16">
        <f>IF(OR(D4226="",F4226=""),"",F4226*I4226-N(H4226))</f>
        <v/>
      </c>
      <c r="K4226" s="16">
        <f>IF(OR(D4226="",F4226=""),"",F4226*IFERROR(INDEX('Sản phẩm'!$D$5:$D$304,MATCH(D4226,'Sản phẩm'!$A$5:$A$304,0)),""))</f>
        <v/>
      </c>
      <c r="L4226" s="16">
        <f>IF(J4226="","",J4226-K4226)</f>
        <v/>
      </c>
      <c r="M4226" s="14">
        <f>IF(A4226="","",MONTH(A4226))</f>
        <v/>
      </c>
      <c r="N4226" s="14">
        <f>IF(A4226="","",YEAR(A4226))</f>
        <v/>
      </c>
    </row>
    <row r="4227">
      <c r="A4227" s="15" t="n"/>
      <c r="B4227" s="10" t="n"/>
      <c r="C4227" s="10" t="n"/>
      <c r="D4227" s="10" t="n"/>
      <c r="E4227" s="14">
        <f>IF(D4227="","",IFERROR(INDEX('Sản phẩm'!$B$5:$B$304,MATCH(D4227,'Sản phẩm'!$A$5:$A$304,0)),""))</f>
        <v/>
      </c>
      <c r="F4227" s="12" t="n"/>
      <c r="G4227" s="11" t="n"/>
      <c r="H4227" s="11" t="n"/>
      <c r="I4227" s="16">
        <f>IF(D4227="","",IF(G4227&lt;&gt;"",G4227,IFERROR(INDEX('Sản phẩm'!$E$5:$E$304,MATCH(D4227,'Sản phẩm'!$A$5:$A$304,0)),"")))</f>
        <v/>
      </c>
      <c r="J4227" s="16">
        <f>IF(OR(D4227="",F4227=""),"",F4227*I4227-N(H4227))</f>
        <v/>
      </c>
      <c r="K4227" s="16">
        <f>IF(OR(D4227="",F4227=""),"",F4227*IFERROR(INDEX('Sản phẩm'!$D$5:$D$304,MATCH(D4227,'Sản phẩm'!$A$5:$A$304,0)),""))</f>
        <v/>
      </c>
      <c r="L4227" s="16">
        <f>IF(J4227="","",J4227-K4227)</f>
        <v/>
      </c>
      <c r="M4227" s="14">
        <f>IF(A4227="","",MONTH(A4227))</f>
        <v/>
      </c>
      <c r="N4227" s="14">
        <f>IF(A4227="","",YEAR(A4227))</f>
        <v/>
      </c>
    </row>
    <row r="4228">
      <c r="A4228" s="15" t="n"/>
      <c r="B4228" s="10" t="n"/>
      <c r="C4228" s="10" t="n"/>
      <c r="D4228" s="10" t="n"/>
      <c r="E4228" s="14">
        <f>IF(D4228="","",IFERROR(INDEX('Sản phẩm'!$B$5:$B$304,MATCH(D4228,'Sản phẩm'!$A$5:$A$304,0)),""))</f>
        <v/>
      </c>
      <c r="F4228" s="12" t="n"/>
      <c r="G4228" s="11" t="n"/>
      <c r="H4228" s="11" t="n"/>
      <c r="I4228" s="16">
        <f>IF(D4228="","",IF(G4228&lt;&gt;"",G4228,IFERROR(INDEX('Sản phẩm'!$E$5:$E$304,MATCH(D4228,'Sản phẩm'!$A$5:$A$304,0)),"")))</f>
        <v/>
      </c>
      <c r="J4228" s="16">
        <f>IF(OR(D4228="",F4228=""),"",F4228*I4228-N(H4228))</f>
        <v/>
      </c>
      <c r="K4228" s="16">
        <f>IF(OR(D4228="",F4228=""),"",F4228*IFERROR(INDEX('Sản phẩm'!$D$5:$D$304,MATCH(D4228,'Sản phẩm'!$A$5:$A$304,0)),""))</f>
        <v/>
      </c>
      <c r="L4228" s="16">
        <f>IF(J4228="","",J4228-K4228)</f>
        <v/>
      </c>
      <c r="M4228" s="14">
        <f>IF(A4228="","",MONTH(A4228))</f>
        <v/>
      </c>
      <c r="N4228" s="14">
        <f>IF(A4228="","",YEAR(A4228))</f>
        <v/>
      </c>
    </row>
    <row r="4229">
      <c r="A4229" s="15" t="n"/>
      <c r="B4229" s="10" t="n"/>
      <c r="C4229" s="10" t="n"/>
      <c r="D4229" s="10" t="n"/>
      <c r="E4229" s="14">
        <f>IF(D4229="","",IFERROR(INDEX('Sản phẩm'!$B$5:$B$304,MATCH(D4229,'Sản phẩm'!$A$5:$A$304,0)),""))</f>
        <v/>
      </c>
      <c r="F4229" s="12" t="n"/>
      <c r="G4229" s="11" t="n"/>
      <c r="H4229" s="11" t="n"/>
      <c r="I4229" s="16">
        <f>IF(D4229="","",IF(G4229&lt;&gt;"",G4229,IFERROR(INDEX('Sản phẩm'!$E$5:$E$304,MATCH(D4229,'Sản phẩm'!$A$5:$A$304,0)),"")))</f>
        <v/>
      </c>
      <c r="J4229" s="16">
        <f>IF(OR(D4229="",F4229=""),"",F4229*I4229-N(H4229))</f>
        <v/>
      </c>
      <c r="K4229" s="16">
        <f>IF(OR(D4229="",F4229=""),"",F4229*IFERROR(INDEX('Sản phẩm'!$D$5:$D$304,MATCH(D4229,'Sản phẩm'!$A$5:$A$304,0)),""))</f>
        <v/>
      </c>
      <c r="L4229" s="16">
        <f>IF(J4229="","",J4229-K4229)</f>
        <v/>
      </c>
      <c r="M4229" s="14">
        <f>IF(A4229="","",MONTH(A4229))</f>
        <v/>
      </c>
      <c r="N4229" s="14">
        <f>IF(A4229="","",YEAR(A4229))</f>
        <v/>
      </c>
    </row>
    <row r="4230">
      <c r="A4230" s="15" t="n"/>
      <c r="B4230" s="10" t="n"/>
      <c r="C4230" s="10" t="n"/>
      <c r="D4230" s="10" t="n"/>
      <c r="E4230" s="14">
        <f>IF(D4230="","",IFERROR(INDEX('Sản phẩm'!$B$5:$B$304,MATCH(D4230,'Sản phẩm'!$A$5:$A$304,0)),""))</f>
        <v/>
      </c>
      <c r="F4230" s="12" t="n"/>
      <c r="G4230" s="11" t="n"/>
      <c r="H4230" s="11" t="n"/>
      <c r="I4230" s="16">
        <f>IF(D4230="","",IF(G4230&lt;&gt;"",G4230,IFERROR(INDEX('Sản phẩm'!$E$5:$E$304,MATCH(D4230,'Sản phẩm'!$A$5:$A$304,0)),"")))</f>
        <v/>
      </c>
      <c r="J4230" s="16">
        <f>IF(OR(D4230="",F4230=""),"",F4230*I4230-N(H4230))</f>
        <v/>
      </c>
      <c r="K4230" s="16">
        <f>IF(OR(D4230="",F4230=""),"",F4230*IFERROR(INDEX('Sản phẩm'!$D$5:$D$304,MATCH(D4230,'Sản phẩm'!$A$5:$A$304,0)),""))</f>
        <v/>
      </c>
      <c r="L4230" s="16">
        <f>IF(J4230="","",J4230-K4230)</f>
        <v/>
      </c>
      <c r="M4230" s="14">
        <f>IF(A4230="","",MONTH(A4230))</f>
        <v/>
      </c>
      <c r="N4230" s="14">
        <f>IF(A4230="","",YEAR(A4230))</f>
        <v/>
      </c>
    </row>
    <row r="4231">
      <c r="A4231" s="15" t="n"/>
      <c r="B4231" s="10" t="n"/>
      <c r="C4231" s="10" t="n"/>
      <c r="D4231" s="10" t="n"/>
      <c r="E4231" s="14">
        <f>IF(D4231="","",IFERROR(INDEX('Sản phẩm'!$B$5:$B$304,MATCH(D4231,'Sản phẩm'!$A$5:$A$304,0)),""))</f>
        <v/>
      </c>
      <c r="F4231" s="12" t="n"/>
      <c r="G4231" s="11" t="n"/>
      <c r="H4231" s="11" t="n"/>
      <c r="I4231" s="16">
        <f>IF(D4231="","",IF(G4231&lt;&gt;"",G4231,IFERROR(INDEX('Sản phẩm'!$E$5:$E$304,MATCH(D4231,'Sản phẩm'!$A$5:$A$304,0)),"")))</f>
        <v/>
      </c>
      <c r="J4231" s="16">
        <f>IF(OR(D4231="",F4231=""),"",F4231*I4231-N(H4231))</f>
        <v/>
      </c>
      <c r="K4231" s="16">
        <f>IF(OR(D4231="",F4231=""),"",F4231*IFERROR(INDEX('Sản phẩm'!$D$5:$D$304,MATCH(D4231,'Sản phẩm'!$A$5:$A$304,0)),""))</f>
        <v/>
      </c>
      <c r="L4231" s="16">
        <f>IF(J4231="","",J4231-K4231)</f>
        <v/>
      </c>
      <c r="M4231" s="14">
        <f>IF(A4231="","",MONTH(A4231))</f>
        <v/>
      </c>
      <c r="N4231" s="14">
        <f>IF(A4231="","",YEAR(A4231))</f>
        <v/>
      </c>
    </row>
    <row r="4232">
      <c r="A4232" s="15" t="n"/>
      <c r="B4232" s="10" t="n"/>
      <c r="C4232" s="10" t="n"/>
      <c r="D4232" s="10" t="n"/>
      <c r="E4232" s="14">
        <f>IF(D4232="","",IFERROR(INDEX('Sản phẩm'!$B$5:$B$304,MATCH(D4232,'Sản phẩm'!$A$5:$A$304,0)),""))</f>
        <v/>
      </c>
      <c r="F4232" s="12" t="n"/>
      <c r="G4232" s="11" t="n"/>
      <c r="H4232" s="11" t="n"/>
      <c r="I4232" s="16">
        <f>IF(D4232="","",IF(G4232&lt;&gt;"",G4232,IFERROR(INDEX('Sản phẩm'!$E$5:$E$304,MATCH(D4232,'Sản phẩm'!$A$5:$A$304,0)),"")))</f>
        <v/>
      </c>
      <c r="J4232" s="16">
        <f>IF(OR(D4232="",F4232=""),"",F4232*I4232-N(H4232))</f>
        <v/>
      </c>
      <c r="K4232" s="16">
        <f>IF(OR(D4232="",F4232=""),"",F4232*IFERROR(INDEX('Sản phẩm'!$D$5:$D$304,MATCH(D4232,'Sản phẩm'!$A$5:$A$304,0)),""))</f>
        <v/>
      </c>
      <c r="L4232" s="16">
        <f>IF(J4232="","",J4232-K4232)</f>
        <v/>
      </c>
      <c r="M4232" s="14">
        <f>IF(A4232="","",MONTH(A4232))</f>
        <v/>
      </c>
      <c r="N4232" s="14">
        <f>IF(A4232="","",YEAR(A4232))</f>
        <v/>
      </c>
    </row>
    <row r="4233">
      <c r="A4233" s="15" t="n"/>
      <c r="B4233" s="10" t="n"/>
      <c r="C4233" s="10" t="n"/>
      <c r="D4233" s="10" t="n"/>
      <c r="E4233" s="14">
        <f>IF(D4233="","",IFERROR(INDEX('Sản phẩm'!$B$5:$B$304,MATCH(D4233,'Sản phẩm'!$A$5:$A$304,0)),""))</f>
        <v/>
      </c>
      <c r="F4233" s="12" t="n"/>
      <c r="G4233" s="11" t="n"/>
      <c r="H4233" s="11" t="n"/>
      <c r="I4233" s="16">
        <f>IF(D4233="","",IF(G4233&lt;&gt;"",G4233,IFERROR(INDEX('Sản phẩm'!$E$5:$E$304,MATCH(D4233,'Sản phẩm'!$A$5:$A$304,0)),"")))</f>
        <v/>
      </c>
      <c r="J4233" s="16">
        <f>IF(OR(D4233="",F4233=""),"",F4233*I4233-N(H4233))</f>
        <v/>
      </c>
      <c r="K4233" s="16">
        <f>IF(OR(D4233="",F4233=""),"",F4233*IFERROR(INDEX('Sản phẩm'!$D$5:$D$304,MATCH(D4233,'Sản phẩm'!$A$5:$A$304,0)),""))</f>
        <v/>
      </c>
      <c r="L4233" s="16">
        <f>IF(J4233="","",J4233-K4233)</f>
        <v/>
      </c>
      <c r="M4233" s="14">
        <f>IF(A4233="","",MONTH(A4233))</f>
        <v/>
      </c>
      <c r="N4233" s="14">
        <f>IF(A4233="","",YEAR(A4233))</f>
        <v/>
      </c>
    </row>
    <row r="4234">
      <c r="A4234" s="15" t="n"/>
      <c r="B4234" s="10" t="n"/>
      <c r="C4234" s="10" t="n"/>
      <c r="D4234" s="10" t="n"/>
      <c r="E4234" s="14">
        <f>IF(D4234="","",IFERROR(INDEX('Sản phẩm'!$B$5:$B$304,MATCH(D4234,'Sản phẩm'!$A$5:$A$304,0)),""))</f>
        <v/>
      </c>
      <c r="F4234" s="12" t="n"/>
      <c r="G4234" s="11" t="n"/>
      <c r="H4234" s="11" t="n"/>
      <c r="I4234" s="16">
        <f>IF(D4234="","",IF(G4234&lt;&gt;"",G4234,IFERROR(INDEX('Sản phẩm'!$E$5:$E$304,MATCH(D4234,'Sản phẩm'!$A$5:$A$304,0)),"")))</f>
        <v/>
      </c>
      <c r="J4234" s="16">
        <f>IF(OR(D4234="",F4234=""),"",F4234*I4234-N(H4234))</f>
        <v/>
      </c>
      <c r="K4234" s="16">
        <f>IF(OR(D4234="",F4234=""),"",F4234*IFERROR(INDEX('Sản phẩm'!$D$5:$D$304,MATCH(D4234,'Sản phẩm'!$A$5:$A$304,0)),""))</f>
        <v/>
      </c>
      <c r="L4234" s="16">
        <f>IF(J4234="","",J4234-K4234)</f>
        <v/>
      </c>
      <c r="M4234" s="14">
        <f>IF(A4234="","",MONTH(A4234))</f>
        <v/>
      </c>
      <c r="N4234" s="14">
        <f>IF(A4234="","",YEAR(A4234))</f>
        <v/>
      </c>
    </row>
    <row r="4235">
      <c r="A4235" s="15" t="n"/>
      <c r="B4235" s="10" t="n"/>
      <c r="C4235" s="10" t="n"/>
      <c r="D4235" s="10" t="n"/>
      <c r="E4235" s="14">
        <f>IF(D4235="","",IFERROR(INDEX('Sản phẩm'!$B$5:$B$304,MATCH(D4235,'Sản phẩm'!$A$5:$A$304,0)),""))</f>
        <v/>
      </c>
      <c r="F4235" s="12" t="n"/>
      <c r="G4235" s="11" t="n"/>
      <c r="H4235" s="11" t="n"/>
      <c r="I4235" s="16">
        <f>IF(D4235="","",IF(G4235&lt;&gt;"",G4235,IFERROR(INDEX('Sản phẩm'!$E$5:$E$304,MATCH(D4235,'Sản phẩm'!$A$5:$A$304,0)),"")))</f>
        <v/>
      </c>
      <c r="J4235" s="16">
        <f>IF(OR(D4235="",F4235=""),"",F4235*I4235-N(H4235))</f>
        <v/>
      </c>
      <c r="K4235" s="16">
        <f>IF(OR(D4235="",F4235=""),"",F4235*IFERROR(INDEX('Sản phẩm'!$D$5:$D$304,MATCH(D4235,'Sản phẩm'!$A$5:$A$304,0)),""))</f>
        <v/>
      </c>
      <c r="L4235" s="16">
        <f>IF(J4235="","",J4235-K4235)</f>
        <v/>
      </c>
      <c r="M4235" s="14">
        <f>IF(A4235="","",MONTH(A4235))</f>
        <v/>
      </c>
      <c r="N4235" s="14">
        <f>IF(A4235="","",YEAR(A4235))</f>
        <v/>
      </c>
    </row>
    <row r="4236">
      <c r="A4236" s="15" t="n"/>
      <c r="B4236" s="10" t="n"/>
      <c r="C4236" s="10" t="n"/>
      <c r="D4236" s="10" t="n"/>
      <c r="E4236" s="14">
        <f>IF(D4236="","",IFERROR(INDEX('Sản phẩm'!$B$5:$B$304,MATCH(D4236,'Sản phẩm'!$A$5:$A$304,0)),""))</f>
        <v/>
      </c>
      <c r="F4236" s="12" t="n"/>
      <c r="G4236" s="11" t="n"/>
      <c r="H4236" s="11" t="n"/>
      <c r="I4236" s="16">
        <f>IF(D4236="","",IF(G4236&lt;&gt;"",G4236,IFERROR(INDEX('Sản phẩm'!$E$5:$E$304,MATCH(D4236,'Sản phẩm'!$A$5:$A$304,0)),"")))</f>
        <v/>
      </c>
      <c r="J4236" s="16">
        <f>IF(OR(D4236="",F4236=""),"",F4236*I4236-N(H4236))</f>
        <v/>
      </c>
      <c r="K4236" s="16">
        <f>IF(OR(D4236="",F4236=""),"",F4236*IFERROR(INDEX('Sản phẩm'!$D$5:$D$304,MATCH(D4236,'Sản phẩm'!$A$5:$A$304,0)),""))</f>
        <v/>
      </c>
      <c r="L4236" s="16">
        <f>IF(J4236="","",J4236-K4236)</f>
        <v/>
      </c>
      <c r="M4236" s="14">
        <f>IF(A4236="","",MONTH(A4236))</f>
        <v/>
      </c>
      <c r="N4236" s="14">
        <f>IF(A4236="","",YEAR(A4236))</f>
        <v/>
      </c>
    </row>
    <row r="4237">
      <c r="A4237" s="15" t="n"/>
      <c r="B4237" s="10" t="n"/>
      <c r="C4237" s="10" t="n"/>
      <c r="D4237" s="10" t="n"/>
      <c r="E4237" s="14">
        <f>IF(D4237="","",IFERROR(INDEX('Sản phẩm'!$B$5:$B$304,MATCH(D4237,'Sản phẩm'!$A$5:$A$304,0)),""))</f>
        <v/>
      </c>
      <c r="F4237" s="12" t="n"/>
      <c r="G4237" s="11" t="n"/>
      <c r="H4237" s="11" t="n"/>
      <c r="I4237" s="16">
        <f>IF(D4237="","",IF(G4237&lt;&gt;"",G4237,IFERROR(INDEX('Sản phẩm'!$E$5:$E$304,MATCH(D4237,'Sản phẩm'!$A$5:$A$304,0)),"")))</f>
        <v/>
      </c>
      <c r="J4237" s="16">
        <f>IF(OR(D4237="",F4237=""),"",F4237*I4237-N(H4237))</f>
        <v/>
      </c>
      <c r="K4237" s="16">
        <f>IF(OR(D4237="",F4237=""),"",F4237*IFERROR(INDEX('Sản phẩm'!$D$5:$D$304,MATCH(D4237,'Sản phẩm'!$A$5:$A$304,0)),""))</f>
        <v/>
      </c>
      <c r="L4237" s="16">
        <f>IF(J4237="","",J4237-K4237)</f>
        <v/>
      </c>
      <c r="M4237" s="14">
        <f>IF(A4237="","",MONTH(A4237))</f>
        <v/>
      </c>
      <c r="N4237" s="14">
        <f>IF(A4237="","",YEAR(A4237))</f>
        <v/>
      </c>
    </row>
    <row r="4238">
      <c r="A4238" s="15" t="n"/>
      <c r="B4238" s="10" t="n"/>
      <c r="C4238" s="10" t="n"/>
      <c r="D4238" s="10" t="n"/>
      <c r="E4238" s="14">
        <f>IF(D4238="","",IFERROR(INDEX('Sản phẩm'!$B$5:$B$304,MATCH(D4238,'Sản phẩm'!$A$5:$A$304,0)),""))</f>
        <v/>
      </c>
      <c r="F4238" s="12" t="n"/>
      <c r="G4238" s="11" t="n"/>
      <c r="H4238" s="11" t="n"/>
      <c r="I4238" s="16">
        <f>IF(D4238="","",IF(G4238&lt;&gt;"",G4238,IFERROR(INDEX('Sản phẩm'!$E$5:$E$304,MATCH(D4238,'Sản phẩm'!$A$5:$A$304,0)),"")))</f>
        <v/>
      </c>
      <c r="J4238" s="16">
        <f>IF(OR(D4238="",F4238=""),"",F4238*I4238-N(H4238))</f>
        <v/>
      </c>
      <c r="K4238" s="16">
        <f>IF(OR(D4238="",F4238=""),"",F4238*IFERROR(INDEX('Sản phẩm'!$D$5:$D$304,MATCH(D4238,'Sản phẩm'!$A$5:$A$304,0)),""))</f>
        <v/>
      </c>
      <c r="L4238" s="16">
        <f>IF(J4238="","",J4238-K4238)</f>
        <v/>
      </c>
      <c r="M4238" s="14">
        <f>IF(A4238="","",MONTH(A4238))</f>
        <v/>
      </c>
      <c r="N4238" s="14">
        <f>IF(A4238="","",YEAR(A4238))</f>
        <v/>
      </c>
    </row>
    <row r="4239">
      <c r="A4239" s="15" t="n"/>
      <c r="B4239" s="10" t="n"/>
      <c r="C4239" s="10" t="n"/>
      <c r="D4239" s="10" t="n"/>
      <c r="E4239" s="14">
        <f>IF(D4239="","",IFERROR(INDEX('Sản phẩm'!$B$5:$B$304,MATCH(D4239,'Sản phẩm'!$A$5:$A$304,0)),""))</f>
        <v/>
      </c>
      <c r="F4239" s="12" t="n"/>
      <c r="G4239" s="11" t="n"/>
      <c r="H4239" s="11" t="n"/>
      <c r="I4239" s="16">
        <f>IF(D4239="","",IF(G4239&lt;&gt;"",G4239,IFERROR(INDEX('Sản phẩm'!$E$5:$E$304,MATCH(D4239,'Sản phẩm'!$A$5:$A$304,0)),"")))</f>
        <v/>
      </c>
      <c r="J4239" s="16">
        <f>IF(OR(D4239="",F4239=""),"",F4239*I4239-N(H4239))</f>
        <v/>
      </c>
      <c r="K4239" s="16">
        <f>IF(OR(D4239="",F4239=""),"",F4239*IFERROR(INDEX('Sản phẩm'!$D$5:$D$304,MATCH(D4239,'Sản phẩm'!$A$5:$A$304,0)),""))</f>
        <v/>
      </c>
      <c r="L4239" s="16">
        <f>IF(J4239="","",J4239-K4239)</f>
        <v/>
      </c>
      <c r="M4239" s="14">
        <f>IF(A4239="","",MONTH(A4239))</f>
        <v/>
      </c>
      <c r="N4239" s="14">
        <f>IF(A4239="","",YEAR(A4239))</f>
        <v/>
      </c>
    </row>
    <row r="4240">
      <c r="A4240" s="15" t="n"/>
      <c r="B4240" s="10" t="n"/>
      <c r="C4240" s="10" t="n"/>
      <c r="D4240" s="10" t="n"/>
      <c r="E4240" s="14">
        <f>IF(D4240="","",IFERROR(INDEX('Sản phẩm'!$B$5:$B$304,MATCH(D4240,'Sản phẩm'!$A$5:$A$304,0)),""))</f>
        <v/>
      </c>
      <c r="F4240" s="12" t="n"/>
      <c r="G4240" s="11" t="n"/>
      <c r="H4240" s="11" t="n"/>
      <c r="I4240" s="16">
        <f>IF(D4240="","",IF(G4240&lt;&gt;"",G4240,IFERROR(INDEX('Sản phẩm'!$E$5:$E$304,MATCH(D4240,'Sản phẩm'!$A$5:$A$304,0)),"")))</f>
        <v/>
      </c>
      <c r="J4240" s="16">
        <f>IF(OR(D4240="",F4240=""),"",F4240*I4240-N(H4240))</f>
        <v/>
      </c>
      <c r="K4240" s="16">
        <f>IF(OR(D4240="",F4240=""),"",F4240*IFERROR(INDEX('Sản phẩm'!$D$5:$D$304,MATCH(D4240,'Sản phẩm'!$A$5:$A$304,0)),""))</f>
        <v/>
      </c>
      <c r="L4240" s="16">
        <f>IF(J4240="","",J4240-K4240)</f>
        <v/>
      </c>
      <c r="M4240" s="14">
        <f>IF(A4240="","",MONTH(A4240))</f>
        <v/>
      </c>
      <c r="N4240" s="14">
        <f>IF(A4240="","",YEAR(A4240))</f>
        <v/>
      </c>
    </row>
    <row r="4241">
      <c r="A4241" s="15" t="n"/>
      <c r="B4241" s="10" t="n"/>
      <c r="C4241" s="10" t="n"/>
      <c r="D4241" s="10" t="n"/>
      <c r="E4241" s="14">
        <f>IF(D4241="","",IFERROR(INDEX('Sản phẩm'!$B$5:$B$304,MATCH(D4241,'Sản phẩm'!$A$5:$A$304,0)),""))</f>
        <v/>
      </c>
      <c r="F4241" s="12" t="n"/>
      <c r="G4241" s="11" t="n"/>
      <c r="H4241" s="11" t="n"/>
      <c r="I4241" s="16">
        <f>IF(D4241="","",IF(G4241&lt;&gt;"",G4241,IFERROR(INDEX('Sản phẩm'!$E$5:$E$304,MATCH(D4241,'Sản phẩm'!$A$5:$A$304,0)),"")))</f>
        <v/>
      </c>
      <c r="J4241" s="16">
        <f>IF(OR(D4241="",F4241=""),"",F4241*I4241-N(H4241))</f>
        <v/>
      </c>
      <c r="K4241" s="16">
        <f>IF(OR(D4241="",F4241=""),"",F4241*IFERROR(INDEX('Sản phẩm'!$D$5:$D$304,MATCH(D4241,'Sản phẩm'!$A$5:$A$304,0)),""))</f>
        <v/>
      </c>
      <c r="L4241" s="16">
        <f>IF(J4241="","",J4241-K4241)</f>
        <v/>
      </c>
      <c r="M4241" s="14">
        <f>IF(A4241="","",MONTH(A4241))</f>
        <v/>
      </c>
      <c r="N4241" s="14">
        <f>IF(A4241="","",YEAR(A4241))</f>
        <v/>
      </c>
    </row>
    <row r="4242">
      <c r="A4242" s="15" t="n"/>
      <c r="B4242" s="10" t="n"/>
      <c r="C4242" s="10" t="n"/>
      <c r="D4242" s="10" t="n"/>
      <c r="E4242" s="14">
        <f>IF(D4242="","",IFERROR(INDEX('Sản phẩm'!$B$5:$B$304,MATCH(D4242,'Sản phẩm'!$A$5:$A$304,0)),""))</f>
        <v/>
      </c>
      <c r="F4242" s="12" t="n"/>
      <c r="G4242" s="11" t="n"/>
      <c r="H4242" s="11" t="n"/>
      <c r="I4242" s="16">
        <f>IF(D4242="","",IF(G4242&lt;&gt;"",G4242,IFERROR(INDEX('Sản phẩm'!$E$5:$E$304,MATCH(D4242,'Sản phẩm'!$A$5:$A$304,0)),"")))</f>
        <v/>
      </c>
      <c r="J4242" s="16">
        <f>IF(OR(D4242="",F4242=""),"",F4242*I4242-N(H4242))</f>
        <v/>
      </c>
      <c r="K4242" s="16">
        <f>IF(OR(D4242="",F4242=""),"",F4242*IFERROR(INDEX('Sản phẩm'!$D$5:$D$304,MATCH(D4242,'Sản phẩm'!$A$5:$A$304,0)),""))</f>
        <v/>
      </c>
      <c r="L4242" s="16">
        <f>IF(J4242="","",J4242-K4242)</f>
        <v/>
      </c>
      <c r="M4242" s="14">
        <f>IF(A4242="","",MONTH(A4242))</f>
        <v/>
      </c>
      <c r="N4242" s="14">
        <f>IF(A4242="","",YEAR(A4242))</f>
        <v/>
      </c>
    </row>
    <row r="4243">
      <c r="A4243" s="15" t="n"/>
      <c r="B4243" s="10" t="n"/>
      <c r="C4243" s="10" t="n"/>
      <c r="D4243" s="10" t="n"/>
      <c r="E4243" s="14">
        <f>IF(D4243="","",IFERROR(INDEX('Sản phẩm'!$B$5:$B$304,MATCH(D4243,'Sản phẩm'!$A$5:$A$304,0)),""))</f>
        <v/>
      </c>
      <c r="F4243" s="12" t="n"/>
      <c r="G4243" s="11" t="n"/>
      <c r="H4243" s="11" t="n"/>
      <c r="I4243" s="16">
        <f>IF(D4243="","",IF(G4243&lt;&gt;"",G4243,IFERROR(INDEX('Sản phẩm'!$E$5:$E$304,MATCH(D4243,'Sản phẩm'!$A$5:$A$304,0)),"")))</f>
        <v/>
      </c>
      <c r="J4243" s="16">
        <f>IF(OR(D4243="",F4243=""),"",F4243*I4243-N(H4243))</f>
        <v/>
      </c>
      <c r="K4243" s="16">
        <f>IF(OR(D4243="",F4243=""),"",F4243*IFERROR(INDEX('Sản phẩm'!$D$5:$D$304,MATCH(D4243,'Sản phẩm'!$A$5:$A$304,0)),""))</f>
        <v/>
      </c>
      <c r="L4243" s="16">
        <f>IF(J4243="","",J4243-K4243)</f>
        <v/>
      </c>
      <c r="M4243" s="14">
        <f>IF(A4243="","",MONTH(A4243))</f>
        <v/>
      </c>
      <c r="N4243" s="14">
        <f>IF(A4243="","",YEAR(A4243))</f>
        <v/>
      </c>
    </row>
    <row r="4244">
      <c r="A4244" s="15" t="n"/>
      <c r="B4244" s="10" t="n"/>
      <c r="C4244" s="10" t="n"/>
      <c r="D4244" s="10" t="n"/>
      <c r="E4244" s="14">
        <f>IF(D4244="","",IFERROR(INDEX('Sản phẩm'!$B$5:$B$304,MATCH(D4244,'Sản phẩm'!$A$5:$A$304,0)),""))</f>
        <v/>
      </c>
      <c r="F4244" s="12" t="n"/>
      <c r="G4244" s="11" t="n"/>
      <c r="H4244" s="11" t="n"/>
      <c r="I4244" s="16">
        <f>IF(D4244="","",IF(G4244&lt;&gt;"",G4244,IFERROR(INDEX('Sản phẩm'!$E$5:$E$304,MATCH(D4244,'Sản phẩm'!$A$5:$A$304,0)),"")))</f>
        <v/>
      </c>
      <c r="J4244" s="16">
        <f>IF(OR(D4244="",F4244=""),"",F4244*I4244-N(H4244))</f>
        <v/>
      </c>
      <c r="K4244" s="16">
        <f>IF(OR(D4244="",F4244=""),"",F4244*IFERROR(INDEX('Sản phẩm'!$D$5:$D$304,MATCH(D4244,'Sản phẩm'!$A$5:$A$304,0)),""))</f>
        <v/>
      </c>
      <c r="L4244" s="16">
        <f>IF(J4244="","",J4244-K4244)</f>
        <v/>
      </c>
      <c r="M4244" s="14">
        <f>IF(A4244="","",MONTH(A4244))</f>
        <v/>
      </c>
      <c r="N4244" s="14">
        <f>IF(A4244="","",YEAR(A4244))</f>
        <v/>
      </c>
    </row>
    <row r="4245">
      <c r="A4245" s="15" t="n"/>
      <c r="B4245" s="10" t="n"/>
      <c r="C4245" s="10" t="n"/>
      <c r="D4245" s="10" t="n"/>
      <c r="E4245" s="14">
        <f>IF(D4245="","",IFERROR(INDEX('Sản phẩm'!$B$5:$B$304,MATCH(D4245,'Sản phẩm'!$A$5:$A$304,0)),""))</f>
        <v/>
      </c>
      <c r="F4245" s="12" t="n"/>
      <c r="G4245" s="11" t="n"/>
      <c r="H4245" s="11" t="n"/>
      <c r="I4245" s="16">
        <f>IF(D4245="","",IF(G4245&lt;&gt;"",G4245,IFERROR(INDEX('Sản phẩm'!$E$5:$E$304,MATCH(D4245,'Sản phẩm'!$A$5:$A$304,0)),"")))</f>
        <v/>
      </c>
      <c r="J4245" s="16">
        <f>IF(OR(D4245="",F4245=""),"",F4245*I4245-N(H4245))</f>
        <v/>
      </c>
      <c r="K4245" s="16">
        <f>IF(OR(D4245="",F4245=""),"",F4245*IFERROR(INDEX('Sản phẩm'!$D$5:$D$304,MATCH(D4245,'Sản phẩm'!$A$5:$A$304,0)),""))</f>
        <v/>
      </c>
      <c r="L4245" s="16">
        <f>IF(J4245="","",J4245-K4245)</f>
        <v/>
      </c>
      <c r="M4245" s="14">
        <f>IF(A4245="","",MONTH(A4245))</f>
        <v/>
      </c>
      <c r="N4245" s="14">
        <f>IF(A4245="","",YEAR(A4245))</f>
        <v/>
      </c>
    </row>
    <row r="4246">
      <c r="A4246" s="15" t="n"/>
      <c r="B4246" s="10" t="n"/>
      <c r="C4246" s="10" t="n"/>
      <c r="D4246" s="10" t="n"/>
      <c r="E4246" s="14">
        <f>IF(D4246="","",IFERROR(INDEX('Sản phẩm'!$B$5:$B$304,MATCH(D4246,'Sản phẩm'!$A$5:$A$304,0)),""))</f>
        <v/>
      </c>
      <c r="F4246" s="12" t="n"/>
      <c r="G4246" s="11" t="n"/>
      <c r="H4246" s="11" t="n"/>
      <c r="I4246" s="16">
        <f>IF(D4246="","",IF(G4246&lt;&gt;"",G4246,IFERROR(INDEX('Sản phẩm'!$E$5:$E$304,MATCH(D4246,'Sản phẩm'!$A$5:$A$304,0)),"")))</f>
        <v/>
      </c>
      <c r="J4246" s="16">
        <f>IF(OR(D4246="",F4246=""),"",F4246*I4246-N(H4246))</f>
        <v/>
      </c>
      <c r="K4246" s="16">
        <f>IF(OR(D4246="",F4246=""),"",F4246*IFERROR(INDEX('Sản phẩm'!$D$5:$D$304,MATCH(D4246,'Sản phẩm'!$A$5:$A$304,0)),""))</f>
        <v/>
      </c>
      <c r="L4246" s="16">
        <f>IF(J4246="","",J4246-K4246)</f>
        <v/>
      </c>
      <c r="M4246" s="14">
        <f>IF(A4246="","",MONTH(A4246))</f>
        <v/>
      </c>
      <c r="N4246" s="14">
        <f>IF(A4246="","",YEAR(A4246))</f>
        <v/>
      </c>
    </row>
    <row r="4247">
      <c r="A4247" s="15" t="n"/>
      <c r="B4247" s="10" t="n"/>
      <c r="C4247" s="10" t="n"/>
      <c r="D4247" s="10" t="n"/>
      <c r="E4247" s="14">
        <f>IF(D4247="","",IFERROR(INDEX('Sản phẩm'!$B$5:$B$304,MATCH(D4247,'Sản phẩm'!$A$5:$A$304,0)),""))</f>
        <v/>
      </c>
      <c r="F4247" s="12" t="n"/>
      <c r="G4247" s="11" t="n"/>
      <c r="H4247" s="11" t="n"/>
      <c r="I4247" s="16">
        <f>IF(D4247="","",IF(G4247&lt;&gt;"",G4247,IFERROR(INDEX('Sản phẩm'!$E$5:$E$304,MATCH(D4247,'Sản phẩm'!$A$5:$A$304,0)),"")))</f>
        <v/>
      </c>
      <c r="J4247" s="16">
        <f>IF(OR(D4247="",F4247=""),"",F4247*I4247-N(H4247))</f>
        <v/>
      </c>
      <c r="K4247" s="16">
        <f>IF(OR(D4247="",F4247=""),"",F4247*IFERROR(INDEX('Sản phẩm'!$D$5:$D$304,MATCH(D4247,'Sản phẩm'!$A$5:$A$304,0)),""))</f>
        <v/>
      </c>
      <c r="L4247" s="16">
        <f>IF(J4247="","",J4247-K4247)</f>
        <v/>
      </c>
      <c r="M4247" s="14">
        <f>IF(A4247="","",MONTH(A4247))</f>
        <v/>
      </c>
      <c r="N4247" s="14">
        <f>IF(A4247="","",YEAR(A4247))</f>
        <v/>
      </c>
    </row>
    <row r="4248">
      <c r="A4248" s="15" t="n"/>
      <c r="B4248" s="10" t="n"/>
      <c r="C4248" s="10" t="n"/>
      <c r="D4248" s="10" t="n"/>
      <c r="E4248" s="14">
        <f>IF(D4248="","",IFERROR(INDEX('Sản phẩm'!$B$5:$B$304,MATCH(D4248,'Sản phẩm'!$A$5:$A$304,0)),""))</f>
        <v/>
      </c>
      <c r="F4248" s="12" t="n"/>
      <c r="G4248" s="11" t="n"/>
      <c r="H4248" s="11" t="n"/>
      <c r="I4248" s="16">
        <f>IF(D4248="","",IF(G4248&lt;&gt;"",G4248,IFERROR(INDEX('Sản phẩm'!$E$5:$E$304,MATCH(D4248,'Sản phẩm'!$A$5:$A$304,0)),"")))</f>
        <v/>
      </c>
      <c r="J4248" s="16">
        <f>IF(OR(D4248="",F4248=""),"",F4248*I4248-N(H4248))</f>
        <v/>
      </c>
      <c r="K4248" s="16">
        <f>IF(OR(D4248="",F4248=""),"",F4248*IFERROR(INDEX('Sản phẩm'!$D$5:$D$304,MATCH(D4248,'Sản phẩm'!$A$5:$A$304,0)),""))</f>
        <v/>
      </c>
      <c r="L4248" s="16">
        <f>IF(J4248="","",J4248-K4248)</f>
        <v/>
      </c>
      <c r="M4248" s="14">
        <f>IF(A4248="","",MONTH(A4248))</f>
        <v/>
      </c>
      <c r="N4248" s="14">
        <f>IF(A4248="","",YEAR(A4248))</f>
        <v/>
      </c>
    </row>
    <row r="4249">
      <c r="A4249" s="15" t="n"/>
      <c r="B4249" s="10" t="n"/>
      <c r="C4249" s="10" t="n"/>
      <c r="D4249" s="10" t="n"/>
      <c r="E4249" s="14">
        <f>IF(D4249="","",IFERROR(INDEX('Sản phẩm'!$B$5:$B$304,MATCH(D4249,'Sản phẩm'!$A$5:$A$304,0)),""))</f>
        <v/>
      </c>
      <c r="F4249" s="12" t="n"/>
      <c r="G4249" s="11" t="n"/>
      <c r="H4249" s="11" t="n"/>
      <c r="I4249" s="16">
        <f>IF(D4249="","",IF(G4249&lt;&gt;"",G4249,IFERROR(INDEX('Sản phẩm'!$E$5:$E$304,MATCH(D4249,'Sản phẩm'!$A$5:$A$304,0)),"")))</f>
        <v/>
      </c>
      <c r="J4249" s="16">
        <f>IF(OR(D4249="",F4249=""),"",F4249*I4249-N(H4249))</f>
        <v/>
      </c>
      <c r="K4249" s="16">
        <f>IF(OR(D4249="",F4249=""),"",F4249*IFERROR(INDEX('Sản phẩm'!$D$5:$D$304,MATCH(D4249,'Sản phẩm'!$A$5:$A$304,0)),""))</f>
        <v/>
      </c>
      <c r="L4249" s="16">
        <f>IF(J4249="","",J4249-K4249)</f>
        <v/>
      </c>
      <c r="M4249" s="14">
        <f>IF(A4249="","",MONTH(A4249))</f>
        <v/>
      </c>
      <c r="N4249" s="14">
        <f>IF(A4249="","",YEAR(A4249))</f>
        <v/>
      </c>
    </row>
    <row r="4250">
      <c r="A4250" s="15" t="n"/>
      <c r="B4250" s="10" t="n"/>
      <c r="C4250" s="10" t="n"/>
      <c r="D4250" s="10" t="n"/>
      <c r="E4250" s="14">
        <f>IF(D4250="","",IFERROR(INDEX('Sản phẩm'!$B$5:$B$304,MATCH(D4250,'Sản phẩm'!$A$5:$A$304,0)),""))</f>
        <v/>
      </c>
      <c r="F4250" s="12" t="n"/>
      <c r="G4250" s="11" t="n"/>
      <c r="H4250" s="11" t="n"/>
      <c r="I4250" s="16">
        <f>IF(D4250="","",IF(G4250&lt;&gt;"",G4250,IFERROR(INDEX('Sản phẩm'!$E$5:$E$304,MATCH(D4250,'Sản phẩm'!$A$5:$A$304,0)),"")))</f>
        <v/>
      </c>
      <c r="J4250" s="16">
        <f>IF(OR(D4250="",F4250=""),"",F4250*I4250-N(H4250))</f>
        <v/>
      </c>
      <c r="K4250" s="16">
        <f>IF(OR(D4250="",F4250=""),"",F4250*IFERROR(INDEX('Sản phẩm'!$D$5:$D$304,MATCH(D4250,'Sản phẩm'!$A$5:$A$304,0)),""))</f>
        <v/>
      </c>
      <c r="L4250" s="16">
        <f>IF(J4250="","",J4250-K4250)</f>
        <v/>
      </c>
      <c r="M4250" s="14">
        <f>IF(A4250="","",MONTH(A4250))</f>
        <v/>
      </c>
      <c r="N4250" s="14">
        <f>IF(A4250="","",YEAR(A4250))</f>
        <v/>
      </c>
    </row>
    <row r="4251">
      <c r="A4251" s="15" t="n"/>
      <c r="B4251" s="10" t="n"/>
      <c r="C4251" s="10" t="n"/>
      <c r="D4251" s="10" t="n"/>
      <c r="E4251" s="14">
        <f>IF(D4251="","",IFERROR(INDEX('Sản phẩm'!$B$5:$B$304,MATCH(D4251,'Sản phẩm'!$A$5:$A$304,0)),""))</f>
        <v/>
      </c>
      <c r="F4251" s="12" t="n"/>
      <c r="G4251" s="11" t="n"/>
      <c r="H4251" s="11" t="n"/>
      <c r="I4251" s="16">
        <f>IF(D4251="","",IF(G4251&lt;&gt;"",G4251,IFERROR(INDEX('Sản phẩm'!$E$5:$E$304,MATCH(D4251,'Sản phẩm'!$A$5:$A$304,0)),"")))</f>
        <v/>
      </c>
      <c r="J4251" s="16">
        <f>IF(OR(D4251="",F4251=""),"",F4251*I4251-N(H4251))</f>
        <v/>
      </c>
      <c r="K4251" s="16">
        <f>IF(OR(D4251="",F4251=""),"",F4251*IFERROR(INDEX('Sản phẩm'!$D$5:$D$304,MATCH(D4251,'Sản phẩm'!$A$5:$A$304,0)),""))</f>
        <v/>
      </c>
      <c r="L4251" s="16">
        <f>IF(J4251="","",J4251-K4251)</f>
        <v/>
      </c>
      <c r="M4251" s="14">
        <f>IF(A4251="","",MONTH(A4251))</f>
        <v/>
      </c>
      <c r="N4251" s="14">
        <f>IF(A4251="","",YEAR(A4251))</f>
        <v/>
      </c>
    </row>
    <row r="4252">
      <c r="A4252" s="15" t="n"/>
      <c r="B4252" s="10" t="n"/>
      <c r="C4252" s="10" t="n"/>
      <c r="D4252" s="10" t="n"/>
      <c r="E4252" s="14">
        <f>IF(D4252="","",IFERROR(INDEX('Sản phẩm'!$B$5:$B$304,MATCH(D4252,'Sản phẩm'!$A$5:$A$304,0)),""))</f>
        <v/>
      </c>
      <c r="F4252" s="12" t="n"/>
      <c r="G4252" s="11" t="n"/>
      <c r="H4252" s="11" t="n"/>
      <c r="I4252" s="16">
        <f>IF(D4252="","",IF(G4252&lt;&gt;"",G4252,IFERROR(INDEX('Sản phẩm'!$E$5:$E$304,MATCH(D4252,'Sản phẩm'!$A$5:$A$304,0)),"")))</f>
        <v/>
      </c>
      <c r="J4252" s="16">
        <f>IF(OR(D4252="",F4252=""),"",F4252*I4252-N(H4252))</f>
        <v/>
      </c>
      <c r="K4252" s="16">
        <f>IF(OR(D4252="",F4252=""),"",F4252*IFERROR(INDEX('Sản phẩm'!$D$5:$D$304,MATCH(D4252,'Sản phẩm'!$A$5:$A$304,0)),""))</f>
        <v/>
      </c>
      <c r="L4252" s="16">
        <f>IF(J4252="","",J4252-K4252)</f>
        <v/>
      </c>
      <c r="M4252" s="14">
        <f>IF(A4252="","",MONTH(A4252))</f>
        <v/>
      </c>
      <c r="N4252" s="14">
        <f>IF(A4252="","",YEAR(A4252))</f>
        <v/>
      </c>
    </row>
    <row r="4253">
      <c r="A4253" s="15" t="n"/>
      <c r="B4253" s="10" t="n"/>
      <c r="C4253" s="10" t="n"/>
      <c r="D4253" s="10" t="n"/>
      <c r="E4253" s="14">
        <f>IF(D4253="","",IFERROR(INDEX('Sản phẩm'!$B$5:$B$304,MATCH(D4253,'Sản phẩm'!$A$5:$A$304,0)),""))</f>
        <v/>
      </c>
      <c r="F4253" s="12" t="n"/>
      <c r="G4253" s="11" t="n"/>
      <c r="H4253" s="11" t="n"/>
      <c r="I4253" s="16">
        <f>IF(D4253="","",IF(G4253&lt;&gt;"",G4253,IFERROR(INDEX('Sản phẩm'!$E$5:$E$304,MATCH(D4253,'Sản phẩm'!$A$5:$A$304,0)),"")))</f>
        <v/>
      </c>
      <c r="J4253" s="16">
        <f>IF(OR(D4253="",F4253=""),"",F4253*I4253-N(H4253))</f>
        <v/>
      </c>
      <c r="K4253" s="16">
        <f>IF(OR(D4253="",F4253=""),"",F4253*IFERROR(INDEX('Sản phẩm'!$D$5:$D$304,MATCH(D4253,'Sản phẩm'!$A$5:$A$304,0)),""))</f>
        <v/>
      </c>
      <c r="L4253" s="16">
        <f>IF(J4253="","",J4253-K4253)</f>
        <v/>
      </c>
      <c r="M4253" s="14">
        <f>IF(A4253="","",MONTH(A4253))</f>
        <v/>
      </c>
      <c r="N4253" s="14">
        <f>IF(A4253="","",YEAR(A4253))</f>
        <v/>
      </c>
    </row>
    <row r="4254">
      <c r="A4254" s="15" t="n"/>
      <c r="B4254" s="10" t="n"/>
      <c r="C4254" s="10" t="n"/>
      <c r="D4254" s="10" t="n"/>
      <c r="E4254" s="14">
        <f>IF(D4254="","",IFERROR(INDEX('Sản phẩm'!$B$5:$B$304,MATCH(D4254,'Sản phẩm'!$A$5:$A$304,0)),""))</f>
        <v/>
      </c>
      <c r="F4254" s="12" t="n"/>
      <c r="G4254" s="11" t="n"/>
      <c r="H4254" s="11" t="n"/>
      <c r="I4254" s="16">
        <f>IF(D4254="","",IF(G4254&lt;&gt;"",G4254,IFERROR(INDEX('Sản phẩm'!$E$5:$E$304,MATCH(D4254,'Sản phẩm'!$A$5:$A$304,0)),"")))</f>
        <v/>
      </c>
      <c r="J4254" s="16">
        <f>IF(OR(D4254="",F4254=""),"",F4254*I4254-N(H4254))</f>
        <v/>
      </c>
      <c r="K4254" s="16">
        <f>IF(OR(D4254="",F4254=""),"",F4254*IFERROR(INDEX('Sản phẩm'!$D$5:$D$304,MATCH(D4254,'Sản phẩm'!$A$5:$A$304,0)),""))</f>
        <v/>
      </c>
      <c r="L4254" s="16">
        <f>IF(J4254="","",J4254-K4254)</f>
        <v/>
      </c>
      <c r="M4254" s="14">
        <f>IF(A4254="","",MONTH(A4254))</f>
        <v/>
      </c>
      <c r="N4254" s="14">
        <f>IF(A4254="","",YEAR(A4254))</f>
        <v/>
      </c>
    </row>
    <row r="4255">
      <c r="A4255" s="15" t="n"/>
      <c r="B4255" s="10" t="n"/>
      <c r="C4255" s="10" t="n"/>
      <c r="D4255" s="10" t="n"/>
      <c r="E4255" s="14">
        <f>IF(D4255="","",IFERROR(INDEX('Sản phẩm'!$B$5:$B$304,MATCH(D4255,'Sản phẩm'!$A$5:$A$304,0)),""))</f>
        <v/>
      </c>
      <c r="F4255" s="12" t="n"/>
      <c r="G4255" s="11" t="n"/>
      <c r="H4255" s="11" t="n"/>
      <c r="I4255" s="16">
        <f>IF(D4255="","",IF(G4255&lt;&gt;"",G4255,IFERROR(INDEX('Sản phẩm'!$E$5:$E$304,MATCH(D4255,'Sản phẩm'!$A$5:$A$304,0)),"")))</f>
        <v/>
      </c>
      <c r="J4255" s="16">
        <f>IF(OR(D4255="",F4255=""),"",F4255*I4255-N(H4255))</f>
        <v/>
      </c>
      <c r="K4255" s="16">
        <f>IF(OR(D4255="",F4255=""),"",F4255*IFERROR(INDEX('Sản phẩm'!$D$5:$D$304,MATCH(D4255,'Sản phẩm'!$A$5:$A$304,0)),""))</f>
        <v/>
      </c>
      <c r="L4255" s="16">
        <f>IF(J4255="","",J4255-K4255)</f>
        <v/>
      </c>
      <c r="M4255" s="14">
        <f>IF(A4255="","",MONTH(A4255))</f>
        <v/>
      </c>
      <c r="N4255" s="14">
        <f>IF(A4255="","",YEAR(A4255))</f>
        <v/>
      </c>
    </row>
    <row r="4256">
      <c r="A4256" s="15" t="n"/>
      <c r="B4256" s="10" t="n"/>
      <c r="C4256" s="10" t="n"/>
      <c r="D4256" s="10" t="n"/>
      <c r="E4256" s="14">
        <f>IF(D4256="","",IFERROR(INDEX('Sản phẩm'!$B$5:$B$304,MATCH(D4256,'Sản phẩm'!$A$5:$A$304,0)),""))</f>
        <v/>
      </c>
      <c r="F4256" s="12" t="n"/>
      <c r="G4256" s="11" t="n"/>
      <c r="H4256" s="11" t="n"/>
      <c r="I4256" s="16">
        <f>IF(D4256="","",IF(G4256&lt;&gt;"",G4256,IFERROR(INDEX('Sản phẩm'!$E$5:$E$304,MATCH(D4256,'Sản phẩm'!$A$5:$A$304,0)),"")))</f>
        <v/>
      </c>
      <c r="J4256" s="16">
        <f>IF(OR(D4256="",F4256=""),"",F4256*I4256-N(H4256))</f>
        <v/>
      </c>
      <c r="K4256" s="16">
        <f>IF(OR(D4256="",F4256=""),"",F4256*IFERROR(INDEX('Sản phẩm'!$D$5:$D$304,MATCH(D4256,'Sản phẩm'!$A$5:$A$304,0)),""))</f>
        <v/>
      </c>
      <c r="L4256" s="16">
        <f>IF(J4256="","",J4256-K4256)</f>
        <v/>
      </c>
      <c r="M4256" s="14">
        <f>IF(A4256="","",MONTH(A4256))</f>
        <v/>
      </c>
      <c r="N4256" s="14">
        <f>IF(A4256="","",YEAR(A4256))</f>
        <v/>
      </c>
    </row>
    <row r="4257">
      <c r="A4257" s="15" t="n"/>
      <c r="B4257" s="10" t="n"/>
      <c r="C4257" s="10" t="n"/>
      <c r="D4257" s="10" t="n"/>
      <c r="E4257" s="14">
        <f>IF(D4257="","",IFERROR(INDEX('Sản phẩm'!$B$5:$B$304,MATCH(D4257,'Sản phẩm'!$A$5:$A$304,0)),""))</f>
        <v/>
      </c>
      <c r="F4257" s="12" t="n"/>
      <c r="G4257" s="11" t="n"/>
      <c r="H4257" s="11" t="n"/>
      <c r="I4257" s="16">
        <f>IF(D4257="","",IF(G4257&lt;&gt;"",G4257,IFERROR(INDEX('Sản phẩm'!$E$5:$E$304,MATCH(D4257,'Sản phẩm'!$A$5:$A$304,0)),"")))</f>
        <v/>
      </c>
      <c r="J4257" s="16">
        <f>IF(OR(D4257="",F4257=""),"",F4257*I4257-N(H4257))</f>
        <v/>
      </c>
      <c r="K4257" s="16">
        <f>IF(OR(D4257="",F4257=""),"",F4257*IFERROR(INDEX('Sản phẩm'!$D$5:$D$304,MATCH(D4257,'Sản phẩm'!$A$5:$A$304,0)),""))</f>
        <v/>
      </c>
      <c r="L4257" s="16">
        <f>IF(J4257="","",J4257-K4257)</f>
        <v/>
      </c>
      <c r="M4257" s="14">
        <f>IF(A4257="","",MONTH(A4257))</f>
        <v/>
      </c>
      <c r="N4257" s="14">
        <f>IF(A4257="","",YEAR(A4257))</f>
        <v/>
      </c>
    </row>
    <row r="4258">
      <c r="A4258" s="15" t="n"/>
      <c r="B4258" s="10" t="n"/>
      <c r="C4258" s="10" t="n"/>
      <c r="D4258" s="10" t="n"/>
      <c r="E4258" s="14">
        <f>IF(D4258="","",IFERROR(INDEX('Sản phẩm'!$B$5:$B$304,MATCH(D4258,'Sản phẩm'!$A$5:$A$304,0)),""))</f>
        <v/>
      </c>
      <c r="F4258" s="12" t="n"/>
      <c r="G4258" s="11" t="n"/>
      <c r="H4258" s="11" t="n"/>
      <c r="I4258" s="16">
        <f>IF(D4258="","",IF(G4258&lt;&gt;"",G4258,IFERROR(INDEX('Sản phẩm'!$E$5:$E$304,MATCH(D4258,'Sản phẩm'!$A$5:$A$304,0)),"")))</f>
        <v/>
      </c>
      <c r="J4258" s="16">
        <f>IF(OR(D4258="",F4258=""),"",F4258*I4258-N(H4258))</f>
        <v/>
      </c>
      <c r="K4258" s="16">
        <f>IF(OR(D4258="",F4258=""),"",F4258*IFERROR(INDEX('Sản phẩm'!$D$5:$D$304,MATCH(D4258,'Sản phẩm'!$A$5:$A$304,0)),""))</f>
        <v/>
      </c>
      <c r="L4258" s="16">
        <f>IF(J4258="","",J4258-K4258)</f>
        <v/>
      </c>
      <c r="M4258" s="14">
        <f>IF(A4258="","",MONTH(A4258))</f>
        <v/>
      </c>
      <c r="N4258" s="14">
        <f>IF(A4258="","",YEAR(A4258))</f>
        <v/>
      </c>
    </row>
    <row r="4259">
      <c r="A4259" s="15" t="n"/>
      <c r="B4259" s="10" t="n"/>
      <c r="C4259" s="10" t="n"/>
      <c r="D4259" s="10" t="n"/>
      <c r="E4259" s="14">
        <f>IF(D4259="","",IFERROR(INDEX('Sản phẩm'!$B$5:$B$304,MATCH(D4259,'Sản phẩm'!$A$5:$A$304,0)),""))</f>
        <v/>
      </c>
      <c r="F4259" s="12" t="n"/>
      <c r="G4259" s="11" t="n"/>
      <c r="H4259" s="11" t="n"/>
      <c r="I4259" s="16">
        <f>IF(D4259="","",IF(G4259&lt;&gt;"",G4259,IFERROR(INDEX('Sản phẩm'!$E$5:$E$304,MATCH(D4259,'Sản phẩm'!$A$5:$A$304,0)),"")))</f>
        <v/>
      </c>
      <c r="J4259" s="16">
        <f>IF(OR(D4259="",F4259=""),"",F4259*I4259-N(H4259))</f>
        <v/>
      </c>
      <c r="K4259" s="16">
        <f>IF(OR(D4259="",F4259=""),"",F4259*IFERROR(INDEX('Sản phẩm'!$D$5:$D$304,MATCH(D4259,'Sản phẩm'!$A$5:$A$304,0)),""))</f>
        <v/>
      </c>
      <c r="L4259" s="16">
        <f>IF(J4259="","",J4259-K4259)</f>
        <v/>
      </c>
      <c r="M4259" s="14">
        <f>IF(A4259="","",MONTH(A4259))</f>
        <v/>
      </c>
      <c r="N4259" s="14">
        <f>IF(A4259="","",YEAR(A4259))</f>
        <v/>
      </c>
    </row>
    <row r="4260">
      <c r="A4260" s="15" t="n"/>
      <c r="B4260" s="10" t="n"/>
      <c r="C4260" s="10" t="n"/>
      <c r="D4260" s="10" t="n"/>
      <c r="E4260" s="14">
        <f>IF(D4260="","",IFERROR(INDEX('Sản phẩm'!$B$5:$B$304,MATCH(D4260,'Sản phẩm'!$A$5:$A$304,0)),""))</f>
        <v/>
      </c>
      <c r="F4260" s="12" t="n"/>
      <c r="G4260" s="11" t="n"/>
      <c r="H4260" s="11" t="n"/>
      <c r="I4260" s="16">
        <f>IF(D4260="","",IF(G4260&lt;&gt;"",G4260,IFERROR(INDEX('Sản phẩm'!$E$5:$E$304,MATCH(D4260,'Sản phẩm'!$A$5:$A$304,0)),"")))</f>
        <v/>
      </c>
      <c r="J4260" s="16">
        <f>IF(OR(D4260="",F4260=""),"",F4260*I4260-N(H4260))</f>
        <v/>
      </c>
      <c r="K4260" s="16">
        <f>IF(OR(D4260="",F4260=""),"",F4260*IFERROR(INDEX('Sản phẩm'!$D$5:$D$304,MATCH(D4260,'Sản phẩm'!$A$5:$A$304,0)),""))</f>
        <v/>
      </c>
      <c r="L4260" s="16">
        <f>IF(J4260="","",J4260-K4260)</f>
        <v/>
      </c>
      <c r="M4260" s="14">
        <f>IF(A4260="","",MONTH(A4260))</f>
        <v/>
      </c>
      <c r="N4260" s="14">
        <f>IF(A4260="","",YEAR(A4260))</f>
        <v/>
      </c>
    </row>
    <row r="4261">
      <c r="A4261" s="15" t="n"/>
      <c r="B4261" s="10" t="n"/>
      <c r="C4261" s="10" t="n"/>
      <c r="D4261" s="10" t="n"/>
      <c r="E4261" s="14">
        <f>IF(D4261="","",IFERROR(INDEX('Sản phẩm'!$B$5:$B$304,MATCH(D4261,'Sản phẩm'!$A$5:$A$304,0)),""))</f>
        <v/>
      </c>
      <c r="F4261" s="12" t="n"/>
      <c r="G4261" s="11" t="n"/>
      <c r="H4261" s="11" t="n"/>
      <c r="I4261" s="16">
        <f>IF(D4261="","",IF(G4261&lt;&gt;"",G4261,IFERROR(INDEX('Sản phẩm'!$E$5:$E$304,MATCH(D4261,'Sản phẩm'!$A$5:$A$304,0)),"")))</f>
        <v/>
      </c>
      <c r="J4261" s="16">
        <f>IF(OR(D4261="",F4261=""),"",F4261*I4261-N(H4261))</f>
        <v/>
      </c>
      <c r="K4261" s="16">
        <f>IF(OR(D4261="",F4261=""),"",F4261*IFERROR(INDEX('Sản phẩm'!$D$5:$D$304,MATCH(D4261,'Sản phẩm'!$A$5:$A$304,0)),""))</f>
        <v/>
      </c>
      <c r="L4261" s="16">
        <f>IF(J4261="","",J4261-K4261)</f>
        <v/>
      </c>
      <c r="M4261" s="14">
        <f>IF(A4261="","",MONTH(A4261))</f>
        <v/>
      </c>
      <c r="N4261" s="14">
        <f>IF(A4261="","",YEAR(A4261))</f>
        <v/>
      </c>
    </row>
    <row r="4262">
      <c r="A4262" s="15" t="n"/>
      <c r="B4262" s="10" t="n"/>
      <c r="C4262" s="10" t="n"/>
      <c r="D4262" s="10" t="n"/>
      <c r="E4262" s="14">
        <f>IF(D4262="","",IFERROR(INDEX('Sản phẩm'!$B$5:$B$304,MATCH(D4262,'Sản phẩm'!$A$5:$A$304,0)),""))</f>
        <v/>
      </c>
      <c r="F4262" s="12" t="n"/>
      <c r="G4262" s="11" t="n"/>
      <c r="H4262" s="11" t="n"/>
      <c r="I4262" s="16">
        <f>IF(D4262="","",IF(G4262&lt;&gt;"",G4262,IFERROR(INDEX('Sản phẩm'!$E$5:$E$304,MATCH(D4262,'Sản phẩm'!$A$5:$A$304,0)),"")))</f>
        <v/>
      </c>
      <c r="J4262" s="16">
        <f>IF(OR(D4262="",F4262=""),"",F4262*I4262-N(H4262))</f>
        <v/>
      </c>
      <c r="K4262" s="16">
        <f>IF(OR(D4262="",F4262=""),"",F4262*IFERROR(INDEX('Sản phẩm'!$D$5:$D$304,MATCH(D4262,'Sản phẩm'!$A$5:$A$304,0)),""))</f>
        <v/>
      </c>
      <c r="L4262" s="16">
        <f>IF(J4262="","",J4262-K4262)</f>
        <v/>
      </c>
      <c r="M4262" s="14">
        <f>IF(A4262="","",MONTH(A4262))</f>
        <v/>
      </c>
      <c r="N4262" s="14">
        <f>IF(A4262="","",YEAR(A4262))</f>
        <v/>
      </c>
    </row>
    <row r="4263">
      <c r="A4263" s="15" t="n"/>
      <c r="B4263" s="10" t="n"/>
      <c r="C4263" s="10" t="n"/>
      <c r="D4263" s="10" t="n"/>
      <c r="E4263" s="14">
        <f>IF(D4263="","",IFERROR(INDEX('Sản phẩm'!$B$5:$B$304,MATCH(D4263,'Sản phẩm'!$A$5:$A$304,0)),""))</f>
        <v/>
      </c>
      <c r="F4263" s="12" t="n"/>
      <c r="G4263" s="11" t="n"/>
      <c r="H4263" s="11" t="n"/>
      <c r="I4263" s="16">
        <f>IF(D4263="","",IF(G4263&lt;&gt;"",G4263,IFERROR(INDEX('Sản phẩm'!$E$5:$E$304,MATCH(D4263,'Sản phẩm'!$A$5:$A$304,0)),"")))</f>
        <v/>
      </c>
      <c r="J4263" s="16">
        <f>IF(OR(D4263="",F4263=""),"",F4263*I4263-N(H4263))</f>
        <v/>
      </c>
      <c r="K4263" s="16">
        <f>IF(OR(D4263="",F4263=""),"",F4263*IFERROR(INDEX('Sản phẩm'!$D$5:$D$304,MATCH(D4263,'Sản phẩm'!$A$5:$A$304,0)),""))</f>
        <v/>
      </c>
      <c r="L4263" s="16">
        <f>IF(J4263="","",J4263-K4263)</f>
        <v/>
      </c>
      <c r="M4263" s="14">
        <f>IF(A4263="","",MONTH(A4263))</f>
        <v/>
      </c>
      <c r="N4263" s="14">
        <f>IF(A4263="","",YEAR(A4263))</f>
        <v/>
      </c>
    </row>
    <row r="4264">
      <c r="A4264" s="15" t="n"/>
      <c r="B4264" s="10" t="n"/>
      <c r="C4264" s="10" t="n"/>
      <c r="D4264" s="10" t="n"/>
      <c r="E4264" s="14">
        <f>IF(D4264="","",IFERROR(INDEX('Sản phẩm'!$B$5:$B$304,MATCH(D4264,'Sản phẩm'!$A$5:$A$304,0)),""))</f>
        <v/>
      </c>
      <c r="F4264" s="12" t="n"/>
      <c r="G4264" s="11" t="n"/>
      <c r="H4264" s="11" t="n"/>
      <c r="I4264" s="16">
        <f>IF(D4264="","",IF(G4264&lt;&gt;"",G4264,IFERROR(INDEX('Sản phẩm'!$E$5:$E$304,MATCH(D4264,'Sản phẩm'!$A$5:$A$304,0)),"")))</f>
        <v/>
      </c>
      <c r="J4264" s="16">
        <f>IF(OR(D4264="",F4264=""),"",F4264*I4264-N(H4264))</f>
        <v/>
      </c>
      <c r="K4264" s="16">
        <f>IF(OR(D4264="",F4264=""),"",F4264*IFERROR(INDEX('Sản phẩm'!$D$5:$D$304,MATCH(D4264,'Sản phẩm'!$A$5:$A$304,0)),""))</f>
        <v/>
      </c>
      <c r="L4264" s="16">
        <f>IF(J4264="","",J4264-K4264)</f>
        <v/>
      </c>
      <c r="M4264" s="14">
        <f>IF(A4264="","",MONTH(A4264))</f>
        <v/>
      </c>
      <c r="N4264" s="14">
        <f>IF(A4264="","",YEAR(A4264))</f>
        <v/>
      </c>
    </row>
    <row r="4265">
      <c r="A4265" s="15" t="n"/>
      <c r="B4265" s="10" t="n"/>
      <c r="C4265" s="10" t="n"/>
      <c r="D4265" s="10" t="n"/>
      <c r="E4265" s="14">
        <f>IF(D4265="","",IFERROR(INDEX('Sản phẩm'!$B$5:$B$304,MATCH(D4265,'Sản phẩm'!$A$5:$A$304,0)),""))</f>
        <v/>
      </c>
      <c r="F4265" s="12" t="n"/>
      <c r="G4265" s="11" t="n"/>
      <c r="H4265" s="11" t="n"/>
      <c r="I4265" s="16">
        <f>IF(D4265="","",IF(G4265&lt;&gt;"",G4265,IFERROR(INDEX('Sản phẩm'!$E$5:$E$304,MATCH(D4265,'Sản phẩm'!$A$5:$A$304,0)),"")))</f>
        <v/>
      </c>
      <c r="J4265" s="16">
        <f>IF(OR(D4265="",F4265=""),"",F4265*I4265-N(H4265))</f>
        <v/>
      </c>
      <c r="K4265" s="16">
        <f>IF(OR(D4265="",F4265=""),"",F4265*IFERROR(INDEX('Sản phẩm'!$D$5:$D$304,MATCH(D4265,'Sản phẩm'!$A$5:$A$304,0)),""))</f>
        <v/>
      </c>
      <c r="L4265" s="16">
        <f>IF(J4265="","",J4265-K4265)</f>
        <v/>
      </c>
      <c r="M4265" s="14">
        <f>IF(A4265="","",MONTH(A4265))</f>
        <v/>
      </c>
      <c r="N4265" s="14">
        <f>IF(A4265="","",YEAR(A4265))</f>
        <v/>
      </c>
    </row>
    <row r="4266">
      <c r="A4266" s="15" t="n"/>
      <c r="B4266" s="10" t="n"/>
      <c r="C4266" s="10" t="n"/>
      <c r="D4266" s="10" t="n"/>
      <c r="E4266" s="14">
        <f>IF(D4266="","",IFERROR(INDEX('Sản phẩm'!$B$5:$B$304,MATCH(D4266,'Sản phẩm'!$A$5:$A$304,0)),""))</f>
        <v/>
      </c>
      <c r="F4266" s="12" t="n"/>
      <c r="G4266" s="11" t="n"/>
      <c r="H4266" s="11" t="n"/>
      <c r="I4266" s="16">
        <f>IF(D4266="","",IF(G4266&lt;&gt;"",G4266,IFERROR(INDEX('Sản phẩm'!$E$5:$E$304,MATCH(D4266,'Sản phẩm'!$A$5:$A$304,0)),"")))</f>
        <v/>
      </c>
      <c r="J4266" s="16">
        <f>IF(OR(D4266="",F4266=""),"",F4266*I4266-N(H4266))</f>
        <v/>
      </c>
      <c r="K4266" s="16">
        <f>IF(OR(D4266="",F4266=""),"",F4266*IFERROR(INDEX('Sản phẩm'!$D$5:$D$304,MATCH(D4266,'Sản phẩm'!$A$5:$A$304,0)),""))</f>
        <v/>
      </c>
      <c r="L4266" s="16">
        <f>IF(J4266="","",J4266-K4266)</f>
        <v/>
      </c>
      <c r="M4266" s="14">
        <f>IF(A4266="","",MONTH(A4266))</f>
        <v/>
      </c>
      <c r="N4266" s="14">
        <f>IF(A4266="","",YEAR(A4266))</f>
        <v/>
      </c>
    </row>
    <row r="4267">
      <c r="A4267" s="15" t="n"/>
      <c r="B4267" s="10" t="n"/>
      <c r="C4267" s="10" t="n"/>
      <c r="D4267" s="10" t="n"/>
      <c r="E4267" s="14">
        <f>IF(D4267="","",IFERROR(INDEX('Sản phẩm'!$B$5:$B$304,MATCH(D4267,'Sản phẩm'!$A$5:$A$304,0)),""))</f>
        <v/>
      </c>
      <c r="F4267" s="12" t="n"/>
      <c r="G4267" s="11" t="n"/>
      <c r="H4267" s="11" t="n"/>
      <c r="I4267" s="16">
        <f>IF(D4267="","",IF(G4267&lt;&gt;"",G4267,IFERROR(INDEX('Sản phẩm'!$E$5:$E$304,MATCH(D4267,'Sản phẩm'!$A$5:$A$304,0)),"")))</f>
        <v/>
      </c>
      <c r="J4267" s="16">
        <f>IF(OR(D4267="",F4267=""),"",F4267*I4267-N(H4267))</f>
        <v/>
      </c>
      <c r="K4267" s="16">
        <f>IF(OR(D4267="",F4267=""),"",F4267*IFERROR(INDEX('Sản phẩm'!$D$5:$D$304,MATCH(D4267,'Sản phẩm'!$A$5:$A$304,0)),""))</f>
        <v/>
      </c>
      <c r="L4267" s="16">
        <f>IF(J4267="","",J4267-K4267)</f>
        <v/>
      </c>
      <c r="M4267" s="14">
        <f>IF(A4267="","",MONTH(A4267))</f>
        <v/>
      </c>
      <c r="N4267" s="14">
        <f>IF(A4267="","",YEAR(A4267))</f>
        <v/>
      </c>
    </row>
    <row r="4268">
      <c r="A4268" s="15" t="n"/>
      <c r="B4268" s="10" t="n"/>
      <c r="C4268" s="10" t="n"/>
      <c r="D4268" s="10" t="n"/>
      <c r="E4268" s="14">
        <f>IF(D4268="","",IFERROR(INDEX('Sản phẩm'!$B$5:$B$304,MATCH(D4268,'Sản phẩm'!$A$5:$A$304,0)),""))</f>
        <v/>
      </c>
      <c r="F4268" s="12" t="n"/>
      <c r="G4268" s="11" t="n"/>
      <c r="H4268" s="11" t="n"/>
      <c r="I4268" s="16">
        <f>IF(D4268="","",IF(G4268&lt;&gt;"",G4268,IFERROR(INDEX('Sản phẩm'!$E$5:$E$304,MATCH(D4268,'Sản phẩm'!$A$5:$A$304,0)),"")))</f>
        <v/>
      </c>
      <c r="J4268" s="16">
        <f>IF(OR(D4268="",F4268=""),"",F4268*I4268-N(H4268))</f>
        <v/>
      </c>
      <c r="K4268" s="16">
        <f>IF(OR(D4268="",F4268=""),"",F4268*IFERROR(INDEX('Sản phẩm'!$D$5:$D$304,MATCH(D4268,'Sản phẩm'!$A$5:$A$304,0)),""))</f>
        <v/>
      </c>
      <c r="L4268" s="16">
        <f>IF(J4268="","",J4268-K4268)</f>
        <v/>
      </c>
      <c r="M4268" s="14">
        <f>IF(A4268="","",MONTH(A4268))</f>
        <v/>
      </c>
      <c r="N4268" s="14">
        <f>IF(A4268="","",YEAR(A4268))</f>
        <v/>
      </c>
    </row>
    <row r="4269">
      <c r="A4269" s="15" t="n"/>
      <c r="B4269" s="10" t="n"/>
      <c r="C4269" s="10" t="n"/>
      <c r="D4269" s="10" t="n"/>
      <c r="E4269" s="14">
        <f>IF(D4269="","",IFERROR(INDEX('Sản phẩm'!$B$5:$B$304,MATCH(D4269,'Sản phẩm'!$A$5:$A$304,0)),""))</f>
        <v/>
      </c>
      <c r="F4269" s="12" t="n"/>
      <c r="G4269" s="11" t="n"/>
      <c r="H4269" s="11" t="n"/>
      <c r="I4269" s="16">
        <f>IF(D4269="","",IF(G4269&lt;&gt;"",G4269,IFERROR(INDEX('Sản phẩm'!$E$5:$E$304,MATCH(D4269,'Sản phẩm'!$A$5:$A$304,0)),"")))</f>
        <v/>
      </c>
      <c r="J4269" s="16">
        <f>IF(OR(D4269="",F4269=""),"",F4269*I4269-N(H4269))</f>
        <v/>
      </c>
      <c r="K4269" s="16">
        <f>IF(OR(D4269="",F4269=""),"",F4269*IFERROR(INDEX('Sản phẩm'!$D$5:$D$304,MATCH(D4269,'Sản phẩm'!$A$5:$A$304,0)),""))</f>
        <v/>
      </c>
      <c r="L4269" s="16">
        <f>IF(J4269="","",J4269-K4269)</f>
        <v/>
      </c>
      <c r="M4269" s="14">
        <f>IF(A4269="","",MONTH(A4269))</f>
        <v/>
      </c>
      <c r="N4269" s="14">
        <f>IF(A4269="","",YEAR(A4269))</f>
        <v/>
      </c>
    </row>
    <row r="4270">
      <c r="A4270" s="15" t="n"/>
      <c r="B4270" s="10" t="n"/>
      <c r="C4270" s="10" t="n"/>
      <c r="D4270" s="10" t="n"/>
      <c r="E4270" s="14">
        <f>IF(D4270="","",IFERROR(INDEX('Sản phẩm'!$B$5:$B$304,MATCH(D4270,'Sản phẩm'!$A$5:$A$304,0)),""))</f>
        <v/>
      </c>
      <c r="F4270" s="12" t="n"/>
      <c r="G4270" s="11" t="n"/>
      <c r="H4270" s="11" t="n"/>
      <c r="I4270" s="16">
        <f>IF(D4270="","",IF(G4270&lt;&gt;"",G4270,IFERROR(INDEX('Sản phẩm'!$E$5:$E$304,MATCH(D4270,'Sản phẩm'!$A$5:$A$304,0)),"")))</f>
        <v/>
      </c>
      <c r="J4270" s="16">
        <f>IF(OR(D4270="",F4270=""),"",F4270*I4270-N(H4270))</f>
        <v/>
      </c>
      <c r="K4270" s="16">
        <f>IF(OR(D4270="",F4270=""),"",F4270*IFERROR(INDEX('Sản phẩm'!$D$5:$D$304,MATCH(D4270,'Sản phẩm'!$A$5:$A$304,0)),""))</f>
        <v/>
      </c>
      <c r="L4270" s="16">
        <f>IF(J4270="","",J4270-K4270)</f>
        <v/>
      </c>
      <c r="M4270" s="14">
        <f>IF(A4270="","",MONTH(A4270))</f>
        <v/>
      </c>
      <c r="N4270" s="14">
        <f>IF(A4270="","",YEAR(A4270))</f>
        <v/>
      </c>
    </row>
    <row r="4271">
      <c r="A4271" s="15" t="n"/>
      <c r="B4271" s="10" t="n"/>
      <c r="C4271" s="10" t="n"/>
      <c r="D4271" s="10" t="n"/>
      <c r="E4271" s="14">
        <f>IF(D4271="","",IFERROR(INDEX('Sản phẩm'!$B$5:$B$304,MATCH(D4271,'Sản phẩm'!$A$5:$A$304,0)),""))</f>
        <v/>
      </c>
      <c r="F4271" s="12" t="n"/>
      <c r="G4271" s="11" t="n"/>
      <c r="H4271" s="11" t="n"/>
      <c r="I4271" s="16">
        <f>IF(D4271="","",IF(G4271&lt;&gt;"",G4271,IFERROR(INDEX('Sản phẩm'!$E$5:$E$304,MATCH(D4271,'Sản phẩm'!$A$5:$A$304,0)),"")))</f>
        <v/>
      </c>
      <c r="J4271" s="16">
        <f>IF(OR(D4271="",F4271=""),"",F4271*I4271-N(H4271))</f>
        <v/>
      </c>
      <c r="K4271" s="16">
        <f>IF(OR(D4271="",F4271=""),"",F4271*IFERROR(INDEX('Sản phẩm'!$D$5:$D$304,MATCH(D4271,'Sản phẩm'!$A$5:$A$304,0)),""))</f>
        <v/>
      </c>
      <c r="L4271" s="16">
        <f>IF(J4271="","",J4271-K4271)</f>
        <v/>
      </c>
      <c r="M4271" s="14">
        <f>IF(A4271="","",MONTH(A4271))</f>
        <v/>
      </c>
      <c r="N4271" s="14">
        <f>IF(A4271="","",YEAR(A4271))</f>
        <v/>
      </c>
    </row>
    <row r="4272">
      <c r="A4272" s="15" t="n"/>
      <c r="B4272" s="10" t="n"/>
      <c r="C4272" s="10" t="n"/>
      <c r="D4272" s="10" t="n"/>
      <c r="E4272" s="14">
        <f>IF(D4272="","",IFERROR(INDEX('Sản phẩm'!$B$5:$B$304,MATCH(D4272,'Sản phẩm'!$A$5:$A$304,0)),""))</f>
        <v/>
      </c>
      <c r="F4272" s="12" t="n"/>
      <c r="G4272" s="11" t="n"/>
      <c r="H4272" s="11" t="n"/>
      <c r="I4272" s="16">
        <f>IF(D4272="","",IF(G4272&lt;&gt;"",G4272,IFERROR(INDEX('Sản phẩm'!$E$5:$E$304,MATCH(D4272,'Sản phẩm'!$A$5:$A$304,0)),"")))</f>
        <v/>
      </c>
      <c r="J4272" s="16">
        <f>IF(OR(D4272="",F4272=""),"",F4272*I4272-N(H4272))</f>
        <v/>
      </c>
      <c r="K4272" s="16">
        <f>IF(OR(D4272="",F4272=""),"",F4272*IFERROR(INDEX('Sản phẩm'!$D$5:$D$304,MATCH(D4272,'Sản phẩm'!$A$5:$A$304,0)),""))</f>
        <v/>
      </c>
      <c r="L4272" s="16">
        <f>IF(J4272="","",J4272-K4272)</f>
        <v/>
      </c>
      <c r="M4272" s="14">
        <f>IF(A4272="","",MONTH(A4272))</f>
        <v/>
      </c>
      <c r="N4272" s="14">
        <f>IF(A4272="","",YEAR(A4272))</f>
        <v/>
      </c>
    </row>
    <row r="4273">
      <c r="A4273" s="15" t="n"/>
      <c r="B4273" s="10" t="n"/>
      <c r="C4273" s="10" t="n"/>
      <c r="D4273" s="10" t="n"/>
      <c r="E4273" s="14">
        <f>IF(D4273="","",IFERROR(INDEX('Sản phẩm'!$B$5:$B$304,MATCH(D4273,'Sản phẩm'!$A$5:$A$304,0)),""))</f>
        <v/>
      </c>
      <c r="F4273" s="12" t="n"/>
      <c r="G4273" s="11" t="n"/>
      <c r="H4273" s="11" t="n"/>
      <c r="I4273" s="16">
        <f>IF(D4273="","",IF(G4273&lt;&gt;"",G4273,IFERROR(INDEX('Sản phẩm'!$E$5:$E$304,MATCH(D4273,'Sản phẩm'!$A$5:$A$304,0)),"")))</f>
        <v/>
      </c>
      <c r="J4273" s="16">
        <f>IF(OR(D4273="",F4273=""),"",F4273*I4273-N(H4273))</f>
        <v/>
      </c>
      <c r="K4273" s="16">
        <f>IF(OR(D4273="",F4273=""),"",F4273*IFERROR(INDEX('Sản phẩm'!$D$5:$D$304,MATCH(D4273,'Sản phẩm'!$A$5:$A$304,0)),""))</f>
        <v/>
      </c>
      <c r="L4273" s="16">
        <f>IF(J4273="","",J4273-K4273)</f>
        <v/>
      </c>
      <c r="M4273" s="14">
        <f>IF(A4273="","",MONTH(A4273))</f>
        <v/>
      </c>
      <c r="N4273" s="14">
        <f>IF(A4273="","",YEAR(A4273))</f>
        <v/>
      </c>
    </row>
    <row r="4274">
      <c r="A4274" s="15" t="n"/>
      <c r="B4274" s="10" t="n"/>
      <c r="C4274" s="10" t="n"/>
      <c r="D4274" s="10" t="n"/>
      <c r="E4274" s="14">
        <f>IF(D4274="","",IFERROR(INDEX('Sản phẩm'!$B$5:$B$304,MATCH(D4274,'Sản phẩm'!$A$5:$A$304,0)),""))</f>
        <v/>
      </c>
      <c r="F4274" s="12" t="n"/>
      <c r="G4274" s="11" t="n"/>
      <c r="H4274" s="11" t="n"/>
      <c r="I4274" s="16">
        <f>IF(D4274="","",IF(G4274&lt;&gt;"",G4274,IFERROR(INDEX('Sản phẩm'!$E$5:$E$304,MATCH(D4274,'Sản phẩm'!$A$5:$A$304,0)),"")))</f>
        <v/>
      </c>
      <c r="J4274" s="16">
        <f>IF(OR(D4274="",F4274=""),"",F4274*I4274-N(H4274))</f>
        <v/>
      </c>
      <c r="K4274" s="16">
        <f>IF(OR(D4274="",F4274=""),"",F4274*IFERROR(INDEX('Sản phẩm'!$D$5:$D$304,MATCH(D4274,'Sản phẩm'!$A$5:$A$304,0)),""))</f>
        <v/>
      </c>
      <c r="L4274" s="16">
        <f>IF(J4274="","",J4274-K4274)</f>
        <v/>
      </c>
      <c r="M4274" s="14">
        <f>IF(A4274="","",MONTH(A4274))</f>
        <v/>
      </c>
      <c r="N4274" s="14">
        <f>IF(A4274="","",YEAR(A4274))</f>
        <v/>
      </c>
    </row>
    <row r="4275">
      <c r="A4275" s="15" t="n"/>
      <c r="B4275" s="10" t="n"/>
      <c r="C4275" s="10" t="n"/>
      <c r="D4275" s="10" t="n"/>
      <c r="E4275" s="14">
        <f>IF(D4275="","",IFERROR(INDEX('Sản phẩm'!$B$5:$B$304,MATCH(D4275,'Sản phẩm'!$A$5:$A$304,0)),""))</f>
        <v/>
      </c>
      <c r="F4275" s="12" t="n"/>
      <c r="G4275" s="11" t="n"/>
      <c r="H4275" s="11" t="n"/>
      <c r="I4275" s="16">
        <f>IF(D4275="","",IF(G4275&lt;&gt;"",G4275,IFERROR(INDEX('Sản phẩm'!$E$5:$E$304,MATCH(D4275,'Sản phẩm'!$A$5:$A$304,0)),"")))</f>
        <v/>
      </c>
      <c r="J4275" s="16">
        <f>IF(OR(D4275="",F4275=""),"",F4275*I4275-N(H4275))</f>
        <v/>
      </c>
      <c r="K4275" s="16">
        <f>IF(OR(D4275="",F4275=""),"",F4275*IFERROR(INDEX('Sản phẩm'!$D$5:$D$304,MATCH(D4275,'Sản phẩm'!$A$5:$A$304,0)),""))</f>
        <v/>
      </c>
      <c r="L4275" s="16">
        <f>IF(J4275="","",J4275-K4275)</f>
        <v/>
      </c>
      <c r="M4275" s="14">
        <f>IF(A4275="","",MONTH(A4275))</f>
        <v/>
      </c>
      <c r="N4275" s="14">
        <f>IF(A4275="","",YEAR(A4275))</f>
        <v/>
      </c>
    </row>
    <row r="4276">
      <c r="A4276" s="15" t="n"/>
      <c r="B4276" s="10" t="n"/>
      <c r="C4276" s="10" t="n"/>
      <c r="D4276" s="10" t="n"/>
      <c r="E4276" s="14">
        <f>IF(D4276="","",IFERROR(INDEX('Sản phẩm'!$B$5:$B$304,MATCH(D4276,'Sản phẩm'!$A$5:$A$304,0)),""))</f>
        <v/>
      </c>
      <c r="F4276" s="12" t="n"/>
      <c r="G4276" s="11" t="n"/>
      <c r="H4276" s="11" t="n"/>
      <c r="I4276" s="16">
        <f>IF(D4276="","",IF(G4276&lt;&gt;"",G4276,IFERROR(INDEX('Sản phẩm'!$E$5:$E$304,MATCH(D4276,'Sản phẩm'!$A$5:$A$304,0)),"")))</f>
        <v/>
      </c>
      <c r="J4276" s="16">
        <f>IF(OR(D4276="",F4276=""),"",F4276*I4276-N(H4276))</f>
        <v/>
      </c>
      <c r="K4276" s="16">
        <f>IF(OR(D4276="",F4276=""),"",F4276*IFERROR(INDEX('Sản phẩm'!$D$5:$D$304,MATCH(D4276,'Sản phẩm'!$A$5:$A$304,0)),""))</f>
        <v/>
      </c>
      <c r="L4276" s="16">
        <f>IF(J4276="","",J4276-K4276)</f>
        <v/>
      </c>
      <c r="M4276" s="14">
        <f>IF(A4276="","",MONTH(A4276))</f>
        <v/>
      </c>
      <c r="N4276" s="14">
        <f>IF(A4276="","",YEAR(A4276))</f>
        <v/>
      </c>
    </row>
    <row r="4277">
      <c r="A4277" s="15" t="n"/>
      <c r="B4277" s="10" t="n"/>
      <c r="C4277" s="10" t="n"/>
      <c r="D4277" s="10" t="n"/>
      <c r="E4277" s="14">
        <f>IF(D4277="","",IFERROR(INDEX('Sản phẩm'!$B$5:$B$304,MATCH(D4277,'Sản phẩm'!$A$5:$A$304,0)),""))</f>
        <v/>
      </c>
      <c r="F4277" s="12" t="n"/>
      <c r="G4277" s="11" t="n"/>
      <c r="H4277" s="11" t="n"/>
      <c r="I4277" s="16">
        <f>IF(D4277="","",IF(G4277&lt;&gt;"",G4277,IFERROR(INDEX('Sản phẩm'!$E$5:$E$304,MATCH(D4277,'Sản phẩm'!$A$5:$A$304,0)),"")))</f>
        <v/>
      </c>
      <c r="J4277" s="16">
        <f>IF(OR(D4277="",F4277=""),"",F4277*I4277-N(H4277))</f>
        <v/>
      </c>
      <c r="K4277" s="16">
        <f>IF(OR(D4277="",F4277=""),"",F4277*IFERROR(INDEX('Sản phẩm'!$D$5:$D$304,MATCH(D4277,'Sản phẩm'!$A$5:$A$304,0)),""))</f>
        <v/>
      </c>
      <c r="L4277" s="16">
        <f>IF(J4277="","",J4277-K4277)</f>
        <v/>
      </c>
      <c r="M4277" s="14">
        <f>IF(A4277="","",MONTH(A4277))</f>
        <v/>
      </c>
      <c r="N4277" s="14">
        <f>IF(A4277="","",YEAR(A4277))</f>
        <v/>
      </c>
    </row>
    <row r="4278">
      <c r="A4278" s="15" t="n"/>
      <c r="B4278" s="10" t="n"/>
      <c r="C4278" s="10" t="n"/>
      <c r="D4278" s="10" t="n"/>
      <c r="E4278" s="14">
        <f>IF(D4278="","",IFERROR(INDEX('Sản phẩm'!$B$5:$B$304,MATCH(D4278,'Sản phẩm'!$A$5:$A$304,0)),""))</f>
        <v/>
      </c>
      <c r="F4278" s="12" t="n"/>
      <c r="G4278" s="11" t="n"/>
      <c r="H4278" s="11" t="n"/>
      <c r="I4278" s="16">
        <f>IF(D4278="","",IF(G4278&lt;&gt;"",G4278,IFERROR(INDEX('Sản phẩm'!$E$5:$E$304,MATCH(D4278,'Sản phẩm'!$A$5:$A$304,0)),"")))</f>
        <v/>
      </c>
      <c r="J4278" s="16">
        <f>IF(OR(D4278="",F4278=""),"",F4278*I4278-N(H4278))</f>
        <v/>
      </c>
      <c r="K4278" s="16">
        <f>IF(OR(D4278="",F4278=""),"",F4278*IFERROR(INDEX('Sản phẩm'!$D$5:$D$304,MATCH(D4278,'Sản phẩm'!$A$5:$A$304,0)),""))</f>
        <v/>
      </c>
      <c r="L4278" s="16">
        <f>IF(J4278="","",J4278-K4278)</f>
        <v/>
      </c>
      <c r="M4278" s="14">
        <f>IF(A4278="","",MONTH(A4278))</f>
        <v/>
      </c>
      <c r="N4278" s="14">
        <f>IF(A4278="","",YEAR(A4278))</f>
        <v/>
      </c>
    </row>
    <row r="4279">
      <c r="A4279" s="15" t="n"/>
      <c r="B4279" s="10" t="n"/>
      <c r="C4279" s="10" t="n"/>
      <c r="D4279" s="10" t="n"/>
      <c r="E4279" s="14">
        <f>IF(D4279="","",IFERROR(INDEX('Sản phẩm'!$B$5:$B$304,MATCH(D4279,'Sản phẩm'!$A$5:$A$304,0)),""))</f>
        <v/>
      </c>
      <c r="F4279" s="12" t="n"/>
      <c r="G4279" s="11" t="n"/>
      <c r="H4279" s="11" t="n"/>
      <c r="I4279" s="16">
        <f>IF(D4279="","",IF(G4279&lt;&gt;"",G4279,IFERROR(INDEX('Sản phẩm'!$E$5:$E$304,MATCH(D4279,'Sản phẩm'!$A$5:$A$304,0)),"")))</f>
        <v/>
      </c>
      <c r="J4279" s="16">
        <f>IF(OR(D4279="",F4279=""),"",F4279*I4279-N(H4279))</f>
        <v/>
      </c>
      <c r="K4279" s="16">
        <f>IF(OR(D4279="",F4279=""),"",F4279*IFERROR(INDEX('Sản phẩm'!$D$5:$D$304,MATCH(D4279,'Sản phẩm'!$A$5:$A$304,0)),""))</f>
        <v/>
      </c>
      <c r="L4279" s="16">
        <f>IF(J4279="","",J4279-K4279)</f>
        <v/>
      </c>
      <c r="M4279" s="14">
        <f>IF(A4279="","",MONTH(A4279))</f>
        <v/>
      </c>
      <c r="N4279" s="14">
        <f>IF(A4279="","",YEAR(A4279))</f>
        <v/>
      </c>
    </row>
    <row r="4280">
      <c r="A4280" s="15" t="n"/>
      <c r="B4280" s="10" t="n"/>
      <c r="C4280" s="10" t="n"/>
      <c r="D4280" s="10" t="n"/>
      <c r="E4280" s="14">
        <f>IF(D4280="","",IFERROR(INDEX('Sản phẩm'!$B$5:$B$304,MATCH(D4280,'Sản phẩm'!$A$5:$A$304,0)),""))</f>
        <v/>
      </c>
      <c r="F4280" s="12" t="n"/>
      <c r="G4280" s="11" t="n"/>
      <c r="H4280" s="11" t="n"/>
      <c r="I4280" s="16">
        <f>IF(D4280="","",IF(G4280&lt;&gt;"",G4280,IFERROR(INDEX('Sản phẩm'!$E$5:$E$304,MATCH(D4280,'Sản phẩm'!$A$5:$A$304,0)),"")))</f>
        <v/>
      </c>
      <c r="J4280" s="16">
        <f>IF(OR(D4280="",F4280=""),"",F4280*I4280-N(H4280))</f>
        <v/>
      </c>
      <c r="K4280" s="16">
        <f>IF(OR(D4280="",F4280=""),"",F4280*IFERROR(INDEX('Sản phẩm'!$D$5:$D$304,MATCH(D4280,'Sản phẩm'!$A$5:$A$304,0)),""))</f>
        <v/>
      </c>
      <c r="L4280" s="16">
        <f>IF(J4280="","",J4280-K4280)</f>
        <v/>
      </c>
      <c r="M4280" s="14">
        <f>IF(A4280="","",MONTH(A4280))</f>
        <v/>
      </c>
      <c r="N4280" s="14">
        <f>IF(A4280="","",YEAR(A4280))</f>
        <v/>
      </c>
    </row>
    <row r="4281">
      <c r="A4281" s="15" t="n"/>
      <c r="B4281" s="10" t="n"/>
      <c r="C4281" s="10" t="n"/>
      <c r="D4281" s="10" t="n"/>
      <c r="E4281" s="14">
        <f>IF(D4281="","",IFERROR(INDEX('Sản phẩm'!$B$5:$B$304,MATCH(D4281,'Sản phẩm'!$A$5:$A$304,0)),""))</f>
        <v/>
      </c>
      <c r="F4281" s="12" t="n"/>
      <c r="G4281" s="11" t="n"/>
      <c r="H4281" s="11" t="n"/>
      <c r="I4281" s="16">
        <f>IF(D4281="","",IF(G4281&lt;&gt;"",G4281,IFERROR(INDEX('Sản phẩm'!$E$5:$E$304,MATCH(D4281,'Sản phẩm'!$A$5:$A$304,0)),"")))</f>
        <v/>
      </c>
      <c r="J4281" s="16">
        <f>IF(OR(D4281="",F4281=""),"",F4281*I4281-N(H4281))</f>
        <v/>
      </c>
      <c r="K4281" s="16">
        <f>IF(OR(D4281="",F4281=""),"",F4281*IFERROR(INDEX('Sản phẩm'!$D$5:$D$304,MATCH(D4281,'Sản phẩm'!$A$5:$A$304,0)),""))</f>
        <v/>
      </c>
      <c r="L4281" s="16">
        <f>IF(J4281="","",J4281-K4281)</f>
        <v/>
      </c>
      <c r="M4281" s="14">
        <f>IF(A4281="","",MONTH(A4281))</f>
        <v/>
      </c>
      <c r="N4281" s="14">
        <f>IF(A4281="","",YEAR(A4281))</f>
        <v/>
      </c>
    </row>
    <row r="4282">
      <c r="A4282" s="15" t="n"/>
      <c r="B4282" s="10" t="n"/>
      <c r="C4282" s="10" t="n"/>
      <c r="D4282" s="10" t="n"/>
      <c r="E4282" s="14">
        <f>IF(D4282="","",IFERROR(INDEX('Sản phẩm'!$B$5:$B$304,MATCH(D4282,'Sản phẩm'!$A$5:$A$304,0)),""))</f>
        <v/>
      </c>
      <c r="F4282" s="12" t="n"/>
      <c r="G4282" s="11" t="n"/>
      <c r="H4282" s="11" t="n"/>
      <c r="I4282" s="16">
        <f>IF(D4282="","",IF(G4282&lt;&gt;"",G4282,IFERROR(INDEX('Sản phẩm'!$E$5:$E$304,MATCH(D4282,'Sản phẩm'!$A$5:$A$304,0)),"")))</f>
        <v/>
      </c>
      <c r="J4282" s="16">
        <f>IF(OR(D4282="",F4282=""),"",F4282*I4282-N(H4282))</f>
        <v/>
      </c>
      <c r="K4282" s="16">
        <f>IF(OR(D4282="",F4282=""),"",F4282*IFERROR(INDEX('Sản phẩm'!$D$5:$D$304,MATCH(D4282,'Sản phẩm'!$A$5:$A$304,0)),""))</f>
        <v/>
      </c>
      <c r="L4282" s="16">
        <f>IF(J4282="","",J4282-K4282)</f>
        <v/>
      </c>
      <c r="M4282" s="14">
        <f>IF(A4282="","",MONTH(A4282))</f>
        <v/>
      </c>
      <c r="N4282" s="14">
        <f>IF(A4282="","",YEAR(A4282))</f>
        <v/>
      </c>
    </row>
    <row r="4283">
      <c r="A4283" s="15" t="n"/>
      <c r="B4283" s="10" t="n"/>
      <c r="C4283" s="10" t="n"/>
      <c r="D4283" s="10" t="n"/>
      <c r="E4283" s="14">
        <f>IF(D4283="","",IFERROR(INDEX('Sản phẩm'!$B$5:$B$304,MATCH(D4283,'Sản phẩm'!$A$5:$A$304,0)),""))</f>
        <v/>
      </c>
      <c r="F4283" s="12" t="n"/>
      <c r="G4283" s="11" t="n"/>
      <c r="H4283" s="11" t="n"/>
      <c r="I4283" s="16">
        <f>IF(D4283="","",IF(G4283&lt;&gt;"",G4283,IFERROR(INDEX('Sản phẩm'!$E$5:$E$304,MATCH(D4283,'Sản phẩm'!$A$5:$A$304,0)),"")))</f>
        <v/>
      </c>
      <c r="J4283" s="16">
        <f>IF(OR(D4283="",F4283=""),"",F4283*I4283-N(H4283))</f>
        <v/>
      </c>
      <c r="K4283" s="16">
        <f>IF(OR(D4283="",F4283=""),"",F4283*IFERROR(INDEX('Sản phẩm'!$D$5:$D$304,MATCH(D4283,'Sản phẩm'!$A$5:$A$304,0)),""))</f>
        <v/>
      </c>
      <c r="L4283" s="16">
        <f>IF(J4283="","",J4283-K4283)</f>
        <v/>
      </c>
      <c r="M4283" s="14">
        <f>IF(A4283="","",MONTH(A4283))</f>
        <v/>
      </c>
      <c r="N4283" s="14">
        <f>IF(A4283="","",YEAR(A4283))</f>
        <v/>
      </c>
    </row>
    <row r="4284">
      <c r="A4284" s="15" t="n"/>
      <c r="B4284" s="10" t="n"/>
      <c r="C4284" s="10" t="n"/>
      <c r="D4284" s="10" t="n"/>
      <c r="E4284" s="14">
        <f>IF(D4284="","",IFERROR(INDEX('Sản phẩm'!$B$5:$B$304,MATCH(D4284,'Sản phẩm'!$A$5:$A$304,0)),""))</f>
        <v/>
      </c>
      <c r="F4284" s="12" t="n"/>
      <c r="G4284" s="11" t="n"/>
      <c r="H4284" s="11" t="n"/>
      <c r="I4284" s="16">
        <f>IF(D4284="","",IF(G4284&lt;&gt;"",G4284,IFERROR(INDEX('Sản phẩm'!$E$5:$E$304,MATCH(D4284,'Sản phẩm'!$A$5:$A$304,0)),"")))</f>
        <v/>
      </c>
      <c r="J4284" s="16">
        <f>IF(OR(D4284="",F4284=""),"",F4284*I4284-N(H4284))</f>
        <v/>
      </c>
      <c r="K4284" s="16">
        <f>IF(OR(D4284="",F4284=""),"",F4284*IFERROR(INDEX('Sản phẩm'!$D$5:$D$304,MATCH(D4284,'Sản phẩm'!$A$5:$A$304,0)),""))</f>
        <v/>
      </c>
      <c r="L4284" s="16">
        <f>IF(J4284="","",J4284-K4284)</f>
        <v/>
      </c>
      <c r="M4284" s="14">
        <f>IF(A4284="","",MONTH(A4284))</f>
        <v/>
      </c>
      <c r="N4284" s="14">
        <f>IF(A4284="","",YEAR(A4284))</f>
        <v/>
      </c>
    </row>
    <row r="4285">
      <c r="A4285" s="15" t="n"/>
      <c r="B4285" s="10" t="n"/>
      <c r="C4285" s="10" t="n"/>
      <c r="D4285" s="10" t="n"/>
      <c r="E4285" s="14">
        <f>IF(D4285="","",IFERROR(INDEX('Sản phẩm'!$B$5:$B$304,MATCH(D4285,'Sản phẩm'!$A$5:$A$304,0)),""))</f>
        <v/>
      </c>
      <c r="F4285" s="12" t="n"/>
      <c r="G4285" s="11" t="n"/>
      <c r="H4285" s="11" t="n"/>
      <c r="I4285" s="16">
        <f>IF(D4285="","",IF(G4285&lt;&gt;"",G4285,IFERROR(INDEX('Sản phẩm'!$E$5:$E$304,MATCH(D4285,'Sản phẩm'!$A$5:$A$304,0)),"")))</f>
        <v/>
      </c>
      <c r="J4285" s="16">
        <f>IF(OR(D4285="",F4285=""),"",F4285*I4285-N(H4285))</f>
        <v/>
      </c>
      <c r="K4285" s="16">
        <f>IF(OR(D4285="",F4285=""),"",F4285*IFERROR(INDEX('Sản phẩm'!$D$5:$D$304,MATCH(D4285,'Sản phẩm'!$A$5:$A$304,0)),""))</f>
        <v/>
      </c>
      <c r="L4285" s="16">
        <f>IF(J4285="","",J4285-K4285)</f>
        <v/>
      </c>
      <c r="M4285" s="14">
        <f>IF(A4285="","",MONTH(A4285))</f>
        <v/>
      </c>
      <c r="N4285" s="14">
        <f>IF(A4285="","",YEAR(A4285))</f>
        <v/>
      </c>
    </row>
    <row r="4286">
      <c r="A4286" s="15" t="n"/>
      <c r="B4286" s="10" t="n"/>
      <c r="C4286" s="10" t="n"/>
      <c r="D4286" s="10" t="n"/>
      <c r="E4286" s="14">
        <f>IF(D4286="","",IFERROR(INDEX('Sản phẩm'!$B$5:$B$304,MATCH(D4286,'Sản phẩm'!$A$5:$A$304,0)),""))</f>
        <v/>
      </c>
      <c r="F4286" s="12" t="n"/>
      <c r="G4286" s="11" t="n"/>
      <c r="H4286" s="11" t="n"/>
      <c r="I4286" s="16">
        <f>IF(D4286="","",IF(G4286&lt;&gt;"",G4286,IFERROR(INDEX('Sản phẩm'!$E$5:$E$304,MATCH(D4286,'Sản phẩm'!$A$5:$A$304,0)),"")))</f>
        <v/>
      </c>
      <c r="J4286" s="16">
        <f>IF(OR(D4286="",F4286=""),"",F4286*I4286-N(H4286))</f>
        <v/>
      </c>
      <c r="K4286" s="16">
        <f>IF(OR(D4286="",F4286=""),"",F4286*IFERROR(INDEX('Sản phẩm'!$D$5:$D$304,MATCH(D4286,'Sản phẩm'!$A$5:$A$304,0)),""))</f>
        <v/>
      </c>
      <c r="L4286" s="16">
        <f>IF(J4286="","",J4286-K4286)</f>
        <v/>
      </c>
      <c r="M4286" s="14">
        <f>IF(A4286="","",MONTH(A4286))</f>
        <v/>
      </c>
      <c r="N4286" s="14">
        <f>IF(A4286="","",YEAR(A4286))</f>
        <v/>
      </c>
    </row>
    <row r="4287">
      <c r="A4287" s="15" t="n"/>
      <c r="B4287" s="10" t="n"/>
      <c r="C4287" s="10" t="n"/>
      <c r="D4287" s="10" t="n"/>
      <c r="E4287" s="14">
        <f>IF(D4287="","",IFERROR(INDEX('Sản phẩm'!$B$5:$B$304,MATCH(D4287,'Sản phẩm'!$A$5:$A$304,0)),""))</f>
        <v/>
      </c>
      <c r="F4287" s="12" t="n"/>
      <c r="G4287" s="11" t="n"/>
      <c r="H4287" s="11" t="n"/>
      <c r="I4287" s="16">
        <f>IF(D4287="","",IF(G4287&lt;&gt;"",G4287,IFERROR(INDEX('Sản phẩm'!$E$5:$E$304,MATCH(D4287,'Sản phẩm'!$A$5:$A$304,0)),"")))</f>
        <v/>
      </c>
      <c r="J4287" s="16">
        <f>IF(OR(D4287="",F4287=""),"",F4287*I4287-N(H4287))</f>
        <v/>
      </c>
      <c r="K4287" s="16">
        <f>IF(OR(D4287="",F4287=""),"",F4287*IFERROR(INDEX('Sản phẩm'!$D$5:$D$304,MATCH(D4287,'Sản phẩm'!$A$5:$A$304,0)),""))</f>
        <v/>
      </c>
      <c r="L4287" s="16">
        <f>IF(J4287="","",J4287-K4287)</f>
        <v/>
      </c>
      <c r="M4287" s="14">
        <f>IF(A4287="","",MONTH(A4287))</f>
        <v/>
      </c>
      <c r="N4287" s="14">
        <f>IF(A4287="","",YEAR(A4287))</f>
        <v/>
      </c>
    </row>
    <row r="4288">
      <c r="A4288" s="15" t="n"/>
      <c r="B4288" s="10" t="n"/>
      <c r="C4288" s="10" t="n"/>
      <c r="D4288" s="10" t="n"/>
      <c r="E4288" s="14">
        <f>IF(D4288="","",IFERROR(INDEX('Sản phẩm'!$B$5:$B$304,MATCH(D4288,'Sản phẩm'!$A$5:$A$304,0)),""))</f>
        <v/>
      </c>
      <c r="F4288" s="12" t="n"/>
      <c r="G4288" s="11" t="n"/>
      <c r="H4288" s="11" t="n"/>
      <c r="I4288" s="16">
        <f>IF(D4288="","",IF(G4288&lt;&gt;"",G4288,IFERROR(INDEX('Sản phẩm'!$E$5:$E$304,MATCH(D4288,'Sản phẩm'!$A$5:$A$304,0)),"")))</f>
        <v/>
      </c>
      <c r="J4288" s="16">
        <f>IF(OR(D4288="",F4288=""),"",F4288*I4288-N(H4288))</f>
        <v/>
      </c>
      <c r="K4288" s="16">
        <f>IF(OR(D4288="",F4288=""),"",F4288*IFERROR(INDEX('Sản phẩm'!$D$5:$D$304,MATCH(D4288,'Sản phẩm'!$A$5:$A$304,0)),""))</f>
        <v/>
      </c>
      <c r="L4288" s="16">
        <f>IF(J4288="","",J4288-K4288)</f>
        <v/>
      </c>
      <c r="M4288" s="14">
        <f>IF(A4288="","",MONTH(A4288))</f>
        <v/>
      </c>
      <c r="N4288" s="14">
        <f>IF(A4288="","",YEAR(A4288))</f>
        <v/>
      </c>
    </row>
    <row r="4289">
      <c r="A4289" s="15" t="n"/>
      <c r="B4289" s="10" t="n"/>
      <c r="C4289" s="10" t="n"/>
      <c r="D4289" s="10" t="n"/>
      <c r="E4289" s="14">
        <f>IF(D4289="","",IFERROR(INDEX('Sản phẩm'!$B$5:$B$304,MATCH(D4289,'Sản phẩm'!$A$5:$A$304,0)),""))</f>
        <v/>
      </c>
      <c r="F4289" s="12" t="n"/>
      <c r="G4289" s="11" t="n"/>
      <c r="H4289" s="11" t="n"/>
      <c r="I4289" s="16">
        <f>IF(D4289="","",IF(G4289&lt;&gt;"",G4289,IFERROR(INDEX('Sản phẩm'!$E$5:$E$304,MATCH(D4289,'Sản phẩm'!$A$5:$A$304,0)),"")))</f>
        <v/>
      </c>
      <c r="J4289" s="16">
        <f>IF(OR(D4289="",F4289=""),"",F4289*I4289-N(H4289))</f>
        <v/>
      </c>
      <c r="K4289" s="16">
        <f>IF(OR(D4289="",F4289=""),"",F4289*IFERROR(INDEX('Sản phẩm'!$D$5:$D$304,MATCH(D4289,'Sản phẩm'!$A$5:$A$304,0)),""))</f>
        <v/>
      </c>
      <c r="L4289" s="16">
        <f>IF(J4289="","",J4289-K4289)</f>
        <v/>
      </c>
      <c r="M4289" s="14">
        <f>IF(A4289="","",MONTH(A4289))</f>
        <v/>
      </c>
      <c r="N4289" s="14">
        <f>IF(A4289="","",YEAR(A4289))</f>
        <v/>
      </c>
    </row>
    <row r="4290">
      <c r="A4290" s="15" t="n"/>
      <c r="B4290" s="10" t="n"/>
      <c r="C4290" s="10" t="n"/>
      <c r="D4290" s="10" t="n"/>
      <c r="E4290" s="14">
        <f>IF(D4290="","",IFERROR(INDEX('Sản phẩm'!$B$5:$B$304,MATCH(D4290,'Sản phẩm'!$A$5:$A$304,0)),""))</f>
        <v/>
      </c>
      <c r="F4290" s="12" t="n"/>
      <c r="G4290" s="11" t="n"/>
      <c r="H4290" s="11" t="n"/>
      <c r="I4290" s="16">
        <f>IF(D4290="","",IF(G4290&lt;&gt;"",G4290,IFERROR(INDEX('Sản phẩm'!$E$5:$E$304,MATCH(D4290,'Sản phẩm'!$A$5:$A$304,0)),"")))</f>
        <v/>
      </c>
      <c r="J4290" s="16">
        <f>IF(OR(D4290="",F4290=""),"",F4290*I4290-N(H4290))</f>
        <v/>
      </c>
      <c r="K4290" s="16">
        <f>IF(OR(D4290="",F4290=""),"",F4290*IFERROR(INDEX('Sản phẩm'!$D$5:$D$304,MATCH(D4290,'Sản phẩm'!$A$5:$A$304,0)),""))</f>
        <v/>
      </c>
      <c r="L4290" s="16">
        <f>IF(J4290="","",J4290-K4290)</f>
        <v/>
      </c>
      <c r="M4290" s="14">
        <f>IF(A4290="","",MONTH(A4290))</f>
        <v/>
      </c>
      <c r="N4290" s="14">
        <f>IF(A4290="","",YEAR(A4290))</f>
        <v/>
      </c>
    </row>
    <row r="4291">
      <c r="A4291" s="15" t="n"/>
      <c r="B4291" s="10" t="n"/>
      <c r="C4291" s="10" t="n"/>
      <c r="D4291" s="10" t="n"/>
      <c r="E4291" s="14">
        <f>IF(D4291="","",IFERROR(INDEX('Sản phẩm'!$B$5:$B$304,MATCH(D4291,'Sản phẩm'!$A$5:$A$304,0)),""))</f>
        <v/>
      </c>
      <c r="F4291" s="12" t="n"/>
      <c r="G4291" s="11" t="n"/>
      <c r="H4291" s="11" t="n"/>
      <c r="I4291" s="16">
        <f>IF(D4291="","",IF(G4291&lt;&gt;"",G4291,IFERROR(INDEX('Sản phẩm'!$E$5:$E$304,MATCH(D4291,'Sản phẩm'!$A$5:$A$304,0)),"")))</f>
        <v/>
      </c>
      <c r="J4291" s="16">
        <f>IF(OR(D4291="",F4291=""),"",F4291*I4291-N(H4291))</f>
        <v/>
      </c>
      <c r="K4291" s="16">
        <f>IF(OR(D4291="",F4291=""),"",F4291*IFERROR(INDEX('Sản phẩm'!$D$5:$D$304,MATCH(D4291,'Sản phẩm'!$A$5:$A$304,0)),""))</f>
        <v/>
      </c>
      <c r="L4291" s="16">
        <f>IF(J4291="","",J4291-K4291)</f>
        <v/>
      </c>
      <c r="M4291" s="14">
        <f>IF(A4291="","",MONTH(A4291))</f>
        <v/>
      </c>
      <c r="N4291" s="14">
        <f>IF(A4291="","",YEAR(A4291))</f>
        <v/>
      </c>
    </row>
    <row r="4292">
      <c r="A4292" s="15" t="n"/>
      <c r="B4292" s="10" t="n"/>
      <c r="C4292" s="10" t="n"/>
      <c r="D4292" s="10" t="n"/>
      <c r="E4292" s="14">
        <f>IF(D4292="","",IFERROR(INDEX('Sản phẩm'!$B$5:$B$304,MATCH(D4292,'Sản phẩm'!$A$5:$A$304,0)),""))</f>
        <v/>
      </c>
      <c r="F4292" s="12" t="n"/>
      <c r="G4292" s="11" t="n"/>
      <c r="H4292" s="11" t="n"/>
      <c r="I4292" s="16">
        <f>IF(D4292="","",IF(G4292&lt;&gt;"",G4292,IFERROR(INDEX('Sản phẩm'!$E$5:$E$304,MATCH(D4292,'Sản phẩm'!$A$5:$A$304,0)),"")))</f>
        <v/>
      </c>
      <c r="J4292" s="16">
        <f>IF(OR(D4292="",F4292=""),"",F4292*I4292-N(H4292))</f>
        <v/>
      </c>
      <c r="K4292" s="16">
        <f>IF(OR(D4292="",F4292=""),"",F4292*IFERROR(INDEX('Sản phẩm'!$D$5:$D$304,MATCH(D4292,'Sản phẩm'!$A$5:$A$304,0)),""))</f>
        <v/>
      </c>
      <c r="L4292" s="16">
        <f>IF(J4292="","",J4292-K4292)</f>
        <v/>
      </c>
      <c r="M4292" s="14">
        <f>IF(A4292="","",MONTH(A4292))</f>
        <v/>
      </c>
      <c r="N4292" s="14">
        <f>IF(A4292="","",YEAR(A4292))</f>
        <v/>
      </c>
    </row>
    <row r="4293">
      <c r="A4293" s="15" t="n"/>
      <c r="B4293" s="10" t="n"/>
      <c r="C4293" s="10" t="n"/>
      <c r="D4293" s="10" t="n"/>
      <c r="E4293" s="14">
        <f>IF(D4293="","",IFERROR(INDEX('Sản phẩm'!$B$5:$B$304,MATCH(D4293,'Sản phẩm'!$A$5:$A$304,0)),""))</f>
        <v/>
      </c>
      <c r="F4293" s="12" t="n"/>
      <c r="G4293" s="11" t="n"/>
      <c r="H4293" s="11" t="n"/>
      <c r="I4293" s="16">
        <f>IF(D4293="","",IF(G4293&lt;&gt;"",G4293,IFERROR(INDEX('Sản phẩm'!$E$5:$E$304,MATCH(D4293,'Sản phẩm'!$A$5:$A$304,0)),"")))</f>
        <v/>
      </c>
      <c r="J4293" s="16">
        <f>IF(OR(D4293="",F4293=""),"",F4293*I4293-N(H4293))</f>
        <v/>
      </c>
      <c r="K4293" s="16">
        <f>IF(OR(D4293="",F4293=""),"",F4293*IFERROR(INDEX('Sản phẩm'!$D$5:$D$304,MATCH(D4293,'Sản phẩm'!$A$5:$A$304,0)),""))</f>
        <v/>
      </c>
      <c r="L4293" s="16">
        <f>IF(J4293="","",J4293-K4293)</f>
        <v/>
      </c>
      <c r="M4293" s="14">
        <f>IF(A4293="","",MONTH(A4293))</f>
        <v/>
      </c>
      <c r="N4293" s="14">
        <f>IF(A4293="","",YEAR(A4293))</f>
        <v/>
      </c>
    </row>
    <row r="4294">
      <c r="A4294" s="15" t="n"/>
      <c r="B4294" s="10" t="n"/>
      <c r="C4294" s="10" t="n"/>
      <c r="D4294" s="10" t="n"/>
      <c r="E4294" s="14">
        <f>IF(D4294="","",IFERROR(INDEX('Sản phẩm'!$B$5:$B$304,MATCH(D4294,'Sản phẩm'!$A$5:$A$304,0)),""))</f>
        <v/>
      </c>
      <c r="F4294" s="12" t="n"/>
      <c r="G4294" s="11" t="n"/>
      <c r="H4294" s="11" t="n"/>
      <c r="I4294" s="16">
        <f>IF(D4294="","",IF(G4294&lt;&gt;"",G4294,IFERROR(INDEX('Sản phẩm'!$E$5:$E$304,MATCH(D4294,'Sản phẩm'!$A$5:$A$304,0)),"")))</f>
        <v/>
      </c>
      <c r="J4294" s="16">
        <f>IF(OR(D4294="",F4294=""),"",F4294*I4294-N(H4294))</f>
        <v/>
      </c>
      <c r="K4294" s="16">
        <f>IF(OR(D4294="",F4294=""),"",F4294*IFERROR(INDEX('Sản phẩm'!$D$5:$D$304,MATCH(D4294,'Sản phẩm'!$A$5:$A$304,0)),""))</f>
        <v/>
      </c>
      <c r="L4294" s="16">
        <f>IF(J4294="","",J4294-K4294)</f>
        <v/>
      </c>
      <c r="M4294" s="14">
        <f>IF(A4294="","",MONTH(A4294))</f>
        <v/>
      </c>
      <c r="N4294" s="14">
        <f>IF(A4294="","",YEAR(A4294))</f>
        <v/>
      </c>
    </row>
    <row r="4295">
      <c r="A4295" s="15" t="n"/>
      <c r="B4295" s="10" t="n"/>
      <c r="C4295" s="10" t="n"/>
      <c r="D4295" s="10" t="n"/>
      <c r="E4295" s="14">
        <f>IF(D4295="","",IFERROR(INDEX('Sản phẩm'!$B$5:$B$304,MATCH(D4295,'Sản phẩm'!$A$5:$A$304,0)),""))</f>
        <v/>
      </c>
      <c r="F4295" s="12" t="n"/>
      <c r="G4295" s="11" t="n"/>
      <c r="H4295" s="11" t="n"/>
      <c r="I4295" s="16">
        <f>IF(D4295="","",IF(G4295&lt;&gt;"",G4295,IFERROR(INDEX('Sản phẩm'!$E$5:$E$304,MATCH(D4295,'Sản phẩm'!$A$5:$A$304,0)),"")))</f>
        <v/>
      </c>
      <c r="J4295" s="16">
        <f>IF(OR(D4295="",F4295=""),"",F4295*I4295-N(H4295))</f>
        <v/>
      </c>
      <c r="K4295" s="16">
        <f>IF(OR(D4295="",F4295=""),"",F4295*IFERROR(INDEX('Sản phẩm'!$D$5:$D$304,MATCH(D4295,'Sản phẩm'!$A$5:$A$304,0)),""))</f>
        <v/>
      </c>
      <c r="L4295" s="16">
        <f>IF(J4295="","",J4295-K4295)</f>
        <v/>
      </c>
      <c r="M4295" s="14">
        <f>IF(A4295="","",MONTH(A4295))</f>
        <v/>
      </c>
      <c r="N4295" s="14">
        <f>IF(A4295="","",YEAR(A4295))</f>
        <v/>
      </c>
    </row>
    <row r="4296">
      <c r="A4296" s="15" t="n"/>
      <c r="B4296" s="10" t="n"/>
      <c r="C4296" s="10" t="n"/>
      <c r="D4296" s="10" t="n"/>
      <c r="E4296" s="14">
        <f>IF(D4296="","",IFERROR(INDEX('Sản phẩm'!$B$5:$B$304,MATCH(D4296,'Sản phẩm'!$A$5:$A$304,0)),""))</f>
        <v/>
      </c>
      <c r="F4296" s="12" t="n"/>
      <c r="G4296" s="11" t="n"/>
      <c r="H4296" s="11" t="n"/>
      <c r="I4296" s="16">
        <f>IF(D4296="","",IF(G4296&lt;&gt;"",G4296,IFERROR(INDEX('Sản phẩm'!$E$5:$E$304,MATCH(D4296,'Sản phẩm'!$A$5:$A$304,0)),"")))</f>
        <v/>
      </c>
      <c r="J4296" s="16">
        <f>IF(OR(D4296="",F4296=""),"",F4296*I4296-N(H4296))</f>
        <v/>
      </c>
      <c r="K4296" s="16">
        <f>IF(OR(D4296="",F4296=""),"",F4296*IFERROR(INDEX('Sản phẩm'!$D$5:$D$304,MATCH(D4296,'Sản phẩm'!$A$5:$A$304,0)),""))</f>
        <v/>
      </c>
      <c r="L4296" s="16">
        <f>IF(J4296="","",J4296-K4296)</f>
        <v/>
      </c>
      <c r="M4296" s="14">
        <f>IF(A4296="","",MONTH(A4296))</f>
        <v/>
      </c>
      <c r="N4296" s="14">
        <f>IF(A4296="","",YEAR(A4296))</f>
        <v/>
      </c>
    </row>
    <row r="4297">
      <c r="A4297" s="15" t="n"/>
      <c r="B4297" s="10" t="n"/>
      <c r="C4297" s="10" t="n"/>
      <c r="D4297" s="10" t="n"/>
      <c r="E4297" s="14">
        <f>IF(D4297="","",IFERROR(INDEX('Sản phẩm'!$B$5:$B$304,MATCH(D4297,'Sản phẩm'!$A$5:$A$304,0)),""))</f>
        <v/>
      </c>
      <c r="F4297" s="12" t="n"/>
      <c r="G4297" s="11" t="n"/>
      <c r="H4297" s="11" t="n"/>
      <c r="I4297" s="16">
        <f>IF(D4297="","",IF(G4297&lt;&gt;"",G4297,IFERROR(INDEX('Sản phẩm'!$E$5:$E$304,MATCH(D4297,'Sản phẩm'!$A$5:$A$304,0)),"")))</f>
        <v/>
      </c>
      <c r="J4297" s="16">
        <f>IF(OR(D4297="",F4297=""),"",F4297*I4297-N(H4297))</f>
        <v/>
      </c>
      <c r="K4297" s="16">
        <f>IF(OR(D4297="",F4297=""),"",F4297*IFERROR(INDEX('Sản phẩm'!$D$5:$D$304,MATCH(D4297,'Sản phẩm'!$A$5:$A$304,0)),""))</f>
        <v/>
      </c>
      <c r="L4297" s="16">
        <f>IF(J4297="","",J4297-K4297)</f>
        <v/>
      </c>
      <c r="M4297" s="14">
        <f>IF(A4297="","",MONTH(A4297))</f>
        <v/>
      </c>
      <c r="N4297" s="14">
        <f>IF(A4297="","",YEAR(A4297))</f>
        <v/>
      </c>
    </row>
    <row r="4298">
      <c r="A4298" s="15" t="n"/>
      <c r="B4298" s="10" t="n"/>
      <c r="C4298" s="10" t="n"/>
      <c r="D4298" s="10" t="n"/>
      <c r="E4298" s="14">
        <f>IF(D4298="","",IFERROR(INDEX('Sản phẩm'!$B$5:$B$304,MATCH(D4298,'Sản phẩm'!$A$5:$A$304,0)),""))</f>
        <v/>
      </c>
      <c r="F4298" s="12" t="n"/>
      <c r="G4298" s="11" t="n"/>
      <c r="H4298" s="11" t="n"/>
      <c r="I4298" s="16">
        <f>IF(D4298="","",IF(G4298&lt;&gt;"",G4298,IFERROR(INDEX('Sản phẩm'!$E$5:$E$304,MATCH(D4298,'Sản phẩm'!$A$5:$A$304,0)),"")))</f>
        <v/>
      </c>
      <c r="J4298" s="16">
        <f>IF(OR(D4298="",F4298=""),"",F4298*I4298-N(H4298))</f>
        <v/>
      </c>
      <c r="K4298" s="16">
        <f>IF(OR(D4298="",F4298=""),"",F4298*IFERROR(INDEX('Sản phẩm'!$D$5:$D$304,MATCH(D4298,'Sản phẩm'!$A$5:$A$304,0)),""))</f>
        <v/>
      </c>
      <c r="L4298" s="16">
        <f>IF(J4298="","",J4298-K4298)</f>
        <v/>
      </c>
      <c r="M4298" s="14">
        <f>IF(A4298="","",MONTH(A4298))</f>
        <v/>
      </c>
      <c r="N4298" s="14">
        <f>IF(A4298="","",YEAR(A4298))</f>
        <v/>
      </c>
    </row>
    <row r="4299">
      <c r="A4299" s="15" t="n"/>
      <c r="B4299" s="10" t="n"/>
      <c r="C4299" s="10" t="n"/>
      <c r="D4299" s="10" t="n"/>
      <c r="E4299" s="14">
        <f>IF(D4299="","",IFERROR(INDEX('Sản phẩm'!$B$5:$B$304,MATCH(D4299,'Sản phẩm'!$A$5:$A$304,0)),""))</f>
        <v/>
      </c>
      <c r="F4299" s="12" t="n"/>
      <c r="G4299" s="11" t="n"/>
      <c r="H4299" s="11" t="n"/>
      <c r="I4299" s="16">
        <f>IF(D4299="","",IF(G4299&lt;&gt;"",G4299,IFERROR(INDEX('Sản phẩm'!$E$5:$E$304,MATCH(D4299,'Sản phẩm'!$A$5:$A$304,0)),"")))</f>
        <v/>
      </c>
      <c r="J4299" s="16">
        <f>IF(OR(D4299="",F4299=""),"",F4299*I4299-N(H4299))</f>
        <v/>
      </c>
      <c r="K4299" s="16">
        <f>IF(OR(D4299="",F4299=""),"",F4299*IFERROR(INDEX('Sản phẩm'!$D$5:$D$304,MATCH(D4299,'Sản phẩm'!$A$5:$A$304,0)),""))</f>
        <v/>
      </c>
      <c r="L4299" s="16">
        <f>IF(J4299="","",J4299-K4299)</f>
        <v/>
      </c>
      <c r="M4299" s="14">
        <f>IF(A4299="","",MONTH(A4299))</f>
        <v/>
      </c>
      <c r="N4299" s="14">
        <f>IF(A4299="","",YEAR(A4299))</f>
        <v/>
      </c>
    </row>
    <row r="4300">
      <c r="A4300" s="15" t="n"/>
      <c r="B4300" s="10" t="n"/>
      <c r="C4300" s="10" t="n"/>
      <c r="D4300" s="10" t="n"/>
      <c r="E4300" s="14">
        <f>IF(D4300="","",IFERROR(INDEX('Sản phẩm'!$B$5:$B$304,MATCH(D4300,'Sản phẩm'!$A$5:$A$304,0)),""))</f>
        <v/>
      </c>
      <c r="F4300" s="12" t="n"/>
      <c r="G4300" s="11" t="n"/>
      <c r="H4300" s="11" t="n"/>
      <c r="I4300" s="16">
        <f>IF(D4300="","",IF(G4300&lt;&gt;"",G4300,IFERROR(INDEX('Sản phẩm'!$E$5:$E$304,MATCH(D4300,'Sản phẩm'!$A$5:$A$304,0)),"")))</f>
        <v/>
      </c>
      <c r="J4300" s="16">
        <f>IF(OR(D4300="",F4300=""),"",F4300*I4300-N(H4300))</f>
        <v/>
      </c>
      <c r="K4300" s="16">
        <f>IF(OR(D4300="",F4300=""),"",F4300*IFERROR(INDEX('Sản phẩm'!$D$5:$D$304,MATCH(D4300,'Sản phẩm'!$A$5:$A$304,0)),""))</f>
        <v/>
      </c>
      <c r="L4300" s="16">
        <f>IF(J4300="","",J4300-K4300)</f>
        <v/>
      </c>
      <c r="M4300" s="14">
        <f>IF(A4300="","",MONTH(A4300))</f>
        <v/>
      </c>
      <c r="N4300" s="14">
        <f>IF(A4300="","",YEAR(A4300))</f>
        <v/>
      </c>
    </row>
    <row r="4301">
      <c r="A4301" s="15" t="n"/>
      <c r="B4301" s="10" t="n"/>
      <c r="C4301" s="10" t="n"/>
      <c r="D4301" s="10" t="n"/>
      <c r="E4301" s="14">
        <f>IF(D4301="","",IFERROR(INDEX('Sản phẩm'!$B$5:$B$304,MATCH(D4301,'Sản phẩm'!$A$5:$A$304,0)),""))</f>
        <v/>
      </c>
      <c r="F4301" s="12" t="n"/>
      <c r="G4301" s="11" t="n"/>
      <c r="H4301" s="11" t="n"/>
      <c r="I4301" s="16">
        <f>IF(D4301="","",IF(G4301&lt;&gt;"",G4301,IFERROR(INDEX('Sản phẩm'!$E$5:$E$304,MATCH(D4301,'Sản phẩm'!$A$5:$A$304,0)),"")))</f>
        <v/>
      </c>
      <c r="J4301" s="16">
        <f>IF(OR(D4301="",F4301=""),"",F4301*I4301-N(H4301))</f>
        <v/>
      </c>
      <c r="K4301" s="16">
        <f>IF(OR(D4301="",F4301=""),"",F4301*IFERROR(INDEX('Sản phẩm'!$D$5:$D$304,MATCH(D4301,'Sản phẩm'!$A$5:$A$304,0)),""))</f>
        <v/>
      </c>
      <c r="L4301" s="16">
        <f>IF(J4301="","",J4301-K4301)</f>
        <v/>
      </c>
      <c r="M4301" s="14">
        <f>IF(A4301="","",MONTH(A4301))</f>
        <v/>
      </c>
      <c r="N4301" s="14">
        <f>IF(A4301="","",YEAR(A4301))</f>
        <v/>
      </c>
    </row>
    <row r="4302">
      <c r="A4302" s="15" t="n"/>
      <c r="B4302" s="10" t="n"/>
      <c r="C4302" s="10" t="n"/>
      <c r="D4302" s="10" t="n"/>
      <c r="E4302" s="14">
        <f>IF(D4302="","",IFERROR(INDEX('Sản phẩm'!$B$5:$B$304,MATCH(D4302,'Sản phẩm'!$A$5:$A$304,0)),""))</f>
        <v/>
      </c>
      <c r="F4302" s="12" t="n"/>
      <c r="G4302" s="11" t="n"/>
      <c r="H4302" s="11" t="n"/>
      <c r="I4302" s="16">
        <f>IF(D4302="","",IF(G4302&lt;&gt;"",G4302,IFERROR(INDEX('Sản phẩm'!$E$5:$E$304,MATCH(D4302,'Sản phẩm'!$A$5:$A$304,0)),"")))</f>
        <v/>
      </c>
      <c r="J4302" s="16">
        <f>IF(OR(D4302="",F4302=""),"",F4302*I4302-N(H4302))</f>
        <v/>
      </c>
      <c r="K4302" s="16">
        <f>IF(OR(D4302="",F4302=""),"",F4302*IFERROR(INDEX('Sản phẩm'!$D$5:$D$304,MATCH(D4302,'Sản phẩm'!$A$5:$A$304,0)),""))</f>
        <v/>
      </c>
      <c r="L4302" s="16">
        <f>IF(J4302="","",J4302-K4302)</f>
        <v/>
      </c>
      <c r="M4302" s="14">
        <f>IF(A4302="","",MONTH(A4302))</f>
        <v/>
      </c>
      <c r="N4302" s="14">
        <f>IF(A4302="","",YEAR(A4302))</f>
        <v/>
      </c>
    </row>
    <row r="4303">
      <c r="A4303" s="15" t="n"/>
      <c r="B4303" s="10" t="n"/>
      <c r="C4303" s="10" t="n"/>
      <c r="D4303" s="10" t="n"/>
      <c r="E4303" s="14">
        <f>IF(D4303="","",IFERROR(INDEX('Sản phẩm'!$B$5:$B$304,MATCH(D4303,'Sản phẩm'!$A$5:$A$304,0)),""))</f>
        <v/>
      </c>
      <c r="F4303" s="12" t="n"/>
      <c r="G4303" s="11" t="n"/>
      <c r="H4303" s="11" t="n"/>
      <c r="I4303" s="16">
        <f>IF(D4303="","",IF(G4303&lt;&gt;"",G4303,IFERROR(INDEX('Sản phẩm'!$E$5:$E$304,MATCH(D4303,'Sản phẩm'!$A$5:$A$304,0)),"")))</f>
        <v/>
      </c>
      <c r="J4303" s="16">
        <f>IF(OR(D4303="",F4303=""),"",F4303*I4303-N(H4303))</f>
        <v/>
      </c>
      <c r="K4303" s="16">
        <f>IF(OR(D4303="",F4303=""),"",F4303*IFERROR(INDEX('Sản phẩm'!$D$5:$D$304,MATCH(D4303,'Sản phẩm'!$A$5:$A$304,0)),""))</f>
        <v/>
      </c>
      <c r="L4303" s="16">
        <f>IF(J4303="","",J4303-K4303)</f>
        <v/>
      </c>
      <c r="M4303" s="14">
        <f>IF(A4303="","",MONTH(A4303))</f>
        <v/>
      </c>
      <c r="N4303" s="14">
        <f>IF(A4303="","",YEAR(A4303))</f>
        <v/>
      </c>
    </row>
    <row r="4304">
      <c r="A4304" s="15" t="n"/>
      <c r="B4304" s="10" t="n"/>
      <c r="C4304" s="10" t="n"/>
      <c r="D4304" s="10" t="n"/>
      <c r="E4304" s="14">
        <f>IF(D4304="","",IFERROR(INDEX('Sản phẩm'!$B$5:$B$304,MATCH(D4304,'Sản phẩm'!$A$5:$A$304,0)),""))</f>
        <v/>
      </c>
      <c r="F4304" s="12" t="n"/>
      <c r="G4304" s="11" t="n"/>
      <c r="H4304" s="11" t="n"/>
      <c r="I4304" s="16">
        <f>IF(D4304="","",IF(G4304&lt;&gt;"",G4304,IFERROR(INDEX('Sản phẩm'!$E$5:$E$304,MATCH(D4304,'Sản phẩm'!$A$5:$A$304,0)),"")))</f>
        <v/>
      </c>
      <c r="J4304" s="16">
        <f>IF(OR(D4304="",F4304=""),"",F4304*I4304-N(H4304))</f>
        <v/>
      </c>
      <c r="K4304" s="16">
        <f>IF(OR(D4304="",F4304=""),"",F4304*IFERROR(INDEX('Sản phẩm'!$D$5:$D$304,MATCH(D4304,'Sản phẩm'!$A$5:$A$304,0)),""))</f>
        <v/>
      </c>
      <c r="L4304" s="16">
        <f>IF(J4304="","",J4304-K4304)</f>
        <v/>
      </c>
      <c r="M4304" s="14">
        <f>IF(A4304="","",MONTH(A4304))</f>
        <v/>
      </c>
      <c r="N4304" s="14">
        <f>IF(A4304="","",YEAR(A4304))</f>
        <v/>
      </c>
    </row>
    <row r="4305">
      <c r="A4305" s="15" t="n"/>
      <c r="B4305" s="10" t="n"/>
      <c r="C4305" s="10" t="n"/>
      <c r="D4305" s="10" t="n"/>
      <c r="E4305" s="14">
        <f>IF(D4305="","",IFERROR(INDEX('Sản phẩm'!$B$5:$B$304,MATCH(D4305,'Sản phẩm'!$A$5:$A$304,0)),""))</f>
        <v/>
      </c>
      <c r="F4305" s="12" t="n"/>
      <c r="G4305" s="11" t="n"/>
      <c r="H4305" s="11" t="n"/>
      <c r="I4305" s="16">
        <f>IF(D4305="","",IF(G4305&lt;&gt;"",G4305,IFERROR(INDEX('Sản phẩm'!$E$5:$E$304,MATCH(D4305,'Sản phẩm'!$A$5:$A$304,0)),"")))</f>
        <v/>
      </c>
      <c r="J4305" s="16">
        <f>IF(OR(D4305="",F4305=""),"",F4305*I4305-N(H4305))</f>
        <v/>
      </c>
      <c r="K4305" s="16">
        <f>IF(OR(D4305="",F4305=""),"",F4305*IFERROR(INDEX('Sản phẩm'!$D$5:$D$304,MATCH(D4305,'Sản phẩm'!$A$5:$A$304,0)),""))</f>
        <v/>
      </c>
      <c r="L4305" s="16">
        <f>IF(J4305="","",J4305-K4305)</f>
        <v/>
      </c>
      <c r="M4305" s="14">
        <f>IF(A4305="","",MONTH(A4305))</f>
        <v/>
      </c>
      <c r="N4305" s="14">
        <f>IF(A4305="","",YEAR(A4305))</f>
        <v/>
      </c>
    </row>
    <row r="4306">
      <c r="A4306" s="15" t="n"/>
      <c r="B4306" s="10" t="n"/>
      <c r="C4306" s="10" t="n"/>
      <c r="D4306" s="10" t="n"/>
      <c r="E4306" s="14">
        <f>IF(D4306="","",IFERROR(INDEX('Sản phẩm'!$B$5:$B$304,MATCH(D4306,'Sản phẩm'!$A$5:$A$304,0)),""))</f>
        <v/>
      </c>
      <c r="F4306" s="12" t="n"/>
      <c r="G4306" s="11" t="n"/>
      <c r="H4306" s="11" t="n"/>
      <c r="I4306" s="16">
        <f>IF(D4306="","",IF(G4306&lt;&gt;"",G4306,IFERROR(INDEX('Sản phẩm'!$E$5:$E$304,MATCH(D4306,'Sản phẩm'!$A$5:$A$304,0)),"")))</f>
        <v/>
      </c>
      <c r="J4306" s="16">
        <f>IF(OR(D4306="",F4306=""),"",F4306*I4306-N(H4306))</f>
        <v/>
      </c>
      <c r="K4306" s="16">
        <f>IF(OR(D4306="",F4306=""),"",F4306*IFERROR(INDEX('Sản phẩm'!$D$5:$D$304,MATCH(D4306,'Sản phẩm'!$A$5:$A$304,0)),""))</f>
        <v/>
      </c>
      <c r="L4306" s="16">
        <f>IF(J4306="","",J4306-K4306)</f>
        <v/>
      </c>
      <c r="M4306" s="14">
        <f>IF(A4306="","",MONTH(A4306))</f>
        <v/>
      </c>
      <c r="N4306" s="14">
        <f>IF(A4306="","",YEAR(A4306))</f>
        <v/>
      </c>
    </row>
    <row r="4307">
      <c r="A4307" s="15" t="n"/>
      <c r="B4307" s="10" t="n"/>
      <c r="C4307" s="10" t="n"/>
      <c r="D4307" s="10" t="n"/>
      <c r="E4307" s="14">
        <f>IF(D4307="","",IFERROR(INDEX('Sản phẩm'!$B$5:$B$304,MATCH(D4307,'Sản phẩm'!$A$5:$A$304,0)),""))</f>
        <v/>
      </c>
      <c r="F4307" s="12" t="n"/>
      <c r="G4307" s="11" t="n"/>
      <c r="H4307" s="11" t="n"/>
      <c r="I4307" s="16">
        <f>IF(D4307="","",IF(G4307&lt;&gt;"",G4307,IFERROR(INDEX('Sản phẩm'!$E$5:$E$304,MATCH(D4307,'Sản phẩm'!$A$5:$A$304,0)),"")))</f>
        <v/>
      </c>
      <c r="J4307" s="16">
        <f>IF(OR(D4307="",F4307=""),"",F4307*I4307-N(H4307))</f>
        <v/>
      </c>
      <c r="K4307" s="16">
        <f>IF(OR(D4307="",F4307=""),"",F4307*IFERROR(INDEX('Sản phẩm'!$D$5:$D$304,MATCH(D4307,'Sản phẩm'!$A$5:$A$304,0)),""))</f>
        <v/>
      </c>
      <c r="L4307" s="16">
        <f>IF(J4307="","",J4307-K4307)</f>
        <v/>
      </c>
      <c r="M4307" s="14">
        <f>IF(A4307="","",MONTH(A4307))</f>
        <v/>
      </c>
      <c r="N4307" s="14">
        <f>IF(A4307="","",YEAR(A4307))</f>
        <v/>
      </c>
    </row>
    <row r="4308">
      <c r="A4308" s="15" t="n"/>
      <c r="B4308" s="10" t="n"/>
      <c r="C4308" s="10" t="n"/>
      <c r="D4308" s="10" t="n"/>
      <c r="E4308" s="14">
        <f>IF(D4308="","",IFERROR(INDEX('Sản phẩm'!$B$5:$B$304,MATCH(D4308,'Sản phẩm'!$A$5:$A$304,0)),""))</f>
        <v/>
      </c>
      <c r="F4308" s="12" t="n"/>
      <c r="G4308" s="11" t="n"/>
      <c r="H4308" s="11" t="n"/>
      <c r="I4308" s="16">
        <f>IF(D4308="","",IF(G4308&lt;&gt;"",G4308,IFERROR(INDEX('Sản phẩm'!$E$5:$E$304,MATCH(D4308,'Sản phẩm'!$A$5:$A$304,0)),"")))</f>
        <v/>
      </c>
      <c r="J4308" s="16">
        <f>IF(OR(D4308="",F4308=""),"",F4308*I4308-N(H4308))</f>
        <v/>
      </c>
      <c r="K4308" s="16">
        <f>IF(OR(D4308="",F4308=""),"",F4308*IFERROR(INDEX('Sản phẩm'!$D$5:$D$304,MATCH(D4308,'Sản phẩm'!$A$5:$A$304,0)),""))</f>
        <v/>
      </c>
      <c r="L4308" s="16">
        <f>IF(J4308="","",J4308-K4308)</f>
        <v/>
      </c>
      <c r="M4308" s="14">
        <f>IF(A4308="","",MONTH(A4308))</f>
        <v/>
      </c>
      <c r="N4308" s="14">
        <f>IF(A4308="","",YEAR(A4308))</f>
        <v/>
      </c>
    </row>
    <row r="4309">
      <c r="A4309" s="15" t="n"/>
      <c r="B4309" s="10" t="n"/>
      <c r="C4309" s="10" t="n"/>
      <c r="D4309" s="10" t="n"/>
      <c r="E4309" s="14">
        <f>IF(D4309="","",IFERROR(INDEX('Sản phẩm'!$B$5:$B$304,MATCH(D4309,'Sản phẩm'!$A$5:$A$304,0)),""))</f>
        <v/>
      </c>
      <c r="F4309" s="12" t="n"/>
      <c r="G4309" s="11" t="n"/>
      <c r="H4309" s="11" t="n"/>
      <c r="I4309" s="16">
        <f>IF(D4309="","",IF(G4309&lt;&gt;"",G4309,IFERROR(INDEX('Sản phẩm'!$E$5:$E$304,MATCH(D4309,'Sản phẩm'!$A$5:$A$304,0)),"")))</f>
        <v/>
      </c>
      <c r="J4309" s="16">
        <f>IF(OR(D4309="",F4309=""),"",F4309*I4309-N(H4309))</f>
        <v/>
      </c>
      <c r="K4309" s="16">
        <f>IF(OR(D4309="",F4309=""),"",F4309*IFERROR(INDEX('Sản phẩm'!$D$5:$D$304,MATCH(D4309,'Sản phẩm'!$A$5:$A$304,0)),""))</f>
        <v/>
      </c>
      <c r="L4309" s="16">
        <f>IF(J4309="","",J4309-K4309)</f>
        <v/>
      </c>
      <c r="M4309" s="14">
        <f>IF(A4309="","",MONTH(A4309))</f>
        <v/>
      </c>
      <c r="N4309" s="14">
        <f>IF(A4309="","",YEAR(A4309))</f>
        <v/>
      </c>
    </row>
    <row r="4310">
      <c r="A4310" s="15" t="n"/>
      <c r="B4310" s="10" t="n"/>
      <c r="C4310" s="10" t="n"/>
      <c r="D4310" s="10" t="n"/>
      <c r="E4310" s="14">
        <f>IF(D4310="","",IFERROR(INDEX('Sản phẩm'!$B$5:$B$304,MATCH(D4310,'Sản phẩm'!$A$5:$A$304,0)),""))</f>
        <v/>
      </c>
      <c r="F4310" s="12" t="n"/>
      <c r="G4310" s="11" t="n"/>
      <c r="H4310" s="11" t="n"/>
      <c r="I4310" s="16">
        <f>IF(D4310="","",IF(G4310&lt;&gt;"",G4310,IFERROR(INDEX('Sản phẩm'!$E$5:$E$304,MATCH(D4310,'Sản phẩm'!$A$5:$A$304,0)),"")))</f>
        <v/>
      </c>
      <c r="J4310" s="16">
        <f>IF(OR(D4310="",F4310=""),"",F4310*I4310-N(H4310))</f>
        <v/>
      </c>
      <c r="K4310" s="16">
        <f>IF(OR(D4310="",F4310=""),"",F4310*IFERROR(INDEX('Sản phẩm'!$D$5:$D$304,MATCH(D4310,'Sản phẩm'!$A$5:$A$304,0)),""))</f>
        <v/>
      </c>
      <c r="L4310" s="16">
        <f>IF(J4310="","",J4310-K4310)</f>
        <v/>
      </c>
      <c r="M4310" s="14">
        <f>IF(A4310="","",MONTH(A4310))</f>
        <v/>
      </c>
      <c r="N4310" s="14">
        <f>IF(A4310="","",YEAR(A4310))</f>
        <v/>
      </c>
    </row>
    <row r="4311">
      <c r="A4311" s="15" t="n"/>
      <c r="B4311" s="10" t="n"/>
      <c r="C4311" s="10" t="n"/>
      <c r="D4311" s="10" t="n"/>
      <c r="E4311" s="14">
        <f>IF(D4311="","",IFERROR(INDEX('Sản phẩm'!$B$5:$B$304,MATCH(D4311,'Sản phẩm'!$A$5:$A$304,0)),""))</f>
        <v/>
      </c>
      <c r="F4311" s="12" t="n"/>
      <c r="G4311" s="11" t="n"/>
      <c r="H4311" s="11" t="n"/>
      <c r="I4311" s="16">
        <f>IF(D4311="","",IF(G4311&lt;&gt;"",G4311,IFERROR(INDEX('Sản phẩm'!$E$5:$E$304,MATCH(D4311,'Sản phẩm'!$A$5:$A$304,0)),"")))</f>
        <v/>
      </c>
      <c r="J4311" s="16">
        <f>IF(OR(D4311="",F4311=""),"",F4311*I4311-N(H4311))</f>
        <v/>
      </c>
      <c r="K4311" s="16">
        <f>IF(OR(D4311="",F4311=""),"",F4311*IFERROR(INDEX('Sản phẩm'!$D$5:$D$304,MATCH(D4311,'Sản phẩm'!$A$5:$A$304,0)),""))</f>
        <v/>
      </c>
      <c r="L4311" s="16">
        <f>IF(J4311="","",J4311-K4311)</f>
        <v/>
      </c>
      <c r="M4311" s="14">
        <f>IF(A4311="","",MONTH(A4311))</f>
        <v/>
      </c>
      <c r="N4311" s="14">
        <f>IF(A4311="","",YEAR(A4311))</f>
        <v/>
      </c>
    </row>
    <row r="4312">
      <c r="A4312" s="15" t="n"/>
      <c r="B4312" s="10" t="n"/>
      <c r="C4312" s="10" t="n"/>
      <c r="D4312" s="10" t="n"/>
      <c r="E4312" s="14">
        <f>IF(D4312="","",IFERROR(INDEX('Sản phẩm'!$B$5:$B$304,MATCH(D4312,'Sản phẩm'!$A$5:$A$304,0)),""))</f>
        <v/>
      </c>
      <c r="F4312" s="12" t="n"/>
      <c r="G4312" s="11" t="n"/>
      <c r="H4312" s="11" t="n"/>
      <c r="I4312" s="16">
        <f>IF(D4312="","",IF(G4312&lt;&gt;"",G4312,IFERROR(INDEX('Sản phẩm'!$E$5:$E$304,MATCH(D4312,'Sản phẩm'!$A$5:$A$304,0)),"")))</f>
        <v/>
      </c>
      <c r="J4312" s="16">
        <f>IF(OR(D4312="",F4312=""),"",F4312*I4312-N(H4312))</f>
        <v/>
      </c>
      <c r="K4312" s="16">
        <f>IF(OR(D4312="",F4312=""),"",F4312*IFERROR(INDEX('Sản phẩm'!$D$5:$D$304,MATCH(D4312,'Sản phẩm'!$A$5:$A$304,0)),""))</f>
        <v/>
      </c>
      <c r="L4312" s="16">
        <f>IF(J4312="","",J4312-K4312)</f>
        <v/>
      </c>
      <c r="M4312" s="14">
        <f>IF(A4312="","",MONTH(A4312))</f>
        <v/>
      </c>
      <c r="N4312" s="14">
        <f>IF(A4312="","",YEAR(A4312))</f>
        <v/>
      </c>
    </row>
    <row r="4313">
      <c r="A4313" s="15" t="n"/>
      <c r="B4313" s="10" t="n"/>
      <c r="C4313" s="10" t="n"/>
      <c r="D4313" s="10" t="n"/>
      <c r="E4313" s="14">
        <f>IF(D4313="","",IFERROR(INDEX('Sản phẩm'!$B$5:$B$304,MATCH(D4313,'Sản phẩm'!$A$5:$A$304,0)),""))</f>
        <v/>
      </c>
      <c r="F4313" s="12" t="n"/>
      <c r="G4313" s="11" t="n"/>
      <c r="H4313" s="11" t="n"/>
      <c r="I4313" s="16">
        <f>IF(D4313="","",IF(G4313&lt;&gt;"",G4313,IFERROR(INDEX('Sản phẩm'!$E$5:$E$304,MATCH(D4313,'Sản phẩm'!$A$5:$A$304,0)),"")))</f>
        <v/>
      </c>
      <c r="J4313" s="16">
        <f>IF(OR(D4313="",F4313=""),"",F4313*I4313-N(H4313))</f>
        <v/>
      </c>
      <c r="K4313" s="16">
        <f>IF(OR(D4313="",F4313=""),"",F4313*IFERROR(INDEX('Sản phẩm'!$D$5:$D$304,MATCH(D4313,'Sản phẩm'!$A$5:$A$304,0)),""))</f>
        <v/>
      </c>
      <c r="L4313" s="16">
        <f>IF(J4313="","",J4313-K4313)</f>
        <v/>
      </c>
      <c r="M4313" s="14">
        <f>IF(A4313="","",MONTH(A4313))</f>
        <v/>
      </c>
      <c r="N4313" s="14">
        <f>IF(A4313="","",YEAR(A4313))</f>
        <v/>
      </c>
    </row>
    <row r="4314">
      <c r="A4314" s="15" t="n"/>
      <c r="B4314" s="10" t="n"/>
      <c r="C4314" s="10" t="n"/>
      <c r="D4314" s="10" t="n"/>
      <c r="E4314" s="14">
        <f>IF(D4314="","",IFERROR(INDEX('Sản phẩm'!$B$5:$B$304,MATCH(D4314,'Sản phẩm'!$A$5:$A$304,0)),""))</f>
        <v/>
      </c>
      <c r="F4314" s="12" t="n"/>
      <c r="G4314" s="11" t="n"/>
      <c r="H4314" s="11" t="n"/>
      <c r="I4314" s="16">
        <f>IF(D4314="","",IF(G4314&lt;&gt;"",G4314,IFERROR(INDEX('Sản phẩm'!$E$5:$E$304,MATCH(D4314,'Sản phẩm'!$A$5:$A$304,0)),"")))</f>
        <v/>
      </c>
      <c r="J4314" s="16">
        <f>IF(OR(D4314="",F4314=""),"",F4314*I4314-N(H4314))</f>
        <v/>
      </c>
      <c r="K4314" s="16">
        <f>IF(OR(D4314="",F4314=""),"",F4314*IFERROR(INDEX('Sản phẩm'!$D$5:$D$304,MATCH(D4314,'Sản phẩm'!$A$5:$A$304,0)),""))</f>
        <v/>
      </c>
      <c r="L4314" s="16">
        <f>IF(J4314="","",J4314-K4314)</f>
        <v/>
      </c>
      <c r="M4314" s="14">
        <f>IF(A4314="","",MONTH(A4314))</f>
        <v/>
      </c>
      <c r="N4314" s="14">
        <f>IF(A4314="","",YEAR(A4314))</f>
        <v/>
      </c>
    </row>
    <row r="4315">
      <c r="A4315" s="15" t="n"/>
      <c r="B4315" s="10" t="n"/>
      <c r="C4315" s="10" t="n"/>
      <c r="D4315" s="10" t="n"/>
      <c r="E4315" s="14">
        <f>IF(D4315="","",IFERROR(INDEX('Sản phẩm'!$B$5:$B$304,MATCH(D4315,'Sản phẩm'!$A$5:$A$304,0)),""))</f>
        <v/>
      </c>
      <c r="F4315" s="12" t="n"/>
      <c r="G4315" s="11" t="n"/>
      <c r="H4315" s="11" t="n"/>
      <c r="I4315" s="16">
        <f>IF(D4315="","",IF(G4315&lt;&gt;"",G4315,IFERROR(INDEX('Sản phẩm'!$E$5:$E$304,MATCH(D4315,'Sản phẩm'!$A$5:$A$304,0)),"")))</f>
        <v/>
      </c>
      <c r="J4315" s="16">
        <f>IF(OR(D4315="",F4315=""),"",F4315*I4315-N(H4315))</f>
        <v/>
      </c>
      <c r="K4315" s="16">
        <f>IF(OR(D4315="",F4315=""),"",F4315*IFERROR(INDEX('Sản phẩm'!$D$5:$D$304,MATCH(D4315,'Sản phẩm'!$A$5:$A$304,0)),""))</f>
        <v/>
      </c>
      <c r="L4315" s="16">
        <f>IF(J4315="","",J4315-K4315)</f>
        <v/>
      </c>
      <c r="M4315" s="14">
        <f>IF(A4315="","",MONTH(A4315))</f>
        <v/>
      </c>
      <c r="N4315" s="14">
        <f>IF(A4315="","",YEAR(A4315))</f>
        <v/>
      </c>
    </row>
    <row r="4316">
      <c r="A4316" s="15" t="n"/>
      <c r="B4316" s="10" t="n"/>
      <c r="C4316" s="10" t="n"/>
      <c r="D4316" s="10" t="n"/>
      <c r="E4316" s="14">
        <f>IF(D4316="","",IFERROR(INDEX('Sản phẩm'!$B$5:$B$304,MATCH(D4316,'Sản phẩm'!$A$5:$A$304,0)),""))</f>
        <v/>
      </c>
      <c r="F4316" s="12" t="n"/>
      <c r="G4316" s="11" t="n"/>
      <c r="H4316" s="11" t="n"/>
      <c r="I4316" s="16">
        <f>IF(D4316="","",IF(G4316&lt;&gt;"",G4316,IFERROR(INDEX('Sản phẩm'!$E$5:$E$304,MATCH(D4316,'Sản phẩm'!$A$5:$A$304,0)),"")))</f>
        <v/>
      </c>
      <c r="J4316" s="16">
        <f>IF(OR(D4316="",F4316=""),"",F4316*I4316-N(H4316))</f>
        <v/>
      </c>
      <c r="K4316" s="16">
        <f>IF(OR(D4316="",F4316=""),"",F4316*IFERROR(INDEX('Sản phẩm'!$D$5:$D$304,MATCH(D4316,'Sản phẩm'!$A$5:$A$304,0)),""))</f>
        <v/>
      </c>
      <c r="L4316" s="16">
        <f>IF(J4316="","",J4316-K4316)</f>
        <v/>
      </c>
      <c r="M4316" s="14">
        <f>IF(A4316="","",MONTH(A4316))</f>
        <v/>
      </c>
      <c r="N4316" s="14">
        <f>IF(A4316="","",YEAR(A4316))</f>
        <v/>
      </c>
    </row>
    <row r="4317">
      <c r="A4317" s="15" t="n"/>
      <c r="B4317" s="10" t="n"/>
      <c r="C4317" s="10" t="n"/>
      <c r="D4317" s="10" t="n"/>
      <c r="E4317" s="14">
        <f>IF(D4317="","",IFERROR(INDEX('Sản phẩm'!$B$5:$B$304,MATCH(D4317,'Sản phẩm'!$A$5:$A$304,0)),""))</f>
        <v/>
      </c>
      <c r="F4317" s="12" t="n"/>
      <c r="G4317" s="11" t="n"/>
      <c r="H4317" s="11" t="n"/>
      <c r="I4317" s="16">
        <f>IF(D4317="","",IF(G4317&lt;&gt;"",G4317,IFERROR(INDEX('Sản phẩm'!$E$5:$E$304,MATCH(D4317,'Sản phẩm'!$A$5:$A$304,0)),"")))</f>
        <v/>
      </c>
      <c r="J4317" s="16">
        <f>IF(OR(D4317="",F4317=""),"",F4317*I4317-N(H4317))</f>
        <v/>
      </c>
      <c r="K4317" s="16">
        <f>IF(OR(D4317="",F4317=""),"",F4317*IFERROR(INDEX('Sản phẩm'!$D$5:$D$304,MATCH(D4317,'Sản phẩm'!$A$5:$A$304,0)),""))</f>
        <v/>
      </c>
      <c r="L4317" s="16">
        <f>IF(J4317="","",J4317-K4317)</f>
        <v/>
      </c>
      <c r="M4317" s="14">
        <f>IF(A4317="","",MONTH(A4317))</f>
        <v/>
      </c>
      <c r="N4317" s="14">
        <f>IF(A4317="","",YEAR(A4317))</f>
        <v/>
      </c>
    </row>
    <row r="4318">
      <c r="A4318" s="15" t="n"/>
      <c r="B4318" s="10" t="n"/>
      <c r="C4318" s="10" t="n"/>
      <c r="D4318" s="10" t="n"/>
      <c r="E4318" s="14">
        <f>IF(D4318="","",IFERROR(INDEX('Sản phẩm'!$B$5:$B$304,MATCH(D4318,'Sản phẩm'!$A$5:$A$304,0)),""))</f>
        <v/>
      </c>
      <c r="F4318" s="12" t="n"/>
      <c r="G4318" s="11" t="n"/>
      <c r="H4318" s="11" t="n"/>
      <c r="I4318" s="16">
        <f>IF(D4318="","",IF(G4318&lt;&gt;"",G4318,IFERROR(INDEX('Sản phẩm'!$E$5:$E$304,MATCH(D4318,'Sản phẩm'!$A$5:$A$304,0)),"")))</f>
        <v/>
      </c>
      <c r="J4318" s="16">
        <f>IF(OR(D4318="",F4318=""),"",F4318*I4318-N(H4318))</f>
        <v/>
      </c>
      <c r="K4318" s="16">
        <f>IF(OR(D4318="",F4318=""),"",F4318*IFERROR(INDEX('Sản phẩm'!$D$5:$D$304,MATCH(D4318,'Sản phẩm'!$A$5:$A$304,0)),""))</f>
        <v/>
      </c>
      <c r="L4318" s="16">
        <f>IF(J4318="","",J4318-K4318)</f>
        <v/>
      </c>
      <c r="M4318" s="14">
        <f>IF(A4318="","",MONTH(A4318))</f>
        <v/>
      </c>
      <c r="N4318" s="14">
        <f>IF(A4318="","",YEAR(A4318))</f>
        <v/>
      </c>
    </row>
    <row r="4319">
      <c r="A4319" s="15" t="n"/>
      <c r="B4319" s="10" t="n"/>
      <c r="C4319" s="10" t="n"/>
      <c r="D4319" s="10" t="n"/>
      <c r="E4319" s="14">
        <f>IF(D4319="","",IFERROR(INDEX('Sản phẩm'!$B$5:$B$304,MATCH(D4319,'Sản phẩm'!$A$5:$A$304,0)),""))</f>
        <v/>
      </c>
      <c r="F4319" s="12" t="n"/>
      <c r="G4319" s="11" t="n"/>
      <c r="H4319" s="11" t="n"/>
      <c r="I4319" s="16">
        <f>IF(D4319="","",IF(G4319&lt;&gt;"",G4319,IFERROR(INDEX('Sản phẩm'!$E$5:$E$304,MATCH(D4319,'Sản phẩm'!$A$5:$A$304,0)),"")))</f>
        <v/>
      </c>
      <c r="J4319" s="16">
        <f>IF(OR(D4319="",F4319=""),"",F4319*I4319-N(H4319))</f>
        <v/>
      </c>
      <c r="K4319" s="16">
        <f>IF(OR(D4319="",F4319=""),"",F4319*IFERROR(INDEX('Sản phẩm'!$D$5:$D$304,MATCH(D4319,'Sản phẩm'!$A$5:$A$304,0)),""))</f>
        <v/>
      </c>
      <c r="L4319" s="16">
        <f>IF(J4319="","",J4319-K4319)</f>
        <v/>
      </c>
      <c r="M4319" s="14">
        <f>IF(A4319="","",MONTH(A4319))</f>
        <v/>
      </c>
      <c r="N4319" s="14">
        <f>IF(A4319="","",YEAR(A4319))</f>
        <v/>
      </c>
    </row>
    <row r="4320">
      <c r="A4320" s="15" t="n"/>
      <c r="B4320" s="10" t="n"/>
      <c r="C4320" s="10" t="n"/>
      <c r="D4320" s="10" t="n"/>
      <c r="E4320" s="14">
        <f>IF(D4320="","",IFERROR(INDEX('Sản phẩm'!$B$5:$B$304,MATCH(D4320,'Sản phẩm'!$A$5:$A$304,0)),""))</f>
        <v/>
      </c>
      <c r="F4320" s="12" t="n"/>
      <c r="G4320" s="11" t="n"/>
      <c r="H4320" s="11" t="n"/>
      <c r="I4320" s="16">
        <f>IF(D4320="","",IF(G4320&lt;&gt;"",G4320,IFERROR(INDEX('Sản phẩm'!$E$5:$E$304,MATCH(D4320,'Sản phẩm'!$A$5:$A$304,0)),"")))</f>
        <v/>
      </c>
      <c r="J4320" s="16">
        <f>IF(OR(D4320="",F4320=""),"",F4320*I4320-N(H4320))</f>
        <v/>
      </c>
      <c r="K4320" s="16">
        <f>IF(OR(D4320="",F4320=""),"",F4320*IFERROR(INDEX('Sản phẩm'!$D$5:$D$304,MATCH(D4320,'Sản phẩm'!$A$5:$A$304,0)),""))</f>
        <v/>
      </c>
      <c r="L4320" s="16">
        <f>IF(J4320="","",J4320-K4320)</f>
        <v/>
      </c>
      <c r="M4320" s="14">
        <f>IF(A4320="","",MONTH(A4320))</f>
        <v/>
      </c>
      <c r="N4320" s="14">
        <f>IF(A4320="","",YEAR(A4320))</f>
        <v/>
      </c>
    </row>
    <row r="4321">
      <c r="A4321" s="15" t="n"/>
      <c r="B4321" s="10" t="n"/>
      <c r="C4321" s="10" t="n"/>
      <c r="D4321" s="10" t="n"/>
      <c r="E4321" s="14">
        <f>IF(D4321="","",IFERROR(INDEX('Sản phẩm'!$B$5:$B$304,MATCH(D4321,'Sản phẩm'!$A$5:$A$304,0)),""))</f>
        <v/>
      </c>
      <c r="F4321" s="12" t="n"/>
      <c r="G4321" s="11" t="n"/>
      <c r="H4321" s="11" t="n"/>
      <c r="I4321" s="16">
        <f>IF(D4321="","",IF(G4321&lt;&gt;"",G4321,IFERROR(INDEX('Sản phẩm'!$E$5:$E$304,MATCH(D4321,'Sản phẩm'!$A$5:$A$304,0)),"")))</f>
        <v/>
      </c>
      <c r="J4321" s="16">
        <f>IF(OR(D4321="",F4321=""),"",F4321*I4321-N(H4321))</f>
        <v/>
      </c>
      <c r="K4321" s="16">
        <f>IF(OR(D4321="",F4321=""),"",F4321*IFERROR(INDEX('Sản phẩm'!$D$5:$D$304,MATCH(D4321,'Sản phẩm'!$A$5:$A$304,0)),""))</f>
        <v/>
      </c>
      <c r="L4321" s="16">
        <f>IF(J4321="","",J4321-K4321)</f>
        <v/>
      </c>
      <c r="M4321" s="14">
        <f>IF(A4321="","",MONTH(A4321))</f>
        <v/>
      </c>
      <c r="N4321" s="14">
        <f>IF(A4321="","",YEAR(A4321))</f>
        <v/>
      </c>
    </row>
    <row r="4322">
      <c r="A4322" s="15" t="n"/>
      <c r="B4322" s="10" t="n"/>
      <c r="C4322" s="10" t="n"/>
      <c r="D4322" s="10" t="n"/>
      <c r="E4322" s="14">
        <f>IF(D4322="","",IFERROR(INDEX('Sản phẩm'!$B$5:$B$304,MATCH(D4322,'Sản phẩm'!$A$5:$A$304,0)),""))</f>
        <v/>
      </c>
      <c r="F4322" s="12" t="n"/>
      <c r="G4322" s="11" t="n"/>
      <c r="H4322" s="11" t="n"/>
      <c r="I4322" s="16">
        <f>IF(D4322="","",IF(G4322&lt;&gt;"",G4322,IFERROR(INDEX('Sản phẩm'!$E$5:$E$304,MATCH(D4322,'Sản phẩm'!$A$5:$A$304,0)),"")))</f>
        <v/>
      </c>
      <c r="J4322" s="16">
        <f>IF(OR(D4322="",F4322=""),"",F4322*I4322-N(H4322))</f>
        <v/>
      </c>
      <c r="K4322" s="16">
        <f>IF(OR(D4322="",F4322=""),"",F4322*IFERROR(INDEX('Sản phẩm'!$D$5:$D$304,MATCH(D4322,'Sản phẩm'!$A$5:$A$304,0)),""))</f>
        <v/>
      </c>
      <c r="L4322" s="16">
        <f>IF(J4322="","",J4322-K4322)</f>
        <v/>
      </c>
      <c r="M4322" s="14">
        <f>IF(A4322="","",MONTH(A4322))</f>
        <v/>
      </c>
      <c r="N4322" s="14">
        <f>IF(A4322="","",YEAR(A4322))</f>
        <v/>
      </c>
    </row>
    <row r="4323">
      <c r="A4323" s="15" t="n"/>
      <c r="B4323" s="10" t="n"/>
      <c r="C4323" s="10" t="n"/>
      <c r="D4323" s="10" t="n"/>
      <c r="E4323" s="14">
        <f>IF(D4323="","",IFERROR(INDEX('Sản phẩm'!$B$5:$B$304,MATCH(D4323,'Sản phẩm'!$A$5:$A$304,0)),""))</f>
        <v/>
      </c>
      <c r="F4323" s="12" t="n"/>
      <c r="G4323" s="11" t="n"/>
      <c r="H4323" s="11" t="n"/>
      <c r="I4323" s="16">
        <f>IF(D4323="","",IF(G4323&lt;&gt;"",G4323,IFERROR(INDEX('Sản phẩm'!$E$5:$E$304,MATCH(D4323,'Sản phẩm'!$A$5:$A$304,0)),"")))</f>
        <v/>
      </c>
      <c r="J4323" s="16">
        <f>IF(OR(D4323="",F4323=""),"",F4323*I4323-N(H4323))</f>
        <v/>
      </c>
      <c r="K4323" s="16">
        <f>IF(OR(D4323="",F4323=""),"",F4323*IFERROR(INDEX('Sản phẩm'!$D$5:$D$304,MATCH(D4323,'Sản phẩm'!$A$5:$A$304,0)),""))</f>
        <v/>
      </c>
      <c r="L4323" s="16">
        <f>IF(J4323="","",J4323-K4323)</f>
        <v/>
      </c>
      <c r="M4323" s="14">
        <f>IF(A4323="","",MONTH(A4323))</f>
        <v/>
      </c>
      <c r="N4323" s="14">
        <f>IF(A4323="","",YEAR(A4323))</f>
        <v/>
      </c>
    </row>
    <row r="4324">
      <c r="A4324" s="15" t="n"/>
      <c r="B4324" s="10" t="n"/>
      <c r="C4324" s="10" t="n"/>
      <c r="D4324" s="10" t="n"/>
      <c r="E4324" s="14">
        <f>IF(D4324="","",IFERROR(INDEX('Sản phẩm'!$B$5:$B$304,MATCH(D4324,'Sản phẩm'!$A$5:$A$304,0)),""))</f>
        <v/>
      </c>
      <c r="F4324" s="12" t="n"/>
      <c r="G4324" s="11" t="n"/>
      <c r="H4324" s="11" t="n"/>
      <c r="I4324" s="16">
        <f>IF(D4324="","",IF(G4324&lt;&gt;"",G4324,IFERROR(INDEX('Sản phẩm'!$E$5:$E$304,MATCH(D4324,'Sản phẩm'!$A$5:$A$304,0)),"")))</f>
        <v/>
      </c>
      <c r="J4324" s="16">
        <f>IF(OR(D4324="",F4324=""),"",F4324*I4324-N(H4324))</f>
        <v/>
      </c>
      <c r="K4324" s="16">
        <f>IF(OR(D4324="",F4324=""),"",F4324*IFERROR(INDEX('Sản phẩm'!$D$5:$D$304,MATCH(D4324,'Sản phẩm'!$A$5:$A$304,0)),""))</f>
        <v/>
      </c>
      <c r="L4324" s="16">
        <f>IF(J4324="","",J4324-K4324)</f>
        <v/>
      </c>
      <c r="M4324" s="14">
        <f>IF(A4324="","",MONTH(A4324))</f>
        <v/>
      </c>
      <c r="N4324" s="14">
        <f>IF(A4324="","",YEAR(A4324))</f>
        <v/>
      </c>
    </row>
    <row r="4325">
      <c r="A4325" s="15" t="n"/>
      <c r="B4325" s="10" t="n"/>
      <c r="C4325" s="10" t="n"/>
      <c r="D4325" s="10" t="n"/>
      <c r="E4325" s="14">
        <f>IF(D4325="","",IFERROR(INDEX('Sản phẩm'!$B$5:$B$304,MATCH(D4325,'Sản phẩm'!$A$5:$A$304,0)),""))</f>
        <v/>
      </c>
      <c r="F4325" s="12" t="n"/>
      <c r="G4325" s="11" t="n"/>
      <c r="H4325" s="11" t="n"/>
      <c r="I4325" s="16">
        <f>IF(D4325="","",IF(G4325&lt;&gt;"",G4325,IFERROR(INDEX('Sản phẩm'!$E$5:$E$304,MATCH(D4325,'Sản phẩm'!$A$5:$A$304,0)),"")))</f>
        <v/>
      </c>
      <c r="J4325" s="16">
        <f>IF(OR(D4325="",F4325=""),"",F4325*I4325-N(H4325))</f>
        <v/>
      </c>
      <c r="K4325" s="16">
        <f>IF(OR(D4325="",F4325=""),"",F4325*IFERROR(INDEX('Sản phẩm'!$D$5:$D$304,MATCH(D4325,'Sản phẩm'!$A$5:$A$304,0)),""))</f>
        <v/>
      </c>
      <c r="L4325" s="16">
        <f>IF(J4325="","",J4325-K4325)</f>
        <v/>
      </c>
      <c r="M4325" s="14">
        <f>IF(A4325="","",MONTH(A4325))</f>
        <v/>
      </c>
      <c r="N4325" s="14">
        <f>IF(A4325="","",YEAR(A4325))</f>
        <v/>
      </c>
    </row>
    <row r="4326">
      <c r="A4326" s="15" t="n"/>
      <c r="B4326" s="10" t="n"/>
      <c r="C4326" s="10" t="n"/>
      <c r="D4326" s="10" t="n"/>
      <c r="E4326" s="14">
        <f>IF(D4326="","",IFERROR(INDEX('Sản phẩm'!$B$5:$B$304,MATCH(D4326,'Sản phẩm'!$A$5:$A$304,0)),""))</f>
        <v/>
      </c>
      <c r="F4326" s="12" t="n"/>
      <c r="G4326" s="11" t="n"/>
      <c r="H4326" s="11" t="n"/>
      <c r="I4326" s="16">
        <f>IF(D4326="","",IF(G4326&lt;&gt;"",G4326,IFERROR(INDEX('Sản phẩm'!$E$5:$E$304,MATCH(D4326,'Sản phẩm'!$A$5:$A$304,0)),"")))</f>
        <v/>
      </c>
      <c r="J4326" s="16">
        <f>IF(OR(D4326="",F4326=""),"",F4326*I4326-N(H4326))</f>
        <v/>
      </c>
      <c r="K4326" s="16">
        <f>IF(OR(D4326="",F4326=""),"",F4326*IFERROR(INDEX('Sản phẩm'!$D$5:$D$304,MATCH(D4326,'Sản phẩm'!$A$5:$A$304,0)),""))</f>
        <v/>
      </c>
      <c r="L4326" s="16">
        <f>IF(J4326="","",J4326-K4326)</f>
        <v/>
      </c>
      <c r="M4326" s="14">
        <f>IF(A4326="","",MONTH(A4326))</f>
        <v/>
      </c>
      <c r="N4326" s="14">
        <f>IF(A4326="","",YEAR(A4326))</f>
        <v/>
      </c>
    </row>
    <row r="4327">
      <c r="A4327" s="15" t="n"/>
      <c r="B4327" s="10" t="n"/>
      <c r="C4327" s="10" t="n"/>
      <c r="D4327" s="10" t="n"/>
      <c r="E4327" s="14">
        <f>IF(D4327="","",IFERROR(INDEX('Sản phẩm'!$B$5:$B$304,MATCH(D4327,'Sản phẩm'!$A$5:$A$304,0)),""))</f>
        <v/>
      </c>
      <c r="F4327" s="12" t="n"/>
      <c r="G4327" s="11" t="n"/>
      <c r="H4327" s="11" t="n"/>
      <c r="I4327" s="16">
        <f>IF(D4327="","",IF(G4327&lt;&gt;"",G4327,IFERROR(INDEX('Sản phẩm'!$E$5:$E$304,MATCH(D4327,'Sản phẩm'!$A$5:$A$304,0)),"")))</f>
        <v/>
      </c>
      <c r="J4327" s="16">
        <f>IF(OR(D4327="",F4327=""),"",F4327*I4327-N(H4327))</f>
        <v/>
      </c>
      <c r="K4327" s="16">
        <f>IF(OR(D4327="",F4327=""),"",F4327*IFERROR(INDEX('Sản phẩm'!$D$5:$D$304,MATCH(D4327,'Sản phẩm'!$A$5:$A$304,0)),""))</f>
        <v/>
      </c>
      <c r="L4327" s="16">
        <f>IF(J4327="","",J4327-K4327)</f>
        <v/>
      </c>
      <c r="M4327" s="14">
        <f>IF(A4327="","",MONTH(A4327))</f>
        <v/>
      </c>
      <c r="N4327" s="14">
        <f>IF(A4327="","",YEAR(A4327))</f>
        <v/>
      </c>
    </row>
    <row r="4328">
      <c r="A4328" s="15" t="n"/>
      <c r="B4328" s="10" t="n"/>
      <c r="C4328" s="10" t="n"/>
      <c r="D4328" s="10" t="n"/>
      <c r="E4328" s="14">
        <f>IF(D4328="","",IFERROR(INDEX('Sản phẩm'!$B$5:$B$304,MATCH(D4328,'Sản phẩm'!$A$5:$A$304,0)),""))</f>
        <v/>
      </c>
      <c r="F4328" s="12" t="n"/>
      <c r="G4328" s="11" t="n"/>
      <c r="H4328" s="11" t="n"/>
      <c r="I4328" s="16">
        <f>IF(D4328="","",IF(G4328&lt;&gt;"",G4328,IFERROR(INDEX('Sản phẩm'!$E$5:$E$304,MATCH(D4328,'Sản phẩm'!$A$5:$A$304,0)),"")))</f>
        <v/>
      </c>
      <c r="J4328" s="16">
        <f>IF(OR(D4328="",F4328=""),"",F4328*I4328-N(H4328))</f>
        <v/>
      </c>
      <c r="K4328" s="16">
        <f>IF(OR(D4328="",F4328=""),"",F4328*IFERROR(INDEX('Sản phẩm'!$D$5:$D$304,MATCH(D4328,'Sản phẩm'!$A$5:$A$304,0)),""))</f>
        <v/>
      </c>
      <c r="L4328" s="16">
        <f>IF(J4328="","",J4328-K4328)</f>
        <v/>
      </c>
      <c r="M4328" s="14">
        <f>IF(A4328="","",MONTH(A4328))</f>
        <v/>
      </c>
      <c r="N4328" s="14">
        <f>IF(A4328="","",YEAR(A4328))</f>
        <v/>
      </c>
    </row>
    <row r="4329">
      <c r="A4329" s="15" t="n"/>
      <c r="B4329" s="10" t="n"/>
      <c r="C4329" s="10" t="n"/>
      <c r="D4329" s="10" t="n"/>
      <c r="E4329" s="14">
        <f>IF(D4329="","",IFERROR(INDEX('Sản phẩm'!$B$5:$B$304,MATCH(D4329,'Sản phẩm'!$A$5:$A$304,0)),""))</f>
        <v/>
      </c>
      <c r="F4329" s="12" t="n"/>
      <c r="G4329" s="11" t="n"/>
      <c r="H4329" s="11" t="n"/>
      <c r="I4329" s="16">
        <f>IF(D4329="","",IF(G4329&lt;&gt;"",G4329,IFERROR(INDEX('Sản phẩm'!$E$5:$E$304,MATCH(D4329,'Sản phẩm'!$A$5:$A$304,0)),"")))</f>
        <v/>
      </c>
      <c r="J4329" s="16">
        <f>IF(OR(D4329="",F4329=""),"",F4329*I4329-N(H4329))</f>
        <v/>
      </c>
      <c r="K4329" s="16">
        <f>IF(OR(D4329="",F4329=""),"",F4329*IFERROR(INDEX('Sản phẩm'!$D$5:$D$304,MATCH(D4329,'Sản phẩm'!$A$5:$A$304,0)),""))</f>
        <v/>
      </c>
      <c r="L4329" s="16">
        <f>IF(J4329="","",J4329-K4329)</f>
        <v/>
      </c>
      <c r="M4329" s="14">
        <f>IF(A4329="","",MONTH(A4329))</f>
        <v/>
      </c>
      <c r="N4329" s="14">
        <f>IF(A4329="","",YEAR(A4329))</f>
        <v/>
      </c>
    </row>
    <row r="4330">
      <c r="A4330" s="15" t="n"/>
      <c r="B4330" s="10" t="n"/>
      <c r="C4330" s="10" t="n"/>
      <c r="D4330" s="10" t="n"/>
      <c r="E4330" s="14">
        <f>IF(D4330="","",IFERROR(INDEX('Sản phẩm'!$B$5:$B$304,MATCH(D4330,'Sản phẩm'!$A$5:$A$304,0)),""))</f>
        <v/>
      </c>
      <c r="F4330" s="12" t="n"/>
      <c r="G4330" s="11" t="n"/>
      <c r="H4330" s="11" t="n"/>
      <c r="I4330" s="16">
        <f>IF(D4330="","",IF(G4330&lt;&gt;"",G4330,IFERROR(INDEX('Sản phẩm'!$E$5:$E$304,MATCH(D4330,'Sản phẩm'!$A$5:$A$304,0)),"")))</f>
        <v/>
      </c>
      <c r="J4330" s="16">
        <f>IF(OR(D4330="",F4330=""),"",F4330*I4330-N(H4330))</f>
        <v/>
      </c>
      <c r="K4330" s="16">
        <f>IF(OR(D4330="",F4330=""),"",F4330*IFERROR(INDEX('Sản phẩm'!$D$5:$D$304,MATCH(D4330,'Sản phẩm'!$A$5:$A$304,0)),""))</f>
        <v/>
      </c>
      <c r="L4330" s="16">
        <f>IF(J4330="","",J4330-K4330)</f>
        <v/>
      </c>
      <c r="M4330" s="14">
        <f>IF(A4330="","",MONTH(A4330))</f>
        <v/>
      </c>
      <c r="N4330" s="14">
        <f>IF(A4330="","",YEAR(A4330))</f>
        <v/>
      </c>
    </row>
    <row r="4331">
      <c r="A4331" s="15" t="n"/>
      <c r="B4331" s="10" t="n"/>
      <c r="C4331" s="10" t="n"/>
      <c r="D4331" s="10" t="n"/>
      <c r="E4331" s="14">
        <f>IF(D4331="","",IFERROR(INDEX('Sản phẩm'!$B$5:$B$304,MATCH(D4331,'Sản phẩm'!$A$5:$A$304,0)),""))</f>
        <v/>
      </c>
      <c r="F4331" s="12" t="n"/>
      <c r="G4331" s="11" t="n"/>
      <c r="H4331" s="11" t="n"/>
      <c r="I4331" s="16">
        <f>IF(D4331="","",IF(G4331&lt;&gt;"",G4331,IFERROR(INDEX('Sản phẩm'!$E$5:$E$304,MATCH(D4331,'Sản phẩm'!$A$5:$A$304,0)),"")))</f>
        <v/>
      </c>
      <c r="J4331" s="16">
        <f>IF(OR(D4331="",F4331=""),"",F4331*I4331-N(H4331))</f>
        <v/>
      </c>
      <c r="K4331" s="16">
        <f>IF(OR(D4331="",F4331=""),"",F4331*IFERROR(INDEX('Sản phẩm'!$D$5:$D$304,MATCH(D4331,'Sản phẩm'!$A$5:$A$304,0)),""))</f>
        <v/>
      </c>
      <c r="L4331" s="16">
        <f>IF(J4331="","",J4331-K4331)</f>
        <v/>
      </c>
      <c r="M4331" s="14">
        <f>IF(A4331="","",MONTH(A4331))</f>
        <v/>
      </c>
      <c r="N4331" s="14">
        <f>IF(A4331="","",YEAR(A4331))</f>
        <v/>
      </c>
    </row>
    <row r="4332">
      <c r="A4332" s="15" t="n"/>
      <c r="B4332" s="10" t="n"/>
      <c r="C4332" s="10" t="n"/>
      <c r="D4332" s="10" t="n"/>
      <c r="E4332" s="14">
        <f>IF(D4332="","",IFERROR(INDEX('Sản phẩm'!$B$5:$B$304,MATCH(D4332,'Sản phẩm'!$A$5:$A$304,0)),""))</f>
        <v/>
      </c>
      <c r="F4332" s="12" t="n"/>
      <c r="G4332" s="11" t="n"/>
      <c r="H4332" s="11" t="n"/>
      <c r="I4332" s="16">
        <f>IF(D4332="","",IF(G4332&lt;&gt;"",G4332,IFERROR(INDEX('Sản phẩm'!$E$5:$E$304,MATCH(D4332,'Sản phẩm'!$A$5:$A$304,0)),"")))</f>
        <v/>
      </c>
      <c r="J4332" s="16">
        <f>IF(OR(D4332="",F4332=""),"",F4332*I4332-N(H4332))</f>
        <v/>
      </c>
      <c r="K4332" s="16">
        <f>IF(OR(D4332="",F4332=""),"",F4332*IFERROR(INDEX('Sản phẩm'!$D$5:$D$304,MATCH(D4332,'Sản phẩm'!$A$5:$A$304,0)),""))</f>
        <v/>
      </c>
      <c r="L4332" s="16">
        <f>IF(J4332="","",J4332-K4332)</f>
        <v/>
      </c>
      <c r="M4332" s="14">
        <f>IF(A4332="","",MONTH(A4332))</f>
        <v/>
      </c>
      <c r="N4332" s="14">
        <f>IF(A4332="","",YEAR(A4332))</f>
        <v/>
      </c>
    </row>
    <row r="4333">
      <c r="A4333" s="15" t="n"/>
      <c r="B4333" s="10" t="n"/>
      <c r="C4333" s="10" t="n"/>
      <c r="D4333" s="10" t="n"/>
      <c r="E4333" s="14">
        <f>IF(D4333="","",IFERROR(INDEX('Sản phẩm'!$B$5:$B$304,MATCH(D4333,'Sản phẩm'!$A$5:$A$304,0)),""))</f>
        <v/>
      </c>
      <c r="F4333" s="12" t="n"/>
      <c r="G4333" s="11" t="n"/>
      <c r="H4333" s="11" t="n"/>
      <c r="I4333" s="16">
        <f>IF(D4333="","",IF(G4333&lt;&gt;"",G4333,IFERROR(INDEX('Sản phẩm'!$E$5:$E$304,MATCH(D4333,'Sản phẩm'!$A$5:$A$304,0)),"")))</f>
        <v/>
      </c>
      <c r="J4333" s="16">
        <f>IF(OR(D4333="",F4333=""),"",F4333*I4333-N(H4333))</f>
        <v/>
      </c>
      <c r="K4333" s="16">
        <f>IF(OR(D4333="",F4333=""),"",F4333*IFERROR(INDEX('Sản phẩm'!$D$5:$D$304,MATCH(D4333,'Sản phẩm'!$A$5:$A$304,0)),""))</f>
        <v/>
      </c>
      <c r="L4333" s="16">
        <f>IF(J4333="","",J4333-K4333)</f>
        <v/>
      </c>
      <c r="M4333" s="14">
        <f>IF(A4333="","",MONTH(A4333))</f>
        <v/>
      </c>
      <c r="N4333" s="14">
        <f>IF(A4333="","",YEAR(A4333))</f>
        <v/>
      </c>
    </row>
    <row r="4334">
      <c r="A4334" s="15" t="n"/>
      <c r="B4334" s="10" t="n"/>
      <c r="C4334" s="10" t="n"/>
      <c r="D4334" s="10" t="n"/>
      <c r="E4334" s="14">
        <f>IF(D4334="","",IFERROR(INDEX('Sản phẩm'!$B$5:$B$304,MATCH(D4334,'Sản phẩm'!$A$5:$A$304,0)),""))</f>
        <v/>
      </c>
      <c r="F4334" s="12" t="n"/>
      <c r="G4334" s="11" t="n"/>
      <c r="H4334" s="11" t="n"/>
      <c r="I4334" s="16">
        <f>IF(D4334="","",IF(G4334&lt;&gt;"",G4334,IFERROR(INDEX('Sản phẩm'!$E$5:$E$304,MATCH(D4334,'Sản phẩm'!$A$5:$A$304,0)),"")))</f>
        <v/>
      </c>
      <c r="J4334" s="16">
        <f>IF(OR(D4334="",F4334=""),"",F4334*I4334-N(H4334))</f>
        <v/>
      </c>
      <c r="K4334" s="16">
        <f>IF(OR(D4334="",F4334=""),"",F4334*IFERROR(INDEX('Sản phẩm'!$D$5:$D$304,MATCH(D4334,'Sản phẩm'!$A$5:$A$304,0)),""))</f>
        <v/>
      </c>
      <c r="L4334" s="16">
        <f>IF(J4334="","",J4334-K4334)</f>
        <v/>
      </c>
      <c r="M4334" s="14">
        <f>IF(A4334="","",MONTH(A4334))</f>
        <v/>
      </c>
      <c r="N4334" s="14">
        <f>IF(A4334="","",YEAR(A4334))</f>
        <v/>
      </c>
    </row>
    <row r="4335">
      <c r="A4335" s="15" t="n"/>
      <c r="B4335" s="10" t="n"/>
      <c r="C4335" s="10" t="n"/>
      <c r="D4335" s="10" t="n"/>
      <c r="E4335" s="14">
        <f>IF(D4335="","",IFERROR(INDEX('Sản phẩm'!$B$5:$B$304,MATCH(D4335,'Sản phẩm'!$A$5:$A$304,0)),""))</f>
        <v/>
      </c>
      <c r="F4335" s="12" t="n"/>
      <c r="G4335" s="11" t="n"/>
      <c r="H4335" s="11" t="n"/>
      <c r="I4335" s="16">
        <f>IF(D4335="","",IF(G4335&lt;&gt;"",G4335,IFERROR(INDEX('Sản phẩm'!$E$5:$E$304,MATCH(D4335,'Sản phẩm'!$A$5:$A$304,0)),"")))</f>
        <v/>
      </c>
      <c r="J4335" s="16">
        <f>IF(OR(D4335="",F4335=""),"",F4335*I4335-N(H4335))</f>
        <v/>
      </c>
      <c r="K4335" s="16">
        <f>IF(OR(D4335="",F4335=""),"",F4335*IFERROR(INDEX('Sản phẩm'!$D$5:$D$304,MATCH(D4335,'Sản phẩm'!$A$5:$A$304,0)),""))</f>
        <v/>
      </c>
      <c r="L4335" s="16">
        <f>IF(J4335="","",J4335-K4335)</f>
        <v/>
      </c>
      <c r="M4335" s="14">
        <f>IF(A4335="","",MONTH(A4335))</f>
        <v/>
      </c>
      <c r="N4335" s="14">
        <f>IF(A4335="","",YEAR(A4335))</f>
        <v/>
      </c>
    </row>
    <row r="4336">
      <c r="A4336" s="15" t="n"/>
      <c r="B4336" s="10" t="n"/>
      <c r="C4336" s="10" t="n"/>
      <c r="D4336" s="10" t="n"/>
      <c r="E4336" s="14">
        <f>IF(D4336="","",IFERROR(INDEX('Sản phẩm'!$B$5:$B$304,MATCH(D4336,'Sản phẩm'!$A$5:$A$304,0)),""))</f>
        <v/>
      </c>
      <c r="F4336" s="12" t="n"/>
      <c r="G4336" s="11" t="n"/>
      <c r="H4336" s="11" t="n"/>
      <c r="I4336" s="16">
        <f>IF(D4336="","",IF(G4336&lt;&gt;"",G4336,IFERROR(INDEX('Sản phẩm'!$E$5:$E$304,MATCH(D4336,'Sản phẩm'!$A$5:$A$304,0)),"")))</f>
        <v/>
      </c>
      <c r="J4336" s="16">
        <f>IF(OR(D4336="",F4336=""),"",F4336*I4336-N(H4336))</f>
        <v/>
      </c>
      <c r="K4336" s="16">
        <f>IF(OR(D4336="",F4336=""),"",F4336*IFERROR(INDEX('Sản phẩm'!$D$5:$D$304,MATCH(D4336,'Sản phẩm'!$A$5:$A$304,0)),""))</f>
        <v/>
      </c>
      <c r="L4336" s="16">
        <f>IF(J4336="","",J4336-K4336)</f>
        <v/>
      </c>
      <c r="M4336" s="14">
        <f>IF(A4336="","",MONTH(A4336))</f>
        <v/>
      </c>
      <c r="N4336" s="14">
        <f>IF(A4336="","",YEAR(A4336))</f>
        <v/>
      </c>
    </row>
    <row r="4337">
      <c r="A4337" s="15" t="n"/>
      <c r="B4337" s="10" t="n"/>
      <c r="C4337" s="10" t="n"/>
      <c r="D4337" s="10" t="n"/>
      <c r="E4337" s="14">
        <f>IF(D4337="","",IFERROR(INDEX('Sản phẩm'!$B$5:$B$304,MATCH(D4337,'Sản phẩm'!$A$5:$A$304,0)),""))</f>
        <v/>
      </c>
      <c r="F4337" s="12" t="n"/>
      <c r="G4337" s="11" t="n"/>
      <c r="H4337" s="11" t="n"/>
      <c r="I4337" s="16">
        <f>IF(D4337="","",IF(G4337&lt;&gt;"",G4337,IFERROR(INDEX('Sản phẩm'!$E$5:$E$304,MATCH(D4337,'Sản phẩm'!$A$5:$A$304,0)),"")))</f>
        <v/>
      </c>
      <c r="J4337" s="16">
        <f>IF(OR(D4337="",F4337=""),"",F4337*I4337-N(H4337))</f>
        <v/>
      </c>
      <c r="K4337" s="16">
        <f>IF(OR(D4337="",F4337=""),"",F4337*IFERROR(INDEX('Sản phẩm'!$D$5:$D$304,MATCH(D4337,'Sản phẩm'!$A$5:$A$304,0)),""))</f>
        <v/>
      </c>
      <c r="L4337" s="16">
        <f>IF(J4337="","",J4337-K4337)</f>
        <v/>
      </c>
      <c r="M4337" s="14">
        <f>IF(A4337="","",MONTH(A4337))</f>
        <v/>
      </c>
      <c r="N4337" s="14">
        <f>IF(A4337="","",YEAR(A4337))</f>
        <v/>
      </c>
    </row>
    <row r="4338">
      <c r="A4338" s="15" t="n"/>
      <c r="B4338" s="10" t="n"/>
      <c r="C4338" s="10" t="n"/>
      <c r="D4338" s="10" t="n"/>
      <c r="E4338" s="14">
        <f>IF(D4338="","",IFERROR(INDEX('Sản phẩm'!$B$5:$B$304,MATCH(D4338,'Sản phẩm'!$A$5:$A$304,0)),""))</f>
        <v/>
      </c>
      <c r="F4338" s="12" t="n"/>
      <c r="G4338" s="11" t="n"/>
      <c r="H4338" s="11" t="n"/>
      <c r="I4338" s="16">
        <f>IF(D4338="","",IF(G4338&lt;&gt;"",G4338,IFERROR(INDEX('Sản phẩm'!$E$5:$E$304,MATCH(D4338,'Sản phẩm'!$A$5:$A$304,0)),"")))</f>
        <v/>
      </c>
      <c r="J4338" s="16">
        <f>IF(OR(D4338="",F4338=""),"",F4338*I4338-N(H4338))</f>
        <v/>
      </c>
      <c r="K4338" s="16">
        <f>IF(OR(D4338="",F4338=""),"",F4338*IFERROR(INDEX('Sản phẩm'!$D$5:$D$304,MATCH(D4338,'Sản phẩm'!$A$5:$A$304,0)),""))</f>
        <v/>
      </c>
      <c r="L4338" s="16">
        <f>IF(J4338="","",J4338-K4338)</f>
        <v/>
      </c>
      <c r="M4338" s="14">
        <f>IF(A4338="","",MONTH(A4338))</f>
        <v/>
      </c>
      <c r="N4338" s="14">
        <f>IF(A4338="","",YEAR(A4338))</f>
        <v/>
      </c>
    </row>
    <row r="4339">
      <c r="A4339" s="15" t="n"/>
      <c r="B4339" s="10" t="n"/>
      <c r="C4339" s="10" t="n"/>
      <c r="D4339" s="10" t="n"/>
      <c r="E4339" s="14">
        <f>IF(D4339="","",IFERROR(INDEX('Sản phẩm'!$B$5:$B$304,MATCH(D4339,'Sản phẩm'!$A$5:$A$304,0)),""))</f>
        <v/>
      </c>
      <c r="F4339" s="12" t="n"/>
      <c r="G4339" s="11" t="n"/>
      <c r="H4339" s="11" t="n"/>
      <c r="I4339" s="16">
        <f>IF(D4339="","",IF(G4339&lt;&gt;"",G4339,IFERROR(INDEX('Sản phẩm'!$E$5:$E$304,MATCH(D4339,'Sản phẩm'!$A$5:$A$304,0)),"")))</f>
        <v/>
      </c>
      <c r="J4339" s="16">
        <f>IF(OR(D4339="",F4339=""),"",F4339*I4339-N(H4339))</f>
        <v/>
      </c>
      <c r="K4339" s="16">
        <f>IF(OR(D4339="",F4339=""),"",F4339*IFERROR(INDEX('Sản phẩm'!$D$5:$D$304,MATCH(D4339,'Sản phẩm'!$A$5:$A$304,0)),""))</f>
        <v/>
      </c>
      <c r="L4339" s="16">
        <f>IF(J4339="","",J4339-K4339)</f>
        <v/>
      </c>
      <c r="M4339" s="14">
        <f>IF(A4339="","",MONTH(A4339))</f>
        <v/>
      </c>
      <c r="N4339" s="14">
        <f>IF(A4339="","",YEAR(A4339))</f>
        <v/>
      </c>
    </row>
    <row r="4340">
      <c r="A4340" s="15" t="n"/>
      <c r="B4340" s="10" t="n"/>
      <c r="C4340" s="10" t="n"/>
      <c r="D4340" s="10" t="n"/>
      <c r="E4340" s="14">
        <f>IF(D4340="","",IFERROR(INDEX('Sản phẩm'!$B$5:$B$304,MATCH(D4340,'Sản phẩm'!$A$5:$A$304,0)),""))</f>
        <v/>
      </c>
      <c r="F4340" s="12" t="n"/>
      <c r="G4340" s="11" t="n"/>
      <c r="H4340" s="11" t="n"/>
      <c r="I4340" s="16">
        <f>IF(D4340="","",IF(G4340&lt;&gt;"",G4340,IFERROR(INDEX('Sản phẩm'!$E$5:$E$304,MATCH(D4340,'Sản phẩm'!$A$5:$A$304,0)),"")))</f>
        <v/>
      </c>
      <c r="J4340" s="16">
        <f>IF(OR(D4340="",F4340=""),"",F4340*I4340-N(H4340))</f>
        <v/>
      </c>
      <c r="K4340" s="16">
        <f>IF(OR(D4340="",F4340=""),"",F4340*IFERROR(INDEX('Sản phẩm'!$D$5:$D$304,MATCH(D4340,'Sản phẩm'!$A$5:$A$304,0)),""))</f>
        <v/>
      </c>
      <c r="L4340" s="16">
        <f>IF(J4340="","",J4340-K4340)</f>
        <v/>
      </c>
      <c r="M4340" s="14">
        <f>IF(A4340="","",MONTH(A4340))</f>
        <v/>
      </c>
      <c r="N4340" s="14">
        <f>IF(A4340="","",YEAR(A4340))</f>
        <v/>
      </c>
    </row>
    <row r="4341">
      <c r="A4341" s="15" t="n"/>
      <c r="B4341" s="10" t="n"/>
      <c r="C4341" s="10" t="n"/>
      <c r="D4341" s="10" t="n"/>
      <c r="E4341" s="14">
        <f>IF(D4341="","",IFERROR(INDEX('Sản phẩm'!$B$5:$B$304,MATCH(D4341,'Sản phẩm'!$A$5:$A$304,0)),""))</f>
        <v/>
      </c>
      <c r="F4341" s="12" t="n"/>
      <c r="G4341" s="11" t="n"/>
      <c r="H4341" s="11" t="n"/>
      <c r="I4341" s="16">
        <f>IF(D4341="","",IF(G4341&lt;&gt;"",G4341,IFERROR(INDEX('Sản phẩm'!$E$5:$E$304,MATCH(D4341,'Sản phẩm'!$A$5:$A$304,0)),"")))</f>
        <v/>
      </c>
      <c r="J4341" s="16">
        <f>IF(OR(D4341="",F4341=""),"",F4341*I4341-N(H4341))</f>
        <v/>
      </c>
      <c r="K4341" s="16">
        <f>IF(OR(D4341="",F4341=""),"",F4341*IFERROR(INDEX('Sản phẩm'!$D$5:$D$304,MATCH(D4341,'Sản phẩm'!$A$5:$A$304,0)),""))</f>
        <v/>
      </c>
      <c r="L4341" s="16">
        <f>IF(J4341="","",J4341-K4341)</f>
        <v/>
      </c>
      <c r="M4341" s="14">
        <f>IF(A4341="","",MONTH(A4341))</f>
        <v/>
      </c>
      <c r="N4341" s="14">
        <f>IF(A4341="","",YEAR(A4341))</f>
        <v/>
      </c>
    </row>
    <row r="4342">
      <c r="A4342" s="15" t="n"/>
      <c r="B4342" s="10" t="n"/>
      <c r="C4342" s="10" t="n"/>
      <c r="D4342" s="10" t="n"/>
      <c r="E4342" s="14">
        <f>IF(D4342="","",IFERROR(INDEX('Sản phẩm'!$B$5:$B$304,MATCH(D4342,'Sản phẩm'!$A$5:$A$304,0)),""))</f>
        <v/>
      </c>
      <c r="F4342" s="12" t="n"/>
      <c r="G4342" s="11" t="n"/>
      <c r="H4342" s="11" t="n"/>
      <c r="I4342" s="16">
        <f>IF(D4342="","",IF(G4342&lt;&gt;"",G4342,IFERROR(INDEX('Sản phẩm'!$E$5:$E$304,MATCH(D4342,'Sản phẩm'!$A$5:$A$304,0)),"")))</f>
        <v/>
      </c>
      <c r="J4342" s="16">
        <f>IF(OR(D4342="",F4342=""),"",F4342*I4342-N(H4342))</f>
        <v/>
      </c>
      <c r="K4342" s="16">
        <f>IF(OR(D4342="",F4342=""),"",F4342*IFERROR(INDEX('Sản phẩm'!$D$5:$D$304,MATCH(D4342,'Sản phẩm'!$A$5:$A$304,0)),""))</f>
        <v/>
      </c>
      <c r="L4342" s="16">
        <f>IF(J4342="","",J4342-K4342)</f>
        <v/>
      </c>
      <c r="M4342" s="14">
        <f>IF(A4342="","",MONTH(A4342))</f>
        <v/>
      </c>
      <c r="N4342" s="14">
        <f>IF(A4342="","",YEAR(A4342))</f>
        <v/>
      </c>
    </row>
    <row r="4343">
      <c r="A4343" s="15" t="n"/>
      <c r="B4343" s="10" t="n"/>
      <c r="C4343" s="10" t="n"/>
      <c r="D4343" s="10" t="n"/>
      <c r="E4343" s="14">
        <f>IF(D4343="","",IFERROR(INDEX('Sản phẩm'!$B$5:$B$304,MATCH(D4343,'Sản phẩm'!$A$5:$A$304,0)),""))</f>
        <v/>
      </c>
      <c r="F4343" s="12" t="n"/>
      <c r="G4343" s="11" t="n"/>
      <c r="H4343" s="11" t="n"/>
      <c r="I4343" s="16">
        <f>IF(D4343="","",IF(G4343&lt;&gt;"",G4343,IFERROR(INDEX('Sản phẩm'!$E$5:$E$304,MATCH(D4343,'Sản phẩm'!$A$5:$A$304,0)),"")))</f>
        <v/>
      </c>
      <c r="J4343" s="16">
        <f>IF(OR(D4343="",F4343=""),"",F4343*I4343-N(H4343))</f>
        <v/>
      </c>
      <c r="K4343" s="16">
        <f>IF(OR(D4343="",F4343=""),"",F4343*IFERROR(INDEX('Sản phẩm'!$D$5:$D$304,MATCH(D4343,'Sản phẩm'!$A$5:$A$304,0)),""))</f>
        <v/>
      </c>
      <c r="L4343" s="16">
        <f>IF(J4343="","",J4343-K4343)</f>
        <v/>
      </c>
      <c r="M4343" s="14">
        <f>IF(A4343="","",MONTH(A4343))</f>
        <v/>
      </c>
      <c r="N4343" s="14">
        <f>IF(A4343="","",YEAR(A4343))</f>
        <v/>
      </c>
    </row>
    <row r="4344">
      <c r="A4344" s="15" t="n"/>
      <c r="B4344" s="10" t="n"/>
      <c r="C4344" s="10" t="n"/>
      <c r="D4344" s="10" t="n"/>
      <c r="E4344" s="14">
        <f>IF(D4344="","",IFERROR(INDEX('Sản phẩm'!$B$5:$B$304,MATCH(D4344,'Sản phẩm'!$A$5:$A$304,0)),""))</f>
        <v/>
      </c>
      <c r="F4344" s="12" t="n"/>
      <c r="G4344" s="11" t="n"/>
      <c r="H4344" s="11" t="n"/>
      <c r="I4344" s="16">
        <f>IF(D4344="","",IF(G4344&lt;&gt;"",G4344,IFERROR(INDEX('Sản phẩm'!$E$5:$E$304,MATCH(D4344,'Sản phẩm'!$A$5:$A$304,0)),"")))</f>
        <v/>
      </c>
      <c r="J4344" s="16">
        <f>IF(OR(D4344="",F4344=""),"",F4344*I4344-N(H4344))</f>
        <v/>
      </c>
      <c r="K4344" s="16">
        <f>IF(OR(D4344="",F4344=""),"",F4344*IFERROR(INDEX('Sản phẩm'!$D$5:$D$304,MATCH(D4344,'Sản phẩm'!$A$5:$A$304,0)),""))</f>
        <v/>
      </c>
      <c r="L4344" s="16">
        <f>IF(J4344="","",J4344-K4344)</f>
        <v/>
      </c>
      <c r="M4344" s="14">
        <f>IF(A4344="","",MONTH(A4344))</f>
        <v/>
      </c>
      <c r="N4344" s="14">
        <f>IF(A4344="","",YEAR(A4344))</f>
        <v/>
      </c>
    </row>
    <row r="4345">
      <c r="A4345" s="15" t="n"/>
      <c r="B4345" s="10" t="n"/>
      <c r="C4345" s="10" t="n"/>
      <c r="D4345" s="10" t="n"/>
      <c r="E4345" s="14">
        <f>IF(D4345="","",IFERROR(INDEX('Sản phẩm'!$B$5:$B$304,MATCH(D4345,'Sản phẩm'!$A$5:$A$304,0)),""))</f>
        <v/>
      </c>
      <c r="F4345" s="12" t="n"/>
      <c r="G4345" s="11" t="n"/>
      <c r="H4345" s="11" t="n"/>
      <c r="I4345" s="16">
        <f>IF(D4345="","",IF(G4345&lt;&gt;"",G4345,IFERROR(INDEX('Sản phẩm'!$E$5:$E$304,MATCH(D4345,'Sản phẩm'!$A$5:$A$304,0)),"")))</f>
        <v/>
      </c>
      <c r="J4345" s="16">
        <f>IF(OR(D4345="",F4345=""),"",F4345*I4345-N(H4345))</f>
        <v/>
      </c>
      <c r="K4345" s="16">
        <f>IF(OR(D4345="",F4345=""),"",F4345*IFERROR(INDEX('Sản phẩm'!$D$5:$D$304,MATCH(D4345,'Sản phẩm'!$A$5:$A$304,0)),""))</f>
        <v/>
      </c>
      <c r="L4345" s="16">
        <f>IF(J4345="","",J4345-K4345)</f>
        <v/>
      </c>
      <c r="M4345" s="14">
        <f>IF(A4345="","",MONTH(A4345))</f>
        <v/>
      </c>
      <c r="N4345" s="14">
        <f>IF(A4345="","",YEAR(A4345))</f>
        <v/>
      </c>
    </row>
    <row r="4346">
      <c r="A4346" s="15" t="n"/>
      <c r="B4346" s="10" t="n"/>
      <c r="C4346" s="10" t="n"/>
      <c r="D4346" s="10" t="n"/>
      <c r="E4346" s="14">
        <f>IF(D4346="","",IFERROR(INDEX('Sản phẩm'!$B$5:$B$304,MATCH(D4346,'Sản phẩm'!$A$5:$A$304,0)),""))</f>
        <v/>
      </c>
      <c r="F4346" s="12" t="n"/>
      <c r="G4346" s="11" t="n"/>
      <c r="H4346" s="11" t="n"/>
      <c r="I4346" s="16">
        <f>IF(D4346="","",IF(G4346&lt;&gt;"",G4346,IFERROR(INDEX('Sản phẩm'!$E$5:$E$304,MATCH(D4346,'Sản phẩm'!$A$5:$A$304,0)),"")))</f>
        <v/>
      </c>
      <c r="J4346" s="16">
        <f>IF(OR(D4346="",F4346=""),"",F4346*I4346-N(H4346))</f>
        <v/>
      </c>
      <c r="K4346" s="16">
        <f>IF(OR(D4346="",F4346=""),"",F4346*IFERROR(INDEX('Sản phẩm'!$D$5:$D$304,MATCH(D4346,'Sản phẩm'!$A$5:$A$304,0)),""))</f>
        <v/>
      </c>
      <c r="L4346" s="16">
        <f>IF(J4346="","",J4346-K4346)</f>
        <v/>
      </c>
      <c r="M4346" s="14">
        <f>IF(A4346="","",MONTH(A4346))</f>
        <v/>
      </c>
      <c r="N4346" s="14">
        <f>IF(A4346="","",YEAR(A4346))</f>
        <v/>
      </c>
    </row>
    <row r="4347">
      <c r="A4347" s="15" t="n"/>
      <c r="B4347" s="10" t="n"/>
      <c r="C4347" s="10" t="n"/>
      <c r="D4347" s="10" t="n"/>
      <c r="E4347" s="14">
        <f>IF(D4347="","",IFERROR(INDEX('Sản phẩm'!$B$5:$B$304,MATCH(D4347,'Sản phẩm'!$A$5:$A$304,0)),""))</f>
        <v/>
      </c>
      <c r="F4347" s="12" t="n"/>
      <c r="G4347" s="11" t="n"/>
      <c r="H4347" s="11" t="n"/>
      <c r="I4347" s="16">
        <f>IF(D4347="","",IF(G4347&lt;&gt;"",G4347,IFERROR(INDEX('Sản phẩm'!$E$5:$E$304,MATCH(D4347,'Sản phẩm'!$A$5:$A$304,0)),"")))</f>
        <v/>
      </c>
      <c r="J4347" s="16">
        <f>IF(OR(D4347="",F4347=""),"",F4347*I4347-N(H4347))</f>
        <v/>
      </c>
      <c r="K4347" s="16">
        <f>IF(OR(D4347="",F4347=""),"",F4347*IFERROR(INDEX('Sản phẩm'!$D$5:$D$304,MATCH(D4347,'Sản phẩm'!$A$5:$A$304,0)),""))</f>
        <v/>
      </c>
      <c r="L4347" s="16">
        <f>IF(J4347="","",J4347-K4347)</f>
        <v/>
      </c>
      <c r="M4347" s="14">
        <f>IF(A4347="","",MONTH(A4347))</f>
        <v/>
      </c>
      <c r="N4347" s="14">
        <f>IF(A4347="","",YEAR(A4347))</f>
        <v/>
      </c>
    </row>
    <row r="4348">
      <c r="A4348" s="15" t="n"/>
      <c r="B4348" s="10" t="n"/>
      <c r="C4348" s="10" t="n"/>
      <c r="D4348" s="10" t="n"/>
      <c r="E4348" s="14">
        <f>IF(D4348="","",IFERROR(INDEX('Sản phẩm'!$B$5:$B$304,MATCH(D4348,'Sản phẩm'!$A$5:$A$304,0)),""))</f>
        <v/>
      </c>
      <c r="F4348" s="12" t="n"/>
      <c r="G4348" s="11" t="n"/>
      <c r="H4348" s="11" t="n"/>
      <c r="I4348" s="16">
        <f>IF(D4348="","",IF(G4348&lt;&gt;"",G4348,IFERROR(INDEX('Sản phẩm'!$E$5:$E$304,MATCH(D4348,'Sản phẩm'!$A$5:$A$304,0)),"")))</f>
        <v/>
      </c>
      <c r="J4348" s="16">
        <f>IF(OR(D4348="",F4348=""),"",F4348*I4348-N(H4348))</f>
        <v/>
      </c>
      <c r="K4348" s="16">
        <f>IF(OR(D4348="",F4348=""),"",F4348*IFERROR(INDEX('Sản phẩm'!$D$5:$D$304,MATCH(D4348,'Sản phẩm'!$A$5:$A$304,0)),""))</f>
        <v/>
      </c>
      <c r="L4348" s="16">
        <f>IF(J4348="","",J4348-K4348)</f>
        <v/>
      </c>
      <c r="M4348" s="14">
        <f>IF(A4348="","",MONTH(A4348))</f>
        <v/>
      </c>
      <c r="N4348" s="14">
        <f>IF(A4348="","",YEAR(A4348))</f>
        <v/>
      </c>
    </row>
    <row r="4349">
      <c r="A4349" s="15" t="n"/>
      <c r="B4349" s="10" t="n"/>
      <c r="C4349" s="10" t="n"/>
      <c r="D4349" s="10" t="n"/>
      <c r="E4349" s="14">
        <f>IF(D4349="","",IFERROR(INDEX('Sản phẩm'!$B$5:$B$304,MATCH(D4349,'Sản phẩm'!$A$5:$A$304,0)),""))</f>
        <v/>
      </c>
      <c r="F4349" s="12" t="n"/>
      <c r="G4349" s="11" t="n"/>
      <c r="H4349" s="11" t="n"/>
      <c r="I4349" s="16">
        <f>IF(D4349="","",IF(G4349&lt;&gt;"",G4349,IFERROR(INDEX('Sản phẩm'!$E$5:$E$304,MATCH(D4349,'Sản phẩm'!$A$5:$A$304,0)),"")))</f>
        <v/>
      </c>
      <c r="J4349" s="16">
        <f>IF(OR(D4349="",F4349=""),"",F4349*I4349-N(H4349))</f>
        <v/>
      </c>
      <c r="K4349" s="16">
        <f>IF(OR(D4349="",F4349=""),"",F4349*IFERROR(INDEX('Sản phẩm'!$D$5:$D$304,MATCH(D4349,'Sản phẩm'!$A$5:$A$304,0)),""))</f>
        <v/>
      </c>
      <c r="L4349" s="16">
        <f>IF(J4349="","",J4349-K4349)</f>
        <v/>
      </c>
      <c r="M4349" s="14">
        <f>IF(A4349="","",MONTH(A4349))</f>
        <v/>
      </c>
      <c r="N4349" s="14">
        <f>IF(A4349="","",YEAR(A4349))</f>
        <v/>
      </c>
    </row>
    <row r="4350">
      <c r="A4350" s="15" t="n"/>
      <c r="B4350" s="10" t="n"/>
      <c r="C4350" s="10" t="n"/>
      <c r="D4350" s="10" t="n"/>
      <c r="E4350" s="14">
        <f>IF(D4350="","",IFERROR(INDEX('Sản phẩm'!$B$5:$B$304,MATCH(D4350,'Sản phẩm'!$A$5:$A$304,0)),""))</f>
        <v/>
      </c>
      <c r="F4350" s="12" t="n"/>
      <c r="G4350" s="11" t="n"/>
      <c r="H4350" s="11" t="n"/>
      <c r="I4350" s="16">
        <f>IF(D4350="","",IF(G4350&lt;&gt;"",G4350,IFERROR(INDEX('Sản phẩm'!$E$5:$E$304,MATCH(D4350,'Sản phẩm'!$A$5:$A$304,0)),"")))</f>
        <v/>
      </c>
      <c r="J4350" s="16">
        <f>IF(OR(D4350="",F4350=""),"",F4350*I4350-N(H4350))</f>
        <v/>
      </c>
      <c r="K4350" s="16">
        <f>IF(OR(D4350="",F4350=""),"",F4350*IFERROR(INDEX('Sản phẩm'!$D$5:$D$304,MATCH(D4350,'Sản phẩm'!$A$5:$A$304,0)),""))</f>
        <v/>
      </c>
      <c r="L4350" s="16">
        <f>IF(J4350="","",J4350-K4350)</f>
        <v/>
      </c>
      <c r="M4350" s="14">
        <f>IF(A4350="","",MONTH(A4350))</f>
        <v/>
      </c>
      <c r="N4350" s="14">
        <f>IF(A4350="","",YEAR(A4350))</f>
        <v/>
      </c>
    </row>
    <row r="4351">
      <c r="A4351" s="15" t="n"/>
      <c r="B4351" s="10" t="n"/>
      <c r="C4351" s="10" t="n"/>
      <c r="D4351" s="10" t="n"/>
      <c r="E4351" s="14">
        <f>IF(D4351="","",IFERROR(INDEX('Sản phẩm'!$B$5:$B$304,MATCH(D4351,'Sản phẩm'!$A$5:$A$304,0)),""))</f>
        <v/>
      </c>
      <c r="F4351" s="12" t="n"/>
      <c r="G4351" s="11" t="n"/>
      <c r="H4351" s="11" t="n"/>
      <c r="I4351" s="16">
        <f>IF(D4351="","",IF(G4351&lt;&gt;"",G4351,IFERROR(INDEX('Sản phẩm'!$E$5:$E$304,MATCH(D4351,'Sản phẩm'!$A$5:$A$304,0)),"")))</f>
        <v/>
      </c>
      <c r="J4351" s="16">
        <f>IF(OR(D4351="",F4351=""),"",F4351*I4351-N(H4351))</f>
        <v/>
      </c>
      <c r="K4351" s="16">
        <f>IF(OR(D4351="",F4351=""),"",F4351*IFERROR(INDEX('Sản phẩm'!$D$5:$D$304,MATCH(D4351,'Sản phẩm'!$A$5:$A$304,0)),""))</f>
        <v/>
      </c>
      <c r="L4351" s="16">
        <f>IF(J4351="","",J4351-K4351)</f>
        <v/>
      </c>
      <c r="M4351" s="14">
        <f>IF(A4351="","",MONTH(A4351))</f>
        <v/>
      </c>
      <c r="N4351" s="14">
        <f>IF(A4351="","",YEAR(A4351))</f>
        <v/>
      </c>
    </row>
    <row r="4352">
      <c r="A4352" s="15" t="n"/>
      <c r="B4352" s="10" t="n"/>
      <c r="C4352" s="10" t="n"/>
      <c r="D4352" s="10" t="n"/>
      <c r="E4352" s="14">
        <f>IF(D4352="","",IFERROR(INDEX('Sản phẩm'!$B$5:$B$304,MATCH(D4352,'Sản phẩm'!$A$5:$A$304,0)),""))</f>
        <v/>
      </c>
      <c r="F4352" s="12" t="n"/>
      <c r="G4352" s="11" t="n"/>
      <c r="H4352" s="11" t="n"/>
      <c r="I4352" s="16">
        <f>IF(D4352="","",IF(G4352&lt;&gt;"",G4352,IFERROR(INDEX('Sản phẩm'!$E$5:$E$304,MATCH(D4352,'Sản phẩm'!$A$5:$A$304,0)),"")))</f>
        <v/>
      </c>
      <c r="J4352" s="16">
        <f>IF(OR(D4352="",F4352=""),"",F4352*I4352-N(H4352))</f>
        <v/>
      </c>
      <c r="K4352" s="16">
        <f>IF(OR(D4352="",F4352=""),"",F4352*IFERROR(INDEX('Sản phẩm'!$D$5:$D$304,MATCH(D4352,'Sản phẩm'!$A$5:$A$304,0)),""))</f>
        <v/>
      </c>
      <c r="L4352" s="16">
        <f>IF(J4352="","",J4352-K4352)</f>
        <v/>
      </c>
      <c r="M4352" s="14">
        <f>IF(A4352="","",MONTH(A4352))</f>
        <v/>
      </c>
      <c r="N4352" s="14">
        <f>IF(A4352="","",YEAR(A4352))</f>
        <v/>
      </c>
    </row>
    <row r="4353">
      <c r="A4353" s="15" t="n"/>
      <c r="B4353" s="10" t="n"/>
      <c r="C4353" s="10" t="n"/>
      <c r="D4353" s="10" t="n"/>
      <c r="E4353" s="14">
        <f>IF(D4353="","",IFERROR(INDEX('Sản phẩm'!$B$5:$B$304,MATCH(D4353,'Sản phẩm'!$A$5:$A$304,0)),""))</f>
        <v/>
      </c>
      <c r="F4353" s="12" t="n"/>
      <c r="G4353" s="11" t="n"/>
      <c r="H4353" s="11" t="n"/>
      <c r="I4353" s="16">
        <f>IF(D4353="","",IF(G4353&lt;&gt;"",G4353,IFERROR(INDEX('Sản phẩm'!$E$5:$E$304,MATCH(D4353,'Sản phẩm'!$A$5:$A$304,0)),"")))</f>
        <v/>
      </c>
      <c r="J4353" s="16">
        <f>IF(OR(D4353="",F4353=""),"",F4353*I4353-N(H4353))</f>
        <v/>
      </c>
      <c r="K4353" s="16">
        <f>IF(OR(D4353="",F4353=""),"",F4353*IFERROR(INDEX('Sản phẩm'!$D$5:$D$304,MATCH(D4353,'Sản phẩm'!$A$5:$A$304,0)),""))</f>
        <v/>
      </c>
      <c r="L4353" s="16">
        <f>IF(J4353="","",J4353-K4353)</f>
        <v/>
      </c>
      <c r="M4353" s="14">
        <f>IF(A4353="","",MONTH(A4353))</f>
        <v/>
      </c>
      <c r="N4353" s="14">
        <f>IF(A4353="","",YEAR(A4353))</f>
        <v/>
      </c>
    </row>
    <row r="4354">
      <c r="A4354" s="15" t="n"/>
      <c r="B4354" s="10" t="n"/>
      <c r="C4354" s="10" t="n"/>
      <c r="D4354" s="10" t="n"/>
      <c r="E4354" s="14">
        <f>IF(D4354="","",IFERROR(INDEX('Sản phẩm'!$B$5:$B$304,MATCH(D4354,'Sản phẩm'!$A$5:$A$304,0)),""))</f>
        <v/>
      </c>
      <c r="F4354" s="12" t="n"/>
      <c r="G4354" s="11" t="n"/>
      <c r="H4354" s="11" t="n"/>
      <c r="I4354" s="16">
        <f>IF(D4354="","",IF(G4354&lt;&gt;"",G4354,IFERROR(INDEX('Sản phẩm'!$E$5:$E$304,MATCH(D4354,'Sản phẩm'!$A$5:$A$304,0)),"")))</f>
        <v/>
      </c>
      <c r="J4354" s="16">
        <f>IF(OR(D4354="",F4354=""),"",F4354*I4354-N(H4354))</f>
        <v/>
      </c>
      <c r="K4354" s="16">
        <f>IF(OR(D4354="",F4354=""),"",F4354*IFERROR(INDEX('Sản phẩm'!$D$5:$D$304,MATCH(D4354,'Sản phẩm'!$A$5:$A$304,0)),""))</f>
        <v/>
      </c>
      <c r="L4354" s="16">
        <f>IF(J4354="","",J4354-K4354)</f>
        <v/>
      </c>
      <c r="M4354" s="14">
        <f>IF(A4354="","",MONTH(A4354))</f>
        <v/>
      </c>
      <c r="N4354" s="14">
        <f>IF(A4354="","",YEAR(A4354))</f>
        <v/>
      </c>
    </row>
    <row r="4355">
      <c r="A4355" s="15" t="n"/>
      <c r="B4355" s="10" t="n"/>
      <c r="C4355" s="10" t="n"/>
      <c r="D4355" s="10" t="n"/>
      <c r="E4355" s="14">
        <f>IF(D4355="","",IFERROR(INDEX('Sản phẩm'!$B$5:$B$304,MATCH(D4355,'Sản phẩm'!$A$5:$A$304,0)),""))</f>
        <v/>
      </c>
      <c r="F4355" s="12" t="n"/>
      <c r="G4355" s="11" t="n"/>
      <c r="H4355" s="11" t="n"/>
      <c r="I4355" s="16">
        <f>IF(D4355="","",IF(G4355&lt;&gt;"",G4355,IFERROR(INDEX('Sản phẩm'!$E$5:$E$304,MATCH(D4355,'Sản phẩm'!$A$5:$A$304,0)),"")))</f>
        <v/>
      </c>
      <c r="J4355" s="16">
        <f>IF(OR(D4355="",F4355=""),"",F4355*I4355-N(H4355))</f>
        <v/>
      </c>
      <c r="K4355" s="16">
        <f>IF(OR(D4355="",F4355=""),"",F4355*IFERROR(INDEX('Sản phẩm'!$D$5:$D$304,MATCH(D4355,'Sản phẩm'!$A$5:$A$304,0)),""))</f>
        <v/>
      </c>
      <c r="L4355" s="16">
        <f>IF(J4355="","",J4355-K4355)</f>
        <v/>
      </c>
      <c r="M4355" s="14">
        <f>IF(A4355="","",MONTH(A4355))</f>
        <v/>
      </c>
      <c r="N4355" s="14">
        <f>IF(A4355="","",YEAR(A4355))</f>
        <v/>
      </c>
    </row>
    <row r="4356">
      <c r="A4356" s="15" t="n"/>
      <c r="B4356" s="10" t="n"/>
      <c r="C4356" s="10" t="n"/>
      <c r="D4356" s="10" t="n"/>
      <c r="E4356" s="14">
        <f>IF(D4356="","",IFERROR(INDEX('Sản phẩm'!$B$5:$B$304,MATCH(D4356,'Sản phẩm'!$A$5:$A$304,0)),""))</f>
        <v/>
      </c>
      <c r="F4356" s="12" t="n"/>
      <c r="G4356" s="11" t="n"/>
      <c r="H4356" s="11" t="n"/>
      <c r="I4356" s="16">
        <f>IF(D4356="","",IF(G4356&lt;&gt;"",G4356,IFERROR(INDEX('Sản phẩm'!$E$5:$E$304,MATCH(D4356,'Sản phẩm'!$A$5:$A$304,0)),"")))</f>
        <v/>
      </c>
      <c r="J4356" s="16">
        <f>IF(OR(D4356="",F4356=""),"",F4356*I4356-N(H4356))</f>
        <v/>
      </c>
      <c r="K4356" s="16">
        <f>IF(OR(D4356="",F4356=""),"",F4356*IFERROR(INDEX('Sản phẩm'!$D$5:$D$304,MATCH(D4356,'Sản phẩm'!$A$5:$A$304,0)),""))</f>
        <v/>
      </c>
      <c r="L4356" s="16">
        <f>IF(J4356="","",J4356-K4356)</f>
        <v/>
      </c>
      <c r="M4356" s="14">
        <f>IF(A4356="","",MONTH(A4356))</f>
        <v/>
      </c>
      <c r="N4356" s="14">
        <f>IF(A4356="","",YEAR(A4356))</f>
        <v/>
      </c>
    </row>
    <row r="4357">
      <c r="A4357" s="15" t="n"/>
      <c r="B4357" s="10" t="n"/>
      <c r="C4357" s="10" t="n"/>
      <c r="D4357" s="10" t="n"/>
      <c r="E4357" s="14">
        <f>IF(D4357="","",IFERROR(INDEX('Sản phẩm'!$B$5:$B$304,MATCH(D4357,'Sản phẩm'!$A$5:$A$304,0)),""))</f>
        <v/>
      </c>
      <c r="F4357" s="12" t="n"/>
      <c r="G4357" s="11" t="n"/>
      <c r="H4357" s="11" t="n"/>
      <c r="I4357" s="16">
        <f>IF(D4357="","",IF(G4357&lt;&gt;"",G4357,IFERROR(INDEX('Sản phẩm'!$E$5:$E$304,MATCH(D4357,'Sản phẩm'!$A$5:$A$304,0)),"")))</f>
        <v/>
      </c>
      <c r="J4357" s="16">
        <f>IF(OR(D4357="",F4357=""),"",F4357*I4357-N(H4357))</f>
        <v/>
      </c>
      <c r="K4357" s="16">
        <f>IF(OR(D4357="",F4357=""),"",F4357*IFERROR(INDEX('Sản phẩm'!$D$5:$D$304,MATCH(D4357,'Sản phẩm'!$A$5:$A$304,0)),""))</f>
        <v/>
      </c>
      <c r="L4357" s="16">
        <f>IF(J4357="","",J4357-K4357)</f>
        <v/>
      </c>
      <c r="M4357" s="14">
        <f>IF(A4357="","",MONTH(A4357))</f>
        <v/>
      </c>
      <c r="N4357" s="14">
        <f>IF(A4357="","",YEAR(A4357))</f>
        <v/>
      </c>
    </row>
    <row r="4358">
      <c r="A4358" s="15" t="n"/>
      <c r="B4358" s="10" t="n"/>
      <c r="C4358" s="10" t="n"/>
      <c r="D4358" s="10" t="n"/>
      <c r="E4358" s="14">
        <f>IF(D4358="","",IFERROR(INDEX('Sản phẩm'!$B$5:$B$304,MATCH(D4358,'Sản phẩm'!$A$5:$A$304,0)),""))</f>
        <v/>
      </c>
      <c r="F4358" s="12" t="n"/>
      <c r="G4358" s="11" t="n"/>
      <c r="H4358" s="11" t="n"/>
      <c r="I4358" s="16">
        <f>IF(D4358="","",IF(G4358&lt;&gt;"",G4358,IFERROR(INDEX('Sản phẩm'!$E$5:$E$304,MATCH(D4358,'Sản phẩm'!$A$5:$A$304,0)),"")))</f>
        <v/>
      </c>
      <c r="J4358" s="16">
        <f>IF(OR(D4358="",F4358=""),"",F4358*I4358-N(H4358))</f>
        <v/>
      </c>
      <c r="K4358" s="16">
        <f>IF(OR(D4358="",F4358=""),"",F4358*IFERROR(INDEX('Sản phẩm'!$D$5:$D$304,MATCH(D4358,'Sản phẩm'!$A$5:$A$304,0)),""))</f>
        <v/>
      </c>
      <c r="L4358" s="16">
        <f>IF(J4358="","",J4358-K4358)</f>
        <v/>
      </c>
      <c r="M4358" s="14">
        <f>IF(A4358="","",MONTH(A4358))</f>
        <v/>
      </c>
      <c r="N4358" s="14">
        <f>IF(A4358="","",YEAR(A4358))</f>
        <v/>
      </c>
    </row>
    <row r="4359">
      <c r="A4359" s="15" t="n"/>
      <c r="B4359" s="10" t="n"/>
      <c r="C4359" s="10" t="n"/>
      <c r="D4359" s="10" t="n"/>
      <c r="E4359" s="14">
        <f>IF(D4359="","",IFERROR(INDEX('Sản phẩm'!$B$5:$B$304,MATCH(D4359,'Sản phẩm'!$A$5:$A$304,0)),""))</f>
        <v/>
      </c>
      <c r="F4359" s="12" t="n"/>
      <c r="G4359" s="11" t="n"/>
      <c r="H4359" s="11" t="n"/>
      <c r="I4359" s="16">
        <f>IF(D4359="","",IF(G4359&lt;&gt;"",G4359,IFERROR(INDEX('Sản phẩm'!$E$5:$E$304,MATCH(D4359,'Sản phẩm'!$A$5:$A$304,0)),"")))</f>
        <v/>
      </c>
      <c r="J4359" s="16">
        <f>IF(OR(D4359="",F4359=""),"",F4359*I4359-N(H4359))</f>
        <v/>
      </c>
      <c r="K4359" s="16">
        <f>IF(OR(D4359="",F4359=""),"",F4359*IFERROR(INDEX('Sản phẩm'!$D$5:$D$304,MATCH(D4359,'Sản phẩm'!$A$5:$A$304,0)),""))</f>
        <v/>
      </c>
      <c r="L4359" s="16">
        <f>IF(J4359="","",J4359-K4359)</f>
        <v/>
      </c>
      <c r="M4359" s="14">
        <f>IF(A4359="","",MONTH(A4359))</f>
        <v/>
      </c>
      <c r="N4359" s="14">
        <f>IF(A4359="","",YEAR(A4359))</f>
        <v/>
      </c>
    </row>
    <row r="4360">
      <c r="A4360" s="15" t="n"/>
      <c r="B4360" s="10" t="n"/>
      <c r="C4360" s="10" t="n"/>
      <c r="D4360" s="10" t="n"/>
      <c r="E4360" s="14">
        <f>IF(D4360="","",IFERROR(INDEX('Sản phẩm'!$B$5:$B$304,MATCH(D4360,'Sản phẩm'!$A$5:$A$304,0)),""))</f>
        <v/>
      </c>
      <c r="F4360" s="12" t="n"/>
      <c r="G4360" s="11" t="n"/>
      <c r="H4360" s="11" t="n"/>
      <c r="I4360" s="16">
        <f>IF(D4360="","",IF(G4360&lt;&gt;"",G4360,IFERROR(INDEX('Sản phẩm'!$E$5:$E$304,MATCH(D4360,'Sản phẩm'!$A$5:$A$304,0)),"")))</f>
        <v/>
      </c>
      <c r="J4360" s="16">
        <f>IF(OR(D4360="",F4360=""),"",F4360*I4360-N(H4360))</f>
        <v/>
      </c>
      <c r="K4360" s="16">
        <f>IF(OR(D4360="",F4360=""),"",F4360*IFERROR(INDEX('Sản phẩm'!$D$5:$D$304,MATCH(D4360,'Sản phẩm'!$A$5:$A$304,0)),""))</f>
        <v/>
      </c>
      <c r="L4360" s="16">
        <f>IF(J4360="","",J4360-K4360)</f>
        <v/>
      </c>
      <c r="M4360" s="14">
        <f>IF(A4360="","",MONTH(A4360))</f>
        <v/>
      </c>
      <c r="N4360" s="14">
        <f>IF(A4360="","",YEAR(A4360))</f>
        <v/>
      </c>
    </row>
    <row r="4361">
      <c r="A4361" s="15" t="n"/>
      <c r="B4361" s="10" t="n"/>
      <c r="C4361" s="10" t="n"/>
      <c r="D4361" s="10" t="n"/>
      <c r="E4361" s="14">
        <f>IF(D4361="","",IFERROR(INDEX('Sản phẩm'!$B$5:$B$304,MATCH(D4361,'Sản phẩm'!$A$5:$A$304,0)),""))</f>
        <v/>
      </c>
      <c r="F4361" s="12" t="n"/>
      <c r="G4361" s="11" t="n"/>
      <c r="H4361" s="11" t="n"/>
      <c r="I4361" s="16">
        <f>IF(D4361="","",IF(G4361&lt;&gt;"",G4361,IFERROR(INDEX('Sản phẩm'!$E$5:$E$304,MATCH(D4361,'Sản phẩm'!$A$5:$A$304,0)),"")))</f>
        <v/>
      </c>
      <c r="J4361" s="16">
        <f>IF(OR(D4361="",F4361=""),"",F4361*I4361-N(H4361))</f>
        <v/>
      </c>
      <c r="K4361" s="16">
        <f>IF(OR(D4361="",F4361=""),"",F4361*IFERROR(INDEX('Sản phẩm'!$D$5:$D$304,MATCH(D4361,'Sản phẩm'!$A$5:$A$304,0)),""))</f>
        <v/>
      </c>
      <c r="L4361" s="16">
        <f>IF(J4361="","",J4361-K4361)</f>
        <v/>
      </c>
      <c r="M4361" s="14">
        <f>IF(A4361="","",MONTH(A4361))</f>
        <v/>
      </c>
      <c r="N4361" s="14">
        <f>IF(A4361="","",YEAR(A4361))</f>
        <v/>
      </c>
    </row>
    <row r="4362">
      <c r="A4362" s="15" t="n"/>
      <c r="B4362" s="10" t="n"/>
      <c r="C4362" s="10" t="n"/>
      <c r="D4362" s="10" t="n"/>
      <c r="E4362" s="14">
        <f>IF(D4362="","",IFERROR(INDEX('Sản phẩm'!$B$5:$B$304,MATCH(D4362,'Sản phẩm'!$A$5:$A$304,0)),""))</f>
        <v/>
      </c>
      <c r="F4362" s="12" t="n"/>
      <c r="G4362" s="11" t="n"/>
      <c r="H4362" s="11" t="n"/>
      <c r="I4362" s="16">
        <f>IF(D4362="","",IF(G4362&lt;&gt;"",G4362,IFERROR(INDEX('Sản phẩm'!$E$5:$E$304,MATCH(D4362,'Sản phẩm'!$A$5:$A$304,0)),"")))</f>
        <v/>
      </c>
      <c r="J4362" s="16">
        <f>IF(OR(D4362="",F4362=""),"",F4362*I4362-N(H4362))</f>
        <v/>
      </c>
      <c r="K4362" s="16">
        <f>IF(OR(D4362="",F4362=""),"",F4362*IFERROR(INDEX('Sản phẩm'!$D$5:$D$304,MATCH(D4362,'Sản phẩm'!$A$5:$A$304,0)),""))</f>
        <v/>
      </c>
      <c r="L4362" s="16">
        <f>IF(J4362="","",J4362-K4362)</f>
        <v/>
      </c>
      <c r="M4362" s="14">
        <f>IF(A4362="","",MONTH(A4362))</f>
        <v/>
      </c>
      <c r="N4362" s="14">
        <f>IF(A4362="","",YEAR(A4362))</f>
        <v/>
      </c>
    </row>
    <row r="4363">
      <c r="A4363" s="15" t="n"/>
      <c r="B4363" s="10" t="n"/>
      <c r="C4363" s="10" t="n"/>
      <c r="D4363" s="10" t="n"/>
      <c r="E4363" s="14">
        <f>IF(D4363="","",IFERROR(INDEX('Sản phẩm'!$B$5:$B$304,MATCH(D4363,'Sản phẩm'!$A$5:$A$304,0)),""))</f>
        <v/>
      </c>
      <c r="F4363" s="12" t="n"/>
      <c r="G4363" s="11" t="n"/>
      <c r="H4363" s="11" t="n"/>
      <c r="I4363" s="16">
        <f>IF(D4363="","",IF(G4363&lt;&gt;"",G4363,IFERROR(INDEX('Sản phẩm'!$E$5:$E$304,MATCH(D4363,'Sản phẩm'!$A$5:$A$304,0)),"")))</f>
        <v/>
      </c>
      <c r="J4363" s="16">
        <f>IF(OR(D4363="",F4363=""),"",F4363*I4363-N(H4363))</f>
        <v/>
      </c>
      <c r="K4363" s="16">
        <f>IF(OR(D4363="",F4363=""),"",F4363*IFERROR(INDEX('Sản phẩm'!$D$5:$D$304,MATCH(D4363,'Sản phẩm'!$A$5:$A$304,0)),""))</f>
        <v/>
      </c>
      <c r="L4363" s="16">
        <f>IF(J4363="","",J4363-K4363)</f>
        <v/>
      </c>
      <c r="M4363" s="14">
        <f>IF(A4363="","",MONTH(A4363))</f>
        <v/>
      </c>
      <c r="N4363" s="14">
        <f>IF(A4363="","",YEAR(A4363))</f>
        <v/>
      </c>
    </row>
    <row r="4364">
      <c r="A4364" s="15" t="n"/>
      <c r="B4364" s="10" t="n"/>
      <c r="C4364" s="10" t="n"/>
      <c r="D4364" s="10" t="n"/>
      <c r="E4364" s="14">
        <f>IF(D4364="","",IFERROR(INDEX('Sản phẩm'!$B$5:$B$304,MATCH(D4364,'Sản phẩm'!$A$5:$A$304,0)),""))</f>
        <v/>
      </c>
      <c r="F4364" s="12" t="n"/>
      <c r="G4364" s="11" t="n"/>
      <c r="H4364" s="11" t="n"/>
      <c r="I4364" s="16">
        <f>IF(D4364="","",IF(G4364&lt;&gt;"",G4364,IFERROR(INDEX('Sản phẩm'!$E$5:$E$304,MATCH(D4364,'Sản phẩm'!$A$5:$A$304,0)),"")))</f>
        <v/>
      </c>
      <c r="J4364" s="16">
        <f>IF(OR(D4364="",F4364=""),"",F4364*I4364-N(H4364))</f>
        <v/>
      </c>
      <c r="K4364" s="16">
        <f>IF(OR(D4364="",F4364=""),"",F4364*IFERROR(INDEX('Sản phẩm'!$D$5:$D$304,MATCH(D4364,'Sản phẩm'!$A$5:$A$304,0)),""))</f>
        <v/>
      </c>
      <c r="L4364" s="16">
        <f>IF(J4364="","",J4364-K4364)</f>
        <v/>
      </c>
      <c r="M4364" s="14">
        <f>IF(A4364="","",MONTH(A4364))</f>
        <v/>
      </c>
      <c r="N4364" s="14">
        <f>IF(A4364="","",YEAR(A4364))</f>
        <v/>
      </c>
    </row>
    <row r="4365">
      <c r="A4365" s="15" t="n"/>
      <c r="B4365" s="10" t="n"/>
      <c r="C4365" s="10" t="n"/>
      <c r="D4365" s="10" t="n"/>
      <c r="E4365" s="14">
        <f>IF(D4365="","",IFERROR(INDEX('Sản phẩm'!$B$5:$B$304,MATCH(D4365,'Sản phẩm'!$A$5:$A$304,0)),""))</f>
        <v/>
      </c>
      <c r="F4365" s="12" t="n"/>
      <c r="G4365" s="11" t="n"/>
      <c r="H4365" s="11" t="n"/>
      <c r="I4365" s="16">
        <f>IF(D4365="","",IF(G4365&lt;&gt;"",G4365,IFERROR(INDEX('Sản phẩm'!$E$5:$E$304,MATCH(D4365,'Sản phẩm'!$A$5:$A$304,0)),"")))</f>
        <v/>
      </c>
      <c r="J4365" s="16">
        <f>IF(OR(D4365="",F4365=""),"",F4365*I4365-N(H4365))</f>
        <v/>
      </c>
      <c r="K4365" s="16">
        <f>IF(OR(D4365="",F4365=""),"",F4365*IFERROR(INDEX('Sản phẩm'!$D$5:$D$304,MATCH(D4365,'Sản phẩm'!$A$5:$A$304,0)),""))</f>
        <v/>
      </c>
      <c r="L4365" s="16">
        <f>IF(J4365="","",J4365-K4365)</f>
        <v/>
      </c>
      <c r="M4365" s="14">
        <f>IF(A4365="","",MONTH(A4365))</f>
        <v/>
      </c>
      <c r="N4365" s="14">
        <f>IF(A4365="","",YEAR(A4365))</f>
        <v/>
      </c>
    </row>
    <row r="4366">
      <c r="A4366" s="15" t="n"/>
      <c r="B4366" s="10" t="n"/>
      <c r="C4366" s="10" t="n"/>
      <c r="D4366" s="10" t="n"/>
      <c r="E4366" s="14">
        <f>IF(D4366="","",IFERROR(INDEX('Sản phẩm'!$B$5:$B$304,MATCH(D4366,'Sản phẩm'!$A$5:$A$304,0)),""))</f>
        <v/>
      </c>
      <c r="F4366" s="12" t="n"/>
      <c r="G4366" s="11" t="n"/>
      <c r="H4366" s="11" t="n"/>
      <c r="I4366" s="16">
        <f>IF(D4366="","",IF(G4366&lt;&gt;"",G4366,IFERROR(INDEX('Sản phẩm'!$E$5:$E$304,MATCH(D4366,'Sản phẩm'!$A$5:$A$304,0)),"")))</f>
        <v/>
      </c>
      <c r="J4366" s="16">
        <f>IF(OR(D4366="",F4366=""),"",F4366*I4366-N(H4366))</f>
        <v/>
      </c>
      <c r="K4366" s="16">
        <f>IF(OR(D4366="",F4366=""),"",F4366*IFERROR(INDEX('Sản phẩm'!$D$5:$D$304,MATCH(D4366,'Sản phẩm'!$A$5:$A$304,0)),""))</f>
        <v/>
      </c>
      <c r="L4366" s="16">
        <f>IF(J4366="","",J4366-K4366)</f>
        <v/>
      </c>
      <c r="M4366" s="14">
        <f>IF(A4366="","",MONTH(A4366))</f>
        <v/>
      </c>
      <c r="N4366" s="14">
        <f>IF(A4366="","",YEAR(A4366))</f>
        <v/>
      </c>
    </row>
    <row r="4367">
      <c r="A4367" s="15" t="n"/>
      <c r="B4367" s="10" t="n"/>
      <c r="C4367" s="10" t="n"/>
      <c r="D4367" s="10" t="n"/>
      <c r="E4367" s="14">
        <f>IF(D4367="","",IFERROR(INDEX('Sản phẩm'!$B$5:$B$304,MATCH(D4367,'Sản phẩm'!$A$5:$A$304,0)),""))</f>
        <v/>
      </c>
      <c r="F4367" s="12" t="n"/>
      <c r="G4367" s="11" t="n"/>
      <c r="H4367" s="11" t="n"/>
      <c r="I4367" s="16">
        <f>IF(D4367="","",IF(G4367&lt;&gt;"",G4367,IFERROR(INDEX('Sản phẩm'!$E$5:$E$304,MATCH(D4367,'Sản phẩm'!$A$5:$A$304,0)),"")))</f>
        <v/>
      </c>
      <c r="J4367" s="16">
        <f>IF(OR(D4367="",F4367=""),"",F4367*I4367-N(H4367))</f>
        <v/>
      </c>
      <c r="K4367" s="16">
        <f>IF(OR(D4367="",F4367=""),"",F4367*IFERROR(INDEX('Sản phẩm'!$D$5:$D$304,MATCH(D4367,'Sản phẩm'!$A$5:$A$304,0)),""))</f>
        <v/>
      </c>
      <c r="L4367" s="16">
        <f>IF(J4367="","",J4367-K4367)</f>
        <v/>
      </c>
      <c r="M4367" s="14">
        <f>IF(A4367="","",MONTH(A4367))</f>
        <v/>
      </c>
      <c r="N4367" s="14">
        <f>IF(A4367="","",YEAR(A4367))</f>
        <v/>
      </c>
    </row>
    <row r="4368">
      <c r="A4368" s="15" t="n"/>
      <c r="B4368" s="10" t="n"/>
      <c r="C4368" s="10" t="n"/>
      <c r="D4368" s="10" t="n"/>
      <c r="E4368" s="14">
        <f>IF(D4368="","",IFERROR(INDEX('Sản phẩm'!$B$5:$B$304,MATCH(D4368,'Sản phẩm'!$A$5:$A$304,0)),""))</f>
        <v/>
      </c>
      <c r="F4368" s="12" t="n"/>
      <c r="G4368" s="11" t="n"/>
      <c r="H4368" s="11" t="n"/>
      <c r="I4368" s="16">
        <f>IF(D4368="","",IF(G4368&lt;&gt;"",G4368,IFERROR(INDEX('Sản phẩm'!$E$5:$E$304,MATCH(D4368,'Sản phẩm'!$A$5:$A$304,0)),"")))</f>
        <v/>
      </c>
      <c r="J4368" s="16">
        <f>IF(OR(D4368="",F4368=""),"",F4368*I4368-N(H4368))</f>
        <v/>
      </c>
      <c r="K4368" s="16">
        <f>IF(OR(D4368="",F4368=""),"",F4368*IFERROR(INDEX('Sản phẩm'!$D$5:$D$304,MATCH(D4368,'Sản phẩm'!$A$5:$A$304,0)),""))</f>
        <v/>
      </c>
      <c r="L4368" s="16">
        <f>IF(J4368="","",J4368-K4368)</f>
        <v/>
      </c>
      <c r="M4368" s="14">
        <f>IF(A4368="","",MONTH(A4368))</f>
        <v/>
      </c>
      <c r="N4368" s="14">
        <f>IF(A4368="","",YEAR(A4368))</f>
        <v/>
      </c>
    </row>
    <row r="4369">
      <c r="A4369" s="15" t="n"/>
      <c r="B4369" s="10" t="n"/>
      <c r="C4369" s="10" t="n"/>
      <c r="D4369" s="10" t="n"/>
      <c r="E4369" s="14">
        <f>IF(D4369="","",IFERROR(INDEX('Sản phẩm'!$B$5:$B$304,MATCH(D4369,'Sản phẩm'!$A$5:$A$304,0)),""))</f>
        <v/>
      </c>
      <c r="F4369" s="12" t="n"/>
      <c r="G4369" s="11" t="n"/>
      <c r="H4369" s="11" t="n"/>
      <c r="I4369" s="16">
        <f>IF(D4369="","",IF(G4369&lt;&gt;"",G4369,IFERROR(INDEX('Sản phẩm'!$E$5:$E$304,MATCH(D4369,'Sản phẩm'!$A$5:$A$304,0)),"")))</f>
        <v/>
      </c>
      <c r="J4369" s="16">
        <f>IF(OR(D4369="",F4369=""),"",F4369*I4369-N(H4369))</f>
        <v/>
      </c>
      <c r="K4369" s="16">
        <f>IF(OR(D4369="",F4369=""),"",F4369*IFERROR(INDEX('Sản phẩm'!$D$5:$D$304,MATCH(D4369,'Sản phẩm'!$A$5:$A$304,0)),""))</f>
        <v/>
      </c>
      <c r="L4369" s="16">
        <f>IF(J4369="","",J4369-K4369)</f>
        <v/>
      </c>
      <c r="M4369" s="14">
        <f>IF(A4369="","",MONTH(A4369))</f>
        <v/>
      </c>
      <c r="N4369" s="14">
        <f>IF(A4369="","",YEAR(A4369))</f>
        <v/>
      </c>
    </row>
    <row r="4370">
      <c r="A4370" s="15" t="n"/>
      <c r="B4370" s="10" t="n"/>
      <c r="C4370" s="10" t="n"/>
      <c r="D4370" s="10" t="n"/>
      <c r="E4370" s="14">
        <f>IF(D4370="","",IFERROR(INDEX('Sản phẩm'!$B$5:$B$304,MATCH(D4370,'Sản phẩm'!$A$5:$A$304,0)),""))</f>
        <v/>
      </c>
      <c r="F4370" s="12" t="n"/>
      <c r="G4370" s="11" t="n"/>
      <c r="H4370" s="11" t="n"/>
      <c r="I4370" s="16">
        <f>IF(D4370="","",IF(G4370&lt;&gt;"",G4370,IFERROR(INDEX('Sản phẩm'!$E$5:$E$304,MATCH(D4370,'Sản phẩm'!$A$5:$A$304,0)),"")))</f>
        <v/>
      </c>
      <c r="J4370" s="16">
        <f>IF(OR(D4370="",F4370=""),"",F4370*I4370-N(H4370))</f>
        <v/>
      </c>
      <c r="K4370" s="16">
        <f>IF(OR(D4370="",F4370=""),"",F4370*IFERROR(INDEX('Sản phẩm'!$D$5:$D$304,MATCH(D4370,'Sản phẩm'!$A$5:$A$304,0)),""))</f>
        <v/>
      </c>
      <c r="L4370" s="16">
        <f>IF(J4370="","",J4370-K4370)</f>
        <v/>
      </c>
      <c r="M4370" s="14">
        <f>IF(A4370="","",MONTH(A4370))</f>
        <v/>
      </c>
      <c r="N4370" s="14">
        <f>IF(A4370="","",YEAR(A4370))</f>
        <v/>
      </c>
    </row>
    <row r="4371">
      <c r="A4371" s="15" t="n"/>
      <c r="B4371" s="10" t="n"/>
      <c r="C4371" s="10" t="n"/>
      <c r="D4371" s="10" t="n"/>
      <c r="E4371" s="14">
        <f>IF(D4371="","",IFERROR(INDEX('Sản phẩm'!$B$5:$B$304,MATCH(D4371,'Sản phẩm'!$A$5:$A$304,0)),""))</f>
        <v/>
      </c>
      <c r="F4371" s="12" t="n"/>
      <c r="G4371" s="11" t="n"/>
      <c r="H4371" s="11" t="n"/>
      <c r="I4371" s="16">
        <f>IF(D4371="","",IF(G4371&lt;&gt;"",G4371,IFERROR(INDEX('Sản phẩm'!$E$5:$E$304,MATCH(D4371,'Sản phẩm'!$A$5:$A$304,0)),"")))</f>
        <v/>
      </c>
      <c r="J4371" s="16">
        <f>IF(OR(D4371="",F4371=""),"",F4371*I4371-N(H4371))</f>
        <v/>
      </c>
      <c r="K4371" s="16">
        <f>IF(OR(D4371="",F4371=""),"",F4371*IFERROR(INDEX('Sản phẩm'!$D$5:$D$304,MATCH(D4371,'Sản phẩm'!$A$5:$A$304,0)),""))</f>
        <v/>
      </c>
      <c r="L4371" s="16">
        <f>IF(J4371="","",J4371-K4371)</f>
        <v/>
      </c>
      <c r="M4371" s="14">
        <f>IF(A4371="","",MONTH(A4371))</f>
        <v/>
      </c>
      <c r="N4371" s="14">
        <f>IF(A4371="","",YEAR(A4371))</f>
        <v/>
      </c>
    </row>
    <row r="4372">
      <c r="A4372" s="15" t="n"/>
      <c r="B4372" s="10" t="n"/>
      <c r="C4372" s="10" t="n"/>
      <c r="D4372" s="10" t="n"/>
      <c r="E4372" s="14">
        <f>IF(D4372="","",IFERROR(INDEX('Sản phẩm'!$B$5:$B$304,MATCH(D4372,'Sản phẩm'!$A$5:$A$304,0)),""))</f>
        <v/>
      </c>
      <c r="F4372" s="12" t="n"/>
      <c r="G4372" s="11" t="n"/>
      <c r="H4372" s="11" t="n"/>
      <c r="I4372" s="16">
        <f>IF(D4372="","",IF(G4372&lt;&gt;"",G4372,IFERROR(INDEX('Sản phẩm'!$E$5:$E$304,MATCH(D4372,'Sản phẩm'!$A$5:$A$304,0)),"")))</f>
        <v/>
      </c>
      <c r="J4372" s="16">
        <f>IF(OR(D4372="",F4372=""),"",F4372*I4372-N(H4372))</f>
        <v/>
      </c>
      <c r="K4372" s="16">
        <f>IF(OR(D4372="",F4372=""),"",F4372*IFERROR(INDEX('Sản phẩm'!$D$5:$D$304,MATCH(D4372,'Sản phẩm'!$A$5:$A$304,0)),""))</f>
        <v/>
      </c>
      <c r="L4372" s="16">
        <f>IF(J4372="","",J4372-K4372)</f>
        <v/>
      </c>
      <c r="M4372" s="14">
        <f>IF(A4372="","",MONTH(A4372))</f>
        <v/>
      </c>
      <c r="N4372" s="14">
        <f>IF(A4372="","",YEAR(A4372))</f>
        <v/>
      </c>
    </row>
    <row r="4373">
      <c r="A4373" s="15" t="n"/>
      <c r="B4373" s="10" t="n"/>
      <c r="C4373" s="10" t="n"/>
      <c r="D4373" s="10" t="n"/>
      <c r="E4373" s="14">
        <f>IF(D4373="","",IFERROR(INDEX('Sản phẩm'!$B$5:$B$304,MATCH(D4373,'Sản phẩm'!$A$5:$A$304,0)),""))</f>
        <v/>
      </c>
      <c r="F4373" s="12" t="n"/>
      <c r="G4373" s="11" t="n"/>
      <c r="H4373" s="11" t="n"/>
      <c r="I4373" s="16">
        <f>IF(D4373="","",IF(G4373&lt;&gt;"",G4373,IFERROR(INDEX('Sản phẩm'!$E$5:$E$304,MATCH(D4373,'Sản phẩm'!$A$5:$A$304,0)),"")))</f>
        <v/>
      </c>
      <c r="J4373" s="16">
        <f>IF(OR(D4373="",F4373=""),"",F4373*I4373-N(H4373))</f>
        <v/>
      </c>
      <c r="K4373" s="16">
        <f>IF(OR(D4373="",F4373=""),"",F4373*IFERROR(INDEX('Sản phẩm'!$D$5:$D$304,MATCH(D4373,'Sản phẩm'!$A$5:$A$304,0)),""))</f>
        <v/>
      </c>
      <c r="L4373" s="16">
        <f>IF(J4373="","",J4373-K4373)</f>
        <v/>
      </c>
      <c r="M4373" s="14">
        <f>IF(A4373="","",MONTH(A4373))</f>
        <v/>
      </c>
      <c r="N4373" s="14">
        <f>IF(A4373="","",YEAR(A4373))</f>
        <v/>
      </c>
    </row>
    <row r="4374">
      <c r="A4374" s="15" t="n"/>
      <c r="B4374" s="10" t="n"/>
      <c r="C4374" s="10" t="n"/>
      <c r="D4374" s="10" t="n"/>
      <c r="E4374" s="14">
        <f>IF(D4374="","",IFERROR(INDEX('Sản phẩm'!$B$5:$B$304,MATCH(D4374,'Sản phẩm'!$A$5:$A$304,0)),""))</f>
        <v/>
      </c>
      <c r="F4374" s="12" t="n"/>
      <c r="G4374" s="11" t="n"/>
      <c r="H4374" s="11" t="n"/>
      <c r="I4374" s="16">
        <f>IF(D4374="","",IF(G4374&lt;&gt;"",G4374,IFERROR(INDEX('Sản phẩm'!$E$5:$E$304,MATCH(D4374,'Sản phẩm'!$A$5:$A$304,0)),"")))</f>
        <v/>
      </c>
      <c r="J4374" s="16">
        <f>IF(OR(D4374="",F4374=""),"",F4374*I4374-N(H4374))</f>
        <v/>
      </c>
      <c r="K4374" s="16">
        <f>IF(OR(D4374="",F4374=""),"",F4374*IFERROR(INDEX('Sản phẩm'!$D$5:$D$304,MATCH(D4374,'Sản phẩm'!$A$5:$A$304,0)),""))</f>
        <v/>
      </c>
      <c r="L4374" s="16">
        <f>IF(J4374="","",J4374-K4374)</f>
        <v/>
      </c>
      <c r="M4374" s="14">
        <f>IF(A4374="","",MONTH(A4374))</f>
        <v/>
      </c>
      <c r="N4374" s="14">
        <f>IF(A4374="","",YEAR(A4374))</f>
        <v/>
      </c>
    </row>
    <row r="4375">
      <c r="A4375" s="15" t="n"/>
      <c r="B4375" s="10" t="n"/>
      <c r="C4375" s="10" t="n"/>
      <c r="D4375" s="10" t="n"/>
      <c r="E4375" s="14">
        <f>IF(D4375="","",IFERROR(INDEX('Sản phẩm'!$B$5:$B$304,MATCH(D4375,'Sản phẩm'!$A$5:$A$304,0)),""))</f>
        <v/>
      </c>
      <c r="F4375" s="12" t="n"/>
      <c r="G4375" s="11" t="n"/>
      <c r="H4375" s="11" t="n"/>
      <c r="I4375" s="16">
        <f>IF(D4375="","",IF(G4375&lt;&gt;"",G4375,IFERROR(INDEX('Sản phẩm'!$E$5:$E$304,MATCH(D4375,'Sản phẩm'!$A$5:$A$304,0)),"")))</f>
        <v/>
      </c>
      <c r="J4375" s="16">
        <f>IF(OR(D4375="",F4375=""),"",F4375*I4375-N(H4375))</f>
        <v/>
      </c>
      <c r="K4375" s="16">
        <f>IF(OR(D4375="",F4375=""),"",F4375*IFERROR(INDEX('Sản phẩm'!$D$5:$D$304,MATCH(D4375,'Sản phẩm'!$A$5:$A$304,0)),""))</f>
        <v/>
      </c>
      <c r="L4375" s="16">
        <f>IF(J4375="","",J4375-K4375)</f>
        <v/>
      </c>
      <c r="M4375" s="14">
        <f>IF(A4375="","",MONTH(A4375))</f>
        <v/>
      </c>
      <c r="N4375" s="14">
        <f>IF(A4375="","",YEAR(A4375))</f>
        <v/>
      </c>
    </row>
    <row r="4376">
      <c r="A4376" s="15" t="n"/>
      <c r="B4376" s="10" t="n"/>
      <c r="C4376" s="10" t="n"/>
      <c r="D4376" s="10" t="n"/>
      <c r="E4376" s="14">
        <f>IF(D4376="","",IFERROR(INDEX('Sản phẩm'!$B$5:$B$304,MATCH(D4376,'Sản phẩm'!$A$5:$A$304,0)),""))</f>
        <v/>
      </c>
      <c r="F4376" s="12" t="n"/>
      <c r="G4376" s="11" t="n"/>
      <c r="H4376" s="11" t="n"/>
      <c r="I4376" s="16">
        <f>IF(D4376="","",IF(G4376&lt;&gt;"",G4376,IFERROR(INDEX('Sản phẩm'!$E$5:$E$304,MATCH(D4376,'Sản phẩm'!$A$5:$A$304,0)),"")))</f>
        <v/>
      </c>
      <c r="J4376" s="16">
        <f>IF(OR(D4376="",F4376=""),"",F4376*I4376-N(H4376))</f>
        <v/>
      </c>
      <c r="K4376" s="16">
        <f>IF(OR(D4376="",F4376=""),"",F4376*IFERROR(INDEX('Sản phẩm'!$D$5:$D$304,MATCH(D4376,'Sản phẩm'!$A$5:$A$304,0)),""))</f>
        <v/>
      </c>
      <c r="L4376" s="16">
        <f>IF(J4376="","",J4376-K4376)</f>
        <v/>
      </c>
      <c r="M4376" s="14">
        <f>IF(A4376="","",MONTH(A4376))</f>
        <v/>
      </c>
      <c r="N4376" s="14">
        <f>IF(A4376="","",YEAR(A4376))</f>
        <v/>
      </c>
    </row>
    <row r="4377">
      <c r="A4377" s="15" t="n"/>
      <c r="B4377" s="10" t="n"/>
      <c r="C4377" s="10" t="n"/>
      <c r="D4377" s="10" t="n"/>
      <c r="E4377" s="14">
        <f>IF(D4377="","",IFERROR(INDEX('Sản phẩm'!$B$5:$B$304,MATCH(D4377,'Sản phẩm'!$A$5:$A$304,0)),""))</f>
        <v/>
      </c>
      <c r="F4377" s="12" t="n"/>
      <c r="G4377" s="11" t="n"/>
      <c r="H4377" s="11" t="n"/>
      <c r="I4377" s="16">
        <f>IF(D4377="","",IF(G4377&lt;&gt;"",G4377,IFERROR(INDEX('Sản phẩm'!$E$5:$E$304,MATCH(D4377,'Sản phẩm'!$A$5:$A$304,0)),"")))</f>
        <v/>
      </c>
      <c r="J4377" s="16">
        <f>IF(OR(D4377="",F4377=""),"",F4377*I4377-N(H4377))</f>
        <v/>
      </c>
      <c r="K4377" s="16">
        <f>IF(OR(D4377="",F4377=""),"",F4377*IFERROR(INDEX('Sản phẩm'!$D$5:$D$304,MATCH(D4377,'Sản phẩm'!$A$5:$A$304,0)),""))</f>
        <v/>
      </c>
      <c r="L4377" s="16">
        <f>IF(J4377="","",J4377-K4377)</f>
        <v/>
      </c>
      <c r="M4377" s="14">
        <f>IF(A4377="","",MONTH(A4377))</f>
        <v/>
      </c>
      <c r="N4377" s="14">
        <f>IF(A4377="","",YEAR(A4377))</f>
        <v/>
      </c>
    </row>
    <row r="4378">
      <c r="A4378" s="15" t="n"/>
      <c r="B4378" s="10" t="n"/>
      <c r="C4378" s="10" t="n"/>
      <c r="D4378" s="10" t="n"/>
      <c r="E4378" s="14">
        <f>IF(D4378="","",IFERROR(INDEX('Sản phẩm'!$B$5:$B$304,MATCH(D4378,'Sản phẩm'!$A$5:$A$304,0)),""))</f>
        <v/>
      </c>
      <c r="F4378" s="12" t="n"/>
      <c r="G4378" s="11" t="n"/>
      <c r="H4378" s="11" t="n"/>
      <c r="I4378" s="16">
        <f>IF(D4378="","",IF(G4378&lt;&gt;"",G4378,IFERROR(INDEX('Sản phẩm'!$E$5:$E$304,MATCH(D4378,'Sản phẩm'!$A$5:$A$304,0)),"")))</f>
        <v/>
      </c>
      <c r="J4378" s="16">
        <f>IF(OR(D4378="",F4378=""),"",F4378*I4378-N(H4378))</f>
        <v/>
      </c>
      <c r="K4378" s="16">
        <f>IF(OR(D4378="",F4378=""),"",F4378*IFERROR(INDEX('Sản phẩm'!$D$5:$D$304,MATCH(D4378,'Sản phẩm'!$A$5:$A$304,0)),""))</f>
        <v/>
      </c>
      <c r="L4378" s="16">
        <f>IF(J4378="","",J4378-K4378)</f>
        <v/>
      </c>
      <c r="M4378" s="14">
        <f>IF(A4378="","",MONTH(A4378))</f>
        <v/>
      </c>
      <c r="N4378" s="14">
        <f>IF(A4378="","",YEAR(A4378))</f>
        <v/>
      </c>
    </row>
    <row r="4379">
      <c r="A4379" s="15" t="n"/>
      <c r="B4379" s="10" t="n"/>
      <c r="C4379" s="10" t="n"/>
      <c r="D4379" s="10" t="n"/>
      <c r="E4379" s="14">
        <f>IF(D4379="","",IFERROR(INDEX('Sản phẩm'!$B$5:$B$304,MATCH(D4379,'Sản phẩm'!$A$5:$A$304,0)),""))</f>
        <v/>
      </c>
      <c r="F4379" s="12" t="n"/>
      <c r="G4379" s="11" t="n"/>
      <c r="H4379" s="11" t="n"/>
      <c r="I4379" s="16">
        <f>IF(D4379="","",IF(G4379&lt;&gt;"",G4379,IFERROR(INDEX('Sản phẩm'!$E$5:$E$304,MATCH(D4379,'Sản phẩm'!$A$5:$A$304,0)),"")))</f>
        <v/>
      </c>
      <c r="J4379" s="16">
        <f>IF(OR(D4379="",F4379=""),"",F4379*I4379-N(H4379))</f>
        <v/>
      </c>
      <c r="K4379" s="16">
        <f>IF(OR(D4379="",F4379=""),"",F4379*IFERROR(INDEX('Sản phẩm'!$D$5:$D$304,MATCH(D4379,'Sản phẩm'!$A$5:$A$304,0)),""))</f>
        <v/>
      </c>
      <c r="L4379" s="16">
        <f>IF(J4379="","",J4379-K4379)</f>
        <v/>
      </c>
      <c r="M4379" s="14">
        <f>IF(A4379="","",MONTH(A4379))</f>
        <v/>
      </c>
      <c r="N4379" s="14">
        <f>IF(A4379="","",YEAR(A4379))</f>
        <v/>
      </c>
    </row>
    <row r="4380">
      <c r="A4380" s="15" t="n"/>
      <c r="B4380" s="10" t="n"/>
      <c r="C4380" s="10" t="n"/>
      <c r="D4380" s="10" t="n"/>
      <c r="E4380" s="14">
        <f>IF(D4380="","",IFERROR(INDEX('Sản phẩm'!$B$5:$B$304,MATCH(D4380,'Sản phẩm'!$A$5:$A$304,0)),""))</f>
        <v/>
      </c>
      <c r="F4380" s="12" t="n"/>
      <c r="G4380" s="11" t="n"/>
      <c r="H4380" s="11" t="n"/>
      <c r="I4380" s="16">
        <f>IF(D4380="","",IF(G4380&lt;&gt;"",G4380,IFERROR(INDEX('Sản phẩm'!$E$5:$E$304,MATCH(D4380,'Sản phẩm'!$A$5:$A$304,0)),"")))</f>
        <v/>
      </c>
      <c r="J4380" s="16">
        <f>IF(OR(D4380="",F4380=""),"",F4380*I4380-N(H4380))</f>
        <v/>
      </c>
      <c r="K4380" s="16">
        <f>IF(OR(D4380="",F4380=""),"",F4380*IFERROR(INDEX('Sản phẩm'!$D$5:$D$304,MATCH(D4380,'Sản phẩm'!$A$5:$A$304,0)),""))</f>
        <v/>
      </c>
      <c r="L4380" s="16">
        <f>IF(J4380="","",J4380-K4380)</f>
        <v/>
      </c>
      <c r="M4380" s="14">
        <f>IF(A4380="","",MONTH(A4380))</f>
        <v/>
      </c>
      <c r="N4380" s="14">
        <f>IF(A4380="","",YEAR(A4380))</f>
        <v/>
      </c>
    </row>
    <row r="4381">
      <c r="A4381" s="15" t="n"/>
      <c r="B4381" s="10" t="n"/>
      <c r="C4381" s="10" t="n"/>
      <c r="D4381" s="10" t="n"/>
      <c r="E4381" s="14">
        <f>IF(D4381="","",IFERROR(INDEX('Sản phẩm'!$B$5:$B$304,MATCH(D4381,'Sản phẩm'!$A$5:$A$304,0)),""))</f>
        <v/>
      </c>
      <c r="F4381" s="12" t="n"/>
      <c r="G4381" s="11" t="n"/>
      <c r="H4381" s="11" t="n"/>
      <c r="I4381" s="16">
        <f>IF(D4381="","",IF(G4381&lt;&gt;"",G4381,IFERROR(INDEX('Sản phẩm'!$E$5:$E$304,MATCH(D4381,'Sản phẩm'!$A$5:$A$304,0)),"")))</f>
        <v/>
      </c>
      <c r="J4381" s="16">
        <f>IF(OR(D4381="",F4381=""),"",F4381*I4381-N(H4381))</f>
        <v/>
      </c>
      <c r="K4381" s="16">
        <f>IF(OR(D4381="",F4381=""),"",F4381*IFERROR(INDEX('Sản phẩm'!$D$5:$D$304,MATCH(D4381,'Sản phẩm'!$A$5:$A$304,0)),""))</f>
        <v/>
      </c>
      <c r="L4381" s="16">
        <f>IF(J4381="","",J4381-K4381)</f>
        <v/>
      </c>
      <c r="M4381" s="14">
        <f>IF(A4381="","",MONTH(A4381))</f>
        <v/>
      </c>
      <c r="N4381" s="14">
        <f>IF(A4381="","",YEAR(A4381))</f>
        <v/>
      </c>
    </row>
    <row r="4382">
      <c r="A4382" s="15" t="n"/>
      <c r="B4382" s="10" t="n"/>
      <c r="C4382" s="10" t="n"/>
      <c r="D4382" s="10" t="n"/>
      <c r="E4382" s="14">
        <f>IF(D4382="","",IFERROR(INDEX('Sản phẩm'!$B$5:$B$304,MATCH(D4382,'Sản phẩm'!$A$5:$A$304,0)),""))</f>
        <v/>
      </c>
      <c r="F4382" s="12" t="n"/>
      <c r="G4382" s="11" t="n"/>
      <c r="H4382" s="11" t="n"/>
      <c r="I4382" s="16">
        <f>IF(D4382="","",IF(G4382&lt;&gt;"",G4382,IFERROR(INDEX('Sản phẩm'!$E$5:$E$304,MATCH(D4382,'Sản phẩm'!$A$5:$A$304,0)),"")))</f>
        <v/>
      </c>
      <c r="J4382" s="16">
        <f>IF(OR(D4382="",F4382=""),"",F4382*I4382-N(H4382))</f>
        <v/>
      </c>
      <c r="K4382" s="16">
        <f>IF(OR(D4382="",F4382=""),"",F4382*IFERROR(INDEX('Sản phẩm'!$D$5:$D$304,MATCH(D4382,'Sản phẩm'!$A$5:$A$304,0)),""))</f>
        <v/>
      </c>
      <c r="L4382" s="16">
        <f>IF(J4382="","",J4382-K4382)</f>
        <v/>
      </c>
      <c r="M4382" s="14">
        <f>IF(A4382="","",MONTH(A4382))</f>
        <v/>
      </c>
      <c r="N4382" s="14">
        <f>IF(A4382="","",YEAR(A4382))</f>
        <v/>
      </c>
    </row>
    <row r="4383">
      <c r="A4383" s="15" t="n"/>
      <c r="B4383" s="10" t="n"/>
      <c r="C4383" s="10" t="n"/>
      <c r="D4383" s="10" t="n"/>
      <c r="E4383" s="14">
        <f>IF(D4383="","",IFERROR(INDEX('Sản phẩm'!$B$5:$B$304,MATCH(D4383,'Sản phẩm'!$A$5:$A$304,0)),""))</f>
        <v/>
      </c>
      <c r="F4383" s="12" t="n"/>
      <c r="G4383" s="11" t="n"/>
      <c r="H4383" s="11" t="n"/>
      <c r="I4383" s="16">
        <f>IF(D4383="","",IF(G4383&lt;&gt;"",G4383,IFERROR(INDEX('Sản phẩm'!$E$5:$E$304,MATCH(D4383,'Sản phẩm'!$A$5:$A$304,0)),"")))</f>
        <v/>
      </c>
      <c r="J4383" s="16">
        <f>IF(OR(D4383="",F4383=""),"",F4383*I4383-N(H4383))</f>
        <v/>
      </c>
      <c r="K4383" s="16">
        <f>IF(OR(D4383="",F4383=""),"",F4383*IFERROR(INDEX('Sản phẩm'!$D$5:$D$304,MATCH(D4383,'Sản phẩm'!$A$5:$A$304,0)),""))</f>
        <v/>
      </c>
      <c r="L4383" s="16">
        <f>IF(J4383="","",J4383-K4383)</f>
        <v/>
      </c>
      <c r="M4383" s="14">
        <f>IF(A4383="","",MONTH(A4383))</f>
        <v/>
      </c>
      <c r="N4383" s="14">
        <f>IF(A4383="","",YEAR(A4383))</f>
        <v/>
      </c>
    </row>
    <row r="4384">
      <c r="A4384" s="15" t="n"/>
      <c r="B4384" s="10" t="n"/>
      <c r="C4384" s="10" t="n"/>
      <c r="D4384" s="10" t="n"/>
      <c r="E4384" s="14">
        <f>IF(D4384="","",IFERROR(INDEX('Sản phẩm'!$B$5:$B$304,MATCH(D4384,'Sản phẩm'!$A$5:$A$304,0)),""))</f>
        <v/>
      </c>
      <c r="F4384" s="12" t="n"/>
      <c r="G4384" s="11" t="n"/>
      <c r="H4384" s="11" t="n"/>
      <c r="I4384" s="16">
        <f>IF(D4384="","",IF(G4384&lt;&gt;"",G4384,IFERROR(INDEX('Sản phẩm'!$E$5:$E$304,MATCH(D4384,'Sản phẩm'!$A$5:$A$304,0)),"")))</f>
        <v/>
      </c>
      <c r="J4384" s="16">
        <f>IF(OR(D4384="",F4384=""),"",F4384*I4384-N(H4384))</f>
        <v/>
      </c>
      <c r="K4384" s="16">
        <f>IF(OR(D4384="",F4384=""),"",F4384*IFERROR(INDEX('Sản phẩm'!$D$5:$D$304,MATCH(D4384,'Sản phẩm'!$A$5:$A$304,0)),""))</f>
        <v/>
      </c>
      <c r="L4384" s="16">
        <f>IF(J4384="","",J4384-K4384)</f>
        <v/>
      </c>
      <c r="M4384" s="14">
        <f>IF(A4384="","",MONTH(A4384))</f>
        <v/>
      </c>
      <c r="N4384" s="14">
        <f>IF(A4384="","",YEAR(A4384))</f>
        <v/>
      </c>
    </row>
    <row r="4385">
      <c r="A4385" s="15" t="n"/>
      <c r="B4385" s="10" t="n"/>
      <c r="C4385" s="10" t="n"/>
      <c r="D4385" s="10" t="n"/>
      <c r="E4385" s="14">
        <f>IF(D4385="","",IFERROR(INDEX('Sản phẩm'!$B$5:$B$304,MATCH(D4385,'Sản phẩm'!$A$5:$A$304,0)),""))</f>
        <v/>
      </c>
      <c r="F4385" s="12" t="n"/>
      <c r="G4385" s="11" t="n"/>
      <c r="H4385" s="11" t="n"/>
      <c r="I4385" s="16">
        <f>IF(D4385="","",IF(G4385&lt;&gt;"",G4385,IFERROR(INDEX('Sản phẩm'!$E$5:$E$304,MATCH(D4385,'Sản phẩm'!$A$5:$A$304,0)),"")))</f>
        <v/>
      </c>
      <c r="J4385" s="16">
        <f>IF(OR(D4385="",F4385=""),"",F4385*I4385-N(H4385))</f>
        <v/>
      </c>
      <c r="K4385" s="16">
        <f>IF(OR(D4385="",F4385=""),"",F4385*IFERROR(INDEX('Sản phẩm'!$D$5:$D$304,MATCH(D4385,'Sản phẩm'!$A$5:$A$304,0)),""))</f>
        <v/>
      </c>
      <c r="L4385" s="16">
        <f>IF(J4385="","",J4385-K4385)</f>
        <v/>
      </c>
      <c r="M4385" s="14">
        <f>IF(A4385="","",MONTH(A4385))</f>
        <v/>
      </c>
      <c r="N4385" s="14">
        <f>IF(A4385="","",YEAR(A4385))</f>
        <v/>
      </c>
    </row>
    <row r="4386">
      <c r="A4386" s="15" t="n"/>
      <c r="B4386" s="10" t="n"/>
      <c r="C4386" s="10" t="n"/>
      <c r="D4386" s="10" t="n"/>
      <c r="E4386" s="14">
        <f>IF(D4386="","",IFERROR(INDEX('Sản phẩm'!$B$5:$B$304,MATCH(D4386,'Sản phẩm'!$A$5:$A$304,0)),""))</f>
        <v/>
      </c>
      <c r="F4386" s="12" t="n"/>
      <c r="G4386" s="11" t="n"/>
      <c r="H4386" s="11" t="n"/>
      <c r="I4386" s="16">
        <f>IF(D4386="","",IF(G4386&lt;&gt;"",G4386,IFERROR(INDEX('Sản phẩm'!$E$5:$E$304,MATCH(D4386,'Sản phẩm'!$A$5:$A$304,0)),"")))</f>
        <v/>
      </c>
      <c r="J4386" s="16">
        <f>IF(OR(D4386="",F4386=""),"",F4386*I4386-N(H4386))</f>
        <v/>
      </c>
      <c r="K4386" s="16">
        <f>IF(OR(D4386="",F4386=""),"",F4386*IFERROR(INDEX('Sản phẩm'!$D$5:$D$304,MATCH(D4386,'Sản phẩm'!$A$5:$A$304,0)),""))</f>
        <v/>
      </c>
      <c r="L4386" s="16">
        <f>IF(J4386="","",J4386-K4386)</f>
        <v/>
      </c>
      <c r="M4386" s="14">
        <f>IF(A4386="","",MONTH(A4386))</f>
        <v/>
      </c>
      <c r="N4386" s="14">
        <f>IF(A4386="","",YEAR(A4386))</f>
        <v/>
      </c>
    </row>
    <row r="4387">
      <c r="A4387" s="15" t="n"/>
      <c r="B4387" s="10" t="n"/>
      <c r="C4387" s="10" t="n"/>
      <c r="D4387" s="10" t="n"/>
      <c r="E4387" s="14">
        <f>IF(D4387="","",IFERROR(INDEX('Sản phẩm'!$B$5:$B$304,MATCH(D4387,'Sản phẩm'!$A$5:$A$304,0)),""))</f>
        <v/>
      </c>
      <c r="F4387" s="12" t="n"/>
      <c r="G4387" s="11" t="n"/>
      <c r="H4387" s="11" t="n"/>
      <c r="I4387" s="16">
        <f>IF(D4387="","",IF(G4387&lt;&gt;"",G4387,IFERROR(INDEX('Sản phẩm'!$E$5:$E$304,MATCH(D4387,'Sản phẩm'!$A$5:$A$304,0)),"")))</f>
        <v/>
      </c>
      <c r="J4387" s="16">
        <f>IF(OR(D4387="",F4387=""),"",F4387*I4387-N(H4387))</f>
        <v/>
      </c>
      <c r="K4387" s="16">
        <f>IF(OR(D4387="",F4387=""),"",F4387*IFERROR(INDEX('Sản phẩm'!$D$5:$D$304,MATCH(D4387,'Sản phẩm'!$A$5:$A$304,0)),""))</f>
        <v/>
      </c>
      <c r="L4387" s="16">
        <f>IF(J4387="","",J4387-K4387)</f>
        <v/>
      </c>
      <c r="M4387" s="14">
        <f>IF(A4387="","",MONTH(A4387))</f>
        <v/>
      </c>
      <c r="N4387" s="14">
        <f>IF(A4387="","",YEAR(A4387))</f>
        <v/>
      </c>
    </row>
    <row r="4388">
      <c r="A4388" s="15" t="n"/>
      <c r="B4388" s="10" t="n"/>
      <c r="C4388" s="10" t="n"/>
      <c r="D4388" s="10" t="n"/>
      <c r="E4388" s="14">
        <f>IF(D4388="","",IFERROR(INDEX('Sản phẩm'!$B$5:$B$304,MATCH(D4388,'Sản phẩm'!$A$5:$A$304,0)),""))</f>
        <v/>
      </c>
      <c r="F4388" s="12" t="n"/>
      <c r="G4388" s="11" t="n"/>
      <c r="H4388" s="11" t="n"/>
      <c r="I4388" s="16">
        <f>IF(D4388="","",IF(G4388&lt;&gt;"",G4388,IFERROR(INDEX('Sản phẩm'!$E$5:$E$304,MATCH(D4388,'Sản phẩm'!$A$5:$A$304,0)),"")))</f>
        <v/>
      </c>
      <c r="J4388" s="16">
        <f>IF(OR(D4388="",F4388=""),"",F4388*I4388-N(H4388))</f>
        <v/>
      </c>
      <c r="K4388" s="16">
        <f>IF(OR(D4388="",F4388=""),"",F4388*IFERROR(INDEX('Sản phẩm'!$D$5:$D$304,MATCH(D4388,'Sản phẩm'!$A$5:$A$304,0)),""))</f>
        <v/>
      </c>
      <c r="L4388" s="16">
        <f>IF(J4388="","",J4388-K4388)</f>
        <v/>
      </c>
      <c r="M4388" s="14">
        <f>IF(A4388="","",MONTH(A4388))</f>
        <v/>
      </c>
      <c r="N4388" s="14">
        <f>IF(A4388="","",YEAR(A4388))</f>
        <v/>
      </c>
    </row>
    <row r="4389">
      <c r="A4389" s="15" t="n"/>
      <c r="B4389" s="10" t="n"/>
      <c r="C4389" s="10" t="n"/>
      <c r="D4389" s="10" t="n"/>
      <c r="E4389" s="14">
        <f>IF(D4389="","",IFERROR(INDEX('Sản phẩm'!$B$5:$B$304,MATCH(D4389,'Sản phẩm'!$A$5:$A$304,0)),""))</f>
        <v/>
      </c>
      <c r="F4389" s="12" t="n"/>
      <c r="G4389" s="11" t="n"/>
      <c r="H4389" s="11" t="n"/>
      <c r="I4389" s="16">
        <f>IF(D4389="","",IF(G4389&lt;&gt;"",G4389,IFERROR(INDEX('Sản phẩm'!$E$5:$E$304,MATCH(D4389,'Sản phẩm'!$A$5:$A$304,0)),"")))</f>
        <v/>
      </c>
      <c r="J4389" s="16">
        <f>IF(OR(D4389="",F4389=""),"",F4389*I4389-N(H4389))</f>
        <v/>
      </c>
      <c r="K4389" s="16">
        <f>IF(OR(D4389="",F4389=""),"",F4389*IFERROR(INDEX('Sản phẩm'!$D$5:$D$304,MATCH(D4389,'Sản phẩm'!$A$5:$A$304,0)),""))</f>
        <v/>
      </c>
      <c r="L4389" s="16">
        <f>IF(J4389="","",J4389-K4389)</f>
        <v/>
      </c>
      <c r="M4389" s="14">
        <f>IF(A4389="","",MONTH(A4389))</f>
        <v/>
      </c>
      <c r="N4389" s="14">
        <f>IF(A4389="","",YEAR(A4389))</f>
        <v/>
      </c>
    </row>
    <row r="4390">
      <c r="A4390" s="15" t="n"/>
      <c r="B4390" s="10" t="n"/>
      <c r="C4390" s="10" t="n"/>
      <c r="D4390" s="10" t="n"/>
      <c r="E4390" s="14">
        <f>IF(D4390="","",IFERROR(INDEX('Sản phẩm'!$B$5:$B$304,MATCH(D4390,'Sản phẩm'!$A$5:$A$304,0)),""))</f>
        <v/>
      </c>
      <c r="F4390" s="12" t="n"/>
      <c r="G4390" s="11" t="n"/>
      <c r="H4390" s="11" t="n"/>
      <c r="I4390" s="16">
        <f>IF(D4390="","",IF(G4390&lt;&gt;"",G4390,IFERROR(INDEX('Sản phẩm'!$E$5:$E$304,MATCH(D4390,'Sản phẩm'!$A$5:$A$304,0)),"")))</f>
        <v/>
      </c>
      <c r="J4390" s="16">
        <f>IF(OR(D4390="",F4390=""),"",F4390*I4390-N(H4390))</f>
        <v/>
      </c>
      <c r="K4390" s="16">
        <f>IF(OR(D4390="",F4390=""),"",F4390*IFERROR(INDEX('Sản phẩm'!$D$5:$D$304,MATCH(D4390,'Sản phẩm'!$A$5:$A$304,0)),""))</f>
        <v/>
      </c>
      <c r="L4390" s="16">
        <f>IF(J4390="","",J4390-K4390)</f>
        <v/>
      </c>
      <c r="M4390" s="14">
        <f>IF(A4390="","",MONTH(A4390))</f>
        <v/>
      </c>
      <c r="N4390" s="14">
        <f>IF(A4390="","",YEAR(A4390))</f>
        <v/>
      </c>
    </row>
    <row r="4391">
      <c r="A4391" s="15" t="n"/>
      <c r="B4391" s="10" t="n"/>
      <c r="C4391" s="10" t="n"/>
      <c r="D4391" s="10" t="n"/>
      <c r="E4391" s="14">
        <f>IF(D4391="","",IFERROR(INDEX('Sản phẩm'!$B$5:$B$304,MATCH(D4391,'Sản phẩm'!$A$5:$A$304,0)),""))</f>
        <v/>
      </c>
      <c r="F4391" s="12" t="n"/>
      <c r="G4391" s="11" t="n"/>
      <c r="H4391" s="11" t="n"/>
      <c r="I4391" s="16">
        <f>IF(D4391="","",IF(G4391&lt;&gt;"",G4391,IFERROR(INDEX('Sản phẩm'!$E$5:$E$304,MATCH(D4391,'Sản phẩm'!$A$5:$A$304,0)),"")))</f>
        <v/>
      </c>
      <c r="J4391" s="16">
        <f>IF(OR(D4391="",F4391=""),"",F4391*I4391-N(H4391))</f>
        <v/>
      </c>
      <c r="K4391" s="16">
        <f>IF(OR(D4391="",F4391=""),"",F4391*IFERROR(INDEX('Sản phẩm'!$D$5:$D$304,MATCH(D4391,'Sản phẩm'!$A$5:$A$304,0)),""))</f>
        <v/>
      </c>
      <c r="L4391" s="16">
        <f>IF(J4391="","",J4391-K4391)</f>
        <v/>
      </c>
      <c r="M4391" s="14">
        <f>IF(A4391="","",MONTH(A4391))</f>
        <v/>
      </c>
      <c r="N4391" s="14">
        <f>IF(A4391="","",YEAR(A4391))</f>
        <v/>
      </c>
    </row>
    <row r="4392">
      <c r="A4392" s="15" t="n"/>
      <c r="B4392" s="10" t="n"/>
      <c r="C4392" s="10" t="n"/>
      <c r="D4392" s="10" t="n"/>
      <c r="E4392" s="14">
        <f>IF(D4392="","",IFERROR(INDEX('Sản phẩm'!$B$5:$B$304,MATCH(D4392,'Sản phẩm'!$A$5:$A$304,0)),""))</f>
        <v/>
      </c>
      <c r="F4392" s="12" t="n"/>
      <c r="G4392" s="11" t="n"/>
      <c r="H4392" s="11" t="n"/>
      <c r="I4392" s="16">
        <f>IF(D4392="","",IF(G4392&lt;&gt;"",G4392,IFERROR(INDEX('Sản phẩm'!$E$5:$E$304,MATCH(D4392,'Sản phẩm'!$A$5:$A$304,0)),"")))</f>
        <v/>
      </c>
      <c r="J4392" s="16">
        <f>IF(OR(D4392="",F4392=""),"",F4392*I4392-N(H4392))</f>
        <v/>
      </c>
      <c r="K4392" s="16">
        <f>IF(OR(D4392="",F4392=""),"",F4392*IFERROR(INDEX('Sản phẩm'!$D$5:$D$304,MATCH(D4392,'Sản phẩm'!$A$5:$A$304,0)),""))</f>
        <v/>
      </c>
      <c r="L4392" s="16">
        <f>IF(J4392="","",J4392-K4392)</f>
        <v/>
      </c>
      <c r="M4392" s="14">
        <f>IF(A4392="","",MONTH(A4392))</f>
        <v/>
      </c>
      <c r="N4392" s="14">
        <f>IF(A4392="","",YEAR(A4392))</f>
        <v/>
      </c>
    </row>
    <row r="4393">
      <c r="A4393" s="15" t="n"/>
      <c r="B4393" s="10" t="n"/>
      <c r="C4393" s="10" t="n"/>
      <c r="D4393" s="10" t="n"/>
      <c r="E4393" s="14">
        <f>IF(D4393="","",IFERROR(INDEX('Sản phẩm'!$B$5:$B$304,MATCH(D4393,'Sản phẩm'!$A$5:$A$304,0)),""))</f>
        <v/>
      </c>
      <c r="F4393" s="12" t="n"/>
      <c r="G4393" s="11" t="n"/>
      <c r="H4393" s="11" t="n"/>
      <c r="I4393" s="16">
        <f>IF(D4393="","",IF(G4393&lt;&gt;"",G4393,IFERROR(INDEX('Sản phẩm'!$E$5:$E$304,MATCH(D4393,'Sản phẩm'!$A$5:$A$304,0)),"")))</f>
        <v/>
      </c>
      <c r="J4393" s="16">
        <f>IF(OR(D4393="",F4393=""),"",F4393*I4393-N(H4393))</f>
        <v/>
      </c>
      <c r="K4393" s="16">
        <f>IF(OR(D4393="",F4393=""),"",F4393*IFERROR(INDEX('Sản phẩm'!$D$5:$D$304,MATCH(D4393,'Sản phẩm'!$A$5:$A$304,0)),""))</f>
        <v/>
      </c>
      <c r="L4393" s="16">
        <f>IF(J4393="","",J4393-K4393)</f>
        <v/>
      </c>
      <c r="M4393" s="14">
        <f>IF(A4393="","",MONTH(A4393))</f>
        <v/>
      </c>
      <c r="N4393" s="14">
        <f>IF(A4393="","",YEAR(A4393))</f>
        <v/>
      </c>
    </row>
    <row r="4394">
      <c r="A4394" s="15" t="n"/>
      <c r="B4394" s="10" t="n"/>
      <c r="C4394" s="10" t="n"/>
      <c r="D4394" s="10" t="n"/>
      <c r="E4394" s="14">
        <f>IF(D4394="","",IFERROR(INDEX('Sản phẩm'!$B$5:$B$304,MATCH(D4394,'Sản phẩm'!$A$5:$A$304,0)),""))</f>
        <v/>
      </c>
      <c r="F4394" s="12" t="n"/>
      <c r="G4394" s="11" t="n"/>
      <c r="H4394" s="11" t="n"/>
      <c r="I4394" s="16">
        <f>IF(D4394="","",IF(G4394&lt;&gt;"",G4394,IFERROR(INDEX('Sản phẩm'!$E$5:$E$304,MATCH(D4394,'Sản phẩm'!$A$5:$A$304,0)),"")))</f>
        <v/>
      </c>
      <c r="J4394" s="16">
        <f>IF(OR(D4394="",F4394=""),"",F4394*I4394-N(H4394))</f>
        <v/>
      </c>
      <c r="K4394" s="16">
        <f>IF(OR(D4394="",F4394=""),"",F4394*IFERROR(INDEX('Sản phẩm'!$D$5:$D$304,MATCH(D4394,'Sản phẩm'!$A$5:$A$304,0)),""))</f>
        <v/>
      </c>
      <c r="L4394" s="16">
        <f>IF(J4394="","",J4394-K4394)</f>
        <v/>
      </c>
      <c r="M4394" s="14">
        <f>IF(A4394="","",MONTH(A4394))</f>
        <v/>
      </c>
      <c r="N4394" s="14">
        <f>IF(A4394="","",YEAR(A4394))</f>
        <v/>
      </c>
    </row>
    <row r="4395">
      <c r="A4395" s="15" t="n"/>
      <c r="B4395" s="10" t="n"/>
      <c r="C4395" s="10" t="n"/>
      <c r="D4395" s="10" t="n"/>
      <c r="E4395" s="14">
        <f>IF(D4395="","",IFERROR(INDEX('Sản phẩm'!$B$5:$B$304,MATCH(D4395,'Sản phẩm'!$A$5:$A$304,0)),""))</f>
        <v/>
      </c>
      <c r="F4395" s="12" t="n"/>
      <c r="G4395" s="11" t="n"/>
      <c r="H4395" s="11" t="n"/>
      <c r="I4395" s="16">
        <f>IF(D4395="","",IF(G4395&lt;&gt;"",G4395,IFERROR(INDEX('Sản phẩm'!$E$5:$E$304,MATCH(D4395,'Sản phẩm'!$A$5:$A$304,0)),"")))</f>
        <v/>
      </c>
      <c r="J4395" s="16">
        <f>IF(OR(D4395="",F4395=""),"",F4395*I4395-N(H4395))</f>
        <v/>
      </c>
      <c r="K4395" s="16">
        <f>IF(OR(D4395="",F4395=""),"",F4395*IFERROR(INDEX('Sản phẩm'!$D$5:$D$304,MATCH(D4395,'Sản phẩm'!$A$5:$A$304,0)),""))</f>
        <v/>
      </c>
      <c r="L4395" s="16">
        <f>IF(J4395="","",J4395-K4395)</f>
        <v/>
      </c>
      <c r="M4395" s="14">
        <f>IF(A4395="","",MONTH(A4395))</f>
        <v/>
      </c>
      <c r="N4395" s="14">
        <f>IF(A4395="","",YEAR(A4395))</f>
        <v/>
      </c>
    </row>
    <row r="4396">
      <c r="A4396" s="15" t="n"/>
      <c r="B4396" s="10" t="n"/>
      <c r="C4396" s="10" t="n"/>
      <c r="D4396" s="10" t="n"/>
      <c r="E4396" s="14">
        <f>IF(D4396="","",IFERROR(INDEX('Sản phẩm'!$B$5:$B$304,MATCH(D4396,'Sản phẩm'!$A$5:$A$304,0)),""))</f>
        <v/>
      </c>
      <c r="F4396" s="12" t="n"/>
      <c r="G4396" s="11" t="n"/>
      <c r="H4396" s="11" t="n"/>
      <c r="I4396" s="16">
        <f>IF(D4396="","",IF(G4396&lt;&gt;"",G4396,IFERROR(INDEX('Sản phẩm'!$E$5:$E$304,MATCH(D4396,'Sản phẩm'!$A$5:$A$304,0)),"")))</f>
        <v/>
      </c>
      <c r="J4396" s="16">
        <f>IF(OR(D4396="",F4396=""),"",F4396*I4396-N(H4396))</f>
        <v/>
      </c>
      <c r="K4396" s="16">
        <f>IF(OR(D4396="",F4396=""),"",F4396*IFERROR(INDEX('Sản phẩm'!$D$5:$D$304,MATCH(D4396,'Sản phẩm'!$A$5:$A$304,0)),""))</f>
        <v/>
      </c>
      <c r="L4396" s="16">
        <f>IF(J4396="","",J4396-K4396)</f>
        <v/>
      </c>
      <c r="M4396" s="14">
        <f>IF(A4396="","",MONTH(A4396))</f>
        <v/>
      </c>
      <c r="N4396" s="14">
        <f>IF(A4396="","",YEAR(A4396))</f>
        <v/>
      </c>
    </row>
    <row r="4397">
      <c r="A4397" s="15" t="n"/>
      <c r="B4397" s="10" t="n"/>
      <c r="C4397" s="10" t="n"/>
      <c r="D4397" s="10" t="n"/>
      <c r="E4397" s="14">
        <f>IF(D4397="","",IFERROR(INDEX('Sản phẩm'!$B$5:$B$304,MATCH(D4397,'Sản phẩm'!$A$5:$A$304,0)),""))</f>
        <v/>
      </c>
      <c r="F4397" s="12" t="n"/>
      <c r="G4397" s="11" t="n"/>
      <c r="H4397" s="11" t="n"/>
      <c r="I4397" s="16">
        <f>IF(D4397="","",IF(G4397&lt;&gt;"",G4397,IFERROR(INDEX('Sản phẩm'!$E$5:$E$304,MATCH(D4397,'Sản phẩm'!$A$5:$A$304,0)),"")))</f>
        <v/>
      </c>
      <c r="J4397" s="16">
        <f>IF(OR(D4397="",F4397=""),"",F4397*I4397-N(H4397))</f>
        <v/>
      </c>
      <c r="K4397" s="16">
        <f>IF(OR(D4397="",F4397=""),"",F4397*IFERROR(INDEX('Sản phẩm'!$D$5:$D$304,MATCH(D4397,'Sản phẩm'!$A$5:$A$304,0)),""))</f>
        <v/>
      </c>
      <c r="L4397" s="16">
        <f>IF(J4397="","",J4397-K4397)</f>
        <v/>
      </c>
      <c r="M4397" s="14">
        <f>IF(A4397="","",MONTH(A4397))</f>
        <v/>
      </c>
      <c r="N4397" s="14">
        <f>IF(A4397="","",YEAR(A4397))</f>
        <v/>
      </c>
    </row>
    <row r="4398">
      <c r="A4398" s="15" t="n"/>
      <c r="B4398" s="10" t="n"/>
      <c r="C4398" s="10" t="n"/>
      <c r="D4398" s="10" t="n"/>
      <c r="E4398" s="14">
        <f>IF(D4398="","",IFERROR(INDEX('Sản phẩm'!$B$5:$B$304,MATCH(D4398,'Sản phẩm'!$A$5:$A$304,0)),""))</f>
        <v/>
      </c>
      <c r="F4398" s="12" t="n"/>
      <c r="G4398" s="11" t="n"/>
      <c r="H4398" s="11" t="n"/>
      <c r="I4398" s="16">
        <f>IF(D4398="","",IF(G4398&lt;&gt;"",G4398,IFERROR(INDEX('Sản phẩm'!$E$5:$E$304,MATCH(D4398,'Sản phẩm'!$A$5:$A$304,0)),"")))</f>
        <v/>
      </c>
      <c r="J4398" s="16">
        <f>IF(OR(D4398="",F4398=""),"",F4398*I4398-N(H4398))</f>
        <v/>
      </c>
      <c r="K4398" s="16">
        <f>IF(OR(D4398="",F4398=""),"",F4398*IFERROR(INDEX('Sản phẩm'!$D$5:$D$304,MATCH(D4398,'Sản phẩm'!$A$5:$A$304,0)),""))</f>
        <v/>
      </c>
      <c r="L4398" s="16">
        <f>IF(J4398="","",J4398-K4398)</f>
        <v/>
      </c>
      <c r="M4398" s="14">
        <f>IF(A4398="","",MONTH(A4398))</f>
        <v/>
      </c>
      <c r="N4398" s="14">
        <f>IF(A4398="","",YEAR(A4398))</f>
        <v/>
      </c>
    </row>
    <row r="4399">
      <c r="A4399" s="15" t="n"/>
      <c r="B4399" s="10" t="n"/>
      <c r="C4399" s="10" t="n"/>
      <c r="D4399" s="10" t="n"/>
      <c r="E4399" s="14">
        <f>IF(D4399="","",IFERROR(INDEX('Sản phẩm'!$B$5:$B$304,MATCH(D4399,'Sản phẩm'!$A$5:$A$304,0)),""))</f>
        <v/>
      </c>
      <c r="F4399" s="12" t="n"/>
      <c r="G4399" s="11" t="n"/>
      <c r="H4399" s="11" t="n"/>
      <c r="I4399" s="16">
        <f>IF(D4399="","",IF(G4399&lt;&gt;"",G4399,IFERROR(INDEX('Sản phẩm'!$E$5:$E$304,MATCH(D4399,'Sản phẩm'!$A$5:$A$304,0)),"")))</f>
        <v/>
      </c>
      <c r="J4399" s="16">
        <f>IF(OR(D4399="",F4399=""),"",F4399*I4399-N(H4399))</f>
        <v/>
      </c>
      <c r="K4399" s="16">
        <f>IF(OR(D4399="",F4399=""),"",F4399*IFERROR(INDEX('Sản phẩm'!$D$5:$D$304,MATCH(D4399,'Sản phẩm'!$A$5:$A$304,0)),""))</f>
        <v/>
      </c>
      <c r="L4399" s="16">
        <f>IF(J4399="","",J4399-K4399)</f>
        <v/>
      </c>
      <c r="M4399" s="14">
        <f>IF(A4399="","",MONTH(A4399))</f>
        <v/>
      </c>
      <c r="N4399" s="14">
        <f>IF(A4399="","",YEAR(A4399))</f>
        <v/>
      </c>
    </row>
    <row r="4400">
      <c r="A4400" s="15" t="n"/>
      <c r="B4400" s="10" t="n"/>
      <c r="C4400" s="10" t="n"/>
      <c r="D4400" s="10" t="n"/>
      <c r="E4400" s="14">
        <f>IF(D4400="","",IFERROR(INDEX('Sản phẩm'!$B$5:$B$304,MATCH(D4400,'Sản phẩm'!$A$5:$A$304,0)),""))</f>
        <v/>
      </c>
      <c r="F4400" s="12" t="n"/>
      <c r="G4400" s="11" t="n"/>
      <c r="H4400" s="11" t="n"/>
      <c r="I4400" s="16">
        <f>IF(D4400="","",IF(G4400&lt;&gt;"",G4400,IFERROR(INDEX('Sản phẩm'!$E$5:$E$304,MATCH(D4400,'Sản phẩm'!$A$5:$A$304,0)),"")))</f>
        <v/>
      </c>
      <c r="J4400" s="16">
        <f>IF(OR(D4400="",F4400=""),"",F4400*I4400-N(H4400))</f>
        <v/>
      </c>
      <c r="K4400" s="16">
        <f>IF(OR(D4400="",F4400=""),"",F4400*IFERROR(INDEX('Sản phẩm'!$D$5:$D$304,MATCH(D4400,'Sản phẩm'!$A$5:$A$304,0)),""))</f>
        <v/>
      </c>
      <c r="L4400" s="16">
        <f>IF(J4400="","",J4400-K4400)</f>
        <v/>
      </c>
      <c r="M4400" s="14">
        <f>IF(A4400="","",MONTH(A4400))</f>
        <v/>
      </c>
      <c r="N4400" s="14">
        <f>IF(A4400="","",YEAR(A4400))</f>
        <v/>
      </c>
    </row>
    <row r="4401">
      <c r="A4401" s="15" t="n"/>
      <c r="B4401" s="10" t="n"/>
      <c r="C4401" s="10" t="n"/>
      <c r="D4401" s="10" t="n"/>
      <c r="E4401" s="14">
        <f>IF(D4401="","",IFERROR(INDEX('Sản phẩm'!$B$5:$B$304,MATCH(D4401,'Sản phẩm'!$A$5:$A$304,0)),""))</f>
        <v/>
      </c>
      <c r="F4401" s="12" t="n"/>
      <c r="G4401" s="11" t="n"/>
      <c r="H4401" s="11" t="n"/>
      <c r="I4401" s="16">
        <f>IF(D4401="","",IF(G4401&lt;&gt;"",G4401,IFERROR(INDEX('Sản phẩm'!$E$5:$E$304,MATCH(D4401,'Sản phẩm'!$A$5:$A$304,0)),"")))</f>
        <v/>
      </c>
      <c r="J4401" s="16">
        <f>IF(OR(D4401="",F4401=""),"",F4401*I4401-N(H4401))</f>
        <v/>
      </c>
      <c r="K4401" s="16">
        <f>IF(OR(D4401="",F4401=""),"",F4401*IFERROR(INDEX('Sản phẩm'!$D$5:$D$304,MATCH(D4401,'Sản phẩm'!$A$5:$A$304,0)),""))</f>
        <v/>
      </c>
      <c r="L4401" s="16">
        <f>IF(J4401="","",J4401-K4401)</f>
        <v/>
      </c>
      <c r="M4401" s="14">
        <f>IF(A4401="","",MONTH(A4401))</f>
        <v/>
      </c>
      <c r="N4401" s="14">
        <f>IF(A4401="","",YEAR(A4401))</f>
        <v/>
      </c>
    </row>
    <row r="4402">
      <c r="A4402" s="15" t="n"/>
      <c r="B4402" s="10" t="n"/>
      <c r="C4402" s="10" t="n"/>
      <c r="D4402" s="10" t="n"/>
      <c r="E4402" s="14">
        <f>IF(D4402="","",IFERROR(INDEX('Sản phẩm'!$B$5:$B$304,MATCH(D4402,'Sản phẩm'!$A$5:$A$304,0)),""))</f>
        <v/>
      </c>
      <c r="F4402" s="12" t="n"/>
      <c r="G4402" s="11" t="n"/>
      <c r="H4402" s="11" t="n"/>
      <c r="I4402" s="16">
        <f>IF(D4402="","",IF(G4402&lt;&gt;"",G4402,IFERROR(INDEX('Sản phẩm'!$E$5:$E$304,MATCH(D4402,'Sản phẩm'!$A$5:$A$304,0)),"")))</f>
        <v/>
      </c>
      <c r="J4402" s="16">
        <f>IF(OR(D4402="",F4402=""),"",F4402*I4402-N(H4402))</f>
        <v/>
      </c>
      <c r="K4402" s="16">
        <f>IF(OR(D4402="",F4402=""),"",F4402*IFERROR(INDEX('Sản phẩm'!$D$5:$D$304,MATCH(D4402,'Sản phẩm'!$A$5:$A$304,0)),""))</f>
        <v/>
      </c>
      <c r="L4402" s="16">
        <f>IF(J4402="","",J4402-K4402)</f>
        <v/>
      </c>
      <c r="M4402" s="14">
        <f>IF(A4402="","",MONTH(A4402))</f>
        <v/>
      </c>
      <c r="N4402" s="14">
        <f>IF(A4402="","",YEAR(A4402))</f>
        <v/>
      </c>
    </row>
    <row r="4403">
      <c r="A4403" s="15" t="n"/>
      <c r="B4403" s="10" t="n"/>
      <c r="C4403" s="10" t="n"/>
      <c r="D4403" s="10" t="n"/>
      <c r="E4403" s="14">
        <f>IF(D4403="","",IFERROR(INDEX('Sản phẩm'!$B$5:$B$304,MATCH(D4403,'Sản phẩm'!$A$5:$A$304,0)),""))</f>
        <v/>
      </c>
      <c r="F4403" s="12" t="n"/>
      <c r="G4403" s="11" t="n"/>
      <c r="H4403" s="11" t="n"/>
      <c r="I4403" s="16">
        <f>IF(D4403="","",IF(G4403&lt;&gt;"",G4403,IFERROR(INDEX('Sản phẩm'!$E$5:$E$304,MATCH(D4403,'Sản phẩm'!$A$5:$A$304,0)),"")))</f>
        <v/>
      </c>
      <c r="J4403" s="16">
        <f>IF(OR(D4403="",F4403=""),"",F4403*I4403-N(H4403))</f>
        <v/>
      </c>
      <c r="K4403" s="16">
        <f>IF(OR(D4403="",F4403=""),"",F4403*IFERROR(INDEX('Sản phẩm'!$D$5:$D$304,MATCH(D4403,'Sản phẩm'!$A$5:$A$304,0)),""))</f>
        <v/>
      </c>
      <c r="L4403" s="16">
        <f>IF(J4403="","",J4403-K4403)</f>
        <v/>
      </c>
      <c r="M4403" s="14">
        <f>IF(A4403="","",MONTH(A4403))</f>
        <v/>
      </c>
      <c r="N4403" s="14">
        <f>IF(A4403="","",YEAR(A4403))</f>
        <v/>
      </c>
    </row>
    <row r="4404">
      <c r="A4404" s="15" t="n"/>
      <c r="B4404" s="10" t="n"/>
      <c r="C4404" s="10" t="n"/>
      <c r="D4404" s="10" t="n"/>
      <c r="E4404" s="14">
        <f>IF(D4404="","",IFERROR(INDEX('Sản phẩm'!$B$5:$B$304,MATCH(D4404,'Sản phẩm'!$A$5:$A$304,0)),""))</f>
        <v/>
      </c>
      <c r="F4404" s="12" t="n"/>
      <c r="G4404" s="11" t="n"/>
      <c r="H4404" s="11" t="n"/>
      <c r="I4404" s="16">
        <f>IF(D4404="","",IF(G4404&lt;&gt;"",G4404,IFERROR(INDEX('Sản phẩm'!$E$5:$E$304,MATCH(D4404,'Sản phẩm'!$A$5:$A$304,0)),"")))</f>
        <v/>
      </c>
      <c r="J4404" s="16">
        <f>IF(OR(D4404="",F4404=""),"",F4404*I4404-N(H4404))</f>
        <v/>
      </c>
      <c r="K4404" s="16">
        <f>IF(OR(D4404="",F4404=""),"",F4404*IFERROR(INDEX('Sản phẩm'!$D$5:$D$304,MATCH(D4404,'Sản phẩm'!$A$5:$A$304,0)),""))</f>
        <v/>
      </c>
      <c r="L4404" s="16">
        <f>IF(J4404="","",J4404-K4404)</f>
        <v/>
      </c>
      <c r="M4404" s="14">
        <f>IF(A4404="","",MONTH(A4404))</f>
        <v/>
      </c>
      <c r="N4404" s="14">
        <f>IF(A4404="","",YEAR(A4404))</f>
        <v/>
      </c>
    </row>
    <row r="4405">
      <c r="A4405" s="15" t="n"/>
      <c r="B4405" s="10" t="n"/>
      <c r="C4405" s="10" t="n"/>
      <c r="D4405" s="10" t="n"/>
      <c r="E4405" s="14">
        <f>IF(D4405="","",IFERROR(INDEX('Sản phẩm'!$B$5:$B$304,MATCH(D4405,'Sản phẩm'!$A$5:$A$304,0)),""))</f>
        <v/>
      </c>
      <c r="F4405" s="12" t="n"/>
      <c r="G4405" s="11" t="n"/>
      <c r="H4405" s="11" t="n"/>
      <c r="I4405" s="16">
        <f>IF(D4405="","",IF(G4405&lt;&gt;"",G4405,IFERROR(INDEX('Sản phẩm'!$E$5:$E$304,MATCH(D4405,'Sản phẩm'!$A$5:$A$304,0)),"")))</f>
        <v/>
      </c>
      <c r="J4405" s="16">
        <f>IF(OR(D4405="",F4405=""),"",F4405*I4405-N(H4405))</f>
        <v/>
      </c>
      <c r="K4405" s="16">
        <f>IF(OR(D4405="",F4405=""),"",F4405*IFERROR(INDEX('Sản phẩm'!$D$5:$D$304,MATCH(D4405,'Sản phẩm'!$A$5:$A$304,0)),""))</f>
        <v/>
      </c>
      <c r="L4405" s="16">
        <f>IF(J4405="","",J4405-K4405)</f>
        <v/>
      </c>
      <c r="M4405" s="14">
        <f>IF(A4405="","",MONTH(A4405))</f>
        <v/>
      </c>
      <c r="N4405" s="14">
        <f>IF(A4405="","",YEAR(A4405))</f>
        <v/>
      </c>
    </row>
    <row r="4406">
      <c r="A4406" s="15" t="n"/>
      <c r="B4406" s="10" t="n"/>
      <c r="C4406" s="10" t="n"/>
      <c r="D4406" s="10" t="n"/>
      <c r="E4406" s="14">
        <f>IF(D4406="","",IFERROR(INDEX('Sản phẩm'!$B$5:$B$304,MATCH(D4406,'Sản phẩm'!$A$5:$A$304,0)),""))</f>
        <v/>
      </c>
      <c r="F4406" s="12" t="n"/>
      <c r="G4406" s="11" t="n"/>
      <c r="H4406" s="11" t="n"/>
      <c r="I4406" s="16">
        <f>IF(D4406="","",IF(G4406&lt;&gt;"",G4406,IFERROR(INDEX('Sản phẩm'!$E$5:$E$304,MATCH(D4406,'Sản phẩm'!$A$5:$A$304,0)),"")))</f>
        <v/>
      </c>
      <c r="J4406" s="16">
        <f>IF(OR(D4406="",F4406=""),"",F4406*I4406-N(H4406))</f>
        <v/>
      </c>
      <c r="K4406" s="16">
        <f>IF(OR(D4406="",F4406=""),"",F4406*IFERROR(INDEX('Sản phẩm'!$D$5:$D$304,MATCH(D4406,'Sản phẩm'!$A$5:$A$304,0)),""))</f>
        <v/>
      </c>
      <c r="L4406" s="16">
        <f>IF(J4406="","",J4406-K4406)</f>
        <v/>
      </c>
      <c r="M4406" s="14">
        <f>IF(A4406="","",MONTH(A4406))</f>
        <v/>
      </c>
      <c r="N4406" s="14">
        <f>IF(A4406="","",YEAR(A4406))</f>
        <v/>
      </c>
    </row>
    <row r="4407">
      <c r="A4407" s="15" t="n"/>
      <c r="B4407" s="10" t="n"/>
      <c r="C4407" s="10" t="n"/>
      <c r="D4407" s="10" t="n"/>
      <c r="E4407" s="14">
        <f>IF(D4407="","",IFERROR(INDEX('Sản phẩm'!$B$5:$B$304,MATCH(D4407,'Sản phẩm'!$A$5:$A$304,0)),""))</f>
        <v/>
      </c>
      <c r="F4407" s="12" t="n"/>
      <c r="G4407" s="11" t="n"/>
      <c r="H4407" s="11" t="n"/>
      <c r="I4407" s="16">
        <f>IF(D4407="","",IF(G4407&lt;&gt;"",G4407,IFERROR(INDEX('Sản phẩm'!$E$5:$E$304,MATCH(D4407,'Sản phẩm'!$A$5:$A$304,0)),"")))</f>
        <v/>
      </c>
      <c r="J4407" s="16">
        <f>IF(OR(D4407="",F4407=""),"",F4407*I4407-N(H4407))</f>
        <v/>
      </c>
      <c r="K4407" s="16">
        <f>IF(OR(D4407="",F4407=""),"",F4407*IFERROR(INDEX('Sản phẩm'!$D$5:$D$304,MATCH(D4407,'Sản phẩm'!$A$5:$A$304,0)),""))</f>
        <v/>
      </c>
      <c r="L4407" s="16">
        <f>IF(J4407="","",J4407-K4407)</f>
        <v/>
      </c>
      <c r="M4407" s="14">
        <f>IF(A4407="","",MONTH(A4407))</f>
        <v/>
      </c>
      <c r="N4407" s="14">
        <f>IF(A4407="","",YEAR(A4407))</f>
        <v/>
      </c>
    </row>
    <row r="4408">
      <c r="A4408" s="15" t="n"/>
      <c r="B4408" s="10" t="n"/>
      <c r="C4408" s="10" t="n"/>
      <c r="D4408" s="10" t="n"/>
      <c r="E4408" s="14">
        <f>IF(D4408="","",IFERROR(INDEX('Sản phẩm'!$B$5:$B$304,MATCH(D4408,'Sản phẩm'!$A$5:$A$304,0)),""))</f>
        <v/>
      </c>
      <c r="F4408" s="12" t="n"/>
      <c r="G4408" s="11" t="n"/>
      <c r="H4408" s="11" t="n"/>
      <c r="I4408" s="16">
        <f>IF(D4408="","",IF(G4408&lt;&gt;"",G4408,IFERROR(INDEX('Sản phẩm'!$E$5:$E$304,MATCH(D4408,'Sản phẩm'!$A$5:$A$304,0)),"")))</f>
        <v/>
      </c>
      <c r="J4408" s="16">
        <f>IF(OR(D4408="",F4408=""),"",F4408*I4408-N(H4408))</f>
        <v/>
      </c>
      <c r="K4408" s="16">
        <f>IF(OR(D4408="",F4408=""),"",F4408*IFERROR(INDEX('Sản phẩm'!$D$5:$D$304,MATCH(D4408,'Sản phẩm'!$A$5:$A$304,0)),""))</f>
        <v/>
      </c>
      <c r="L4408" s="16">
        <f>IF(J4408="","",J4408-K4408)</f>
        <v/>
      </c>
      <c r="M4408" s="14">
        <f>IF(A4408="","",MONTH(A4408))</f>
        <v/>
      </c>
      <c r="N4408" s="14">
        <f>IF(A4408="","",YEAR(A4408))</f>
        <v/>
      </c>
    </row>
    <row r="4409">
      <c r="A4409" s="15" t="n"/>
      <c r="B4409" s="10" t="n"/>
      <c r="C4409" s="10" t="n"/>
      <c r="D4409" s="10" t="n"/>
      <c r="E4409" s="14">
        <f>IF(D4409="","",IFERROR(INDEX('Sản phẩm'!$B$5:$B$304,MATCH(D4409,'Sản phẩm'!$A$5:$A$304,0)),""))</f>
        <v/>
      </c>
      <c r="F4409" s="12" t="n"/>
      <c r="G4409" s="11" t="n"/>
      <c r="H4409" s="11" t="n"/>
      <c r="I4409" s="16">
        <f>IF(D4409="","",IF(G4409&lt;&gt;"",G4409,IFERROR(INDEX('Sản phẩm'!$E$5:$E$304,MATCH(D4409,'Sản phẩm'!$A$5:$A$304,0)),"")))</f>
        <v/>
      </c>
      <c r="J4409" s="16">
        <f>IF(OR(D4409="",F4409=""),"",F4409*I4409-N(H4409))</f>
        <v/>
      </c>
      <c r="K4409" s="16">
        <f>IF(OR(D4409="",F4409=""),"",F4409*IFERROR(INDEX('Sản phẩm'!$D$5:$D$304,MATCH(D4409,'Sản phẩm'!$A$5:$A$304,0)),""))</f>
        <v/>
      </c>
      <c r="L4409" s="16">
        <f>IF(J4409="","",J4409-K4409)</f>
        <v/>
      </c>
      <c r="M4409" s="14">
        <f>IF(A4409="","",MONTH(A4409))</f>
        <v/>
      </c>
      <c r="N4409" s="14">
        <f>IF(A4409="","",YEAR(A4409))</f>
        <v/>
      </c>
    </row>
    <row r="4410">
      <c r="A4410" s="15" t="n"/>
      <c r="B4410" s="10" t="n"/>
      <c r="C4410" s="10" t="n"/>
      <c r="D4410" s="10" t="n"/>
      <c r="E4410" s="14">
        <f>IF(D4410="","",IFERROR(INDEX('Sản phẩm'!$B$5:$B$304,MATCH(D4410,'Sản phẩm'!$A$5:$A$304,0)),""))</f>
        <v/>
      </c>
      <c r="F4410" s="12" t="n"/>
      <c r="G4410" s="11" t="n"/>
      <c r="H4410" s="11" t="n"/>
      <c r="I4410" s="16">
        <f>IF(D4410="","",IF(G4410&lt;&gt;"",G4410,IFERROR(INDEX('Sản phẩm'!$E$5:$E$304,MATCH(D4410,'Sản phẩm'!$A$5:$A$304,0)),"")))</f>
        <v/>
      </c>
      <c r="J4410" s="16">
        <f>IF(OR(D4410="",F4410=""),"",F4410*I4410-N(H4410))</f>
        <v/>
      </c>
      <c r="K4410" s="16">
        <f>IF(OR(D4410="",F4410=""),"",F4410*IFERROR(INDEX('Sản phẩm'!$D$5:$D$304,MATCH(D4410,'Sản phẩm'!$A$5:$A$304,0)),""))</f>
        <v/>
      </c>
      <c r="L4410" s="16">
        <f>IF(J4410="","",J4410-K4410)</f>
        <v/>
      </c>
      <c r="M4410" s="14">
        <f>IF(A4410="","",MONTH(A4410))</f>
        <v/>
      </c>
      <c r="N4410" s="14">
        <f>IF(A4410="","",YEAR(A4410))</f>
        <v/>
      </c>
    </row>
    <row r="4411">
      <c r="A4411" s="15" t="n"/>
      <c r="B4411" s="10" t="n"/>
      <c r="C4411" s="10" t="n"/>
      <c r="D4411" s="10" t="n"/>
      <c r="E4411" s="14">
        <f>IF(D4411="","",IFERROR(INDEX('Sản phẩm'!$B$5:$B$304,MATCH(D4411,'Sản phẩm'!$A$5:$A$304,0)),""))</f>
        <v/>
      </c>
      <c r="F4411" s="12" t="n"/>
      <c r="G4411" s="11" t="n"/>
      <c r="H4411" s="11" t="n"/>
      <c r="I4411" s="16">
        <f>IF(D4411="","",IF(G4411&lt;&gt;"",G4411,IFERROR(INDEX('Sản phẩm'!$E$5:$E$304,MATCH(D4411,'Sản phẩm'!$A$5:$A$304,0)),"")))</f>
        <v/>
      </c>
      <c r="J4411" s="16">
        <f>IF(OR(D4411="",F4411=""),"",F4411*I4411-N(H4411))</f>
        <v/>
      </c>
      <c r="K4411" s="16">
        <f>IF(OR(D4411="",F4411=""),"",F4411*IFERROR(INDEX('Sản phẩm'!$D$5:$D$304,MATCH(D4411,'Sản phẩm'!$A$5:$A$304,0)),""))</f>
        <v/>
      </c>
      <c r="L4411" s="16">
        <f>IF(J4411="","",J4411-K4411)</f>
        <v/>
      </c>
      <c r="M4411" s="14">
        <f>IF(A4411="","",MONTH(A4411))</f>
        <v/>
      </c>
      <c r="N4411" s="14">
        <f>IF(A4411="","",YEAR(A4411))</f>
        <v/>
      </c>
    </row>
    <row r="4412">
      <c r="A4412" s="15" t="n"/>
      <c r="B4412" s="10" t="n"/>
      <c r="C4412" s="10" t="n"/>
      <c r="D4412" s="10" t="n"/>
      <c r="E4412" s="14">
        <f>IF(D4412="","",IFERROR(INDEX('Sản phẩm'!$B$5:$B$304,MATCH(D4412,'Sản phẩm'!$A$5:$A$304,0)),""))</f>
        <v/>
      </c>
      <c r="F4412" s="12" t="n"/>
      <c r="G4412" s="11" t="n"/>
      <c r="H4412" s="11" t="n"/>
      <c r="I4412" s="16">
        <f>IF(D4412="","",IF(G4412&lt;&gt;"",G4412,IFERROR(INDEX('Sản phẩm'!$E$5:$E$304,MATCH(D4412,'Sản phẩm'!$A$5:$A$304,0)),"")))</f>
        <v/>
      </c>
      <c r="J4412" s="16">
        <f>IF(OR(D4412="",F4412=""),"",F4412*I4412-N(H4412))</f>
        <v/>
      </c>
      <c r="K4412" s="16">
        <f>IF(OR(D4412="",F4412=""),"",F4412*IFERROR(INDEX('Sản phẩm'!$D$5:$D$304,MATCH(D4412,'Sản phẩm'!$A$5:$A$304,0)),""))</f>
        <v/>
      </c>
      <c r="L4412" s="16">
        <f>IF(J4412="","",J4412-K4412)</f>
        <v/>
      </c>
      <c r="M4412" s="14">
        <f>IF(A4412="","",MONTH(A4412))</f>
        <v/>
      </c>
      <c r="N4412" s="14">
        <f>IF(A4412="","",YEAR(A4412))</f>
        <v/>
      </c>
    </row>
    <row r="4413">
      <c r="A4413" s="15" t="n"/>
      <c r="B4413" s="10" t="n"/>
      <c r="C4413" s="10" t="n"/>
      <c r="D4413" s="10" t="n"/>
      <c r="E4413" s="14">
        <f>IF(D4413="","",IFERROR(INDEX('Sản phẩm'!$B$5:$B$304,MATCH(D4413,'Sản phẩm'!$A$5:$A$304,0)),""))</f>
        <v/>
      </c>
      <c r="F4413" s="12" t="n"/>
      <c r="G4413" s="11" t="n"/>
      <c r="H4413" s="11" t="n"/>
      <c r="I4413" s="16">
        <f>IF(D4413="","",IF(G4413&lt;&gt;"",G4413,IFERROR(INDEX('Sản phẩm'!$E$5:$E$304,MATCH(D4413,'Sản phẩm'!$A$5:$A$304,0)),"")))</f>
        <v/>
      </c>
      <c r="J4413" s="16">
        <f>IF(OR(D4413="",F4413=""),"",F4413*I4413-N(H4413))</f>
        <v/>
      </c>
      <c r="K4413" s="16">
        <f>IF(OR(D4413="",F4413=""),"",F4413*IFERROR(INDEX('Sản phẩm'!$D$5:$D$304,MATCH(D4413,'Sản phẩm'!$A$5:$A$304,0)),""))</f>
        <v/>
      </c>
      <c r="L4413" s="16">
        <f>IF(J4413="","",J4413-K4413)</f>
        <v/>
      </c>
      <c r="M4413" s="14">
        <f>IF(A4413="","",MONTH(A4413))</f>
        <v/>
      </c>
      <c r="N4413" s="14">
        <f>IF(A4413="","",YEAR(A4413))</f>
        <v/>
      </c>
    </row>
    <row r="4414">
      <c r="A4414" s="15" t="n"/>
      <c r="B4414" s="10" t="n"/>
      <c r="C4414" s="10" t="n"/>
      <c r="D4414" s="10" t="n"/>
      <c r="E4414" s="14">
        <f>IF(D4414="","",IFERROR(INDEX('Sản phẩm'!$B$5:$B$304,MATCH(D4414,'Sản phẩm'!$A$5:$A$304,0)),""))</f>
        <v/>
      </c>
      <c r="F4414" s="12" t="n"/>
      <c r="G4414" s="11" t="n"/>
      <c r="H4414" s="11" t="n"/>
      <c r="I4414" s="16">
        <f>IF(D4414="","",IF(G4414&lt;&gt;"",G4414,IFERROR(INDEX('Sản phẩm'!$E$5:$E$304,MATCH(D4414,'Sản phẩm'!$A$5:$A$304,0)),"")))</f>
        <v/>
      </c>
      <c r="J4414" s="16">
        <f>IF(OR(D4414="",F4414=""),"",F4414*I4414-N(H4414))</f>
        <v/>
      </c>
      <c r="K4414" s="16">
        <f>IF(OR(D4414="",F4414=""),"",F4414*IFERROR(INDEX('Sản phẩm'!$D$5:$D$304,MATCH(D4414,'Sản phẩm'!$A$5:$A$304,0)),""))</f>
        <v/>
      </c>
      <c r="L4414" s="16">
        <f>IF(J4414="","",J4414-K4414)</f>
        <v/>
      </c>
      <c r="M4414" s="14">
        <f>IF(A4414="","",MONTH(A4414))</f>
        <v/>
      </c>
      <c r="N4414" s="14">
        <f>IF(A4414="","",YEAR(A4414))</f>
        <v/>
      </c>
    </row>
    <row r="4415">
      <c r="A4415" s="15" t="n"/>
      <c r="B4415" s="10" t="n"/>
      <c r="C4415" s="10" t="n"/>
      <c r="D4415" s="10" t="n"/>
      <c r="E4415" s="14">
        <f>IF(D4415="","",IFERROR(INDEX('Sản phẩm'!$B$5:$B$304,MATCH(D4415,'Sản phẩm'!$A$5:$A$304,0)),""))</f>
        <v/>
      </c>
      <c r="F4415" s="12" t="n"/>
      <c r="G4415" s="11" t="n"/>
      <c r="H4415" s="11" t="n"/>
      <c r="I4415" s="16">
        <f>IF(D4415="","",IF(G4415&lt;&gt;"",G4415,IFERROR(INDEX('Sản phẩm'!$E$5:$E$304,MATCH(D4415,'Sản phẩm'!$A$5:$A$304,0)),"")))</f>
        <v/>
      </c>
      <c r="J4415" s="16">
        <f>IF(OR(D4415="",F4415=""),"",F4415*I4415-N(H4415))</f>
        <v/>
      </c>
      <c r="K4415" s="16">
        <f>IF(OR(D4415="",F4415=""),"",F4415*IFERROR(INDEX('Sản phẩm'!$D$5:$D$304,MATCH(D4415,'Sản phẩm'!$A$5:$A$304,0)),""))</f>
        <v/>
      </c>
      <c r="L4415" s="16">
        <f>IF(J4415="","",J4415-K4415)</f>
        <v/>
      </c>
      <c r="M4415" s="14">
        <f>IF(A4415="","",MONTH(A4415))</f>
        <v/>
      </c>
      <c r="N4415" s="14">
        <f>IF(A4415="","",YEAR(A4415))</f>
        <v/>
      </c>
    </row>
    <row r="4416">
      <c r="A4416" s="15" t="n"/>
      <c r="B4416" s="10" t="n"/>
      <c r="C4416" s="10" t="n"/>
      <c r="D4416" s="10" t="n"/>
      <c r="E4416" s="14">
        <f>IF(D4416="","",IFERROR(INDEX('Sản phẩm'!$B$5:$B$304,MATCH(D4416,'Sản phẩm'!$A$5:$A$304,0)),""))</f>
        <v/>
      </c>
      <c r="F4416" s="12" t="n"/>
      <c r="G4416" s="11" t="n"/>
      <c r="H4416" s="11" t="n"/>
      <c r="I4416" s="16">
        <f>IF(D4416="","",IF(G4416&lt;&gt;"",G4416,IFERROR(INDEX('Sản phẩm'!$E$5:$E$304,MATCH(D4416,'Sản phẩm'!$A$5:$A$304,0)),"")))</f>
        <v/>
      </c>
      <c r="J4416" s="16">
        <f>IF(OR(D4416="",F4416=""),"",F4416*I4416-N(H4416))</f>
        <v/>
      </c>
      <c r="K4416" s="16">
        <f>IF(OR(D4416="",F4416=""),"",F4416*IFERROR(INDEX('Sản phẩm'!$D$5:$D$304,MATCH(D4416,'Sản phẩm'!$A$5:$A$304,0)),""))</f>
        <v/>
      </c>
      <c r="L4416" s="16">
        <f>IF(J4416="","",J4416-K4416)</f>
        <v/>
      </c>
      <c r="M4416" s="14">
        <f>IF(A4416="","",MONTH(A4416))</f>
        <v/>
      </c>
      <c r="N4416" s="14">
        <f>IF(A4416="","",YEAR(A4416))</f>
        <v/>
      </c>
    </row>
    <row r="4417">
      <c r="A4417" s="15" t="n"/>
      <c r="B4417" s="10" t="n"/>
      <c r="C4417" s="10" t="n"/>
      <c r="D4417" s="10" t="n"/>
      <c r="E4417" s="14">
        <f>IF(D4417="","",IFERROR(INDEX('Sản phẩm'!$B$5:$B$304,MATCH(D4417,'Sản phẩm'!$A$5:$A$304,0)),""))</f>
        <v/>
      </c>
      <c r="F4417" s="12" t="n"/>
      <c r="G4417" s="11" t="n"/>
      <c r="H4417" s="11" t="n"/>
      <c r="I4417" s="16">
        <f>IF(D4417="","",IF(G4417&lt;&gt;"",G4417,IFERROR(INDEX('Sản phẩm'!$E$5:$E$304,MATCH(D4417,'Sản phẩm'!$A$5:$A$304,0)),"")))</f>
        <v/>
      </c>
      <c r="J4417" s="16">
        <f>IF(OR(D4417="",F4417=""),"",F4417*I4417-N(H4417))</f>
        <v/>
      </c>
      <c r="K4417" s="16">
        <f>IF(OR(D4417="",F4417=""),"",F4417*IFERROR(INDEX('Sản phẩm'!$D$5:$D$304,MATCH(D4417,'Sản phẩm'!$A$5:$A$304,0)),""))</f>
        <v/>
      </c>
      <c r="L4417" s="16">
        <f>IF(J4417="","",J4417-K4417)</f>
        <v/>
      </c>
      <c r="M4417" s="14">
        <f>IF(A4417="","",MONTH(A4417))</f>
        <v/>
      </c>
      <c r="N4417" s="14">
        <f>IF(A4417="","",YEAR(A4417))</f>
        <v/>
      </c>
    </row>
    <row r="4418">
      <c r="A4418" s="15" t="n"/>
      <c r="B4418" s="10" t="n"/>
      <c r="C4418" s="10" t="n"/>
      <c r="D4418" s="10" t="n"/>
      <c r="E4418" s="14">
        <f>IF(D4418="","",IFERROR(INDEX('Sản phẩm'!$B$5:$B$304,MATCH(D4418,'Sản phẩm'!$A$5:$A$304,0)),""))</f>
        <v/>
      </c>
      <c r="F4418" s="12" t="n"/>
      <c r="G4418" s="11" t="n"/>
      <c r="H4418" s="11" t="n"/>
      <c r="I4418" s="16">
        <f>IF(D4418="","",IF(G4418&lt;&gt;"",G4418,IFERROR(INDEX('Sản phẩm'!$E$5:$E$304,MATCH(D4418,'Sản phẩm'!$A$5:$A$304,0)),"")))</f>
        <v/>
      </c>
      <c r="J4418" s="16">
        <f>IF(OR(D4418="",F4418=""),"",F4418*I4418-N(H4418))</f>
        <v/>
      </c>
      <c r="K4418" s="16">
        <f>IF(OR(D4418="",F4418=""),"",F4418*IFERROR(INDEX('Sản phẩm'!$D$5:$D$304,MATCH(D4418,'Sản phẩm'!$A$5:$A$304,0)),""))</f>
        <v/>
      </c>
      <c r="L4418" s="16">
        <f>IF(J4418="","",J4418-K4418)</f>
        <v/>
      </c>
      <c r="M4418" s="14">
        <f>IF(A4418="","",MONTH(A4418))</f>
        <v/>
      </c>
      <c r="N4418" s="14">
        <f>IF(A4418="","",YEAR(A4418))</f>
        <v/>
      </c>
    </row>
    <row r="4419">
      <c r="A4419" s="15" t="n"/>
      <c r="B4419" s="10" t="n"/>
      <c r="C4419" s="10" t="n"/>
      <c r="D4419" s="10" t="n"/>
      <c r="E4419" s="14">
        <f>IF(D4419="","",IFERROR(INDEX('Sản phẩm'!$B$5:$B$304,MATCH(D4419,'Sản phẩm'!$A$5:$A$304,0)),""))</f>
        <v/>
      </c>
      <c r="F4419" s="12" t="n"/>
      <c r="G4419" s="11" t="n"/>
      <c r="H4419" s="11" t="n"/>
      <c r="I4419" s="16">
        <f>IF(D4419="","",IF(G4419&lt;&gt;"",G4419,IFERROR(INDEX('Sản phẩm'!$E$5:$E$304,MATCH(D4419,'Sản phẩm'!$A$5:$A$304,0)),"")))</f>
        <v/>
      </c>
      <c r="J4419" s="16">
        <f>IF(OR(D4419="",F4419=""),"",F4419*I4419-N(H4419))</f>
        <v/>
      </c>
      <c r="K4419" s="16">
        <f>IF(OR(D4419="",F4419=""),"",F4419*IFERROR(INDEX('Sản phẩm'!$D$5:$D$304,MATCH(D4419,'Sản phẩm'!$A$5:$A$304,0)),""))</f>
        <v/>
      </c>
      <c r="L4419" s="16">
        <f>IF(J4419="","",J4419-K4419)</f>
        <v/>
      </c>
      <c r="M4419" s="14">
        <f>IF(A4419="","",MONTH(A4419))</f>
        <v/>
      </c>
      <c r="N4419" s="14">
        <f>IF(A4419="","",YEAR(A4419))</f>
        <v/>
      </c>
    </row>
    <row r="4420">
      <c r="A4420" s="15" t="n"/>
      <c r="B4420" s="10" t="n"/>
      <c r="C4420" s="10" t="n"/>
      <c r="D4420" s="10" t="n"/>
      <c r="E4420" s="14">
        <f>IF(D4420="","",IFERROR(INDEX('Sản phẩm'!$B$5:$B$304,MATCH(D4420,'Sản phẩm'!$A$5:$A$304,0)),""))</f>
        <v/>
      </c>
      <c r="F4420" s="12" t="n"/>
      <c r="G4420" s="11" t="n"/>
      <c r="H4420" s="11" t="n"/>
      <c r="I4420" s="16">
        <f>IF(D4420="","",IF(G4420&lt;&gt;"",G4420,IFERROR(INDEX('Sản phẩm'!$E$5:$E$304,MATCH(D4420,'Sản phẩm'!$A$5:$A$304,0)),"")))</f>
        <v/>
      </c>
      <c r="J4420" s="16">
        <f>IF(OR(D4420="",F4420=""),"",F4420*I4420-N(H4420))</f>
        <v/>
      </c>
      <c r="K4420" s="16">
        <f>IF(OR(D4420="",F4420=""),"",F4420*IFERROR(INDEX('Sản phẩm'!$D$5:$D$304,MATCH(D4420,'Sản phẩm'!$A$5:$A$304,0)),""))</f>
        <v/>
      </c>
      <c r="L4420" s="16">
        <f>IF(J4420="","",J4420-K4420)</f>
        <v/>
      </c>
      <c r="M4420" s="14">
        <f>IF(A4420="","",MONTH(A4420))</f>
        <v/>
      </c>
      <c r="N4420" s="14">
        <f>IF(A4420="","",YEAR(A4420))</f>
        <v/>
      </c>
    </row>
    <row r="4421">
      <c r="A4421" s="15" t="n"/>
      <c r="B4421" s="10" t="n"/>
      <c r="C4421" s="10" t="n"/>
      <c r="D4421" s="10" t="n"/>
      <c r="E4421" s="14">
        <f>IF(D4421="","",IFERROR(INDEX('Sản phẩm'!$B$5:$B$304,MATCH(D4421,'Sản phẩm'!$A$5:$A$304,0)),""))</f>
        <v/>
      </c>
      <c r="F4421" s="12" t="n"/>
      <c r="G4421" s="11" t="n"/>
      <c r="H4421" s="11" t="n"/>
      <c r="I4421" s="16">
        <f>IF(D4421="","",IF(G4421&lt;&gt;"",G4421,IFERROR(INDEX('Sản phẩm'!$E$5:$E$304,MATCH(D4421,'Sản phẩm'!$A$5:$A$304,0)),"")))</f>
        <v/>
      </c>
      <c r="J4421" s="16">
        <f>IF(OR(D4421="",F4421=""),"",F4421*I4421-N(H4421))</f>
        <v/>
      </c>
      <c r="K4421" s="16">
        <f>IF(OR(D4421="",F4421=""),"",F4421*IFERROR(INDEX('Sản phẩm'!$D$5:$D$304,MATCH(D4421,'Sản phẩm'!$A$5:$A$304,0)),""))</f>
        <v/>
      </c>
      <c r="L4421" s="16">
        <f>IF(J4421="","",J4421-K4421)</f>
        <v/>
      </c>
      <c r="M4421" s="14">
        <f>IF(A4421="","",MONTH(A4421))</f>
        <v/>
      </c>
      <c r="N4421" s="14">
        <f>IF(A4421="","",YEAR(A4421))</f>
        <v/>
      </c>
    </row>
    <row r="4422">
      <c r="A4422" s="15" t="n"/>
      <c r="B4422" s="10" t="n"/>
      <c r="C4422" s="10" t="n"/>
      <c r="D4422" s="10" t="n"/>
      <c r="E4422" s="14">
        <f>IF(D4422="","",IFERROR(INDEX('Sản phẩm'!$B$5:$B$304,MATCH(D4422,'Sản phẩm'!$A$5:$A$304,0)),""))</f>
        <v/>
      </c>
      <c r="F4422" s="12" t="n"/>
      <c r="G4422" s="11" t="n"/>
      <c r="H4422" s="11" t="n"/>
      <c r="I4422" s="16">
        <f>IF(D4422="","",IF(G4422&lt;&gt;"",G4422,IFERROR(INDEX('Sản phẩm'!$E$5:$E$304,MATCH(D4422,'Sản phẩm'!$A$5:$A$304,0)),"")))</f>
        <v/>
      </c>
      <c r="J4422" s="16">
        <f>IF(OR(D4422="",F4422=""),"",F4422*I4422-N(H4422))</f>
        <v/>
      </c>
      <c r="K4422" s="16">
        <f>IF(OR(D4422="",F4422=""),"",F4422*IFERROR(INDEX('Sản phẩm'!$D$5:$D$304,MATCH(D4422,'Sản phẩm'!$A$5:$A$304,0)),""))</f>
        <v/>
      </c>
      <c r="L4422" s="16">
        <f>IF(J4422="","",J4422-K4422)</f>
        <v/>
      </c>
      <c r="M4422" s="14">
        <f>IF(A4422="","",MONTH(A4422))</f>
        <v/>
      </c>
      <c r="N4422" s="14">
        <f>IF(A4422="","",YEAR(A4422))</f>
        <v/>
      </c>
    </row>
    <row r="4423">
      <c r="A4423" s="15" t="n"/>
      <c r="B4423" s="10" t="n"/>
      <c r="C4423" s="10" t="n"/>
      <c r="D4423" s="10" t="n"/>
      <c r="E4423" s="14">
        <f>IF(D4423="","",IFERROR(INDEX('Sản phẩm'!$B$5:$B$304,MATCH(D4423,'Sản phẩm'!$A$5:$A$304,0)),""))</f>
        <v/>
      </c>
      <c r="F4423" s="12" t="n"/>
      <c r="G4423" s="11" t="n"/>
      <c r="H4423" s="11" t="n"/>
      <c r="I4423" s="16">
        <f>IF(D4423="","",IF(G4423&lt;&gt;"",G4423,IFERROR(INDEX('Sản phẩm'!$E$5:$E$304,MATCH(D4423,'Sản phẩm'!$A$5:$A$304,0)),"")))</f>
        <v/>
      </c>
      <c r="J4423" s="16">
        <f>IF(OR(D4423="",F4423=""),"",F4423*I4423-N(H4423))</f>
        <v/>
      </c>
      <c r="K4423" s="16">
        <f>IF(OR(D4423="",F4423=""),"",F4423*IFERROR(INDEX('Sản phẩm'!$D$5:$D$304,MATCH(D4423,'Sản phẩm'!$A$5:$A$304,0)),""))</f>
        <v/>
      </c>
      <c r="L4423" s="16">
        <f>IF(J4423="","",J4423-K4423)</f>
        <v/>
      </c>
      <c r="M4423" s="14">
        <f>IF(A4423="","",MONTH(A4423))</f>
        <v/>
      </c>
      <c r="N4423" s="14">
        <f>IF(A4423="","",YEAR(A4423))</f>
        <v/>
      </c>
    </row>
    <row r="4424">
      <c r="A4424" s="15" t="n"/>
      <c r="B4424" s="10" t="n"/>
      <c r="C4424" s="10" t="n"/>
      <c r="D4424" s="10" t="n"/>
      <c r="E4424" s="14">
        <f>IF(D4424="","",IFERROR(INDEX('Sản phẩm'!$B$5:$B$304,MATCH(D4424,'Sản phẩm'!$A$5:$A$304,0)),""))</f>
        <v/>
      </c>
      <c r="F4424" s="12" t="n"/>
      <c r="G4424" s="11" t="n"/>
      <c r="H4424" s="11" t="n"/>
      <c r="I4424" s="16">
        <f>IF(D4424="","",IF(G4424&lt;&gt;"",G4424,IFERROR(INDEX('Sản phẩm'!$E$5:$E$304,MATCH(D4424,'Sản phẩm'!$A$5:$A$304,0)),"")))</f>
        <v/>
      </c>
      <c r="J4424" s="16">
        <f>IF(OR(D4424="",F4424=""),"",F4424*I4424-N(H4424))</f>
        <v/>
      </c>
      <c r="K4424" s="16">
        <f>IF(OR(D4424="",F4424=""),"",F4424*IFERROR(INDEX('Sản phẩm'!$D$5:$D$304,MATCH(D4424,'Sản phẩm'!$A$5:$A$304,0)),""))</f>
        <v/>
      </c>
      <c r="L4424" s="16">
        <f>IF(J4424="","",J4424-K4424)</f>
        <v/>
      </c>
      <c r="M4424" s="14">
        <f>IF(A4424="","",MONTH(A4424))</f>
        <v/>
      </c>
      <c r="N4424" s="14">
        <f>IF(A4424="","",YEAR(A4424))</f>
        <v/>
      </c>
    </row>
    <row r="4425">
      <c r="A4425" s="15" t="n"/>
      <c r="B4425" s="10" t="n"/>
      <c r="C4425" s="10" t="n"/>
      <c r="D4425" s="10" t="n"/>
      <c r="E4425" s="14">
        <f>IF(D4425="","",IFERROR(INDEX('Sản phẩm'!$B$5:$B$304,MATCH(D4425,'Sản phẩm'!$A$5:$A$304,0)),""))</f>
        <v/>
      </c>
      <c r="F4425" s="12" t="n"/>
      <c r="G4425" s="11" t="n"/>
      <c r="H4425" s="11" t="n"/>
      <c r="I4425" s="16">
        <f>IF(D4425="","",IF(G4425&lt;&gt;"",G4425,IFERROR(INDEX('Sản phẩm'!$E$5:$E$304,MATCH(D4425,'Sản phẩm'!$A$5:$A$304,0)),"")))</f>
        <v/>
      </c>
      <c r="J4425" s="16">
        <f>IF(OR(D4425="",F4425=""),"",F4425*I4425-N(H4425))</f>
        <v/>
      </c>
      <c r="K4425" s="16">
        <f>IF(OR(D4425="",F4425=""),"",F4425*IFERROR(INDEX('Sản phẩm'!$D$5:$D$304,MATCH(D4425,'Sản phẩm'!$A$5:$A$304,0)),""))</f>
        <v/>
      </c>
      <c r="L4425" s="16">
        <f>IF(J4425="","",J4425-K4425)</f>
        <v/>
      </c>
      <c r="M4425" s="14">
        <f>IF(A4425="","",MONTH(A4425))</f>
        <v/>
      </c>
      <c r="N4425" s="14">
        <f>IF(A4425="","",YEAR(A4425))</f>
        <v/>
      </c>
    </row>
    <row r="4426">
      <c r="A4426" s="15" t="n"/>
      <c r="B4426" s="10" t="n"/>
      <c r="C4426" s="10" t="n"/>
      <c r="D4426" s="10" t="n"/>
      <c r="E4426" s="14">
        <f>IF(D4426="","",IFERROR(INDEX('Sản phẩm'!$B$5:$B$304,MATCH(D4426,'Sản phẩm'!$A$5:$A$304,0)),""))</f>
        <v/>
      </c>
      <c r="F4426" s="12" t="n"/>
      <c r="G4426" s="11" t="n"/>
      <c r="H4426" s="11" t="n"/>
      <c r="I4426" s="16">
        <f>IF(D4426="","",IF(G4426&lt;&gt;"",G4426,IFERROR(INDEX('Sản phẩm'!$E$5:$E$304,MATCH(D4426,'Sản phẩm'!$A$5:$A$304,0)),"")))</f>
        <v/>
      </c>
      <c r="J4426" s="16">
        <f>IF(OR(D4426="",F4426=""),"",F4426*I4426-N(H4426))</f>
        <v/>
      </c>
      <c r="K4426" s="16">
        <f>IF(OR(D4426="",F4426=""),"",F4426*IFERROR(INDEX('Sản phẩm'!$D$5:$D$304,MATCH(D4426,'Sản phẩm'!$A$5:$A$304,0)),""))</f>
        <v/>
      </c>
      <c r="L4426" s="16">
        <f>IF(J4426="","",J4426-K4426)</f>
        <v/>
      </c>
      <c r="M4426" s="14">
        <f>IF(A4426="","",MONTH(A4426))</f>
        <v/>
      </c>
      <c r="N4426" s="14">
        <f>IF(A4426="","",YEAR(A4426))</f>
        <v/>
      </c>
    </row>
    <row r="4427">
      <c r="A4427" s="15" t="n"/>
      <c r="B4427" s="10" t="n"/>
      <c r="C4427" s="10" t="n"/>
      <c r="D4427" s="10" t="n"/>
      <c r="E4427" s="14">
        <f>IF(D4427="","",IFERROR(INDEX('Sản phẩm'!$B$5:$B$304,MATCH(D4427,'Sản phẩm'!$A$5:$A$304,0)),""))</f>
        <v/>
      </c>
      <c r="F4427" s="12" t="n"/>
      <c r="G4427" s="11" t="n"/>
      <c r="H4427" s="11" t="n"/>
      <c r="I4427" s="16">
        <f>IF(D4427="","",IF(G4427&lt;&gt;"",G4427,IFERROR(INDEX('Sản phẩm'!$E$5:$E$304,MATCH(D4427,'Sản phẩm'!$A$5:$A$304,0)),"")))</f>
        <v/>
      </c>
      <c r="J4427" s="16">
        <f>IF(OR(D4427="",F4427=""),"",F4427*I4427-N(H4427))</f>
        <v/>
      </c>
      <c r="K4427" s="16">
        <f>IF(OR(D4427="",F4427=""),"",F4427*IFERROR(INDEX('Sản phẩm'!$D$5:$D$304,MATCH(D4427,'Sản phẩm'!$A$5:$A$304,0)),""))</f>
        <v/>
      </c>
      <c r="L4427" s="16">
        <f>IF(J4427="","",J4427-K4427)</f>
        <v/>
      </c>
      <c r="M4427" s="14">
        <f>IF(A4427="","",MONTH(A4427))</f>
        <v/>
      </c>
      <c r="N4427" s="14">
        <f>IF(A4427="","",YEAR(A4427))</f>
        <v/>
      </c>
    </row>
    <row r="4428">
      <c r="A4428" s="15" t="n"/>
      <c r="B4428" s="10" t="n"/>
      <c r="C4428" s="10" t="n"/>
      <c r="D4428" s="10" t="n"/>
      <c r="E4428" s="14">
        <f>IF(D4428="","",IFERROR(INDEX('Sản phẩm'!$B$5:$B$304,MATCH(D4428,'Sản phẩm'!$A$5:$A$304,0)),""))</f>
        <v/>
      </c>
      <c r="F4428" s="12" t="n"/>
      <c r="G4428" s="11" t="n"/>
      <c r="H4428" s="11" t="n"/>
      <c r="I4428" s="16">
        <f>IF(D4428="","",IF(G4428&lt;&gt;"",G4428,IFERROR(INDEX('Sản phẩm'!$E$5:$E$304,MATCH(D4428,'Sản phẩm'!$A$5:$A$304,0)),"")))</f>
        <v/>
      </c>
      <c r="J4428" s="16">
        <f>IF(OR(D4428="",F4428=""),"",F4428*I4428-N(H4428))</f>
        <v/>
      </c>
      <c r="K4428" s="16">
        <f>IF(OR(D4428="",F4428=""),"",F4428*IFERROR(INDEX('Sản phẩm'!$D$5:$D$304,MATCH(D4428,'Sản phẩm'!$A$5:$A$304,0)),""))</f>
        <v/>
      </c>
      <c r="L4428" s="16">
        <f>IF(J4428="","",J4428-K4428)</f>
        <v/>
      </c>
      <c r="M4428" s="14">
        <f>IF(A4428="","",MONTH(A4428))</f>
        <v/>
      </c>
      <c r="N4428" s="14">
        <f>IF(A4428="","",YEAR(A4428))</f>
        <v/>
      </c>
    </row>
    <row r="4429">
      <c r="A4429" s="15" t="n"/>
      <c r="B4429" s="10" t="n"/>
      <c r="C4429" s="10" t="n"/>
      <c r="D4429" s="10" t="n"/>
      <c r="E4429" s="14">
        <f>IF(D4429="","",IFERROR(INDEX('Sản phẩm'!$B$5:$B$304,MATCH(D4429,'Sản phẩm'!$A$5:$A$304,0)),""))</f>
        <v/>
      </c>
      <c r="F4429" s="12" t="n"/>
      <c r="G4429" s="11" t="n"/>
      <c r="H4429" s="11" t="n"/>
      <c r="I4429" s="16">
        <f>IF(D4429="","",IF(G4429&lt;&gt;"",G4429,IFERROR(INDEX('Sản phẩm'!$E$5:$E$304,MATCH(D4429,'Sản phẩm'!$A$5:$A$304,0)),"")))</f>
        <v/>
      </c>
      <c r="J4429" s="16">
        <f>IF(OR(D4429="",F4429=""),"",F4429*I4429-N(H4429))</f>
        <v/>
      </c>
      <c r="K4429" s="16">
        <f>IF(OR(D4429="",F4429=""),"",F4429*IFERROR(INDEX('Sản phẩm'!$D$5:$D$304,MATCH(D4429,'Sản phẩm'!$A$5:$A$304,0)),""))</f>
        <v/>
      </c>
      <c r="L4429" s="16">
        <f>IF(J4429="","",J4429-K4429)</f>
        <v/>
      </c>
      <c r="M4429" s="14">
        <f>IF(A4429="","",MONTH(A4429))</f>
        <v/>
      </c>
      <c r="N4429" s="14">
        <f>IF(A4429="","",YEAR(A4429))</f>
        <v/>
      </c>
    </row>
    <row r="4430">
      <c r="A4430" s="15" t="n"/>
      <c r="B4430" s="10" t="n"/>
      <c r="C4430" s="10" t="n"/>
      <c r="D4430" s="10" t="n"/>
      <c r="E4430" s="14">
        <f>IF(D4430="","",IFERROR(INDEX('Sản phẩm'!$B$5:$B$304,MATCH(D4430,'Sản phẩm'!$A$5:$A$304,0)),""))</f>
        <v/>
      </c>
      <c r="F4430" s="12" t="n"/>
      <c r="G4430" s="11" t="n"/>
      <c r="H4430" s="11" t="n"/>
      <c r="I4430" s="16">
        <f>IF(D4430="","",IF(G4430&lt;&gt;"",G4430,IFERROR(INDEX('Sản phẩm'!$E$5:$E$304,MATCH(D4430,'Sản phẩm'!$A$5:$A$304,0)),"")))</f>
        <v/>
      </c>
      <c r="J4430" s="16">
        <f>IF(OR(D4430="",F4430=""),"",F4430*I4430-N(H4430))</f>
        <v/>
      </c>
      <c r="K4430" s="16">
        <f>IF(OR(D4430="",F4430=""),"",F4430*IFERROR(INDEX('Sản phẩm'!$D$5:$D$304,MATCH(D4430,'Sản phẩm'!$A$5:$A$304,0)),""))</f>
        <v/>
      </c>
      <c r="L4430" s="16">
        <f>IF(J4430="","",J4430-K4430)</f>
        <v/>
      </c>
      <c r="M4430" s="14">
        <f>IF(A4430="","",MONTH(A4430))</f>
        <v/>
      </c>
      <c r="N4430" s="14">
        <f>IF(A4430="","",YEAR(A4430))</f>
        <v/>
      </c>
    </row>
    <row r="4431">
      <c r="A4431" s="15" t="n"/>
      <c r="B4431" s="10" t="n"/>
      <c r="C4431" s="10" t="n"/>
      <c r="D4431" s="10" t="n"/>
      <c r="E4431" s="14">
        <f>IF(D4431="","",IFERROR(INDEX('Sản phẩm'!$B$5:$B$304,MATCH(D4431,'Sản phẩm'!$A$5:$A$304,0)),""))</f>
        <v/>
      </c>
      <c r="F4431" s="12" t="n"/>
      <c r="G4431" s="11" t="n"/>
      <c r="H4431" s="11" t="n"/>
      <c r="I4431" s="16">
        <f>IF(D4431="","",IF(G4431&lt;&gt;"",G4431,IFERROR(INDEX('Sản phẩm'!$E$5:$E$304,MATCH(D4431,'Sản phẩm'!$A$5:$A$304,0)),"")))</f>
        <v/>
      </c>
      <c r="J4431" s="16">
        <f>IF(OR(D4431="",F4431=""),"",F4431*I4431-N(H4431))</f>
        <v/>
      </c>
      <c r="K4431" s="16">
        <f>IF(OR(D4431="",F4431=""),"",F4431*IFERROR(INDEX('Sản phẩm'!$D$5:$D$304,MATCH(D4431,'Sản phẩm'!$A$5:$A$304,0)),""))</f>
        <v/>
      </c>
      <c r="L4431" s="16">
        <f>IF(J4431="","",J4431-K4431)</f>
        <v/>
      </c>
      <c r="M4431" s="14">
        <f>IF(A4431="","",MONTH(A4431))</f>
        <v/>
      </c>
      <c r="N4431" s="14">
        <f>IF(A4431="","",YEAR(A4431))</f>
        <v/>
      </c>
    </row>
    <row r="4432">
      <c r="A4432" s="15" t="n"/>
      <c r="B4432" s="10" t="n"/>
      <c r="C4432" s="10" t="n"/>
      <c r="D4432" s="10" t="n"/>
      <c r="E4432" s="14">
        <f>IF(D4432="","",IFERROR(INDEX('Sản phẩm'!$B$5:$B$304,MATCH(D4432,'Sản phẩm'!$A$5:$A$304,0)),""))</f>
        <v/>
      </c>
      <c r="F4432" s="12" t="n"/>
      <c r="G4432" s="11" t="n"/>
      <c r="H4432" s="11" t="n"/>
      <c r="I4432" s="16">
        <f>IF(D4432="","",IF(G4432&lt;&gt;"",G4432,IFERROR(INDEX('Sản phẩm'!$E$5:$E$304,MATCH(D4432,'Sản phẩm'!$A$5:$A$304,0)),"")))</f>
        <v/>
      </c>
      <c r="J4432" s="16">
        <f>IF(OR(D4432="",F4432=""),"",F4432*I4432-N(H4432))</f>
        <v/>
      </c>
      <c r="K4432" s="16">
        <f>IF(OR(D4432="",F4432=""),"",F4432*IFERROR(INDEX('Sản phẩm'!$D$5:$D$304,MATCH(D4432,'Sản phẩm'!$A$5:$A$304,0)),""))</f>
        <v/>
      </c>
      <c r="L4432" s="16">
        <f>IF(J4432="","",J4432-K4432)</f>
        <v/>
      </c>
      <c r="M4432" s="14">
        <f>IF(A4432="","",MONTH(A4432))</f>
        <v/>
      </c>
      <c r="N4432" s="14">
        <f>IF(A4432="","",YEAR(A4432))</f>
        <v/>
      </c>
    </row>
    <row r="4433">
      <c r="A4433" s="15" t="n"/>
      <c r="B4433" s="10" t="n"/>
      <c r="C4433" s="10" t="n"/>
      <c r="D4433" s="10" t="n"/>
      <c r="E4433" s="14">
        <f>IF(D4433="","",IFERROR(INDEX('Sản phẩm'!$B$5:$B$304,MATCH(D4433,'Sản phẩm'!$A$5:$A$304,0)),""))</f>
        <v/>
      </c>
      <c r="F4433" s="12" t="n"/>
      <c r="G4433" s="11" t="n"/>
      <c r="H4433" s="11" t="n"/>
      <c r="I4433" s="16">
        <f>IF(D4433="","",IF(G4433&lt;&gt;"",G4433,IFERROR(INDEX('Sản phẩm'!$E$5:$E$304,MATCH(D4433,'Sản phẩm'!$A$5:$A$304,0)),"")))</f>
        <v/>
      </c>
      <c r="J4433" s="16">
        <f>IF(OR(D4433="",F4433=""),"",F4433*I4433-N(H4433))</f>
        <v/>
      </c>
      <c r="K4433" s="16">
        <f>IF(OR(D4433="",F4433=""),"",F4433*IFERROR(INDEX('Sản phẩm'!$D$5:$D$304,MATCH(D4433,'Sản phẩm'!$A$5:$A$304,0)),""))</f>
        <v/>
      </c>
      <c r="L4433" s="16">
        <f>IF(J4433="","",J4433-K4433)</f>
        <v/>
      </c>
      <c r="M4433" s="14">
        <f>IF(A4433="","",MONTH(A4433))</f>
        <v/>
      </c>
      <c r="N4433" s="14">
        <f>IF(A4433="","",YEAR(A4433))</f>
        <v/>
      </c>
    </row>
    <row r="4434">
      <c r="A4434" s="15" t="n"/>
      <c r="B4434" s="10" t="n"/>
      <c r="C4434" s="10" t="n"/>
      <c r="D4434" s="10" t="n"/>
      <c r="E4434" s="14">
        <f>IF(D4434="","",IFERROR(INDEX('Sản phẩm'!$B$5:$B$304,MATCH(D4434,'Sản phẩm'!$A$5:$A$304,0)),""))</f>
        <v/>
      </c>
      <c r="F4434" s="12" t="n"/>
      <c r="G4434" s="11" t="n"/>
      <c r="H4434" s="11" t="n"/>
      <c r="I4434" s="16">
        <f>IF(D4434="","",IF(G4434&lt;&gt;"",G4434,IFERROR(INDEX('Sản phẩm'!$E$5:$E$304,MATCH(D4434,'Sản phẩm'!$A$5:$A$304,0)),"")))</f>
        <v/>
      </c>
      <c r="J4434" s="16">
        <f>IF(OR(D4434="",F4434=""),"",F4434*I4434-N(H4434))</f>
        <v/>
      </c>
      <c r="K4434" s="16">
        <f>IF(OR(D4434="",F4434=""),"",F4434*IFERROR(INDEX('Sản phẩm'!$D$5:$D$304,MATCH(D4434,'Sản phẩm'!$A$5:$A$304,0)),""))</f>
        <v/>
      </c>
      <c r="L4434" s="16">
        <f>IF(J4434="","",J4434-K4434)</f>
        <v/>
      </c>
      <c r="M4434" s="14">
        <f>IF(A4434="","",MONTH(A4434))</f>
        <v/>
      </c>
      <c r="N4434" s="14">
        <f>IF(A4434="","",YEAR(A4434))</f>
        <v/>
      </c>
    </row>
    <row r="4435">
      <c r="A4435" s="15" t="n"/>
      <c r="B4435" s="10" t="n"/>
      <c r="C4435" s="10" t="n"/>
      <c r="D4435" s="10" t="n"/>
      <c r="E4435" s="14">
        <f>IF(D4435="","",IFERROR(INDEX('Sản phẩm'!$B$5:$B$304,MATCH(D4435,'Sản phẩm'!$A$5:$A$304,0)),""))</f>
        <v/>
      </c>
      <c r="F4435" s="12" t="n"/>
      <c r="G4435" s="11" t="n"/>
      <c r="H4435" s="11" t="n"/>
      <c r="I4435" s="16">
        <f>IF(D4435="","",IF(G4435&lt;&gt;"",G4435,IFERROR(INDEX('Sản phẩm'!$E$5:$E$304,MATCH(D4435,'Sản phẩm'!$A$5:$A$304,0)),"")))</f>
        <v/>
      </c>
      <c r="J4435" s="16">
        <f>IF(OR(D4435="",F4435=""),"",F4435*I4435-N(H4435))</f>
        <v/>
      </c>
      <c r="K4435" s="16">
        <f>IF(OR(D4435="",F4435=""),"",F4435*IFERROR(INDEX('Sản phẩm'!$D$5:$D$304,MATCH(D4435,'Sản phẩm'!$A$5:$A$304,0)),""))</f>
        <v/>
      </c>
      <c r="L4435" s="16">
        <f>IF(J4435="","",J4435-K4435)</f>
        <v/>
      </c>
      <c r="M4435" s="14">
        <f>IF(A4435="","",MONTH(A4435))</f>
        <v/>
      </c>
      <c r="N4435" s="14">
        <f>IF(A4435="","",YEAR(A4435))</f>
        <v/>
      </c>
    </row>
    <row r="4436">
      <c r="A4436" s="15" t="n"/>
      <c r="B4436" s="10" t="n"/>
      <c r="C4436" s="10" t="n"/>
      <c r="D4436" s="10" t="n"/>
      <c r="E4436" s="14">
        <f>IF(D4436="","",IFERROR(INDEX('Sản phẩm'!$B$5:$B$304,MATCH(D4436,'Sản phẩm'!$A$5:$A$304,0)),""))</f>
        <v/>
      </c>
      <c r="F4436" s="12" t="n"/>
      <c r="G4436" s="11" t="n"/>
      <c r="H4436" s="11" t="n"/>
      <c r="I4436" s="16">
        <f>IF(D4436="","",IF(G4436&lt;&gt;"",G4436,IFERROR(INDEX('Sản phẩm'!$E$5:$E$304,MATCH(D4436,'Sản phẩm'!$A$5:$A$304,0)),"")))</f>
        <v/>
      </c>
      <c r="J4436" s="16">
        <f>IF(OR(D4436="",F4436=""),"",F4436*I4436-N(H4436))</f>
        <v/>
      </c>
      <c r="K4436" s="16">
        <f>IF(OR(D4436="",F4436=""),"",F4436*IFERROR(INDEX('Sản phẩm'!$D$5:$D$304,MATCH(D4436,'Sản phẩm'!$A$5:$A$304,0)),""))</f>
        <v/>
      </c>
      <c r="L4436" s="16">
        <f>IF(J4436="","",J4436-K4436)</f>
        <v/>
      </c>
      <c r="M4436" s="14">
        <f>IF(A4436="","",MONTH(A4436))</f>
        <v/>
      </c>
      <c r="N4436" s="14">
        <f>IF(A4436="","",YEAR(A4436))</f>
        <v/>
      </c>
    </row>
    <row r="4437">
      <c r="A4437" s="15" t="n"/>
      <c r="B4437" s="10" t="n"/>
      <c r="C4437" s="10" t="n"/>
      <c r="D4437" s="10" t="n"/>
      <c r="E4437" s="14">
        <f>IF(D4437="","",IFERROR(INDEX('Sản phẩm'!$B$5:$B$304,MATCH(D4437,'Sản phẩm'!$A$5:$A$304,0)),""))</f>
        <v/>
      </c>
      <c r="F4437" s="12" t="n"/>
      <c r="G4437" s="11" t="n"/>
      <c r="H4437" s="11" t="n"/>
      <c r="I4437" s="16">
        <f>IF(D4437="","",IF(G4437&lt;&gt;"",G4437,IFERROR(INDEX('Sản phẩm'!$E$5:$E$304,MATCH(D4437,'Sản phẩm'!$A$5:$A$304,0)),"")))</f>
        <v/>
      </c>
      <c r="J4437" s="16">
        <f>IF(OR(D4437="",F4437=""),"",F4437*I4437-N(H4437))</f>
        <v/>
      </c>
      <c r="K4437" s="16">
        <f>IF(OR(D4437="",F4437=""),"",F4437*IFERROR(INDEX('Sản phẩm'!$D$5:$D$304,MATCH(D4437,'Sản phẩm'!$A$5:$A$304,0)),""))</f>
        <v/>
      </c>
      <c r="L4437" s="16">
        <f>IF(J4437="","",J4437-K4437)</f>
        <v/>
      </c>
      <c r="M4437" s="14">
        <f>IF(A4437="","",MONTH(A4437))</f>
        <v/>
      </c>
      <c r="N4437" s="14">
        <f>IF(A4437="","",YEAR(A4437))</f>
        <v/>
      </c>
    </row>
    <row r="4438">
      <c r="A4438" s="15" t="n"/>
      <c r="B4438" s="10" t="n"/>
      <c r="C4438" s="10" t="n"/>
      <c r="D4438" s="10" t="n"/>
      <c r="E4438" s="14">
        <f>IF(D4438="","",IFERROR(INDEX('Sản phẩm'!$B$5:$B$304,MATCH(D4438,'Sản phẩm'!$A$5:$A$304,0)),""))</f>
        <v/>
      </c>
      <c r="F4438" s="12" t="n"/>
      <c r="G4438" s="11" t="n"/>
      <c r="H4438" s="11" t="n"/>
      <c r="I4438" s="16">
        <f>IF(D4438="","",IF(G4438&lt;&gt;"",G4438,IFERROR(INDEX('Sản phẩm'!$E$5:$E$304,MATCH(D4438,'Sản phẩm'!$A$5:$A$304,0)),"")))</f>
        <v/>
      </c>
      <c r="J4438" s="16">
        <f>IF(OR(D4438="",F4438=""),"",F4438*I4438-N(H4438))</f>
        <v/>
      </c>
      <c r="K4438" s="16">
        <f>IF(OR(D4438="",F4438=""),"",F4438*IFERROR(INDEX('Sản phẩm'!$D$5:$D$304,MATCH(D4438,'Sản phẩm'!$A$5:$A$304,0)),""))</f>
        <v/>
      </c>
      <c r="L4438" s="16">
        <f>IF(J4438="","",J4438-K4438)</f>
        <v/>
      </c>
      <c r="M4438" s="14">
        <f>IF(A4438="","",MONTH(A4438))</f>
        <v/>
      </c>
      <c r="N4438" s="14">
        <f>IF(A4438="","",YEAR(A4438))</f>
        <v/>
      </c>
    </row>
    <row r="4439">
      <c r="A4439" s="15" t="n"/>
      <c r="B4439" s="10" t="n"/>
      <c r="C4439" s="10" t="n"/>
      <c r="D4439" s="10" t="n"/>
      <c r="E4439" s="14">
        <f>IF(D4439="","",IFERROR(INDEX('Sản phẩm'!$B$5:$B$304,MATCH(D4439,'Sản phẩm'!$A$5:$A$304,0)),""))</f>
        <v/>
      </c>
      <c r="F4439" s="12" t="n"/>
      <c r="G4439" s="11" t="n"/>
      <c r="H4439" s="11" t="n"/>
      <c r="I4439" s="16">
        <f>IF(D4439="","",IF(G4439&lt;&gt;"",G4439,IFERROR(INDEX('Sản phẩm'!$E$5:$E$304,MATCH(D4439,'Sản phẩm'!$A$5:$A$304,0)),"")))</f>
        <v/>
      </c>
      <c r="J4439" s="16">
        <f>IF(OR(D4439="",F4439=""),"",F4439*I4439-N(H4439))</f>
        <v/>
      </c>
      <c r="K4439" s="16">
        <f>IF(OR(D4439="",F4439=""),"",F4439*IFERROR(INDEX('Sản phẩm'!$D$5:$D$304,MATCH(D4439,'Sản phẩm'!$A$5:$A$304,0)),""))</f>
        <v/>
      </c>
      <c r="L4439" s="16">
        <f>IF(J4439="","",J4439-K4439)</f>
        <v/>
      </c>
      <c r="M4439" s="14">
        <f>IF(A4439="","",MONTH(A4439))</f>
        <v/>
      </c>
      <c r="N4439" s="14">
        <f>IF(A4439="","",YEAR(A4439))</f>
        <v/>
      </c>
    </row>
    <row r="4440">
      <c r="A4440" s="15" t="n"/>
      <c r="B4440" s="10" t="n"/>
      <c r="C4440" s="10" t="n"/>
      <c r="D4440" s="10" t="n"/>
      <c r="E4440" s="14">
        <f>IF(D4440="","",IFERROR(INDEX('Sản phẩm'!$B$5:$B$304,MATCH(D4440,'Sản phẩm'!$A$5:$A$304,0)),""))</f>
        <v/>
      </c>
      <c r="F4440" s="12" t="n"/>
      <c r="G4440" s="11" t="n"/>
      <c r="H4440" s="11" t="n"/>
      <c r="I4440" s="16">
        <f>IF(D4440="","",IF(G4440&lt;&gt;"",G4440,IFERROR(INDEX('Sản phẩm'!$E$5:$E$304,MATCH(D4440,'Sản phẩm'!$A$5:$A$304,0)),"")))</f>
        <v/>
      </c>
      <c r="J4440" s="16">
        <f>IF(OR(D4440="",F4440=""),"",F4440*I4440-N(H4440))</f>
        <v/>
      </c>
      <c r="K4440" s="16">
        <f>IF(OR(D4440="",F4440=""),"",F4440*IFERROR(INDEX('Sản phẩm'!$D$5:$D$304,MATCH(D4440,'Sản phẩm'!$A$5:$A$304,0)),""))</f>
        <v/>
      </c>
      <c r="L4440" s="16">
        <f>IF(J4440="","",J4440-K4440)</f>
        <v/>
      </c>
      <c r="M4440" s="14">
        <f>IF(A4440="","",MONTH(A4440))</f>
        <v/>
      </c>
      <c r="N4440" s="14">
        <f>IF(A4440="","",YEAR(A4440))</f>
        <v/>
      </c>
    </row>
    <row r="4441">
      <c r="A4441" s="15" t="n"/>
      <c r="B4441" s="10" t="n"/>
      <c r="C4441" s="10" t="n"/>
      <c r="D4441" s="10" t="n"/>
      <c r="E4441" s="14">
        <f>IF(D4441="","",IFERROR(INDEX('Sản phẩm'!$B$5:$B$304,MATCH(D4441,'Sản phẩm'!$A$5:$A$304,0)),""))</f>
        <v/>
      </c>
      <c r="F4441" s="12" t="n"/>
      <c r="G4441" s="11" t="n"/>
      <c r="H4441" s="11" t="n"/>
      <c r="I4441" s="16">
        <f>IF(D4441="","",IF(G4441&lt;&gt;"",G4441,IFERROR(INDEX('Sản phẩm'!$E$5:$E$304,MATCH(D4441,'Sản phẩm'!$A$5:$A$304,0)),"")))</f>
        <v/>
      </c>
      <c r="J4441" s="16">
        <f>IF(OR(D4441="",F4441=""),"",F4441*I4441-N(H4441))</f>
        <v/>
      </c>
      <c r="K4441" s="16">
        <f>IF(OR(D4441="",F4441=""),"",F4441*IFERROR(INDEX('Sản phẩm'!$D$5:$D$304,MATCH(D4441,'Sản phẩm'!$A$5:$A$304,0)),""))</f>
        <v/>
      </c>
      <c r="L4441" s="16">
        <f>IF(J4441="","",J4441-K4441)</f>
        <v/>
      </c>
      <c r="M4441" s="14">
        <f>IF(A4441="","",MONTH(A4441))</f>
        <v/>
      </c>
      <c r="N4441" s="14">
        <f>IF(A4441="","",YEAR(A4441))</f>
        <v/>
      </c>
    </row>
    <row r="4442">
      <c r="A4442" s="15" t="n"/>
      <c r="B4442" s="10" t="n"/>
      <c r="C4442" s="10" t="n"/>
      <c r="D4442" s="10" t="n"/>
      <c r="E4442" s="14">
        <f>IF(D4442="","",IFERROR(INDEX('Sản phẩm'!$B$5:$B$304,MATCH(D4442,'Sản phẩm'!$A$5:$A$304,0)),""))</f>
        <v/>
      </c>
      <c r="F4442" s="12" t="n"/>
      <c r="G4442" s="11" t="n"/>
      <c r="H4442" s="11" t="n"/>
      <c r="I4442" s="16">
        <f>IF(D4442="","",IF(G4442&lt;&gt;"",G4442,IFERROR(INDEX('Sản phẩm'!$E$5:$E$304,MATCH(D4442,'Sản phẩm'!$A$5:$A$304,0)),"")))</f>
        <v/>
      </c>
      <c r="J4442" s="16">
        <f>IF(OR(D4442="",F4442=""),"",F4442*I4442-N(H4442))</f>
        <v/>
      </c>
      <c r="K4442" s="16">
        <f>IF(OR(D4442="",F4442=""),"",F4442*IFERROR(INDEX('Sản phẩm'!$D$5:$D$304,MATCH(D4442,'Sản phẩm'!$A$5:$A$304,0)),""))</f>
        <v/>
      </c>
      <c r="L4442" s="16">
        <f>IF(J4442="","",J4442-K4442)</f>
        <v/>
      </c>
      <c r="M4442" s="14">
        <f>IF(A4442="","",MONTH(A4442))</f>
        <v/>
      </c>
      <c r="N4442" s="14">
        <f>IF(A4442="","",YEAR(A4442))</f>
        <v/>
      </c>
    </row>
    <row r="4443">
      <c r="A4443" s="15" t="n"/>
      <c r="B4443" s="10" t="n"/>
      <c r="C4443" s="10" t="n"/>
      <c r="D4443" s="10" t="n"/>
      <c r="E4443" s="14">
        <f>IF(D4443="","",IFERROR(INDEX('Sản phẩm'!$B$5:$B$304,MATCH(D4443,'Sản phẩm'!$A$5:$A$304,0)),""))</f>
        <v/>
      </c>
      <c r="F4443" s="12" t="n"/>
      <c r="G4443" s="11" t="n"/>
      <c r="H4443" s="11" t="n"/>
      <c r="I4443" s="16">
        <f>IF(D4443="","",IF(G4443&lt;&gt;"",G4443,IFERROR(INDEX('Sản phẩm'!$E$5:$E$304,MATCH(D4443,'Sản phẩm'!$A$5:$A$304,0)),"")))</f>
        <v/>
      </c>
      <c r="J4443" s="16">
        <f>IF(OR(D4443="",F4443=""),"",F4443*I4443-N(H4443))</f>
        <v/>
      </c>
      <c r="K4443" s="16">
        <f>IF(OR(D4443="",F4443=""),"",F4443*IFERROR(INDEX('Sản phẩm'!$D$5:$D$304,MATCH(D4443,'Sản phẩm'!$A$5:$A$304,0)),""))</f>
        <v/>
      </c>
      <c r="L4443" s="16">
        <f>IF(J4443="","",J4443-K4443)</f>
        <v/>
      </c>
      <c r="M4443" s="14">
        <f>IF(A4443="","",MONTH(A4443))</f>
        <v/>
      </c>
      <c r="N4443" s="14">
        <f>IF(A4443="","",YEAR(A4443))</f>
        <v/>
      </c>
    </row>
    <row r="4444">
      <c r="A4444" s="15" t="n"/>
      <c r="B4444" s="10" t="n"/>
      <c r="C4444" s="10" t="n"/>
      <c r="D4444" s="10" t="n"/>
      <c r="E4444" s="14">
        <f>IF(D4444="","",IFERROR(INDEX('Sản phẩm'!$B$5:$B$304,MATCH(D4444,'Sản phẩm'!$A$5:$A$304,0)),""))</f>
        <v/>
      </c>
      <c r="F4444" s="12" t="n"/>
      <c r="G4444" s="11" t="n"/>
      <c r="H4444" s="11" t="n"/>
      <c r="I4444" s="16">
        <f>IF(D4444="","",IF(G4444&lt;&gt;"",G4444,IFERROR(INDEX('Sản phẩm'!$E$5:$E$304,MATCH(D4444,'Sản phẩm'!$A$5:$A$304,0)),"")))</f>
        <v/>
      </c>
      <c r="J4444" s="16">
        <f>IF(OR(D4444="",F4444=""),"",F4444*I4444-N(H4444))</f>
        <v/>
      </c>
      <c r="K4444" s="16">
        <f>IF(OR(D4444="",F4444=""),"",F4444*IFERROR(INDEX('Sản phẩm'!$D$5:$D$304,MATCH(D4444,'Sản phẩm'!$A$5:$A$304,0)),""))</f>
        <v/>
      </c>
      <c r="L4444" s="16">
        <f>IF(J4444="","",J4444-K4444)</f>
        <v/>
      </c>
      <c r="M4444" s="14">
        <f>IF(A4444="","",MONTH(A4444))</f>
        <v/>
      </c>
      <c r="N4444" s="14">
        <f>IF(A4444="","",YEAR(A4444))</f>
        <v/>
      </c>
    </row>
    <row r="4445">
      <c r="A4445" s="15" t="n"/>
      <c r="B4445" s="10" t="n"/>
      <c r="C4445" s="10" t="n"/>
      <c r="D4445" s="10" t="n"/>
      <c r="E4445" s="14">
        <f>IF(D4445="","",IFERROR(INDEX('Sản phẩm'!$B$5:$B$304,MATCH(D4445,'Sản phẩm'!$A$5:$A$304,0)),""))</f>
        <v/>
      </c>
      <c r="F4445" s="12" t="n"/>
      <c r="G4445" s="11" t="n"/>
      <c r="H4445" s="11" t="n"/>
      <c r="I4445" s="16">
        <f>IF(D4445="","",IF(G4445&lt;&gt;"",G4445,IFERROR(INDEX('Sản phẩm'!$E$5:$E$304,MATCH(D4445,'Sản phẩm'!$A$5:$A$304,0)),"")))</f>
        <v/>
      </c>
      <c r="J4445" s="16">
        <f>IF(OR(D4445="",F4445=""),"",F4445*I4445-N(H4445))</f>
        <v/>
      </c>
      <c r="K4445" s="16">
        <f>IF(OR(D4445="",F4445=""),"",F4445*IFERROR(INDEX('Sản phẩm'!$D$5:$D$304,MATCH(D4445,'Sản phẩm'!$A$5:$A$304,0)),""))</f>
        <v/>
      </c>
      <c r="L4445" s="16">
        <f>IF(J4445="","",J4445-K4445)</f>
        <v/>
      </c>
      <c r="M4445" s="14">
        <f>IF(A4445="","",MONTH(A4445))</f>
        <v/>
      </c>
      <c r="N4445" s="14">
        <f>IF(A4445="","",YEAR(A4445))</f>
        <v/>
      </c>
    </row>
    <row r="4446">
      <c r="A4446" s="15" t="n"/>
      <c r="B4446" s="10" t="n"/>
      <c r="C4446" s="10" t="n"/>
      <c r="D4446" s="10" t="n"/>
      <c r="E4446" s="14">
        <f>IF(D4446="","",IFERROR(INDEX('Sản phẩm'!$B$5:$B$304,MATCH(D4446,'Sản phẩm'!$A$5:$A$304,0)),""))</f>
        <v/>
      </c>
      <c r="F4446" s="12" t="n"/>
      <c r="G4446" s="11" t="n"/>
      <c r="H4446" s="11" t="n"/>
      <c r="I4446" s="16">
        <f>IF(D4446="","",IF(G4446&lt;&gt;"",G4446,IFERROR(INDEX('Sản phẩm'!$E$5:$E$304,MATCH(D4446,'Sản phẩm'!$A$5:$A$304,0)),"")))</f>
        <v/>
      </c>
      <c r="J4446" s="16">
        <f>IF(OR(D4446="",F4446=""),"",F4446*I4446-N(H4446))</f>
        <v/>
      </c>
      <c r="K4446" s="16">
        <f>IF(OR(D4446="",F4446=""),"",F4446*IFERROR(INDEX('Sản phẩm'!$D$5:$D$304,MATCH(D4446,'Sản phẩm'!$A$5:$A$304,0)),""))</f>
        <v/>
      </c>
      <c r="L4446" s="16">
        <f>IF(J4446="","",J4446-K4446)</f>
        <v/>
      </c>
      <c r="M4446" s="14">
        <f>IF(A4446="","",MONTH(A4446))</f>
        <v/>
      </c>
      <c r="N4446" s="14">
        <f>IF(A4446="","",YEAR(A4446))</f>
        <v/>
      </c>
    </row>
    <row r="4447">
      <c r="A4447" s="15" t="n"/>
      <c r="B4447" s="10" t="n"/>
      <c r="C4447" s="10" t="n"/>
      <c r="D4447" s="10" t="n"/>
      <c r="E4447" s="14">
        <f>IF(D4447="","",IFERROR(INDEX('Sản phẩm'!$B$5:$B$304,MATCH(D4447,'Sản phẩm'!$A$5:$A$304,0)),""))</f>
        <v/>
      </c>
      <c r="F4447" s="12" t="n"/>
      <c r="G4447" s="11" t="n"/>
      <c r="H4447" s="11" t="n"/>
      <c r="I4447" s="16">
        <f>IF(D4447="","",IF(G4447&lt;&gt;"",G4447,IFERROR(INDEX('Sản phẩm'!$E$5:$E$304,MATCH(D4447,'Sản phẩm'!$A$5:$A$304,0)),"")))</f>
        <v/>
      </c>
      <c r="J4447" s="16">
        <f>IF(OR(D4447="",F4447=""),"",F4447*I4447-N(H4447))</f>
        <v/>
      </c>
      <c r="K4447" s="16">
        <f>IF(OR(D4447="",F4447=""),"",F4447*IFERROR(INDEX('Sản phẩm'!$D$5:$D$304,MATCH(D4447,'Sản phẩm'!$A$5:$A$304,0)),""))</f>
        <v/>
      </c>
      <c r="L4447" s="16">
        <f>IF(J4447="","",J4447-K4447)</f>
        <v/>
      </c>
      <c r="M4447" s="14">
        <f>IF(A4447="","",MONTH(A4447))</f>
        <v/>
      </c>
      <c r="N4447" s="14">
        <f>IF(A4447="","",YEAR(A4447))</f>
        <v/>
      </c>
    </row>
    <row r="4448">
      <c r="A4448" s="15" t="n"/>
      <c r="B4448" s="10" t="n"/>
      <c r="C4448" s="10" t="n"/>
      <c r="D4448" s="10" t="n"/>
      <c r="E4448" s="14">
        <f>IF(D4448="","",IFERROR(INDEX('Sản phẩm'!$B$5:$B$304,MATCH(D4448,'Sản phẩm'!$A$5:$A$304,0)),""))</f>
        <v/>
      </c>
      <c r="F4448" s="12" t="n"/>
      <c r="G4448" s="11" t="n"/>
      <c r="H4448" s="11" t="n"/>
      <c r="I4448" s="16">
        <f>IF(D4448="","",IF(G4448&lt;&gt;"",G4448,IFERROR(INDEX('Sản phẩm'!$E$5:$E$304,MATCH(D4448,'Sản phẩm'!$A$5:$A$304,0)),"")))</f>
        <v/>
      </c>
      <c r="J4448" s="16">
        <f>IF(OR(D4448="",F4448=""),"",F4448*I4448-N(H4448))</f>
        <v/>
      </c>
      <c r="K4448" s="16">
        <f>IF(OR(D4448="",F4448=""),"",F4448*IFERROR(INDEX('Sản phẩm'!$D$5:$D$304,MATCH(D4448,'Sản phẩm'!$A$5:$A$304,0)),""))</f>
        <v/>
      </c>
      <c r="L4448" s="16">
        <f>IF(J4448="","",J4448-K4448)</f>
        <v/>
      </c>
      <c r="M4448" s="14">
        <f>IF(A4448="","",MONTH(A4448))</f>
        <v/>
      </c>
      <c r="N4448" s="14">
        <f>IF(A4448="","",YEAR(A4448))</f>
        <v/>
      </c>
    </row>
    <row r="4449">
      <c r="A4449" s="15" t="n"/>
      <c r="B4449" s="10" t="n"/>
      <c r="C4449" s="10" t="n"/>
      <c r="D4449" s="10" t="n"/>
      <c r="E4449" s="14">
        <f>IF(D4449="","",IFERROR(INDEX('Sản phẩm'!$B$5:$B$304,MATCH(D4449,'Sản phẩm'!$A$5:$A$304,0)),""))</f>
        <v/>
      </c>
      <c r="F4449" s="12" t="n"/>
      <c r="G4449" s="11" t="n"/>
      <c r="H4449" s="11" t="n"/>
      <c r="I4449" s="16">
        <f>IF(D4449="","",IF(G4449&lt;&gt;"",G4449,IFERROR(INDEX('Sản phẩm'!$E$5:$E$304,MATCH(D4449,'Sản phẩm'!$A$5:$A$304,0)),"")))</f>
        <v/>
      </c>
      <c r="J4449" s="16">
        <f>IF(OR(D4449="",F4449=""),"",F4449*I4449-N(H4449))</f>
        <v/>
      </c>
      <c r="K4449" s="16">
        <f>IF(OR(D4449="",F4449=""),"",F4449*IFERROR(INDEX('Sản phẩm'!$D$5:$D$304,MATCH(D4449,'Sản phẩm'!$A$5:$A$304,0)),""))</f>
        <v/>
      </c>
      <c r="L4449" s="16">
        <f>IF(J4449="","",J4449-K4449)</f>
        <v/>
      </c>
      <c r="M4449" s="14">
        <f>IF(A4449="","",MONTH(A4449))</f>
        <v/>
      </c>
      <c r="N4449" s="14">
        <f>IF(A4449="","",YEAR(A4449))</f>
        <v/>
      </c>
    </row>
    <row r="4450">
      <c r="A4450" s="15" t="n"/>
      <c r="B4450" s="10" t="n"/>
      <c r="C4450" s="10" t="n"/>
      <c r="D4450" s="10" t="n"/>
      <c r="E4450" s="14">
        <f>IF(D4450="","",IFERROR(INDEX('Sản phẩm'!$B$5:$B$304,MATCH(D4450,'Sản phẩm'!$A$5:$A$304,0)),""))</f>
        <v/>
      </c>
      <c r="F4450" s="12" t="n"/>
      <c r="G4450" s="11" t="n"/>
      <c r="H4450" s="11" t="n"/>
      <c r="I4450" s="16">
        <f>IF(D4450="","",IF(G4450&lt;&gt;"",G4450,IFERROR(INDEX('Sản phẩm'!$E$5:$E$304,MATCH(D4450,'Sản phẩm'!$A$5:$A$304,0)),"")))</f>
        <v/>
      </c>
      <c r="J4450" s="16">
        <f>IF(OR(D4450="",F4450=""),"",F4450*I4450-N(H4450))</f>
        <v/>
      </c>
      <c r="K4450" s="16">
        <f>IF(OR(D4450="",F4450=""),"",F4450*IFERROR(INDEX('Sản phẩm'!$D$5:$D$304,MATCH(D4450,'Sản phẩm'!$A$5:$A$304,0)),""))</f>
        <v/>
      </c>
      <c r="L4450" s="16">
        <f>IF(J4450="","",J4450-K4450)</f>
        <v/>
      </c>
      <c r="M4450" s="14">
        <f>IF(A4450="","",MONTH(A4450))</f>
        <v/>
      </c>
      <c r="N4450" s="14">
        <f>IF(A4450="","",YEAR(A4450))</f>
        <v/>
      </c>
    </row>
    <row r="4451">
      <c r="A4451" s="15" t="n"/>
      <c r="B4451" s="10" t="n"/>
      <c r="C4451" s="10" t="n"/>
      <c r="D4451" s="10" t="n"/>
      <c r="E4451" s="14">
        <f>IF(D4451="","",IFERROR(INDEX('Sản phẩm'!$B$5:$B$304,MATCH(D4451,'Sản phẩm'!$A$5:$A$304,0)),""))</f>
        <v/>
      </c>
      <c r="F4451" s="12" t="n"/>
      <c r="G4451" s="11" t="n"/>
      <c r="H4451" s="11" t="n"/>
      <c r="I4451" s="16">
        <f>IF(D4451="","",IF(G4451&lt;&gt;"",G4451,IFERROR(INDEX('Sản phẩm'!$E$5:$E$304,MATCH(D4451,'Sản phẩm'!$A$5:$A$304,0)),"")))</f>
        <v/>
      </c>
      <c r="J4451" s="16">
        <f>IF(OR(D4451="",F4451=""),"",F4451*I4451-N(H4451))</f>
        <v/>
      </c>
      <c r="K4451" s="16">
        <f>IF(OR(D4451="",F4451=""),"",F4451*IFERROR(INDEX('Sản phẩm'!$D$5:$D$304,MATCH(D4451,'Sản phẩm'!$A$5:$A$304,0)),""))</f>
        <v/>
      </c>
      <c r="L4451" s="16">
        <f>IF(J4451="","",J4451-K4451)</f>
        <v/>
      </c>
      <c r="M4451" s="14">
        <f>IF(A4451="","",MONTH(A4451))</f>
        <v/>
      </c>
      <c r="N4451" s="14">
        <f>IF(A4451="","",YEAR(A4451))</f>
        <v/>
      </c>
    </row>
    <row r="4452">
      <c r="A4452" s="15" t="n"/>
      <c r="B4452" s="10" t="n"/>
      <c r="C4452" s="10" t="n"/>
      <c r="D4452" s="10" t="n"/>
      <c r="E4452" s="14">
        <f>IF(D4452="","",IFERROR(INDEX('Sản phẩm'!$B$5:$B$304,MATCH(D4452,'Sản phẩm'!$A$5:$A$304,0)),""))</f>
        <v/>
      </c>
      <c r="F4452" s="12" t="n"/>
      <c r="G4452" s="11" t="n"/>
      <c r="H4452" s="11" t="n"/>
      <c r="I4452" s="16">
        <f>IF(D4452="","",IF(G4452&lt;&gt;"",G4452,IFERROR(INDEX('Sản phẩm'!$E$5:$E$304,MATCH(D4452,'Sản phẩm'!$A$5:$A$304,0)),"")))</f>
        <v/>
      </c>
      <c r="J4452" s="16">
        <f>IF(OR(D4452="",F4452=""),"",F4452*I4452-N(H4452))</f>
        <v/>
      </c>
      <c r="K4452" s="16">
        <f>IF(OR(D4452="",F4452=""),"",F4452*IFERROR(INDEX('Sản phẩm'!$D$5:$D$304,MATCH(D4452,'Sản phẩm'!$A$5:$A$304,0)),""))</f>
        <v/>
      </c>
      <c r="L4452" s="16">
        <f>IF(J4452="","",J4452-K4452)</f>
        <v/>
      </c>
      <c r="M4452" s="14">
        <f>IF(A4452="","",MONTH(A4452))</f>
        <v/>
      </c>
      <c r="N4452" s="14">
        <f>IF(A4452="","",YEAR(A4452))</f>
        <v/>
      </c>
    </row>
    <row r="4453">
      <c r="A4453" s="15" t="n"/>
      <c r="B4453" s="10" t="n"/>
      <c r="C4453" s="10" t="n"/>
      <c r="D4453" s="10" t="n"/>
      <c r="E4453" s="14">
        <f>IF(D4453="","",IFERROR(INDEX('Sản phẩm'!$B$5:$B$304,MATCH(D4453,'Sản phẩm'!$A$5:$A$304,0)),""))</f>
        <v/>
      </c>
      <c r="F4453" s="12" t="n"/>
      <c r="G4453" s="11" t="n"/>
      <c r="H4453" s="11" t="n"/>
      <c r="I4453" s="16">
        <f>IF(D4453="","",IF(G4453&lt;&gt;"",G4453,IFERROR(INDEX('Sản phẩm'!$E$5:$E$304,MATCH(D4453,'Sản phẩm'!$A$5:$A$304,0)),"")))</f>
        <v/>
      </c>
      <c r="J4453" s="16">
        <f>IF(OR(D4453="",F4453=""),"",F4453*I4453-N(H4453))</f>
        <v/>
      </c>
      <c r="K4453" s="16">
        <f>IF(OR(D4453="",F4453=""),"",F4453*IFERROR(INDEX('Sản phẩm'!$D$5:$D$304,MATCH(D4453,'Sản phẩm'!$A$5:$A$304,0)),""))</f>
        <v/>
      </c>
      <c r="L4453" s="16">
        <f>IF(J4453="","",J4453-K4453)</f>
        <v/>
      </c>
      <c r="M4453" s="14">
        <f>IF(A4453="","",MONTH(A4453))</f>
        <v/>
      </c>
      <c r="N4453" s="14">
        <f>IF(A4453="","",YEAR(A4453))</f>
        <v/>
      </c>
    </row>
    <row r="4454">
      <c r="A4454" s="15" t="n"/>
      <c r="B4454" s="10" t="n"/>
      <c r="C4454" s="10" t="n"/>
      <c r="D4454" s="10" t="n"/>
      <c r="E4454" s="14">
        <f>IF(D4454="","",IFERROR(INDEX('Sản phẩm'!$B$5:$B$304,MATCH(D4454,'Sản phẩm'!$A$5:$A$304,0)),""))</f>
        <v/>
      </c>
      <c r="F4454" s="12" t="n"/>
      <c r="G4454" s="11" t="n"/>
      <c r="H4454" s="11" t="n"/>
      <c r="I4454" s="16">
        <f>IF(D4454="","",IF(G4454&lt;&gt;"",G4454,IFERROR(INDEX('Sản phẩm'!$E$5:$E$304,MATCH(D4454,'Sản phẩm'!$A$5:$A$304,0)),"")))</f>
        <v/>
      </c>
      <c r="J4454" s="16">
        <f>IF(OR(D4454="",F4454=""),"",F4454*I4454-N(H4454))</f>
        <v/>
      </c>
      <c r="K4454" s="16">
        <f>IF(OR(D4454="",F4454=""),"",F4454*IFERROR(INDEX('Sản phẩm'!$D$5:$D$304,MATCH(D4454,'Sản phẩm'!$A$5:$A$304,0)),""))</f>
        <v/>
      </c>
      <c r="L4454" s="16">
        <f>IF(J4454="","",J4454-K4454)</f>
        <v/>
      </c>
      <c r="M4454" s="14">
        <f>IF(A4454="","",MONTH(A4454))</f>
        <v/>
      </c>
      <c r="N4454" s="14">
        <f>IF(A4454="","",YEAR(A4454))</f>
        <v/>
      </c>
    </row>
    <row r="4455">
      <c r="A4455" s="15" t="n"/>
      <c r="B4455" s="10" t="n"/>
      <c r="C4455" s="10" t="n"/>
      <c r="D4455" s="10" t="n"/>
      <c r="E4455" s="14">
        <f>IF(D4455="","",IFERROR(INDEX('Sản phẩm'!$B$5:$B$304,MATCH(D4455,'Sản phẩm'!$A$5:$A$304,0)),""))</f>
        <v/>
      </c>
      <c r="F4455" s="12" t="n"/>
      <c r="G4455" s="11" t="n"/>
      <c r="H4455" s="11" t="n"/>
      <c r="I4455" s="16">
        <f>IF(D4455="","",IF(G4455&lt;&gt;"",G4455,IFERROR(INDEX('Sản phẩm'!$E$5:$E$304,MATCH(D4455,'Sản phẩm'!$A$5:$A$304,0)),"")))</f>
        <v/>
      </c>
      <c r="J4455" s="16">
        <f>IF(OR(D4455="",F4455=""),"",F4455*I4455-N(H4455))</f>
        <v/>
      </c>
      <c r="K4455" s="16">
        <f>IF(OR(D4455="",F4455=""),"",F4455*IFERROR(INDEX('Sản phẩm'!$D$5:$D$304,MATCH(D4455,'Sản phẩm'!$A$5:$A$304,0)),""))</f>
        <v/>
      </c>
      <c r="L4455" s="16">
        <f>IF(J4455="","",J4455-K4455)</f>
        <v/>
      </c>
      <c r="M4455" s="14">
        <f>IF(A4455="","",MONTH(A4455))</f>
        <v/>
      </c>
      <c r="N4455" s="14">
        <f>IF(A4455="","",YEAR(A4455))</f>
        <v/>
      </c>
    </row>
    <row r="4456">
      <c r="A4456" s="15" t="n"/>
      <c r="B4456" s="10" t="n"/>
      <c r="C4456" s="10" t="n"/>
      <c r="D4456" s="10" t="n"/>
      <c r="E4456" s="14">
        <f>IF(D4456="","",IFERROR(INDEX('Sản phẩm'!$B$5:$B$304,MATCH(D4456,'Sản phẩm'!$A$5:$A$304,0)),""))</f>
        <v/>
      </c>
      <c r="F4456" s="12" t="n"/>
      <c r="G4456" s="11" t="n"/>
      <c r="H4456" s="11" t="n"/>
      <c r="I4456" s="16">
        <f>IF(D4456="","",IF(G4456&lt;&gt;"",G4456,IFERROR(INDEX('Sản phẩm'!$E$5:$E$304,MATCH(D4456,'Sản phẩm'!$A$5:$A$304,0)),"")))</f>
        <v/>
      </c>
      <c r="J4456" s="16">
        <f>IF(OR(D4456="",F4456=""),"",F4456*I4456-N(H4456))</f>
        <v/>
      </c>
      <c r="K4456" s="16">
        <f>IF(OR(D4456="",F4456=""),"",F4456*IFERROR(INDEX('Sản phẩm'!$D$5:$D$304,MATCH(D4456,'Sản phẩm'!$A$5:$A$304,0)),""))</f>
        <v/>
      </c>
      <c r="L4456" s="16">
        <f>IF(J4456="","",J4456-K4456)</f>
        <v/>
      </c>
      <c r="M4456" s="14">
        <f>IF(A4456="","",MONTH(A4456))</f>
        <v/>
      </c>
      <c r="N4456" s="14">
        <f>IF(A4456="","",YEAR(A4456))</f>
        <v/>
      </c>
    </row>
    <row r="4457">
      <c r="A4457" s="15" t="n"/>
      <c r="B4457" s="10" t="n"/>
      <c r="C4457" s="10" t="n"/>
      <c r="D4457" s="10" t="n"/>
      <c r="E4457" s="14">
        <f>IF(D4457="","",IFERROR(INDEX('Sản phẩm'!$B$5:$B$304,MATCH(D4457,'Sản phẩm'!$A$5:$A$304,0)),""))</f>
        <v/>
      </c>
      <c r="F4457" s="12" t="n"/>
      <c r="G4457" s="11" t="n"/>
      <c r="H4457" s="11" t="n"/>
      <c r="I4457" s="16">
        <f>IF(D4457="","",IF(G4457&lt;&gt;"",G4457,IFERROR(INDEX('Sản phẩm'!$E$5:$E$304,MATCH(D4457,'Sản phẩm'!$A$5:$A$304,0)),"")))</f>
        <v/>
      </c>
      <c r="J4457" s="16">
        <f>IF(OR(D4457="",F4457=""),"",F4457*I4457-N(H4457))</f>
        <v/>
      </c>
      <c r="K4457" s="16">
        <f>IF(OR(D4457="",F4457=""),"",F4457*IFERROR(INDEX('Sản phẩm'!$D$5:$D$304,MATCH(D4457,'Sản phẩm'!$A$5:$A$304,0)),""))</f>
        <v/>
      </c>
      <c r="L4457" s="16">
        <f>IF(J4457="","",J4457-K4457)</f>
        <v/>
      </c>
      <c r="M4457" s="14">
        <f>IF(A4457="","",MONTH(A4457))</f>
        <v/>
      </c>
      <c r="N4457" s="14">
        <f>IF(A4457="","",YEAR(A4457))</f>
        <v/>
      </c>
    </row>
    <row r="4458">
      <c r="A4458" s="15" t="n"/>
      <c r="B4458" s="10" t="n"/>
      <c r="C4458" s="10" t="n"/>
      <c r="D4458" s="10" t="n"/>
      <c r="E4458" s="14">
        <f>IF(D4458="","",IFERROR(INDEX('Sản phẩm'!$B$5:$B$304,MATCH(D4458,'Sản phẩm'!$A$5:$A$304,0)),""))</f>
        <v/>
      </c>
      <c r="F4458" s="12" t="n"/>
      <c r="G4458" s="11" t="n"/>
      <c r="H4458" s="11" t="n"/>
      <c r="I4458" s="16">
        <f>IF(D4458="","",IF(G4458&lt;&gt;"",G4458,IFERROR(INDEX('Sản phẩm'!$E$5:$E$304,MATCH(D4458,'Sản phẩm'!$A$5:$A$304,0)),"")))</f>
        <v/>
      </c>
      <c r="J4458" s="16">
        <f>IF(OR(D4458="",F4458=""),"",F4458*I4458-N(H4458))</f>
        <v/>
      </c>
      <c r="K4458" s="16">
        <f>IF(OR(D4458="",F4458=""),"",F4458*IFERROR(INDEX('Sản phẩm'!$D$5:$D$304,MATCH(D4458,'Sản phẩm'!$A$5:$A$304,0)),""))</f>
        <v/>
      </c>
      <c r="L4458" s="16">
        <f>IF(J4458="","",J4458-K4458)</f>
        <v/>
      </c>
      <c r="M4458" s="14">
        <f>IF(A4458="","",MONTH(A4458))</f>
        <v/>
      </c>
      <c r="N4458" s="14">
        <f>IF(A4458="","",YEAR(A4458))</f>
        <v/>
      </c>
    </row>
    <row r="4459">
      <c r="A4459" s="15" t="n"/>
      <c r="B4459" s="10" t="n"/>
      <c r="C4459" s="10" t="n"/>
      <c r="D4459" s="10" t="n"/>
      <c r="E4459" s="14">
        <f>IF(D4459="","",IFERROR(INDEX('Sản phẩm'!$B$5:$B$304,MATCH(D4459,'Sản phẩm'!$A$5:$A$304,0)),""))</f>
        <v/>
      </c>
      <c r="F4459" s="12" t="n"/>
      <c r="G4459" s="11" t="n"/>
      <c r="H4459" s="11" t="n"/>
      <c r="I4459" s="16">
        <f>IF(D4459="","",IF(G4459&lt;&gt;"",G4459,IFERROR(INDEX('Sản phẩm'!$E$5:$E$304,MATCH(D4459,'Sản phẩm'!$A$5:$A$304,0)),"")))</f>
        <v/>
      </c>
      <c r="J4459" s="16">
        <f>IF(OR(D4459="",F4459=""),"",F4459*I4459-N(H4459))</f>
        <v/>
      </c>
      <c r="K4459" s="16">
        <f>IF(OR(D4459="",F4459=""),"",F4459*IFERROR(INDEX('Sản phẩm'!$D$5:$D$304,MATCH(D4459,'Sản phẩm'!$A$5:$A$304,0)),""))</f>
        <v/>
      </c>
      <c r="L4459" s="16">
        <f>IF(J4459="","",J4459-K4459)</f>
        <v/>
      </c>
      <c r="M4459" s="14">
        <f>IF(A4459="","",MONTH(A4459))</f>
        <v/>
      </c>
      <c r="N4459" s="14">
        <f>IF(A4459="","",YEAR(A4459))</f>
        <v/>
      </c>
    </row>
    <row r="4460">
      <c r="A4460" s="15" t="n"/>
      <c r="B4460" s="10" t="n"/>
      <c r="C4460" s="10" t="n"/>
      <c r="D4460" s="10" t="n"/>
      <c r="E4460" s="14">
        <f>IF(D4460="","",IFERROR(INDEX('Sản phẩm'!$B$5:$B$304,MATCH(D4460,'Sản phẩm'!$A$5:$A$304,0)),""))</f>
        <v/>
      </c>
      <c r="F4460" s="12" t="n"/>
      <c r="G4460" s="11" t="n"/>
      <c r="H4460" s="11" t="n"/>
      <c r="I4460" s="16">
        <f>IF(D4460="","",IF(G4460&lt;&gt;"",G4460,IFERROR(INDEX('Sản phẩm'!$E$5:$E$304,MATCH(D4460,'Sản phẩm'!$A$5:$A$304,0)),"")))</f>
        <v/>
      </c>
      <c r="J4460" s="16">
        <f>IF(OR(D4460="",F4460=""),"",F4460*I4460-N(H4460))</f>
        <v/>
      </c>
      <c r="K4460" s="16">
        <f>IF(OR(D4460="",F4460=""),"",F4460*IFERROR(INDEX('Sản phẩm'!$D$5:$D$304,MATCH(D4460,'Sản phẩm'!$A$5:$A$304,0)),""))</f>
        <v/>
      </c>
      <c r="L4460" s="16">
        <f>IF(J4460="","",J4460-K4460)</f>
        <v/>
      </c>
      <c r="M4460" s="14">
        <f>IF(A4460="","",MONTH(A4460))</f>
        <v/>
      </c>
      <c r="N4460" s="14">
        <f>IF(A4460="","",YEAR(A4460))</f>
        <v/>
      </c>
    </row>
    <row r="4461">
      <c r="A4461" s="15" t="n"/>
      <c r="B4461" s="10" t="n"/>
      <c r="C4461" s="10" t="n"/>
      <c r="D4461" s="10" t="n"/>
      <c r="E4461" s="14">
        <f>IF(D4461="","",IFERROR(INDEX('Sản phẩm'!$B$5:$B$304,MATCH(D4461,'Sản phẩm'!$A$5:$A$304,0)),""))</f>
        <v/>
      </c>
      <c r="F4461" s="12" t="n"/>
      <c r="G4461" s="11" t="n"/>
      <c r="H4461" s="11" t="n"/>
      <c r="I4461" s="16">
        <f>IF(D4461="","",IF(G4461&lt;&gt;"",G4461,IFERROR(INDEX('Sản phẩm'!$E$5:$E$304,MATCH(D4461,'Sản phẩm'!$A$5:$A$304,0)),"")))</f>
        <v/>
      </c>
      <c r="J4461" s="16">
        <f>IF(OR(D4461="",F4461=""),"",F4461*I4461-N(H4461))</f>
        <v/>
      </c>
      <c r="K4461" s="16">
        <f>IF(OR(D4461="",F4461=""),"",F4461*IFERROR(INDEX('Sản phẩm'!$D$5:$D$304,MATCH(D4461,'Sản phẩm'!$A$5:$A$304,0)),""))</f>
        <v/>
      </c>
      <c r="L4461" s="16">
        <f>IF(J4461="","",J4461-K4461)</f>
        <v/>
      </c>
      <c r="M4461" s="14">
        <f>IF(A4461="","",MONTH(A4461))</f>
        <v/>
      </c>
      <c r="N4461" s="14">
        <f>IF(A4461="","",YEAR(A4461))</f>
        <v/>
      </c>
    </row>
    <row r="4462">
      <c r="A4462" s="15" t="n"/>
      <c r="B4462" s="10" t="n"/>
      <c r="C4462" s="10" t="n"/>
      <c r="D4462" s="10" t="n"/>
      <c r="E4462" s="14">
        <f>IF(D4462="","",IFERROR(INDEX('Sản phẩm'!$B$5:$B$304,MATCH(D4462,'Sản phẩm'!$A$5:$A$304,0)),""))</f>
        <v/>
      </c>
      <c r="F4462" s="12" t="n"/>
      <c r="G4462" s="11" t="n"/>
      <c r="H4462" s="11" t="n"/>
      <c r="I4462" s="16">
        <f>IF(D4462="","",IF(G4462&lt;&gt;"",G4462,IFERROR(INDEX('Sản phẩm'!$E$5:$E$304,MATCH(D4462,'Sản phẩm'!$A$5:$A$304,0)),"")))</f>
        <v/>
      </c>
      <c r="J4462" s="16">
        <f>IF(OR(D4462="",F4462=""),"",F4462*I4462-N(H4462))</f>
        <v/>
      </c>
      <c r="K4462" s="16">
        <f>IF(OR(D4462="",F4462=""),"",F4462*IFERROR(INDEX('Sản phẩm'!$D$5:$D$304,MATCH(D4462,'Sản phẩm'!$A$5:$A$304,0)),""))</f>
        <v/>
      </c>
      <c r="L4462" s="16">
        <f>IF(J4462="","",J4462-K4462)</f>
        <v/>
      </c>
      <c r="M4462" s="14">
        <f>IF(A4462="","",MONTH(A4462))</f>
        <v/>
      </c>
      <c r="N4462" s="14">
        <f>IF(A4462="","",YEAR(A4462))</f>
        <v/>
      </c>
    </row>
    <row r="4463">
      <c r="A4463" s="15" t="n"/>
      <c r="B4463" s="10" t="n"/>
      <c r="C4463" s="10" t="n"/>
      <c r="D4463" s="10" t="n"/>
      <c r="E4463" s="14">
        <f>IF(D4463="","",IFERROR(INDEX('Sản phẩm'!$B$5:$B$304,MATCH(D4463,'Sản phẩm'!$A$5:$A$304,0)),""))</f>
        <v/>
      </c>
      <c r="F4463" s="12" t="n"/>
      <c r="G4463" s="11" t="n"/>
      <c r="H4463" s="11" t="n"/>
      <c r="I4463" s="16">
        <f>IF(D4463="","",IF(G4463&lt;&gt;"",G4463,IFERROR(INDEX('Sản phẩm'!$E$5:$E$304,MATCH(D4463,'Sản phẩm'!$A$5:$A$304,0)),"")))</f>
        <v/>
      </c>
      <c r="J4463" s="16">
        <f>IF(OR(D4463="",F4463=""),"",F4463*I4463-N(H4463))</f>
        <v/>
      </c>
      <c r="K4463" s="16">
        <f>IF(OR(D4463="",F4463=""),"",F4463*IFERROR(INDEX('Sản phẩm'!$D$5:$D$304,MATCH(D4463,'Sản phẩm'!$A$5:$A$304,0)),""))</f>
        <v/>
      </c>
      <c r="L4463" s="16">
        <f>IF(J4463="","",J4463-K4463)</f>
        <v/>
      </c>
      <c r="M4463" s="14">
        <f>IF(A4463="","",MONTH(A4463))</f>
        <v/>
      </c>
      <c r="N4463" s="14">
        <f>IF(A4463="","",YEAR(A4463))</f>
        <v/>
      </c>
    </row>
    <row r="4464">
      <c r="A4464" s="15" t="n"/>
      <c r="B4464" s="10" t="n"/>
      <c r="C4464" s="10" t="n"/>
      <c r="D4464" s="10" t="n"/>
      <c r="E4464" s="14">
        <f>IF(D4464="","",IFERROR(INDEX('Sản phẩm'!$B$5:$B$304,MATCH(D4464,'Sản phẩm'!$A$5:$A$304,0)),""))</f>
        <v/>
      </c>
      <c r="F4464" s="12" t="n"/>
      <c r="G4464" s="11" t="n"/>
      <c r="H4464" s="11" t="n"/>
      <c r="I4464" s="16">
        <f>IF(D4464="","",IF(G4464&lt;&gt;"",G4464,IFERROR(INDEX('Sản phẩm'!$E$5:$E$304,MATCH(D4464,'Sản phẩm'!$A$5:$A$304,0)),"")))</f>
        <v/>
      </c>
      <c r="J4464" s="16">
        <f>IF(OR(D4464="",F4464=""),"",F4464*I4464-N(H4464))</f>
        <v/>
      </c>
      <c r="K4464" s="16">
        <f>IF(OR(D4464="",F4464=""),"",F4464*IFERROR(INDEX('Sản phẩm'!$D$5:$D$304,MATCH(D4464,'Sản phẩm'!$A$5:$A$304,0)),""))</f>
        <v/>
      </c>
      <c r="L4464" s="16">
        <f>IF(J4464="","",J4464-K4464)</f>
        <v/>
      </c>
      <c r="M4464" s="14">
        <f>IF(A4464="","",MONTH(A4464))</f>
        <v/>
      </c>
      <c r="N4464" s="14">
        <f>IF(A4464="","",YEAR(A4464))</f>
        <v/>
      </c>
    </row>
    <row r="4465">
      <c r="A4465" s="15" t="n"/>
      <c r="B4465" s="10" t="n"/>
      <c r="C4465" s="10" t="n"/>
      <c r="D4465" s="10" t="n"/>
      <c r="E4465" s="14">
        <f>IF(D4465="","",IFERROR(INDEX('Sản phẩm'!$B$5:$B$304,MATCH(D4465,'Sản phẩm'!$A$5:$A$304,0)),""))</f>
        <v/>
      </c>
      <c r="F4465" s="12" t="n"/>
      <c r="G4465" s="11" t="n"/>
      <c r="H4465" s="11" t="n"/>
      <c r="I4465" s="16">
        <f>IF(D4465="","",IF(G4465&lt;&gt;"",G4465,IFERROR(INDEX('Sản phẩm'!$E$5:$E$304,MATCH(D4465,'Sản phẩm'!$A$5:$A$304,0)),"")))</f>
        <v/>
      </c>
      <c r="J4465" s="16">
        <f>IF(OR(D4465="",F4465=""),"",F4465*I4465-N(H4465))</f>
        <v/>
      </c>
      <c r="K4465" s="16">
        <f>IF(OR(D4465="",F4465=""),"",F4465*IFERROR(INDEX('Sản phẩm'!$D$5:$D$304,MATCH(D4465,'Sản phẩm'!$A$5:$A$304,0)),""))</f>
        <v/>
      </c>
      <c r="L4465" s="16">
        <f>IF(J4465="","",J4465-K4465)</f>
        <v/>
      </c>
      <c r="M4465" s="14">
        <f>IF(A4465="","",MONTH(A4465))</f>
        <v/>
      </c>
      <c r="N4465" s="14">
        <f>IF(A4465="","",YEAR(A4465))</f>
        <v/>
      </c>
    </row>
    <row r="4466">
      <c r="A4466" s="15" t="n"/>
      <c r="B4466" s="10" t="n"/>
      <c r="C4466" s="10" t="n"/>
      <c r="D4466" s="10" t="n"/>
      <c r="E4466" s="14">
        <f>IF(D4466="","",IFERROR(INDEX('Sản phẩm'!$B$5:$B$304,MATCH(D4466,'Sản phẩm'!$A$5:$A$304,0)),""))</f>
        <v/>
      </c>
      <c r="F4466" s="12" t="n"/>
      <c r="G4466" s="11" t="n"/>
      <c r="H4466" s="11" t="n"/>
      <c r="I4466" s="16">
        <f>IF(D4466="","",IF(G4466&lt;&gt;"",G4466,IFERROR(INDEX('Sản phẩm'!$E$5:$E$304,MATCH(D4466,'Sản phẩm'!$A$5:$A$304,0)),"")))</f>
        <v/>
      </c>
      <c r="J4466" s="16">
        <f>IF(OR(D4466="",F4466=""),"",F4466*I4466-N(H4466))</f>
        <v/>
      </c>
      <c r="K4466" s="16">
        <f>IF(OR(D4466="",F4466=""),"",F4466*IFERROR(INDEX('Sản phẩm'!$D$5:$D$304,MATCH(D4466,'Sản phẩm'!$A$5:$A$304,0)),""))</f>
        <v/>
      </c>
      <c r="L4466" s="16">
        <f>IF(J4466="","",J4466-K4466)</f>
        <v/>
      </c>
      <c r="M4466" s="14">
        <f>IF(A4466="","",MONTH(A4466))</f>
        <v/>
      </c>
      <c r="N4466" s="14">
        <f>IF(A4466="","",YEAR(A4466))</f>
        <v/>
      </c>
    </row>
    <row r="4467">
      <c r="A4467" s="15" t="n"/>
      <c r="B4467" s="10" t="n"/>
      <c r="C4467" s="10" t="n"/>
      <c r="D4467" s="10" t="n"/>
      <c r="E4467" s="14">
        <f>IF(D4467="","",IFERROR(INDEX('Sản phẩm'!$B$5:$B$304,MATCH(D4467,'Sản phẩm'!$A$5:$A$304,0)),""))</f>
        <v/>
      </c>
      <c r="F4467" s="12" t="n"/>
      <c r="G4467" s="11" t="n"/>
      <c r="H4467" s="11" t="n"/>
      <c r="I4467" s="16">
        <f>IF(D4467="","",IF(G4467&lt;&gt;"",G4467,IFERROR(INDEX('Sản phẩm'!$E$5:$E$304,MATCH(D4467,'Sản phẩm'!$A$5:$A$304,0)),"")))</f>
        <v/>
      </c>
      <c r="J4467" s="16">
        <f>IF(OR(D4467="",F4467=""),"",F4467*I4467-N(H4467))</f>
        <v/>
      </c>
      <c r="K4467" s="16">
        <f>IF(OR(D4467="",F4467=""),"",F4467*IFERROR(INDEX('Sản phẩm'!$D$5:$D$304,MATCH(D4467,'Sản phẩm'!$A$5:$A$304,0)),""))</f>
        <v/>
      </c>
      <c r="L4467" s="16">
        <f>IF(J4467="","",J4467-K4467)</f>
        <v/>
      </c>
      <c r="M4467" s="14">
        <f>IF(A4467="","",MONTH(A4467))</f>
        <v/>
      </c>
      <c r="N4467" s="14">
        <f>IF(A4467="","",YEAR(A4467))</f>
        <v/>
      </c>
    </row>
    <row r="4468">
      <c r="A4468" s="15" t="n"/>
      <c r="B4468" s="10" t="n"/>
      <c r="C4468" s="10" t="n"/>
      <c r="D4468" s="10" t="n"/>
      <c r="E4468" s="14">
        <f>IF(D4468="","",IFERROR(INDEX('Sản phẩm'!$B$5:$B$304,MATCH(D4468,'Sản phẩm'!$A$5:$A$304,0)),""))</f>
        <v/>
      </c>
      <c r="F4468" s="12" t="n"/>
      <c r="G4468" s="11" t="n"/>
      <c r="H4468" s="11" t="n"/>
      <c r="I4468" s="16">
        <f>IF(D4468="","",IF(G4468&lt;&gt;"",G4468,IFERROR(INDEX('Sản phẩm'!$E$5:$E$304,MATCH(D4468,'Sản phẩm'!$A$5:$A$304,0)),"")))</f>
        <v/>
      </c>
      <c r="J4468" s="16">
        <f>IF(OR(D4468="",F4468=""),"",F4468*I4468-N(H4468))</f>
        <v/>
      </c>
      <c r="K4468" s="16">
        <f>IF(OR(D4468="",F4468=""),"",F4468*IFERROR(INDEX('Sản phẩm'!$D$5:$D$304,MATCH(D4468,'Sản phẩm'!$A$5:$A$304,0)),""))</f>
        <v/>
      </c>
      <c r="L4468" s="16">
        <f>IF(J4468="","",J4468-K4468)</f>
        <v/>
      </c>
      <c r="M4468" s="14">
        <f>IF(A4468="","",MONTH(A4468))</f>
        <v/>
      </c>
      <c r="N4468" s="14">
        <f>IF(A4468="","",YEAR(A4468))</f>
        <v/>
      </c>
    </row>
    <row r="4469">
      <c r="A4469" s="15" t="n"/>
      <c r="B4469" s="10" t="n"/>
      <c r="C4469" s="10" t="n"/>
      <c r="D4469" s="10" t="n"/>
      <c r="E4469" s="14">
        <f>IF(D4469="","",IFERROR(INDEX('Sản phẩm'!$B$5:$B$304,MATCH(D4469,'Sản phẩm'!$A$5:$A$304,0)),""))</f>
        <v/>
      </c>
      <c r="F4469" s="12" t="n"/>
      <c r="G4469" s="11" t="n"/>
      <c r="H4469" s="11" t="n"/>
      <c r="I4469" s="16">
        <f>IF(D4469="","",IF(G4469&lt;&gt;"",G4469,IFERROR(INDEX('Sản phẩm'!$E$5:$E$304,MATCH(D4469,'Sản phẩm'!$A$5:$A$304,0)),"")))</f>
        <v/>
      </c>
      <c r="J4469" s="16">
        <f>IF(OR(D4469="",F4469=""),"",F4469*I4469-N(H4469))</f>
        <v/>
      </c>
      <c r="K4469" s="16">
        <f>IF(OR(D4469="",F4469=""),"",F4469*IFERROR(INDEX('Sản phẩm'!$D$5:$D$304,MATCH(D4469,'Sản phẩm'!$A$5:$A$304,0)),""))</f>
        <v/>
      </c>
      <c r="L4469" s="16">
        <f>IF(J4469="","",J4469-K4469)</f>
        <v/>
      </c>
      <c r="M4469" s="14">
        <f>IF(A4469="","",MONTH(A4469))</f>
        <v/>
      </c>
      <c r="N4469" s="14">
        <f>IF(A4469="","",YEAR(A4469))</f>
        <v/>
      </c>
    </row>
    <row r="4470">
      <c r="A4470" s="15" t="n"/>
      <c r="B4470" s="10" t="n"/>
      <c r="C4470" s="10" t="n"/>
      <c r="D4470" s="10" t="n"/>
      <c r="E4470" s="14">
        <f>IF(D4470="","",IFERROR(INDEX('Sản phẩm'!$B$5:$B$304,MATCH(D4470,'Sản phẩm'!$A$5:$A$304,0)),""))</f>
        <v/>
      </c>
      <c r="F4470" s="12" t="n"/>
      <c r="G4470" s="11" t="n"/>
      <c r="H4470" s="11" t="n"/>
      <c r="I4470" s="16">
        <f>IF(D4470="","",IF(G4470&lt;&gt;"",G4470,IFERROR(INDEX('Sản phẩm'!$E$5:$E$304,MATCH(D4470,'Sản phẩm'!$A$5:$A$304,0)),"")))</f>
        <v/>
      </c>
      <c r="J4470" s="16">
        <f>IF(OR(D4470="",F4470=""),"",F4470*I4470-N(H4470))</f>
        <v/>
      </c>
      <c r="K4470" s="16">
        <f>IF(OR(D4470="",F4470=""),"",F4470*IFERROR(INDEX('Sản phẩm'!$D$5:$D$304,MATCH(D4470,'Sản phẩm'!$A$5:$A$304,0)),""))</f>
        <v/>
      </c>
      <c r="L4470" s="16">
        <f>IF(J4470="","",J4470-K4470)</f>
        <v/>
      </c>
      <c r="M4470" s="14">
        <f>IF(A4470="","",MONTH(A4470))</f>
        <v/>
      </c>
      <c r="N4470" s="14">
        <f>IF(A4470="","",YEAR(A4470))</f>
        <v/>
      </c>
    </row>
    <row r="4471">
      <c r="A4471" s="15" t="n"/>
      <c r="B4471" s="10" t="n"/>
      <c r="C4471" s="10" t="n"/>
      <c r="D4471" s="10" t="n"/>
      <c r="E4471" s="14">
        <f>IF(D4471="","",IFERROR(INDEX('Sản phẩm'!$B$5:$B$304,MATCH(D4471,'Sản phẩm'!$A$5:$A$304,0)),""))</f>
        <v/>
      </c>
      <c r="F4471" s="12" t="n"/>
      <c r="G4471" s="11" t="n"/>
      <c r="H4471" s="11" t="n"/>
      <c r="I4471" s="16">
        <f>IF(D4471="","",IF(G4471&lt;&gt;"",G4471,IFERROR(INDEX('Sản phẩm'!$E$5:$E$304,MATCH(D4471,'Sản phẩm'!$A$5:$A$304,0)),"")))</f>
        <v/>
      </c>
      <c r="J4471" s="16">
        <f>IF(OR(D4471="",F4471=""),"",F4471*I4471-N(H4471))</f>
        <v/>
      </c>
      <c r="K4471" s="16">
        <f>IF(OR(D4471="",F4471=""),"",F4471*IFERROR(INDEX('Sản phẩm'!$D$5:$D$304,MATCH(D4471,'Sản phẩm'!$A$5:$A$304,0)),""))</f>
        <v/>
      </c>
      <c r="L4471" s="16">
        <f>IF(J4471="","",J4471-K4471)</f>
        <v/>
      </c>
      <c r="M4471" s="14">
        <f>IF(A4471="","",MONTH(A4471))</f>
        <v/>
      </c>
      <c r="N4471" s="14">
        <f>IF(A4471="","",YEAR(A4471))</f>
        <v/>
      </c>
    </row>
    <row r="4472">
      <c r="A4472" s="15" t="n"/>
      <c r="B4472" s="10" t="n"/>
      <c r="C4472" s="10" t="n"/>
      <c r="D4472" s="10" t="n"/>
      <c r="E4472" s="14">
        <f>IF(D4472="","",IFERROR(INDEX('Sản phẩm'!$B$5:$B$304,MATCH(D4472,'Sản phẩm'!$A$5:$A$304,0)),""))</f>
        <v/>
      </c>
      <c r="F4472" s="12" t="n"/>
      <c r="G4472" s="11" t="n"/>
      <c r="H4472" s="11" t="n"/>
      <c r="I4472" s="16">
        <f>IF(D4472="","",IF(G4472&lt;&gt;"",G4472,IFERROR(INDEX('Sản phẩm'!$E$5:$E$304,MATCH(D4472,'Sản phẩm'!$A$5:$A$304,0)),"")))</f>
        <v/>
      </c>
      <c r="J4472" s="16">
        <f>IF(OR(D4472="",F4472=""),"",F4472*I4472-N(H4472))</f>
        <v/>
      </c>
      <c r="K4472" s="16">
        <f>IF(OR(D4472="",F4472=""),"",F4472*IFERROR(INDEX('Sản phẩm'!$D$5:$D$304,MATCH(D4472,'Sản phẩm'!$A$5:$A$304,0)),""))</f>
        <v/>
      </c>
      <c r="L4472" s="16">
        <f>IF(J4472="","",J4472-K4472)</f>
        <v/>
      </c>
      <c r="M4472" s="14">
        <f>IF(A4472="","",MONTH(A4472))</f>
        <v/>
      </c>
      <c r="N4472" s="14">
        <f>IF(A4472="","",YEAR(A4472))</f>
        <v/>
      </c>
    </row>
    <row r="4473">
      <c r="A4473" s="15" t="n"/>
      <c r="B4473" s="10" t="n"/>
      <c r="C4473" s="10" t="n"/>
      <c r="D4473" s="10" t="n"/>
      <c r="E4473" s="14">
        <f>IF(D4473="","",IFERROR(INDEX('Sản phẩm'!$B$5:$B$304,MATCH(D4473,'Sản phẩm'!$A$5:$A$304,0)),""))</f>
        <v/>
      </c>
      <c r="F4473" s="12" t="n"/>
      <c r="G4473" s="11" t="n"/>
      <c r="H4473" s="11" t="n"/>
      <c r="I4473" s="16">
        <f>IF(D4473="","",IF(G4473&lt;&gt;"",G4473,IFERROR(INDEX('Sản phẩm'!$E$5:$E$304,MATCH(D4473,'Sản phẩm'!$A$5:$A$304,0)),"")))</f>
        <v/>
      </c>
      <c r="J4473" s="16">
        <f>IF(OR(D4473="",F4473=""),"",F4473*I4473-N(H4473))</f>
        <v/>
      </c>
      <c r="K4473" s="16">
        <f>IF(OR(D4473="",F4473=""),"",F4473*IFERROR(INDEX('Sản phẩm'!$D$5:$D$304,MATCH(D4473,'Sản phẩm'!$A$5:$A$304,0)),""))</f>
        <v/>
      </c>
      <c r="L4473" s="16">
        <f>IF(J4473="","",J4473-K4473)</f>
        <v/>
      </c>
      <c r="M4473" s="14">
        <f>IF(A4473="","",MONTH(A4473))</f>
        <v/>
      </c>
      <c r="N4473" s="14">
        <f>IF(A4473="","",YEAR(A4473))</f>
        <v/>
      </c>
    </row>
    <row r="4474">
      <c r="A4474" s="15" t="n"/>
      <c r="B4474" s="10" t="n"/>
      <c r="C4474" s="10" t="n"/>
      <c r="D4474" s="10" t="n"/>
      <c r="E4474" s="14">
        <f>IF(D4474="","",IFERROR(INDEX('Sản phẩm'!$B$5:$B$304,MATCH(D4474,'Sản phẩm'!$A$5:$A$304,0)),""))</f>
        <v/>
      </c>
      <c r="F4474" s="12" t="n"/>
      <c r="G4474" s="11" t="n"/>
      <c r="H4474" s="11" t="n"/>
      <c r="I4474" s="16">
        <f>IF(D4474="","",IF(G4474&lt;&gt;"",G4474,IFERROR(INDEX('Sản phẩm'!$E$5:$E$304,MATCH(D4474,'Sản phẩm'!$A$5:$A$304,0)),"")))</f>
        <v/>
      </c>
      <c r="J4474" s="16">
        <f>IF(OR(D4474="",F4474=""),"",F4474*I4474-N(H4474))</f>
        <v/>
      </c>
      <c r="K4474" s="16">
        <f>IF(OR(D4474="",F4474=""),"",F4474*IFERROR(INDEX('Sản phẩm'!$D$5:$D$304,MATCH(D4474,'Sản phẩm'!$A$5:$A$304,0)),""))</f>
        <v/>
      </c>
      <c r="L4474" s="16">
        <f>IF(J4474="","",J4474-K4474)</f>
        <v/>
      </c>
      <c r="M4474" s="14">
        <f>IF(A4474="","",MONTH(A4474))</f>
        <v/>
      </c>
      <c r="N4474" s="14">
        <f>IF(A4474="","",YEAR(A4474))</f>
        <v/>
      </c>
    </row>
    <row r="4475">
      <c r="A4475" s="15" t="n"/>
      <c r="B4475" s="10" t="n"/>
      <c r="C4475" s="10" t="n"/>
      <c r="D4475" s="10" t="n"/>
      <c r="E4475" s="14">
        <f>IF(D4475="","",IFERROR(INDEX('Sản phẩm'!$B$5:$B$304,MATCH(D4475,'Sản phẩm'!$A$5:$A$304,0)),""))</f>
        <v/>
      </c>
      <c r="F4475" s="12" t="n"/>
      <c r="G4475" s="11" t="n"/>
      <c r="H4475" s="11" t="n"/>
      <c r="I4475" s="16">
        <f>IF(D4475="","",IF(G4475&lt;&gt;"",G4475,IFERROR(INDEX('Sản phẩm'!$E$5:$E$304,MATCH(D4475,'Sản phẩm'!$A$5:$A$304,0)),"")))</f>
        <v/>
      </c>
      <c r="J4475" s="16">
        <f>IF(OR(D4475="",F4475=""),"",F4475*I4475-N(H4475))</f>
        <v/>
      </c>
      <c r="K4475" s="16">
        <f>IF(OR(D4475="",F4475=""),"",F4475*IFERROR(INDEX('Sản phẩm'!$D$5:$D$304,MATCH(D4475,'Sản phẩm'!$A$5:$A$304,0)),""))</f>
        <v/>
      </c>
      <c r="L4475" s="16">
        <f>IF(J4475="","",J4475-K4475)</f>
        <v/>
      </c>
      <c r="M4475" s="14">
        <f>IF(A4475="","",MONTH(A4475))</f>
        <v/>
      </c>
      <c r="N4475" s="14">
        <f>IF(A4475="","",YEAR(A4475))</f>
        <v/>
      </c>
    </row>
    <row r="4476">
      <c r="A4476" s="15" t="n"/>
      <c r="B4476" s="10" t="n"/>
      <c r="C4476" s="10" t="n"/>
      <c r="D4476" s="10" t="n"/>
      <c r="E4476" s="14">
        <f>IF(D4476="","",IFERROR(INDEX('Sản phẩm'!$B$5:$B$304,MATCH(D4476,'Sản phẩm'!$A$5:$A$304,0)),""))</f>
        <v/>
      </c>
      <c r="F4476" s="12" t="n"/>
      <c r="G4476" s="11" t="n"/>
      <c r="H4476" s="11" t="n"/>
      <c r="I4476" s="16">
        <f>IF(D4476="","",IF(G4476&lt;&gt;"",G4476,IFERROR(INDEX('Sản phẩm'!$E$5:$E$304,MATCH(D4476,'Sản phẩm'!$A$5:$A$304,0)),"")))</f>
        <v/>
      </c>
      <c r="J4476" s="16">
        <f>IF(OR(D4476="",F4476=""),"",F4476*I4476-N(H4476))</f>
        <v/>
      </c>
      <c r="K4476" s="16">
        <f>IF(OR(D4476="",F4476=""),"",F4476*IFERROR(INDEX('Sản phẩm'!$D$5:$D$304,MATCH(D4476,'Sản phẩm'!$A$5:$A$304,0)),""))</f>
        <v/>
      </c>
      <c r="L4476" s="16">
        <f>IF(J4476="","",J4476-K4476)</f>
        <v/>
      </c>
      <c r="M4476" s="14">
        <f>IF(A4476="","",MONTH(A4476))</f>
        <v/>
      </c>
      <c r="N4476" s="14">
        <f>IF(A4476="","",YEAR(A4476))</f>
        <v/>
      </c>
    </row>
    <row r="4477">
      <c r="A4477" s="15" t="n"/>
      <c r="B4477" s="10" t="n"/>
      <c r="C4477" s="10" t="n"/>
      <c r="D4477" s="10" t="n"/>
      <c r="E4477" s="14">
        <f>IF(D4477="","",IFERROR(INDEX('Sản phẩm'!$B$5:$B$304,MATCH(D4477,'Sản phẩm'!$A$5:$A$304,0)),""))</f>
        <v/>
      </c>
      <c r="F4477" s="12" t="n"/>
      <c r="G4477" s="11" t="n"/>
      <c r="H4477" s="11" t="n"/>
      <c r="I4477" s="16">
        <f>IF(D4477="","",IF(G4477&lt;&gt;"",G4477,IFERROR(INDEX('Sản phẩm'!$E$5:$E$304,MATCH(D4477,'Sản phẩm'!$A$5:$A$304,0)),"")))</f>
        <v/>
      </c>
      <c r="J4477" s="16">
        <f>IF(OR(D4477="",F4477=""),"",F4477*I4477-N(H4477))</f>
        <v/>
      </c>
      <c r="K4477" s="16">
        <f>IF(OR(D4477="",F4477=""),"",F4477*IFERROR(INDEX('Sản phẩm'!$D$5:$D$304,MATCH(D4477,'Sản phẩm'!$A$5:$A$304,0)),""))</f>
        <v/>
      </c>
      <c r="L4477" s="16">
        <f>IF(J4477="","",J4477-K4477)</f>
        <v/>
      </c>
      <c r="M4477" s="14">
        <f>IF(A4477="","",MONTH(A4477))</f>
        <v/>
      </c>
      <c r="N4477" s="14">
        <f>IF(A4477="","",YEAR(A4477))</f>
        <v/>
      </c>
    </row>
    <row r="4478">
      <c r="A4478" s="15" t="n"/>
      <c r="B4478" s="10" t="n"/>
      <c r="C4478" s="10" t="n"/>
      <c r="D4478" s="10" t="n"/>
      <c r="E4478" s="14">
        <f>IF(D4478="","",IFERROR(INDEX('Sản phẩm'!$B$5:$B$304,MATCH(D4478,'Sản phẩm'!$A$5:$A$304,0)),""))</f>
        <v/>
      </c>
      <c r="F4478" s="12" t="n"/>
      <c r="G4478" s="11" t="n"/>
      <c r="H4478" s="11" t="n"/>
      <c r="I4478" s="16">
        <f>IF(D4478="","",IF(G4478&lt;&gt;"",G4478,IFERROR(INDEX('Sản phẩm'!$E$5:$E$304,MATCH(D4478,'Sản phẩm'!$A$5:$A$304,0)),"")))</f>
        <v/>
      </c>
      <c r="J4478" s="16">
        <f>IF(OR(D4478="",F4478=""),"",F4478*I4478-N(H4478))</f>
        <v/>
      </c>
      <c r="K4478" s="16">
        <f>IF(OR(D4478="",F4478=""),"",F4478*IFERROR(INDEX('Sản phẩm'!$D$5:$D$304,MATCH(D4478,'Sản phẩm'!$A$5:$A$304,0)),""))</f>
        <v/>
      </c>
      <c r="L4478" s="16">
        <f>IF(J4478="","",J4478-K4478)</f>
        <v/>
      </c>
      <c r="M4478" s="14">
        <f>IF(A4478="","",MONTH(A4478))</f>
        <v/>
      </c>
      <c r="N4478" s="14">
        <f>IF(A4478="","",YEAR(A4478))</f>
        <v/>
      </c>
    </row>
    <row r="4479">
      <c r="A4479" s="15" t="n"/>
      <c r="B4479" s="10" t="n"/>
      <c r="C4479" s="10" t="n"/>
      <c r="D4479" s="10" t="n"/>
      <c r="E4479" s="14">
        <f>IF(D4479="","",IFERROR(INDEX('Sản phẩm'!$B$5:$B$304,MATCH(D4479,'Sản phẩm'!$A$5:$A$304,0)),""))</f>
        <v/>
      </c>
      <c r="F4479" s="12" t="n"/>
      <c r="G4479" s="11" t="n"/>
      <c r="H4479" s="11" t="n"/>
      <c r="I4479" s="16">
        <f>IF(D4479="","",IF(G4479&lt;&gt;"",G4479,IFERROR(INDEX('Sản phẩm'!$E$5:$E$304,MATCH(D4479,'Sản phẩm'!$A$5:$A$304,0)),"")))</f>
        <v/>
      </c>
      <c r="J4479" s="16">
        <f>IF(OR(D4479="",F4479=""),"",F4479*I4479-N(H4479))</f>
        <v/>
      </c>
      <c r="K4479" s="16">
        <f>IF(OR(D4479="",F4479=""),"",F4479*IFERROR(INDEX('Sản phẩm'!$D$5:$D$304,MATCH(D4479,'Sản phẩm'!$A$5:$A$304,0)),""))</f>
        <v/>
      </c>
      <c r="L4479" s="16">
        <f>IF(J4479="","",J4479-K4479)</f>
        <v/>
      </c>
      <c r="M4479" s="14">
        <f>IF(A4479="","",MONTH(A4479))</f>
        <v/>
      </c>
      <c r="N4479" s="14">
        <f>IF(A4479="","",YEAR(A4479))</f>
        <v/>
      </c>
    </row>
    <row r="4480">
      <c r="A4480" s="15" t="n"/>
      <c r="B4480" s="10" t="n"/>
      <c r="C4480" s="10" t="n"/>
      <c r="D4480" s="10" t="n"/>
      <c r="E4480" s="14">
        <f>IF(D4480="","",IFERROR(INDEX('Sản phẩm'!$B$5:$B$304,MATCH(D4480,'Sản phẩm'!$A$5:$A$304,0)),""))</f>
        <v/>
      </c>
      <c r="F4480" s="12" t="n"/>
      <c r="G4480" s="11" t="n"/>
      <c r="H4480" s="11" t="n"/>
      <c r="I4480" s="16">
        <f>IF(D4480="","",IF(G4480&lt;&gt;"",G4480,IFERROR(INDEX('Sản phẩm'!$E$5:$E$304,MATCH(D4480,'Sản phẩm'!$A$5:$A$304,0)),"")))</f>
        <v/>
      </c>
      <c r="J4480" s="16">
        <f>IF(OR(D4480="",F4480=""),"",F4480*I4480-N(H4480))</f>
        <v/>
      </c>
      <c r="K4480" s="16">
        <f>IF(OR(D4480="",F4480=""),"",F4480*IFERROR(INDEX('Sản phẩm'!$D$5:$D$304,MATCH(D4480,'Sản phẩm'!$A$5:$A$304,0)),""))</f>
        <v/>
      </c>
      <c r="L4480" s="16">
        <f>IF(J4480="","",J4480-K4480)</f>
        <v/>
      </c>
      <c r="M4480" s="14">
        <f>IF(A4480="","",MONTH(A4480))</f>
        <v/>
      </c>
      <c r="N4480" s="14">
        <f>IF(A4480="","",YEAR(A4480))</f>
        <v/>
      </c>
    </row>
    <row r="4481">
      <c r="A4481" s="15" t="n"/>
      <c r="B4481" s="10" t="n"/>
      <c r="C4481" s="10" t="n"/>
      <c r="D4481" s="10" t="n"/>
      <c r="E4481" s="14">
        <f>IF(D4481="","",IFERROR(INDEX('Sản phẩm'!$B$5:$B$304,MATCH(D4481,'Sản phẩm'!$A$5:$A$304,0)),""))</f>
        <v/>
      </c>
      <c r="F4481" s="12" t="n"/>
      <c r="G4481" s="11" t="n"/>
      <c r="H4481" s="11" t="n"/>
      <c r="I4481" s="16">
        <f>IF(D4481="","",IF(G4481&lt;&gt;"",G4481,IFERROR(INDEX('Sản phẩm'!$E$5:$E$304,MATCH(D4481,'Sản phẩm'!$A$5:$A$304,0)),"")))</f>
        <v/>
      </c>
      <c r="J4481" s="16">
        <f>IF(OR(D4481="",F4481=""),"",F4481*I4481-N(H4481))</f>
        <v/>
      </c>
      <c r="K4481" s="16">
        <f>IF(OR(D4481="",F4481=""),"",F4481*IFERROR(INDEX('Sản phẩm'!$D$5:$D$304,MATCH(D4481,'Sản phẩm'!$A$5:$A$304,0)),""))</f>
        <v/>
      </c>
      <c r="L4481" s="16">
        <f>IF(J4481="","",J4481-K4481)</f>
        <v/>
      </c>
      <c r="M4481" s="14">
        <f>IF(A4481="","",MONTH(A4481))</f>
        <v/>
      </c>
      <c r="N4481" s="14">
        <f>IF(A4481="","",YEAR(A4481))</f>
        <v/>
      </c>
    </row>
    <row r="4482">
      <c r="A4482" s="15" t="n"/>
      <c r="B4482" s="10" t="n"/>
      <c r="C4482" s="10" t="n"/>
      <c r="D4482" s="10" t="n"/>
      <c r="E4482" s="14">
        <f>IF(D4482="","",IFERROR(INDEX('Sản phẩm'!$B$5:$B$304,MATCH(D4482,'Sản phẩm'!$A$5:$A$304,0)),""))</f>
        <v/>
      </c>
      <c r="F4482" s="12" t="n"/>
      <c r="G4482" s="11" t="n"/>
      <c r="H4482" s="11" t="n"/>
      <c r="I4482" s="16">
        <f>IF(D4482="","",IF(G4482&lt;&gt;"",G4482,IFERROR(INDEX('Sản phẩm'!$E$5:$E$304,MATCH(D4482,'Sản phẩm'!$A$5:$A$304,0)),"")))</f>
        <v/>
      </c>
      <c r="J4482" s="16">
        <f>IF(OR(D4482="",F4482=""),"",F4482*I4482-N(H4482))</f>
        <v/>
      </c>
      <c r="K4482" s="16">
        <f>IF(OR(D4482="",F4482=""),"",F4482*IFERROR(INDEX('Sản phẩm'!$D$5:$D$304,MATCH(D4482,'Sản phẩm'!$A$5:$A$304,0)),""))</f>
        <v/>
      </c>
      <c r="L4482" s="16">
        <f>IF(J4482="","",J4482-K4482)</f>
        <v/>
      </c>
      <c r="M4482" s="14">
        <f>IF(A4482="","",MONTH(A4482))</f>
        <v/>
      </c>
      <c r="N4482" s="14">
        <f>IF(A4482="","",YEAR(A4482))</f>
        <v/>
      </c>
    </row>
    <row r="4483">
      <c r="A4483" s="15" t="n"/>
      <c r="B4483" s="10" t="n"/>
      <c r="C4483" s="10" t="n"/>
      <c r="D4483" s="10" t="n"/>
      <c r="E4483" s="14">
        <f>IF(D4483="","",IFERROR(INDEX('Sản phẩm'!$B$5:$B$304,MATCH(D4483,'Sản phẩm'!$A$5:$A$304,0)),""))</f>
        <v/>
      </c>
      <c r="F4483" s="12" t="n"/>
      <c r="G4483" s="11" t="n"/>
      <c r="H4483" s="11" t="n"/>
      <c r="I4483" s="16">
        <f>IF(D4483="","",IF(G4483&lt;&gt;"",G4483,IFERROR(INDEX('Sản phẩm'!$E$5:$E$304,MATCH(D4483,'Sản phẩm'!$A$5:$A$304,0)),"")))</f>
        <v/>
      </c>
      <c r="J4483" s="16">
        <f>IF(OR(D4483="",F4483=""),"",F4483*I4483-N(H4483))</f>
        <v/>
      </c>
      <c r="K4483" s="16">
        <f>IF(OR(D4483="",F4483=""),"",F4483*IFERROR(INDEX('Sản phẩm'!$D$5:$D$304,MATCH(D4483,'Sản phẩm'!$A$5:$A$304,0)),""))</f>
        <v/>
      </c>
      <c r="L4483" s="16">
        <f>IF(J4483="","",J4483-K4483)</f>
        <v/>
      </c>
      <c r="M4483" s="14">
        <f>IF(A4483="","",MONTH(A4483))</f>
        <v/>
      </c>
      <c r="N4483" s="14">
        <f>IF(A4483="","",YEAR(A4483))</f>
        <v/>
      </c>
    </row>
    <row r="4484">
      <c r="A4484" s="15" t="n"/>
      <c r="B4484" s="10" t="n"/>
      <c r="C4484" s="10" t="n"/>
      <c r="D4484" s="10" t="n"/>
      <c r="E4484" s="14">
        <f>IF(D4484="","",IFERROR(INDEX('Sản phẩm'!$B$5:$B$304,MATCH(D4484,'Sản phẩm'!$A$5:$A$304,0)),""))</f>
        <v/>
      </c>
      <c r="F4484" s="12" t="n"/>
      <c r="G4484" s="11" t="n"/>
      <c r="H4484" s="11" t="n"/>
      <c r="I4484" s="16">
        <f>IF(D4484="","",IF(G4484&lt;&gt;"",G4484,IFERROR(INDEX('Sản phẩm'!$E$5:$E$304,MATCH(D4484,'Sản phẩm'!$A$5:$A$304,0)),"")))</f>
        <v/>
      </c>
      <c r="J4484" s="16">
        <f>IF(OR(D4484="",F4484=""),"",F4484*I4484-N(H4484))</f>
        <v/>
      </c>
      <c r="K4484" s="16">
        <f>IF(OR(D4484="",F4484=""),"",F4484*IFERROR(INDEX('Sản phẩm'!$D$5:$D$304,MATCH(D4484,'Sản phẩm'!$A$5:$A$304,0)),""))</f>
        <v/>
      </c>
      <c r="L4484" s="16">
        <f>IF(J4484="","",J4484-K4484)</f>
        <v/>
      </c>
      <c r="M4484" s="14">
        <f>IF(A4484="","",MONTH(A4484))</f>
        <v/>
      </c>
      <c r="N4484" s="14">
        <f>IF(A4484="","",YEAR(A4484))</f>
        <v/>
      </c>
    </row>
    <row r="4485">
      <c r="A4485" s="15" t="n"/>
      <c r="B4485" s="10" t="n"/>
      <c r="C4485" s="10" t="n"/>
      <c r="D4485" s="10" t="n"/>
      <c r="E4485" s="14">
        <f>IF(D4485="","",IFERROR(INDEX('Sản phẩm'!$B$5:$B$304,MATCH(D4485,'Sản phẩm'!$A$5:$A$304,0)),""))</f>
        <v/>
      </c>
      <c r="F4485" s="12" t="n"/>
      <c r="G4485" s="11" t="n"/>
      <c r="H4485" s="11" t="n"/>
      <c r="I4485" s="16">
        <f>IF(D4485="","",IF(G4485&lt;&gt;"",G4485,IFERROR(INDEX('Sản phẩm'!$E$5:$E$304,MATCH(D4485,'Sản phẩm'!$A$5:$A$304,0)),"")))</f>
        <v/>
      </c>
      <c r="J4485" s="16">
        <f>IF(OR(D4485="",F4485=""),"",F4485*I4485-N(H4485))</f>
        <v/>
      </c>
      <c r="K4485" s="16">
        <f>IF(OR(D4485="",F4485=""),"",F4485*IFERROR(INDEX('Sản phẩm'!$D$5:$D$304,MATCH(D4485,'Sản phẩm'!$A$5:$A$304,0)),""))</f>
        <v/>
      </c>
      <c r="L4485" s="16">
        <f>IF(J4485="","",J4485-K4485)</f>
        <v/>
      </c>
      <c r="M4485" s="14">
        <f>IF(A4485="","",MONTH(A4485))</f>
        <v/>
      </c>
      <c r="N4485" s="14">
        <f>IF(A4485="","",YEAR(A4485))</f>
        <v/>
      </c>
    </row>
    <row r="4486">
      <c r="A4486" s="15" t="n"/>
      <c r="B4486" s="10" t="n"/>
      <c r="C4486" s="10" t="n"/>
      <c r="D4486" s="10" t="n"/>
      <c r="E4486" s="14">
        <f>IF(D4486="","",IFERROR(INDEX('Sản phẩm'!$B$5:$B$304,MATCH(D4486,'Sản phẩm'!$A$5:$A$304,0)),""))</f>
        <v/>
      </c>
      <c r="F4486" s="12" t="n"/>
      <c r="G4486" s="11" t="n"/>
      <c r="H4486" s="11" t="n"/>
      <c r="I4486" s="16">
        <f>IF(D4486="","",IF(G4486&lt;&gt;"",G4486,IFERROR(INDEX('Sản phẩm'!$E$5:$E$304,MATCH(D4486,'Sản phẩm'!$A$5:$A$304,0)),"")))</f>
        <v/>
      </c>
      <c r="J4486" s="16">
        <f>IF(OR(D4486="",F4486=""),"",F4486*I4486-N(H4486))</f>
        <v/>
      </c>
      <c r="K4486" s="16">
        <f>IF(OR(D4486="",F4486=""),"",F4486*IFERROR(INDEX('Sản phẩm'!$D$5:$D$304,MATCH(D4486,'Sản phẩm'!$A$5:$A$304,0)),""))</f>
        <v/>
      </c>
      <c r="L4486" s="16">
        <f>IF(J4486="","",J4486-K4486)</f>
        <v/>
      </c>
      <c r="M4486" s="14">
        <f>IF(A4486="","",MONTH(A4486))</f>
        <v/>
      </c>
      <c r="N4486" s="14">
        <f>IF(A4486="","",YEAR(A4486))</f>
        <v/>
      </c>
    </row>
    <row r="4487">
      <c r="A4487" s="15" t="n"/>
      <c r="B4487" s="10" t="n"/>
      <c r="C4487" s="10" t="n"/>
      <c r="D4487" s="10" t="n"/>
      <c r="E4487" s="14">
        <f>IF(D4487="","",IFERROR(INDEX('Sản phẩm'!$B$5:$B$304,MATCH(D4487,'Sản phẩm'!$A$5:$A$304,0)),""))</f>
        <v/>
      </c>
      <c r="F4487" s="12" t="n"/>
      <c r="G4487" s="11" t="n"/>
      <c r="H4487" s="11" t="n"/>
      <c r="I4487" s="16">
        <f>IF(D4487="","",IF(G4487&lt;&gt;"",G4487,IFERROR(INDEX('Sản phẩm'!$E$5:$E$304,MATCH(D4487,'Sản phẩm'!$A$5:$A$304,0)),"")))</f>
        <v/>
      </c>
      <c r="J4487" s="16">
        <f>IF(OR(D4487="",F4487=""),"",F4487*I4487-N(H4487))</f>
        <v/>
      </c>
      <c r="K4487" s="16">
        <f>IF(OR(D4487="",F4487=""),"",F4487*IFERROR(INDEX('Sản phẩm'!$D$5:$D$304,MATCH(D4487,'Sản phẩm'!$A$5:$A$304,0)),""))</f>
        <v/>
      </c>
      <c r="L4487" s="16">
        <f>IF(J4487="","",J4487-K4487)</f>
        <v/>
      </c>
      <c r="M4487" s="14">
        <f>IF(A4487="","",MONTH(A4487))</f>
        <v/>
      </c>
      <c r="N4487" s="14">
        <f>IF(A4487="","",YEAR(A4487))</f>
        <v/>
      </c>
    </row>
    <row r="4488">
      <c r="A4488" s="15" t="n"/>
      <c r="B4488" s="10" t="n"/>
      <c r="C4488" s="10" t="n"/>
      <c r="D4488" s="10" t="n"/>
      <c r="E4488" s="14">
        <f>IF(D4488="","",IFERROR(INDEX('Sản phẩm'!$B$5:$B$304,MATCH(D4488,'Sản phẩm'!$A$5:$A$304,0)),""))</f>
        <v/>
      </c>
      <c r="F4488" s="12" t="n"/>
      <c r="G4488" s="11" t="n"/>
      <c r="H4488" s="11" t="n"/>
      <c r="I4488" s="16">
        <f>IF(D4488="","",IF(G4488&lt;&gt;"",G4488,IFERROR(INDEX('Sản phẩm'!$E$5:$E$304,MATCH(D4488,'Sản phẩm'!$A$5:$A$304,0)),"")))</f>
        <v/>
      </c>
      <c r="J4488" s="16">
        <f>IF(OR(D4488="",F4488=""),"",F4488*I4488-N(H4488))</f>
        <v/>
      </c>
      <c r="K4488" s="16">
        <f>IF(OR(D4488="",F4488=""),"",F4488*IFERROR(INDEX('Sản phẩm'!$D$5:$D$304,MATCH(D4488,'Sản phẩm'!$A$5:$A$304,0)),""))</f>
        <v/>
      </c>
      <c r="L4488" s="16">
        <f>IF(J4488="","",J4488-K4488)</f>
        <v/>
      </c>
      <c r="M4488" s="14">
        <f>IF(A4488="","",MONTH(A4488))</f>
        <v/>
      </c>
      <c r="N4488" s="14">
        <f>IF(A4488="","",YEAR(A4488))</f>
        <v/>
      </c>
    </row>
    <row r="4489">
      <c r="A4489" s="15" t="n"/>
      <c r="B4489" s="10" t="n"/>
      <c r="C4489" s="10" t="n"/>
      <c r="D4489" s="10" t="n"/>
      <c r="E4489" s="14">
        <f>IF(D4489="","",IFERROR(INDEX('Sản phẩm'!$B$5:$B$304,MATCH(D4489,'Sản phẩm'!$A$5:$A$304,0)),""))</f>
        <v/>
      </c>
      <c r="F4489" s="12" t="n"/>
      <c r="G4489" s="11" t="n"/>
      <c r="H4489" s="11" t="n"/>
      <c r="I4489" s="16">
        <f>IF(D4489="","",IF(G4489&lt;&gt;"",G4489,IFERROR(INDEX('Sản phẩm'!$E$5:$E$304,MATCH(D4489,'Sản phẩm'!$A$5:$A$304,0)),"")))</f>
        <v/>
      </c>
      <c r="J4489" s="16">
        <f>IF(OR(D4489="",F4489=""),"",F4489*I4489-N(H4489))</f>
        <v/>
      </c>
      <c r="K4489" s="16">
        <f>IF(OR(D4489="",F4489=""),"",F4489*IFERROR(INDEX('Sản phẩm'!$D$5:$D$304,MATCH(D4489,'Sản phẩm'!$A$5:$A$304,0)),""))</f>
        <v/>
      </c>
      <c r="L4489" s="16">
        <f>IF(J4489="","",J4489-K4489)</f>
        <v/>
      </c>
      <c r="M4489" s="14">
        <f>IF(A4489="","",MONTH(A4489))</f>
        <v/>
      </c>
      <c r="N4489" s="14">
        <f>IF(A4489="","",YEAR(A4489))</f>
        <v/>
      </c>
    </row>
    <row r="4490">
      <c r="A4490" s="15" t="n"/>
      <c r="B4490" s="10" t="n"/>
      <c r="C4490" s="10" t="n"/>
      <c r="D4490" s="10" t="n"/>
      <c r="E4490" s="14">
        <f>IF(D4490="","",IFERROR(INDEX('Sản phẩm'!$B$5:$B$304,MATCH(D4490,'Sản phẩm'!$A$5:$A$304,0)),""))</f>
        <v/>
      </c>
      <c r="F4490" s="12" t="n"/>
      <c r="G4490" s="11" t="n"/>
      <c r="H4490" s="11" t="n"/>
      <c r="I4490" s="16">
        <f>IF(D4490="","",IF(G4490&lt;&gt;"",G4490,IFERROR(INDEX('Sản phẩm'!$E$5:$E$304,MATCH(D4490,'Sản phẩm'!$A$5:$A$304,0)),"")))</f>
        <v/>
      </c>
      <c r="J4490" s="16">
        <f>IF(OR(D4490="",F4490=""),"",F4490*I4490-N(H4490))</f>
        <v/>
      </c>
      <c r="K4490" s="16">
        <f>IF(OR(D4490="",F4490=""),"",F4490*IFERROR(INDEX('Sản phẩm'!$D$5:$D$304,MATCH(D4490,'Sản phẩm'!$A$5:$A$304,0)),""))</f>
        <v/>
      </c>
      <c r="L4490" s="16">
        <f>IF(J4490="","",J4490-K4490)</f>
        <v/>
      </c>
      <c r="M4490" s="14">
        <f>IF(A4490="","",MONTH(A4490))</f>
        <v/>
      </c>
      <c r="N4490" s="14">
        <f>IF(A4490="","",YEAR(A4490))</f>
        <v/>
      </c>
    </row>
    <row r="4491">
      <c r="A4491" s="15" t="n"/>
      <c r="B4491" s="10" t="n"/>
      <c r="C4491" s="10" t="n"/>
      <c r="D4491" s="10" t="n"/>
      <c r="E4491" s="14">
        <f>IF(D4491="","",IFERROR(INDEX('Sản phẩm'!$B$5:$B$304,MATCH(D4491,'Sản phẩm'!$A$5:$A$304,0)),""))</f>
        <v/>
      </c>
      <c r="F4491" s="12" t="n"/>
      <c r="G4491" s="11" t="n"/>
      <c r="H4491" s="11" t="n"/>
      <c r="I4491" s="16">
        <f>IF(D4491="","",IF(G4491&lt;&gt;"",G4491,IFERROR(INDEX('Sản phẩm'!$E$5:$E$304,MATCH(D4491,'Sản phẩm'!$A$5:$A$304,0)),"")))</f>
        <v/>
      </c>
      <c r="J4491" s="16">
        <f>IF(OR(D4491="",F4491=""),"",F4491*I4491-N(H4491))</f>
        <v/>
      </c>
      <c r="K4491" s="16">
        <f>IF(OR(D4491="",F4491=""),"",F4491*IFERROR(INDEX('Sản phẩm'!$D$5:$D$304,MATCH(D4491,'Sản phẩm'!$A$5:$A$304,0)),""))</f>
        <v/>
      </c>
      <c r="L4491" s="16">
        <f>IF(J4491="","",J4491-K4491)</f>
        <v/>
      </c>
      <c r="M4491" s="14">
        <f>IF(A4491="","",MONTH(A4491))</f>
        <v/>
      </c>
      <c r="N4491" s="14">
        <f>IF(A4491="","",YEAR(A4491))</f>
        <v/>
      </c>
    </row>
    <row r="4492">
      <c r="A4492" s="15" t="n"/>
      <c r="B4492" s="10" t="n"/>
      <c r="C4492" s="10" t="n"/>
      <c r="D4492" s="10" t="n"/>
      <c r="E4492" s="14">
        <f>IF(D4492="","",IFERROR(INDEX('Sản phẩm'!$B$5:$B$304,MATCH(D4492,'Sản phẩm'!$A$5:$A$304,0)),""))</f>
        <v/>
      </c>
      <c r="F4492" s="12" t="n"/>
      <c r="G4492" s="11" t="n"/>
      <c r="H4492" s="11" t="n"/>
      <c r="I4492" s="16">
        <f>IF(D4492="","",IF(G4492&lt;&gt;"",G4492,IFERROR(INDEX('Sản phẩm'!$E$5:$E$304,MATCH(D4492,'Sản phẩm'!$A$5:$A$304,0)),"")))</f>
        <v/>
      </c>
      <c r="J4492" s="16">
        <f>IF(OR(D4492="",F4492=""),"",F4492*I4492-N(H4492))</f>
        <v/>
      </c>
      <c r="K4492" s="16">
        <f>IF(OR(D4492="",F4492=""),"",F4492*IFERROR(INDEX('Sản phẩm'!$D$5:$D$304,MATCH(D4492,'Sản phẩm'!$A$5:$A$304,0)),""))</f>
        <v/>
      </c>
      <c r="L4492" s="16">
        <f>IF(J4492="","",J4492-K4492)</f>
        <v/>
      </c>
      <c r="M4492" s="14">
        <f>IF(A4492="","",MONTH(A4492))</f>
        <v/>
      </c>
      <c r="N4492" s="14">
        <f>IF(A4492="","",YEAR(A4492))</f>
        <v/>
      </c>
    </row>
    <row r="4493">
      <c r="A4493" s="15" t="n"/>
      <c r="B4493" s="10" t="n"/>
      <c r="C4493" s="10" t="n"/>
      <c r="D4493" s="10" t="n"/>
      <c r="E4493" s="14">
        <f>IF(D4493="","",IFERROR(INDEX('Sản phẩm'!$B$5:$B$304,MATCH(D4493,'Sản phẩm'!$A$5:$A$304,0)),""))</f>
        <v/>
      </c>
      <c r="F4493" s="12" t="n"/>
      <c r="G4493" s="11" t="n"/>
      <c r="H4493" s="11" t="n"/>
      <c r="I4493" s="16">
        <f>IF(D4493="","",IF(G4493&lt;&gt;"",G4493,IFERROR(INDEX('Sản phẩm'!$E$5:$E$304,MATCH(D4493,'Sản phẩm'!$A$5:$A$304,0)),"")))</f>
        <v/>
      </c>
      <c r="J4493" s="16">
        <f>IF(OR(D4493="",F4493=""),"",F4493*I4493-N(H4493))</f>
        <v/>
      </c>
      <c r="K4493" s="16">
        <f>IF(OR(D4493="",F4493=""),"",F4493*IFERROR(INDEX('Sản phẩm'!$D$5:$D$304,MATCH(D4493,'Sản phẩm'!$A$5:$A$304,0)),""))</f>
        <v/>
      </c>
      <c r="L4493" s="16">
        <f>IF(J4493="","",J4493-K4493)</f>
        <v/>
      </c>
      <c r="M4493" s="14">
        <f>IF(A4493="","",MONTH(A4493))</f>
        <v/>
      </c>
      <c r="N4493" s="14">
        <f>IF(A4493="","",YEAR(A4493))</f>
        <v/>
      </c>
    </row>
    <row r="4494">
      <c r="A4494" s="15" t="n"/>
      <c r="B4494" s="10" t="n"/>
      <c r="C4494" s="10" t="n"/>
      <c r="D4494" s="10" t="n"/>
      <c r="E4494" s="14">
        <f>IF(D4494="","",IFERROR(INDEX('Sản phẩm'!$B$5:$B$304,MATCH(D4494,'Sản phẩm'!$A$5:$A$304,0)),""))</f>
        <v/>
      </c>
      <c r="F4494" s="12" t="n"/>
      <c r="G4494" s="11" t="n"/>
      <c r="H4494" s="11" t="n"/>
      <c r="I4494" s="16">
        <f>IF(D4494="","",IF(G4494&lt;&gt;"",G4494,IFERROR(INDEX('Sản phẩm'!$E$5:$E$304,MATCH(D4494,'Sản phẩm'!$A$5:$A$304,0)),"")))</f>
        <v/>
      </c>
      <c r="J4494" s="16">
        <f>IF(OR(D4494="",F4494=""),"",F4494*I4494-N(H4494))</f>
        <v/>
      </c>
      <c r="K4494" s="16">
        <f>IF(OR(D4494="",F4494=""),"",F4494*IFERROR(INDEX('Sản phẩm'!$D$5:$D$304,MATCH(D4494,'Sản phẩm'!$A$5:$A$304,0)),""))</f>
        <v/>
      </c>
      <c r="L4494" s="16">
        <f>IF(J4494="","",J4494-K4494)</f>
        <v/>
      </c>
      <c r="M4494" s="14">
        <f>IF(A4494="","",MONTH(A4494))</f>
        <v/>
      </c>
      <c r="N4494" s="14">
        <f>IF(A4494="","",YEAR(A4494))</f>
        <v/>
      </c>
    </row>
    <row r="4495">
      <c r="A4495" s="15" t="n"/>
      <c r="B4495" s="10" t="n"/>
      <c r="C4495" s="10" t="n"/>
      <c r="D4495" s="10" t="n"/>
      <c r="E4495" s="14">
        <f>IF(D4495="","",IFERROR(INDEX('Sản phẩm'!$B$5:$B$304,MATCH(D4495,'Sản phẩm'!$A$5:$A$304,0)),""))</f>
        <v/>
      </c>
      <c r="F4495" s="12" t="n"/>
      <c r="G4495" s="11" t="n"/>
      <c r="H4495" s="11" t="n"/>
      <c r="I4495" s="16">
        <f>IF(D4495="","",IF(G4495&lt;&gt;"",G4495,IFERROR(INDEX('Sản phẩm'!$E$5:$E$304,MATCH(D4495,'Sản phẩm'!$A$5:$A$304,0)),"")))</f>
        <v/>
      </c>
      <c r="J4495" s="16">
        <f>IF(OR(D4495="",F4495=""),"",F4495*I4495-N(H4495))</f>
        <v/>
      </c>
      <c r="K4495" s="16">
        <f>IF(OR(D4495="",F4495=""),"",F4495*IFERROR(INDEX('Sản phẩm'!$D$5:$D$304,MATCH(D4495,'Sản phẩm'!$A$5:$A$304,0)),""))</f>
        <v/>
      </c>
      <c r="L4495" s="16">
        <f>IF(J4495="","",J4495-K4495)</f>
        <v/>
      </c>
      <c r="M4495" s="14">
        <f>IF(A4495="","",MONTH(A4495))</f>
        <v/>
      </c>
      <c r="N4495" s="14">
        <f>IF(A4495="","",YEAR(A4495))</f>
        <v/>
      </c>
    </row>
    <row r="4496">
      <c r="A4496" s="15" t="n"/>
      <c r="B4496" s="10" t="n"/>
      <c r="C4496" s="10" t="n"/>
      <c r="D4496" s="10" t="n"/>
      <c r="E4496" s="14">
        <f>IF(D4496="","",IFERROR(INDEX('Sản phẩm'!$B$5:$B$304,MATCH(D4496,'Sản phẩm'!$A$5:$A$304,0)),""))</f>
        <v/>
      </c>
      <c r="F4496" s="12" t="n"/>
      <c r="G4496" s="11" t="n"/>
      <c r="H4496" s="11" t="n"/>
      <c r="I4496" s="16">
        <f>IF(D4496="","",IF(G4496&lt;&gt;"",G4496,IFERROR(INDEX('Sản phẩm'!$E$5:$E$304,MATCH(D4496,'Sản phẩm'!$A$5:$A$304,0)),"")))</f>
        <v/>
      </c>
      <c r="J4496" s="16">
        <f>IF(OR(D4496="",F4496=""),"",F4496*I4496-N(H4496))</f>
        <v/>
      </c>
      <c r="K4496" s="16">
        <f>IF(OR(D4496="",F4496=""),"",F4496*IFERROR(INDEX('Sản phẩm'!$D$5:$D$304,MATCH(D4496,'Sản phẩm'!$A$5:$A$304,0)),""))</f>
        <v/>
      </c>
      <c r="L4496" s="16">
        <f>IF(J4496="","",J4496-K4496)</f>
        <v/>
      </c>
      <c r="M4496" s="14">
        <f>IF(A4496="","",MONTH(A4496))</f>
        <v/>
      </c>
      <c r="N4496" s="14">
        <f>IF(A4496="","",YEAR(A4496))</f>
        <v/>
      </c>
    </row>
    <row r="4497">
      <c r="A4497" s="15" t="n"/>
      <c r="B4497" s="10" t="n"/>
      <c r="C4497" s="10" t="n"/>
      <c r="D4497" s="10" t="n"/>
      <c r="E4497" s="14">
        <f>IF(D4497="","",IFERROR(INDEX('Sản phẩm'!$B$5:$B$304,MATCH(D4497,'Sản phẩm'!$A$5:$A$304,0)),""))</f>
        <v/>
      </c>
      <c r="F4497" s="12" t="n"/>
      <c r="G4497" s="11" t="n"/>
      <c r="H4497" s="11" t="n"/>
      <c r="I4497" s="16">
        <f>IF(D4497="","",IF(G4497&lt;&gt;"",G4497,IFERROR(INDEX('Sản phẩm'!$E$5:$E$304,MATCH(D4497,'Sản phẩm'!$A$5:$A$304,0)),"")))</f>
        <v/>
      </c>
      <c r="J4497" s="16">
        <f>IF(OR(D4497="",F4497=""),"",F4497*I4497-N(H4497))</f>
        <v/>
      </c>
      <c r="K4497" s="16">
        <f>IF(OR(D4497="",F4497=""),"",F4497*IFERROR(INDEX('Sản phẩm'!$D$5:$D$304,MATCH(D4497,'Sản phẩm'!$A$5:$A$304,0)),""))</f>
        <v/>
      </c>
      <c r="L4497" s="16">
        <f>IF(J4497="","",J4497-K4497)</f>
        <v/>
      </c>
      <c r="M4497" s="14">
        <f>IF(A4497="","",MONTH(A4497))</f>
        <v/>
      </c>
      <c r="N4497" s="14">
        <f>IF(A4497="","",YEAR(A4497))</f>
        <v/>
      </c>
    </row>
    <row r="4498">
      <c r="A4498" s="15" t="n"/>
      <c r="B4498" s="10" t="n"/>
      <c r="C4498" s="10" t="n"/>
      <c r="D4498" s="10" t="n"/>
      <c r="E4498" s="14">
        <f>IF(D4498="","",IFERROR(INDEX('Sản phẩm'!$B$5:$B$304,MATCH(D4498,'Sản phẩm'!$A$5:$A$304,0)),""))</f>
        <v/>
      </c>
      <c r="F4498" s="12" t="n"/>
      <c r="G4498" s="11" t="n"/>
      <c r="H4498" s="11" t="n"/>
      <c r="I4498" s="16">
        <f>IF(D4498="","",IF(G4498&lt;&gt;"",G4498,IFERROR(INDEX('Sản phẩm'!$E$5:$E$304,MATCH(D4498,'Sản phẩm'!$A$5:$A$304,0)),"")))</f>
        <v/>
      </c>
      <c r="J4498" s="16">
        <f>IF(OR(D4498="",F4498=""),"",F4498*I4498-N(H4498))</f>
        <v/>
      </c>
      <c r="K4498" s="16">
        <f>IF(OR(D4498="",F4498=""),"",F4498*IFERROR(INDEX('Sản phẩm'!$D$5:$D$304,MATCH(D4498,'Sản phẩm'!$A$5:$A$304,0)),""))</f>
        <v/>
      </c>
      <c r="L4498" s="16">
        <f>IF(J4498="","",J4498-K4498)</f>
        <v/>
      </c>
      <c r="M4498" s="14">
        <f>IF(A4498="","",MONTH(A4498))</f>
        <v/>
      </c>
      <c r="N4498" s="14">
        <f>IF(A4498="","",YEAR(A4498))</f>
        <v/>
      </c>
    </row>
    <row r="4499">
      <c r="A4499" s="15" t="n"/>
      <c r="B4499" s="10" t="n"/>
      <c r="C4499" s="10" t="n"/>
      <c r="D4499" s="10" t="n"/>
      <c r="E4499" s="14">
        <f>IF(D4499="","",IFERROR(INDEX('Sản phẩm'!$B$5:$B$304,MATCH(D4499,'Sản phẩm'!$A$5:$A$304,0)),""))</f>
        <v/>
      </c>
      <c r="F4499" s="12" t="n"/>
      <c r="G4499" s="11" t="n"/>
      <c r="H4499" s="11" t="n"/>
      <c r="I4499" s="16">
        <f>IF(D4499="","",IF(G4499&lt;&gt;"",G4499,IFERROR(INDEX('Sản phẩm'!$E$5:$E$304,MATCH(D4499,'Sản phẩm'!$A$5:$A$304,0)),"")))</f>
        <v/>
      </c>
      <c r="J4499" s="16">
        <f>IF(OR(D4499="",F4499=""),"",F4499*I4499-N(H4499))</f>
        <v/>
      </c>
      <c r="K4499" s="16">
        <f>IF(OR(D4499="",F4499=""),"",F4499*IFERROR(INDEX('Sản phẩm'!$D$5:$D$304,MATCH(D4499,'Sản phẩm'!$A$5:$A$304,0)),""))</f>
        <v/>
      </c>
      <c r="L4499" s="16">
        <f>IF(J4499="","",J4499-K4499)</f>
        <v/>
      </c>
      <c r="M4499" s="14">
        <f>IF(A4499="","",MONTH(A4499))</f>
        <v/>
      </c>
      <c r="N4499" s="14">
        <f>IF(A4499="","",YEAR(A4499))</f>
        <v/>
      </c>
    </row>
    <row r="4500">
      <c r="A4500" s="15" t="n"/>
      <c r="B4500" s="10" t="n"/>
      <c r="C4500" s="10" t="n"/>
      <c r="D4500" s="10" t="n"/>
      <c r="E4500" s="14">
        <f>IF(D4500="","",IFERROR(INDEX('Sản phẩm'!$B$5:$B$304,MATCH(D4500,'Sản phẩm'!$A$5:$A$304,0)),""))</f>
        <v/>
      </c>
      <c r="F4500" s="12" t="n"/>
      <c r="G4500" s="11" t="n"/>
      <c r="H4500" s="11" t="n"/>
      <c r="I4500" s="16">
        <f>IF(D4500="","",IF(G4500&lt;&gt;"",G4500,IFERROR(INDEX('Sản phẩm'!$E$5:$E$304,MATCH(D4500,'Sản phẩm'!$A$5:$A$304,0)),"")))</f>
        <v/>
      </c>
      <c r="J4500" s="16">
        <f>IF(OR(D4500="",F4500=""),"",F4500*I4500-N(H4500))</f>
        <v/>
      </c>
      <c r="K4500" s="16">
        <f>IF(OR(D4500="",F4500=""),"",F4500*IFERROR(INDEX('Sản phẩm'!$D$5:$D$304,MATCH(D4500,'Sản phẩm'!$A$5:$A$304,0)),""))</f>
        <v/>
      </c>
      <c r="L4500" s="16">
        <f>IF(J4500="","",J4500-K4500)</f>
        <v/>
      </c>
      <c r="M4500" s="14">
        <f>IF(A4500="","",MONTH(A4500))</f>
        <v/>
      </c>
      <c r="N4500" s="14">
        <f>IF(A4500="","",YEAR(A4500))</f>
        <v/>
      </c>
    </row>
    <row r="4501">
      <c r="A4501" s="15" t="n"/>
      <c r="B4501" s="10" t="n"/>
      <c r="C4501" s="10" t="n"/>
      <c r="D4501" s="10" t="n"/>
      <c r="E4501" s="14">
        <f>IF(D4501="","",IFERROR(INDEX('Sản phẩm'!$B$5:$B$304,MATCH(D4501,'Sản phẩm'!$A$5:$A$304,0)),""))</f>
        <v/>
      </c>
      <c r="F4501" s="12" t="n"/>
      <c r="G4501" s="11" t="n"/>
      <c r="H4501" s="11" t="n"/>
      <c r="I4501" s="16">
        <f>IF(D4501="","",IF(G4501&lt;&gt;"",G4501,IFERROR(INDEX('Sản phẩm'!$E$5:$E$304,MATCH(D4501,'Sản phẩm'!$A$5:$A$304,0)),"")))</f>
        <v/>
      </c>
      <c r="J4501" s="16">
        <f>IF(OR(D4501="",F4501=""),"",F4501*I4501-N(H4501))</f>
        <v/>
      </c>
      <c r="K4501" s="16">
        <f>IF(OR(D4501="",F4501=""),"",F4501*IFERROR(INDEX('Sản phẩm'!$D$5:$D$304,MATCH(D4501,'Sản phẩm'!$A$5:$A$304,0)),""))</f>
        <v/>
      </c>
      <c r="L4501" s="16">
        <f>IF(J4501="","",J4501-K4501)</f>
        <v/>
      </c>
      <c r="M4501" s="14">
        <f>IF(A4501="","",MONTH(A4501))</f>
        <v/>
      </c>
      <c r="N4501" s="14">
        <f>IF(A4501="","",YEAR(A4501))</f>
        <v/>
      </c>
    </row>
    <row r="4502">
      <c r="A4502" s="15" t="n"/>
      <c r="B4502" s="10" t="n"/>
      <c r="C4502" s="10" t="n"/>
      <c r="D4502" s="10" t="n"/>
      <c r="E4502" s="14">
        <f>IF(D4502="","",IFERROR(INDEX('Sản phẩm'!$B$5:$B$304,MATCH(D4502,'Sản phẩm'!$A$5:$A$304,0)),""))</f>
        <v/>
      </c>
      <c r="F4502" s="12" t="n"/>
      <c r="G4502" s="11" t="n"/>
      <c r="H4502" s="11" t="n"/>
      <c r="I4502" s="16">
        <f>IF(D4502="","",IF(G4502&lt;&gt;"",G4502,IFERROR(INDEX('Sản phẩm'!$E$5:$E$304,MATCH(D4502,'Sản phẩm'!$A$5:$A$304,0)),"")))</f>
        <v/>
      </c>
      <c r="J4502" s="16">
        <f>IF(OR(D4502="",F4502=""),"",F4502*I4502-N(H4502))</f>
        <v/>
      </c>
      <c r="K4502" s="16">
        <f>IF(OR(D4502="",F4502=""),"",F4502*IFERROR(INDEX('Sản phẩm'!$D$5:$D$304,MATCH(D4502,'Sản phẩm'!$A$5:$A$304,0)),""))</f>
        <v/>
      </c>
      <c r="L4502" s="16">
        <f>IF(J4502="","",J4502-K4502)</f>
        <v/>
      </c>
      <c r="M4502" s="14">
        <f>IF(A4502="","",MONTH(A4502))</f>
        <v/>
      </c>
      <c r="N4502" s="14">
        <f>IF(A4502="","",YEAR(A4502))</f>
        <v/>
      </c>
    </row>
    <row r="4503">
      <c r="A4503" s="15" t="n"/>
      <c r="B4503" s="10" t="n"/>
      <c r="C4503" s="10" t="n"/>
      <c r="D4503" s="10" t="n"/>
      <c r="E4503" s="14">
        <f>IF(D4503="","",IFERROR(INDEX('Sản phẩm'!$B$5:$B$304,MATCH(D4503,'Sản phẩm'!$A$5:$A$304,0)),""))</f>
        <v/>
      </c>
      <c r="F4503" s="12" t="n"/>
      <c r="G4503" s="11" t="n"/>
      <c r="H4503" s="11" t="n"/>
      <c r="I4503" s="16">
        <f>IF(D4503="","",IF(G4503&lt;&gt;"",G4503,IFERROR(INDEX('Sản phẩm'!$E$5:$E$304,MATCH(D4503,'Sản phẩm'!$A$5:$A$304,0)),"")))</f>
        <v/>
      </c>
      <c r="J4503" s="16">
        <f>IF(OR(D4503="",F4503=""),"",F4503*I4503-N(H4503))</f>
        <v/>
      </c>
      <c r="K4503" s="16">
        <f>IF(OR(D4503="",F4503=""),"",F4503*IFERROR(INDEX('Sản phẩm'!$D$5:$D$304,MATCH(D4503,'Sản phẩm'!$A$5:$A$304,0)),""))</f>
        <v/>
      </c>
      <c r="L4503" s="16">
        <f>IF(J4503="","",J4503-K4503)</f>
        <v/>
      </c>
      <c r="M4503" s="14">
        <f>IF(A4503="","",MONTH(A4503))</f>
        <v/>
      </c>
      <c r="N4503" s="14">
        <f>IF(A4503="","",YEAR(A4503))</f>
        <v/>
      </c>
    </row>
    <row r="4504">
      <c r="A4504" s="15" t="n"/>
      <c r="B4504" s="10" t="n"/>
      <c r="C4504" s="10" t="n"/>
      <c r="D4504" s="10" t="n"/>
      <c r="E4504" s="14">
        <f>IF(D4504="","",IFERROR(INDEX('Sản phẩm'!$B$5:$B$304,MATCH(D4504,'Sản phẩm'!$A$5:$A$304,0)),""))</f>
        <v/>
      </c>
      <c r="F4504" s="12" t="n"/>
      <c r="G4504" s="11" t="n"/>
      <c r="H4504" s="11" t="n"/>
      <c r="I4504" s="16">
        <f>IF(D4504="","",IF(G4504&lt;&gt;"",G4504,IFERROR(INDEX('Sản phẩm'!$E$5:$E$304,MATCH(D4504,'Sản phẩm'!$A$5:$A$304,0)),"")))</f>
        <v/>
      </c>
      <c r="J4504" s="16">
        <f>IF(OR(D4504="",F4504=""),"",F4504*I4504-N(H4504))</f>
        <v/>
      </c>
      <c r="K4504" s="16">
        <f>IF(OR(D4504="",F4504=""),"",F4504*IFERROR(INDEX('Sản phẩm'!$D$5:$D$304,MATCH(D4504,'Sản phẩm'!$A$5:$A$304,0)),""))</f>
        <v/>
      </c>
      <c r="L4504" s="16">
        <f>IF(J4504="","",J4504-K4504)</f>
        <v/>
      </c>
      <c r="M4504" s="14">
        <f>IF(A4504="","",MONTH(A4504))</f>
        <v/>
      </c>
      <c r="N4504" s="14">
        <f>IF(A4504="","",YEAR(A4504))</f>
        <v/>
      </c>
    </row>
    <row r="4505">
      <c r="A4505" s="15" t="n"/>
      <c r="B4505" s="10" t="n"/>
      <c r="C4505" s="10" t="n"/>
      <c r="D4505" s="10" t="n"/>
      <c r="E4505" s="14">
        <f>IF(D4505="","",IFERROR(INDEX('Sản phẩm'!$B$5:$B$304,MATCH(D4505,'Sản phẩm'!$A$5:$A$304,0)),""))</f>
        <v/>
      </c>
      <c r="F4505" s="12" t="n"/>
      <c r="G4505" s="11" t="n"/>
      <c r="H4505" s="11" t="n"/>
      <c r="I4505" s="16">
        <f>IF(D4505="","",IF(G4505&lt;&gt;"",G4505,IFERROR(INDEX('Sản phẩm'!$E$5:$E$304,MATCH(D4505,'Sản phẩm'!$A$5:$A$304,0)),"")))</f>
        <v/>
      </c>
      <c r="J4505" s="16">
        <f>IF(OR(D4505="",F4505=""),"",F4505*I4505-N(H4505))</f>
        <v/>
      </c>
      <c r="K4505" s="16">
        <f>IF(OR(D4505="",F4505=""),"",F4505*IFERROR(INDEX('Sản phẩm'!$D$5:$D$304,MATCH(D4505,'Sản phẩm'!$A$5:$A$304,0)),""))</f>
        <v/>
      </c>
      <c r="L4505" s="16">
        <f>IF(J4505="","",J4505-K4505)</f>
        <v/>
      </c>
      <c r="M4505" s="14">
        <f>IF(A4505="","",MONTH(A4505))</f>
        <v/>
      </c>
      <c r="N4505" s="14">
        <f>IF(A4505="","",YEAR(A4505))</f>
        <v/>
      </c>
    </row>
    <row r="4506">
      <c r="A4506" s="15" t="n"/>
      <c r="B4506" s="10" t="n"/>
      <c r="C4506" s="10" t="n"/>
      <c r="D4506" s="10" t="n"/>
      <c r="E4506" s="14">
        <f>IF(D4506="","",IFERROR(INDEX('Sản phẩm'!$B$5:$B$304,MATCH(D4506,'Sản phẩm'!$A$5:$A$304,0)),""))</f>
        <v/>
      </c>
      <c r="F4506" s="12" t="n"/>
      <c r="G4506" s="11" t="n"/>
      <c r="H4506" s="11" t="n"/>
      <c r="I4506" s="16">
        <f>IF(D4506="","",IF(G4506&lt;&gt;"",G4506,IFERROR(INDEX('Sản phẩm'!$E$5:$E$304,MATCH(D4506,'Sản phẩm'!$A$5:$A$304,0)),"")))</f>
        <v/>
      </c>
      <c r="J4506" s="16">
        <f>IF(OR(D4506="",F4506=""),"",F4506*I4506-N(H4506))</f>
        <v/>
      </c>
      <c r="K4506" s="16">
        <f>IF(OR(D4506="",F4506=""),"",F4506*IFERROR(INDEX('Sản phẩm'!$D$5:$D$304,MATCH(D4506,'Sản phẩm'!$A$5:$A$304,0)),""))</f>
        <v/>
      </c>
      <c r="L4506" s="16">
        <f>IF(J4506="","",J4506-K4506)</f>
        <v/>
      </c>
      <c r="M4506" s="14">
        <f>IF(A4506="","",MONTH(A4506))</f>
        <v/>
      </c>
      <c r="N4506" s="14">
        <f>IF(A4506="","",YEAR(A4506))</f>
        <v/>
      </c>
    </row>
    <row r="4507">
      <c r="A4507" s="15" t="n"/>
      <c r="B4507" s="10" t="n"/>
      <c r="C4507" s="10" t="n"/>
      <c r="D4507" s="10" t="n"/>
      <c r="E4507" s="14">
        <f>IF(D4507="","",IFERROR(INDEX('Sản phẩm'!$B$5:$B$304,MATCH(D4507,'Sản phẩm'!$A$5:$A$304,0)),""))</f>
        <v/>
      </c>
      <c r="F4507" s="12" t="n"/>
      <c r="G4507" s="11" t="n"/>
      <c r="H4507" s="11" t="n"/>
      <c r="I4507" s="16">
        <f>IF(D4507="","",IF(G4507&lt;&gt;"",G4507,IFERROR(INDEX('Sản phẩm'!$E$5:$E$304,MATCH(D4507,'Sản phẩm'!$A$5:$A$304,0)),"")))</f>
        <v/>
      </c>
      <c r="J4507" s="16">
        <f>IF(OR(D4507="",F4507=""),"",F4507*I4507-N(H4507))</f>
        <v/>
      </c>
      <c r="K4507" s="16">
        <f>IF(OR(D4507="",F4507=""),"",F4507*IFERROR(INDEX('Sản phẩm'!$D$5:$D$304,MATCH(D4507,'Sản phẩm'!$A$5:$A$304,0)),""))</f>
        <v/>
      </c>
      <c r="L4507" s="16">
        <f>IF(J4507="","",J4507-K4507)</f>
        <v/>
      </c>
      <c r="M4507" s="14">
        <f>IF(A4507="","",MONTH(A4507))</f>
        <v/>
      </c>
      <c r="N4507" s="14">
        <f>IF(A4507="","",YEAR(A4507))</f>
        <v/>
      </c>
    </row>
    <row r="4508">
      <c r="A4508" s="15" t="n"/>
      <c r="B4508" s="10" t="n"/>
      <c r="C4508" s="10" t="n"/>
      <c r="D4508" s="10" t="n"/>
      <c r="E4508" s="14">
        <f>IF(D4508="","",IFERROR(INDEX('Sản phẩm'!$B$5:$B$304,MATCH(D4508,'Sản phẩm'!$A$5:$A$304,0)),""))</f>
        <v/>
      </c>
      <c r="F4508" s="12" t="n"/>
      <c r="G4508" s="11" t="n"/>
      <c r="H4508" s="11" t="n"/>
      <c r="I4508" s="16">
        <f>IF(D4508="","",IF(G4508&lt;&gt;"",G4508,IFERROR(INDEX('Sản phẩm'!$E$5:$E$304,MATCH(D4508,'Sản phẩm'!$A$5:$A$304,0)),"")))</f>
        <v/>
      </c>
      <c r="J4508" s="16">
        <f>IF(OR(D4508="",F4508=""),"",F4508*I4508-N(H4508))</f>
        <v/>
      </c>
      <c r="K4508" s="16">
        <f>IF(OR(D4508="",F4508=""),"",F4508*IFERROR(INDEX('Sản phẩm'!$D$5:$D$304,MATCH(D4508,'Sản phẩm'!$A$5:$A$304,0)),""))</f>
        <v/>
      </c>
      <c r="L4508" s="16">
        <f>IF(J4508="","",J4508-K4508)</f>
        <v/>
      </c>
      <c r="M4508" s="14">
        <f>IF(A4508="","",MONTH(A4508))</f>
        <v/>
      </c>
      <c r="N4508" s="14">
        <f>IF(A4508="","",YEAR(A4508))</f>
        <v/>
      </c>
    </row>
    <row r="4509">
      <c r="A4509" s="15" t="n"/>
      <c r="B4509" s="10" t="n"/>
      <c r="C4509" s="10" t="n"/>
      <c r="D4509" s="10" t="n"/>
      <c r="E4509" s="14">
        <f>IF(D4509="","",IFERROR(INDEX('Sản phẩm'!$B$5:$B$304,MATCH(D4509,'Sản phẩm'!$A$5:$A$304,0)),""))</f>
        <v/>
      </c>
      <c r="F4509" s="12" t="n"/>
      <c r="G4509" s="11" t="n"/>
      <c r="H4509" s="11" t="n"/>
      <c r="I4509" s="16">
        <f>IF(D4509="","",IF(G4509&lt;&gt;"",G4509,IFERROR(INDEX('Sản phẩm'!$E$5:$E$304,MATCH(D4509,'Sản phẩm'!$A$5:$A$304,0)),"")))</f>
        <v/>
      </c>
      <c r="J4509" s="16">
        <f>IF(OR(D4509="",F4509=""),"",F4509*I4509-N(H4509))</f>
        <v/>
      </c>
      <c r="K4509" s="16">
        <f>IF(OR(D4509="",F4509=""),"",F4509*IFERROR(INDEX('Sản phẩm'!$D$5:$D$304,MATCH(D4509,'Sản phẩm'!$A$5:$A$304,0)),""))</f>
        <v/>
      </c>
      <c r="L4509" s="16">
        <f>IF(J4509="","",J4509-K4509)</f>
        <v/>
      </c>
      <c r="M4509" s="14">
        <f>IF(A4509="","",MONTH(A4509))</f>
        <v/>
      </c>
      <c r="N4509" s="14">
        <f>IF(A4509="","",YEAR(A4509))</f>
        <v/>
      </c>
    </row>
    <row r="4510">
      <c r="A4510" s="15" t="n"/>
      <c r="B4510" s="10" t="n"/>
      <c r="C4510" s="10" t="n"/>
      <c r="D4510" s="10" t="n"/>
      <c r="E4510" s="14">
        <f>IF(D4510="","",IFERROR(INDEX('Sản phẩm'!$B$5:$B$304,MATCH(D4510,'Sản phẩm'!$A$5:$A$304,0)),""))</f>
        <v/>
      </c>
      <c r="F4510" s="12" t="n"/>
      <c r="G4510" s="11" t="n"/>
      <c r="H4510" s="11" t="n"/>
      <c r="I4510" s="16">
        <f>IF(D4510="","",IF(G4510&lt;&gt;"",G4510,IFERROR(INDEX('Sản phẩm'!$E$5:$E$304,MATCH(D4510,'Sản phẩm'!$A$5:$A$304,0)),"")))</f>
        <v/>
      </c>
      <c r="J4510" s="16">
        <f>IF(OR(D4510="",F4510=""),"",F4510*I4510-N(H4510))</f>
        <v/>
      </c>
      <c r="K4510" s="16">
        <f>IF(OR(D4510="",F4510=""),"",F4510*IFERROR(INDEX('Sản phẩm'!$D$5:$D$304,MATCH(D4510,'Sản phẩm'!$A$5:$A$304,0)),""))</f>
        <v/>
      </c>
      <c r="L4510" s="16">
        <f>IF(J4510="","",J4510-K4510)</f>
        <v/>
      </c>
      <c r="M4510" s="14">
        <f>IF(A4510="","",MONTH(A4510))</f>
        <v/>
      </c>
      <c r="N4510" s="14">
        <f>IF(A4510="","",YEAR(A4510))</f>
        <v/>
      </c>
    </row>
    <row r="4511">
      <c r="A4511" s="15" t="n"/>
      <c r="B4511" s="10" t="n"/>
      <c r="C4511" s="10" t="n"/>
      <c r="D4511" s="10" t="n"/>
      <c r="E4511" s="14">
        <f>IF(D4511="","",IFERROR(INDEX('Sản phẩm'!$B$5:$B$304,MATCH(D4511,'Sản phẩm'!$A$5:$A$304,0)),""))</f>
        <v/>
      </c>
      <c r="F4511" s="12" t="n"/>
      <c r="G4511" s="11" t="n"/>
      <c r="H4511" s="11" t="n"/>
      <c r="I4511" s="16">
        <f>IF(D4511="","",IF(G4511&lt;&gt;"",G4511,IFERROR(INDEX('Sản phẩm'!$E$5:$E$304,MATCH(D4511,'Sản phẩm'!$A$5:$A$304,0)),"")))</f>
        <v/>
      </c>
      <c r="J4511" s="16">
        <f>IF(OR(D4511="",F4511=""),"",F4511*I4511-N(H4511))</f>
        <v/>
      </c>
      <c r="K4511" s="16">
        <f>IF(OR(D4511="",F4511=""),"",F4511*IFERROR(INDEX('Sản phẩm'!$D$5:$D$304,MATCH(D4511,'Sản phẩm'!$A$5:$A$304,0)),""))</f>
        <v/>
      </c>
      <c r="L4511" s="16">
        <f>IF(J4511="","",J4511-K4511)</f>
        <v/>
      </c>
      <c r="M4511" s="14">
        <f>IF(A4511="","",MONTH(A4511))</f>
        <v/>
      </c>
      <c r="N4511" s="14">
        <f>IF(A4511="","",YEAR(A4511))</f>
        <v/>
      </c>
    </row>
    <row r="4512">
      <c r="A4512" s="15" t="n"/>
      <c r="B4512" s="10" t="n"/>
      <c r="C4512" s="10" t="n"/>
      <c r="D4512" s="10" t="n"/>
      <c r="E4512" s="14">
        <f>IF(D4512="","",IFERROR(INDEX('Sản phẩm'!$B$5:$B$304,MATCH(D4512,'Sản phẩm'!$A$5:$A$304,0)),""))</f>
        <v/>
      </c>
      <c r="F4512" s="12" t="n"/>
      <c r="G4512" s="11" t="n"/>
      <c r="H4512" s="11" t="n"/>
      <c r="I4512" s="16">
        <f>IF(D4512="","",IF(G4512&lt;&gt;"",G4512,IFERROR(INDEX('Sản phẩm'!$E$5:$E$304,MATCH(D4512,'Sản phẩm'!$A$5:$A$304,0)),"")))</f>
        <v/>
      </c>
      <c r="J4512" s="16">
        <f>IF(OR(D4512="",F4512=""),"",F4512*I4512-N(H4512))</f>
        <v/>
      </c>
      <c r="K4512" s="16">
        <f>IF(OR(D4512="",F4512=""),"",F4512*IFERROR(INDEX('Sản phẩm'!$D$5:$D$304,MATCH(D4512,'Sản phẩm'!$A$5:$A$304,0)),""))</f>
        <v/>
      </c>
      <c r="L4512" s="16">
        <f>IF(J4512="","",J4512-K4512)</f>
        <v/>
      </c>
      <c r="M4512" s="14">
        <f>IF(A4512="","",MONTH(A4512))</f>
        <v/>
      </c>
      <c r="N4512" s="14">
        <f>IF(A4512="","",YEAR(A4512))</f>
        <v/>
      </c>
    </row>
    <row r="4513">
      <c r="A4513" s="15" t="n"/>
      <c r="B4513" s="10" t="n"/>
      <c r="C4513" s="10" t="n"/>
      <c r="D4513" s="10" t="n"/>
      <c r="E4513" s="14">
        <f>IF(D4513="","",IFERROR(INDEX('Sản phẩm'!$B$5:$B$304,MATCH(D4513,'Sản phẩm'!$A$5:$A$304,0)),""))</f>
        <v/>
      </c>
      <c r="F4513" s="12" t="n"/>
      <c r="G4513" s="11" t="n"/>
      <c r="H4513" s="11" t="n"/>
      <c r="I4513" s="16">
        <f>IF(D4513="","",IF(G4513&lt;&gt;"",G4513,IFERROR(INDEX('Sản phẩm'!$E$5:$E$304,MATCH(D4513,'Sản phẩm'!$A$5:$A$304,0)),"")))</f>
        <v/>
      </c>
      <c r="J4513" s="16">
        <f>IF(OR(D4513="",F4513=""),"",F4513*I4513-N(H4513))</f>
        <v/>
      </c>
      <c r="K4513" s="16">
        <f>IF(OR(D4513="",F4513=""),"",F4513*IFERROR(INDEX('Sản phẩm'!$D$5:$D$304,MATCH(D4513,'Sản phẩm'!$A$5:$A$304,0)),""))</f>
        <v/>
      </c>
      <c r="L4513" s="16">
        <f>IF(J4513="","",J4513-K4513)</f>
        <v/>
      </c>
      <c r="M4513" s="14">
        <f>IF(A4513="","",MONTH(A4513))</f>
        <v/>
      </c>
      <c r="N4513" s="14">
        <f>IF(A4513="","",YEAR(A4513))</f>
        <v/>
      </c>
    </row>
    <row r="4514">
      <c r="A4514" s="15" t="n"/>
      <c r="B4514" s="10" t="n"/>
      <c r="C4514" s="10" t="n"/>
      <c r="D4514" s="10" t="n"/>
      <c r="E4514" s="14">
        <f>IF(D4514="","",IFERROR(INDEX('Sản phẩm'!$B$5:$B$304,MATCH(D4514,'Sản phẩm'!$A$5:$A$304,0)),""))</f>
        <v/>
      </c>
      <c r="F4514" s="12" t="n"/>
      <c r="G4514" s="11" t="n"/>
      <c r="H4514" s="11" t="n"/>
      <c r="I4514" s="16">
        <f>IF(D4514="","",IF(G4514&lt;&gt;"",G4514,IFERROR(INDEX('Sản phẩm'!$E$5:$E$304,MATCH(D4514,'Sản phẩm'!$A$5:$A$304,0)),"")))</f>
        <v/>
      </c>
      <c r="J4514" s="16">
        <f>IF(OR(D4514="",F4514=""),"",F4514*I4514-N(H4514))</f>
        <v/>
      </c>
      <c r="K4514" s="16">
        <f>IF(OR(D4514="",F4514=""),"",F4514*IFERROR(INDEX('Sản phẩm'!$D$5:$D$304,MATCH(D4514,'Sản phẩm'!$A$5:$A$304,0)),""))</f>
        <v/>
      </c>
      <c r="L4514" s="16">
        <f>IF(J4514="","",J4514-K4514)</f>
        <v/>
      </c>
      <c r="M4514" s="14">
        <f>IF(A4514="","",MONTH(A4514))</f>
        <v/>
      </c>
      <c r="N4514" s="14">
        <f>IF(A4514="","",YEAR(A4514))</f>
        <v/>
      </c>
    </row>
    <row r="4515">
      <c r="A4515" s="15" t="n"/>
      <c r="B4515" s="10" t="n"/>
      <c r="C4515" s="10" t="n"/>
      <c r="D4515" s="10" t="n"/>
      <c r="E4515" s="14">
        <f>IF(D4515="","",IFERROR(INDEX('Sản phẩm'!$B$5:$B$304,MATCH(D4515,'Sản phẩm'!$A$5:$A$304,0)),""))</f>
        <v/>
      </c>
      <c r="F4515" s="12" t="n"/>
      <c r="G4515" s="11" t="n"/>
      <c r="H4515" s="11" t="n"/>
      <c r="I4515" s="16">
        <f>IF(D4515="","",IF(G4515&lt;&gt;"",G4515,IFERROR(INDEX('Sản phẩm'!$E$5:$E$304,MATCH(D4515,'Sản phẩm'!$A$5:$A$304,0)),"")))</f>
        <v/>
      </c>
      <c r="J4515" s="16">
        <f>IF(OR(D4515="",F4515=""),"",F4515*I4515-N(H4515))</f>
        <v/>
      </c>
      <c r="K4515" s="16">
        <f>IF(OR(D4515="",F4515=""),"",F4515*IFERROR(INDEX('Sản phẩm'!$D$5:$D$304,MATCH(D4515,'Sản phẩm'!$A$5:$A$304,0)),""))</f>
        <v/>
      </c>
      <c r="L4515" s="16">
        <f>IF(J4515="","",J4515-K4515)</f>
        <v/>
      </c>
      <c r="M4515" s="14">
        <f>IF(A4515="","",MONTH(A4515))</f>
        <v/>
      </c>
      <c r="N4515" s="14">
        <f>IF(A4515="","",YEAR(A4515))</f>
        <v/>
      </c>
    </row>
    <row r="4516">
      <c r="A4516" s="15" t="n"/>
      <c r="B4516" s="10" t="n"/>
      <c r="C4516" s="10" t="n"/>
      <c r="D4516" s="10" t="n"/>
      <c r="E4516" s="14">
        <f>IF(D4516="","",IFERROR(INDEX('Sản phẩm'!$B$5:$B$304,MATCH(D4516,'Sản phẩm'!$A$5:$A$304,0)),""))</f>
        <v/>
      </c>
      <c r="F4516" s="12" t="n"/>
      <c r="G4516" s="11" t="n"/>
      <c r="H4516" s="11" t="n"/>
      <c r="I4516" s="16">
        <f>IF(D4516="","",IF(G4516&lt;&gt;"",G4516,IFERROR(INDEX('Sản phẩm'!$E$5:$E$304,MATCH(D4516,'Sản phẩm'!$A$5:$A$304,0)),"")))</f>
        <v/>
      </c>
      <c r="J4516" s="16">
        <f>IF(OR(D4516="",F4516=""),"",F4516*I4516-N(H4516))</f>
        <v/>
      </c>
      <c r="K4516" s="16">
        <f>IF(OR(D4516="",F4516=""),"",F4516*IFERROR(INDEX('Sản phẩm'!$D$5:$D$304,MATCH(D4516,'Sản phẩm'!$A$5:$A$304,0)),""))</f>
        <v/>
      </c>
      <c r="L4516" s="16">
        <f>IF(J4516="","",J4516-K4516)</f>
        <v/>
      </c>
      <c r="M4516" s="14">
        <f>IF(A4516="","",MONTH(A4516))</f>
        <v/>
      </c>
      <c r="N4516" s="14">
        <f>IF(A4516="","",YEAR(A4516))</f>
        <v/>
      </c>
    </row>
    <row r="4517">
      <c r="A4517" s="15" t="n"/>
      <c r="B4517" s="10" t="n"/>
      <c r="C4517" s="10" t="n"/>
      <c r="D4517" s="10" t="n"/>
      <c r="E4517" s="14">
        <f>IF(D4517="","",IFERROR(INDEX('Sản phẩm'!$B$5:$B$304,MATCH(D4517,'Sản phẩm'!$A$5:$A$304,0)),""))</f>
        <v/>
      </c>
      <c r="F4517" s="12" t="n"/>
      <c r="G4517" s="11" t="n"/>
      <c r="H4517" s="11" t="n"/>
      <c r="I4517" s="16">
        <f>IF(D4517="","",IF(G4517&lt;&gt;"",G4517,IFERROR(INDEX('Sản phẩm'!$E$5:$E$304,MATCH(D4517,'Sản phẩm'!$A$5:$A$304,0)),"")))</f>
        <v/>
      </c>
      <c r="J4517" s="16">
        <f>IF(OR(D4517="",F4517=""),"",F4517*I4517-N(H4517))</f>
        <v/>
      </c>
      <c r="K4517" s="16">
        <f>IF(OR(D4517="",F4517=""),"",F4517*IFERROR(INDEX('Sản phẩm'!$D$5:$D$304,MATCH(D4517,'Sản phẩm'!$A$5:$A$304,0)),""))</f>
        <v/>
      </c>
      <c r="L4517" s="16">
        <f>IF(J4517="","",J4517-K4517)</f>
        <v/>
      </c>
      <c r="M4517" s="14">
        <f>IF(A4517="","",MONTH(A4517))</f>
        <v/>
      </c>
      <c r="N4517" s="14">
        <f>IF(A4517="","",YEAR(A4517))</f>
        <v/>
      </c>
    </row>
    <row r="4518">
      <c r="A4518" s="15" t="n"/>
      <c r="B4518" s="10" t="n"/>
      <c r="C4518" s="10" t="n"/>
      <c r="D4518" s="10" t="n"/>
      <c r="E4518" s="14">
        <f>IF(D4518="","",IFERROR(INDEX('Sản phẩm'!$B$5:$B$304,MATCH(D4518,'Sản phẩm'!$A$5:$A$304,0)),""))</f>
        <v/>
      </c>
      <c r="F4518" s="12" t="n"/>
      <c r="G4518" s="11" t="n"/>
      <c r="H4518" s="11" t="n"/>
      <c r="I4518" s="16">
        <f>IF(D4518="","",IF(G4518&lt;&gt;"",G4518,IFERROR(INDEX('Sản phẩm'!$E$5:$E$304,MATCH(D4518,'Sản phẩm'!$A$5:$A$304,0)),"")))</f>
        <v/>
      </c>
      <c r="J4518" s="16">
        <f>IF(OR(D4518="",F4518=""),"",F4518*I4518-N(H4518))</f>
        <v/>
      </c>
      <c r="K4518" s="16">
        <f>IF(OR(D4518="",F4518=""),"",F4518*IFERROR(INDEX('Sản phẩm'!$D$5:$D$304,MATCH(D4518,'Sản phẩm'!$A$5:$A$304,0)),""))</f>
        <v/>
      </c>
      <c r="L4518" s="16">
        <f>IF(J4518="","",J4518-K4518)</f>
        <v/>
      </c>
      <c r="M4518" s="14">
        <f>IF(A4518="","",MONTH(A4518))</f>
        <v/>
      </c>
      <c r="N4518" s="14">
        <f>IF(A4518="","",YEAR(A4518))</f>
        <v/>
      </c>
    </row>
    <row r="4519">
      <c r="A4519" s="15" t="n"/>
      <c r="B4519" s="10" t="n"/>
      <c r="C4519" s="10" t="n"/>
      <c r="D4519" s="10" t="n"/>
      <c r="E4519" s="14">
        <f>IF(D4519="","",IFERROR(INDEX('Sản phẩm'!$B$5:$B$304,MATCH(D4519,'Sản phẩm'!$A$5:$A$304,0)),""))</f>
        <v/>
      </c>
      <c r="F4519" s="12" t="n"/>
      <c r="G4519" s="11" t="n"/>
      <c r="H4519" s="11" t="n"/>
      <c r="I4519" s="16">
        <f>IF(D4519="","",IF(G4519&lt;&gt;"",G4519,IFERROR(INDEX('Sản phẩm'!$E$5:$E$304,MATCH(D4519,'Sản phẩm'!$A$5:$A$304,0)),"")))</f>
        <v/>
      </c>
      <c r="J4519" s="16">
        <f>IF(OR(D4519="",F4519=""),"",F4519*I4519-N(H4519))</f>
        <v/>
      </c>
      <c r="K4519" s="16">
        <f>IF(OR(D4519="",F4519=""),"",F4519*IFERROR(INDEX('Sản phẩm'!$D$5:$D$304,MATCH(D4519,'Sản phẩm'!$A$5:$A$304,0)),""))</f>
        <v/>
      </c>
      <c r="L4519" s="16">
        <f>IF(J4519="","",J4519-K4519)</f>
        <v/>
      </c>
      <c r="M4519" s="14">
        <f>IF(A4519="","",MONTH(A4519))</f>
        <v/>
      </c>
      <c r="N4519" s="14">
        <f>IF(A4519="","",YEAR(A4519))</f>
        <v/>
      </c>
    </row>
    <row r="4520">
      <c r="A4520" s="15" t="n"/>
      <c r="B4520" s="10" t="n"/>
      <c r="C4520" s="10" t="n"/>
      <c r="D4520" s="10" t="n"/>
      <c r="E4520" s="14">
        <f>IF(D4520="","",IFERROR(INDEX('Sản phẩm'!$B$5:$B$304,MATCH(D4520,'Sản phẩm'!$A$5:$A$304,0)),""))</f>
        <v/>
      </c>
      <c r="F4520" s="12" t="n"/>
      <c r="G4520" s="11" t="n"/>
      <c r="H4520" s="11" t="n"/>
      <c r="I4520" s="16">
        <f>IF(D4520="","",IF(G4520&lt;&gt;"",G4520,IFERROR(INDEX('Sản phẩm'!$E$5:$E$304,MATCH(D4520,'Sản phẩm'!$A$5:$A$304,0)),"")))</f>
        <v/>
      </c>
      <c r="J4520" s="16">
        <f>IF(OR(D4520="",F4520=""),"",F4520*I4520-N(H4520))</f>
        <v/>
      </c>
      <c r="K4520" s="16">
        <f>IF(OR(D4520="",F4520=""),"",F4520*IFERROR(INDEX('Sản phẩm'!$D$5:$D$304,MATCH(D4520,'Sản phẩm'!$A$5:$A$304,0)),""))</f>
        <v/>
      </c>
      <c r="L4520" s="16">
        <f>IF(J4520="","",J4520-K4520)</f>
        <v/>
      </c>
      <c r="M4520" s="14">
        <f>IF(A4520="","",MONTH(A4520))</f>
        <v/>
      </c>
      <c r="N4520" s="14">
        <f>IF(A4520="","",YEAR(A4520))</f>
        <v/>
      </c>
    </row>
    <row r="4521">
      <c r="A4521" s="15" t="n"/>
      <c r="B4521" s="10" t="n"/>
      <c r="C4521" s="10" t="n"/>
      <c r="D4521" s="10" t="n"/>
      <c r="E4521" s="14">
        <f>IF(D4521="","",IFERROR(INDEX('Sản phẩm'!$B$5:$B$304,MATCH(D4521,'Sản phẩm'!$A$5:$A$304,0)),""))</f>
        <v/>
      </c>
      <c r="F4521" s="12" t="n"/>
      <c r="G4521" s="11" t="n"/>
      <c r="H4521" s="11" t="n"/>
      <c r="I4521" s="16">
        <f>IF(D4521="","",IF(G4521&lt;&gt;"",G4521,IFERROR(INDEX('Sản phẩm'!$E$5:$E$304,MATCH(D4521,'Sản phẩm'!$A$5:$A$304,0)),"")))</f>
        <v/>
      </c>
      <c r="J4521" s="16">
        <f>IF(OR(D4521="",F4521=""),"",F4521*I4521-N(H4521))</f>
        <v/>
      </c>
      <c r="K4521" s="16">
        <f>IF(OR(D4521="",F4521=""),"",F4521*IFERROR(INDEX('Sản phẩm'!$D$5:$D$304,MATCH(D4521,'Sản phẩm'!$A$5:$A$304,0)),""))</f>
        <v/>
      </c>
      <c r="L4521" s="16">
        <f>IF(J4521="","",J4521-K4521)</f>
        <v/>
      </c>
      <c r="M4521" s="14">
        <f>IF(A4521="","",MONTH(A4521))</f>
        <v/>
      </c>
      <c r="N4521" s="14">
        <f>IF(A4521="","",YEAR(A4521))</f>
        <v/>
      </c>
    </row>
    <row r="4522">
      <c r="A4522" s="15" t="n"/>
      <c r="B4522" s="10" t="n"/>
      <c r="C4522" s="10" t="n"/>
      <c r="D4522" s="10" t="n"/>
      <c r="E4522" s="14">
        <f>IF(D4522="","",IFERROR(INDEX('Sản phẩm'!$B$5:$B$304,MATCH(D4522,'Sản phẩm'!$A$5:$A$304,0)),""))</f>
        <v/>
      </c>
      <c r="F4522" s="12" t="n"/>
      <c r="G4522" s="11" t="n"/>
      <c r="H4522" s="11" t="n"/>
      <c r="I4522" s="16">
        <f>IF(D4522="","",IF(G4522&lt;&gt;"",G4522,IFERROR(INDEX('Sản phẩm'!$E$5:$E$304,MATCH(D4522,'Sản phẩm'!$A$5:$A$304,0)),"")))</f>
        <v/>
      </c>
      <c r="J4522" s="16">
        <f>IF(OR(D4522="",F4522=""),"",F4522*I4522-N(H4522))</f>
        <v/>
      </c>
      <c r="K4522" s="16">
        <f>IF(OR(D4522="",F4522=""),"",F4522*IFERROR(INDEX('Sản phẩm'!$D$5:$D$304,MATCH(D4522,'Sản phẩm'!$A$5:$A$304,0)),""))</f>
        <v/>
      </c>
      <c r="L4522" s="16">
        <f>IF(J4522="","",J4522-K4522)</f>
        <v/>
      </c>
      <c r="M4522" s="14">
        <f>IF(A4522="","",MONTH(A4522))</f>
        <v/>
      </c>
      <c r="N4522" s="14">
        <f>IF(A4522="","",YEAR(A4522))</f>
        <v/>
      </c>
    </row>
    <row r="4523">
      <c r="A4523" s="15" t="n"/>
      <c r="B4523" s="10" t="n"/>
      <c r="C4523" s="10" t="n"/>
      <c r="D4523" s="10" t="n"/>
      <c r="E4523" s="14">
        <f>IF(D4523="","",IFERROR(INDEX('Sản phẩm'!$B$5:$B$304,MATCH(D4523,'Sản phẩm'!$A$5:$A$304,0)),""))</f>
        <v/>
      </c>
      <c r="F4523" s="12" t="n"/>
      <c r="G4523" s="11" t="n"/>
      <c r="H4523" s="11" t="n"/>
      <c r="I4523" s="16">
        <f>IF(D4523="","",IF(G4523&lt;&gt;"",G4523,IFERROR(INDEX('Sản phẩm'!$E$5:$E$304,MATCH(D4523,'Sản phẩm'!$A$5:$A$304,0)),"")))</f>
        <v/>
      </c>
      <c r="J4523" s="16">
        <f>IF(OR(D4523="",F4523=""),"",F4523*I4523-N(H4523))</f>
        <v/>
      </c>
      <c r="K4523" s="16">
        <f>IF(OR(D4523="",F4523=""),"",F4523*IFERROR(INDEX('Sản phẩm'!$D$5:$D$304,MATCH(D4523,'Sản phẩm'!$A$5:$A$304,0)),""))</f>
        <v/>
      </c>
      <c r="L4523" s="16">
        <f>IF(J4523="","",J4523-K4523)</f>
        <v/>
      </c>
      <c r="M4523" s="14">
        <f>IF(A4523="","",MONTH(A4523))</f>
        <v/>
      </c>
      <c r="N4523" s="14">
        <f>IF(A4523="","",YEAR(A4523))</f>
        <v/>
      </c>
    </row>
    <row r="4524">
      <c r="A4524" s="15" t="n"/>
      <c r="B4524" s="10" t="n"/>
      <c r="C4524" s="10" t="n"/>
      <c r="D4524" s="10" t="n"/>
      <c r="E4524" s="14">
        <f>IF(D4524="","",IFERROR(INDEX('Sản phẩm'!$B$5:$B$304,MATCH(D4524,'Sản phẩm'!$A$5:$A$304,0)),""))</f>
        <v/>
      </c>
      <c r="F4524" s="12" t="n"/>
      <c r="G4524" s="11" t="n"/>
      <c r="H4524" s="11" t="n"/>
      <c r="I4524" s="16">
        <f>IF(D4524="","",IF(G4524&lt;&gt;"",G4524,IFERROR(INDEX('Sản phẩm'!$E$5:$E$304,MATCH(D4524,'Sản phẩm'!$A$5:$A$304,0)),"")))</f>
        <v/>
      </c>
      <c r="J4524" s="16">
        <f>IF(OR(D4524="",F4524=""),"",F4524*I4524-N(H4524))</f>
        <v/>
      </c>
      <c r="K4524" s="16">
        <f>IF(OR(D4524="",F4524=""),"",F4524*IFERROR(INDEX('Sản phẩm'!$D$5:$D$304,MATCH(D4524,'Sản phẩm'!$A$5:$A$304,0)),""))</f>
        <v/>
      </c>
      <c r="L4524" s="16">
        <f>IF(J4524="","",J4524-K4524)</f>
        <v/>
      </c>
      <c r="M4524" s="14">
        <f>IF(A4524="","",MONTH(A4524))</f>
        <v/>
      </c>
      <c r="N4524" s="14">
        <f>IF(A4524="","",YEAR(A4524))</f>
        <v/>
      </c>
    </row>
    <row r="4525">
      <c r="A4525" s="15" t="n"/>
      <c r="B4525" s="10" t="n"/>
      <c r="C4525" s="10" t="n"/>
      <c r="D4525" s="10" t="n"/>
      <c r="E4525" s="14">
        <f>IF(D4525="","",IFERROR(INDEX('Sản phẩm'!$B$5:$B$304,MATCH(D4525,'Sản phẩm'!$A$5:$A$304,0)),""))</f>
        <v/>
      </c>
      <c r="F4525" s="12" t="n"/>
      <c r="G4525" s="11" t="n"/>
      <c r="H4525" s="11" t="n"/>
      <c r="I4525" s="16">
        <f>IF(D4525="","",IF(G4525&lt;&gt;"",G4525,IFERROR(INDEX('Sản phẩm'!$E$5:$E$304,MATCH(D4525,'Sản phẩm'!$A$5:$A$304,0)),"")))</f>
        <v/>
      </c>
      <c r="J4525" s="16">
        <f>IF(OR(D4525="",F4525=""),"",F4525*I4525-N(H4525))</f>
        <v/>
      </c>
      <c r="K4525" s="16">
        <f>IF(OR(D4525="",F4525=""),"",F4525*IFERROR(INDEX('Sản phẩm'!$D$5:$D$304,MATCH(D4525,'Sản phẩm'!$A$5:$A$304,0)),""))</f>
        <v/>
      </c>
      <c r="L4525" s="16">
        <f>IF(J4525="","",J4525-K4525)</f>
        <v/>
      </c>
      <c r="M4525" s="14">
        <f>IF(A4525="","",MONTH(A4525))</f>
        <v/>
      </c>
      <c r="N4525" s="14">
        <f>IF(A4525="","",YEAR(A4525))</f>
        <v/>
      </c>
    </row>
    <row r="4526">
      <c r="A4526" s="15" t="n"/>
      <c r="B4526" s="10" t="n"/>
      <c r="C4526" s="10" t="n"/>
      <c r="D4526" s="10" t="n"/>
      <c r="E4526" s="14">
        <f>IF(D4526="","",IFERROR(INDEX('Sản phẩm'!$B$5:$B$304,MATCH(D4526,'Sản phẩm'!$A$5:$A$304,0)),""))</f>
        <v/>
      </c>
      <c r="F4526" s="12" t="n"/>
      <c r="G4526" s="11" t="n"/>
      <c r="H4526" s="11" t="n"/>
      <c r="I4526" s="16">
        <f>IF(D4526="","",IF(G4526&lt;&gt;"",G4526,IFERROR(INDEX('Sản phẩm'!$E$5:$E$304,MATCH(D4526,'Sản phẩm'!$A$5:$A$304,0)),"")))</f>
        <v/>
      </c>
      <c r="J4526" s="16">
        <f>IF(OR(D4526="",F4526=""),"",F4526*I4526-N(H4526))</f>
        <v/>
      </c>
      <c r="K4526" s="16">
        <f>IF(OR(D4526="",F4526=""),"",F4526*IFERROR(INDEX('Sản phẩm'!$D$5:$D$304,MATCH(D4526,'Sản phẩm'!$A$5:$A$304,0)),""))</f>
        <v/>
      </c>
      <c r="L4526" s="16">
        <f>IF(J4526="","",J4526-K4526)</f>
        <v/>
      </c>
      <c r="M4526" s="14">
        <f>IF(A4526="","",MONTH(A4526))</f>
        <v/>
      </c>
      <c r="N4526" s="14">
        <f>IF(A4526="","",YEAR(A4526))</f>
        <v/>
      </c>
    </row>
    <row r="4527">
      <c r="A4527" s="15" t="n"/>
      <c r="B4527" s="10" t="n"/>
      <c r="C4527" s="10" t="n"/>
      <c r="D4527" s="10" t="n"/>
      <c r="E4527" s="14">
        <f>IF(D4527="","",IFERROR(INDEX('Sản phẩm'!$B$5:$B$304,MATCH(D4527,'Sản phẩm'!$A$5:$A$304,0)),""))</f>
        <v/>
      </c>
      <c r="F4527" s="12" t="n"/>
      <c r="G4527" s="11" t="n"/>
      <c r="H4527" s="11" t="n"/>
      <c r="I4527" s="16">
        <f>IF(D4527="","",IF(G4527&lt;&gt;"",G4527,IFERROR(INDEX('Sản phẩm'!$E$5:$E$304,MATCH(D4527,'Sản phẩm'!$A$5:$A$304,0)),"")))</f>
        <v/>
      </c>
      <c r="J4527" s="16">
        <f>IF(OR(D4527="",F4527=""),"",F4527*I4527-N(H4527))</f>
        <v/>
      </c>
      <c r="K4527" s="16">
        <f>IF(OR(D4527="",F4527=""),"",F4527*IFERROR(INDEX('Sản phẩm'!$D$5:$D$304,MATCH(D4527,'Sản phẩm'!$A$5:$A$304,0)),""))</f>
        <v/>
      </c>
      <c r="L4527" s="16">
        <f>IF(J4527="","",J4527-K4527)</f>
        <v/>
      </c>
      <c r="M4527" s="14">
        <f>IF(A4527="","",MONTH(A4527))</f>
        <v/>
      </c>
      <c r="N4527" s="14">
        <f>IF(A4527="","",YEAR(A4527))</f>
        <v/>
      </c>
    </row>
    <row r="4528">
      <c r="A4528" s="15" t="n"/>
      <c r="B4528" s="10" t="n"/>
      <c r="C4528" s="10" t="n"/>
      <c r="D4528" s="10" t="n"/>
      <c r="E4528" s="14">
        <f>IF(D4528="","",IFERROR(INDEX('Sản phẩm'!$B$5:$B$304,MATCH(D4528,'Sản phẩm'!$A$5:$A$304,0)),""))</f>
        <v/>
      </c>
      <c r="F4528" s="12" t="n"/>
      <c r="G4528" s="11" t="n"/>
      <c r="H4528" s="11" t="n"/>
      <c r="I4528" s="16">
        <f>IF(D4528="","",IF(G4528&lt;&gt;"",G4528,IFERROR(INDEX('Sản phẩm'!$E$5:$E$304,MATCH(D4528,'Sản phẩm'!$A$5:$A$304,0)),"")))</f>
        <v/>
      </c>
      <c r="J4528" s="16">
        <f>IF(OR(D4528="",F4528=""),"",F4528*I4528-N(H4528))</f>
        <v/>
      </c>
      <c r="K4528" s="16">
        <f>IF(OR(D4528="",F4528=""),"",F4528*IFERROR(INDEX('Sản phẩm'!$D$5:$D$304,MATCH(D4528,'Sản phẩm'!$A$5:$A$304,0)),""))</f>
        <v/>
      </c>
      <c r="L4528" s="16">
        <f>IF(J4528="","",J4528-K4528)</f>
        <v/>
      </c>
      <c r="M4528" s="14">
        <f>IF(A4528="","",MONTH(A4528))</f>
        <v/>
      </c>
      <c r="N4528" s="14">
        <f>IF(A4528="","",YEAR(A4528))</f>
        <v/>
      </c>
    </row>
    <row r="4529">
      <c r="A4529" s="15" t="n"/>
      <c r="B4529" s="10" t="n"/>
      <c r="C4529" s="10" t="n"/>
      <c r="D4529" s="10" t="n"/>
      <c r="E4529" s="14">
        <f>IF(D4529="","",IFERROR(INDEX('Sản phẩm'!$B$5:$B$304,MATCH(D4529,'Sản phẩm'!$A$5:$A$304,0)),""))</f>
        <v/>
      </c>
      <c r="F4529" s="12" t="n"/>
      <c r="G4529" s="11" t="n"/>
      <c r="H4529" s="11" t="n"/>
      <c r="I4529" s="16">
        <f>IF(D4529="","",IF(G4529&lt;&gt;"",G4529,IFERROR(INDEX('Sản phẩm'!$E$5:$E$304,MATCH(D4529,'Sản phẩm'!$A$5:$A$304,0)),"")))</f>
        <v/>
      </c>
      <c r="J4529" s="16">
        <f>IF(OR(D4529="",F4529=""),"",F4529*I4529-N(H4529))</f>
        <v/>
      </c>
      <c r="K4529" s="16">
        <f>IF(OR(D4529="",F4529=""),"",F4529*IFERROR(INDEX('Sản phẩm'!$D$5:$D$304,MATCH(D4529,'Sản phẩm'!$A$5:$A$304,0)),""))</f>
        <v/>
      </c>
      <c r="L4529" s="16">
        <f>IF(J4529="","",J4529-K4529)</f>
        <v/>
      </c>
      <c r="M4529" s="14">
        <f>IF(A4529="","",MONTH(A4529))</f>
        <v/>
      </c>
      <c r="N4529" s="14">
        <f>IF(A4529="","",YEAR(A4529))</f>
        <v/>
      </c>
    </row>
    <row r="4530">
      <c r="A4530" s="15" t="n"/>
      <c r="B4530" s="10" t="n"/>
      <c r="C4530" s="10" t="n"/>
      <c r="D4530" s="10" t="n"/>
      <c r="E4530" s="14">
        <f>IF(D4530="","",IFERROR(INDEX('Sản phẩm'!$B$5:$B$304,MATCH(D4530,'Sản phẩm'!$A$5:$A$304,0)),""))</f>
        <v/>
      </c>
      <c r="F4530" s="12" t="n"/>
      <c r="G4530" s="11" t="n"/>
      <c r="H4530" s="11" t="n"/>
      <c r="I4530" s="16">
        <f>IF(D4530="","",IF(G4530&lt;&gt;"",G4530,IFERROR(INDEX('Sản phẩm'!$E$5:$E$304,MATCH(D4530,'Sản phẩm'!$A$5:$A$304,0)),"")))</f>
        <v/>
      </c>
      <c r="J4530" s="16">
        <f>IF(OR(D4530="",F4530=""),"",F4530*I4530-N(H4530))</f>
        <v/>
      </c>
      <c r="K4530" s="16">
        <f>IF(OR(D4530="",F4530=""),"",F4530*IFERROR(INDEX('Sản phẩm'!$D$5:$D$304,MATCH(D4530,'Sản phẩm'!$A$5:$A$304,0)),""))</f>
        <v/>
      </c>
      <c r="L4530" s="16">
        <f>IF(J4530="","",J4530-K4530)</f>
        <v/>
      </c>
      <c r="M4530" s="14">
        <f>IF(A4530="","",MONTH(A4530))</f>
        <v/>
      </c>
      <c r="N4530" s="14">
        <f>IF(A4530="","",YEAR(A4530))</f>
        <v/>
      </c>
    </row>
    <row r="4531">
      <c r="A4531" s="15" t="n"/>
      <c r="B4531" s="10" t="n"/>
      <c r="C4531" s="10" t="n"/>
      <c r="D4531" s="10" t="n"/>
      <c r="E4531" s="14">
        <f>IF(D4531="","",IFERROR(INDEX('Sản phẩm'!$B$5:$B$304,MATCH(D4531,'Sản phẩm'!$A$5:$A$304,0)),""))</f>
        <v/>
      </c>
      <c r="F4531" s="12" t="n"/>
      <c r="G4531" s="11" t="n"/>
      <c r="H4531" s="11" t="n"/>
      <c r="I4531" s="16">
        <f>IF(D4531="","",IF(G4531&lt;&gt;"",G4531,IFERROR(INDEX('Sản phẩm'!$E$5:$E$304,MATCH(D4531,'Sản phẩm'!$A$5:$A$304,0)),"")))</f>
        <v/>
      </c>
      <c r="J4531" s="16">
        <f>IF(OR(D4531="",F4531=""),"",F4531*I4531-N(H4531))</f>
        <v/>
      </c>
      <c r="K4531" s="16">
        <f>IF(OR(D4531="",F4531=""),"",F4531*IFERROR(INDEX('Sản phẩm'!$D$5:$D$304,MATCH(D4531,'Sản phẩm'!$A$5:$A$304,0)),""))</f>
        <v/>
      </c>
      <c r="L4531" s="16">
        <f>IF(J4531="","",J4531-K4531)</f>
        <v/>
      </c>
      <c r="M4531" s="14">
        <f>IF(A4531="","",MONTH(A4531))</f>
        <v/>
      </c>
      <c r="N4531" s="14">
        <f>IF(A4531="","",YEAR(A4531))</f>
        <v/>
      </c>
    </row>
    <row r="4532">
      <c r="A4532" s="15" t="n"/>
      <c r="B4532" s="10" t="n"/>
      <c r="C4532" s="10" t="n"/>
      <c r="D4532" s="10" t="n"/>
      <c r="E4532" s="14">
        <f>IF(D4532="","",IFERROR(INDEX('Sản phẩm'!$B$5:$B$304,MATCH(D4532,'Sản phẩm'!$A$5:$A$304,0)),""))</f>
        <v/>
      </c>
      <c r="F4532" s="12" t="n"/>
      <c r="G4532" s="11" t="n"/>
      <c r="H4532" s="11" t="n"/>
      <c r="I4532" s="16">
        <f>IF(D4532="","",IF(G4532&lt;&gt;"",G4532,IFERROR(INDEX('Sản phẩm'!$E$5:$E$304,MATCH(D4532,'Sản phẩm'!$A$5:$A$304,0)),"")))</f>
        <v/>
      </c>
      <c r="J4532" s="16">
        <f>IF(OR(D4532="",F4532=""),"",F4532*I4532-N(H4532))</f>
        <v/>
      </c>
      <c r="K4532" s="16">
        <f>IF(OR(D4532="",F4532=""),"",F4532*IFERROR(INDEX('Sản phẩm'!$D$5:$D$304,MATCH(D4532,'Sản phẩm'!$A$5:$A$304,0)),""))</f>
        <v/>
      </c>
      <c r="L4532" s="16">
        <f>IF(J4532="","",J4532-K4532)</f>
        <v/>
      </c>
      <c r="M4532" s="14">
        <f>IF(A4532="","",MONTH(A4532))</f>
        <v/>
      </c>
      <c r="N4532" s="14">
        <f>IF(A4532="","",YEAR(A4532))</f>
        <v/>
      </c>
    </row>
    <row r="4533">
      <c r="A4533" s="15" t="n"/>
      <c r="B4533" s="10" t="n"/>
      <c r="C4533" s="10" t="n"/>
      <c r="D4533" s="10" t="n"/>
      <c r="E4533" s="14">
        <f>IF(D4533="","",IFERROR(INDEX('Sản phẩm'!$B$5:$B$304,MATCH(D4533,'Sản phẩm'!$A$5:$A$304,0)),""))</f>
        <v/>
      </c>
      <c r="F4533" s="12" t="n"/>
      <c r="G4533" s="11" t="n"/>
      <c r="H4533" s="11" t="n"/>
      <c r="I4533" s="16">
        <f>IF(D4533="","",IF(G4533&lt;&gt;"",G4533,IFERROR(INDEX('Sản phẩm'!$E$5:$E$304,MATCH(D4533,'Sản phẩm'!$A$5:$A$304,0)),"")))</f>
        <v/>
      </c>
      <c r="J4533" s="16">
        <f>IF(OR(D4533="",F4533=""),"",F4533*I4533-N(H4533))</f>
        <v/>
      </c>
      <c r="K4533" s="16">
        <f>IF(OR(D4533="",F4533=""),"",F4533*IFERROR(INDEX('Sản phẩm'!$D$5:$D$304,MATCH(D4533,'Sản phẩm'!$A$5:$A$304,0)),""))</f>
        <v/>
      </c>
      <c r="L4533" s="16">
        <f>IF(J4533="","",J4533-K4533)</f>
        <v/>
      </c>
      <c r="M4533" s="14">
        <f>IF(A4533="","",MONTH(A4533))</f>
        <v/>
      </c>
      <c r="N4533" s="14">
        <f>IF(A4533="","",YEAR(A4533))</f>
        <v/>
      </c>
    </row>
    <row r="4534">
      <c r="A4534" s="15" t="n"/>
      <c r="B4534" s="10" t="n"/>
      <c r="C4534" s="10" t="n"/>
      <c r="D4534" s="10" t="n"/>
      <c r="E4534" s="14">
        <f>IF(D4534="","",IFERROR(INDEX('Sản phẩm'!$B$5:$B$304,MATCH(D4534,'Sản phẩm'!$A$5:$A$304,0)),""))</f>
        <v/>
      </c>
      <c r="F4534" s="12" t="n"/>
      <c r="G4534" s="11" t="n"/>
      <c r="H4534" s="11" t="n"/>
      <c r="I4534" s="16">
        <f>IF(D4534="","",IF(G4534&lt;&gt;"",G4534,IFERROR(INDEX('Sản phẩm'!$E$5:$E$304,MATCH(D4534,'Sản phẩm'!$A$5:$A$304,0)),"")))</f>
        <v/>
      </c>
      <c r="J4534" s="16">
        <f>IF(OR(D4534="",F4534=""),"",F4534*I4534-N(H4534))</f>
        <v/>
      </c>
      <c r="K4534" s="16">
        <f>IF(OR(D4534="",F4534=""),"",F4534*IFERROR(INDEX('Sản phẩm'!$D$5:$D$304,MATCH(D4534,'Sản phẩm'!$A$5:$A$304,0)),""))</f>
        <v/>
      </c>
      <c r="L4534" s="16">
        <f>IF(J4534="","",J4534-K4534)</f>
        <v/>
      </c>
      <c r="M4534" s="14">
        <f>IF(A4534="","",MONTH(A4534))</f>
        <v/>
      </c>
      <c r="N4534" s="14">
        <f>IF(A4534="","",YEAR(A4534))</f>
        <v/>
      </c>
    </row>
    <row r="4535">
      <c r="A4535" s="15" t="n"/>
      <c r="B4535" s="10" t="n"/>
      <c r="C4535" s="10" t="n"/>
      <c r="D4535" s="10" t="n"/>
      <c r="E4535" s="14">
        <f>IF(D4535="","",IFERROR(INDEX('Sản phẩm'!$B$5:$B$304,MATCH(D4535,'Sản phẩm'!$A$5:$A$304,0)),""))</f>
        <v/>
      </c>
      <c r="F4535" s="12" t="n"/>
      <c r="G4535" s="11" t="n"/>
      <c r="H4535" s="11" t="n"/>
      <c r="I4535" s="16">
        <f>IF(D4535="","",IF(G4535&lt;&gt;"",G4535,IFERROR(INDEX('Sản phẩm'!$E$5:$E$304,MATCH(D4535,'Sản phẩm'!$A$5:$A$304,0)),"")))</f>
        <v/>
      </c>
      <c r="J4535" s="16">
        <f>IF(OR(D4535="",F4535=""),"",F4535*I4535-N(H4535))</f>
        <v/>
      </c>
      <c r="K4535" s="16">
        <f>IF(OR(D4535="",F4535=""),"",F4535*IFERROR(INDEX('Sản phẩm'!$D$5:$D$304,MATCH(D4535,'Sản phẩm'!$A$5:$A$304,0)),""))</f>
        <v/>
      </c>
      <c r="L4535" s="16">
        <f>IF(J4535="","",J4535-K4535)</f>
        <v/>
      </c>
      <c r="M4535" s="14">
        <f>IF(A4535="","",MONTH(A4535))</f>
        <v/>
      </c>
      <c r="N4535" s="14">
        <f>IF(A4535="","",YEAR(A4535))</f>
        <v/>
      </c>
    </row>
    <row r="4536">
      <c r="A4536" s="15" t="n"/>
      <c r="B4536" s="10" t="n"/>
      <c r="C4536" s="10" t="n"/>
      <c r="D4536" s="10" t="n"/>
      <c r="E4536" s="14">
        <f>IF(D4536="","",IFERROR(INDEX('Sản phẩm'!$B$5:$B$304,MATCH(D4536,'Sản phẩm'!$A$5:$A$304,0)),""))</f>
        <v/>
      </c>
      <c r="F4536" s="12" t="n"/>
      <c r="G4536" s="11" t="n"/>
      <c r="H4536" s="11" t="n"/>
      <c r="I4536" s="16">
        <f>IF(D4536="","",IF(G4536&lt;&gt;"",G4536,IFERROR(INDEX('Sản phẩm'!$E$5:$E$304,MATCH(D4536,'Sản phẩm'!$A$5:$A$304,0)),"")))</f>
        <v/>
      </c>
      <c r="J4536" s="16">
        <f>IF(OR(D4536="",F4536=""),"",F4536*I4536-N(H4536))</f>
        <v/>
      </c>
      <c r="K4536" s="16">
        <f>IF(OR(D4536="",F4536=""),"",F4536*IFERROR(INDEX('Sản phẩm'!$D$5:$D$304,MATCH(D4536,'Sản phẩm'!$A$5:$A$304,0)),""))</f>
        <v/>
      </c>
      <c r="L4536" s="16">
        <f>IF(J4536="","",J4536-K4536)</f>
        <v/>
      </c>
      <c r="M4536" s="14">
        <f>IF(A4536="","",MONTH(A4536))</f>
        <v/>
      </c>
      <c r="N4536" s="14">
        <f>IF(A4536="","",YEAR(A4536))</f>
        <v/>
      </c>
    </row>
    <row r="4537">
      <c r="A4537" s="15" t="n"/>
      <c r="B4537" s="10" t="n"/>
      <c r="C4537" s="10" t="n"/>
      <c r="D4537" s="10" t="n"/>
      <c r="E4537" s="14">
        <f>IF(D4537="","",IFERROR(INDEX('Sản phẩm'!$B$5:$B$304,MATCH(D4537,'Sản phẩm'!$A$5:$A$304,0)),""))</f>
        <v/>
      </c>
      <c r="F4537" s="12" t="n"/>
      <c r="G4537" s="11" t="n"/>
      <c r="H4537" s="11" t="n"/>
      <c r="I4537" s="16">
        <f>IF(D4537="","",IF(G4537&lt;&gt;"",G4537,IFERROR(INDEX('Sản phẩm'!$E$5:$E$304,MATCH(D4537,'Sản phẩm'!$A$5:$A$304,0)),"")))</f>
        <v/>
      </c>
      <c r="J4537" s="16">
        <f>IF(OR(D4537="",F4537=""),"",F4537*I4537-N(H4537))</f>
        <v/>
      </c>
      <c r="K4537" s="16">
        <f>IF(OR(D4537="",F4537=""),"",F4537*IFERROR(INDEX('Sản phẩm'!$D$5:$D$304,MATCH(D4537,'Sản phẩm'!$A$5:$A$304,0)),""))</f>
        <v/>
      </c>
      <c r="L4537" s="16">
        <f>IF(J4537="","",J4537-K4537)</f>
        <v/>
      </c>
      <c r="M4537" s="14">
        <f>IF(A4537="","",MONTH(A4537))</f>
        <v/>
      </c>
      <c r="N4537" s="14">
        <f>IF(A4537="","",YEAR(A4537))</f>
        <v/>
      </c>
    </row>
    <row r="4538">
      <c r="A4538" s="15" t="n"/>
      <c r="B4538" s="10" t="n"/>
      <c r="C4538" s="10" t="n"/>
      <c r="D4538" s="10" t="n"/>
      <c r="E4538" s="14">
        <f>IF(D4538="","",IFERROR(INDEX('Sản phẩm'!$B$5:$B$304,MATCH(D4538,'Sản phẩm'!$A$5:$A$304,0)),""))</f>
        <v/>
      </c>
      <c r="F4538" s="12" t="n"/>
      <c r="G4538" s="11" t="n"/>
      <c r="H4538" s="11" t="n"/>
      <c r="I4538" s="16">
        <f>IF(D4538="","",IF(G4538&lt;&gt;"",G4538,IFERROR(INDEX('Sản phẩm'!$E$5:$E$304,MATCH(D4538,'Sản phẩm'!$A$5:$A$304,0)),"")))</f>
        <v/>
      </c>
      <c r="J4538" s="16">
        <f>IF(OR(D4538="",F4538=""),"",F4538*I4538-N(H4538))</f>
        <v/>
      </c>
      <c r="K4538" s="16">
        <f>IF(OR(D4538="",F4538=""),"",F4538*IFERROR(INDEX('Sản phẩm'!$D$5:$D$304,MATCH(D4538,'Sản phẩm'!$A$5:$A$304,0)),""))</f>
        <v/>
      </c>
      <c r="L4538" s="16">
        <f>IF(J4538="","",J4538-K4538)</f>
        <v/>
      </c>
      <c r="M4538" s="14">
        <f>IF(A4538="","",MONTH(A4538))</f>
        <v/>
      </c>
      <c r="N4538" s="14">
        <f>IF(A4538="","",YEAR(A4538))</f>
        <v/>
      </c>
    </row>
    <row r="4539">
      <c r="A4539" s="15" t="n"/>
      <c r="B4539" s="10" t="n"/>
      <c r="C4539" s="10" t="n"/>
      <c r="D4539" s="10" t="n"/>
      <c r="E4539" s="14">
        <f>IF(D4539="","",IFERROR(INDEX('Sản phẩm'!$B$5:$B$304,MATCH(D4539,'Sản phẩm'!$A$5:$A$304,0)),""))</f>
        <v/>
      </c>
      <c r="F4539" s="12" t="n"/>
      <c r="G4539" s="11" t="n"/>
      <c r="H4539" s="11" t="n"/>
      <c r="I4539" s="16">
        <f>IF(D4539="","",IF(G4539&lt;&gt;"",G4539,IFERROR(INDEX('Sản phẩm'!$E$5:$E$304,MATCH(D4539,'Sản phẩm'!$A$5:$A$304,0)),"")))</f>
        <v/>
      </c>
      <c r="J4539" s="16">
        <f>IF(OR(D4539="",F4539=""),"",F4539*I4539-N(H4539))</f>
        <v/>
      </c>
      <c r="K4539" s="16">
        <f>IF(OR(D4539="",F4539=""),"",F4539*IFERROR(INDEX('Sản phẩm'!$D$5:$D$304,MATCH(D4539,'Sản phẩm'!$A$5:$A$304,0)),""))</f>
        <v/>
      </c>
      <c r="L4539" s="16">
        <f>IF(J4539="","",J4539-K4539)</f>
        <v/>
      </c>
      <c r="M4539" s="14">
        <f>IF(A4539="","",MONTH(A4539))</f>
        <v/>
      </c>
      <c r="N4539" s="14">
        <f>IF(A4539="","",YEAR(A4539))</f>
        <v/>
      </c>
    </row>
    <row r="4540">
      <c r="A4540" s="15" t="n"/>
      <c r="B4540" s="10" t="n"/>
      <c r="C4540" s="10" t="n"/>
      <c r="D4540" s="10" t="n"/>
      <c r="E4540" s="14">
        <f>IF(D4540="","",IFERROR(INDEX('Sản phẩm'!$B$5:$B$304,MATCH(D4540,'Sản phẩm'!$A$5:$A$304,0)),""))</f>
        <v/>
      </c>
      <c r="F4540" s="12" t="n"/>
      <c r="G4540" s="11" t="n"/>
      <c r="H4540" s="11" t="n"/>
      <c r="I4540" s="16">
        <f>IF(D4540="","",IF(G4540&lt;&gt;"",G4540,IFERROR(INDEX('Sản phẩm'!$E$5:$E$304,MATCH(D4540,'Sản phẩm'!$A$5:$A$304,0)),"")))</f>
        <v/>
      </c>
      <c r="J4540" s="16">
        <f>IF(OR(D4540="",F4540=""),"",F4540*I4540-N(H4540))</f>
        <v/>
      </c>
      <c r="K4540" s="16">
        <f>IF(OR(D4540="",F4540=""),"",F4540*IFERROR(INDEX('Sản phẩm'!$D$5:$D$304,MATCH(D4540,'Sản phẩm'!$A$5:$A$304,0)),""))</f>
        <v/>
      </c>
      <c r="L4540" s="16">
        <f>IF(J4540="","",J4540-K4540)</f>
        <v/>
      </c>
      <c r="M4540" s="14">
        <f>IF(A4540="","",MONTH(A4540))</f>
        <v/>
      </c>
      <c r="N4540" s="14">
        <f>IF(A4540="","",YEAR(A4540))</f>
        <v/>
      </c>
    </row>
    <row r="4541">
      <c r="A4541" s="15" t="n"/>
      <c r="B4541" s="10" t="n"/>
      <c r="C4541" s="10" t="n"/>
      <c r="D4541" s="10" t="n"/>
      <c r="E4541" s="14">
        <f>IF(D4541="","",IFERROR(INDEX('Sản phẩm'!$B$5:$B$304,MATCH(D4541,'Sản phẩm'!$A$5:$A$304,0)),""))</f>
        <v/>
      </c>
      <c r="F4541" s="12" t="n"/>
      <c r="G4541" s="11" t="n"/>
      <c r="H4541" s="11" t="n"/>
      <c r="I4541" s="16">
        <f>IF(D4541="","",IF(G4541&lt;&gt;"",G4541,IFERROR(INDEX('Sản phẩm'!$E$5:$E$304,MATCH(D4541,'Sản phẩm'!$A$5:$A$304,0)),"")))</f>
        <v/>
      </c>
      <c r="J4541" s="16">
        <f>IF(OR(D4541="",F4541=""),"",F4541*I4541-N(H4541))</f>
        <v/>
      </c>
      <c r="K4541" s="16">
        <f>IF(OR(D4541="",F4541=""),"",F4541*IFERROR(INDEX('Sản phẩm'!$D$5:$D$304,MATCH(D4541,'Sản phẩm'!$A$5:$A$304,0)),""))</f>
        <v/>
      </c>
      <c r="L4541" s="16">
        <f>IF(J4541="","",J4541-K4541)</f>
        <v/>
      </c>
      <c r="M4541" s="14">
        <f>IF(A4541="","",MONTH(A4541))</f>
        <v/>
      </c>
      <c r="N4541" s="14">
        <f>IF(A4541="","",YEAR(A4541))</f>
        <v/>
      </c>
    </row>
    <row r="4542">
      <c r="A4542" s="15" t="n"/>
      <c r="B4542" s="10" t="n"/>
      <c r="C4542" s="10" t="n"/>
      <c r="D4542" s="10" t="n"/>
      <c r="E4542" s="14">
        <f>IF(D4542="","",IFERROR(INDEX('Sản phẩm'!$B$5:$B$304,MATCH(D4542,'Sản phẩm'!$A$5:$A$304,0)),""))</f>
        <v/>
      </c>
      <c r="F4542" s="12" t="n"/>
      <c r="G4542" s="11" t="n"/>
      <c r="H4542" s="11" t="n"/>
      <c r="I4542" s="16">
        <f>IF(D4542="","",IF(G4542&lt;&gt;"",G4542,IFERROR(INDEX('Sản phẩm'!$E$5:$E$304,MATCH(D4542,'Sản phẩm'!$A$5:$A$304,0)),"")))</f>
        <v/>
      </c>
      <c r="J4542" s="16">
        <f>IF(OR(D4542="",F4542=""),"",F4542*I4542-N(H4542))</f>
        <v/>
      </c>
      <c r="K4542" s="16">
        <f>IF(OR(D4542="",F4542=""),"",F4542*IFERROR(INDEX('Sản phẩm'!$D$5:$D$304,MATCH(D4542,'Sản phẩm'!$A$5:$A$304,0)),""))</f>
        <v/>
      </c>
      <c r="L4542" s="16">
        <f>IF(J4542="","",J4542-K4542)</f>
        <v/>
      </c>
      <c r="M4542" s="14">
        <f>IF(A4542="","",MONTH(A4542))</f>
        <v/>
      </c>
      <c r="N4542" s="14">
        <f>IF(A4542="","",YEAR(A4542))</f>
        <v/>
      </c>
    </row>
    <row r="4543">
      <c r="A4543" s="15" t="n"/>
      <c r="B4543" s="10" t="n"/>
      <c r="C4543" s="10" t="n"/>
      <c r="D4543" s="10" t="n"/>
      <c r="E4543" s="14">
        <f>IF(D4543="","",IFERROR(INDEX('Sản phẩm'!$B$5:$B$304,MATCH(D4543,'Sản phẩm'!$A$5:$A$304,0)),""))</f>
        <v/>
      </c>
      <c r="F4543" s="12" t="n"/>
      <c r="G4543" s="11" t="n"/>
      <c r="H4543" s="11" t="n"/>
      <c r="I4543" s="16">
        <f>IF(D4543="","",IF(G4543&lt;&gt;"",G4543,IFERROR(INDEX('Sản phẩm'!$E$5:$E$304,MATCH(D4543,'Sản phẩm'!$A$5:$A$304,0)),"")))</f>
        <v/>
      </c>
      <c r="J4543" s="16">
        <f>IF(OR(D4543="",F4543=""),"",F4543*I4543-N(H4543))</f>
        <v/>
      </c>
      <c r="K4543" s="16">
        <f>IF(OR(D4543="",F4543=""),"",F4543*IFERROR(INDEX('Sản phẩm'!$D$5:$D$304,MATCH(D4543,'Sản phẩm'!$A$5:$A$304,0)),""))</f>
        <v/>
      </c>
      <c r="L4543" s="16">
        <f>IF(J4543="","",J4543-K4543)</f>
        <v/>
      </c>
      <c r="M4543" s="14">
        <f>IF(A4543="","",MONTH(A4543))</f>
        <v/>
      </c>
      <c r="N4543" s="14">
        <f>IF(A4543="","",YEAR(A4543))</f>
        <v/>
      </c>
    </row>
    <row r="4544">
      <c r="A4544" s="15" t="n"/>
      <c r="B4544" s="10" t="n"/>
      <c r="C4544" s="10" t="n"/>
      <c r="D4544" s="10" t="n"/>
      <c r="E4544" s="14">
        <f>IF(D4544="","",IFERROR(INDEX('Sản phẩm'!$B$5:$B$304,MATCH(D4544,'Sản phẩm'!$A$5:$A$304,0)),""))</f>
        <v/>
      </c>
      <c r="F4544" s="12" t="n"/>
      <c r="G4544" s="11" t="n"/>
      <c r="H4544" s="11" t="n"/>
      <c r="I4544" s="16">
        <f>IF(D4544="","",IF(G4544&lt;&gt;"",G4544,IFERROR(INDEX('Sản phẩm'!$E$5:$E$304,MATCH(D4544,'Sản phẩm'!$A$5:$A$304,0)),"")))</f>
        <v/>
      </c>
      <c r="J4544" s="16">
        <f>IF(OR(D4544="",F4544=""),"",F4544*I4544-N(H4544))</f>
        <v/>
      </c>
      <c r="K4544" s="16">
        <f>IF(OR(D4544="",F4544=""),"",F4544*IFERROR(INDEX('Sản phẩm'!$D$5:$D$304,MATCH(D4544,'Sản phẩm'!$A$5:$A$304,0)),""))</f>
        <v/>
      </c>
      <c r="L4544" s="16">
        <f>IF(J4544="","",J4544-K4544)</f>
        <v/>
      </c>
      <c r="M4544" s="14">
        <f>IF(A4544="","",MONTH(A4544))</f>
        <v/>
      </c>
      <c r="N4544" s="14">
        <f>IF(A4544="","",YEAR(A4544))</f>
        <v/>
      </c>
    </row>
    <row r="4545">
      <c r="A4545" s="15" t="n"/>
      <c r="B4545" s="10" t="n"/>
      <c r="C4545" s="10" t="n"/>
      <c r="D4545" s="10" t="n"/>
      <c r="E4545" s="14">
        <f>IF(D4545="","",IFERROR(INDEX('Sản phẩm'!$B$5:$B$304,MATCH(D4545,'Sản phẩm'!$A$5:$A$304,0)),""))</f>
        <v/>
      </c>
      <c r="F4545" s="12" t="n"/>
      <c r="G4545" s="11" t="n"/>
      <c r="H4545" s="11" t="n"/>
      <c r="I4545" s="16">
        <f>IF(D4545="","",IF(G4545&lt;&gt;"",G4545,IFERROR(INDEX('Sản phẩm'!$E$5:$E$304,MATCH(D4545,'Sản phẩm'!$A$5:$A$304,0)),"")))</f>
        <v/>
      </c>
      <c r="J4545" s="16">
        <f>IF(OR(D4545="",F4545=""),"",F4545*I4545-N(H4545))</f>
        <v/>
      </c>
      <c r="K4545" s="16">
        <f>IF(OR(D4545="",F4545=""),"",F4545*IFERROR(INDEX('Sản phẩm'!$D$5:$D$304,MATCH(D4545,'Sản phẩm'!$A$5:$A$304,0)),""))</f>
        <v/>
      </c>
      <c r="L4545" s="16">
        <f>IF(J4545="","",J4545-K4545)</f>
        <v/>
      </c>
      <c r="M4545" s="14">
        <f>IF(A4545="","",MONTH(A4545))</f>
        <v/>
      </c>
      <c r="N4545" s="14">
        <f>IF(A4545="","",YEAR(A4545))</f>
        <v/>
      </c>
    </row>
    <row r="4546">
      <c r="A4546" s="15" t="n"/>
      <c r="B4546" s="10" t="n"/>
      <c r="C4546" s="10" t="n"/>
      <c r="D4546" s="10" t="n"/>
      <c r="E4546" s="14">
        <f>IF(D4546="","",IFERROR(INDEX('Sản phẩm'!$B$5:$B$304,MATCH(D4546,'Sản phẩm'!$A$5:$A$304,0)),""))</f>
        <v/>
      </c>
      <c r="F4546" s="12" t="n"/>
      <c r="G4546" s="11" t="n"/>
      <c r="H4546" s="11" t="n"/>
      <c r="I4546" s="16">
        <f>IF(D4546="","",IF(G4546&lt;&gt;"",G4546,IFERROR(INDEX('Sản phẩm'!$E$5:$E$304,MATCH(D4546,'Sản phẩm'!$A$5:$A$304,0)),"")))</f>
        <v/>
      </c>
      <c r="J4546" s="16">
        <f>IF(OR(D4546="",F4546=""),"",F4546*I4546-N(H4546))</f>
        <v/>
      </c>
      <c r="K4546" s="16">
        <f>IF(OR(D4546="",F4546=""),"",F4546*IFERROR(INDEX('Sản phẩm'!$D$5:$D$304,MATCH(D4546,'Sản phẩm'!$A$5:$A$304,0)),""))</f>
        <v/>
      </c>
      <c r="L4546" s="16">
        <f>IF(J4546="","",J4546-K4546)</f>
        <v/>
      </c>
      <c r="M4546" s="14">
        <f>IF(A4546="","",MONTH(A4546))</f>
        <v/>
      </c>
      <c r="N4546" s="14">
        <f>IF(A4546="","",YEAR(A4546))</f>
        <v/>
      </c>
    </row>
    <row r="4547">
      <c r="A4547" s="15" t="n"/>
      <c r="B4547" s="10" t="n"/>
      <c r="C4547" s="10" t="n"/>
      <c r="D4547" s="10" t="n"/>
      <c r="E4547" s="14">
        <f>IF(D4547="","",IFERROR(INDEX('Sản phẩm'!$B$5:$B$304,MATCH(D4547,'Sản phẩm'!$A$5:$A$304,0)),""))</f>
        <v/>
      </c>
      <c r="F4547" s="12" t="n"/>
      <c r="G4547" s="11" t="n"/>
      <c r="H4547" s="11" t="n"/>
      <c r="I4547" s="16">
        <f>IF(D4547="","",IF(G4547&lt;&gt;"",G4547,IFERROR(INDEX('Sản phẩm'!$E$5:$E$304,MATCH(D4547,'Sản phẩm'!$A$5:$A$304,0)),"")))</f>
        <v/>
      </c>
      <c r="J4547" s="16">
        <f>IF(OR(D4547="",F4547=""),"",F4547*I4547-N(H4547))</f>
        <v/>
      </c>
      <c r="K4547" s="16">
        <f>IF(OR(D4547="",F4547=""),"",F4547*IFERROR(INDEX('Sản phẩm'!$D$5:$D$304,MATCH(D4547,'Sản phẩm'!$A$5:$A$304,0)),""))</f>
        <v/>
      </c>
      <c r="L4547" s="16">
        <f>IF(J4547="","",J4547-K4547)</f>
        <v/>
      </c>
      <c r="M4547" s="14">
        <f>IF(A4547="","",MONTH(A4547))</f>
        <v/>
      </c>
      <c r="N4547" s="14">
        <f>IF(A4547="","",YEAR(A4547))</f>
        <v/>
      </c>
    </row>
    <row r="4548">
      <c r="A4548" s="15" t="n"/>
      <c r="B4548" s="10" t="n"/>
      <c r="C4548" s="10" t="n"/>
      <c r="D4548" s="10" t="n"/>
      <c r="E4548" s="14">
        <f>IF(D4548="","",IFERROR(INDEX('Sản phẩm'!$B$5:$B$304,MATCH(D4548,'Sản phẩm'!$A$5:$A$304,0)),""))</f>
        <v/>
      </c>
      <c r="F4548" s="12" t="n"/>
      <c r="G4548" s="11" t="n"/>
      <c r="H4548" s="11" t="n"/>
      <c r="I4548" s="16">
        <f>IF(D4548="","",IF(G4548&lt;&gt;"",G4548,IFERROR(INDEX('Sản phẩm'!$E$5:$E$304,MATCH(D4548,'Sản phẩm'!$A$5:$A$304,0)),"")))</f>
        <v/>
      </c>
      <c r="J4548" s="16">
        <f>IF(OR(D4548="",F4548=""),"",F4548*I4548-N(H4548))</f>
        <v/>
      </c>
      <c r="K4548" s="16">
        <f>IF(OR(D4548="",F4548=""),"",F4548*IFERROR(INDEX('Sản phẩm'!$D$5:$D$304,MATCH(D4548,'Sản phẩm'!$A$5:$A$304,0)),""))</f>
        <v/>
      </c>
      <c r="L4548" s="16">
        <f>IF(J4548="","",J4548-K4548)</f>
        <v/>
      </c>
      <c r="M4548" s="14">
        <f>IF(A4548="","",MONTH(A4548))</f>
        <v/>
      </c>
      <c r="N4548" s="14">
        <f>IF(A4548="","",YEAR(A4548))</f>
        <v/>
      </c>
    </row>
    <row r="4549">
      <c r="A4549" s="15" t="n"/>
      <c r="B4549" s="10" t="n"/>
      <c r="C4549" s="10" t="n"/>
      <c r="D4549" s="10" t="n"/>
      <c r="E4549" s="14">
        <f>IF(D4549="","",IFERROR(INDEX('Sản phẩm'!$B$5:$B$304,MATCH(D4549,'Sản phẩm'!$A$5:$A$304,0)),""))</f>
        <v/>
      </c>
      <c r="F4549" s="12" t="n"/>
      <c r="G4549" s="11" t="n"/>
      <c r="H4549" s="11" t="n"/>
      <c r="I4549" s="16">
        <f>IF(D4549="","",IF(G4549&lt;&gt;"",G4549,IFERROR(INDEX('Sản phẩm'!$E$5:$E$304,MATCH(D4549,'Sản phẩm'!$A$5:$A$304,0)),"")))</f>
        <v/>
      </c>
      <c r="J4549" s="16">
        <f>IF(OR(D4549="",F4549=""),"",F4549*I4549-N(H4549))</f>
        <v/>
      </c>
      <c r="K4549" s="16">
        <f>IF(OR(D4549="",F4549=""),"",F4549*IFERROR(INDEX('Sản phẩm'!$D$5:$D$304,MATCH(D4549,'Sản phẩm'!$A$5:$A$304,0)),""))</f>
        <v/>
      </c>
      <c r="L4549" s="16">
        <f>IF(J4549="","",J4549-K4549)</f>
        <v/>
      </c>
      <c r="M4549" s="14">
        <f>IF(A4549="","",MONTH(A4549))</f>
        <v/>
      </c>
      <c r="N4549" s="14">
        <f>IF(A4549="","",YEAR(A4549))</f>
        <v/>
      </c>
    </row>
    <row r="4550">
      <c r="A4550" s="15" t="n"/>
      <c r="B4550" s="10" t="n"/>
      <c r="C4550" s="10" t="n"/>
      <c r="D4550" s="10" t="n"/>
      <c r="E4550" s="14">
        <f>IF(D4550="","",IFERROR(INDEX('Sản phẩm'!$B$5:$B$304,MATCH(D4550,'Sản phẩm'!$A$5:$A$304,0)),""))</f>
        <v/>
      </c>
      <c r="F4550" s="12" t="n"/>
      <c r="G4550" s="11" t="n"/>
      <c r="H4550" s="11" t="n"/>
      <c r="I4550" s="16">
        <f>IF(D4550="","",IF(G4550&lt;&gt;"",G4550,IFERROR(INDEX('Sản phẩm'!$E$5:$E$304,MATCH(D4550,'Sản phẩm'!$A$5:$A$304,0)),"")))</f>
        <v/>
      </c>
      <c r="J4550" s="16">
        <f>IF(OR(D4550="",F4550=""),"",F4550*I4550-N(H4550))</f>
        <v/>
      </c>
      <c r="K4550" s="16">
        <f>IF(OR(D4550="",F4550=""),"",F4550*IFERROR(INDEX('Sản phẩm'!$D$5:$D$304,MATCH(D4550,'Sản phẩm'!$A$5:$A$304,0)),""))</f>
        <v/>
      </c>
      <c r="L4550" s="16">
        <f>IF(J4550="","",J4550-K4550)</f>
        <v/>
      </c>
      <c r="M4550" s="14">
        <f>IF(A4550="","",MONTH(A4550))</f>
        <v/>
      </c>
      <c r="N4550" s="14">
        <f>IF(A4550="","",YEAR(A4550))</f>
        <v/>
      </c>
    </row>
    <row r="4551">
      <c r="A4551" s="15" t="n"/>
      <c r="B4551" s="10" t="n"/>
      <c r="C4551" s="10" t="n"/>
      <c r="D4551" s="10" t="n"/>
      <c r="E4551" s="14">
        <f>IF(D4551="","",IFERROR(INDEX('Sản phẩm'!$B$5:$B$304,MATCH(D4551,'Sản phẩm'!$A$5:$A$304,0)),""))</f>
        <v/>
      </c>
      <c r="F4551" s="12" t="n"/>
      <c r="G4551" s="11" t="n"/>
      <c r="H4551" s="11" t="n"/>
      <c r="I4551" s="16">
        <f>IF(D4551="","",IF(G4551&lt;&gt;"",G4551,IFERROR(INDEX('Sản phẩm'!$E$5:$E$304,MATCH(D4551,'Sản phẩm'!$A$5:$A$304,0)),"")))</f>
        <v/>
      </c>
      <c r="J4551" s="16">
        <f>IF(OR(D4551="",F4551=""),"",F4551*I4551-N(H4551))</f>
        <v/>
      </c>
      <c r="K4551" s="16">
        <f>IF(OR(D4551="",F4551=""),"",F4551*IFERROR(INDEX('Sản phẩm'!$D$5:$D$304,MATCH(D4551,'Sản phẩm'!$A$5:$A$304,0)),""))</f>
        <v/>
      </c>
      <c r="L4551" s="16">
        <f>IF(J4551="","",J4551-K4551)</f>
        <v/>
      </c>
      <c r="M4551" s="14">
        <f>IF(A4551="","",MONTH(A4551))</f>
        <v/>
      </c>
      <c r="N4551" s="14">
        <f>IF(A4551="","",YEAR(A4551))</f>
        <v/>
      </c>
    </row>
    <row r="4552">
      <c r="A4552" s="15" t="n"/>
      <c r="B4552" s="10" t="n"/>
      <c r="C4552" s="10" t="n"/>
      <c r="D4552" s="10" t="n"/>
      <c r="E4552" s="14">
        <f>IF(D4552="","",IFERROR(INDEX('Sản phẩm'!$B$5:$B$304,MATCH(D4552,'Sản phẩm'!$A$5:$A$304,0)),""))</f>
        <v/>
      </c>
      <c r="F4552" s="12" t="n"/>
      <c r="G4552" s="11" t="n"/>
      <c r="H4552" s="11" t="n"/>
      <c r="I4552" s="16">
        <f>IF(D4552="","",IF(G4552&lt;&gt;"",G4552,IFERROR(INDEX('Sản phẩm'!$E$5:$E$304,MATCH(D4552,'Sản phẩm'!$A$5:$A$304,0)),"")))</f>
        <v/>
      </c>
      <c r="J4552" s="16">
        <f>IF(OR(D4552="",F4552=""),"",F4552*I4552-N(H4552))</f>
        <v/>
      </c>
      <c r="K4552" s="16">
        <f>IF(OR(D4552="",F4552=""),"",F4552*IFERROR(INDEX('Sản phẩm'!$D$5:$D$304,MATCH(D4552,'Sản phẩm'!$A$5:$A$304,0)),""))</f>
        <v/>
      </c>
      <c r="L4552" s="16">
        <f>IF(J4552="","",J4552-K4552)</f>
        <v/>
      </c>
      <c r="M4552" s="14">
        <f>IF(A4552="","",MONTH(A4552))</f>
        <v/>
      </c>
      <c r="N4552" s="14">
        <f>IF(A4552="","",YEAR(A4552))</f>
        <v/>
      </c>
    </row>
    <row r="4553">
      <c r="A4553" s="15" t="n"/>
      <c r="B4553" s="10" t="n"/>
      <c r="C4553" s="10" t="n"/>
      <c r="D4553" s="10" t="n"/>
      <c r="E4553" s="14">
        <f>IF(D4553="","",IFERROR(INDEX('Sản phẩm'!$B$5:$B$304,MATCH(D4553,'Sản phẩm'!$A$5:$A$304,0)),""))</f>
        <v/>
      </c>
      <c r="F4553" s="12" t="n"/>
      <c r="G4553" s="11" t="n"/>
      <c r="H4553" s="11" t="n"/>
      <c r="I4553" s="16">
        <f>IF(D4553="","",IF(G4553&lt;&gt;"",G4553,IFERROR(INDEX('Sản phẩm'!$E$5:$E$304,MATCH(D4553,'Sản phẩm'!$A$5:$A$304,0)),"")))</f>
        <v/>
      </c>
      <c r="J4553" s="16">
        <f>IF(OR(D4553="",F4553=""),"",F4553*I4553-N(H4553))</f>
        <v/>
      </c>
      <c r="K4553" s="16">
        <f>IF(OR(D4553="",F4553=""),"",F4553*IFERROR(INDEX('Sản phẩm'!$D$5:$D$304,MATCH(D4553,'Sản phẩm'!$A$5:$A$304,0)),""))</f>
        <v/>
      </c>
      <c r="L4553" s="16">
        <f>IF(J4553="","",J4553-K4553)</f>
        <v/>
      </c>
      <c r="M4553" s="14">
        <f>IF(A4553="","",MONTH(A4553))</f>
        <v/>
      </c>
      <c r="N4553" s="14">
        <f>IF(A4553="","",YEAR(A4553))</f>
        <v/>
      </c>
    </row>
    <row r="4554">
      <c r="A4554" s="15" t="n"/>
      <c r="B4554" s="10" t="n"/>
      <c r="C4554" s="10" t="n"/>
      <c r="D4554" s="10" t="n"/>
      <c r="E4554" s="14">
        <f>IF(D4554="","",IFERROR(INDEX('Sản phẩm'!$B$5:$B$304,MATCH(D4554,'Sản phẩm'!$A$5:$A$304,0)),""))</f>
        <v/>
      </c>
      <c r="F4554" s="12" t="n"/>
      <c r="G4554" s="11" t="n"/>
      <c r="H4554" s="11" t="n"/>
      <c r="I4554" s="16">
        <f>IF(D4554="","",IF(G4554&lt;&gt;"",G4554,IFERROR(INDEX('Sản phẩm'!$E$5:$E$304,MATCH(D4554,'Sản phẩm'!$A$5:$A$304,0)),"")))</f>
        <v/>
      </c>
      <c r="J4554" s="16">
        <f>IF(OR(D4554="",F4554=""),"",F4554*I4554-N(H4554))</f>
        <v/>
      </c>
      <c r="K4554" s="16">
        <f>IF(OR(D4554="",F4554=""),"",F4554*IFERROR(INDEX('Sản phẩm'!$D$5:$D$304,MATCH(D4554,'Sản phẩm'!$A$5:$A$304,0)),""))</f>
        <v/>
      </c>
      <c r="L4554" s="16">
        <f>IF(J4554="","",J4554-K4554)</f>
        <v/>
      </c>
      <c r="M4554" s="14">
        <f>IF(A4554="","",MONTH(A4554))</f>
        <v/>
      </c>
      <c r="N4554" s="14">
        <f>IF(A4554="","",YEAR(A4554))</f>
        <v/>
      </c>
    </row>
    <row r="4555">
      <c r="A4555" s="15" t="n"/>
      <c r="B4555" s="10" t="n"/>
      <c r="C4555" s="10" t="n"/>
      <c r="D4555" s="10" t="n"/>
      <c r="E4555" s="14">
        <f>IF(D4555="","",IFERROR(INDEX('Sản phẩm'!$B$5:$B$304,MATCH(D4555,'Sản phẩm'!$A$5:$A$304,0)),""))</f>
        <v/>
      </c>
      <c r="F4555" s="12" t="n"/>
      <c r="G4555" s="11" t="n"/>
      <c r="H4555" s="11" t="n"/>
      <c r="I4555" s="16">
        <f>IF(D4555="","",IF(G4555&lt;&gt;"",G4555,IFERROR(INDEX('Sản phẩm'!$E$5:$E$304,MATCH(D4555,'Sản phẩm'!$A$5:$A$304,0)),"")))</f>
        <v/>
      </c>
      <c r="J4555" s="16">
        <f>IF(OR(D4555="",F4555=""),"",F4555*I4555-N(H4555))</f>
        <v/>
      </c>
      <c r="K4555" s="16">
        <f>IF(OR(D4555="",F4555=""),"",F4555*IFERROR(INDEX('Sản phẩm'!$D$5:$D$304,MATCH(D4555,'Sản phẩm'!$A$5:$A$304,0)),""))</f>
        <v/>
      </c>
      <c r="L4555" s="16">
        <f>IF(J4555="","",J4555-K4555)</f>
        <v/>
      </c>
      <c r="M4555" s="14">
        <f>IF(A4555="","",MONTH(A4555))</f>
        <v/>
      </c>
      <c r="N4555" s="14">
        <f>IF(A4555="","",YEAR(A4555))</f>
        <v/>
      </c>
    </row>
    <row r="4556">
      <c r="A4556" s="15" t="n"/>
      <c r="B4556" s="10" t="n"/>
      <c r="C4556" s="10" t="n"/>
      <c r="D4556" s="10" t="n"/>
      <c r="E4556" s="14">
        <f>IF(D4556="","",IFERROR(INDEX('Sản phẩm'!$B$5:$B$304,MATCH(D4556,'Sản phẩm'!$A$5:$A$304,0)),""))</f>
        <v/>
      </c>
      <c r="F4556" s="12" t="n"/>
      <c r="G4556" s="11" t="n"/>
      <c r="H4556" s="11" t="n"/>
      <c r="I4556" s="16">
        <f>IF(D4556="","",IF(G4556&lt;&gt;"",G4556,IFERROR(INDEX('Sản phẩm'!$E$5:$E$304,MATCH(D4556,'Sản phẩm'!$A$5:$A$304,0)),"")))</f>
        <v/>
      </c>
      <c r="J4556" s="16">
        <f>IF(OR(D4556="",F4556=""),"",F4556*I4556-N(H4556))</f>
        <v/>
      </c>
      <c r="K4556" s="16">
        <f>IF(OR(D4556="",F4556=""),"",F4556*IFERROR(INDEX('Sản phẩm'!$D$5:$D$304,MATCH(D4556,'Sản phẩm'!$A$5:$A$304,0)),""))</f>
        <v/>
      </c>
      <c r="L4556" s="16">
        <f>IF(J4556="","",J4556-K4556)</f>
        <v/>
      </c>
      <c r="M4556" s="14">
        <f>IF(A4556="","",MONTH(A4556))</f>
        <v/>
      </c>
      <c r="N4556" s="14">
        <f>IF(A4556="","",YEAR(A4556))</f>
        <v/>
      </c>
    </row>
    <row r="4557">
      <c r="A4557" s="15" t="n"/>
      <c r="B4557" s="10" t="n"/>
      <c r="C4557" s="10" t="n"/>
      <c r="D4557" s="10" t="n"/>
      <c r="E4557" s="14">
        <f>IF(D4557="","",IFERROR(INDEX('Sản phẩm'!$B$5:$B$304,MATCH(D4557,'Sản phẩm'!$A$5:$A$304,0)),""))</f>
        <v/>
      </c>
      <c r="F4557" s="12" t="n"/>
      <c r="G4557" s="11" t="n"/>
      <c r="H4557" s="11" t="n"/>
      <c r="I4557" s="16">
        <f>IF(D4557="","",IF(G4557&lt;&gt;"",G4557,IFERROR(INDEX('Sản phẩm'!$E$5:$E$304,MATCH(D4557,'Sản phẩm'!$A$5:$A$304,0)),"")))</f>
        <v/>
      </c>
      <c r="J4557" s="16">
        <f>IF(OR(D4557="",F4557=""),"",F4557*I4557-N(H4557))</f>
        <v/>
      </c>
      <c r="K4557" s="16">
        <f>IF(OR(D4557="",F4557=""),"",F4557*IFERROR(INDEX('Sản phẩm'!$D$5:$D$304,MATCH(D4557,'Sản phẩm'!$A$5:$A$304,0)),""))</f>
        <v/>
      </c>
      <c r="L4557" s="16">
        <f>IF(J4557="","",J4557-K4557)</f>
        <v/>
      </c>
      <c r="M4557" s="14">
        <f>IF(A4557="","",MONTH(A4557))</f>
        <v/>
      </c>
      <c r="N4557" s="14">
        <f>IF(A4557="","",YEAR(A4557))</f>
        <v/>
      </c>
    </row>
    <row r="4558">
      <c r="A4558" s="15" t="n"/>
      <c r="B4558" s="10" t="n"/>
      <c r="C4558" s="10" t="n"/>
      <c r="D4558" s="10" t="n"/>
      <c r="E4558" s="14">
        <f>IF(D4558="","",IFERROR(INDEX('Sản phẩm'!$B$5:$B$304,MATCH(D4558,'Sản phẩm'!$A$5:$A$304,0)),""))</f>
        <v/>
      </c>
      <c r="F4558" s="12" t="n"/>
      <c r="G4558" s="11" t="n"/>
      <c r="H4558" s="11" t="n"/>
      <c r="I4558" s="16">
        <f>IF(D4558="","",IF(G4558&lt;&gt;"",G4558,IFERROR(INDEX('Sản phẩm'!$E$5:$E$304,MATCH(D4558,'Sản phẩm'!$A$5:$A$304,0)),"")))</f>
        <v/>
      </c>
      <c r="J4558" s="16">
        <f>IF(OR(D4558="",F4558=""),"",F4558*I4558-N(H4558))</f>
        <v/>
      </c>
      <c r="K4558" s="16">
        <f>IF(OR(D4558="",F4558=""),"",F4558*IFERROR(INDEX('Sản phẩm'!$D$5:$D$304,MATCH(D4558,'Sản phẩm'!$A$5:$A$304,0)),""))</f>
        <v/>
      </c>
      <c r="L4558" s="16">
        <f>IF(J4558="","",J4558-K4558)</f>
        <v/>
      </c>
      <c r="M4558" s="14">
        <f>IF(A4558="","",MONTH(A4558))</f>
        <v/>
      </c>
      <c r="N4558" s="14">
        <f>IF(A4558="","",YEAR(A4558))</f>
        <v/>
      </c>
    </row>
    <row r="4559">
      <c r="A4559" s="15" t="n"/>
      <c r="B4559" s="10" t="n"/>
      <c r="C4559" s="10" t="n"/>
      <c r="D4559" s="10" t="n"/>
      <c r="E4559" s="14">
        <f>IF(D4559="","",IFERROR(INDEX('Sản phẩm'!$B$5:$B$304,MATCH(D4559,'Sản phẩm'!$A$5:$A$304,0)),""))</f>
        <v/>
      </c>
      <c r="F4559" s="12" t="n"/>
      <c r="G4559" s="11" t="n"/>
      <c r="H4559" s="11" t="n"/>
      <c r="I4559" s="16">
        <f>IF(D4559="","",IF(G4559&lt;&gt;"",G4559,IFERROR(INDEX('Sản phẩm'!$E$5:$E$304,MATCH(D4559,'Sản phẩm'!$A$5:$A$304,0)),"")))</f>
        <v/>
      </c>
      <c r="J4559" s="16">
        <f>IF(OR(D4559="",F4559=""),"",F4559*I4559-N(H4559))</f>
        <v/>
      </c>
      <c r="K4559" s="16">
        <f>IF(OR(D4559="",F4559=""),"",F4559*IFERROR(INDEX('Sản phẩm'!$D$5:$D$304,MATCH(D4559,'Sản phẩm'!$A$5:$A$304,0)),""))</f>
        <v/>
      </c>
      <c r="L4559" s="16">
        <f>IF(J4559="","",J4559-K4559)</f>
        <v/>
      </c>
      <c r="M4559" s="14">
        <f>IF(A4559="","",MONTH(A4559))</f>
        <v/>
      </c>
      <c r="N4559" s="14">
        <f>IF(A4559="","",YEAR(A4559))</f>
        <v/>
      </c>
    </row>
    <row r="4560">
      <c r="A4560" s="15" t="n"/>
      <c r="B4560" s="10" t="n"/>
      <c r="C4560" s="10" t="n"/>
      <c r="D4560" s="10" t="n"/>
      <c r="E4560" s="14">
        <f>IF(D4560="","",IFERROR(INDEX('Sản phẩm'!$B$5:$B$304,MATCH(D4560,'Sản phẩm'!$A$5:$A$304,0)),""))</f>
        <v/>
      </c>
      <c r="F4560" s="12" t="n"/>
      <c r="G4560" s="11" t="n"/>
      <c r="H4560" s="11" t="n"/>
      <c r="I4560" s="16">
        <f>IF(D4560="","",IF(G4560&lt;&gt;"",G4560,IFERROR(INDEX('Sản phẩm'!$E$5:$E$304,MATCH(D4560,'Sản phẩm'!$A$5:$A$304,0)),"")))</f>
        <v/>
      </c>
      <c r="J4560" s="16">
        <f>IF(OR(D4560="",F4560=""),"",F4560*I4560-N(H4560))</f>
        <v/>
      </c>
      <c r="K4560" s="16">
        <f>IF(OR(D4560="",F4560=""),"",F4560*IFERROR(INDEX('Sản phẩm'!$D$5:$D$304,MATCH(D4560,'Sản phẩm'!$A$5:$A$304,0)),""))</f>
        <v/>
      </c>
      <c r="L4560" s="16">
        <f>IF(J4560="","",J4560-K4560)</f>
        <v/>
      </c>
      <c r="M4560" s="14">
        <f>IF(A4560="","",MONTH(A4560))</f>
        <v/>
      </c>
      <c r="N4560" s="14">
        <f>IF(A4560="","",YEAR(A4560))</f>
        <v/>
      </c>
    </row>
    <row r="4561">
      <c r="A4561" s="15" t="n"/>
      <c r="B4561" s="10" t="n"/>
      <c r="C4561" s="10" t="n"/>
      <c r="D4561" s="10" t="n"/>
      <c r="E4561" s="14">
        <f>IF(D4561="","",IFERROR(INDEX('Sản phẩm'!$B$5:$B$304,MATCH(D4561,'Sản phẩm'!$A$5:$A$304,0)),""))</f>
        <v/>
      </c>
      <c r="F4561" s="12" t="n"/>
      <c r="G4561" s="11" t="n"/>
      <c r="H4561" s="11" t="n"/>
      <c r="I4561" s="16">
        <f>IF(D4561="","",IF(G4561&lt;&gt;"",G4561,IFERROR(INDEX('Sản phẩm'!$E$5:$E$304,MATCH(D4561,'Sản phẩm'!$A$5:$A$304,0)),"")))</f>
        <v/>
      </c>
      <c r="J4561" s="16">
        <f>IF(OR(D4561="",F4561=""),"",F4561*I4561-N(H4561))</f>
        <v/>
      </c>
      <c r="K4561" s="16">
        <f>IF(OR(D4561="",F4561=""),"",F4561*IFERROR(INDEX('Sản phẩm'!$D$5:$D$304,MATCH(D4561,'Sản phẩm'!$A$5:$A$304,0)),""))</f>
        <v/>
      </c>
      <c r="L4561" s="16">
        <f>IF(J4561="","",J4561-K4561)</f>
        <v/>
      </c>
      <c r="M4561" s="14">
        <f>IF(A4561="","",MONTH(A4561))</f>
        <v/>
      </c>
      <c r="N4561" s="14">
        <f>IF(A4561="","",YEAR(A4561))</f>
        <v/>
      </c>
    </row>
    <row r="4562">
      <c r="A4562" s="15" t="n"/>
      <c r="B4562" s="10" t="n"/>
      <c r="C4562" s="10" t="n"/>
      <c r="D4562" s="10" t="n"/>
      <c r="E4562" s="14">
        <f>IF(D4562="","",IFERROR(INDEX('Sản phẩm'!$B$5:$B$304,MATCH(D4562,'Sản phẩm'!$A$5:$A$304,0)),""))</f>
        <v/>
      </c>
      <c r="F4562" s="12" t="n"/>
      <c r="G4562" s="11" t="n"/>
      <c r="H4562" s="11" t="n"/>
      <c r="I4562" s="16">
        <f>IF(D4562="","",IF(G4562&lt;&gt;"",G4562,IFERROR(INDEX('Sản phẩm'!$E$5:$E$304,MATCH(D4562,'Sản phẩm'!$A$5:$A$304,0)),"")))</f>
        <v/>
      </c>
      <c r="J4562" s="16">
        <f>IF(OR(D4562="",F4562=""),"",F4562*I4562-N(H4562))</f>
        <v/>
      </c>
      <c r="K4562" s="16">
        <f>IF(OR(D4562="",F4562=""),"",F4562*IFERROR(INDEX('Sản phẩm'!$D$5:$D$304,MATCH(D4562,'Sản phẩm'!$A$5:$A$304,0)),""))</f>
        <v/>
      </c>
      <c r="L4562" s="16">
        <f>IF(J4562="","",J4562-K4562)</f>
        <v/>
      </c>
      <c r="M4562" s="14">
        <f>IF(A4562="","",MONTH(A4562))</f>
        <v/>
      </c>
      <c r="N4562" s="14">
        <f>IF(A4562="","",YEAR(A4562))</f>
        <v/>
      </c>
    </row>
    <row r="4563">
      <c r="A4563" s="15" t="n"/>
      <c r="B4563" s="10" t="n"/>
      <c r="C4563" s="10" t="n"/>
      <c r="D4563" s="10" t="n"/>
      <c r="E4563" s="14">
        <f>IF(D4563="","",IFERROR(INDEX('Sản phẩm'!$B$5:$B$304,MATCH(D4563,'Sản phẩm'!$A$5:$A$304,0)),""))</f>
        <v/>
      </c>
      <c r="F4563" s="12" t="n"/>
      <c r="G4563" s="11" t="n"/>
      <c r="H4563" s="11" t="n"/>
      <c r="I4563" s="16">
        <f>IF(D4563="","",IF(G4563&lt;&gt;"",G4563,IFERROR(INDEX('Sản phẩm'!$E$5:$E$304,MATCH(D4563,'Sản phẩm'!$A$5:$A$304,0)),"")))</f>
        <v/>
      </c>
      <c r="J4563" s="16">
        <f>IF(OR(D4563="",F4563=""),"",F4563*I4563-N(H4563))</f>
        <v/>
      </c>
      <c r="K4563" s="16">
        <f>IF(OR(D4563="",F4563=""),"",F4563*IFERROR(INDEX('Sản phẩm'!$D$5:$D$304,MATCH(D4563,'Sản phẩm'!$A$5:$A$304,0)),""))</f>
        <v/>
      </c>
      <c r="L4563" s="16">
        <f>IF(J4563="","",J4563-K4563)</f>
        <v/>
      </c>
      <c r="M4563" s="14">
        <f>IF(A4563="","",MONTH(A4563))</f>
        <v/>
      </c>
      <c r="N4563" s="14">
        <f>IF(A4563="","",YEAR(A4563))</f>
        <v/>
      </c>
    </row>
    <row r="4564">
      <c r="A4564" s="15" t="n"/>
      <c r="B4564" s="10" t="n"/>
      <c r="C4564" s="10" t="n"/>
      <c r="D4564" s="10" t="n"/>
      <c r="E4564" s="14">
        <f>IF(D4564="","",IFERROR(INDEX('Sản phẩm'!$B$5:$B$304,MATCH(D4564,'Sản phẩm'!$A$5:$A$304,0)),""))</f>
        <v/>
      </c>
      <c r="F4564" s="12" t="n"/>
      <c r="G4564" s="11" t="n"/>
      <c r="H4564" s="11" t="n"/>
      <c r="I4564" s="16">
        <f>IF(D4564="","",IF(G4564&lt;&gt;"",G4564,IFERROR(INDEX('Sản phẩm'!$E$5:$E$304,MATCH(D4564,'Sản phẩm'!$A$5:$A$304,0)),"")))</f>
        <v/>
      </c>
      <c r="J4564" s="16">
        <f>IF(OR(D4564="",F4564=""),"",F4564*I4564-N(H4564))</f>
        <v/>
      </c>
      <c r="K4564" s="16">
        <f>IF(OR(D4564="",F4564=""),"",F4564*IFERROR(INDEX('Sản phẩm'!$D$5:$D$304,MATCH(D4564,'Sản phẩm'!$A$5:$A$304,0)),""))</f>
        <v/>
      </c>
      <c r="L4564" s="16">
        <f>IF(J4564="","",J4564-K4564)</f>
        <v/>
      </c>
      <c r="M4564" s="14">
        <f>IF(A4564="","",MONTH(A4564))</f>
        <v/>
      </c>
      <c r="N4564" s="14">
        <f>IF(A4564="","",YEAR(A4564))</f>
        <v/>
      </c>
    </row>
    <row r="4565">
      <c r="A4565" s="15" t="n"/>
      <c r="B4565" s="10" t="n"/>
      <c r="C4565" s="10" t="n"/>
      <c r="D4565" s="10" t="n"/>
      <c r="E4565" s="14">
        <f>IF(D4565="","",IFERROR(INDEX('Sản phẩm'!$B$5:$B$304,MATCH(D4565,'Sản phẩm'!$A$5:$A$304,0)),""))</f>
        <v/>
      </c>
      <c r="F4565" s="12" t="n"/>
      <c r="G4565" s="11" t="n"/>
      <c r="H4565" s="11" t="n"/>
      <c r="I4565" s="16">
        <f>IF(D4565="","",IF(G4565&lt;&gt;"",G4565,IFERROR(INDEX('Sản phẩm'!$E$5:$E$304,MATCH(D4565,'Sản phẩm'!$A$5:$A$304,0)),"")))</f>
        <v/>
      </c>
      <c r="J4565" s="16">
        <f>IF(OR(D4565="",F4565=""),"",F4565*I4565-N(H4565))</f>
        <v/>
      </c>
      <c r="K4565" s="16">
        <f>IF(OR(D4565="",F4565=""),"",F4565*IFERROR(INDEX('Sản phẩm'!$D$5:$D$304,MATCH(D4565,'Sản phẩm'!$A$5:$A$304,0)),""))</f>
        <v/>
      </c>
      <c r="L4565" s="16">
        <f>IF(J4565="","",J4565-K4565)</f>
        <v/>
      </c>
      <c r="M4565" s="14">
        <f>IF(A4565="","",MONTH(A4565))</f>
        <v/>
      </c>
      <c r="N4565" s="14">
        <f>IF(A4565="","",YEAR(A4565))</f>
        <v/>
      </c>
    </row>
    <row r="4566">
      <c r="A4566" s="15" t="n"/>
      <c r="B4566" s="10" t="n"/>
      <c r="C4566" s="10" t="n"/>
      <c r="D4566" s="10" t="n"/>
      <c r="E4566" s="14">
        <f>IF(D4566="","",IFERROR(INDEX('Sản phẩm'!$B$5:$B$304,MATCH(D4566,'Sản phẩm'!$A$5:$A$304,0)),""))</f>
        <v/>
      </c>
      <c r="F4566" s="12" t="n"/>
      <c r="G4566" s="11" t="n"/>
      <c r="H4566" s="11" t="n"/>
      <c r="I4566" s="16">
        <f>IF(D4566="","",IF(G4566&lt;&gt;"",G4566,IFERROR(INDEX('Sản phẩm'!$E$5:$E$304,MATCH(D4566,'Sản phẩm'!$A$5:$A$304,0)),"")))</f>
        <v/>
      </c>
      <c r="J4566" s="16">
        <f>IF(OR(D4566="",F4566=""),"",F4566*I4566-N(H4566))</f>
        <v/>
      </c>
      <c r="K4566" s="16">
        <f>IF(OR(D4566="",F4566=""),"",F4566*IFERROR(INDEX('Sản phẩm'!$D$5:$D$304,MATCH(D4566,'Sản phẩm'!$A$5:$A$304,0)),""))</f>
        <v/>
      </c>
      <c r="L4566" s="16">
        <f>IF(J4566="","",J4566-K4566)</f>
        <v/>
      </c>
      <c r="M4566" s="14">
        <f>IF(A4566="","",MONTH(A4566))</f>
        <v/>
      </c>
      <c r="N4566" s="14">
        <f>IF(A4566="","",YEAR(A4566))</f>
        <v/>
      </c>
    </row>
    <row r="4567">
      <c r="A4567" s="15" t="n"/>
      <c r="B4567" s="10" t="n"/>
      <c r="C4567" s="10" t="n"/>
      <c r="D4567" s="10" t="n"/>
      <c r="E4567" s="14">
        <f>IF(D4567="","",IFERROR(INDEX('Sản phẩm'!$B$5:$B$304,MATCH(D4567,'Sản phẩm'!$A$5:$A$304,0)),""))</f>
        <v/>
      </c>
      <c r="F4567" s="12" t="n"/>
      <c r="G4567" s="11" t="n"/>
      <c r="H4567" s="11" t="n"/>
      <c r="I4567" s="16">
        <f>IF(D4567="","",IF(G4567&lt;&gt;"",G4567,IFERROR(INDEX('Sản phẩm'!$E$5:$E$304,MATCH(D4567,'Sản phẩm'!$A$5:$A$304,0)),"")))</f>
        <v/>
      </c>
      <c r="J4567" s="16">
        <f>IF(OR(D4567="",F4567=""),"",F4567*I4567-N(H4567))</f>
        <v/>
      </c>
      <c r="K4567" s="16">
        <f>IF(OR(D4567="",F4567=""),"",F4567*IFERROR(INDEX('Sản phẩm'!$D$5:$D$304,MATCH(D4567,'Sản phẩm'!$A$5:$A$304,0)),""))</f>
        <v/>
      </c>
      <c r="L4567" s="16">
        <f>IF(J4567="","",J4567-K4567)</f>
        <v/>
      </c>
      <c r="M4567" s="14">
        <f>IF(A4567="","",MONTH(A4567))</f>
        <v/>
      </c>
      <c r="N4567" s="14">
        <f>IF(A4567="","",YEAR(A4567))</f>
        <v/>
      </c>
    </row>
    <row r="4568">
      <c r="A4568" s="15" t="n"/>
      <c r="B4568" s="10" t="n"/>
      <c r="C4568" s="10" t="n"/>
      <c r="D4568" s="10" t="n"/>
      <c r="E4568" s="14">
        <f>IF(D4568="","",IFERROR(INDEX('Sản phẩm'!$B$5:$B$304,MATCH(D4568,'Sản phẩm'!$A$5:$A$304,0)),""))</f>
        <v/>
      </c>
      <c r="F4568" s="12" t="n"/>
      <c r="G4568" s="11" t="n"/>
      <c r="H4568" s="11" t="n"/>
      <c r="I4568" s="16">
        <f>IF(D4568="","",IF(G4568&lt;&gt;"",G4568,IFERROR(INDEX('Sản phẩm'!$E$5:$E$304,MATCH(D4568,'Sản phẩm'!$A$5:$A$304,0)),"")))</f>
        <v/>
      </c>
      <c r="J4568" s="16">
        <f>IF(OR(D4568="",F4568=""),"",F4568*I4568-N(H4568))</f>
        <v/>
      </c>
      <c r="K4568" s="16">
        <f>IF(OR(D4568="",F4568=""),"",F4568*IFERROR(INDEX('Sản phẩm'!$D$5:$D$304,MATCH(D4568,'Sản phẩm'!$A$5:$A$304,0)),""))</f>
        <v/>
      </c>
      <c r="L4568" s="16">
        <f>IF(J4568="","",J4568-K4568)</f>
        <v/>
      </c>
      <c r="M4568" s="14">
        <f>IF(A4568="","",MONTH(A4568))</f>
        <v/>
      </c>
      <c r="N4568" s="14">
        <f>IF(A4568="","",YEAR(A4568))</f>
        <v/>
      </c>
    </row>
    <row r="4569">
      <c r="A4569" s="15" t="n"/>
      <c r="B4569" s="10" t="n"/>
      <c r="C4569" s="10" t="n"/>
      <c r="D4569" s="10" t="n"/>
      <c r="E4569" s="14">
        <f>IF(D4569="","",IFERROR(INDEX('Sản phẩm'!$B$5:$B$304,MATCH(D4569,'Sản phẩm'!$A$5:$A$304,0)),""))</f>
        <v/>
      </c>
      <c r="F4569" s="12" t="n"/>
      <c r="G4569" s="11" t="n"/>
      <c r="H4569" s="11" t="n"/>
      <c r="I4569" s="16">
        <f>IF(D4569="","",IF(G4569&lt;&gt;"",G4569,IFERROR(INDEX('Sản phẩm'!$E$5:$E$304,MATCH(D4569,'Sản phẩm'!$A$5:$A$304,0)),"")))</f>
        <v/>
      </c>
      <c r="J4569" s="16">
        <f>IF(OR(D4569="",F4569=""),"",F4569*I4569-N(H4569))</f>
        <v/>
      </c>
      <c r="K4569" s="16">
        <f>IF(OR(D4569="",F4569=""),"",F4569*IFERROR(INDEX('Sản phẩm'!$D$5:$D$304,MATCH(D4569,'Sản phẩm'!$A$5:$A$304,0)),""))</f>
        <v/>
      </c>
      <c r="L4569" s="16">
        <f>IF(J4569="","",J4569-K4569)</f>
        <v/>
      </c>
      <c r="M4569" s="14">
        <f>IF(A4569="","",MONTH(A4569))</f>
        <v/>
      </c>
      <c r="N4569" s="14">
        <f>IF(A4569="","",YEAR(A4569))</f>
        <v/>
      </c>
    </row>
    <row r="4570">
      <c r="A4570" s="15" t="n"/>
      <c r="B4570" s="10" t="n"/>
      <c r="C4570" s="10" t="n"/>
      <c r="D4570" s="10" t="n"/>
      <c r="E4570" s="14">
        <f>IF(D4570="","",IFERROR(INDEX('Sản phẩm'!$B$5:$B$304,MATCH(D4570,'Sản phẩm'!$A$5:$A$304,0)),""))</f>
        <v/>
      </c>
      <c r="F4570" s="12" t="n"/>
      <c r="G4570" s="11" t="n"/>
      <c r="H4570" s="11" t="n"/>
      <c r="I4570" s="16">
        <f>IF(D4570="","",IF(G4570&lt;&gt;"",G4570,IFERROR(INDEX('Sản phẩm'!$E$5:$E$304,MATCH(D4570,'Sản phẩm'!$A$5:$A$304,0)),"")))</f>
        <v/>
      </c>
      <c r="J4570" s="16">
        <f>IF(OR(D4570="",F4570=""),"",F4570*I4570-N(H4570))</f>
        <v/>
      </c>
      <c r="K4570" s="16">
        <f>IF(OR(D4570="",F4570=""),"",F4570*IFERROR(INDEX('Sản phẩm'!$D$5:$D$304,MATCH(D4570,'Sản phẩm'!$A$5:$A$304,0)),""))</f>
        <v/>
      </c>
      <c r="L4570" s="16">
        <f>IF(J4570="","",J4570-K4570)</f>
        <v/>
      </c>
      <c r="M4570" s="14">
        <f>IF(A4570="","",MONTH(A4570))</f>
        <v/>
      </c>
      <c r="N4570" s="14">
        <f>IF(A4570="","",YEAR(A4570))</f>
        <v/>
      </c>
    </row>
    <row r="4571">
      <c r="A4571" s="15" t="n"/>
      <c r="B4571" s="10" t="n"/>
      <c r="C4571" s="10" t="n"/>
      <c r="D4571" s="10" t="n"/>
      <c r="E4571" s="14">
        <f>IF(D4571="","",IFERROR(INDEX('Sản phẩm'!$B$5:$B$304,MATCH(D4571,'Sản phẩm'!$A$5:$A$304,0)),""))</f>
        <v/>
      </c>
      <c r="F4571" s="12" t="n"/>
      <c r="G4571" s="11" t="n"/>
      <c r="H4571" s="11" t="n"/>
      <c r="I4571" s="16">
        <f>IF(D4571="","",IF(G4571&lt;&gt;"",G4571,IFERROR(INDEX('Sản phẩm'!$E$5:$E$304,MATCH(D4571,'Sản phẩm'!$A$5:$A$304,0)),"")))</f>
        <v/>
      </c>
      <c r="J4571" s="16">
        <f>IF(OR(D4571="",F4571=""),"",F4571*I4571-N(H4571))</f>
        <v/>
      </c>
      <c r="K4571" s="16">
        <f>IF(OR(D4571="",F4571=""),"",F4571*IFERROR(INDEX('Sản phẩm'!$D$5:$D$304,MATCH(D4571,'Sản phẩm'!$A$5:$A$304,0)),""))</f>
        <v/>
      </c>
      <c r="L4571" s="16">
        <f>IF(J4571="","",J4571-K4571)</f>
        <v/>
      </c>
      <c r="M4571" s="14">
        <f>IF(A4571="","",MONTH(A4571))</f>
        <v/>
      </c>
      <c r="N4571" s="14">
        <f>IF(A4571="","",YEAR(A4571))</f>
        <v/>
      </c>
    </row>
    <row r="4572">
      <c r="A4572" s="15" t="n"/>
      <c r="B4572" s="10" t="n"/>
      <c r="C4572" s="10" t="n"/>
      <c r="D4572" s="10" t="n"/>
      <c r="E4572" s="14">
        <f>IF(D4572="","",IFERROR(INDEX('Sản phẩm'!$B$5:$B$304,MATCH(D4572,'Sản phẩm'!$A$5:$A$304,0)),""))</f>
        <v/>
      </c>
      <c r="F4572" s="12" t="n"/>
      <c r="G4572" s="11" t="n"/>
      <c r="H4572" s="11" t="n"/>
      <c r="I4572" s="16">
        <f>IF(D4572="","",IF(G4572&lt;&gt;"",G4572,IFERROR(INDEX('Sản phẩm'!$E$5:$E$304,MATCH(D4572,'Sản phẩm'!$A$5:$A$304,0)),"")))</f>
        <v/>
      </c>
      <c r="J4572" s="16">
        <f>IF(OR(D4572="",F4572=""),"",F4572*I4572-N(H4572))</f>
        <v/>
      </c>
      <c r="K4572" s="16">
        <f>IF(OR(D4572="",F4572=""),"",F4572*IFERROR(INDEX('Sản phẩm'!$D$5:$D$304,MATCH(D4572,'Sản phẩm'!$A$5:$A$304,0)),""))</f>
        <v/>
      </c>
      <c r="L4572" s="16">
        <f>IF(J4572="","",J4572-K4572)</f>
        <v/>
      </c>
      <c r="M4572" s="14">
        <f>IF(A4572="","",MONTH(A4572))</f>
        <v/>
      </c>
      <c r="N4572" s="14">
        <f>IF(A4572="","",YEAR(A4572))</f>
        <v/>
      </c>
    </row>
    <row r="4573">
      <c r="A4573" s="15" t="n"/>
      <c r="B4573" s="10" t="n"/>
      <c r="C4573" s="10" t="n"/>
      <c r="D4573" s="10" t="n"/>
      <c r="E4573" s="14">
        <f>IF(D4573="","",IFERROR(INDEX('Sản phẩm'!$B$5:$B$304,MATCH(D4573,'Sản phẩm'!$A$5:$A$304,0)),""))</f>
        <v/>
      </c>
      <c r="F4573" s="12" t="n"/>
      <c r="G4573" s="11" t="n"/>
      <c r="H4573" s="11" t="n"/>
      <c r="I4573" s="16">
        <f>IF(D4573="","",IF(G4573&lt;&gt;"",G4573,IFERROR(INDEX('Sản phẩm'!$E$5:$E$304,MATCH(D4573,'Sản phẩm'!$A$5:$A$304,0)),"")))</f>
        <v/>
      </c>
      <c r="J4573" s="16">
        <f>IF(OR(D4573="",F4573=""),"",F4573*I4573-N(H4573))</f>
        <v/>
      </c>
      <c r="K4573" s="16">
        <f>IF(OR(D4573="",F4573=""),"",F4573*IFERROR(INDEX('Sản phẩm'!$D$5:$D$304,MATCH(D4573,'Sản phẩm'!$A$5:$A$304,0)),""))</f>
        <v/>
      </c>
      <c r="L4573" s="16">
        <f>IF(J4573="","",J4573-K4573)</f>
        <v/>
      </c>
      <c r="M4573" s="14">
        <f>IF(A4573="","",MONTH(A4573))</f>
        <v/>
      </c>
      <c r="N4573" s="14">
        <f>IF(A4573="","",YEAR(A4573))</f>
        <v/>
      </c>
    </row>
    <row r="4574">
      <c r="A4574" s="15" t="n"/>
      <c r="B4574" s="10" t="n"/>
      <c r="C4574" s="10" t="n"/>
      <c r="D4574" s="10" t="n"/>
      <c r="E4574" s="14">
        <f>IF(D4574="","",IFERROR(INDEX('Sản phẩm'!$B$5:$B$304,MATCH(D4574,'Sản phẩm'!$A$5:$A$304,0)),""))</f>
        <v/>
      </c>
      <c r="F4574" s="12" t="n"/>
      <c r="G4574" s="11" t="n"/>
      <c r="H4574" s="11" t="n"/>
      <c r="I4574" s="16">
        <f>IF(D4574="","",IF(G4574&lt;&gt;"",G4574,IFERROR(INDEX('Sản phẩm'!$E$5:$E$304,MATCH(D4574,'Sản phẩm'!$A$5:$A$304,0)),"")))</f>
        <v/>
      </c>
      <c r="J4574" s="16">
        <f>IF(OR(D4574="",F4574=""),"",F4574*I4574-N(H4574))</f>
        <v/>
      </c>
      <c r="K4574" s="16">
        <f>IF(OR(D4574="",F4574=""),"",F4574*IFERROR(INDEX('Sản phẩm'!$D$5:$D$304,MATCH(D4574,'Sản phẩm'!$A$5:$A$304,0)),""))</f>
        <v/>
      </c>
      <c r="L4574" s="16">
        <f>IF(J4574="","",J4574-K4574)</f>
        <v/>
      </c>
      <c r="M4574" s="14">
        <f>IF(A4574="","",MONTH(A4574))</f>
        <v/>
      </c>
      <c r="N4574" s="14">
        <f>IF(A4574="","",YEAR(A4574))</f>
        <v/>
      </c>
    </row>
    <row r="4575">
      <c r="A4575" s="15" t="n"/>
      <c r="B4575" s="10" t="n"/>
      <c r="C4575" s="10" t="n"/>
      <c r="D4575" s="10" t="n"/>
      <c r="E4575" s="14">
        <f>IF(D4575="","",IFERROR(INDEX('Sản phẩm'!$B$5:$B$304,MATCH(D4575,'Sản phẩm'!$A$5:$A$304,0)),""))</f>
        <v/>
      </c>
      <c r="F4575" s="12" t="n"/>
      <c r="G4575" s="11" t="n"/>
      <c r="H4575" s="11" t="n"/>
      <c r="I4575" s="16">
        <f>IF(D4575="","",IF(G4575&lt;&gt;"",G4575,IFERROR(INDEX('Sản phẩm'!$E$5:$E$304,MATCH(D4575,'Sản phẩm'!$A$5:$A$304,0)),"")))</f>
        <v/>
      </c>
      <c r="J4575" s="16">
        <f>IF(OR(D4575="",F4575=""),"",F4575*I4575-N(H4575))</f>
        <v/>
      </c>
      <c r="K4575" s="16">
        <f>IF(OR(D4575="",F4575=""),"",F4575*IFERROR(INDEX('Sản phẩm'!$D$5:$D$304,MATCH(D4575,'Sản phẩm'!$A$5:$A$304,0)),""))</f>
        <v/>
      </c>
      <c r="L4575" s="16">
        <f>IF(J4575="","",J4575-K4575)</f>
        <v/>
      </c>
      <c r="M4575" s="14">
        <f>IF(A4575="","",MONTH(A4575))</f>
        <v/>
      </c>
      <c r="N4575" s="14">
        <f>IF(A4575="","",YEAR(A4575))</f>
        <v/>
      </c>
    </row>
    <row r="4576">
      <c r="A4576" s="15" t="n"/>
      <c r="B4576" s="10" t="n"/>
      <c r="C4576" s="10" t="n"/>
      <c r="D4576" s="10" t="n"/>
      <c r="E4576" s="14">
        <f>IF(D4576="","",IFERROR(INDEX('Sản phẩm'!$B$5:$B$304,MATCH(D4576,'Sản phẩm'!$A$5:$A$304,0)),""))</f>
        <v/>
      </c>
      <c r="F4576" s="12" t="n"/>
      <c r="G4576" s="11" t="n"/>
      <c r="H4576" s="11" t="n"/>
      <c r="I4576" s="16">
        <f>IF(D4576="","",IF(G4576&lt;&gt;"",G4576,IFERROR(INDEX('Sản phẩm'!$E$5:$E$304,MATCH(D4576,'Sản phẩm'!$A$5:$A$304,0)),"")))</f>
        <v/>
      </c>
      <c r="J4576" s="16">
        <f>IF(OR(D4576="",F4576=""),"",F4576*I4576-N(H4576))</f>
        <v/>
      </c>
      <c r="K4576" s="16">
        <f>IF(OR(D4576="",F4576=""),"",F4576*IFERROR(INDEX('Sản phẩm'!$D$5:$D$304,MATCH(D4576,'Sản phẩm'!$A$5:$A$304,0)),""))</f>
        <v/>
      </c>
      <c r="L4576" s="16">
        <f>IF(J4576="","",J4576-K4576)</f>
        <v/>
      </c>
      <c r="M4576" s="14">
        <f>IF(A4576="","",MONTH(A4576))</f>
        <v/>
      </c>
      <c r="N4576" s="14">
        <f>IF(A4576="","",YEAR(A4576))</f>
        <v/>
      </c>
    </row>
    <row r="4577">
      <c r="A4577" s="15" t="n"/>
      <c r="B4577" s="10" t="n"/>
      <c r="C4577" s="10" t="n"/>
      <c r="D4577" s="10" t="n"/>
      <c r="E4577" s="14">
        <f>IF(D4577="","",IFERROR(INDEX('Sản phẩm'!$B$5:$B$304,MATCH(D4577,'Sản phẩm'!$A$5:$A$304,0)),""))</f>
        <v/>
      </c>
      <c r="F4577" s="12" t="n"/>
      <c r="G4577" s="11" t="n"/>
      <c r="H4577" s="11" t="n"/>
      <c r="I4577" s="16">
        <f>IF(D4577="","",IF(G4577&lt;&gt;"",G4577,IFERROR(INDEX('Sản phẩm'!$E$5:$E$304,MATCH(D4577,'Sản phẩm'!$A$5:$A$304,0)),"")))</f>
        <v/>
      </c>
      <c r="J4577" s="16">
        <f>IF(OR(D4577="",F4577=""),"",F4577*I4577-N(H4577))</f>
        <v/>
      </c>
      <c r="K4577" s="16">
        <f>IF(OR(D4577="",F4577=""),"",F4577*IFERROR(INDEX('Sản phẩm'!$D$5:$D$304,MATCH(D4577,'Sản phẩm'!$A$5:$A$304,0)),""))</f>
        <v/>
      </c>
      <c r="L4577" s="16">
        <f>IF(J4577="","",J4577-K4577)</f>
        <v/>
      </c>
      <c r="M4577" s="14">
        <f>IF(A4577="","",MONTH(A4577))</f>
        <v/>
      </c>
      <c r="N4577" s="14">
        <f>IF(A4577="","",YEAR(A4577))</f>
        <v/>
      </c>
    </row>
    <row r="4578">
      <c r="A4578" s="15" t="n"/>
      <c r="B4578" s="10" t="n"/>
      <c r="C4578" s="10" t="n"/>
      <c r="D4578" s="10" t="n"/>
      <c r="E4578" s="14">
        <f>IF(D4578="","",IFERROR(INDEX('Sản phẩm'!$B$5:$B$304,MATCH(D4578,'Sản phẩm'!$A$5:$A$304,0)),""))</f>
        <v/>
      </c>
      <c r="F4578" s="12" t="n"/>
      <c r="G4578" s="11" t="n"/>
      <c r="H4578" s="11" t="n"/>
      <c r="I4578" s="16">
        <f>IF(D4578="","",IF(G4578&lt;&gt;"",G4578,IFERROR(INDEX('Sản phẩm'!$E$5:$E$304,MATCH(D4578,'Sản phẩm'!$A$5:$A$304,0)),"")))</f>
        <v/>
      </c>
      <c r="J4578" s="16">
        <f>IF(OR(D4578="",F4578=""),"",F4578*I4578-N(H4578))</f>
        <v/>
      </c>
      <c r="K4578" s="16">
        <f>IF(OR(D4578="",F4578=""),"",F4578*IFERROR(INDEX('Sản phẩm'!$D$5:$D$304,MATCH(D4578,'Sản phẩm'!$A$5:$A$304,0)),""))</f>
        <v/>
      </c>
      <c r="L4578" s="16">
        <f>IF(J4578="","",J4578-K4578)</f>
        <v/>
      </c>
      <c r="M4578" s="14">
        <f>IF(A4578="","",MONTH(A4578))</f>
        <v/>
      </c>
      <c r="N4578" s="14">
        <f>IF(A4578="","",YEAR(A4578))</f>
        <v/>
      </c>
    </row>
    <row r="4579">
      <c r="A4579" s="15" t="n"/>
      <c r="B4579" s="10" t="n"/>
      <c r="C4579" s="10" t="n"/>
      <c r="D4579" s="10" t="n"/>
      <c r="E4579" s="14">
        <f>IF(D4579="","",IFERROR(INDEX('Sản phẩm'!$B$5:$B$304,MATCH(D4579,'Sản phẩm'!$A$5:$A$304,0)),""))</f>
        <v/>
      </c>
      <c r="F4579" s="12" t="n"/>
      <c r="G4579" s="11" t="n"/>
      <c r="H4579" s="11" t="n"/>
      <c r="I4579" s="16">
        <f>IF(D4579="","",IF(G4579&lt;&gt;"",G4579,IFERROR(INDEX('Sản phẩm'!$E$5:$E$304,MATCH(D4579,'Sản phẩm'!$A$5:$A$304,0)),"")))</f>
        <v/>
      </c>
      <c r="J4579" s="16">
        <f>IF(OR(D4579="",F4579=""),"",F4579*I4579-N(H4579))</f>
        <v/>
      </c>
      <c r="K4579" s="16">
        <f>IF(OR(D4579="",F4579=""),"",F4579*IFERROR(INDEX('Sản phẩm'!$D$5:$D$304,MATCH(D4579,'Sản phẩm'!$A$5:$A$304,0)),""))</f>
        <v/>
      </c>
      <c r="L4579" s="16">
        <f>IF(J4579="","",J4579-K4579)</f>
        <v/>
      </c>
      <c r="M4579" s="14">
        <f>IF(A4579="","",MONTH(A4579))</f>
        <v/>
      </c>
      <c r="N4579" s="14">
        <f>IF(A4579="","",YEAR(A4579))</f>
        <v/>
      </c>
    </row>
    <row r="4580">
      <c r="A4580" s="15" t="n"/>
      <c r="B4580" s="10" t="n"/>
      <c r="C4580" s="10" t="n"/>
      <c r="D4580" s="10" t="n"/>
      <c r="E4580" s="14">
        <f>IF(D4580="","",IFERROR(INDEX('Sản phẩm'!$B$5:$B$304,MATCH(D4580,'Sản phẩm'!$A$5:$A$304,0)),""))</f>
        <v/>
      </c>
      <c r="F4580" s="12" t="n"/>
      <c r="G4580" s="11" t="n"/>
      <c r="H4580" s="11" t="n"/>
      <c r="I4580" s="16">
        <f>IF(D4580="","",IF(G4580&lt;&gt;"",G4580,IFERROR(INDEX('Sản phẩm'!$E$5:$E$304,MATCH(D4580,'Sản phẩm'!$A$5:$A$304,0)),"")))</f>
        <v/>
      </c>
      <c r="J4580" s="16">
        <f>IF(OR(D4580="",F4580=""),"",F4580*I4580-N(H4580))</f>
        <v/>
      </c>
      <c r="K4580" s="16">
        <f>IF(OR(D4580="",F4580=""),"",F4580*IFERROR(INDEX('Sản phẩm'!$D$5:$D$304,MATCH(D4580,'Sản phẩm'!$A$5:$A$304,0)),""))</f>
        <v/>
      </c>
      <c r="L4580" s="16">
        <f>IF(J4580="","",J4580-K4580)</f>
        <v/>
      </c>
      <c r="M4580" s="14">
        <f>IF(A4580="","",MONTH(A4580))</f>
        <v/>
      </c>
      <c r="N4580" s="14">
        <f>IF(A4580="","",YEAR(A4580))</f>
        <v/>
      </c>
    </row>
    <row r="4581">
      <c r="A4581" s="15" t="n"/>
      <c r="B4581" s="10" t="n"/>
      <c r="C4581" s="10" t="n"/>
      <c r="D4581" s="10" t="n"/>
      <c r="E4581" s="14">
        <f>IF(D4581="","",IFERROR(INDEX('Sản phẩm'!$B$5:$B$304,MATCH(D4581,'Sản phẩm'!$A$5:$A$304,0)),""))</f>
        <v/>
      </c>
      <c r="F4581" s="12" t="n"/>
      <c r="G4581" s="11" t="n"/>
      <c r="H4581" s="11" t="n"/>
      <c r="I4581" s="16">
        <f>IF(D4581="","",IF(G4581&lt;&gt;"",G4581,IFERROR(INDEX('Sản phẩm'!$E$5:$E$304,MATCH(D4581,'Sản phẩm'!$A$5:$A$304,0)),"")))</f>
        <v/>
      </c>
      <c r="J4581" s="16">
        <f>IF(OR(D4581="",F4581=""),"",F4581*I4581-N(H4581))</f>
        <v/>
      </c>
      <c r="K4581" s="16">
        <f>IF(OR(D4581="",F4581=""),"",F4581*IFERROR(INDEX('Sản phẩm'!$D$5:$D$304,MATCH(D4581,'Sản phẩm'!$A$5:$A$304,0)),""))</f>
        <v/>
      </c>
      <c r="L4581" s="16">
        <f>IF(J4581="","",J4581-K4581)</f>
        <v/>
      </c>
      <c r="M4581" s="14">
        <f>IF(A4581="","",MONTH(A4581))</f>
        <v/>
      </c>
      <c r="N4581" s="14">
        <f>IF(A4581="","",YEAR(A4581))</f>
        <v/>
      </c>
    </row>
    <row r="4582">
      <c r="A4582" s="15" t="n"/>
      <c r="B4582" s="10" t="n"/>
      <c r="C4582" s="10" t="n"/>
      <c r="D4582" s="10" t="n"/>
      <c r="E4582" s="14">
        <f>IF(D4582="","",IFERROR(INDEX('Sản phẩm'!$B$5:$B$304,MATCH(D4582,'Sản phẩm'!$A$5:$A$304,0)),""))</f>
        <v/>
      </c>
      <c r="F4582" s="12" t="n"/>
      <c r="G4582" s="11" t="n"/>
      <c r="H4582" s="11" t="n"/>
      <c r="I4582" s="16">
        <f>IF(D4582="","",IF(G4582&lt;&gt;"",G4582,IFERROR(INDEX('Sản phẩm'!$E$5:$E$304,MATCH(D4582,'Sản phẩm'!$A$5:$A$304,0)),"")))</f>
        <v/>
      </c>
      <c r="J4582" s="16">
        <f>IF(OR(D4582="",F4582=""),"",F4582*I4582-N(H4582))</f>
        <v/>
      </c>
      <c r="K4582" s="16">
        <f>IF(OR(D4582="",F4582=""),"",F4582*IFERROR(INDEX('Sản phẩm'!$D$5:$D$304,MATCH(D4582,'Sản phẩm'!$A$5:$A$304,0)),""))</f>
        <v/>
      </c>
      <c r="L4582" s="16">
        <f>IF(J4582="","",J4582-K4582)</f>
        <v/>
      </c>
      <c r="M4582" s="14">
        <f>IF(A4582="","",MONTH(A4582))</f>
        <v/>
      </c>
      <c r="N4582" s="14">
        <f>IF(A4582="","",YEAR(A4582))</f>
        <v/>
      </c>
    </row>
    <row r="4583">
      <c r="A4583" s="15" t="n"/>
      <c r="B4583" s="10" t="n"/>
      <c r="C4583" s="10" t="n"/>
      <c r="D4583" s="10" t="n"/>
      <c r="E4583" s="14">
        <f>IF(D4583="","",IFERROR(INDEX('Sản phẩm'!$B$5:$B$304,MATCH(D4583,'Sản phẩm'!$A$5:$A$304,0)),""))</f>
        <v/>
      </c>
      <c r="F4583" s="12" t="n"/>
      <c r="G4583" s="11" t="n"/>
      <c r="H4583" s="11" t="n"/>
      <c r="I4583" s="16">
        <f>IF(D4583="","",IF(G4583&lt;&gt;"",G4583,IFERROR(INDEX('Sản phẩm'!$E$5:$E$304,MATCH(D4583,'Sản phẩm'!$A$5:$A$304,0)),"")))</f>
        <v/>
      </c>
      <c r="J4583" s="16">
        <f>IF(OR(D4583="",F4583=""),"",F4583*I4583-N(H4583))</f>
        <v/>
      </c>
      <c r="K4583" s="16">
        <f>IF(OR(D4583="",F4583=""),"",F4583*IFERROR(INDEX('Sản phẩm'!$D$5:$D$304,MATCH(D4583,'Sản phẩm'!$A$5:$A$304,0)),""))</f>
        <v/>
      </c>
      <c r="L4583" s="16">
        <f>IF(J4583="","",J4583-K4583)</f>
        <v/>
      </c>
      <c r="M4583" s="14">
        <f>IF(A4583="","",MONTH(A4583))</f>
        <v/>
      </c>
      <c r="N4583" s="14">
        <f>IF(A4583="","",YEAR(A4583))</f>
        <v/>
      </c>
    </row>
    <row r="4584">
      <c r="A4584" s="15" t="n"/>
      <c r="B4584" s="10" t="n"/>
      <c r="C4584" s="10" t="n"/>
      <c r="D4584" s="10" t="n"/>
      <c r="E4584" s="14">
        <f>IF(D4584="","",IFERROR(INDEX('Sản phẩm'!$B$5:$B$304,MATCH(D4584,'Sản phẩm'!$A$5:$A$304,0)),""))</f>
        <v/>
      </c>
      <c r="F4584" s="12" t="n"/>
      <c r="G4584" s="11" t="n"/>
      <c r="H4584" s="11" t="n"/>
      <c r="I4584" s="16">
        <f>IF(D4584="","",IF(G4584&lt;&gt;"",G4584,IFERROR(INDEX('Sản phẩm'!$E$5:$E$304,MATCH(D4584,'Sản phẩm'!$A$5:$A$304,0)),"")))</f>
        <v/>
      </c>
      <c r="J4584" s="16">
        <f>IF(OR(D4584="",F4584=""),"",F4584*I4584-N(H4584))</f>
        <v/>
      </c>
      <c r="K4584" s="16">
        <f>IF(OR(D4584="",F4584=""),"",F4584*IFERROR(INDEX('Sản phẩm'!$D$5:$D$304,MATCH(D4584,'Sản phẩm'!$A$5:$A$304,0)),""))</f>
        <v/>
      </c>
      <c r="L4584" s="16">
        <f>IF(J4584="","",J4584-K4584)</f>
        <v/>
      </c>
      <c r="M4584" s="14">
        <f>IF(A4584="","",MONTH(A4584))</f>
        <v/>
      </c>
      <c r="N4584" s="14">
        <f>IF(A4584="","",YEAR(A4584))</f>
        <v/>
      </c>
    </row>
    <row r="4585">
      <c r="A4585" s="15" t="n"/>
      <c r="B4585" s="10" t="n"/>
      <c r="C4585" s="10" t="n"/>
      <c r="D4585" s="10" t="n"/>
      <c r="E4585" s="14">
        <f>IF(D4585="","",IFERROR(INDEX('Sản phẩm'!$B$5:$B$304,MATCH(D4585,'Sản phẩm'!$A$5:$A$304,0)),""))</f>
        <v/>
      </c>
      <c r="F4585" s="12" t="n"/>
      <c r="G4585" s="11" t="n"/>
      <c r="H4585" s="11" t="n"/>
      <c r="I4585" s="16">
        <f>IF(D4585="","",IF(G4585&lt;&gt;"",G4585,IFERROR(INDEX('Sản phẩm'!$E$5:$E$304,MATCH(D4585,'Sản phẩm'!$A$5:$A$304,0)),"")))</f>
        <v/>
      </c>
      <c r="J4585" s="16">
        <f>IF(OR(D4585="",F4585=""),"",F4585*I4585-N(H4585))</f>
        <v/>
      </c>
      <c r="K4585" s="16">
        <f>IF(OR(D4585="",F4585=""),"",F4585*IFERROR(INDEX('Sản phẩm'!$D$5:$D$304,MATCH(D4585,'Sản phẩm'!$A$5:$A$304,0)),""))</f>
        <v/>
      </c>
      <c r="L4585" s="16">
        <f>IF(J4585="","",J4585-K4585)</f>
        <v/>
      </c>
      <c r="M4585" s="14">
        <f>IF(A4585="","",MONTH(A4585))</f>
        <v/>
      </c>
      <c r="N4585" s="14">
        <f>IF(A4585="","",YEAR(A4585))</f>
        <v/>
      </c>
    </row>
    <row r="4586">
      <c r="A4586" s="15" t="n"/>
      <c r="B4586" s="10" t="n"/>
      <c r="C4586" s="10" t="n"/>
      <c r="D4586" s="10" t="n"/>
      <c r="E4586" s="14">
        <f>IF(D4586="","",IFERROR(INDEX('Sản phẩm'!$B$5:$B$304,MATCH(D4586,'Sản phẩm'!$A$5:$A$304,0)),""))</f>
        <v/>
      </c>
      <c r="F4586" s="12" t="n"/>
      <c r="G4586" s="11" t="n"/>
      <c r="H4586" s="11" t="n"/>
      <c r="I4586" s="16">
        <f>IF(D4586="","",IF(G4586&lt;&gt;"",G4586,IFERROR(INDEX('Sản phẩm'!$E$5:$E$304,MATCH(D4586,'Sản phẩm'!$A$5:$A$304,0)),"")))</f>
        <v/>
      </c>
      <c r="J4586" s="16">
        <f>IF(OR(D4586="",F4586=""),"",F4586*I4586-N(H4586))</f>
        <v/>
      </c>
      <c r="K4586" s="16">
        <f>IF(OR(D4586="",F4586=""),"",F4586*IFERROR(INDEX('Sản phẩm'!$D$5:$D$304,MATCH(D4586,'Sản phẩm'!$A$5:$A$304,0)),""))</f>
        <v/>
      </c>
      <c r="L4586" s="16">
        <f>IF(J4586="","",J4586-K4586)</f>
        <v/>
      </c>
      <c r="M4586" s="14">
        <f>IF(A4586="","",MONTH(A4586))</f>
        <v/>
      </c>
      <c r="N4586" s="14">
        <f>IF(A4586="","",YEAR(A4586))</f>
        <v/>
      </c>
    </row>
    <row r="4587">
      <c r="A4587" s="15" t="n"/>
      <c r="B4587" s="10" t="n"/>
      <c r="C4587" s="10" t="n"/>
      <c r="D4587" s="10" t="n"/>
      <c r="E4587" s="14">
        <f>IF(D4587="","",IFERROR(INDEX('Sản phẩm'!$B$5:$B$304,MATCH(D4587,'Sản phẩm'!$A$5:$A$304,0)),""))</f>
        <v/>
      </c>
      <c r="F4587" s="12" t="n"/>
      <c r="G4587" s="11" t="n"/>
      <c r="H4587" s="11" t="n"/>
      <c r="I4587" s="16">
        <f>IF(D4587="","",IF(G4587&lt;&gt;"",G4587,IFERROR(INDEX('Sản phẩm'!$E$5:$E$304,MATCH(D4587,'Sản phẩm'!$A$5:$A$304,0)),"")))</f>
        <v/>
      </c>
      <c r="J4587" s="16">
        <f>IF(OR(D4587="",F4587=""),"",F4587*I4587-N(H4587))</f>
        <v/>
      </c>
      <c r="K4587" s="16">
        <f>IF(OR(D4587="",F4587=""),"",F4587*IFERROR(INDEX('Sản phẩm'!$D$5:$D$304,MATCH(D4587,'Sản phẩm'!$A$5:$A$304,0)),""))</f>
        <v/>
      </c>
      <c r="L4587" s="16">
        <f>IF(J4587="","",J4587-K4587)</f>
        <v/>
      </c>
      <c r="M4587" s="14">
        <f>IF(A4587="","",MONTH(A4587))</f>
        <v/>
      </c>
      <c r="N4587" s="14">
        <f>IF(A4587="","",YEAR(A4587))</f>
        <v/>
      </c>
    </row>
    <row r="4588">
      <c r="A4588" s="15" t="n"/>
      <c r="B4588" s="10" t="n"/>
      <c r="C4588" s="10" t="n"/>
      <c r="D4588" s="10" t="n"/>
      <c r="E4588" s="14">
        <f>IF(D4588="","",IFERROR(INDEX('Sản phẩm'!$B$5:$B$304,MATCH(D4588,'Sản phẩm'!$A$5:$A$304,0)),""))</f>
        <v/>
      </c>
      <c r="F4588" s="12" t="n"/>
      <c r="G4588" s="11" t="n"/>
      <c r="H4588" s="11" t="n"/>
      <c r="I4588" s="16">
        <f>IF(D4588="","",IF(G4588&lt;&gt;"",G4588,IFERROR(INDEX('Sản phẩm'!$E$5:$E$304,MATCH(D4588,'Sản phẩm'!$A$5:$A$304,0)),"")))</f>
        <v/>
      </c>
      <c r="J4588" s="16">
        <f>IF(OR(D4588="",F4588=""),"",F4588*I4588-N(H4588))</f>
        <v/>
      </c>
      <c r="K4588" s="16">
        <f>IF(OR(D4588="",F4588=""),"",F4588*IFERROR(INDEX('Sản phẩm'!$D$5:$D$304,MATCH(D4588,'Sản phẩm'!$A$5:$A$304,0)),""))</f>
        <v/>
      </c>
      <c r="L4588" s="16">
        <f>IF(J4588="","",J4588-K4588)</f>
        <v/>
      </c>
      <c r="M4588" s="14">
        <f>IF(A4588="","",MONTH(A4588))</f>
        <v/>
      </c>
      <c r="N4588" s="14">
        <f>IF(A4588="","",YEAR(A4588))</f>
        <v/>
      </c>
    </row>
    <row r="4589">
      <c r="A4589" s="15" t="n"/>
      <c r="B4589" s="10" t="n"/>
      <c r="C4589" s="10" t="n"/>
      <c r="D4589" s="10" t="n"/>
      <c r="E4589" s="14">
        <f>IF(D4589="","",IFERROR(INDEX('Sản phẩm'!$B$5:$B$304,MATCH(D4589,'Sản phẩm'!$A$5:$A$304,0)),""))</f>
        <v/>
      </c>
      <c r="F4589" s="12" t="n"/>
      <c r="G4589" s="11" t="n"/>
      <c r="H4589" s="11" t="n"/>
      <c r="I4589" s="16">
        <f>IF(D4589="","",IF(G4589&lt;&gt;"",G4589,IFERROR(INDEX('Sản phẩm'!$E$5:$E$304,MATCH(D4589,'Sản phẩm'!$A$5:$A$304,0)),"")))</f>
        <v/>
      </c>
      <c r="J4589" s="16">
        <f>IF(OR(D4589="",F4589=""),"",F4589*I4589-N(H4589))</f>
        <v/>
      </c>
      <c r="K4589" s="16">
        <f>IF(OR(D4589="",F4589=""),"",F4589*IFERROR(INDEX('Sản phẩm'!$D$5:$D$304,MATCH(D4589,'Sản phẩm'!$A$5:$A$304,0)),""))</f>
        <v/>
      </c>
      <c r="L4589" s="16">
        <f>IF(J4589="","",J4589-K4589)</f>
        <v/>
      </c>
      <c r="M4589" s="14">
        <f>IF(A4589="","",MONTH(A4589))</f>
        <v/>
      </c>
      <c r="N4589" s="14">
        <f>IF(A4589="","",YEAR(A4589))</f>
        <v/>
      </c>
    </row>
    <row r="4590">
      <c r="A4590" s="15" t="n"/>
      <c r="B4590" s="10" t="n"/>
      <c r="C4590" s="10" t="n"/>
      <c r="D4590" s="10" t="n"/>
      <c r="E4590" s="14">
        <f>IF(D4590="","",IFERROR(INDEX('Sản phẩm'!$B$5:$B$304,MATCH(D4590,'Sản phẩm'!$A$5:$A$304,0)),""))</f>
        <v/>
      </c>
      <c r="F4590" s="12" t="n"/>
      <c r="G4590" s="11" t="n"/>
      <c r="H4590" s="11" t="n"/>
      <c r="I4590" s="16">
        <f>IF(D4590="","",IF(G4590&lt;&gt;"",G4590,IFERROR(INDEX('Sản phẩm'!$E$5:$E$304,MATCH(D4590,'Sản phẩm'!$A$5:$A$304,0)),"")))</f>
        <v/>
      </c>
      <c r="J4590" s="16">
        <f>IF(OR(D4590="",F4590=""),"",F4590*I4590-N(H4590))</f>
        <v/>
      </c>
      <c r="K4590" s="16">
        <f>IF(OR(D4590="",F4590=""),"",F4590*IFERROR(INDEX('Sản phẩm'!$D$5:$D$304,MATCH(D4590,'Sản phẩm'!$A$5:$A$304,0)),""))</f>
        <v/>
      </c>
      <c r="L4590" s="16">
        <f>IF(J4590="","",J4590-K4590)</f>
        <v/>
      </c>
      <c r="M4590" s="14">
        <f>IF(A4590="","",MONTH(A4590))</f>
        <v/>
      </c>
      <c r="N4590" s="14">
        <f>IF(A4590="","",YEAR(A4590))</f>
        <v/>
      </c>
    </row>
    <row r="4591">
      <c r="A4591" s="15" t="n"/>
      <c r="B4591" s="10" t="n"/>
      <c r="C4591" s="10" t="n"/>
      <c r="D4591" s="10" t="n"/>
      <c r="E4591" s="14">
        <f>IF(D4591="","",IFERROR(INDEX('Sản phẩm'!$B$5:$B$304,MATCH(D4591,'Sản phẩm'!$A$5:$A$304,0)),""))</f>
        <v/>
      </c>
      <c r="F4591" s="12" t="n"/>
      <c r="G4591" s="11" t="n"/>
      <c r="H4591" s="11" t="n"/>
      <c r="I4591" s="16">
        <f>IF(D4591="","",IF(G4591&lt;&gt;"",G4591,IFERROR(INDEX('Sản phẩm'!$E$5:$E$304,MATCH(D4591,'Sản phẩm'!$A$5:$A$304,0)),"")))</f>
        <v/>
      </c>
      <c r="J4591" s="16">
        <f>IF(OR(D4591="",F4591=""),"",F4591*I4591-N(H4591))</f>
        <v/>
      </c>
      <c r="K4591" s="16">
        <f>IF(OR(D4591="",F4591=""),"",F4591*IFERROR(INDEX('Sản phẩm'!$D$5:$D$304,MATCH(D4591,'Sản phẩm'!$A$5:$A$304,0)),""))</f>
        <v/>
      </c>
      <c r="L4591" s="16">
        <f>IF(J4591="","",J4591-K4591)</f>
        <v/>
      </c>
      <c r="M4591" s="14">
        <f>IF(A4591="","",MONTH(A4591))</f>
        <v/>
      </c>
      <c r="N4591" s="14">
        <f>IF(A4591="","",YEAR(A4591))</f>
        <v/>
      </c>
    </row>
    <row r="4592">
      <c r="A4592" s="15" t="n"/>
      <c r="B4592" s="10" t="n"/>
      <c r="C4592" s="10" t="n"/>
      <c r="D4592" s="10" t="n"/>
      <c r="E4592" s="14">
        <f>IF(D4592="","",IFERROR(INDEX('Sản phẩm'!$B$5:$B$304,MATCH(D4592,'Sản phẩm'!$A$5:$A$304,0)),""))</f>
        <v/>
      </c>
      <c r="F4592" s="12" t="n"/>
      <c r="G4592" s="11" t="n"/>
      <c r="H4592" s="11" t="n"/>
      <c r="I4592" s="16">
        <f>IF(D4592="","",IF(G4592&lt;&gt;"",G4592,IFERROR(INDEX('Sản phẩm'!$E$5:$E$304,MATCH(D4592,'Sản phẩm'!$A$5:$A$304,0)),"")))</f>
        <v/>
      </c>
      <c r="J4592" s="16">
        <f>IF(OR(D4592="",F4592=""),"",F4592*I4592-N(H4592))</f>
        <v/>
      </c>
      <c r="K4592" s="16">
        <f>IF(OR(D4592="",F4592=""),"",F4592*IFERROR(INDEX('Sản phẩm'!$D$5:$D$304,MATCH(D4592,'Sản phẩm'!$A$5:$A$304,0)),""))</f>
        <v/>
      </c>
      <c r="L4592" s="16">
        <f>IF(J4592="","",J4592-K4592)</f>
        <v/>
      </c>
      <c r="M4592" s="14">
        <f>IF(A4592="","",MONTH(A4592))</f>
        <v/>
      </c>
      <c r="N4592" s="14">
        <f>IF(A4592="","",YEAR(A4592))</f>
        <v/>
      </c>
    </row>
    <row r="4593">
      <c r="A4593" s="15" t="n"/>
      <c r="B4593" s="10" t="n"/>
      <c r="C4593" s="10" t="n"/>
      <c r="D4593" s="10" t="n"/>
      <c r="E4593" s="14">
        <f>IF(D4593="","",IFERROR(INDEX('Sản phẩm'!$B$5:$B$304,MATCH(D4593,'Sản phẩm'!$A$5:$A$304,0)),""))</f>
        <v/>
      </c>
      <c r="F4593" s="12" t="n"/>
      <c r="G4593" s="11" t="n"/>
      <c r="H4593" s="11" t="n"/>
      <c r="I4593" s="16">
        <f>IF(D4593="","",IF(G4593&lt;&gt;"",G4593,IFERROR(INDEX('Sản phẩm'!$E$5:$E$304,MATCH(D4593,'Sản phẩm'!$A$5:$A$304,0)),"")))</f>
        <v/>
      </c>
      <c r="J4593" s="16">
        <f>IF(OR(D4593="",F4593=""),"",F4593*I4593-N(H4593))</f>
        <v/>
      </c>
      <c r="K4593" s="16">
        <f>IF(OR(D4593="",F4593=""),"",F4593*IFERROR(INDEX('Sản phẩm'!$D$5:$D$304,MATCH(D4593,'Sản phẩm'!$A$5:$A$304,0)),""))</f>
        <v/>
      </c>
      <c r="L4593" s="16">
        <f>IF(J4593="","",J4593-K4593)</f>
        <v/>
      </c>
      <c r="M4593" s="14">
        <f>IF(A4593="","",MONTH(A4593))</f>
        <v/>
      </c>
      <c r="N4593" s="14">
        <f>IF(A4593="","",YEAR(A4593))</f>
        <v/>
      </c>
    </row>
    <row r="4594">
      <c r="A4594" s="15" t="n"/>
      <c r="B4594" s="10" t="n"/>
      <c r="C4594" s="10" t="n"/>
      <c r="D4594" s="10" t="n"/>
      <c r="E4594" s="14">
        <f>IF(D4594="","",IFERROR(INDEX('Sản phẩm'!$B$5:$B$304,MATCH(D4594,'Sản phẩm'!$A$5:$A$304,0)),""))</f>
        <v/>
      </c>
      <c r="F4594" s="12" t="n"/>
      <c r="G4594" s="11" t="n"/>
      <c r="H4594" s="11" t="n"/>
      <c r="I4594" s="16">
        <f>IF(D4594="","",IF(G4594&lt;&gt;"",G4594,IFERROR(INDEX('Sản phẩm'!$E$5:$E$304,MATCH(D4594,'Sản phẩm'!$A$5:$A$304,0)),"")))</f>
        <v/>
      </c>
      <c r="J4594" s="16">
        <f>IF(OR(D4594="",F4594=""),"",F4594*I4594-N(H4594))</f>
        <v/>
      </c>
      <c r="K4594" s="16">
        <f>IF(OR(D4594="",F4594=""),"",F4594*IFERROR(INDEX('Sản phẩm'!$D$5:$D$304,MATCH(D4594,'Sản phẩm'!$A$5:$A$304,0)),""))</f>
        <v/>
      </c>
      <c r="L4594" s="16">
        <f>IF(J4594="","",J4594-K4594)</f>
        <v/>
      </c>
      <c r="M4594" s="14">
        <f>IF(A4594="","",MONTH(A4594))</f>
        <v/>
      </c>
      <c r="N4594" s="14">
        <f>IF(A4594="","",YEAR(A4594))</f>
        <v/>
      </c>
    </row>
    <row r="4595">
      <c r="A4595" s="15" t="n"/>
      <c r="B4595" s="10" t="n"/>
      <c r="C4595" s="10" t="n"/>
      <c r="D4595" s="10" t="n"/>
      <c r="E4595" s="14">
        <f>IF(D4595="","",IFERROR(INDEX('Sản phẩm'!$B$5:$B$304,MATCH(D4595,'Sản phẩm'!$A$5:$A$304,0)),""))</f>
        <v/>
      </c>
      <c r="F4595" s="12" t="n"/>
      <c r="G4595" s="11" t="n"/>
      <c r="H4595" s="11" t="n"/>
      <c r="I4595" s="16">
        <f>IF(D4595="","",IF(G4595&lt;&gt;"",G4595,IFERROR(INDEX('Sản phẩm'!$E$5:$E$304,MATCH(D4595,'Sản phẩm'!$A$5:$A$304,0)),"")))</f>
        <v/>
      </c>
      <c r="J4595" s="16">
        <f>IF(OR(D4595="",F4595=""),"",F4595*I4595-N(H4595))</f>
        <v/>
      </c>
      <c r="K4595" s="16">
        <f>IF(OR(D4595="",F4595=""),"",F4595*IFERROR(INDEX('Sản phẩm'!$D$5:$D$304,MATCH(D4595,'Sản phẩm'!$A$5:$A$304,0)),""))</f>
        <v/>
      </c>
      <c r="L4595" s="16">
        <f>IF(J4595="","",J4595-K4595)</f>
        <v/>
      </c>
      <c r="M4595" s="14">
        <f>IF(A4595="","",MONTH(A4595))</f>
        <v/>
      </c>
      <c r="N4595" s="14">
        <f>IF(A4595="","",YEAR(A4595))</f>
        <v/>
      </c>
    </row>
    <row r="4596">
      <c r="A4596" s="15" t="n"/>
      <c r="B4596" s="10" t="n"/>
      <c r="C4596" s="10" t="n"/>
      <c r="D4596" s="10" t="n"/>
      <c r="E4596" s="14">
        <f>IF(D4596="","",IFERROR(INDEX('Sản phẩm'!$B$5:$B$304,MATCH(D4596,'Sản phẩm'!$A$5:$A$304,0)),""))</f>
        <v/>
      </c>
      <c r="F4596" s="12" t="n"/>
      <c r="G4596" s="11" t="n"/>
      <c r="H4596" s="11" t="n"/>
      <c r="I4596" s="16">
        <f>IF(D4596="","",IF(G4596&lt;&gt;"",G4596,IFERROR(INDEX('Sản phẩm'!$E$5:$E$304,MATCH(D4596,'Sản phẩm'!$A$5:$A$304,0)),"")))</f>
        <v/>
      </c>
      <c r="J4596" s="16">
        <f>IF(OR(D4596="",F4596=""),"",F4596*I4596-N(H4596))</f>
        <v/>
      </c>
      <c r="K4596" s="16">
        <f>IF(OR(D4596="",F4596=""),"",F4596*IFERROR(INDEX('Sản phẩm'!$D$5:$D$304,MATCH(D4596,'Sản phẩm'!$A$5:$A$304,0)),""))</f>
        <v/>
      </c>
      <c r="L4596" s="16">
        <f>IF(J4596="","",J4596-K4596)</f>
        <v/>
      </c>
      <c r="M4596" s="14">
        <f>IF(A4596="","",MONTH(A4596))</f>
        <v/>
      </c>
      <c r="N4596" s="14">
        <f>IF(A4596="","",YEAR(A4596))</f>
        <v/>
      </c>
    </row>
    <row r="4597">
      <c r="A4597" s="15" t="n"/>
      <c r="B4597" s="10" t="n"/>
      <c r="C4597" s="10" t="n"/>
      <c r="D4597" s="10" t="n"/>
      <c r="E4597" s="14">
        <f>IF(D4597="","",IFERROR(INDEX('Sản phẩm'!$B$5:$B$304,MATCH(D4597,'Sản phẩm'!$A$5:$A$304,0)),""))</f>
        <v/>
      </c>
      <c r="F4597" s="12" t="n"/>
      <c r="G4597" s="11" t="n"/>
      <c r="H4597" s="11" t="n"/>
      <c r="I4597" s="16">
        <f>IF(D4597="","",IF(G4597&lt;&gt;"",G4597,IFERROR(INDEX('Sản phẩm'!$E$5:$E$304,MATCH(D4597,'Sản phẩm'!$A$5:$A$304,0)),"")))</f>
        <v/>
      </c>
      <c r="J4597" s="16">
        <f>IF(OR(D4597="",F4597=""),"",F4597*I4597-N(H4597))</f>
        <v/>
      </c>
      <c r="K4597" s="16">
        <f>IF(OR(D4597="",F4597=""),"",F4597*IFERROR(INDEX('Sản phẩm'!$D$5:$D$304,MATCH(D4597,'Sản phẩm'!$A$5:$A$304,0)),""))</f>
        <v/>
      </c>
      <c r="L4597" s="16">
        <f>IF(J4597="","",J4597-K4597)</f>
        <v/>
      </c>
      <c r="M4597" s="14">
        <f>IF(A4597="","",MONTH(A4597))</f>
        <v/>
      </c>
      <c r="N4597" s="14">
        <f>IF(A4597="","",YEAR(A4597))</f>
        <v/>
      </c>
    </row>
    <row r="4598">
      <c r="A4598" s="15" t="n"/>
      <c r="B4598" s="10" t="n"/>
      <c r="C4598" s="10" t="n"/>
      <c r="D4598" s="10" t="n"/>
      <c r="E4598" s="14">
        <f>IF(D4598="","",IFERROR(INDEX('Sản phẩm'!$B$5:$B$304,MATCH(D4598,'Sản phẩm'!$A$5:$A$304,0)),""))</f>
        <v/>
      </c>
      <c r="F4598" s="12" t="n"/>
      <c r="G4598" s="11" t="n"/>
      <c r="H4598" s="11" t="n"/>
      <c r="I4598" s="16">
        <f>IF(D4598="","",IF(G4598&lt;&gt;"",G4598,IFERROR(INDEX('Sản phẩm'!$E$5:$E$304,MATCH(D4598,'Sản phẩm'!$A$5:$A$304,0)),"")))</f>
        <v/>
      </c>
      <c r="J4598" s="16">
        <f>IF(OR(D4598="",F4598=""),"",F4598*I4598-N(H4598))</f>
        <v/>
      </c>
      <c r="K4598" s="16">
        <f>IF(OR(D4598="",F4598=""),"",F4598*IFERROR(INDEX('Sản phẩm'!$D$5:$D$304,MATCH(D4598,'Sản phẩm'!$A$5:$A$304,0)),""))</f>
        <v/>
      </c>
      <c r="L4598" s="16">
        <f>IF(J4598="","",J4598-K4598)</f>
        <v/>
      </c>
      <c r="M4598" s="14">
        <f>IF(A4598="","",MONTH(A4598))</f>
        <v/>
      </c>
      <c r="N4598" s="14">
        <f>IF(A4598="","",YEAR(A4598))</f>
        <v/>
      </c>
    </row>
    <row r="4599">
      <c r="A4599" s="15" t="n"/>
      <c r="B4599" s="10" t="n"/>
      <c r="C4599" s="10" t="n"/>
      <c r="D4599" s="10" t="n"/>
      <c r="E4599" s="14">
        <f>IF(D4599="","",IFERROR(INDEX('Sản phẩm'!$B$5:$B$304,MATCH(D4599,'Sản phẩm'!$A$5:$A$304,0)),""))</f>
        <v/>
      </c>
      <c r="F4599" s="12" t="n"/>
      <c r="G4599" s="11" t="n"/>
      <c r="H4599" s="11" t="n"/>
      <c r="I4599" s="16">
        <f>IF(D4599="","",IF(G4599&lt;&gt;"",G4599,IFERROR(INDEX('Sản phẩm'!$E$5:$E$304,MATCH(D4599,'Sản phẩm'!$A$5:$A$304,0)),"")))</f>
        <v/>
      </c>
      <c r="J4599" s="16">
        <f>IF(OR(D4599="",F4599=""),"",F4599*I4599-N(H4599))</f>
        <v/>
      </c>
      <c r="K4599" s="16">
        <f>IF(OR(D4599="",F4599=""),"",F4599*IFERROR(INDEX('Sản phẩm'!$D$5:$D$304,MATCH(D4599,'Sản phẩm'!$A$5:$A$304,0)),""))</f>
        <v/>
      </c>
      <c r="L4599" s="16">
        <f>IF(J4599="","",J4599-K4599)</f>
        <v/>
      </c>
      <c r="M4599" s="14">
        <f>IF(A4599="","",MONTH(A4599))</f>
        <v/>
      </c>
      <c r="N4599" s="14">
        <f>IF(A4599="","",YEAR(A4599))</f>
        <v/>
      </c>
    </row>
    <row r="4600">
      <c r="A4600" s="15" t="n"/>
      <c r="B4600" s="10" t="n"/>
      <c r="C4600" s="10" t="n"/>
      <c r="D4600" s="10" t="n"/>
      <c r="E4600" s="14">
        <f>IF(D4600="","",IFERROR(INDEX('Sản phẩm'!$B$5:$B$304,MATCH(D4600,'Sản phẩm'!$A$5:$A$304,0)),""))</f>
        <v/>
      </c>
      <c r="F4600" s="12" t="n"/>
      <c r="G4600" s="11" t="n"/>
      <c r="H4600" s="11" t="n"/>
      <c r="I4600" s="16">
        <f>IF(D4600="","",IF(G4600&lt;&gt;"",G4600,IFERROR(INDEX('Sản phẩm'!$E$5:$E$304,MATCH(D4600,'Sản phẩm'!$A$5:$A$304,0)),"")))</f>
        <v/>
      </c>
      <c r="J4600" s="16">
        <f>IF(OR(D4600="",F4600=""),"",F4600*I4600-N(H4600))</f>
        <v/>
      </c>
      <c r="K4600" s="16">
        <f>IF(OR(D4600="",F4600=""),"",F4600*IFERROR(INDEX('Sản phẩm'!$D$5:$D$304,MATCH(D4600,'Sản phẩm'!$A$5:$A$304,0)),""))</f>
        <v/>
      </c>
      <c r="L4600" s="16">
        <f>IF(J4600="","",J4600-K4600)</f>
        <v/>
      </c>
      <c r="M4600" s="14">
        <f>IF(A4600="","",MONTH(A4600))</f>
        <v/>
      </c>
      <c r="N4600" s="14">
        <f>IF(A4600="","",YEAR(A4600))</f>
        <v/>
      </c>
    </row>
    <row r="4601">
      <c r="A4601" s="15" t="n"/>
      <c r="B4601" s="10" t="n"/>
      <c r="C4601" s="10" t="n"/>
      <c r="D4601" s="10" t="n"/>
      <c r="E4601" s="14">
        <f>IF(D4601="","",IFERROR(INDEX('Sản phẩm'!$B$5:$B$304,MATCH(D4601,'Sản phẩm'!$A$5:$A$304,0)),""))</f>
        <v/>
      </c>
      <c r="F4601" s="12" t="n"/>
      <c r="G4601" s="11" t="n"/>
      <c r="H4601" s="11" t="n"/>
      <c r="I4601" s="16">
        <f>IF(D4601="","",IF(G4601&lt;&gt;"",G4601,IFERROR(INDEX('Sản phẩm'!$E$5:$E$304,MATCH(D4601,'Sản phẩm'!$A$5:$A$304,0)),"")))</f>
        <v/>
      </c>
      <c r="J4601" s="16">
        <f>IF(OR(D4601="",F4601=""),"",F4601*I4601-N(H4601))</f>
        <v/>
      </c>
      <c r="K4601" s="16">
        <f>IF(OR(D4601="",F4601=""),"",F4601*IFERROR(INDEX('Sản phẩm'!$D$5:$D$304,MATCH(D4601,'Sản phẩm'!$A$5:$A$304,0)),""))</f>
        <v/>
      </c>
      <c r="L4601" s="16">
        <f>IF(J4601="","",J4601-K4601)</f>
        <v/>
      </c>
      <c r="M4601" s="14">
        <f>IF(A4601="","",MONTH(A4601))</f>
        <v/>
      </c>
      <c r="N4601" s="14">
        <f>IF(A4601="","",YEAR(A4601))</f>
        <v/>
      </c>
    </row>
    <row r="4602">
      <c r="A4602" s="15" t="n"/>
      <c r="B4602" s="10" t="n"/>
      <c r="C4602" s="10" t="n"/>
      <c r="D4602" s="10" t="n"/>
      <c r="E4602" s="14">
        <f>IF(D4602="","",IFERROR(INDEX('Sản phẩm'!$B$5:$B$304,MATCH(D4602,'Sản phẩm'!$A$5:$A$304,0)),""))</f>
        <v/>
      </c>
      <c r="F4602" s="12" t="n"/>
      <c r="G4602" s="11" t="n"/>
      <c r="H4602" s="11" t="n"/>
      <c r="I4602" s="16">
        <f>IF(D4602="","",IF(G4602&lt;&gt;"",G4602,IFERROR(INDEX('Sản phẩm'!$E$5:$E$304,MATCH(D4602,'Sản phẩm'!$A$5:$A$304,0)),"")))</f>
        <v/>
      </c>
      <c r="J4602" s="16">
        <f>IF(OR(D4602="",F4602=""),"",F4602*I4602-N(H4602))</f>
        <v/>
      </c>
      <c r="K4602" s="16">
        <f>IF(OR(D4602="",F4602=""),"",F4602*IFERROR(INDEX('Sản phẩm'!$D$5:$D$304,MATCH(D4602,'Sản phẩm'!$A$5:$A$304,0)),""))</f>
        <v/>
      </c>
      <c r="L4602" s="16">
        <f>IF(J4602="","",J4602-K4602)</f>
        <v/>
      </c>
      <c r="M4602" s="14">
        <f>IF(A4602="","",MONTH(A4602))</f>
        <v/>
      </c>
      <c r="N4602" s="14">
        <f>IF(A4602="","",YEAR(A4602))</f>
        <v/>
      </c>
    </row>
    <row r="4603">
      <c r="A4603" s="15" t="n"/>
      <c r="B4603" s="10" t="n"/>
      <c r="C4603" s="10" t="n"/>
      <c r="D4603" s="10" t="n"/>
      <c r="E4603" s="14">
        <f>IF(D4603="","",IFERROR(INDEX('Sản phẩm'!$B$5:$B$304,MATCH(D4603,'Sản phẩm'!$A$5:$A$304,0)),""))</f>
        <v/>
      </c>
      <c r="F4603" s="12" t="n"/>
      <c r="G4603" s="11" t="n"/>
      <c r="H4603" s="11" t="n"/>
      <c r="I4603" s="16">
        <f>IF(D4603="","",IF(G4603&lt;&gt;"",G4603,IFERROR(INDEX('Sản phẩm'!$E$5:$E$304,MATCH(D4603,'Sản phẩm'!$A$5:$A$304,0)),"")))</f>
        <v/>
      </c>
      <c r="J4603" s="16">
        <f>IF(OR(D4603="",F4603=""),"",F4603*I4603-N(H4603))</f>
        <v/>
      </c>
      <c r="K4603" s="16">
        <f>IF(OR(D4603="",F4603=""),"",F4603*IFERROR(INDEX('Sản phẩm'!$D$5:$D$304,MATCH(D4603,'Sản phẩm'!$A$5:$A$304,0)),""))</f>
        <v/>
      </c>
      <c r="L4603" s="16">
        <f>IF(J4603="","",J4603-K4603)</f>
        <v/>
      </c>
      <c r="M4603" s="14">
        <f>IF(A4603="","",MONTH(A4603))</f>
        <v/>
      </c>
      <c r="N4603" s="14">
        <f>IF(A4603="","",YEAR(A4603))</f>
        <v/>
      </c>
    </row>
    <row r="4604">
      <c r="A4604" s="15" t="n"/>
      <c r="B4604" s="10" t="n"/>
      <c r="C4604" s="10" t="n"/>
      <c r="D4604" s="10" t="n"/>
      <c r="E4604" s="14">
        <f>IF(D4604="","",IFERROR(INDEX('Sản phẩm'!$B$5:$B$304,MATCH(D4604,'Sản phẩm'!$A$5:$A$304,0)),""))</f>
        <v/>
      </c>
      <c r="F4604" s="12" t="n"/>
      <c r="G4604" s="11" t="n"/>
      <c r="H4604" s="11" t="n"/>
      <c r="I4604" s="16">
        <f>IF(D4604="","",IF(G4604&lt;&gt;"",G4604,IFERROR(INDEX('Sản phẩm'!$E$5:$E$304,MATCH(D4604,'Sản phẩm'!$A$5:$A$304,0)),"")))</f>
        <v/>
      </c>
      <c r="J4604" s="16">
        <f>IF(OR(D4604="",F4604=""),"",F4604*I4604-N(H4604))</f>
        <v/>
      </c>
      <c r="K4604" s="16">
        <f>IF(OR(D4604="",F4604=""),"",F4604*IFERROR(INDEX('Sản phẩm'!$D$5:$D$304,MATCH(D4604,'Sản phẩm'!$A$5:$A$304,0)),""))</f>
        <v/>
      </c>
      <c r="L4604" s="16">
        <f>IF(J4604="","",J4604-K4604)</f>
        <v/>
      </c>
      <c r="M4604" s="14">
        <f>IF(A4604="","",MONTH(A4604))</f>
        <v/>
      </c>
      <c r="N4604" s="14">
        <f>IF(A4604="","",YEAR(A4604))</f>
        <v/>
      </c>
    </row>
    <row r="4605">
      <c r="A4605" s="15" t="n"/>
      <c r="B4605" s="10" t="n"/>
      <c r="C4605" s="10" t="n"/>
      <c r="D4605" s="10" t="n"/>
      <c r="E4605" s="14">
        <f>IF(D4605="","",IFERROR(INDEX('Sản phẩm'!$B$5:$B$304,MATCH(D4605,'Sản phẩm'!$A$5:$A$304,0)),""))</f>
        <v/>
      </c>
      <c r="F4605" s="12" t="n"/>
      <c r="G4605" s="11" t="n"/>
      <c r="H4605" s="11" t="n"/>
      <c r="I4605" s="16">
        <f>IF(D4605="","",IF(G4605&lt;&gt;"",G4605,IFERROR(INDEX('Sản phẩm'!$E$5:$E$304,MATCH(D4605,'Sản phẩm'!$A$5:$A$304,0)),"")))</f>
        <v/>
      </c>
      <c r="J4605" s="16">
        <f>IF(OR(D4605="",F4605=""),"",F4605*I4605-N(H4605))</f>
        <v/>
      </c>
      <c r="K4605" s="16">
        <f>IF(OR(D4605="",F4605=""),"",F4605*IFERROR(INDEX('Sản phẩm'!$D$5:$D$304,MATCH(D4605,'Sản phẩm'!$A$5:$A$304,0)),""))</f>
        <v/>
      </c>
      <c r="L4605" s="16">
        <f>IF(J4605="","",J4605-K4605)</f>
        <v/>
      </c>
      <c r="M4605" s="14">
        <f>IF(A4605="","",MONTH(A4605))</f>
        <v/>
      </c>
      <c r="N4605" s="14">
        <f>IF(A4605="","",YEAR(A4605))</f>
        <v/>
      </c>
    </row>
    <row r="4606">
      <c r="A4606" s="15" t="n"/>
      <c r="B4606" s="10" t="n"/>
      <c r="C4606" s="10" t="n"/>
      <c r="D4606" s="10" t="n"/>
      <c r="E4606" s="14">
        <f>IF(D4606="","",IFERROR(INDEX('Sản phẩm'!$B$5:$B$304,MATCH(D4606,'Sản phẩm'!$A$5:$A$304,0)),""))</f>
        <v/>
      </c>
      <c r="F4606" s="12" t="n"/>
      <c r="G4606" s="11" t="n"/>
      <c r="H4606" s="11" t="n"/>
      <c r="I4606" s="16">
        <f>IF(D4606="","",IF(G4606&lt;&gt;"",G4606,IFERROR(INDEX('Sản phẩm'!$E$5:$E$304,MATCH(D4606,'Sản phẩm'!$A$5:$A$304,0)),"")))</f>
        <v/>
      </c>
      <c r="J4606" s="16">
        <f>IF(OR(D4606="",F4606=""),"",F4606*I4606-N(H4606))</f>
        <v/>
      </c>
      <c r="K4606" s="16">
        <f>IF(OR(D4606="",F4606=""),"",F4606*IFERROR(INDEX('Sản phẩm'!$D$5:$D$304,MATCH(D4606,'Sản phẩm'!$A$5:$A$304,0)),""))</f>
        <v/>
      </c>
      <c r="L4606" s="16">
        <f>IF(J4606="","",J4606-K4606)</f>
        <v/>
      </c>
      <c r="M4606" s="14">
        <f>IF(A4606="","",MONTH(A4606))</f>
        <v/>
      </c>
      <c r="N4606" s="14">
        <f>IF(A4606="","",YEAR(A4606))</f>
        <v/>
      </c>
    </row>
    <row r="4607">
      <c r="A4607" s="15" t="n"/>
      <c r="B4607" s="10" t="n"/>
      <c r="C4607" s="10" t="n"/>
      <c r="D4607" s="10" t="n"/>
      <c r="E4607" s="14">
        <f>IF(D4607="","",IFERROR(INDEX('Sản phẩm'!$B$5:$B$304,MATCH(D4607,'Sản phẩm'!$A$5:$A$304,0)),""))</f>
        <v/>
      </c>
      <c r="F4607" s="12" t="n"/>
      <c r="G4607" s="11" t="n"/>
      <c r="H4607" s="11" t="n"/>
      <c r="I4607" s="16">
        <f>IF(D4607="","",IF(G4607&lt;&gt;"",G4607,IFERROR(INDEX('Sản phẩm'!$E$5:$E$304,MATCH(D4607,'Sản phẩm'!$A$5:$A$304,0)),"")))</f>
        <v/>
      </c>
      <c r="J4607" s="16">
        <f>IF(OR(D4607="",F4607=""),"",F4607*I4607-N(H4607))</f>
        <v/>
      </c>
      <c r="K4607" s="16">
        <f>IF(OR(D4607="",F4607=""),"",F4607*IFERROR(INDEX('Sản phẩm'!$D$5:$D$304,MATCH(D4607,'Sản phẩm'!$A$5:$A$304,0)),""))</f>
        <v/>
      </c>
      <c r="L4607" s="16">
        <f>IF(J4607="","",J4607-K4607)</f>
        <v/>
      </c>
      <c r="M4607" s="14">
        <f>IF(A4607="","",MONTH(A4607))</f>
        <v/>
      </c>
      <c r="N4607" s="14">
        <f>IF(A4607="","",YEAR(A4607))</f>
        <v/>
      </c>
    </row>
    <row r="4608">
      <c r="A4608" s="15" t="n"/>
      <c r="B4608" s="10" t="n"/>
      <c r="C4608" s="10" t="n"/>
      <c r="D4608" s="10" t="n"/>
      <c r="E4608" s="14">
        <f>IF(D4608="","",IFERROR(INDEX('Sản phẩm'!$B$5:$B$304,MATCH(D4608,'Sản phẩm'!$A$5:$A$304,0)),""))</f>
        <v/>
      </c>
      <c r="F4608" s="12" t="n"/>
      <c r="G4608" s="11" t="n"/>
      <c r="H4608" s="11" t="n"/>
      <c r="I4608" s="16">
        <f>IF(D4608="","",IF(G4608&lt;&gt;"",G4608,IFERROR(INDEX('Sản phẩm'!$E$5:$E$304,MATCH(D4608,'Sản phẩm'!$A$5:$A$304,0)),"")))</f>
        <v/>
      </c>
      <c r="J4608" s="16">
        <f>IF(OR(D4608="",F4608=""),"",F4608*I4608-N(H4608))</f>
        <v/>
      </c>
      <c r="K4608" s="16">
        <f>IF(OR(D4608="",F4608=""),"",F4608*IFERROR(INDEX('Sản phẩm'!$D$5:$D$304,MATCH(D4608,'Sản phẩm'!$A$5:$A$304,0)),""))</f>
        <v/>
      </c>
      <c r="L4608" s="16">
        <f>IF(J4608="","",J4608-K4608)</f>
        <v/>
      </c>
      <c r="M4608" s="14">
        <f>IF(A4608="","",MONTH(A4608))</f>
        <v/>
      </c>
      <c r="N4608" s="14">
        <f>IF(A4608="","",YEAR(A4608))</f>
        <v/>
      </c>
    </row>
    <row r="4609">
      <c r="A4609" s="15" t="n"/>
      <c r="B4609" s="10" t="n"/>
      <c r="C4609" s="10" t="n"/>
      <c r="D4609" s="10" t="n"/>
      <c r="E4609" s="14">
        <f>IF(D4609="","",IFERROR(INDEX('Sản phẩm'!$B$5:$B$304,MATCH(D4609,'Sản phẩm'!$A$5:$A$304,0)),""))</f>
        <v/>
      </c>
      <c r="F4609" s="12" t="n"/>
      <c r="G4609" s="11" t="n"/>
      <c r="H4609" s="11" t="n"/>
      <c r="I4609" s="16">
        <f>IF(D4609="","",IF(G4609&lt;&gt;"",G4609,IFERROR(INDEX('Sản phẩm'!$E$5:$E$304,MATCH(D4609,'Sản phẩm'!$A$5:$A$304,0)),"")))</f>
        <v/>
      </c>
      <c r="J4609" s="16">
        <f>IF(OR(D4609="",F4609=""),"",F4609*I4609-N(H4609))</f>
        <v/>
      </c>
      <c r="K4609" s="16">
        <f>IF(OR(D4609="",F4609=""),"",F4609*IFERROR(INDEX('Sản phẩm'!$D$5:$D$304,MATCH(D4609,'Sản phẩm'!$A$5:$A$304,0)),""))</f>
        <v/>
      </c>
      <c r="L4609" s="16">
        <f>IF(J4609="","",J4609-K4609)</f>
        <v/>
      </c>
      <c r="M4609" s="14">
        <f>IF(A4609="","",MONTH(A4609))</f>
        <v/>
      </c>
      <c r="N4609" s="14">
        <f>IF(A4609="","",YEAR(A4609))</f>
        <v/>
      </c>
    </row>
    <row r="4610">
      <c r="A4610" s="15" t="n"/>
      <c r="B4610" s="10" t="n"/>
      <c r="C4610" s="10" t="n"/>
      <c r="D4610" s="10" t="n"/>
      <c r="E4610" s="14">
        <f>IF(D4610="","",IFERROR(INDEX('Sản phẩm'!$B$5:$B$304,MATCH(D4610,'Sản phẩm'!$A$5:$A$304,0)),""))</f>
        <v/>
      </c>
      <c r="F4610" s="12" t="n"/>
      <c r="G4610" s="11" t="n"/>
      <c r="H4610" s="11" t="n"/>
      <c r="I4610" s="16">
        <f>IF(D4610="","",IF(G4610&lt;&gt;"",G4610,IFERROR(INDEX('Sản phẩm'!$E$5:$E$304,MATCH(D4610,'Sản phẩm'!$A$5:$A$304,0)),"")))</f>
        <v/>
      </c>
      <c r="J4610" s="16">
        <f>IF(OR(D4610="",F4610=""),"",F4610*I4610-N(H4610))</f>
        <v/>
      </c>
      <c r="K4610" s="16">
        <f>IF(OR(D4610="",F4610=""),"",F4610*IFERROR(INDEX('Sản phẩm'!$D$5:$D$304,MATCH(D4610,'Sản phẩm'!$A$5:$A$304,0)),""))</f>
        <v/>
      </c>
      <c r="L4610" s="16">
        <f>IF(J4610="","",J4610-K4610)</f>
        <v/>
      </c>
      <c r="M4610" s="14">
        <f>IF(A4610="","",MONTH(A4610))</f>
        <v/>
      </c>
      <c r="N4610" s="14">
        <f>IF(A4610="","",YEAR(A4610))</f>
        <v/>
      </c>
    </row>
    <row r="4611">
      <c r="A4611" s="15" t="n"/>
      <c r="B4611" s="10" t="n"/>
      <c r="C4611" s="10" t="n"/>
      <c r="D4611" s="10" t="n"/>
      <c r="E4611" s="14">
        <f>IF(D4611="","",IFERROR(INDEX('Sản phẩm'!$B$5:$B$304,MATCH(D4611,'Sản phẩm'!$A$5:$A$304,0)),""))</f>
        <v/>
      </c>
      <c r="F4611" s="12" t="n"/>
      <c r="G4611" s="11" t="n"/>
      <c r="H4611" s="11" t="n"/>
      <c r="I4611" s="16">
        <f>IF(D4611="","",IF(G4611&lt;&gt;"",G4611,IFERROR(INDEX('Sản phẩm'!$E$5:$E$304,MATCH(D4611,'Sản phẩm'!$A$5:$A$304,0)),"")))</f>
        <v/>
      </c>
      <c r="J4611" s="16">
        <f>IF(OR(D4611="",F4611=""),"",F4611*I4611-N(H4611))</f>
        <v/>
      </c>
      <c r="K4611" s="16">
        <f>IF(OR(D4611="",F4611=""),"",F4611*IFERROR(INDEX('Sản phẩm'!$D$5:$D$304,MATCH(D4611,'Sản phẩm'!$A$5:$A$304,0)),""))</f>
        <v/>
      </c>
      <c r="L4611" s="16">
        <f>IF(J4611="","",J4611-K4611)</f>
        <v/>
      </c>
      <c r="M4611" s="14">
        <f>IF(A4611="","",MONTH(A4611))</f>
        <v/>
      </c>
      <c r="N4611" s="14">
        <f>IF(A4611="","",YEAR(A4611))</f>
        <v/>
      </c>
    </row>
    <row r="4612">
      <c r="A4612" s="15" t="n"/>
      <c r="B4612" s="10" t="n"/>
      <c r="C4612" s="10" t="n"/>
      <c r="D4612" s="10" t="n"/>
      <c r="E4612" s="14">
        <f>IF(D4612="","",IFERROR(INDEX('Sản phẩm'!$B$5:$B$304,MATCH(D4612,'Sản phẩm'!$A$5:$A$304,0)),""))</f>
        <v/>
      </c>
      <c r="F4612" s="12" t="n"/>
      <c r="G4612" s="11" t="n"/>
      <c r="H4612" s="11" t="n"/>
      <c r="I4612" s="16">
        <f>IF(D4612="","",IF(G4612&lt;&gt;"",G4612,IFERROR(INDEX('Sản phẩm'!$E$5:$E$304,MATCH(D4612,'Sản phẩm'!$A$5:$A$304,0)),"")))</f>
        <v/>
      </c>
      <c r="J4612" s="16">
        <f>IF(OR(D4612="",F4612=""),"",F4612*I4612-N(H4612))</f>
        <v/>
      </c>
      <c r="K4612" s="16">
        <f>IF(OR(D4612="",F4612=""),"",F4612*IFERROR(INDEX('Sản phẩm'!$D$5:$D$304,MATCH(D4612,'Sản phẩm'!$A$5:$A$304,0)),""))</f>
        <v/>
      </c>
      <c r="L4612" s="16">
        <f>IF(J4612="","",J4612-K4612)</f>
        <v/>
      </c>
      <c r="M4612" s="14">
        <f>IF(A4612="","",MONTH(A4612))</f>
        <v/>
      </c>
      <c r="N4612" s="14">
        <f>IF(A4612="","",YEAR(A4612))</f>
        <v/>
      </c>
    </row>
    <row r="4613">
      <c r="A4613" s="15" t="n"/>
      <c r="B4613" s="10" t="n"/>
      <c r="C4613" s="10" t="n"/>
      <c r="D4613" s="10" t="n"/>
      <c r="E4613" s="14">
        <f>IF(D4613="","",IFERROR(INDEX('Sản phẩm'!$B$5:$B$304,MATCH(D4613,'Sản phẩm'!$A$5:$A$304,0)),""))</f>
        <v/>
      </c>
      <c r="F4613" s="12" t="n"/>
      <c r="G4613" s="11" t="n"/>
      <c r="H4613" s="11" t="n"/>
      <c r="I4613" s="16">
        <f>IF(D4613="","",IF(G4613&lt;&gt;"",G4613,IFERROR(INDEX('Sản phẩm'!$E$5:$E$304,MATCH(D4613,'Sản phẩm'!$A$5:$A$304,0)),"")))</f>
        <v/>
      </c>
      <c r="J4613" s="16">
        <f>IF(OR(D4613="",F4613=""),"",F4613*I4613-N(H4613))</f>
        <v/>
      </c>
      <c r="K4613" s="16">
        <f>IF(OR(D4613="",F4613=""),"",F4613*IFERROR(INDEX('Sản phẩm'!$D$5:$D$304,MATCH(D4613,'Sản phẩm'!$A$5:$A$304,0)),""))</f>
        <v/>
      </c>
      <c r="L4613" s="16">
        <f>IF(J4613="","",J4613-K4613)</f>
        <v/>
      </c>
      <c r="M4613" s="14">
        <f>IF(A4613="","",MONTH(A4613))</f>
        <v/>
      </c>
      <c r="N4613" s="14">
        <f>IF(A4613="","",YEAR(A4613))</f>
        <v/>
      </c>
    </row>
    <row r="4614">
      <c r="A4614" s="15" t="n"/>
      <c r="B4614" s="10" t="n"/>
      <c r="C4614" s="10" t="n"/>
      <c r="D4614" s="10" t="n"/>
      <c r="E4614" s="14">
        <f>IF(D4614="","",IFERROR(INDEX('Sản phẩm'!$B$5:$B$304,MATCH(D4614,'Sản phẩm'!$A$5:$A$304,0)),""))</f>
        <v/>
      </c>
      <c r="F4614" s="12" t="n"/>
      <c r="G4614" s="11" t="n"/>
      <c r="H4614" s="11" t="n"/>
      <c r="I4614" s="16">
        <f>IF(D4614="","",IF(G4614&lt;&gt;"",G4614,IFERROR(INDEX('Sản phẩm'!$E$5:$E$304,MATCH(D4614,'Sản phẩm'!$A$5:$A$304,0)),"")))</f>
        <v/>
      </c>
      <c r="J4614" s="16">
        <f>IF(OR(D4614="",F4614=""),"",F4614*I4614-N(H4614))</f>
        <v/>
      </c>
      <c r="K4614" s="16">
        <f>IF(OR(D4614="",F4614=""),"",F4614*IFERROR(INDEX('Sản phẩm'!$D$5:$D$304,MATCH(D4614,'Sản phẩm'!$A$5:$A$304,0)),""))</f>
        <v/>
      </c>
      <c r="L4614" s="16">
        <f>IF(J4614="","",J4614-K4614)</f>
        <v/>
      </c>
      <c r="M4614" s="14">
        <f>IF(A4614="","",MONTH(A4614))</f>
        <v/>
      </c>
      <c r="N4614" s="14">
        <f>IF(A4614="","",YEAR(A4614))</f>
        <v/>
      </c>
    </row>
    <row r="4615">
      <c r="A4615" s="15" t="n"/>
      <c r="B4615" s="10" t="n"/>
      <c r="C4615" s="10" t="n"/>
      <c r="D4615" s="10" t="n"/>
      <c r="E4615" s="14">
        <f>IF(D4615="","",IFERROR(INDEX('Sản phẩm'!$B$5:$B$304,MATCH(D4615,'Sản phẩm'!$A$5:$A$304,0)),""))</f>
        <v/>
      </c>
      <c r="F4615" s="12" t="n"/>
      <c r="G4615" s="11" t="n"/>
      <c r="H4615" s="11" t="n"/>
      <c r="I4615" s="16">
        <f>IF(D4615="","",IF(G4615&lt;&gt;"",G4615,IFERROR(INDEX('Sản phẩm'!$E$5:$E$304,MATCH(D4615,'Sản phẩm'!$A$5:$A$304,0)),"")))</f>
        <v/>
      </c>
      <c r="J4615" s="16">
        <f>IF(OR(D4615="",F4615=""),"",F4615*I4615-N(H4615))</f>
        <v/>
      </c>
      <c r="K4615" s="16">
        <f>IF(OR(D4615="",F4615=""),"",F4615*IFERROR(INDEX('Sản phẩm'!$D$5:$D$304,MATCH(D4615,'Sản phẩm'!$A$5:$A$304,0)),""))</f>
        <v/>
      </c>
      <c r="L4615" s="16">
        <f>IF(J4615="","",J4615-K4615)</f>
        <v/>
      </c>
      <c r="M4615" s="14">
        <f>IF(A4615="","",MONTH(A4615))</f>
        <v/>
      </c>
      <c r="N4615" s="14">
        <f>IF(A4615="","",YEAR(A4615))</f>
        <v/>
      </c>
    </row>
    <row r="4616">
      <c r="A4616" s="15" t="n"/>
      <c r="B4616" s="10" t="n"/>
      <c r="C4616" s="10" t="n"/>
      <c r="D4616" s="10" t="n"/>
      <c r="E4616" s="14">
        <f>IF(D4616="","",IFERROR(INDEX('Sản phẩm'!$B$5:$B$304,MATCH(D4616,'Sản phẩm'!$A$5:$A$304,0)),""))</f>
        <v/>
      </c>
      <c r="F4616" s="12" t="n"/>
      <c r="G4616" s="11" t="n"/>
      <c r="H4616" s="11" t="n"/>
      <c r="I4616" s="16">
        <f>IF(D4616="","",IF(G4616&lt;&gt;"",G4616,IFERROR(INDEX('Sản phẩm'!$E$5:$E$304,MATCH(D4616,'Sản phẩm'!$A$5:$A$304,0)),"")))</f>
        <v/>
      </c>
      <c r="J4616" s="16">
        <f>IF(OR(D4616="",F4616=""),"",F4616*I4616-N(H4616))</f>
        <v/>
      </c>
      <c r="K4616" s="16">
        <f>IF(OR(D4616="",F4616=""),"",F4616*IFERROR(INDEX('Sản phẩm'!$D$5:$D$304,MATCH(D4616,'Sản phẩm'!$A$5:$A$304,0)),""))</f>
        <v/>
      </c>
      <c r="L4616" s="16">
        <f>IF(J4616="","",J4616-K4616)</f>
        <v/>
      </c>
      <c r="M4616" s="14">
        <f>IF(A4616="","",MONTH(A4616))</f>
        <v/>
      </c>
      <c r="N4616" s="14">
        <f>IF(A4616="","",YEAR(A4616))</f>
        <v/>
      </c>
    </row>
    <row r="4617">
      <c r="A4617" s="15" t="n"/>
      <c r="B4617" s="10" t="n"/>
      <c r="C4617" s="10" t="n"/>
      <c r="D4617" s="10" t="n"/>
      <c r="E4617" s="14">
        <f>IF(D4617="","",IFERROR(INDEX('Sản phẩm'!$B$5:$B$304,MATCH(D4617,'Sản phẩm'!$A$5:$A$304,0)),""))</f>
        <v/>
      </c>
      <c r="F4617" s="12" t="n"/>
      <c r="G4617" s="11" t="n"/>
      <c r="H4617" s="11" t="n"/>
      <c r="I4617" s="16">
        <f>IF(D4617="","",IF(G4617&lt;&gt;"",G4617,IFERROR(INDEX('Sản phẩm'!$E$5:$E$304,MATCH(D4617,'Sản phẩm'!$A$5:$A$304,0)),"")))</f>
        <v/>
      </c>
      <c r="J4617" s="16">
        <f>IF(OR(D4617="",F4617=""),"",F4617*I4617-N(H4617))</f>
        <v/>
      </c>
      <c r="K4617" s="16">
        <f>IF(OR(D4617="",F4617=""),"",F4617*IFERROR(INDEX('Sản phẩm'!$D$5:$D$304,MATCH(D4617,'Sản phẩm'!$A$5:$A$304,0)),""))</f>
        <v/>
      </c>
      <c r="L4617" s="16">
        <f>IF(J4617="","",J4617-K4617)</f>
        <v/>
      </c>
      <c r="M4617" s="14">
        <f>IF(A4617="","",MONTH(A4617))</f>
        <v/>
      </c>
      <c r="N4617" s="14">
        <f>IF(A4617="","",YEAR(A4617))</f>
        <v/>
      </c>
    </row>
    <row r="4618">
      <c r="A4618" s="15" t="n"/>
      <c r="B4618" s="10" t="n"/>
      <c r="C4618" s="10" t="n"/>
      <c r="D4618" s="10" t="n"/>
      <c r="E4618" s="14">
        <f>IF(D4618="","",IFERROR(INDEX('Sản phẩm'!$B$5:$B$304,MATCH(D4618,'Sản phẩm'!$A$5:$A$304,0)),""))</f>
        <v/>
      </c>
      <c r="F4618" s="12" t="n"/>
      <c r="G4618" s="11" t="n"/>
      <c r="H4618" s="11" t="n"/>
      <c r="I4618" s="16">
        <f>IF(D4618="","",IF(G4618&lt;&gt;"",G4618,IFERROR(INDEX('Sản phẩm'!$E$5:$E$304,MATCH(D4618,'Sản phẩm'!$A$5:$A$304,0)),"")))</f>
        <v/>
      </c>
      <c r="J4618" s="16">
        <f>IF(OR(D4618="",F4618=""),"",F4618*I4618-N(H4618))</f>
        <v/>
      </c>
      <c r="K4618" s="16">
        <f>IF(OR(D4618="",F4618=""),"",F4618*IFERROR(INDEX('Sản phẩm'!$D$5:$D$304,MATCH(D4618,'Sản phẩm'!$A$5:$A$304,0)),""))</f>
        <v/>
      </c>
      <c r="L4618" s="16">
        <f>IF(J4618="","",J4618-K4618)</f>
        <v/>
      </c>
      <c r="M4618" s="14">
        <f>IF(A4618="","",MONTH(A4618))</f>
        <v/>
      </c>
      <c r="N4618" s="14">
        <f>IF(A4618="","",YEAR(A4618))</f>
        <v/>
      </c>
    </row>
    <row r="4619">
      <c r="A4619" s="15" t="n"/>
      <c r="B4619" s="10" t="n"/>
      <c r="C4619" s="10" t="n"/>
      <c r="D4619" s="10" t="n"/>
      <c r="E4619" s="14">
        <f>IF(D4619="","",IFERROR(INDEX('Sản phẩm'!$B$5:$B$304,MATCH(D4619,'Sản phẩm'!$A$5:$A$304,0)),""))</f>
        <v/>
      </c>
      <c r="F4619" s="12" t="n"/>
      <c r="G4619" s="11" t="n"/>
      <c r="H4619" s="11" t="n"/>
      <c r="I4619" s="16">
        <f>IF(D4619="","",IF(G4619&lt;&gt;"",G4619,IFERROR(INDEX('Sản phẩm'!$E$5:$E$304,MATCH(D4619,'Sản phẩm'!$A$5:$A$304,0)),"")))</f>
        <v/>
      </c>
      <c r="J4619" s="16">
        <f>IF(OR(D4619="",F4619=""),"",F4619*I4619-N(H4619))</f>
        <v/>
      </c>
      <c r="K4619" s="16">
        <f>IF(OR(D4619="",F4619=""),"",F4619*IFERROR(INDEX('Sản phẩm'!$D$5:$D$304,MATCH(D4619,'Sản phẩm'!$A$5:$A$304,0)),""))</f>
        <v/>
      </c>
      <c r="L4619" s="16">
        <f>IF(J4619="","",J4619-K4619)</f>
        <v/>
      </c>
      <c r="M4619" s="14">
        <f>IF(A4619="","",MONTH(A4619))</f>
        <v/>
      </c>
      <c r="N4619" s="14">
        <f>IF(A4619="","",YEAR(A4619))</f>
        <v/>
      </c>
    </row>
    <row r="4620">
      <c r="A4620" s="15" t="n"/>
      <c r="B4620" s="10" t="n"/>
      <c r="C4620" s="10" t="n"/>
      <c r="D4620" s="10" t="n"/>
      <c r="E4620" s="14">
        <f>IF(D4620="","",IFERROR(INDEX('Sản phẩm'!$B$5:$B$304,MATCH(D4620,'Sản phẩm'!$A$5:$A$304,0)),""))</f>
        <v/>
      </c>
      <c r="F4620" s="12" t="n"/>
      <c r="G4620" s="11" t="n"/>
      <c r="H4620" s="11" t="n"/>
      <c r="I4620" s="16">
        <f>IF(D4620="","",IF(G4620&lt;&gt;"",G4620,IFERROR(INDEX('Sản phẩm'!$E$5:$E$304,MATCH(D4620,'Sản phẩm'!$A$5:$A$304,0)),"")))</f>
        <v/>
      </c>
      <c r="J4620" s="16">
        <f>IF(OR(D4620="",F4620=""),"",F4620*I4620-N(H4620))</f>
        <v/>
      </c>
      <c r="K4620" s="16">
        <f>IF(OR(D4620="",F4620=""),"",F4620*IFERROR(INDEX('Sản phẩm'!$D$5:$D$304,MATCH(D4620,'Sản phẩm'!$A$5:$A$304,0)),""))</f>
        <v/>
      </c>
      <c r="L4620" s="16">
        <f>IF(J4620="","",J4620-K4620)</f>
        <v/>
      </c>
      <c r="M4620" s="14">
        <f>IF(A4620="","",MONTH(A4620))</f>
        <v/>
      </c>
      <c r="N4620" s="14">
        <f>IF(A4620="","",YEAR(A4620))</f>
        <v/>
      </c>
    </row>
    <row r="4621">
      <c r="A4621" s="15" t="n"/>
      <c r="B4621" s="10" t="n"/>
      <c r="C4621" s="10" t="n"/>
      <c r="D4621" s="10" t="n"/>
      <c r="E4621" s="14">
        <f>IF(D4621="","",IFERROR(INDEX('Sản phẩm'!$B$5:$B$304,MATCH(D4621,'Sản phẩm'!$A$5:$A$304,0)),""))</f>
        <v/>
      </c>
      <c r="F4621" s="12" t="n"/>
      <c r="G4621" s="11" t="n"/>
      <c r="H4621" s="11" t="n"/>
      <c r="I4621" s="16">
        <f>IF(D4621="","",IF(G4621&lt;&gt;"",G4621,IFERROR(INDEX('Sản phẩm'!$E$5:$E$304,MATCH(D4621,'Sản phẩm'!$A$5:$A$304,0)),"")))</f>
        <v/>
      </c>
      <c r="J4621" s="16">
        <f>IF(OR(D4621="",F4621=""),"",F4621*I4621-N(H4621))</f>
        <v/>
      </c>
      <c r="K4621" s="16">
        <f>IF(OR(D4621="",F4621=""),"",F4621*IFERROR(INDEX('Sản phẩm'!$D$5:$D$304,MATCH(D4621,'Sản phẩm'!$A$5:$A$304,0)),""))</f>
        <v/>
      </c>
      <c r="L4621" s="16">
        <f>IF(J4621="","",J4621-K4621)</f>
        <v/>
      </c>
      <c r="M4621" s="14">
        <f>IF(A4621="","",MONTH(A4621))</f>
        <v/>
      </c>
      <c r="N4621" s="14">
        <f>IF(A4621="","",YEAR(A4621))</f>
        <v/>
      </c>
    </row>
    <row r="4622">
      <c r="A4622" s="15" t="n"/>
      <c r="B4622" s="10" t="n"/>
      <c r="C4622" s="10" t="n"/>
      <c r="D4622" s="10" t="n"/>
      <c r="E4622" s="14">
        <f>IF(D4622="","",IFERROR(INDEX('Sản phẩm'!$B$5:$B$304,MATCH(D4622,'Sản phẩm'!$A$5:$A$304,0)),""))</f>
        <v/>
      </c>
      <c r="F4622" s="12" t="n"/>
      <c r="G4622" s="11" t="n"/>
      <c r="H4622" s="11" t="n"/>
      <c r="I4622" s="16">
        <f>IF(D4622="","",IF(G4622&lt;&gt;"",G4622,IFERROR(INDEX('Sản phẩm'!$E$5:$E$304,MATCH(D4622,'Sản phẩm'!$A$5:$A$304,0)),"")))</f>
        <v/>
      </c>
      <c r="J4622" s="16">
        <f>IF(OR(D4622="",F4622=""),"",F4622*I4622-N(H4622))</f>
        <v/>
      </c>
      <c r="K4622" s="16">
        <f>IF(OR(D4622="",F4622=""),"",F4622*IFERROR(INDEX('Sản phẩm'!$D$5:$D$304,MATCH(D4622,'Sản phẩm'!$A$5:$A$304,0)),""))</f>
        <v/>
      </c>
      <c r="L4622" s="16">
        <f>IF(J4622="","",J4622-K4622)</f>
        <v/>
      </c>
      <c r="M4622" s="14">
        <f>IF(A4622="","",MONTH(A4622))</f>
        <v/>
      </c>
      <c r="N4622" s="14">
        <f>IF(A4622="","",YEAR(A4622))</f>
        <v/>
      </c>
    </row>
    <row r="4623">
      <c r="A4623" s="15" t="n"/>
      <c r="B4623" s="10" t="n"/>
      <c r="C4623" s="10" t="n"/>
      <c r="D4623" s="10" t="n"/>
      <c r="E4623" s="14">
        <f>IF(D4623="","",IFERROR(INDEX('Sản phẩm'!$B$5:$B$304,MATCH(D4623,'Sản phẩm'!$A$5:$A$304,0)),""))</f>
        <v/>
      </c>
      <c r="F4623" s="12" t="n"/>
      <c r="G4623" s="11" t="n"/>
      <c r="H4623" s="11" t="n"/>
      <c r="I4623" s="16">
        <f>IF(D4623="","",IF(G4623&lt;&gt;"",G4623,IFERROR(INDEX('Sản phẩm'!$E$5:$E$304,MATCH(D4623,'Sản phẩm'!$A$5:$A$304,0)),"")))</f>
        <v/>
      </c>
      <c r="J4623" s="16">
        <f>IF(OR(D4623="",F4623=""),"",F4623*I4623-N(H4623))</f>
        <v/>
      </c>
      <c r="K4623" s="16">
        <f>IF(OR(D4623="",F4623=""),"",F4623*IFERROR(INDEX('Sản phẩm'!$D$5:$D$304,MATCH(D4623,'Sản phẩm'!$A$5:$A$304,0)),""))</f>
        <v/>
      </c>
      <c r="L4623" s="16">
        <f>IF(J4623="","",J4623-K4623)</f>
        <v/>
      </c>
      <c r="M4623" s="14">
        <f>IF(A4623="","",MONTH(A4623))</f>
        <v/>
      </c>
      <c r="N4623" s="14">
        <f>IF(A4623="","",YEAR(A4623))</f>
        <v/>
      </c>
    </row>
    <row r="4624">
      <c r="A4624" s="15" t="n"/>
      <c r="B4624" s="10" t="n"/>
      <c r="C4624" s="10" t="n"/>
      <c r="D4624" s="10" t="n"/>
      <c r="E4624" s="14">
        <f>IF(D4624="","",IFERROR(INDEX('Sản phẩm'!$B$5:$B$304,MATCH(D4624,'Sản phẩm'!$A$5:$A$304,0)),""))</f>
        <v/>
      </c>
      <c r="F4624" s="12" t="n"/>
      <c r="G4624" s="11" t="n"/>
      <c r="H4624" s="11" t="n"/>
      <c r="I4624" s="16">
        <f>IF(D4624="","",IF(G4624&lt;&gt;"",G4624,IFERROR(INDEX('Sản phẩm'!$E$5:$E$304,MATCH(D4624,'Sản phẩm'!$A$5:$A$304,0)),"")))</f>
        <v/>
      </c>
      <c r="J4624" s="16">
        <f>IF(OR(D4624="",F4624=""),"",F4624*I4624-N(H4624))</f>
        <v/>
      </c>
      <c r="K4624" s="16">
        <f>IF(OR(D4624="",F4624=""),"",F4624*IFERROR(INDEX('Sản phẩm'!$D$5:$D$304,MATCH(D4624,'Sản phẩm'!$A$5:$A$304,0)),""))</f>
        <v/>
      </c>
      <c r="L4624" s="16">
        <f>IF(J4624="","",J4624-K4624)</f>
        <v/>
      </c>
      <c r="M4624" s="14">
        <f>IF(A4624="","",MONTH(A4624))</f>
        <v/>
      </c>
      <c r="N4624" s="14">
        <f>IF(A4624="","",YEAR(A4624))</f>
        <v/>
      </c>
    </row>
    <row r="4625">
      <c r="A4625" s="15" t="n"/>
      <c r="B4625" s="10" t="n"/>
      <c r="C4625" s="10" t="n"/>
      <c r="D4625" s="10" t="n"/>
      <c r="E4625" s="14">
        <f>IF(D4625="","",IFERROR(INDEX('Sản phẩm'!$B$5:$B$304,MATCH(D4625,'Sản phẩm'!$A$5:$A$304,0)),""))</f>
        <v/>
      </c>
      <c r="F4625" s="12" t="n"/>
      <c r="G4625" s="11" t="n"/>
      <c r="H4625" s="11" t="n"/>
      <c r="I4625" s="16">
        <f>IF(D4625="","",IF(G4625&lt;&gt;"",G4625,IFERROR(INDEX('Sản phẩm'!$E$5:$E$304,MATCH(D4625,'Sản phẩm'!$A$5:$A$304,0)),"")))</f>
        <v/>
      </c>
      <c r="J4625" s="16">
        <f>IF(OR(D4625="",F4625=""),"",F4625*I4625-N(H4625))</f>
        <v/>
      </c>
      <c r="K4625" s="16">
        <f>IF(OR(D4625="",F4625=""),"",F4625*IFERROR(INDEX('Sản phẩm'!$D$5:$D$304,MATCH(D4625,'Sản phẩm'!$A$5:$A$304,0)),""))</f>
        <v/>
      </c>
      <c r="L4625" s="16">
        <f>IF(J4625="","",J4625-K4625)</f>
        <v/>
      </c>
      <c r="M4625" s="14">
        <f>IF(A4625="","",MONTH(A4625))</f>
        <v/>
      </c>
      <c r="N4625" s="14">
        <f>IF(A4625="","",YEAR(A4625))</f>
        <v/>
      </c>
    </row>
    <row r="4626">
      <c r="A4626" s="15" t="n"/>
      <c r="B4626" s="10" t="n"/>
      <c r="C4626" s="10" t="n"/>
      <c r="D4626" s="10" t="n"/>
      <c r="E4626" s="14">
        <f>IF(D4626="","",IFERROR(INDEX('Sản phẩm'!$B$5:$B$304,MATCH(D4626,'Sản phẩm'!$A$5:$A$304,0)),""))</f>
        <v/>
      </c>
      <c r="F4626" s="12" t="n"/>
      <c r="G4626" s="11" t="n"/>
      <c r="H4626" s="11" t="n"/>
      <c r="I4626" s="16">
        <f>IF(D4626="","",IF(G4626&lt;&gt;"",G4626,IFERROR(INDEX('Sản phẩm'!$E$5:$E$304,MATCH(D4626,'Sản phẩm'!$A$5:$A$304,0)),"")))</f>
        <v/>
      </c>
      <c r="J4626" s="16">
        <f>IF(OR(D4626="",F4626=""),"",F4626*I4626-N(H4626))</f>
        <v/>
      </c>
      <c r="K4626" s="16">
        <f>IF(OR(D4626="",F4626=""),"",F4626*IFERROR(INDEX('Sản phẩm'!$D$5:$D$304,MATCH(D4626,'Sản phẩm'!$A$5:$A$304,0)),""))</f>
        <v/>
      </c>
      <c r="L4626" s="16">
        <f>IF(J4626="","",J4626-K4626)</f>
        <v/>
      </c>
      <c r="M4626" s="14">
        <f>IF(A4626="","",MONTH(A4626))</f>
        <v/>
      </c>
      <c r="N4626" s="14">
        <f>IF(A4626="","",YEAR(A4626))</f>
        <v/>
      </c>
    </row>
    <row r="4627">
      <c r="A4627" s="15" t="n"/>
      <c r="B4627" s="10" t="n"/>
      <c r="C4627" s="10" t="n"/>
      <c r="D4627" s="10" t="n"/>
      <c r="E4627" s="14">
        <f>IF(D4627="","",IFERROR(INDEX('Sản phẩm'!$B$5:$B$304,MATCH(D4627,'Sản phẩm'!$A$5:$A$304,0)),""))</f>
        <v/>
      </c>
      <c r="F4627" s="12" t="n"/>
      <c r="G4627" s="11" t="n"/>
      <c r="H4627" s="11" t="n"/>
      <c r="I4627" s="16">
        <f>IF(D4627="","",IF(G4627&lt;&gt;"",G4627,IFERROR(INDEX('Sản phẩm'!$E$5:$E$304,MATCH(D4627,'Sản phẩm'!$A$5:$A$304,0)),"")))</f>
        <v/>
      </c>
      <c r="J4627" s="16">
        <f>IF(OR(D4627="",F4627=""),"",F4627*I4627-N(H4627))</f>
        <v/>
      </c>
      <c r="K4627" s="16">
        <f>IF(OR(D4627="",F4627=""),"",F4627*IFERROR(INDEX('Sản phẩm'!$D$5:$D$304,MATCH(D4627,'Sản phẩm'!$A$5:$A$304,0)),""))</f>
        <v/>
      </c>
      <c r="L4627" s="16">
        <f>IF(J4627="","",J4627-K4627)</f>
        <v/>
      </c>
      <c r="M4627" s="14">
        <f>IF(A4627="","",MONTH(A4627))</f>
        <v/>
      </c>
      <c r="N4627" s="14">
        <f>IF(A4627="","",YEAR(A4627))</f>
        <v/>
      </c>
    </row>
    <row r="4628">
      <c r="A4628" s="15" t="n"/>
      <c r="B4628" s="10" t="n"/>
      <c r="C4628" s="10" t="n"/>
      <c r="D4628" s="10" t="n"/>
      <c r="E4628" s="14">
        <f>IF(D4628="","",IFERROR(INDEX('Sản phẩm'!$B$5:$B$304,MATCH(D4628,'Sản phẩm'!$A$5:$A$304,0)),""))</f>
        <v/>
      </c>
      <c r="F4628" s="12" t="n"/>
      <c r="G4628" s="11" t="n"/>
      <c r="H4628" s="11" t="n"/>
      <c r="I4628" s="16">
        <f>IF(D4628="","",IF(G4628&lt;&gt;"",G4628,IFERROR(INDEX('Sản phẩm'!$E$5:$E$304,MATCH(D4628,'Sản phẩm'!$A$5:$A$304,0)),"")))</f>
        <v/>
      </c>
      <c r="J4628" s="16">
        <f>IF(OR(D4628="",F4628=""),"",F4628*I4628-N(H4628))</f>
        <v/>
      </c>
      <c r="K4628" s="16">
        <f>IF(OR(D4628="",F4628=""),"",F4628*IFERROR(INDEX('Sản phẩm'!$D$5:$D$304,MATCH(D4628,'Sản phẩm'!$A$5:$A$304,0)),""))</f>
        <v/>
      </c>
      <c r="L4628" s="16">
        <f>IF(J4628="","",J4628-K4628)</f>
        <v/>
      </c>
      <c r="M4628" s="14">
        <f>IF(A4628="","",MONTH(A4628))</f>
        <v/>
      </c>
      <c r="N4628" s="14">
        <f>IF(A4628="","",YEAR(A4628))</f>
        <v/>
      </c>
    </row>
    <row r="4629">
      <c r="A4629" s="15" t="n"/>
      <c r="B4629" s="10" t="n"/>
      <c r="C4629" s="10" t="n"/>
      <c r="D4629" s="10" t="n"/>
      <c r="E4629" s="14">
        <f>IF(D4629="","",IFERROR(INDEX('Sản phẩm'!$B$5:$B$304,MATCH(D4629,'Sản phẩm'!$A$5:$A$304,0)),""))</f>
        <v/>
      </c>
      <c r="F4629" s="12" t="n"/>
      <c r="G4629" s="11" t="n"/>
      <c r="H4629" s="11" t="n"/>
      <c r="I4629" s="16">
        <f>IF(D4629="","",IF(G4629&lt;&gt;"",G4629,IFERROR(INDEX('Sản phẩm'!$E$5:$E$304,MATCH(D4629,'Sản phẩm'!$A$5:$A$304,0)),"")))</f>
        <v/>
      </c>
      <c r="J4629" s="16">
        <f>IF(OR(D4629="",F4629=""),"",F4629*I4629-N(H4629))</f>
        <v/>
      </c>
      <c r="K4629" s="16">
        <f>IF(OR(D4629="",F4629=""),"",F4629*IFERROR(INDEX('Sản phẩm'!$D$5:$D$304,MATCH(D4629,'Sản phẩm'!$A$5:$A$304,0)),""))</f>
        <v/>
      </c>
      <c r="L4629" s="16">
        <f>IF(J4629="","",J4629-K4629)</f>
        <v/>
      </c>
      <c r="M4629" s="14">
        <f>IF(A4629="","",MONTH(A4629))</f>
        <v/>
      </c>
      <c r="N4629" s="14">
        <f>IF(A4629="","",YEAR(A4629))</f>
        <v/>
      </c>
    </row>
    <row r="4630">
      <c r="A4630" s="15" t="n"/>
      <c r="B4630" s="10" t="n"/>
      <c r="C4630" s="10" t="n"/>
      <c r="D4630" s="10" t="n"/>
      <c r="E4630" s="14">
        <f>IF(D4630="","",IFERROR(INDEX('Sản phẩm'!$B$5:$B$304,MATCH(D4630,'Sản phẩm'!$A$5:$A$304,0)),""))</f>
        <v/>
      </c>
      <c r="F4630" s="12" t="n"/>
      <c r="G4630" s="11" t="n"/>
      <c r="H4630" s="11" t="n"/>
      <c r="I4630" s="16">
        <f>IF(D4630="","",IF(G4630&lt;&gt;"",G4630,IFERROR(INDEX('Sản phẩm'!$E$5:$E$304,MATCH(D4630,'Sản phẩm'!$A$5:$A$304,0)),"")))</f>
        <v/>
      </c>
      <c r="J4630" s="16">
        <f>IF(OR(D4630="",F4630=""),"",F4630*I4630-N(H4630))</f>
        <v/>
      </c>
      <c r="K4630" s="16">
        <f>IF(OR(D4630="",F4630=""),"",F4630*IFERROR(INDEX('Sản phẩm'!$D$5:$D$304,MATCH(D4630,'Sản phẩm'!$A$5:$A$304,0)),""))</f>
        <v/>
      </c>
      <c r="L4630" s="16">
        <f>IF(J4630="","",J4630-K4630)</f>
        <v/>
      </c>
      <c r="M4630" s="14">
        <f>IF(A4630="","",MONTH(A4630))</f>
        <v/>
      </c>
      <c r="N4630" s="14">
        <f>IF(A4630="","",YEAR(A4630))</f>
        <v/>
      </c>
    </row>
    <row r="4631">
      <c r="A4631" s="15" t="n"/>
      <c r="B4631" s="10" t="n"/>
      <c r="C4631" s="10" t="n"/>
      <c r="D4631" s="10" t="n"/>
      <c r="E4631" s="14">
        <f>IF(D4631="","",IFERROR(INDEX('Sản phẩm'!$B$5:$B$304,MATCH(D4631,'Sản phẩm'!$A$5:$A$304,0)),""))</f>
        <v/>
      </c>
      <c r="F4631" s="12" t="n"/>
      <c r="G4631" s="11" t="n"/>
      <c r="H4631" s="11" t="n"/>
      <c r="I4631" s="16">
        <f>IF(D4631="","",IF(G4631&lt;&gt;"",G4631,IFERROR(INDEX('Sản phẩm'!$E$5:$E$304,MATCH(D4631,'Sản phẩm'!$A$5:$A$304,0)),"")))</f>
        <v/>
      </c>
      <c r="J4631" s="16">
        <f>IF(OR(D4631="",F4631=""),"",F4631*I4631-N(H4631))</f>
        <v/>
      </c>
      <c r="K4631" s="16">
        <f>IF(OR(D4631="",F4631=""),"",F4631*IFERROR(INDEX('Sản phẩm'!$D$5:$D$304,MATCH(D4631,'Sản phẩm'!$A$5:$A$304,0)),""))</f>
        <v/>
      </c>
      <c r="L4631" s="16">
        <f>IF(J4631="","",J4631-K4631)</f>
        <v/>
      </c>
      <c r="M4631" s="14">
        <f>IF(A4631="","",MONTH(A4631))</f>
        <v/>
      </c>
      <c r="N4631" s="14">
        <f>IF(A4631="","",YEAR(A4631))</f>
        <v/>
      </c>
    </row>
    <row r="4632">
      <c r="A4632" s="15" t="n"/>
      <c r="B4632" s="10" t="n"/>
      <c r="C4632" s="10" t="n"/>
      <c r="D4632" s="10" t="n"/>
      <c r="E4632" s="14">
        <f>IF(D4632="","",IFERROR(INDEX('Sản phẩm'!$B$5:$B$304,MATCH(D4632,'Sản phẩm'!$A$5:$A$304,0)),""))</f>
        <v/>
      </c>
      <c r="F4632" s="12" t="n"/>
      <c r="G4632" s="11" t="n"/>
      <c r="H4632" s="11" t="n"/>
      <c r="I4632" s="16">
        <f>IF(D4632="","",IF(G4632&lt;&gt;"",G4632,IFERROR(INDEX('Sản phẩm'!$E$5:$E$304,MATCH(D4632,'Sản phẩm'!$A$5:$A$304,0)),"")))</f>
        <v/>
      </c>
      <c r="J4632" s="16">
        <f>IF(OR(D4632="",F4632=""),"",F4632*I4632-N(H4632))</f>
        <v/>
      </c>
      <c r="K4632" s="16">
        <f>IF(OR(D4632="",F4632=""),"",F4632*IFERROR(INDEX('Sản phẩm'!$D$5:$D$304,MATCH(D4632,'Sản phẩm'!$A$5:$A$304,0)),""))</f>
        <v/>
      </c>
      <c r="L4632" s="16">
        <f>IF(J4632="","",J4632-K4632)</f>
        <v/>
      </c>
      <c r="M4632" s="14">
        <f>IF(A4632="","",MONTH(A4632))</f>
        <v/>
      </c>
      <c r="N4632" s="14">
        <f>IF(A4632="","",YEAR(A4632))</f>
        <v/>
      </c>
    </row>
    <row r="4633">
      <c r="A4633" s="15" t="n"/>
      <c r="B4633" s="10" t="n"/>
      <c r="C4633" s="10" t="n"/>
      <c r="D4633" s="10" t="n"/>
      <c r="E4633" s="14">
        <f>IF(D4633="","",IFERROR(INDEX('Sản phẩm'!$B$5:$B$304,MATCH(D4633,'Sản phẩm'!$A$5:$A$304,0)),""))</f>
        <v/>
      </c>
      <c r="F4633" s="12" t="n"/>
      <c r="G4633" s="11" t="n"/>
      <c r="H4633" s="11" t="n"/>
      <c r="I4633" s="16">
        <f>IF(D4633="","",IF(G4633&lt;&gt;"",G4633,IFERROR(INDEX('Sản phẩm'!$E$5:$E$304,MATCH(D4633,'Sản phẩm'!$A$5:$A$304,0)),"")))</f>
        <v/>
      </c>
      <c r="J4633" s="16">
        <f>IF(OR(D4633="",F4633=""),"",F4633*I4633-N(H4633))</f>
        <v/>
      </c>
      <c r="K4633" s="16">
        <f>IF(OR(D4633="",F4633=""),"",F4633*IFERROR(INDEX('Sản phẩm'!$D$5:$D$304,MATCH(D4633,'Sản phẩm'!$A$5:$A$304,0)),""))</f>
        <v/>
      </c>
      <c r="L4633" s="16">
        <f>IF(J4633="","",J4633-K4633)</f>
        <v/>
      </c>
      <c r="M4633" s="14">
        <f>IF(A4633="","",MONTH(A4633))</f>
        <v/>
      </c>
      <c r="N4633" s="14">
        <f>IF(A4633="","",YEAR(A4633))</f>
        <v/>
      </c>
    </row>
    <row r="4634">
      <c r="A4634" s="15" t="n"/>
      <c r="B4634" s="10" t="n"/>
      <c r="C4634" s="10" t="n"/>
      <c r="D4634" s="10" t="n"/>
      <c r="E4634" s="14">
        <f>IF(D4634="","",IFERROR(INDEX('Sản phẩm'!$B$5:$B$304,MATCH(D4634,'Sản phẩm'!$A$5:$A$304,0)),""))</f>
        <v/>
      </c>
      <c r="F4634" s="12" t="n"/>
      <c r="G4634" s="11" t="n"/>
      <c r="H4634" s="11" t="n"/>
      <c r="I4634" s="16">
        <f>IF(D4634="","",IF(G4634&lt;&gt;"",G4634,IFERROR(INDEX('Sản phẩm'!$E$5:$E$304,MATCH(D4634,'Sản phẩm'!$A$5:$A$304,0)),"")))</f>
        <v/>
      </c>
      <c r="J4634" s="16">
        <f>IF(OR(D4634="",F4634=""),"",F4634*I4634-N(H4634))</f>
        <v/>
      </c>
      <c r="K4634" s="16">
        <f>IF(OR(D4634="",F4634=""),"",F4634*IFERROR(INDEX('Sản phẩm'!$D$5:$D$304,MATCH(D4634,'Sản phẩm'!$A$5:$A$304,0)),""))</f>
        <v/>
      </c>
      <c r="L4634" s="16">
        <f>IF(J4634="","",J4634-K4634)</f>
        <v/>
      </c>
      <c r="M4634" s="14">
        <f>IF(A4634="","",MONTH(A4634))</f>
        <v/>
      </c>
      <c r="N4634" s="14">
        <f>IF(A4634="","",YEAR(A4634))</f>
        <v/>
      </c>
    </row>
    <row r="4635">
      <c r="A4635" s="15" t="n"/>
      <c r="B4635" s="10" t="n"/>
      <c r="C4635" s="10" t="n"/>
      <c r="D4635" s="10" t="n"/>
      <c r="E4635" s="14">
        <f>IF(D4635="","",IFERROR(INDEX('Sản phẩm'!$B$5:$B$304,MATCH(D4635,'Sản phẩm'!$A$5:$A$304,0)),""))</f>
        <v/>
      </c>
      <c r="F4635" s="12" t="n"/>
      <c r="G4635" s="11" t="n"/>
      <c r="H4635" s="11" t="n"/>
      <c r="I4635" s="16">
        <f>IF(D4635="","",IF(G4635&lt;&gt;"",G4635,IFERROR(INDEX('Sản phẩm'!$E$5:$E$304,MATCH(D4635,'Sản phẩm'!$A$5:$A$304,0)),"")))</f>
        <v/>
      </c>
      <c r="J4635" s="16">
        <f>IF(OR(D4635="",F4635=""),"",F4635*I4635-N(H4635))</f>
        <v/>
      </c>
      <c r="K4635" s="16">
        <f>IF(OR(D4635="",F4635=""),"",F4635*IFERROR(INDEX('Sản phẩm'!$D$5:$D$304,MATCH(D4635,'Sản phẩm'!$A$5:$A$304,0)),""))</f>
        <v/>
      </c>
      <c r="L4635" s="16">
        <f>IF(J4635="","",J4635-K4635)</f>
        <v/>
      </c>
      <c r="M4635" s="14">
        <f>IF(A4635="","",MONTH(A4635))</f>
        <v/>
      </c>
      <c r="N4635" s="14">
        <f>IF(A4635="","",YEAR(A4635))</f>
        <v/>
      </c>
    </row>
    <row r="4636">
      <c r="A4636" s="15" t="n"/>
      <c r="B4636" s="10" t="n"/>
      <c r="C4636" s="10" t="n"/>
      <c r="D4636" s="10" t="n"/>
      <c r="E4636" s="14">
        <f>IF(D4636="","",IFERROR(INDEX('Sản phẩm'!$B$5:$B$304,MATCH(D4636,'Sản phẩm'!$A$5:$A$304,0)),""))</f>
        <v/>
      </c>
      <c r="F4636" s="12" t="n"/>
      <c r="G4636" s="11" t="n"/>
      <c r="H4636" s="11" t="n"/>
      <c r="I4636" s="16">
        <f>IF(D4636="","",IF(G4636&lt;&gt;"",G4636,IFERROR(INDEX('Sản phẩm'!$E$5:$E$304,MATCH(D4636,'Sản phẩm'!$A$5:$A$304,0)),"")))</f>
        <v/>
      </c>
      <c r="J4636" s="16">
        <f>IF(OR(D4636="",F4636=""),"",F4636*I4636-N(H4636))</f>
        <v/>
      </c>
      <c r="K4636" s="16">
        <f>IF(OR(D4636="",F4636=""),"",F4636*IFERROR(INDEX('Sản phẩm'!$D$5:$D$304,MATCH(D4636,'Sản phẩm'!$A$5:$A$304,0)),""))</f>
        <v/>
      </c>
      <c r="L4636" s="16">
        <f>IF(J4636="","",J4636-K4636)</f>
        <v/>
      </c>
      <c r="M4636" s="14">
        <f>IF(A4636="","",MONTH(A4636))</f>
        <v/>
      </c>
      <c r="N4636" s="14">
        <f>IF(A4636="","",YEAR(A4636))</f>
        <v/>
      </c>
    </row>
    <row r="4637">
      <c r="A4637" s="15" t="n"/>
      <c r="B4637" s="10" t="n"/>
      <c r="C4637" s="10" t="n"/>
      <c r="D4637" s="10" t="n"/>
      <c r="E4637" s="14">
        <f>IF(D4637="","",IFERROR(INDEX('Sản phẩm'!$B$5:$B$304,MATCH(D4637,'Sản phẩm'!$A$5:$A$304,0)),""))</f>
        <v/>
      </c>
      <c r="F4637" s="12" t="n"/>
      <c r="G4637" s="11" t="n"/>
      <c r="H4637" s="11" t="n"/>
      <c r="I4637" s="16">
        <f>IF(D4637="","",IF(G4637&lt;&gt;"",G4637,IFERROR(INDEX('Sản phẩm'!$E$5:$E$304,MATCH(D4637,'Sản phẩm'!$A$5:$A$304,0)),"")))</f>
        <v/>
      </c>
      <c r="J4637" s="16">
        <f>IF(OR(D4637="",F4637=""),"",F4637*I4637-N(H4637))</f>
        <v/>
      </c>
      <c r="K4637" s="16">
        <f>IF(OR(D4637="",F4637=""),"",F4637*IFERROR(INDEX('Sản phẩm'!$D$5:$D$304,MATCH(D4637,'Sản phẩm'!$A$5:$A$304,0)),""))</f>
        <v/>
      </c>
      <c r="L4637" s="16">
        <f>IF(J4637="","",J4637-K4637)</f>
        <v/>
      </c>
      <c r="M4637" s="14">
        <f>IF(A4637="","",MONTH(A4637))</f>
        <v/>
      </c>
      <c r="N4637" s="14">
        <f>IF(A4637="","",YEAR(A4637))</f>
        <v/>
      </c>
    </row>
    <row r="4638">
      <c r="A4638" s="15" t="n"/>
      <c r="B4638" s="10" t="n"/>
      <c r="C4638" s="10" t="n"/>
      <c r="D4638" s="10" t="n"/>
      <c r="E4638" s="14">
        <f>IF(D4638="","",IFERROR(INDEX('Sản phẩm'!$B$5:$B$304,MATCH(D4638,'Sản phẩm'!$A$5:$A$304,0)),""))</f>
        <v/>
      </c>
      <c r="F4638" s="12" t="n"/>
      <c r="G4638" s="11" t="n"/>
      <c r="H4638" s="11" t="n"/>
      <c r="I4638" s="16">
        <f>IF(D4638="","",IF(G4638&lt;&gt;"",G4638,IFERROR(INDEX('Sản phẩm'!$E$5:$E$304,MATCH(D4638,'Sản phẩm'!$A$5:$A$304,0)),"")))</f>
        <v/>
      </c>
      <c r="J4638" s="16">
        <f>IF(OR(D4638="",F4638=""),"",F4638*I4638-N(H4638))</f>
        <v/>
      </c>
      <c r="K4638" s="16">
        <f>IF(OR(D4638="",F4638=""),"",F4638*IFERROR(INDEX('Sản phẩm'!$D$5:$D$304,MATCH(D4638,'Sản phẩm'!$A$5:$A$304,0)),""))</f>
        <v/>
      </c>
      <c r="L4638" s="16">
        <f>IF(J4638="","",J4638-K4638)</f>
        <v/>
      </c>
      <c r="M4638" s="14">
        <f>IF(A4638="","",MONTH(A4638))</f>
        <v/>
      </c>
      <c r="N4638" s="14">
        <f>IF(A4638="","",YEAR(A4638))</f>
        <v/>
      </c>
    </row>
    <row r="4639">
      <c r="A4639" s="15" t="n"/>
      <c r="B4639" s="10" t="n"/>
      <c r="C4639" s="10" t="n"/>
      <c r="D4639" s="10" t="n"/>
      <c r="E4639" s="14">
        <f>IF(D4639="","",IFERROR(INDEX('Sản phẩm'!$B$5:$B$304,MATCH(D4639,'Sản phẩm'!$A$5:$A$304,0)),""))</f>
        <v/>
      </c>
      <c r="F4639" s="12" t="n"/>
      <c r="G4639" s="11" t="n"/>
      <c r="H4639" s="11" t="n"/>
      <c r="I4639" s="16">
        <f>IF(D4639="","",IF(G4639&lt;&gt;"",G4639,IFERROR(INDEX('Sản phẩm'!$E$5:$E$304,MATCH(D4639,'Sản phẩm'!$A$5:$A$304,0)),"")))</f>
        <v/>
      </c>
      <c r="J4639" s="16">
        <f>IF(OR(D4639="",F4639=""),"",F4639*I4639-N(H4639))</f>
        <v/>
      </c>
      <c r="K4639" s="16">
        <f>IF(OR(D4639="",F4639=""),"",F4639*IFERROR(INDEX('Sản phẩm'!$D$5:$D$304,MATCH(D4639,'Sản phẩm'!$A$5:$A$304,0)),""))</f>
        <v/>
      </c>
      <c r="L4639" s="16">
        <f>IF(J4639="","",J4639-K4639)</f>
        <v/>
      </c>
      <c r="M4639" s="14">
        <f>IF(A4639="","",MONTH(A4639))</f>
        <v/>
      </c>
      <c r="N4639" s="14">
        <f>IF(A4639="","",YEAR(A4639))</f>
        <v/>
      </c>
    </row>
    <row r="4640">
      <c r="A4640" s="15" t="n"/>
      <c r="B4640" s="10" t="n"/>
      <c r="C4640" s="10" t="n"/>
      <c r="D4640" s="10" t="n"/>
      <c r="E4640" s="14">
        <f>IF(D4640="","",IFERROR(INDEX('Sản phẩm'!$B$5:$B$304,MATCH(D4640,'Sản phẩm'!$A$5:$A$304,0)),""))</f>
        <v/>
      </c>
      <c r="F4640" s="12" t="n"/>
      <c r="G4640" s="11" t="n"/>
      <c r="H4640" s="11" t="n"/>
      <c r="I4640" s="16">
        <f>IF(D4640="","",IF(G4640&lt;&gt;"",G4640,IFERROR(INDEX('Sản phẩm'!$E$5:$E$304,MATCH(D4640,'Sản phẩm'!$A$5:$A$304,0)),"")))</f>
        <v/>
      </c>
      <c r="J4640" s="16">
        <f>IF(OR(D4640="",F4640=""),"",F4640*I4640-N(H4640))</f>
        <v/>
      </c>
      <c r="K4640" s="16">
        <f>IF(OR(D4640="",F4640=""),"",F4640*IFERROR(INDEX('Sản phẩm'!$D$5:$D$304,MATCH(D4640,'Sản phẩm'!$A$5:$A$304,0)),""))</f>
        <v/>
      </c>
      <c r="L4640" s="16">
        <f>IF(J4640="","",J4640-K4640)</f>
        <v/>
      </c>
      <c r="M4640" s="14">
        <f>IF(A4640="","",MONTH(A4640))</f>
        <v/>
      </c>
      <c r="N4640" s="14">
        <f>IF(A4640="","",YEAR(A4640))</f>
        <v/>
      </c>
    </row>
    <row r="4641">
      <c r="A4641" s="15" t="n"/>
      <c r="B4641" s="10" t="n"/>
      <c r="C4641" s="10" t="n"/>
      <c r="D4641" s="10" t="n"/>
      <c r="E4641" s="14">
        <f>IF(D4641="","",IFERROR(INDEX('Sản phẩm'!$B$5:$B$304,MATCH(D4641,'Sản phẩm'!$A$5:$A$304,0)),""))</f>
        <v/>
      </c>
      <c r="F4641" s="12" t="n"/>
      <c r="G4641" s="11" t="n"/>
      <c r="H4641" s="11" t="n"/>
      <c r="I4641" s="16">
        <f>IF(D4641="","",IF(G4641&lt;&gt;"",G4641,IFERROR(INDEX('Sản phẩm'!$E$5:$E$304,MATCH(D4641,'Sản phẩm'!$A$5:$A$304,0)),"")))</f>
        <v/>
      </c>
      <c r="J4641" s="16">
        <f>IF(OR(D4641="",F4641=""),"",F4641*I4641-N(H4641))</f>
        <v/>
      </c>
      <c r="K4641" s="16">
        <f>IF(OR(D4641="",F4641=""),"",F4641*IFERROR(INDEX('Sản phẩm'!$D$5:$D$304,MATCH(D4641,'Sản phẩm'!$A$5:$A$304,0)),""))</f>
        <v/>
      </c>
      <c r="L4641" s="16">
        <f>IF(J4641="","",J4641-K4641)</f>
        <v/>
      </c>
      <c r="M4641" s="14">
        <f>IF(A4641="","",MONTH(A4641))</f>
        <v/>
      </c>
      <c r="N4641" s="14">
        <f>IF(A4641="","",YEAR(A4641))</f>
        <v/>
      </c>
    </row>
    <row r="4642">
      <c r="A4642" s="15" t="n"/>
      <c r="B4642" s="10" t="n"/>
      <c r="C4642" s="10" t="n"/>
      <c r="D4642" s="10" t="n"/>
      <c r="E4642" s="14">
        <f>IF(D4642="","",IFERROR(INDEX('Sản phẩm'!$B$5:$B$304,MATCH(D4642,'Sản phẩm'!$A$5:$A$304,0)),""))</f>
        <v/>
      </c>
      <c r="F4642" s="12" t="n"/>
      <c r="G4642" s="11" t="n"/>
      <c r="H4642" s="11" t="n"/>
      <c r="I4642" s="16">
        <f>IF(D4642="","",IF(G4642&lt;&gt;"",G4642,IFERROR(INDEX('Sản phẩm'!$E$5:$E$304,MATCH(D4642,'Sản phẩm'!$A$5:$A$304,0)),"")))</f>
        <v/>
      </c>
      <c r="J4642" s="16">
        <f>IF(OR(D4642="",F4642=""),"",F4642*I4642-N(H4642))</f>
        <v/>
      </c>
      <c r="K4642" s="16">
        <f>IF(OR(D4642="",F4642=""),"",F4642*IFERROR(INDEX('Sản phẩm'!$D$5:$D$304,MATCH(D4642,'Sản phẩm'!$A$5:$A$304,0)),""))</f>
        <v/>
      </c>
      <c r="L4642" s="16">
        <f>IF(J4642="","",J4642-K4642)</f>
        <v/>
      </c>
      <c r="M4642" s="14">
        <f>IF(A4642="","",MONTH(A4642))</f>
        <v/>
      </c>
      <c r="N4642" s="14">
        <f>IF(A4642="","",YEAR(A4642))</f>
        <v/>
      </c>
    </row>
    <row r="4643">
      <c r="A4643" s="15" t="n"/>
      <c r="B4643" s="10" t="n"/>
      <c r="C4643" s="10" t="n"/>
      <c r="D4643" s="10" t="n"/>
      <c r="E4643" s="14">
        <f>IF(D4643="","",IFERROR(INDEX('Sản phẩm'!$B$5:$B$304,MATCH(D4643,'Sản phẩm'!$A$5:$A$304,0)),""))</f>
        <v/>
      </c>
      <c r="F4643" s="12" t="n"/>
      <c r="G4643" s="11" t="n"/>
      <c r="H4643" s="11" t="n"/>
      <c r="I4643" s="16">
        <f>IF(D4643="","",IF(G4643&lt;&gt;"",G4643,IFERROR(INDEX('Sản phẩm'!$E$5:$E$304,MATCH(D4643,'Sản phẩm'!$A$5:$A$304,0)),"")))</f>
        <v/>
      </c>
      <c r="J4643" s="16">
        <f>IF(OR(D4643="",F4643=""),"",F4643*I4643-N(H4643))</f>
        <v/>
      </c>
      <c r="K4643" s="16">
        <f>IF(OR(D4643="",F4643=""),"",F4643*IFERROR(INDEX('Sản phẩm'!$D$5:$D$304,MATCH(D4643,'Sản phẩm'!$A$5:$A$304,0)),""))</f>
        <v/>
      </c>
      <c r="L4643" s="16">
        <f>IF(J4643="","",J4643-K4643)</f>
        <v/>
      </c>
      <c r="M4643" s="14">
        <f>IF(A4643="","",MONTH(A4643))</f>
        <v/>
      </c>
      <c r="N4643" s="14">
        <f>IF(A4643="","",YEAR(A4643))</f>
        <v/>
      </c>
    </row>
    <row r="4644">
      <c r="A4644" s="15" t="n"/>
      <c r="B4644" s="10" t="n"/>
      <c r="C4644" s="10" t="n"/>
      <c r="D4644" s="10" t="n"/>
      <c r="E4644" s="14">
        <f>IF(D4644="","",IFERROR(INDEX('Sản phẩm'!$B$5:$B$304,MATCH(D4644,'Sản phẩm'!$A$5:$A$304,0)),""))</f>
        <v/>
      </c>
      <c r="F4644" s="12" t="n"/>
      <c r="G4644" s="11" t="n"/>
      <c r="H4644" s="11" t="n"/>
      <c r="I4644" s="16">
        <f>IF(D4644="","",IF(G4644&lt;&gt;"",G4644,IFERROR(INDEX('Sản phẩm'!$E$5:$E$304,MATCH(D4644,'Sản phẩm'!$A$5:$A$304,0)),"")))</f>
        <v/>
      </c>
      <c r="J4644" s="16">
        <f>IF(OR(D4644="",F4644=""),"",F4644*I4644-N(H4644))</f>
        <v/>
      </c>
      <c r="K4644" s="16">
        <f>IF(OR(D4644="",F4644=""),"",F4644*IFERROR(INDEX('Sản phẩm'!$D$5:$D$304,MATCH(D4644,'Sản phẩm'!$A$5:$A$304,0)),""))</f>
        <v/>
      </c>
      <c r="L4644" s="16">
        <f>IF(J4644="","",J4644-K4644)</f>
        <v/>
      </c>
      <c r="M4644" s="14">
        <f>IF(A4644="","",MONTH(A4644))</f>
        <v/>
      </c>
      <c r="N4644" s="14">
        <f>IF(A4644="","",YEAR(A4644))</f>
        <v/>
      </c>
    </row>
    <row r="4645">
      <c r="A4645" s="15" t="n"/>
      <c r="B4645" s="10" t="n"/>
      <c r="C4645" s="10" t="n"/>
      <c r="D4645" s="10" t="n"/>
      <c r="E4645" s="14">
        <f>IF(D4645="","",IFERROR(INDEX('Sản phẩm'!$B$5:$B$304,MATCH(D4645,'Sản phẩm'!$A$5:$A$304,0)),""))</f>
        <v/>
      </c>
      <c r="F4645" s="12" t="n"/>
      <c r="G4645" s="11" t="n"/>
      <c r="H4645" s="11" t="n"/>
      <c r="I4645" s="16">
        <f>IF(D4645="","",IF(G4645&lt;&gt;"",G4645,IFERROR(INDEX('Sản phẩm'!$E$5:$E$304,MATCH(D4645,'Sản phẩm'!$A$5:$A$304,0)),"")))</f>
        <v/>
      </c>
      <c r="J4645" s="16">
        <f>IF(OR(D4645="",F4645=""),"",F4645*I4645-N(H4645))</f>
        <v/>
      </c>
      <c r="K4645" s="16">
        <f>IF(OR(D4645="",F4645=""),"",F4645*IFERROR(INDEX('Sản phẩm'!$D$5:$D$304,MATCH(D4645,'Sản phẩm'!$A$5:$A$304,0)),""))</f>
        <v/>
      </c>
      <c r="L4645" s="16">
        <f>IF(J4645="","",J4645-K4645)</f>
        <v/>
      </c>
      <c r="M4645" s="14">
        <f>IF(A4645="","",MONTH(A4645))</f>
        <v/>
      </c>
      <c r="N4645" s="14">
        <f>IF(A4645="","",YEAR(A4645))</f>
        <v/>
      </c>
    </row>
    <row r="4646">
      <c r="A4646" s="15" t="n"/>
      <c r="B4646" s="10" t="n"/>
      <c r="C4646" s="10" t="n"/>
      <c r="D4646" s="10" t="n"/>
      <c r="E4646" s="14">
        <f>IF(D4646="","",IFERROR(INDEX('Sản phẩm'!$B$5:$B$304,MATCH(D4646,'Sản phẩm'!$A$5:$A$304,0)),""))</f>
        <v/>
      </c>
      <c r="F4646" s="12" t="n"/>
      <c r="G4646" s="11" t="n"/>
      <c r="H4646" s="11" t="n"/>
      <c r="I4646" s="16">
        <f>IF(D4646="","",IF(G4646&lt;&gt;"",G4646,IFERROR(INDEX('Sản phẩm'!$E$5:$E$304,MATCH(D4646,'Sản phẩm'!$A$5:$A$304,0)),"")))</f>
        <v/>
      </c>
      <c r="J4646" s="16">
        <f>IF(OR(D4646="",F4646=""),"",F4646*I4646-N(H4646))</f>
        <v/>
      </c>
      <c r="K4646" s="16">
        <f>IF(OR(D4646="",F4646=""),"",F4646*IFERROR(INDEX('Sản phẩm'!$D$5:$D$304,MATCH(D4646,'Sản phẩm'!$A$5:$A$304,0)),""))</f>
        <v/>
      </c>
      <c r="L4646" s="16">
        <f>IF(J4646="","",J4646-K4646)</f>
        <v/>
      </c>
      <c r="M4646" s="14">
        <f>IF(A4646="","",MONTH(A4646))</f>
        <v/>
      </c>
      <c r="N4646" s="14">
        <f>IF(A4646="","",YEAR(A4646))</f>
        <v/>
      </c>
    </row>
    <row r="4647">
      <c r="A4647" s="15" t="n"/>
      <c r="B4647" s="10" t="n"/>
      <c r="C4647" s="10" t="n"/>
      <c r="D4647" s="10" t="n"/>
      <c r="E4647" s="14">
        <f>IF(D4647="","",IFERROR(INDEX('Sản phẩm'!$B$5:$B$304,MATCH(D4647,'Sản phẩm'!$A$5:$A$304,0)),""))</f>
        <v/>
      </c>
      <c r="F4647" s="12" t="n"/>
      <c r="G4647" s="11" t="n"/>
      <c r="H4647" s="11" t="n"/>
      <c r="I4647" s="16">
        <f>IF(D4647="","",IF(G4647&lt;&gt;"",G4647,IFERROR(INDEX('Sản phẩm'!$E$5:$E$304,MATCH(D4647,'Sản phẩm'!$A$5:$A$304,0)),"")))</f>
        <v/>
      </c>
      <c r="J4647" s="16">
        <f>IF(OR(D4647="",F4647=""),"",F4647*I4647-N(H4647))</f>
        <v/>
      </c>
      <c r="K4647" s="16">
        <f>IF(OR(D4647="",F4647=""),"",F4647*IFERROR(INDEX('Sản phẩm'!$D$5:$D$304,MATCH(D4647,'Sản phẩm'!$A$5:$A$304,0)),""))</f>
        <v/>
      </c>
      <c r="L4647" s="16">
        <f>IF(J4647="","",J4647-K4647)</f>
        <v/>
      </c>
      <c r="M4647" s="14">
        <f>IF(A4647="","",MONTH(A4647))</f>
        <v/>
      </c>
      <c r="N4647" s="14">
        <f>IF(A4647="","",YEAR(A4647))</f>
        <v/>
      </c>
    </row>
    <row r="4648">
      <c r="A4648" s="15" t="n"/>
      <c r="B4648" s="10" t="n"/>
      <c r="C4648" s="10" t="n"/>
      <c r="D4648" s="10" t="n"/>
      <c r="E4648" s="14">
        <f>IF(D4648="","",IFERROR(INDEX('Sản phẩm'!$B$5:$B$304,MATCH(D4648,'Sản phẩm'!$A$5:$A$304,0)),""))</f>
        <v/>
      </c>
      <c r="F4648" s="12" t="n"/>
      <c r="G4648" s="11" t="n"/>
      <c r="H4648" s="11" t="n"/>
      <c r="I4648" s="16">
        <f>IF(D4648="","",IF(G4648&lt;&gt;"",G4648,IFERROR(INDEX('Sản phẩm'!$E$5:$E$304,MATCH(D4648,'Sản phẩm'!$A$5:$A$304,0)),"")))</f>
        <v/>
      </c>
      <c r="J4648" s="16">
        <f>IF(OR(D4648="",F4648=""),"",F4648*I4648-N(H4648))</f>
        <v/>
      </c>
      <c r="K4648" s="16">
        <f>IF(OR(D4648="",F4648=""),"",F4648*IFERROR(INDEX('Sản phẩm'!$D$5:$D$304,MATCH(D4648,'Sản phẩm'!$A$5:$A$304,0)),""))</f>
        <v/>
      </c>
      <c r="L4648" s="16">
        <f>IF(J4648="","",J4648-K4648)</f>
        <v/>
      </c>
      <c r="M4648" s="14">
        <f>IF(A4648="","",MONTH(A4648))</f>
        <v/>
      </c>
      <c r="N4648" s="14">
        <f>IF(A4648="","",YEAR(A4648))</f>
        <v/>
      </c>
    </row>
    <row r="4649">
      <c r="A4649" s="15" t="n"/>
      <c r="B4649" s="10" t="n"/>
      <c r="C4649" s="10" t="n"/>
      <c r="D4649" s="10" t="n"/>
      <c r="E4649" s="14">
        <f>IF(D4649="","",IFERROR(INDEX('Sản phẩm'!$B$5:$B$304,MATCH(D4649,'Sản phẩm'!$A$5:$A$304,0)),""))</f>
        <v/>
      </c>
      <c r="F4649" s="12" t="n"/>
      <c r="G4649" s="11" t="n"/>
      <c r="H4649" s="11" t="n"/>
      <c r="I4649" s="16">
        <f>IF(D4649="","",IF(G4649&lt;&gt;"",G4649,IFERROR(INDEX('Sản phẩm'!$E$5:$E$304,MATCH(D4649,'Sản phẩm'!$A$5:$A$304,0)),"")))</f>
        <v/>
      </c>
      <c r="J4649" s="16">
        <f>IF(OR(D4649="",F4649=""),"",F4649*I4649-N(H4649))</f>
        <v/>
      </c>
      <c r="K4649" s="16">
        <f>IF(OR(D4649="",F4649=""),"",F4649*IFERROR(INDEX('Sản phẩm'!$D$5:$D$304,MATCH(D4649,'Sản phẩm'!$A$5:$A$304,0)),""))</f>
        <v/>
      </c>
      <c r="L4649" s="16">
        <f>IF(J4649="","",J4649-K4649)</f>
        <v/>
      </c>
      <c r="M4649" s="14">
        <f>IF(A4649="","",MONTH(A4649))</f>
        <v/>
      </c>
      <c r="N4649" s="14">
        <f>IF(A4649="","",YEAR(A4649))</f>
        <v/>
      </c>
    </row>
    <row r="4650">
      <c r="A4650" s="15" t="n"/>
      <c r="B4650" s="10" t="n"/>
      <c r="C4650" s="10" t="n"/>
      <c r="D4650" s="10" t="n"/>
      <c r="E4650" s="14">
        <f>IF(D4650="","",IFERROR(INDEX('Sản phẩm'!$B$5:$B$304,MATCH(D4650,'Sản phẩm'!$A$5:$A$304,0)),""))</f>
        <v/>
      </c>
      <c r="F4650" s="12" t="n"/>
      <c r="G4650" s="11" t="n"/>
      <c r="H4650" s="11" t="n"/>
      <c r="I4650" s="16">
        <f>IF(D4650="","",IF(G4650&lt;&gt;"",G4650,IFERROR(INDEX('Sản phẩm'!$E$5:$E$304,MATCH(D4650,'Sản phẩm'!$A$5:$A$304,0)),"")))</f>
        <v/>
      </c>
      <c r="J4650" s="16">
        <f>IF(OR(D4650="",F4650=""),"",F4650*I4650-N(H4650))</f>
        <v/>
      </c>
      <c r="K4650" s="16">
        <f>IF(OR(D4650="",F4650=""),"",F4650*IFERROR(INDEX('Sản phẩm'!$D$5:$D$304,MATCH(D4650,'Sản phẩm'!$A$5:$A$304,0)),""))</f>
        <v/>
      </c>
      <c r="L4650" s="16">
        <f>IF(J4650="","",J4650-K4650)</f>
        <v/>
      </c>
      <c r="M4650" s="14">
        <f>IF(A4650="","",MONTH(A4650))</f>
        <v/>
      </c>
      <c r="N4650" s="14">
        <f>IF(A4650="","",YEAR(A4650))</f>
        <v/>
      </c>
    </row>
    <row r="4651">
      <c r="A4651" s="15" t="n"/>
      <c r="B4651" s="10" t="n"/>
      <c r="C4651" s="10" t="n"/>
      <c r="D4651" s="10" t="n"/>
      <c r="E4651" s="14">
        <f>IF(D4651="","",IFERROR(INDEX('Sản phẩm'!$B$5:$B$304,MATCH(D4651,'Sản phẩm'!$A$5:$A$304,0)),""))</f>
        <v/>
      </c>
      <c r="F4651" s="12" t="n"/>
      <c r="G4651" s="11" t="n"/>
      <c r="H4651" s="11" t="n"/>
      <c r="I4651" s="16">
        <f>IF(D4651="","",IF(G4651&lt;&gt;"",G4651,IFERROR(INDEX('Sản phẩm'!$E$5:$E$304,MATCH(D4651,'Sản phẩm'!$A$5:$A$304,0)),"")))</f>
        <v/>
      </c>
      <c r="J4651" s="16">
        <f>IF(OR(D4651="",F4651=""),"",F4651*I4651-N(H4651))</f>
        <v/>
      </c>
      <c r="K4651" s="16">
        <f>IF(OR(D4651="",F4651=""),"",F4651*IFERROR(INDEX('Sản phẩm'!$D$5:$D$304,MATCH(D4651,'Sản phẩm'!$A$5:$A$304,0)),""))</f>
        <v/>
      </c>
      <c r="L4651" s="16">
        <f>IF(J4651="","",J4651-K4651)</f>
        <v/>
      </c>
      <c r="M4651" s="14">
        <f>IF(A4651="","",MONTH(A4651))</f>
        <v/>
      </c>
      <c r="N4651" s="14">
        <f>IF(A4651="","",YEAR(A4651))</f>
        <v/>
      </c>
    </row>
    <row r="4652">
      <c r="A4652" s="15" t="n"/>
      <c r="B4652" s="10" t="n"/>
      <c r="C4652" s="10" t="n"/>
      <c r="D4652" s="10" t="n"/>
      <c r="E4652" s="14">
        <f>IF(D4652="","",IFERROR(INDEX('Sản phẩm'!$B$5:$B$304,MATCH(D4652,'Sản phẩm'!$A$5:$A$304,0)),""))</f>
        <v/>
      </c>
      <c r="F4652" s="12" t="n"/>
      <c r="G4652" s="11" t="n"/>
      <c r="H4652" s="11" t="n"/>
      <c r="I4652" s="16">
        <f>IF(D4652="","",IF(G4652&lt;&gt;"",G4652,IFERROR(INDEX('Sản phẩm'!$E$5:$E$304,MATCH(D4652,'Sản phẩm'!$A$5:$A$304,0)),"")))</f>
        <v/>
      </c>
      <c r="J4652" s="16">
        <f>IF(OR(D4652="",F4652=""),"",F4652*I4652-N(H4652))</f>
        <v/>
      </c>
      <c r="K4652" s="16">
        <f>IF(OR(D4652="",F4652=""),"",F4652*IFERROR(INDEX('Sản phẩm'!$D$5:$D$304,MATCH(D4652,'Sản phẩm'!$A$5:$A$304,0)),""))</f>
        <v/>
      </c>
      <c r="L4652" s="16">
        <f>IF(J4652="","",J4652-K4652)</f>
        <v/>
      </c>
      <c r="M4652" s="14">
        <f>IF(A4652="","",MONTH(A4652))</f>
        <v/>
      </c>
      <c r="N4652" s="14">
        <f>IF(A4652="","",YEAR(A4652))</f>
        <v/>
      </c>
    </row>
    <row r="4653">
      <c r="A4653" s="15" t="n"/>
      <c r="B4653" s="10" t="n"/>
      <c r="C4653" s="10" t="n"/>
      <c r="D4653" s="10" t="n"/>
      <c r="E4653" s="14">
        <f>IF(D4653="","",IFERROR(INDEX('Sản phẩm'!$B$5:$B$304,MATCH(D4653,'Sản phẩm'!$A$5:$A$304,0)),""))</f>
        <v/>
      </c>
      <c r="F4653" s="12" t="n"/>
      <c r="G4653" s="11" t="n"/>
      <c r="H4653" s="11" t="n"/>
      <c r="I4653" s="16">
        <f>IF(D4653="","",IF(G4653&lt;&gt;"",G4653,IFERROR(INDEX('Sản phẩm'!$E$5:$E$304,MATCH(D4653,'Sản phẩm'!$A$5:$A$304,0)),"")))</f>
        <v/>
      </c>
      <c r="J4653" s="16">
        <f>IF(OR(D4653="",F4653=""),"",F4653*I4653-N(H4653))</f>
        <v/>
      </c>
      <c r="K4653" s="16">
        <f>IF(OR(D4653="",F4653=""),"",F4653*IFERROR(INDEX('Sản phẩm'!$D$5:$D$304,MATCH(D4653,'Sản phẩm'!$A$5:$A$304,0)),""))</f>
        <v/>
      </c>
      <c r="L4653" s="16">
        <f>IF(J4653="","",J4653-K4653)</f>
        <v/>
      </c>
      <c r="M4653" s="14">
        <f>IF(A4653="","",MONTH(A4653))</f>
        <v/>
      </c>
      <c r="N4653" s="14">
        <f>IF(A4653="","",YEAR(A4653))</f>
        <v/>
      </c>
    </row>
    <row r="4654">
      <c r="A4654" s="15" t="n"/>
      <c r="B4654" s="10" t="n"/>
      <c r="C4654" s="10" t="n"/>
      <c r="D4654" s="10" t="n"/>
      <c r="E4654" s="14">
        <f>IF(D4654="","",IFERROR(INDEX('Sản phẩm'!$B$5:$B$304,MATCH(D4654,'Sản phẩm'!$A$5:$A$304,0)),""))</f>
        <v/>
      </c>
      <c r="F4654" s="12" t="n"/>
      <c r="G4654" s="11" t="n"/>
      <c r="H4654" s="11" t="n"/>
      <c r="I4654" s="16">
        <f>IF(D4654="","",IF(G4654&lt;&gt;"",G4654,IFERROR(INDEX('Sản phẩm'!$E$5:$E$304,MATCH(D4654,'Sản phẩm'!$A$5:$A$304,0)),"")))</f>
        <v/>
      </c>
      <c r="J4654" s="16">
        <f>IF(OR(D4654="",F4654=""),"",F4654*I4654-N(H4654))</f>
        <v/>
      </c>
      <c r="K4654" s="16">
        <f>IF(OR(D4654="",F4654=""),"",F4654*IFERROR(INDEX('Sản phẩm'!$D$5:$D$304,MATCH(D4654,'Sản phẩm'!$A$5:$A$304,0)),""))</f>
        <v/>
      </c>
      <c r="L4654" s="16">
        <f>IF(J4654="","",J4654-K4654)</f>
        <v/>
      </c>
      <c r="M4654" s="14">
        <f>IF(A4654="","",MONTH(A4654))</f>
        <v/>
      </c>
      <c r="N4654" s="14">
        <f>IF(A4654="","",YEAR(A4654))</f>
        <v/>
      </c>
    </row>
    <row r="4655">
      <c r="A4655" s="15" t="n"/>
      <c r="B4655" s="10" t="n"/>
      <c r="C4655" s="10" t="n"/>
      <c r="D4655" s="10" t="n"/>
      <c r="E4655" s="14">
        <f>IF(D4655="","",IFERROR(INDEX('Sản phẩm'!$B$5:$B$304,MATCH(D4655,'Sản phẩm'!$A$5:$A$304,0)),""))</f>
        <v/>
      </c>
      <c r="F4655" s="12" t="n"/>
      <c r="G4655" s="11" t="n"/>
      <c r="H4655" s="11" t="n"/>
      <c r="I4655" s="16">
        <f>IF(D4655="","",IF(G4655&lt;&gt;"",G4655,IFERROR(INDEX('Sản phẩm'!$E$5:$E$304,MATCH(D4655,'Sản phẩm'!$A$5:$A$304,0)),"")))</f>
        <v/>
      </c>
      <c r="J4655" s="16">
        <f>IF(OR(D4655="",F4655=""),"",F4655*I4655-N(H4655))</f>
        <v/>
      </c>
      <c r="K4655" s="16">
        <f>IF(OR(D4655="",F4655=""),"",F4655*IFERROR(INDEX('Sản phẩm'!$D$5:$D$304,MATCH(D4655,'Sản phẩm'!$A$5:$A$304,0)),""))</f>
        <v/>
      </c>
      <c r="L4655" s="16">
        <f>IF(J4655="","",J4655-K4655)</f>
        <v/>
      </c>
      <c r="M4655" s="14">
        <f>IF(A4655="","",MONTH(A4655))</f>
        <v/>
      </c>
      <c r="N4655" s="14">
        <f>IF(A4655="","",YEAR(A4655))</f>
        <v/>
      </c>
    </row>
    <row r="4656">
      <c r="A4656" s="15" t="n"/>
      <c r="B4656" s="10" t="n"/>
      <c r="C4656" s="10" t="n"/>
      <c r="D4656" s="10" t="n"/>
      <c r="E4656" s="14">
        <f>IF(D4656="","",IFERROR(INDEX('Sản phẩm'!$B$5:$B$304,MATCH(D4656,'Sản phẩm'!$A$5:$A$304,0)),""))</f>
        <v/>
      </c>
      <c r="F4656" s="12" t="n"/>
      <c r="G4656" s="11" t="n"/>
      <c r="H4656" s="11" t="n"/>
      <c r="I4656" s="16">
        <f>IF(D4656="","",IF(G4656&lt;&gt;"",G4656,IFERROR(INDEX('Sản phẩm'!$E$5:$E$304,MATCH(D4656,'Sản phẩm'!$A$5:$A$304,0)),"")))</f>
        <v/>
      </c>
      <c r="J4656" s="16">
        <f>IF(OR(D4656="",F4656=""),"",F4656*I4656-N(H4656))</f>
        <v/>
      </c>
      <c r="K4656" s="16">
        <f>IF(OR(D4656="",F4656=""),"",F4656*IFERROR(INDEX('Sản phẩm'!$D$5:$D$304,MATCH(D4656,'Sản phẩm'!$A$5:$A$304,0)),""))</f>
        <v/>
      </c>
      <c r="L4656" s="16">
        <f>IF(J4656="","",J4656-K4656)</f>
        <v/>
      </c>
      <c r="M4656" s="14">
        <f>IF(A4656="","",MONTH(A4656))</f>
        <v/>
      </c>
      <c r="N4656" s="14">
        <f>IF(A4656="","",YEAR(A4656))</f>
        <v/>
      </c>
    </row>
    <row r="4657">
      <c r="A4657" s="15" t="n"/>
      <c r="B4657" s="10" t="n"/>
      <c r="C4657" s="10" t="n"/>
      <c r="D4657" s="10" t="n"/>
      <c r="E4657" s="14">
        <f>IF(D4657="","",IFERROR(INDEX('Sản phẩm'!$B$5:$B$304,MATCH(D4657,'Sản phẩm'!$A$5:$A$304,0)),""))</f>
        <v/>
      </c>
      <c r="F4657" s="12" t="n"/>
      <c r="G4657" s="11" t="n"/>
      <c r="H4657" s="11" t="n"/>
      <c r="I4657" s="16">
        <f>IF(D4657="","",IF(G4657&lt;&gt;"",G4657,IFERROR(INDEX('Sản phẩm'!$E$5:$E$304,MATCH(D4657,'Sản phẩm'!$A$5:$A$304,0)),"")))</f>
        <v/>
      </c>
      <c r="J4657" s="16">
        <f>IF(OR(D4657="",F4657=""),"",F4657*I4657-N(H4657))</f>
        <v/>
      </c>
      <c r="K4657" s="16">
        <f>IF(OR(D4657="",F4657=""),"",F4657*IFERROR(INDEX('Sản phẩm'!$D$5:$D$304,MATCH(D4657,'Sản phẩm'!$A$5:$A$304,0)),""))</f>
        <v/>
      </c>
      <c r="L4657" s="16">
        <f>IF(J4657="","",J4657-K4657)</f>
        <v/>
      </c>
      <c r="M4657" s="14">
        <f>IF(A4657="","",MONTH(A4657))</f>
        <v/>
      </c>
      <c r="N4657" s="14">
        <f>IF(A4657="","",YEAR(A4657))</f>
        <v/>
      </c>
    </row>
    <row r="4658">
      <c r="A4658" s="15" t="n"/>
      <c r="B4658" s="10" t="n"/>
      <c r="C4658" s="10" t="n"/>
      <c r="D4658" s="10" t="n"/>
      <c r="E4658" s="14">
        <f>IF(D4658="","",IFERROR(INDEX('Sản phẩm'!$B$5:$B$304,MATCH(D4658,'Sản phẩm'!$A$5:$A$304,0)),""))</f>
        <v/>
      </c>
      <c r="F4658" s="12" t="n"/>
      <c r="G4658" s="11" t="n"/>
      <c r="H4658" s="11" t="n"/>
      <c r="I4658" s="16">
        <f>IF(D4658="","",IF(G4658&lt;&gt;"",G4658,IFERROR(INDEX('Sản phẩm'!$E$5:$E$304,MATCH(D4658,'Sản phẩm'!$A$5:$A$304,0)),"")))</f>
        <v/>
      </c>
      <c r="J4658" s="16">
        <f>IF(OR(D4658="",F4658=""),"",F4658*I4658-N(H4658))</f>
        <v/>
      </c>
      <c r="K4658" s="16">
        <f>IF(OR(D4658="",F4658=""),"",F4658*IFERROR(INDEX('Sản phẩm'!$D$5:$D$304,MATCH(D4658,'Sản phẩm'!$A$5:$A$304,0)),""))</f>
        <v/>
      </c>
      <c r="L4658" s="16">
        <f>IF(J4658="","",J4658-K4658)</f>
        <v/>
      </c>
      <c r="M4658" s="14">
        <f>IF(A4658="","",MONTH(A4658))</f>
        <v/>
      </c>
      <c r="N4658" s="14">
        <f>IF(A4658="","",YEAR(A4658))</f>
        <v/>
      </c>
    </row>
    <row r="4659">
      <c r="A4659" s="15" t="n"/>
      <c r="B4659" s="10" t="n"/>
      <c r="C4659" s="10" t="n"/>
      <c r="D4659" s="10" t="n"/>
      <c r="E4659" s="14">
        <f>IF(D4659="","",IFERROR(INDEX('Sản phẩm'!$B$5:$B$304,MATCH(D4659,'Sản phẩm'!$A$5:$A$304,0)),""))</f>
        <v/>
      </c>
      <c r="F4659" s="12" t="n"/>
      <c r="G4659" s="11" t="n"/>
      <c r="H4659" s="11" t="n"/>
      <c r="I4659" s="16">
        <f>IF(D4659="","",IF(G4659&lt;&gt;"",G4659,IFERROR(INDEX('Sản phẩm'!$E$5:$E$304,MATCH(D4659,'Sản phẩm'!$A$5:$A$304,0)),"")))</f>
        <v/>
      </c>
      <c r="J4659" s="16">
        <f>IF(OR(D4659="",F4659=""),"",F4659*I4659-N(H4659))</f>
        <v/>
      </c>
      <c r="K4659" s="16">
        <f>IF(OR(D4659="",F4659=""),"",F4659*IFERROR(INDEX('Sản phẩm'!$D$5:$D$304,MATCH(D4659,'Sản phẩm'!$A$5:$A$304,0)),""))</f>
        <v/>
      </c>
      <c r="L4659" s="16">
        <f>IF(J4659="","",J4659-K4659)</f>
        <v/>
      </c>
      <c r="M4659" s="14">
        <f>IF(A4659="","",MONTH(A4659))</f>
        <v/>
      </c>
      <c r="N4659" s="14">
        <f>IF(A4659="","",YEAR(A4659))</f>
        <v/>
      </c>
    </row>
    <row r="4660">
      <c r="A4660" s="15" t="n"/>
      <c r="B4660" s="10" t="n"/>
      <c r="C4660" s="10" t="n"/>
      <c r="D4660" s="10" t="n"/>
      <c r="E4660" s="14">
        <f>IF(D4660="","",IFERROR(INDEX('Sản phẩm'!$B$5:$B$304,MATCH(D4660,'Sản phẩm'!$A$5:$A$304,0)),""))</f>
        <v/>
      </c>
      <c r="F4660" s="12" t="n"/>
      <c r="G4660" s="11" t="n"/>
      <c r="H4660" s="11" t="n"/>
      <c r="I4660" s="16">
        <f>IF(D4660="","",IF(G4660&lt;&gt;"",G4660,IFERROR(INDEX('Sản phẩm'!$E$5:$E$304,MATCH(D4660,'Sản phẩm'!$A$5:$A$304,0)),"")))</f>
        <v/>
      </c>
      <c r="J4660" s="16">
        <f>IF(OR(D4660="",F4660=""),"",F4660*I4660-N(H4660))</f>
        <v/>
      </c>
      <c r="K4660" s="16">
        <f>IF(OR(D4660="",F4660=""),"",F4660*IFERROR(INDEX('Sản phẩm'!$D$5:$D$304,MATCH(D4660,'Sản phẩm'!$A$5:$A$304,0)),""))</f>
        <v/>
      </c>
      <c r="L4660" s="16">
        <f>IF(J4660="","",J4660-K4660)</f>
        <v/>
      </c>
      <c r="M4660" s="14">
        <f>IF(A4660="","",MONTH(A4660))</f>
        <v/>
      </c>
      <c r="N4660" s="14">
        <f>IF(A4660="","",YEAR(A4660))</f>
        <v/>
      </c>
    </row>
    <row r="4661">
      <c r="A4661" s="15" t="n"/>
      <c r="B4661" s="10" t="n"/>
      <c r="C4661" s="10" t="n"/>
      <c r="D4661" s="10" t="n"/>
      <c r="E4661" s="14">
        <f>IF(D4661="","",IFERROR(INDEX('Sản phẩm'!$B$5:$B$304,MATCH(D4661,'Sản phẩm'!$A$5:$A$304,0)),""))</f>
        <v/>
      </c>
      <c r="F4661" s="12" t="n"/>
      <c r="G4661" s="11" t="n"/>
      <c r="H4661" s="11" t="n"/>
      <c r="I4661" s="16">
        <f>IF(D4661="","",IF(G4661&lt;&gt;"",G4661,IFERROR(INDEX('Sản phẩm'!$E$5:$E$304,MATCH(D4661,'Sản phẩm'!$A$5:$A$304,0)),"")))</f>
        <v/>
      </c>
      <c r="J4661" s="16">
        <f>IF(OR(D4661="",F4661=""),"",F4661*I4661-N(H4661))</f>
        <v/>
      </c>
      <c r="K4661" s="16">
        <f>IF(OR(D4661="",F4661=""),"",F4661*IFERROR(INDEX('Sản phẩm'!$D$5:$D$304,MATCH(D4661,'Sản phẩm'!$A$5:$A$304,0)),""))</f>
        <v/>
      </c>
      <c r="L4661" s="16">
        <f>IF(J4661="","",J4661-K4661)</f>
        <v/>
      </c>
      <c r="M4661" s="14">
        <f>IF(A4661="","",MONTH(A4661))</f>
        <v/>
      </c>
      <c r="N4661" s="14">
        <f>IF(A4661="","",YEAR(A4661))</f>
        <v/>
      </c>
    </row>
    <row r="4662">
      <c r="A4662" s="15" t="n"/>
      <c r="B4662" s="10" t="n"/>
      <c r="C4662" s="10" t="n"/>
      <c r="D4662" s="10" t="n"/>
      <c r="E4662" s="14">
        <f>IF(D4662="","",IFERROR(INDEX('Sản phẩm'!$B$5:$B$304,MATCH(D4662,'Sản phẩm'!$A$5:$A$304,0)),""))</f>
        <v/>
      </c>
      <c r="F4662" s="12" t="n"/>
      <c r="G4662" s="11" t="n"/>
      <c r="H4662" s="11" t="n"/>
      <c r="I4662" s="16">
        <f>IF(D4662="","",IF(G4662&lt;&gt;"",G4662,IFERROR(INDEX('Sản phẩm'!$E$5:$E$304,MATCH(D4662,'Sản phẩm'!$A$5:$A$304,0)),"")))</f>
        <v/>
      </c>
      <c r="J4662" s="16">
        <f>IF(OR(D4662="",F4662=""),"",F4662*I4662-N(H4662))</f>
        <v/>
      </c>
      <c r="K4662" s="16">
        <f>IF(OR(D4662="",F4662=""),"",F4662*IFERROR(INDEX('Sản phẩm'!$D$5:$D$304,MATCH(D4662,'Sản phẩm'!$A$5:$A$304,0)),""))</f>
        <v/>
      </c>
      <c r="L4662" s="16">
        <f>IF(J4662="","",J4662-K4662)</f>
        <v/>
      </c>
      <c r="M4662" s="14">
        <f>IF(A4662="","",MONTH(A4662))</f>
        <v/>
      </c>
      <c r="N4662" s="14">
        <f>IF(A4662="","",YEAR(A4662))</f>
        <v/>
      </c>
    </row>
    <row r="4663">
      <c r="A4663" s="15" t="n"/>
      <c r="B4663" s="10" t="n"/>
      <c r="C4663" s="10" t="n"/>
      <c r="D4663" s="10" t="n"/>
      <c r="E4663" s="14">
        <f>IF(D4663="","",IFERROR(INDEX('Sản phẩm'!$B$5:$B$304,MATCH(D4663,'Sản phẩm'!$A$5:$A$304,0)),""))</f>
        <v/>
      </c>
      <c r="F4663" s="12" t="n"/>
      <c r="G4663" s="11" t="n"/>
      <c r="H4663" s="11" t="n"/>
      <c r="I4663" s="16">
        <f>IF(D4663="","",IF(G4663&lt;&gt;"",G4663,IFERROR(INDEX('Sản phẩm'!$E$5:$E$304,MATCH(D4663,'Sản phẩm'!$A$5:$A$304,0)),"")))</f>
        <v/>
      </c>
      <c r="J4663" s="16">
        <f>IF(OR(D4663="",F4663=""),"",F4663*I4663-N(H4663))</f>
        <v/>
      </c>
      <c r="K4663" s="16">
        <f>IF(OR(D4663="",F4663=""),"",F4663*IFERROR(INDEX('Sản phẩm'!$D$5:$D$304,MATCH(D4663,'Sản phẩm'!$A$5:$A$304,0)),""))</f>
        <v/>
      </c>
      <c r="L4663" s="16">
        <f>IF(J4663="","",J4663-K4663)</f>
        <v/>
      </c>
      <c r="M4663" s="14">
        <f>IF(A4663="","",MONTH(A4663))</f>
        <v/>
      </c>
      <c r="N4663" s="14">
        <f>IF(A4663="","",YEAR(A4663))</f>
        <v/>
      </c>
    </row>
    <row r="4664">
      <c r="A4664" s="15" t="n"/>
      <c r="B4664" s="10" t="n"/>
      <c r="C4664" s="10" t="n"/>
      <c r="D4664" s="10" t="n"/>
      <c r="E4664" s="14">
        <f>IF(D4664="","",IFERROR(INDEX('Sản phẩm'!$B$5:$B$304,MATCH(D4664,'Sản phẩm'!$A$5:$A$304,0)),""))</f>
        <v/>
      </c>
      <c r="F4664" s="12" t="n"/>
      <c r="G4664" s="11" t="n"/>
      <c r="H4664" s="11" t="n"/>
      <c r="I4664" s="16">
        <f>IF(D4664="","",IF(G4664&lt;&gt;"",G4664,IFERROR(INDEX('Sản phẩm'!$E$5:$E$304,MATCH(D4664,'Sản phẩm'!$A$5:$A$304,0)),"")))</f>
        <v/>
      </c>
      <c r="J4664" s="16">
        <f>IF(OR(D4664="",F4664=""),"",F4664*I4664-N(H4664))</f>
        <v/>
      </c>
      <c r="K4664" s="16">
        <f>IF(OR(D4664="",F4664=""),"",F4664*IFERROR(INDEX('Sản phẩm'!$D$5:$D$304,MATCH(D4664,'Sản phẩm'!$A$5:$A$304,0)),""))</f>
        <v/>
      </c>
      <c r="L4664" s="16">
        <f>IF(J4664="","",J4664-K4664)</f>
        <v/>
      </c>
      <c r="M4664" s="14">
        <f>IF(A4664="","",MONTH(A4664))</f>
        <v/>
      </c>
      <c r="N4664" s="14">
        <f>IF(A4664="","",YEAR(A4664))</f>
        <v/>
      </c>
    </row>
    <row r="4665">
      <c r="A4665" s="15" t="n"/>
      <c r="B4665" s="10" t="n"/>
      <c r="C4665" s="10" t="n"/>
      <c r="D4665" s="10" t="n"/>
      <c r="E4665" s="14">
        <f>IF(D4665="","",IFERROR(INDEX('Sản phẩm'!$B$5:$B$304,MATCH(D4665,'Sản phẩm'!$A$5:$A$304,0)),""))</f>
        <v/>
      </c>
      <c r="F4665" s="12" t="n"/>
      <c r="G4665" s="11" t="n"/>
      <c r="H4665" s="11" t="n"/>
      <c r="I4665" s="16">
        <f>IF(D4665="","",IF(G4665&lt;&gt;"",G4665,IFERROR(INDEX('Sản phẩm'!$E$5:$E$304,MATCH(D4665,'Sản phẩm'!$A$5:$A$304,0)),"")))</f>
        <v/>
      </c>
      <c r="J4665" s="16">
        <f>IF(OR(D4665="",F4665=""),"",F4665*I4665-N(H4665))</f>
        <v/>
      </c>
      <c r="K4665" s="16">
        <f>IF(OR(D4665="",F4665=""),"",F4665*IFERROR(INDEX('Sản phẩm'!$D$5:$D$304,MATCH(D4665,'Sản phẩm'!$A$5:$A$304,0)),""))</f>
        <v/>
      </c>
      <c r="L4665" s="16">
        <f>IF(J4665="","",J4665-K4665)</f>
        <v/>
      </c>
      <c r="M4665" s="14">
        <f>IF(A4665="","",MONTH(A4665))</f>
        <v/>
      </c>
      <c r="N4665" s="14">
        <f>IF(A4665="","",YEAR(A4665))</f>
        <v/>
      </c>
    </row>
    <row r="4666">
      <c r="A4666" s="15" t="n"/>
      <c r="B4666" s="10" t="n"/>
      <c r="C4666" s="10" t="n"/>
      <c r="D4666" s="10" t="n"/>
      <c r="E4666" s="14">
        <f>IF(D4666="","",IFERROR(INDEX('Sản phẩm'!$B$5:$B$304,MATCH(D4666,'Sản phẩm'!$A$5:$A$304,0)),""))</f>
        <v/>
      </c>
      <c r="F4666" s="12" t="n"/>
      <c r="G4666" s="11" t="n"/>
      <c r="H4666" s="11" t="n"/>
      <c r="I4666" s="16">
        <f>IF(D4666="","",IF(G4666&lt;&gt;"",G4666,IFERROR(INDEX('Sản phẩm'!$E$5:$E$304,MATCH(D4666,'Sản phẩm'!$A$5:$A$304,0)),"")))</f>
        <v/>
      </c>
      <c r="J4666" s="16">
        <f>IF(OR(D4666="",F4666=""),"",F4666*I4666-N(H4666))</f>
        <v/>
      </c>
      <c r="K4666" s="16">
        <f>IF(OR(D4666="",F4666=""),"",F4666*IFERROR(INDEX('Sản phẩm'!$D$5:$D$304,MATCH(D4666,'Sản phẩm'!$A$5:$A$304,0)),""))</f>
        <v/>
      </c>
      <c r="L4666" s="16">
        <f>IF(J4666="","",J4666-K4666)</f>
        <v/>
      </c>
      <c r="M4666" s="14">
        <f>IF(A4666="","",MONTH(A4666))</f>
        <v/>
      </c>
      <c r="N4666" s="14">
        <f>IF(A4666="","",YEAR(A4666))</f>
        <v/>
      </c>
    </row>
    <row r="4667">
      <c r="A4667" s="15" t="n"/>
      <c r="B4667" s="10" t="n"/>
      <c r="C4667" s="10" t="n"/>
      <c r="D4667" s="10" t="n"/>
      <c r="E4667" s="14">
        <f>IF(D4667="","",IFERROR(INDEX('Sản phẩm'!$B$5:$B$304,MATCH(D4667,'Sản phẩm'!$A$5:$A$304,0)),""))</f>
        <v/>
      </c>
      <c r="F4667" s="12" t="n"/>
      <c r="G4667" s="11" t="n"/>
      <c r="H4667" s="11" t="n"/>
      <c r="I4667" s="16">
        <f>IF(D4667="","",IF(G4667&lt;&gt;"",G4667,IFERROR(INDEX('Sản phẩm'!$E$5:$E$304,MATCH(D4667,'Sản phẩm'!$A$5:$A$304,0)),"")))</f>
        <v/>
      </c>
      <c r="J4667" s="16">
        <f>IF(OR(D4667="",F4667=""),"",F4667*I4667-N(H4667))</f>
        <v/>
      </c>
      <c r="K4667" s="16">
        <f>IF(OR(D4667="",F4667=""),"",F4667*IFERROR(INDEX('Sản phẩm'!$D$5:$D$304,MATCH(D4667,'Sản phẩm'!$A$5:$A$304,0)),""))</f>
        <v/>
      </c>
      <c r="L4667" s="16">
        <f>IF(J4667="","",J4667-K4667)</f>
        <v/>
      </c>
      <c r="M4667" s="14">
        <f>IF(A4667="","",MONTH(A4667))</f>
        <v/>
      </c>
      <c r="N4667" s="14">
        <f>IF(A4667="","",YEAR(A4667))</f>
        <v/>
      </c>
    </row>
    <row r="4668">
      <c r="A4668" s="15" t="n"/>
      <c r="B4668" s="10" t="n"/>
      <c r="C4668" s="10" t="n"/>
      <c r="D4668" s="10" t="n"/>
      <c r="E4668" s="14">
        <f>IF(D4668="","",IFERROR(INDEX('Sản phẩm'!$B$5:$B$304,MATCH(D4668,'Sản phẩm'!$A$5:$A$304,0)),""))</f>
        <v/>
      </c>
      <c r="F4668" s="12" t="n"/>
      <c r="G4668" s="11" t="n"/>
      <c r="H4668" s="11" t="n"/>
      <c r="I4668" s="16">
        <f>IF(D4668="","",IF(G4668&lt;&gt;"",G4668,IFERROR(INDEX('Sản phẩm'!$E$5:$E$304,MATCH(D4668,'Sản phẩm'!$A$5:$A$304,0)),"")))</f>
        <v/>
      </c>
      <c r="J4668" s="16">
        <f>IF(OR(D4668="",F4668=""),"",F4668*I4668-N(H4668))</f>
        <v/>
      </c>
      <c r="K4668" s="16">
        <f>IF(OR(D4668="",F4668=""),"",F4668*IFERROR(INDEX('Sản phẩm'!$D$5:$D$304,MATCH(D4668,'Sản phẩm'!$A$5:$A$304,0)),""))</f>
        <v/>
      </c>
      <c r="L4668" s="16">
        <f>IF(J4668="","",J4668-K4668)</f>
        <v/>
      </c>
      <c r="M4668" s="14">
        <f>IF(A4668="","",MONTH(A4668))</f>
        <v/>
      </c>
      <c r="N4668" s="14">
        <f>IF(A4668="","",YEAR(A4668))</f>
        <v/>
      </c>
    </row>
    <row r="4669">
      <c r="A4669" s="15" t="n"/>
      <c r="B4669" s="10" t="n"/>
      <c r="C4669" s="10" t="n"/>
      <c r="D4669" s="10" t="n"/>
      <c r="E4669" s="14">
        <f>IF(D4669="","",IFERROR(INDEX('Sản phẩm'!$B$5:$B$304,MATCH(D4669,'Sản phẩm'!$A$5:$A$304,0)),""))</f>
        <v/>
      </c>
      <c r="F4669" s="12" t="n"/>
      <c r="G4669" s="11" t="n"/>
      <c r="H4669" s="11" t="n"/>
      <c r="I4669" s="16">
        <f>IF(D4669="","",IF(G4669&lt;&gt;"",G4669,IFERROR(INDEX('Sản phẩm'!$E$5:$E$304,MATCH(D4669,'Sản phẩm'!$A$5:$A$304,0)),"")))</f>
        <v/>
      </c>
      <c r="J4669" s="16">
        <f>IF(OR(D4669="",F4669=""),"",F4669*I4669-N(H4669))</f>
        <v/>
      </c>
      <c r="K4669" s="16">
        <f>IF(OR(D4669="",F4669=""),"",F4669*IFERROR(INDEX('Sản phẩm'!$D$5:$D$304,MATCH(D4669,'Sản phẩm'!$A$5:$A$304,0)),""))</f>
        <v/>
      </c>
      <c r="L4669" s="16">
        <f>IF(J4669="","",J4669-K4669)</f>
        <v/>
      </c>
      <c r="M4669" s="14">
        <f>IF(A4669="","",MONTH(A4669))</f>
        <v/>
      </c>
      <c r="N4669" s="14">
        <f>IF(A4669="","",YEAR(A4669))</f>
        <v/>
      </c>
    </row>
    <row r="4670">
      <c r="A4670" s="15" t="n"/>
      <c r="B4670" s="10" t="n"/>
      <c r="C4670" s="10" t="n"/>
      <c r="D4670" s="10" t="n"/>
      <c r="E4670" s="14">
        <f>IF(D4670="","",IFERROR(INDEX('Sản phẩm'!$B$5:$B$304,MATCH(D4670,'Sản phẩm'!$A$5:$A$304,0)),""))</f>
        <v/>
      </c>
      <c r="F4670" s="12" t="n"/>
      <c r="G4670" s="11" t="n"/>
      <c r="H4670" s="11" t="n"/>
      <c r="I4670" s="16">
        <f>IF(D4670="","",IF(G4670&lt;&gt;"",G4670,IFERROR(INDEX('Sản phẩm'!$E$5:$E$304,MATCH(D4670,'Sản phẩm'!$A$5:$A$304,0)),"")))</f>
        <v/>
      </c>
      <c r="J4670" s="16">
        <f>IF(OR(D4670="",F4670=""),"",F4670*I4670-N(H4670))</f>
        <v/>
      </c>
      <c r="K4670" s="16">
        <f>IF(OR(D4670="",F4670=""),"",F4670*IFERROR(INDEX('Sản phẩm'!$D$5:$D$304,MATCH(D4670,'Sản phẩm'!$A$5:$A$304,0)),""))</f>
        <v/>
      </c>
      <c r="L4670" s="16">
        <f>IF(J4670="","",J4670-K4670)</f>
        <v/>
      </c>
      <c r="M4670" s="14">
        <f>IF(A4670="","",MONTH(A4670))</f>
        <v/>
      </c>
      <c r="N4670" s="14">
        <f>IF(A4670="","",YEAR(A4670))</f>
        <v/>
      </c>
    </row>
    <row r="4671">
      <c r="A4671" s="15" t="n"/>
      <c r="B4671" s="10" t="n"/>
      <c r="C4671" s="10" t="n"/>
      <c r="D4671" s="10" t="n"/>
      <c r="E4671" s="14">
        <f>IF(D4671="","",IFERROR(INDEX('Sản phẩm'!$B$5:$B$304,MATCH(D4671,'Sản phẩm'!$A$5:$A$304,0)),""))</f>
        <v/>
      </c>
      <c r="F4671" s="12" t="n"/>
      <c r="G4671" s="11" t="n"/>
      <c r="H4671" s="11" t="n"/>
      <c r="I4671" s="16">
        <f>IF(D4671="","",IF(G4671&lt;&gt;"",G4671,IFERROR(INDEX('Sản phẩm'!$E$5:$E$304,MATCH(D4671,'Sản phẩm'!$A$5:$A$304,0)),"")))</f>
        <v/>
      </c>
      <c r="J4671" s="16">
        <f>IF(OR(D4671="",F4671=""),"",F4671*I4671-N(H4671))</f>
        <v/>
      </c>
      <c r="K4671" s="16">
        <f>IF(OR(D4671="",F4671=""),"",F4671*IFERROR(INDEX('Sản phẩm'!$D$5:$D$304,MATCH(D4671,'Sản phẩm'!$A$5:$A$304,0)),""))</f>
        <v/>
      </c>
      <c r="L4671" s="16">
        <f>IF(J4671="","",J4671-K4671)</f>
        <v/>
      </c>
      <c r="M4671" s="14">
        <f>IF(A4671="","",MONTH(A4671))</f>
        <v/>
      </c>
      <c r="N4671" s="14">
        <f>IF(A4671="","",YEAR(A4671))</f>
        <v/>
      </c>
    </row>
    <row r="4672">
      <c r="A4672" s="15" t="n"/>
      <c r="B4672" s="10" t="n"/>
      <c r="C4672" s="10" t="n"/>
      <c r="D4672" s="10" t="n"/>
      <c r="E4672" s="14">
        <f>IF(D4672="","",IFERROR(INDEX('Sản phẩm'!$B$5:$B$304,MATCH(D4672,'Sản phẩm'!$A$5:$A$304,0)),""))</f>
        <v/>
      </c>
      <c r="F4672" s="12" t="n"/>
      <c r="G4672" s="11" t="n"/>
      <c r="H4672" s="11" t="n"/>
      <c r="I4672" s="16">
        <f>IF(D4672="","",IF(G4672&lt;&gt;"",G4672,IFERROR(INDEX('Sản phẩm'!$E$5:$E$304,MATCH(D4672,'Sản phẩm'!$A$5:$A$304,0)),"")))</f>
        <v/>
      </c>
      <c r="J4672" s="16">
        <f>IF(OR(D4672="",F4672=""),"",F4672*I4672-N(H4672))</f>
        <v/>
      </c>
      <c r="K4672" s="16">
        <f>IF(OR(D4672="",F4672=""),"",F4672*IFERROR(INDEX('Sản phẩm'!$D$5:$D$304,MATCH(D4672,'Sản phẩm'!$A$5:$A$304,0)),""))</f>
        <v/>
      </c>
      <c r="L4672" s="16">
        <f>IF(J4672="","",J4672-K4672)</f>
        <v/>
      </c>
      <c r="M4672" s="14">
        <f>IF(A4672="","",MONTH(A4672))</f>
        <v/>
      </c>
      <c r="N4672" s="14">
        <f>IF(A4672="","",YEAR(A4672))</f>
        <v/>
      </c>
    </row>
    <row r="4673">
      <c r="A4673" s="15" t="n"/>
      <c r="B4673" s="10" t="n"/>
      <c r="C4673" s="10" t="n"/>
      <c r="D4673" s="10" t="n"/>
      <c r="E4673" s="14">
        <f>IF(D4673="","",IFERROR(INDEX('Sản phẩm'!$B$5:$B$304,MATCH(D4673,'Sản phẩm'!$A$5:$A$304,0)),""))</f>
        <v/>
      </c>
      <c r="F4673" s="12" t="n"/>
      <c r="G4673" s="11" t="n"/>
      <c r="H4673" s="11" t="n"/>
      <c r="I4673" s="16">
        <f>IF(D4673="","",IF(G4673&lt;&gt;"",G4673,IFERROR(INDEX('Sản phẩm'!$E$5:$E$304,MATCH(D4673,'Sản phẩm'!$A$5:$A$304,0)),"")))</f>
        <v/>
      </c>
      <c r="J4673" s="16">
        <f>IF(OR(D4673="",F4673=""),"",F4673*I4673-N(H4673))</f>
        <v/>
      </c>
      <c r="K4673" s="16">
        <f>IF(OR(D4673="",F4673=""),"",F4673*IFERROR(INDEX('Sản phẩm'!$D$5:$D$304,MATCH(D4673,'Sản phẩm'!$A$5:$A$304,0)),""))</f>
        <v/>
      </c>
      <c r="L4673" s="16">
        <f>IF(J4673="","",J4673-K4673)</f>
        <v/>
      </c>
      <c r="M4673" s="14">
        <f>IF(A4673="","",MONTH(A4673))</f>
        <v/>
      </c>
      <c r="N4673" s="14">
        <f>IF(A4673="","",YEAR(A4673))</f>
        <v/>
      </c>
    </row>
    <row r="4674">
      <c r="A4674" s="15" t="n"/>
      <c r="B4674" s="10" t="n"/>
      <c r="C4674" s="10" t="n"/>
      <c r="D4674" s="10" t="n"/>
      <c r="E4674" s="14">
        <f>IF(D4674="","",IFERROR(INDEX('Sản phẩm'!$B$5:$B$304,MATCH(D4674,'Sản phẩm'!$A$5:$A$304,0)),""))</f>
        <v/>
      </c>
      <c r="F4674" s="12" t="n"/>
      <c r="G4674" s="11" t="n"/>
      <c r="H4674" s="11" t="n"/>
      <c r="I4674" s="16">
        <f>IF(D4674="","",IF(G4674&lt;&gt;"",G4674,IFERROR(INDEX('Sản phẩm'!$E$5:$E$304,MATCH(D4674,'Sản phẩm'!$A$5:$A$304,0)),"")))</f>
        <v/>
      </c>
      <c r="J4674" s="16">
        <f>IF(OR(D4674="",F4674=""),"",F4674*I4674-N(H4674))</f>
        <v/>
      </c>
      <c r="K4674" s="16">
        <f>IF(OR(D4674="",F4674=""),"",F4674*IFERROR(INDEX('Sản phẩm'!$D$5:$D$304,MATCH(D4674,'Sản phẩm'!$A$5:$A$304,0)),""))</f>
        <v/>
      </c>
      <c r="L4674" s="16">
        <f>IF(J4674="","",J4674-K4674)</f>
        <v/>
      </c>
      <c r="M4674" s="14">
        <f>IF(A4674="","",MONTH(A4674))</f>
        <v/>
      </c>
      <c r="N4674" s="14">
        <f>IF(A4674="","",YEAR(A4674))</f>
        <v/>
      </c>
    </row>
    <row r="4675">
      <c r="A4675" s="15" t="n"/>
      <c r="B4675" s="10" t="n"/>
      <c r="C4675" s="10" t="n"/>
      <c r="D4675" s="10" t="n"/>
      <c r="E4675" s="14">
        <f>IF(D4675="","",IFERROR(INDEX('Sản phẩm'!$B$5:$B$304,MATCH(D4675,'Sản phẩm'!$A$5:$A$304,0)),""))</f>
        <v/>
      </c>
      <c r="F4675" s="12" t="n"/>
      <c r="G4675" s="11" t="n"/>
      <c r="H4675" s="11" t="n"/>
      <c r="I4675" s="16">
        <f>IF(D4675="","",IF(G4675&lt;&gt;"",G4675,IFERROR(INDEX('Sản phẩm'!$E$5:$E$304,MATCH(D4675,'Sản phẩm'!$A$5:$A$304,0)),"")))</f>
        <v/>
      </c>
      <c r="J4675" s="16">
        <f>IF(OR(D4675="",F4675=""),"",F4675*I4675-N(H4675))</f>
        <v/>
      </c>
      <c r="K4675" s="16">
        <f>IF(OR(D4675="",F4675=""),"",F4675*IFERROR(INDEX('Sản phẩm'!$D$5:$D$304,MATCH(D4675,'Sản phẩm'!$A$5:$A$304,0)),""))</f>
        <v/>
      </c>
      <c r="L4675" s="16">
        <f>IF(J4675="","",J4675-K4675)</f>
        <v/>
      </c>
      <c r="M4675" s="14">
        <f>IF(A4675="","",MONTH(A4675))</f>
        <v/>
      </c>
      <c r="N4675" s="14">
        <f>IF(A4675="","",YEAR(A4675))</f>
        <v/>
      </c>
    </row>
    <row r="4676">
      <c r="A4676" s="15" t="n"/>
      <c r="B4676" s="10" t="n"/>
      <c r="C4676" s="10" t="n"/>
      <c r="D4676" s="10" t="n"/>
      <c r="E4676" s="14">
        <f>IF(D4676="","",IFERROR(INDEX('Sản phẩm'!$B$5:$B$304,MATCH(D4676,'Sản phẩm'!$A$5:$A$304,0)),""))</f>
        <v/>
      </c>
      <c r="F4676" s="12" t="n"/>
      <c r="G4676" s="11" t="n"/>
      <c r="H4676" s="11" t="n"/>
      <c r="I4676" s="16">
        <f>IF(D4676="","",IF(G4676&lt;&gt;"",G4676,IFERROR(INDEX('Sản phẩm'!$E$5:$E$304,MATCH(D4676,'Sản phẩm'!$A$5:$A$304,0)),"")))</f>
        <v/>
      </c>
      <c r="J4676" s="16">
        <f>IF(OR(D4676="",F4676=""),"",F4676*I4676-N(H4676))</f>
        <v/>
      </c>
      <c r="K4676" s="16">
        <f>IF(OR(D4676="",F4676=""),"",F4676*IFERROR(INDEX('Sản phẩm'!$D$5:$D$304,MATCH(D4676,'Sản phẩm'!$A$5:$A$304,0)),""))</f>
        <v/>
      </c>
      <c r="L4676" s="16">
        <f>IF(J4676="","",J4676-K4676)</f>
        <v/>
      </c>
      <c r="M4676" s="14">
        <f>IF(A4676="","",MONTH(A4676))</f>
        <v/>
      </c>
      <c r="N4676" s="14">
        <f>IF(A4676="","",YEAR(A4676))</f>
        <v/>
      </c>
    </row>
    <row r="4677">
      <c r="A4677" s="15" t="n"/>
      <c r="B4677" s="10" t="n"/>
      <c r="C4677" s="10" t="n"/>
      <c r="D4677" s="10" t="n"/>
      <c r="E4677" s="14">
        <f>IF(D4677="","",IFERROR(INDEX('Sản phẩm'!$B$5:$B$304,MATCH(D4677,'Sản phẩm'!$A$5:$A$304,0)),""))</f>
        <v/>
      </c>
      <c r="F4677" s="12" t="n"/>
      <c r="G4677" s="11" t="n"/>
      <c r="H4677" s="11" t="n"/>
      <c r="I4677" s="16">
        <f>IF(D4677="","",IF(G4677&lt;&gt;"",G4677,IFERROR(INDEX('Sản phẩm'!$E$5:$E$304,MATCH(D4677,'Sản phẩm'!$A$5:$A$304,0)),"")))</f>
        <v/>
      </c>
      <c r="J4677" s="16">
        <f>IF(OR(D4677="",F4677=""),"",F4677*I4677-N(H4677))</f>
        <v/>
      </c>
      <c r="K4677" s="16">
        <f>IF(OR(D4677="",F4677=""),"",F4677*IFERROR(INDEX('Sản phẩm'!$D$5:$D$304,MATCH(D4677,'Sản phẩm'!$A$5:$A$304,0)),""))</f>
        <v/>
      </c>
      <c r="L4677" s="16">
        <f>IF(J4677="","",J4677-K4677)</f>
        <v/>
      </c>
      <c r="M4677" s="14">
        <f>IF(A4677="","",MONTH(A4677))</f>
        <v/>
      </c>
      <c r="N4677" s="14">
        <f>IF(A4677="","",YEAR(A4677))</f>
        <v/>
      </c>
    </row>
    <row r="4678">
      <c r="A4678" s="15" t="n"/>
      <c r="B4678" s="10" t="n"/>
      <c r="C4678" s="10" t="n"/>
      <c r="D4678" s="10" t="n"/>
      <c r="E4678" s="14">
        <f>IF(D4678="","",IFERROR(INDEX('Sản phẩm'!$B$5:$B$304,MATCH(D4678,'Sản phẩm'!$A$5:$A$304,0)),""))</f>
        <v/>
      </c>
      <c r="F4678" s="12" t="n"/>
      <c r="G4678" s="11" t="n"/>
      <c r="H4678" s="11" t="n"/>
      <c r="I4678" s="16">
        <f>IF(D4678="","",IF(G4678&lt;&gt;"",G4678,IFERROR(INDEX('Sản phẩm'!$E$5:$E$304,MATCH(D4678,'Sản phẩm'!$A$5:$A$304,0)),"")))</f>
        <v/>
      </c>
      <c r="J4678" s="16">
        <f>IF(OR(D4678="",F4678=""),"",F4678*I4678-N(H4678))</f>
        <v/>
      </c>
      <c r="K4678" s="16">
        <f>IF(OR(D4678="",F4678=""),"",F4678*IFERROR(INDEX('Sản phẩm'!$D$5:$D$304,MATCH(D4678,'Sản phẩm'!$A$5:$A$304,0)),""))</f>
        <v/>
      </c>
      <c r="L4678" s="16">
        <f>IF(J4678="","",J4678-K4678)</f>
        <v/>
      </c>
      <c r="M4678" s="14">
        <f>IF(A4678="","",MONTH(A4678))</f>
        <v/>
      </c>
      <c r="N4678" s="14">
        <f>IF(A4678="","",YEAR(A4678))</f>
        <v/>
      </c>
    </row>
    <row r="4679">
      <c r="A4679" s="15" t="n"/>
      <c r="B4679" s="10" t="n"/>
      <c r="C4679" s="10" t="n"/>
      <c r="D4679" s="10" t="n"/>
      <c r="E4679" s="14">
        <f>IF(D4679="","",IFERROR(INDEX('Sản phẩm'!$B$5:$B$304,MATCH(D4679,'Sản phẩm'!$A$5:$A$304,0)),""))</f>
        <v/>
      </c>
      <c r="F4679" s="12" t="n"/>
      <c r="G4679" s="11" t="n"/>
      <c r="H4679" s="11" t="n"/>
      <c r="I4679" s="16">
        <f>IF(D4679="","",IF(G4679&lt;&gt;"",G4679,IFERROR(INDEX('Sản phẩm'!$E$5:$E$304,MATCH(D4679,'Sản phẩm'!$A$5:$A$304,0)),"")))</f>
        <v/>
      </c>
      <c r="J4679" s="16">
        <f>IF(OR(D4679="",F4679=""),"",F4679*I4679-N(H4679))</f>
        <v/>
      </c>
      <c r="K4679" s="16">
        <f>IF(OR(D4679="",F4679=""),"",F4679*IFERROR(INDEX('Sản phẩm'!$D$5:$D$304,MATCH(D4679,'Sản phẩm'!$A$5:$A$304,0)),""))</f>
        <v/>
      </c>
      <c r="L4679" s="16">
        <f>IF(J4679="","",J4679-K4679)</f>
        <v/>
      </c>
      <c r="M4679" s="14">
        <f>IF(A4679="","",MONTH(A4679))</f>
        <v/>
      </c>
      <c r="N4679" s="14">
        <f>IF(A4679="","",YEAR(A4679))</f>
        <v/>
      </c>
    </row>
    <row r="4680">
      <c r="A4680" s="15" t="n"/>
      <c r="B4680" s="10" t="n"/>
      <c r="C4680" s="10" t="n"/>
      <c r="D4680" s="10" t="n"/>
      <c r="E4680" s="14">
        <f>IF(D4680="","",IFERROR(INDEX('Sản phẩm'!$B$5:$B$304,MATCH(D4680,'Sản phẩm'!$A$5:$A$304,0)),""))</f>
        <v/>
      </c>
      <c r="F4680" s="12" t="n"/>
      <c r="G4680" s="11" t="n"/>
      <c r="H4680" s="11" t="n"/>
      <c r="I4680" s="16">
        <f>IF(D4680="","",IF(G4680&lt;&gt;"",G4680,IFERROR(INDEX('Sản phẩm'!$E$5:$E$304,MATCH(D4680,'Sản phẩm'!$A$5:$A$304,0)),"")))</f>
        <v/>
      </c>
      <c r="J4680" s="16">
        <f>IF(OR(D4680="",F4680=""),"",F4680*I4680-N(H4680))</f>
        <v/>
      </c>
      <c r="K4680" s="16">
        <f>IF(OR(D4680="",F4680=""),"",F4680*IFERROR(INDEX('Sản phẩm'!$D$5:$D$304,MATCH(D4680,'Sản phẩm'!$A$5:$A$304,0)),""))</f>
        <v/>
      </c>
      <c r="L4680" s="16">
        <f>IF(J4680="","",J4680-K4680)</f>
        <v/>
      </c>
      <c r="M4680" s="14">
        <f>IF(A4680="","",MONTH(A4680))</f>
        <v/>
      </c>
      <c r="N4680" s="14">
        <f>IF(A4680="","",YEAR(A4680))</f>
        <v/>
      </c>
    </row>
    <row r="4681">
      <c r="A4681" s="15" t="n"/>
      <c r="B4681" s="10" t="n"/>
      <c r="C4681" s="10" t="n"/>
      <c r="D4681" s="10" t="n"/>
      <c r="E4681" s="14">
        <f>IF(D4681="","",IFERROR(INDEX('Sản phẩm'!$B$5:$B$304,MATCH(D4681,'Sản phẩm'!$A$5:$A$304,0)),""))</f>
        <v/>
      </c>
      <c r="F4681" s="12" t="n"/>
      <c r="G4681" s="11" t="n"/>
      <c r="H4681" s="11" t="n"/>
      <c r="I4681" s="16">
        <f>IF(D4681="","",IF(G4681&lt;&gt;"",G4681,IFERROR(INDEX('Sản phẩm'!$E$5:$E$304,MATCH(D4681,'Sản phẩm'!$A$5:$A$304,0)),"")))</f>
        <v/>
      </c>
      <c r="J4681" s="16">
        <f>IF(OR(D4681="",F4681=""),"",F4681*I4681-N(H4681))</f>
        <v/>
      </c>
      <c r="K4681" s="16">
        <f>IF(OR(D4681="",F4681=""),"",F4681*IFERROR(INDEX('Sản phẩm'!$D$5:$D$304,MATCH(D4681,'Sản phẩm'!$A$5:$A$304,0)),""))</f>
        <v/>
      </c>
      <c r="L4681" s="16">
        <f>IF(J4681="","",J4681-K4681)</f>
        <v/>
      </c>
      <c r="M4681" s="14">
        <f>IF(A4681="","",MONTH(A4681))</f>
        <v/>
      </c>
      <c r="N4681" s="14">
        <f>IF(A4681="","",YEAR(A4681))</f>
        <v/>
      </c>
    </row>
    <row r="4682">
      <c r="A4682" s="15" t="n"/>
      <c r="B4682" s="10" t="n"/>
      <c r="C4682" s="10" t="n"/>
      <c r="D4682" s="10" t="n"/>
      <c r="E4682" s="14">
        <f>IF(D4682="","",IFERROR(INDEX('Sản phẩm'!$B$5:$B$304,MATCH(D4682,'Sản phẩm'!$A$5:$A$304,0)),""))</f>
        <v/>
      </c>
      <c r="F4682" s="12" t="n"/>
      <c r="G4682" s="11" t="n"/>
      <c r="H4682" s="11" t="n"/>
      <c r="I4682" s="16">
        <f>IF(D4682="","",IF(G4682&lt;&gt;"",G4682,IFERROR(INDEX('Sản phẩm'!$E$5:$E$304,MATCH(D4682,'Sản phẩm'!$A$5:$A$304,0)),"")))</f>
        <v/>
      </c>
      <c r="J4682" s="16">
        <f>IF(OR(D4682="",F4682=""),"",F4682*I4682-N(H4682))</f>
        <v/>
      </c>
      <c r="K4682" s="16">
        <f>IF(OR(D4682="",F4682=""),"",F4682*IFERROR(INDEX('Sản phẩm'!$D$5:$D$304,MATCH(D4682,'Sản phẩm'!$A$5:$A$304,0)),""))</f>
        <v/>
      </c>
      <c r="L4682" s="16">
        <f>IF(J4682="","",J4682-K4682)</f>
        <v/>
      </c>
      <c r="M4682" s="14">
        <f>IF(A4682="","",MONTH(A4682))</f>
        <v/>
      </c>
      <c r="N4682" s="14">
        <f>IF(A4682="","",YEAR(A4682))</f>
        <v/>
      </c>
    </row>
    <row r="4683">
      <c r="A4683" s="15" t="n"/>
      <c r="B4683" s="10" t="n"/>
      <c r="C4683" s="10" t="n"/>
      <c r="D4683" s="10" t="n"/>
      <c r="E4683" s="14">
        <f>IF(D4683="","",IFERROR(INDEX('Sản phẩm'!$B$5:$B$304,MATCH(D4683,'Sản phẩm'!$A$5:$A$304,0)),""))</f>
        <v/>
      </c>
      <c r="F4683" s="12" t="n"/>
      <c r="G4683" s="11" t="n"/>
      <c r="H4683" s="11" t="n"/>
      <c r="I4683" s="16">
        <f>IF(D4683="","",IF(G4683&lt;&gt;"",G4683,IFERROR(INDEX('Sản phẩm'!$E$5:$E$304,MATCH(D4683,'Sản phẩm'!$A$5:$A$304,0)),"")))</f>
        <v/>
      </c>
      <c r="J4683" s="16">
        <f>IF(OR(D4683="",F4683=""),"",F4683*I4683-N(H4683))</f>
        <v/>
      </c>
      <c r="K4683" s="16">
        <f>IF(OR(D4683="",F4683=""),"",F4683*IFERROR(INDEX('Sản phẩm'!$D$5:$D$304,MATCH(D4683,'Sản phẩm'!$A$5:$A$304,0)),""))</f>
        <v/>
      </c>
      <c r="L4683" s="16">
        <f>IF(J4683="","",J4683-K4683)</f>
        <v/>
      </c>
      <c r="M4683" s="14">
        <f>IF(A4683="","",MONTH(A4683))</f>
        <v/>
      </c>
      <c r="N4683" s="14">
        <f>IF(A4683="","",YEAR(A4683))</f>
        <v/>
      </c>
    </row>
    <row r="4684">
      <c r="A4684" s="15" t="n"/>
      <c r="B4684" s="10" t="n"/>
      <c r="C4684" s="10" t="n"/>
      <c r="D4684" s="10" t="n"/>
      <c r="E4684" s="14">
        <f>IF(D4684="","",IFERROR(INDEX('Sản phẩm'!$B$5:$B$304,MATCH(D4684,'Sản phẩm'!$A$5:$A$304,0)),""))</f>
        <v/>
      </c>
      <c r="F4684" s="12" t="n"/>
      <c r="G4684" s="11" t="n"/>
      <c r="H4684" s="11" t="n"/>
      <c r="I4684" s="16">
        <f>IF(D4684="","",IF(G4684&lt;&gt;"",G4684,IFERROR(INDEX('Sản phẩm'!$E$5:$E$304,MATCH(D4684,'Sản phẩm'!$A$5:$A$304,0)),"")))</f>
        <v/>
      </c>
      <c r="J4684" s="16">
        <f>IF(OR(D4684="",F4684=""),"",F4684*I4684-N(H4684))</f>
        <v/>
      </c>
      <c r="K4684" s="16">
        <f>IF(OR(D4684="",F4684=""),"",F4684*IFERROR(INDEX('Sản phẩm'!$D$5:$D$304,MATCH(D4684,'Sản phẩm'!$A$5:$A$304,0)),""))</f>
        <v/>
      </c>
      <c r="L4684" s="16">
        <f>IF(J4684="","",J4684-K4684)</f>
        <v/>
      </c>
      <c r="M4684" s="14">
        <f>IF(A4684="","",MONTH(A4684))</f>
        <v/>
      </c>
      <c r="N4684" s="14">
        <f>IF(A4684="","",YEAR(A4684))</f>
        <v/>
      </c>
    </row>
    <row r="4685">
      <c r="A4685" s="15" t="n"/>
      <c r="B4685" s="10" t="n"/>
      <c r="C4685" s="10" t="n"/>
      <c r="D4685" s="10" t="n"/>
      <c r="E4685" s="14">
        <f>IF(D4685="","",IFERROR(INDEX('Sản phẩm'!$B$5:$B$304,MATCH(D4685,'Sản phẩm'!$A$5:$A$304,0)),""))</f>
        <v/>
      </c>
      <c r="F4685" s="12" t="n"/>
      <c r="G4685" s="11" t="n"/>
      <c r="H4685" s="11" t="n"/>
      <c r="I4685" s="16">
        <f>IF(D4685="","",IF(G4685&lt;&gt;"",G4685,IFERROR(INDEX('Sản phẩm'!$E$5:$E$304,MATCH(D4685,'Sản phẩm'!$A$5:$A$304,0)),"")))</f>
        <v/>
      </c>
      <c r="J4685" s="16">
        <f>IF(OR(D4685="",F4685=""),"",F4685*I4685-N(H4685))</f>
        <v/>
      </c>
      <c r="K4685" s="16">
        <f>IF(OR(D4685="",F4685=""),"",F4685*IFERROR(INDEX('Sản phẩm'!$D$5:$D$304,MATCH(D4685,'Sản phẩm'!$A$5:$A$304,0)),""))</f>
        <v/>
      </c>
      <c r="L4685" s="16">
        <f>IF(J4685="","",J4685-K4685)</f>
        <v/>
      </c>
      <c r="M4685" s="14">
        <f>IF(A4685="","",MONTH(A4685))</f>
        <v/>
      </c>
      <c r="N4685" s="14">
        <f>IF(A4685="","",YEAR(A4685))</f>
        <v/>
      </c>
    </row>
    <row r="4686">
      <c r="A4686" s="15" t="n"/>
      <c r="B4686" s="10" t="n"/>
      <c r="C4686" s="10" t="n"/>
      <c r="D4686" s="10" t="n"/>
      <c r="E4686" s="14">
        <f>IF(D4686="","",IFERROR(INDEX('Sản phẩm'!$B$5:$B$304,MATCH(D4686,'Sản phẩm'!$A$5:$A$304,0)),""))</f>
        <v/>
      </c>
      <c r="F4686" s="12" t="n"/>
      <c r="G4686" s="11" t="n"/>
      <c r="H4686" s="11" t="n"/>
      <c r="I4686" s="16">
        <f>IF(D4686="","",IF(G4686&lt;&gt;"",G4686,IFERROR(INDEX('Sản phẩm'!$E$5:$E$304,MATCH(D4686,'Sản phẩm'!$A$5:$A$304,0)),"")))</f>
        <v/>
      </c>
      <c r="J4686" s="16">
        <f>IF(OR(D4686="",F4686=""),"",F4686*I4686-N(H4686))</f>
        <v/>
      </c>
      <c r="K4686" s="16">
        <f>IF(OR(D4686="",F4686=""),"",F4686*IFERROR(INDEX('Sản phẩm'!$D$5:$D$304,MATCH(D4686,'Sản phẩm'!$A$5:$A$304,0)),""))</f>
        <v/>
      </c>
      <c r="L4686" s="16">
        <f>IF(J4686="","",J4686-K4686)</f>
        <v/>
      </c>
      <c r="M4686" s="14">
        <f>IF(A4686="","",MONTH(A4686))</f>
        <v/>
      </c>
      <c r="N4686" s="14">
        <f>IF(A4686="","",YEAR(A4686))</f>
        <v/>
      </c>
    </row>
    <row r="4687">
      <c r="A4687" s="15" t="n"/>
      <c r="B4687" s="10" t="n"/>
      <c r="C4687" s="10" t="n"/>
      <c r="D4687" s="10" t="n"/>
      <c r="E4687" s="14">
        <f>IF(D4687="","",IFERROR(INDEX('Sản phẩm'!$B$5:$B$304,MATCH(D4687,'Sản phẩm'!$A$5:$A$304,0)),""))</f>
        <v/>
      </c>
      <c r="F4687" s="12" t="n"/>
      <c r="G4687" s="11" t="n"/>
      <c r="H4687" s="11" t="n"/>
      <c r="I4687" s="16">
        <f>IF(D4687="","",IF(G4687&lt;&gt;"",G4687,IFERROR(INDEX('Sản phẩm'!$E$5:$E$304,MATCH(D4687,'Sản phẩm'!$A$5:$A$304,0)),"")))</f>
        <v/>
      </c>
      <c r="J4687" s="16">
        <f>IF(OR(D4687="",F4687=""),"",F4687*I4687-N(H4687))</f>
        <v/>
      </c>
      <c r="K4687" s="16">
        <f>IF(OR(D4687="",F4687=""),"",F4687*IFERROR(INDEX('Sản phẩm'!$D$5:$D$304,MATCH(D4687,'Sản phẩm'!$A$5:$A$304,0)),""))</f>
        <v/>
      </c>
      <c r="L4687" s="16">
        <f>IF(J4687="","",J4687-K4687)</f>
        <v/>
      </c>
      <c r="M4687" s="14">
        <f>IF(A4687="","",MONTH(A4687))</f>
        <v/>
      </c>
      <c r="N4687" s="14">
        <f>IF(A4687="","",YEAR(A4687))</f>
        <v/>
      </c>
    </row>
    <row r="4688">
      <c r="A4688" s="15" t="n"/>
      <c r="B4688" s="10" t="n"/>
      <c r="C4688" s="10" t="n"/>
      <c r="D4688" s="10" t="n"/>
      <c r="E4688" s="14">
        <f>IF(D4688="","",IFERROR(INDEX('Sản phẩm'!$B$5:$B$304,MATCH(D4688,'Sản phẩm'!$A$5:$A$304,0)),""))</f>
        <v/>
      </c>
      <c r="F4688" s="12" t="n"/>
      <c r="G4688" s="11" t="n"/>
      <c r="H4688" s="11" t="n"/>
      <c r="I4688" s="16">
        <f>IF(D4688="","",IF(G4688&lt;&gt;"",G4688,IFERROR(INDEX('Sản phẩm'!$E$5:$E$304,MATCH(D4688,'Sản phẩm'!$A$5:$A$304,0)),"")))</f>
        <v/>
      </c>
      <c r="J4688" s="16">
        <f>IF(OR(D4688="",F4688=""),"",F4688*I4688-N(H4688))</f>
        <v/>
      </c>
      <c r="K4688" s="16">
        <f>IF(OR(D4688="",F4688=""),"",F4688*IFERROR(INDEX('Sản phẩm'!$D$5:$D$304,MATCH(D4688,'Sản phẩm'!$A$5:$A$304,0)),""))</f>
        <v/>
      </c>
      <c r="L4688" s="16">
        <f>IF(J4688="","",J4688-K4688)</f>
        <v/>
      </c>
      <c r="M4688" s="14">
        <f>IF(A4688="","",MONTH(A4688))</f>
        <v/>
      </c>
      <c r="N4688" s="14">
        <f>IF(A4688="","",YEAR(A4688))</f>
        <v/>
      </c>
    </row>
    <row r="4689">
      <c r="A4689" s="15" t="n"/>
      <c r="B4689" s="10" t="n"/>
      <c r="C4689" s="10" t="n"/>
      <c r="D4689" s="10" t="n"/>
      <c r="E4689" s="14">
        <f>IF(D4689="","",IFERROR(INDEX('Sản phẩm'!$B$5:$B$304,MATCH(D4689,'Sản phẩm'!$A$5:$A$304,0)),""))</f>
        <v/>
      </c>
      <c r="F4689" s="12" t="n"/>
      <c r="G4689" s="11" t="n"/>
      <c r="H4689" s="11" t="n"/>
      <c r="I4689" s="16">
        <f>IF(D4689="","",IF(G4689&lt;&gt;"",G4689,IFERROR(INDEX('Sản phẩm'!$E$5:$E$304,MATCH(D4689,'Sản phẩm'!$A$5:$A$304,0)),"")))</f>
        <v/>
      </c>
      <c r="J4689" s="16">
        <f>IF(OR(D4689="",F4689=""),"",F4689*I4689-N(H4689))</f>
        <v/>
      </c>
      <c r="K4689" s="16">
        <f>IF(OR(D4689="",F4689=""),"",F4689*IFERROR(INDEX('Sản phẩm'!$D$5:$D$304,MATCH(D4689,'Sản phẩm'!$A$5:$A$304,0)),""))</f>
        <v/>
      </c>
      <c r="L4689" s="16">
        <f>IF(J4689="","",J4689-K4689)</f>
        <v/>
      </c>
      <c r="M4689" s="14">
        <f>IF(A4689="","",MONTH(A4689))</f>
        <v/>
      </c>
      <c r="N4689" s="14">
        <f>IF(A4689="","",YEAR(A4689))</f>
        <v/>
      </c>
    </row>
    <row r="4690">
      <c r="A4690" s="15" t="n"/>
      <c r="B4690" s="10" t="n"/>
      <c r="C4690" s="10" t="n"/>
      <c r="D4690" s="10" t="n"/>
      <c r="E4690" s="14">
        <f>IF(D4690="","",IFERROR(INDEX('Sản phẩm'!$B$5:$B$304,MATCH(D4690,'Sản phẩm'!$A$5:$A$304,0)),""))</f>
        <v/>
      </c>
      <c r="F4690" s="12" t="n"/>
      <c r="G4690" s="11" t="n"/>
      <c r="H4690" s="11" t="n"/>
      <c r="I4690" s="16">
        <f>IF(D4690="","",IF(G4690&lt;&gt;"",G4690,IFERROR(INDEX('Sản phẩm'!$E$5:$E$304,MATCH(D4690,'Sản phẩm'!$A$5:$A$304,0)),"")))</f>
        <v/>
      </c>
      <c r="J4690" s="16">
        <f>IF(OR(D4690="",F4690=""),"",F4690*I4690-N(H4690))</f>
        <v/>
      </c>
      <c r="K4690" s="16">
        <f>IF(OR(D4690="",F4690=""),"",F4690*IFERROR(INDEX('Sản phẩm'!$D$5:$D$304,MATCH(D4690,'Sản phẩm'!$A$5:$A$304,0)),""))</f>
        <v/>
      </c>
      <c r="L4690" s="16">
        <f>IF(J4690="","",J4690-K4690)</f>
        <v/>
      </c>
      <c r="M4690" s="14">
        <f>IF(A4690="","",MONTH(A4690))</f>
        <v/>
      </c>
      <c r="N4690" s="14">
        <f>IF(A4690="","",YEAR(A4690))</f>
        <v/>
      </c>
    </row>
    <row r="4691">
      <c r="A4691" s="15" t="n"/>
      <c r="B4691" s="10" t="n"/>
      <c r="C4691" s="10" t="n"/>
      <c r="D4691" s="10" t="n"/>
      <c r="E4691" s="14">
        <f>IF(D4691="","",IFERROR(INDEX('Sản phẩm'!$B$5:$B$304,MATCH(D4691,'Sản phẩm'!$A$5:$A$304,0)),""))</f>
        <v/>
      </c>
      <c r="F4691" s="12" t="n"/>
      <c r="G4691" s="11" t="n"/>
      <c r="H4691" s="11" t="n"/>
      <c r="I4691" s="16">
        <f>IF(D4691="","",IF(G4691&lt;&gt;"",G4691,IFERROR(INDEX('Sản phẩm'!$E$5:$E$304,MATCH(D4691,'Sản phẩm'!$A$5:$A$304,0)),"")))</f>
        <v/>
      </c>
      <c r="J4691" s="16">
        <f>IF(OR(D4691="",F4691=""),"",F4691*I4691-N(H4691))</f>
        <v/>
      </c>
      <c r="K4691" s="16">
        <f>IF(OR(D4691="",F4691=""),"",F4691*IFERROR(INDEX('Sản phẩm'!$D$5:$D$304,MATCH(D4691,'Sản phẩm'!$A$5:$A$304,0)),""))</f>
        <v/>
      </c>
      <c r="L4691" s="16">
        <f>IF(J4691="","",J4691-K4691)</f>
        <v/>
      </c>
      <c r="M4691" s="14">
        <f>IF(A4691="","",MONTH(A4691))</f>
        <v/>
      </c>
      <c r="N4691" s="14">
        <f>IF(A4691="","",YEAR(A4691))</f>
        <v/>
      </c>
    </row>
    <row r="4692">
      <c r="A4692" s="15" t="n"/>
      <c r="B4692" s="10" t="n"/>
      <c r="C4692" s="10" t="n"/>
      <c r="D4692" s="10" t="n"/>
      <c r="E4692" s="14">
        <f>IF(D4692="","",IFERROR(INDEX('Sản phẩm'!$B$5:$B$304,MATCH(D4692,'Sản phẩm'!$A$5:$A$304,0)),""))</f>
        <v/>
      </c>
      <c r="F4692" s="12" t="n"/>
      <c r="G4692" s="11" t="n"/>
      <c r="H4692" s="11" t="n"/>
      <c r="I4692" s="16">
        <f>IF(D4692="","",IF(G4692&lt;&gt;"",G4692,IFERROR(INDEX('Sản phẩm'!$E$5:$E$304,MATCH(D4692,'Sản phẩm'!$A$5:$A$304,0)),"")))</f>
        <v/>
      </c>
      <c r="J4692" s="16">
        <f>IF(OR(D4692="",F4692=""),"",F4692*I4692-N(H4692))</f>
        <v/>
      </c>
      <c r="K4692" s="16">
        <f>IF(OR(D4692="",F4692=""),"",F4692*IFERROR(INDEX('Sản phẩm'!$D$5:$D$304,MATCH(D4692,'Sản phẩm'!$A$5:$A$304,0)),""))</f>
        <v/>
      </c>
      <c r="L4692" s="16">
        <f>IF(J4692="","",J4692-K4692)</f>
        <v/>
      </c>
      <c r="M4692" s="14">
        <f>IF(A4692="","",MONTH(A4692))</f>
        <v/>
      </c>
      <c r="N4692" s="14">
        <f>IF(A4692="","",YEAR(A4692))</f>
        <v/>
      </c>
    </row>
    <row r="4693">
      <c r="A4693" s="15" t="n"/>
      <c r="B4693" s="10" t="n"/>
      <c r="C4693" s="10" t="n"/>
      <c r="D4693" s="10" t="n"/>
      <c r="E4693" s="14">
        <f>IF(D4693="","",IFERROR(INDEX('Sản phẩm'!$B$5:$B$304,MATCH(D4693,'Sản phẩm'!$A$5:$A$304,0)),""))</f>
        <v/>
      </c>
      <c r="F4693" s="12" t="n"/>
      <c r="G4693" s="11" t="n"/>
      <c r="H4693" s="11" t="n"/>
      <c r="I4693" s="16">
        <f>IF(D4693="","",IF(G4693&lt;&gt;"",G4693,IFERROR(INDEX('Sản phẩm'!$E$5:$E$304,MATCH(D4693,'Sản phẩm'!$A$5:$A$304,0)),"")))</f>
        <v/>
      </c>
      <c r="J4693" s="16">
        <f>IF(OR(D4693="",F4693=""),"",F4693*I4693-N(H4693))</f>
        <v/>
      </c>
      <c r="K4693" s="16">
        <f>IF(OR(D4693="",F4693=""),"",F4693*IFERROR(INDEX('Sản phẩm'!$D$5:$D$304,MATCH(D4693,'Sản phẩm'!$A$5:$A$304,0)),""))</f>
        <v/>
      </c>
      <c r="L4693" s="16">
        <f>IF(J4693="","",J4693-K4693)</f>
        <v/>
      </c>
      <c r="M4693" s="14">
        <f>IF(A4693="","",MONTH(A4693))</f>
        <v/>
      </c>
      <c r="N4693" s="14">
        <f>IF(A4693="","",YEAR(A4693))</f>
        <v/>
      </c>
    </row>
    <row r="4694">
      <c r="A4694" s="15" t="n"/>
      <c r="B4694" s="10" t="n"/>
      <c r="C4694" s="10" t="n"/>
      <c r="D4694" s="10" t="n"/>
      <c r="E4694" s="14">
        <f>IF(D4694="","",IFERROR(INDEX('Sản phẩm'!$B$5:$B$304,MATCH(D4694,'Sản phẩm'!$A$5:$A$304,0)),""))</f>
        <v/>
      </c>
      <c r="F4694" s="12" t="n"/>
      <c r="G4694" s="11" t="n"/>
      <c r="H4694" s="11" t="n"/>
      <c r="I4694" s="16">
        <f>IF(D4694="","",IF(G4694&lt;&gt;"",G4694,IFERROR(INDEX('Sản phẩm'!$E$5:$E$304,MATCH(D4694,'Sản phẩm'!$A$5:$A$304,0)),"")))</f>
        <v/>
      </c>
      <c r="J4694" s="16">
        <f>IF(OR(D4694="",F4694=""),"",F4694*I4694-N(H4694))</f>
        <v/>
      </c>
      <c r="K4694" s="16">
        <f>IF(OR(D4694="",F4694=""),"",F4694*IFERROR(INDEX('Sản phẩm'!$D$5:$D$304,MATCH(D4694,'Sản phẩm'!$A$5:$A$304,0)),""))</f>
        <v/>
      </c>
      <c r="L4694" s="16">
        <f>IF(J4694="","",J4694-K4694)</f>
        <v/>
      </c>
      <c r="M4694" s="14">
        <f>IF(A4694="","",MONTH(A4694))</f>
        <v/>
      </c>
      <c r="N4694" s="14">
        <f>IF(A4694="","",YEAR(A4694))</f>
        <v/>
      </c>
    </row>
    <row r="4695">
      <c r="A4695" s="15" t="n"/>
      <c r="B4695" s="10" t="n"/>
      <c r="C4695" s="10" t="n"/>
      <c r="D4695" s="10" t="n"/>
      <c r="E4695" s="14">
        <f>IF(D4695="","",IFERROR(INDEX('Sản phẩm'!$B$5:$B$304,MATCH(D4695,'Sản phẩm'!$A$5:$A$304,0)),""))</f>
        <v/>
      </c>
      <c r="F4695" s="12" t="n"/>
      <c r="G4695" s="11" t="n"/>
      <c r="H4695" s="11" t="n"/>
      <c r="I4695" s="16">
        <f>IF(D4695="","",IF(G4695&lt;&gt;"",G4695,IFERROR(INDEX('Sản phẩm'!$E$5:$E$304,MATCH(D4695,'Sản phẩm'!$A$5:$A$304,0)),"")))</f>
        <v/>
      </c>
      <c r="J4695" s="16">
        <f>IF(OR(D4695="",F4695=""),"",F4695*I4695-N(H4695))</f>
        <v/>
      </c>
      <c r="K4695" s="16">
        <f>IF(OR(D4695="",F4695=""),"",F4695*IFERROR(INDEX('Sản phẩm'!$D$5:$D$304,MATCH(D4695,'Sản phẩm'!$A$5:$A$304,0)),""))</f>
        <v/>
      </c>
      <c r="L4695" s="16">
        <f>IF(J4695="","",J4695-K4695)</f>
        <v/>
      </c>
      <c r="M4695" s="14">
        <f>IF(A4695="","",MONTH(A4695))</f>
        <v/>
      </c>
      <c r="N4695" s="14">
        <f>IF(A4695="","",YEAR(A4695))</f>
        <v/>
      </c>
    </row>
    <row r="4696">
      <c r="A4696" s="15" t="n"/>
      <c r="B4696" s="10" t="n"/>
      <c r="C4696" s="10" t="n"/>
      <c r="D4696" s="10" t="n"/>
      <c r="E4696" s="14">
        <f>IF(D4696="","",IFERROR(INDEX('Sản phẩm'!$B$5:$B$304,MATCH(D4696,'Sản phẩm'!$A$5:$A$304,0)),""))</f>
        <v/>
      </c>
      <c r="F4696" s="12" t="n"/>
      <c r="G4696" s="11" t="n"/>
      <c r="H4696" s="11" t="n"/>
      <c r="I4696" s="16">
        <f>IF(D4696="","",IF(G4696&lt;&gt;"",G4696,IFERROR(INDEX('Sản phẩm'!$E$5:$E$304,MATCH(D4696,'Sản phẩm'!$A$5:$A$304,0)),"")))</f>
        <v/>
      </c>
      <c r="J4696" s="16">
        <f>IF(OR(D4696="",F4696=""),"",F4696*I4696-N(H4696))</f>
        <v/>
      </c>
      <c r="K4696" s="16">
        <f>IF(OR(D4696="",F4696=""),"",F4696*IFERROR(INDEX('Sản phẩm'!$D$5:$D$304,MATCH(D4696,'Sản phẩm'!$A$5:$A$304,0)),""))</f>
        <v/>
      </c>
      <c r="L4696" s="16">
        <f>IF(J4696="","",J4696-K4696)</f>
        <v/>
      </c>
      <c r="M4696" s="14">
        <f>IF(A4696="","",MONTH(A4696))</f>
        <v/>
      </c>
      <c r="N4696" s="14">
        <f>IF(A4696="","",YEAR(A4696))</f>
        <v/>
      </c>
    </row>
    <row r="4697">
      <c r="A4697" s="15" t="n"/>
      <c r="B4697" s="10" t="n"/>
      <c r="C4697" s="10" t="n"/>
      <c r="D4697" s="10" t="n"/>
      <c r="E4697" s="14">
        <f>IF(D4697="","",IFERROR(INDEX('Sản phẩm'!$B$5:$B$304,MATCH(D4697,'Sản phẩm'!$A$5:$A$304,0)),""))</f>
        <v/>
      </c>
      <c r="F4697" s="12" t="n"/>
      <c r="G4697" s="11" t="n"/>
      <c r="H4697" s="11" t="n"/>
      <c r="I4697" s="16">
        <f>IF(D4697="","",IF(G4697&lt;&gt;"",G4697,IFERROR(INDEX('Sản phẩm'!$E$5:$E$304,MATCH(D4697,'Sản phẩm'!$A$5:$A$304,0)),"")))</f>
        <v/>
      </c>
      <c r="J4697" s="16">
        <f>IF(OR(D4697="",F4697=""),"",F4697*I4697-N(H4697))</f>
        <v/>
      </c>
      <c r="K4697" s="16">
        <f>IF(OR(D4697="",F4697=""),"",F4697*IFERROR(INDEX('Sản phẩm'!$D$5:$D$304,MATCH(D4697,'Sản phẩm'!$A$5:$A$304,0)),""))</f>
        <v/>
      </c>
      <c r="L4697" s="16">
        <f>IF(J4697="","",J4697-K4697)</f>
        <v/>
      </c>
      <c r="M4697" s="14">
        <f>IF(A4697="","",MONTH(A4697))</f>
        <v/>
      </c>
      <c r="N4697" s="14">
        <f>IF(A4697="","",YEAR(A4697))</f>
        <v/>
      </c>
    </row>
    <row r="4698">
      <c r="A4698" s="15" t="n"/>
      <c r="B4698" s="10" t="n"/>
      <c r="C4698" s="10" t="n"/>
      <c r="D4698" s="10" t="n"/>
      <c r="E4698" s="14">
        <f>IF(D4698="","",IFERROR(INDEX('Sản phẩm'!$B$5:$B$304,MATCH(D4698,'Sản phẩm'!$A$5:$A$304,0)),""))</f>
        <v/>
      </c>
      <c r="F4698" s="12" t="n"/>
      <c r="G4698" s="11" t="n"/>
      <c r="H4698" s="11" t="n"/>
      <c r="I4698" s="16">
        <f>IF(D4698="","",IF(G4698&lt;&gt;"",G4698,IFERROR(INDEX('Sản phẩm'!$E$5:$E$304,MATCH(D4698,'Sản phẩm'!$A$5:$A$304,0)),"")))</f>
        <v/>
      </c>
      <c r="J4698" s="16">
        <f>IF(OR(D4698="",F4698=""),"",F4698*I4698-N(H4698))</f>
        <v/>
      </c>
      <c r="K4698" s="16">
        <f>IF(OR(D4698="",F4698=""),"",F4698*IFERROR(INDEX('Sản phẩm'!$D$5:$D$304,MATCH(D4698,'Sản phẩm'!$A$5:$A$304,0)),""))</f>
        <v/>
      </c>
      <c r="L4698" s="16">
        <f>IF(J4698="","",J4698-K4698)</f>
        <v/>
      </c>
      <c r="M4698" s="14">
        <f>IF(A4698="","",MONTH(A4698))</f>
        <v/>
      </c>
      <c r="N4698" s="14">
        <f>IF(A4698="","",YEAR(A4698))</f>
        <v/>
      </c>
    </row>
    <row r="4699">
      <c r="A4699" s="15" t="n"/>
      <c r="B4699" s="10" t="n"/>
      <c r="C4699" s="10" t="n"/>
      <c r="D4699" s="10" t="n"/>
      <c r="E4699" s="14">
        <f>IF(D4699="","",IFERROR(INDEX('Sản phẩm'!$B$5:$B$304,MATCH(D4699,'Sản phẩm'!$A$5:$A$304,0)),""))</f>
        <v/>
      </c>
      <c r="F4699" s="12" t="n"/>
      <c r="G4699" s="11" t="n"/>
      <c r="H4699" s="11" t="n"/>
      <c r="I4699" s="16">
        <f>IF(D4699="","",IF(G4699&lt;&gt;"",G4699,IFERROR(INDEX('Sản phẩm'!$E$5:$E$304,MATCH(D4699,'Sản phẩm'!$A$5:$A$304,0)),"")))</f>
        <v/>
      </c>
      <c r="J4699" s="16">
        <f>IF(OR(D4699="",F4699=""),"",F4699*I4699-N(H4699))</f>
        <v/>
      </c>
      <c r="K4699" s="16">
        <f>IF(OR(D4699="",F4699=""),"",F4699*IFERROR(INDEX('Sản phẩm'!$D$5:$D$304,MATCH(D4699,'Sản phẩm'!$A$5:$A$304,0)),""))</f>
        <v/>
      </c>
      <c r="L4699" s="16">
        <f>IF(J4699="","",J4699-K4699)</f>
        <v/>
      </c>
      <c r="M4699" s="14">
        <f>IF(A4699="","",MONTH(A4699))</f>
        <v/>
      </c>
      <c r="N4699" s="14">
        <f>IF(A4699="","",YEAR(A4699))</f>
        <v/>
      </c>
    </row>
    <row r="4700">
      <c r="A4700" s="15" t="n"/>
      <c r="B4700" s="10" t="n"/>
      <c r="C4700" s="10" t="n"/>
      <c r="D4700" s="10" t="n"/>
      <c r="E4700" s="14">
        <f>IF(D4700="","",IFERROR(INDEX('Sản phẩm'!$B$5:$B$304,MATCH(D4700,'Sản phẩm'!$A$5:$A$304,0)),""))</f>
        <v/>
      </c>
      <c r="F4700" s="12" t="n"/>
      <c r="G4700" s="11" t="n"/>
      <c r="H4700" s="11" t="n"/>
      <c r="I4700" s="16">
        <f>IF(D4700="","",IF(G4700&lt;&gt;"",G4700,IFERROR(INDEX('Sản phẩm'!$E$5:$E$304,MATCH(D4700,'Sản phẩm'!$A$5:$A$304,0)),"")))</f>
        <v/>
      </c>
      <c r="J4700" s="16">
        <f>IF(OR(D4700="",F4700=""),"",F4700*I4700-N(H4700))</f>
        <v/>
      </c>
      <c r="K4700" s="16">
        <f>IF(OR(D4700="",F4700=""),"",F4700*IFERROR(INDEX('Sản phẩm'!$D$5:$D$304,MATCH(D4700,'Sản phẩm'!$A$5:$A$304,0)),""))</f>
        <v/>
      </c>
      <c r="L4700" s="16">
        <f>IF(J4700="","",J4700-K4700)</f>
        <v/>
      </c>
      <c r="M4700" s="14">
        <f>IF(A4700="","",MONTH(A4700))</f>
        <v/>
      </c>
      <c r="N4700" s="14">
        <f>IF(A4700="","",YEAR(A4700))</f>
        <v/>
      </c>
    </row>
    <row r="4701">
      <c r="A4701" s="15" t="n"/>
      <c r="B4701" s="10" t="n"/>
      <c r="C4701" s="10" t="n"/>
      <c r="D4701" s="10" t="n"/>
      <c r="E4701" s="14">
        <f>IF(D4701="","",IFERROR(INDEX('Sản phẩm'!$B$5:$B$304,MATCH(D4701,'Sản phẩm'!$A$5:$A$304,0)),""))</f>
        <v/>
      </c>
      <c r="F4701" s="12" t="n"/>
      <c r="G4701" s="11" t="n"/>
      <c r="H4701" s="11" t="n"/>
      <c r="I4701" s="16">
        <f>IF(D4701="","",IF(G4701&lt;&gt;"",G4701,IFERROR(INDEX('Sản phẩm'!$E$5:$E$304,MATCH(D4701,'Sản phẩm'!$A$5:$A$304,0)),"")))</f>
        <v/>
      </c>
      <c r="J4701" s="16">
        <f>IF(OR(D4701="",F4701=""),"",F4701*I4701-N(H4701))</f>
        <v/>
      </c>
      <c r="K4701" s="16">
        <f>IF(OR(D4701="",F4701=""),"",F4701*IFERROR(INDEX('Sản phẩm'!$D$5:$D$304,MATCH(D4701,'Sản phẩm'!$A$5:$A$304,0)),""))</f>
        <v/>
      </c>
      <c r="L4701" s="16">
        <f>IF(J4701="","",J4701-K4701)</f>
        <v/>
      </c>
      <c r="M4701" s="14">
        <f>IF(A4701="","",MONTH(A4701))</f>
        <v/>
      </c>
      <c r="N4701" s="14">
        <f>IF(A4701="","",YEAR(A4701))</f>
        <v/>
      </c>
    </row>
    <row r="4702">
      <c r="A4702" s="15" t="n"/>
      <c r="B4702" s="10" t="n"/>
      <c r="C4702" s="10" t="n"/>
      <c r="D4702" s="10" t="n"/>
      <c r="E4702" s="14">
        <f>IF(D4702="","",IFERROR(INDEX('Sản phẩm'!$B$5:$B$304,MATCH(D4702,'Sản phẩm'!$A$5:$A$304,0)),""))</f>
        <v/>
      </c>
      <c r="F4702" s="12" t="n"/>
      <c r="G4702" s="11" t="n"/>
      <c r="H4702" s="11" t="n"/>
      <c r="I4702" s="16">
        <f>IF(D4702="","",IF(G4702&lt;&gt;"",G4702,IFERROR(INDEX('Sản phẩm'!$E$5:$E$304,MATCH(D4702,'Sản phẩm'!$A$5:$A$304,0)),"")))</f>
        <v/>
      </c>
      <c r="J4702" s="16">
        <f>IF(OR(D4702="",F4702=""),"",F4702*I4702-N(H4702))</f>
        <v/>
      </c>
      <c r="K4702" s="16">
        <f>IF(OR(D4702="",F4702=""),"",F4702*IFERROR(INDEX('Sản phẩm'!$D$5:$D$304,MATCH(D4702,'Sản phẩm'!$A$5:$A$304,0)),""))</f>
        <v/>
      </c>
      <c r="L4702" s="16">
        <f>IF(J4702="","",J4702-K4702)</f>
        <v/>
      </c>
      <c r="M4702" s="14">
        <f>IF(A4702="","",MONTH(A4702))</f>
        <v/>
      </c>
      <c r="N4702" s="14">
        <f>IF(A4702="","",YEAR(A4702))</f>
        <v/>
      </c>
    </row>
    <row r="4703">
      <c r="A4703" s="15" t="n"/>
      <c r="B4703" s="10" t="n"/>
      <c r="C4703" s="10" t="n"/>
      <c r="D4703" s="10" t="n"/>
      <c r="E4703" s="14">
        <f>IF(D4703="","",IFERROR(INDEX('Sản phẩm'!$B$5:$B$304,MATCH(D4703,'Sản phẩm'!$A$5:$A$304,0)),""))</f>
        <v/>
      </c>
      <c r="F4703" s="12" t="n"/>
      <c r="G4703" s="11" t="n"/>
      <c r="H4703" s="11" t="n"/>
      <c r="I4703" s="16">
        <f>IF(D4703="","",IF(G4703&lt;&gt;"",G4703,IFERROR(INDEX('Sản phẩm'!$E$5:$E$304,MATCH(D4703,'Sản phẩm'!$A$5:$A$304,0)),"")))</f>
        <v/>
      </c>
      <c r="J4703" s="16">
        <f>IF(OR(D4703="",F4703=""),"",F4703*I4703-N(H4703))</f>
        <v/>
      </c>
      <c r="K4703" s="16">
        <f>IF(OR(D4703="",F4703=""),"",F4703*IFERROR(INDEX('Sản phẩm'!$D$5:$D$304,MATCH(D4703,'Sản phẩm'!$A$5:$A$304,0)),""))</f>
        <v/>
      </c>
      <c r="L4703" s="16">
        <f>IF(J4703="","",J4703-K4703)</f>
        <v/>
      </c>
      <c r="M4703" s="14">
        <f>IF(A4703="","",MONTH(A4703))</f>
        <v/>
      </c>
      <c r="N4703" s="14">
        <f>IF(A4703="","",YEAR(A4703))</f>
        <v/>
      </c>
    </row>
    <row r="4704">
      <c r="A4704" s="15" t="n"/>
      <c r="B4704" s="10" t="n"/>
      <c r="C4704" s="10" t="n"/>
      <c r="D4704" s="10" t="n"/>
      <c r="E4704" s="14">
        <f>IF(D4704="","",IFERROR(INDEX('Sản phẩm'!$B$5:$B$304,MATCH(D4704,'Sản phẩm'!$A$5:$A$304,0)),""))</f>
        <v/>
      </c>
      <c r="F4704" s="12" t="n"/>
      <c r="G4704" s="11" t="n"/>
      <c r="H4704" s="11" t="n"/>
      <c r="I4704" s="16">
        <f>IF(D4704="","",IF(G4704&lt;&gt;"",G4704,IFERROR(INDEX('Sản phẩm'!$E$5:$E$304,MATCH(D4704,'Sản phẩm'!$A$5:$A$304,0)),"")))</f>
        <v/>
      </c>
      <c r="J4704" s="16">
        <f>IF(OR(D4704="",F4704=""),"",F4704*I4704-N(H4704))</f>
        <v/>
      </c>
      <c r="K4704" s="16">
        <f>IF(OR(D4704="",F4704=""),"",F4704*IFERROR(INDEX('Sản phẩm'!$D$5:$D$304,MATCH(D4704,'Sản phẩm'!$A$5:$A$304,0)),""))</f>
        <v/>
      </c>
      <c r="L4704" s="16">
        <f>IF(J4704="","",J4704-K4704)</f>
        <v/>
      </c>
      <c r="M4704" s="14">
        <f>IF(A4704="","",MONTH(A4704))</f>
        <v/>
      </c>
      <c r="N4704" s="14">
        <f>IF(A4704="","",YEAR(A4704))</f>
        <v/>
      </c>
    </row>
    <row r="4705">
      <c r="A4705" s="15" t="n"/>
      <c r="B4705" s="10" t="n"/>
      <c r="C4705" s="10" t="n"/>
      <c r="D4705" s="10" t="n"/>
      <c r="E4705" s="14">
        <f>IF(D4705="","",IFERROR(INDEX('Sản phẩm'!$B$5:$B$304,MATCH(D4705,'Sản phẩm'!$A$5:$A$304,0)),""))</f>
        <v/>
      </c>
      <c r="F4705" s="12" t="n"/>
      <c r="G4705" s="11" t="n"/>
      <c r="H4705" s="11" t="n"/>
      <c r="I4705" s="16">
        <f>IF(D4705="","",IF(G4705&lt;&gt;"",G4705,IFERROR(INDEX('Sản phẩm'!$E$5:$E$304,MATCH(D4705,'Sản phẩm'!$A$5:$A$304,0)),"")))</f>
        <v/>
      </c>
      <c r="J4705" s="16">
        <f>IF(OR(D4705="",F4705=""),"",F4705*I4705-N(H4705))</f>
        <v/>
      </c>
      <c r="K4705" s="16">
        <f>IF(OR(D4705="",F4705=""),"",F4705*IFERROR(INDEX('Sản phẩm'!$D$5:$D$304,MATCH(D4705,'Sản phẩm'!$A$5:$A$304,0)),""))</f>
        <v/>
      </c>
      <c r="L4705" s="16">
        <f>IF(J4705="","",J4705-K4705)</f>
        <v/>
      </c>
      <c r="M4705" s="14">
        <f>IF(A4705="","",MONTH(A4705))</f>
        <v/>
      </c>
      <c r="N4705" s="14">
        <f>IF(A4705="","",YEAR(A4705))</f>
        <v/>
      </c>
    </row>
    <row r="4706">
      <c r="A4706" s="15" t="n"/>
      <c r="B4706" s="10" t="n"/>
      <c r="C4706" s="10" t="n"/>
      <c r="D4706" s="10" t="n"/>
      <c r="E4706" s="14">
        <f>IF(D4706="","",IFERROR(INDEX('Sản phẩm'!$B$5:$B$304,MATCH(D4706,'Sản phẩm'!$A$5:$A$304,0)),""))</f>
        <v/>
      </c>
      <c r="F4706" s="12" t="n"/>
      <c r="G4706" s="11" t="n"/>
      <c r="H4706" s="11" t="n"/>
      <c r="I4706" s="16">
        <f>IF(D4706="","",IF(G4706&lt;&gt;"",G4706,IFERROR(INDEX('Sản phẩm'!$E$5:$E$304,MATCH(D4706,'Sản phẩm'!$A$5:$A$304,0)),"")))</f>
        <v/>
      </c>
      <c r="J4706" s="16">
        <f>IF(OR(D4706="",F4706=""),"",F4706*I4706-N(H4706))</f>
        <v/>
      </c>
      <c r="K4706" s="16">
        <f>IF(OR(D4706="",F4706=""),"",F4706*IFERROR(INDEX('Sản phẩm'!$D$5:$D$304,MATCH(D4706,'Sản phẩm'!$A$5:$A$304,0)),""))</f>
        <v/>
      </c>
      <c r="L4706" s="16">
        <f>IF(J4706="","",J4706-K4706)</f>
        <v/>
      </c>
      <c r="M4706" s="14">
        <f>IF(A4706="","",MONTH(A4706))</f>
        <v/>
      </c>
      <c r="N4706" s="14">
        <f>IF(A4706="","",YEAR(A4706))</f>
        <v/>
      </c>
    </row>
    <row r="4707">
      <c r="A4707" s="15" t="n"/>
      <c r="B4707" s="10" t="n"/>
      <c r="C4707" s="10" t="n"/>
      <c r="D4707" s="10" t="n"/>
      <c r="E4707" s="14">
        <f>IF(D4707="","",IFERROR(INDEX('Sản phẩm'!$B$5:$B$304,MATCH(D4707,'Sản phẩm'!$A$5:$A$304,0)),""))</f>
        <v/>
      </c>
      <c r="F4707" s="12" t="n"/>
      <c r="G4707" s="11" t="n"/>
      <c r="H4707" s="11" t="n"/>
      <c r="I4707" s="16">
        <f>IF(D4707="","",IF(G4707&lt;&gt;"",G4707,IFERROR(INDEX('Sản phẩm'!$E$5:$E$304,MATCH(D4707,'Sản phẩm'!$A$5:$A$304,0)),"")))</f>
        <v/>
      </c>
      <c r="J4707" s="16">
        <f>IF(OR(D4707="",F4707=""),"",F4707*I4707-N(H4707))</f>
        <v/>
      </c>
      <c r="K4707" s="16">
        <f>IF(OR(D4707="",F4707=""),"",F4707*IFERROR(INDEX('Sản phẩm'!$D$5:$D$304,MATCH(D4707,'Sản phẩm'!$A$5:$A$304,0)),""))</f>
        <v/>
      </c>
      <c r="L4707" s="16">
        <f>IF(J4707="","",J4707-K4707)</f>
        <v/>
      </c>
      <c r="M4707" s="14">
        <f>IF(A4707="","",MONTH(A4707))</f>
        <v/>
      </c>
      <c r="N4707" s="14">
        <f>IF(A4707="","",YEAR(A4707))</f>
        <v/>
      </c>
    </row>
    <row r="4708">
      <c r="A4708" s="15" t="n"/>
      <c r="B4708" s="10" t="n"/>
      <c r="C4708" s="10" t="n"/>
      <c r="D4708" s="10" t="n"/>
      <c r="E4708" s="14">
        <f>IF(D4708="","",IFERROR(INDEX('Sản phẩm'!$B$5:$B$304,MATCH(D4708,'Sản phẩm'!$A$5:$A$304,0)),""))</f>
        <v/>
      </c>
      <c r="F4708" s="12" t="n"/>
      <c r="G4708" s="11" t="n"/>
      <c r="H4708" s="11" t="n"/>
      <c r="I4708" s="16">
        <f>IF(D4708="","",IF(G4708&lt;&gt;"",G4708,IFERROR(INDEX('Sản phẩm'!$E$5:$E$304,MATCH(D4708,'Sản phẩm'!$A$5:$A$304,0)),"")))</f>
        <v/>
      </c>
      <c r="J4708" s="16">
        <f>IF(OR(D4708="",F4708=""),"",F4708*I4708-N(H4708))</f>
        <v/>
      </c>
      <c r="K4708" s="16">
        <f>IF(OR(D4708="",F4708=""),"",F4708*IFERROR(INDEX('Sản phẩm'!$D$5:$D$304,MATCH(D4708,'Sản phẩm'!$A$5:$A$304,0)),""))</f>
        <v/>
      </c>
      <c r="L4708" s="16">
        <f>IF(J4708="","",J4708-K4708)</f>
        <v/>
      </c>
      <c r="M4708" s="14">
        <f>IF(A4708="","",MONTH(A4708))</f>
        <v/>
      </c>
      <c r="N4708" s="14">
        <f>IF(A4708="","",YEAR(A4708))</f>
        <v/>
      </c>
    </row>
    <row r="4709">
      <c r="A4709" s="15" t="n"/>
      <c r="B4709" s="10" t="n"/>
      <c r="C4709" s="10" t="n"/>
      <c r="D4709" s="10" t="n"/>
      <c r="E4709" s="14">
        <f>IF(D4709="","",IFERROR(INDEX('Sản phẩm'!$B$5:$B$304,MATCH(D4709,'Sản phẩm'!$A$5:$A$304,0)),""))</f>
        <v/>
      </c>
      <c r="F4709" s="12" t="n"/>
      <c r="G4709" s="11" t="n"/>
      <c r="H4709" s="11" t="n"/>
      <c r="I4709" s="16">
        <f>IF(D4709="","",IF(G4709&lt;&gt;"",G4709,IFERROR(INDEX('Sản phẩm'!$E$5:$E$304,MATCH(D4709,'Sản phẩm'!$A$5:$A$304,0)),"")))</f>
        <v/>
      </c>
      <c r="J4709" s="16">
        <f>IF(OR(D4709="",F4709=""),"",F4709*I4709-N(H4709))</f>
        <v/>
      </c>
      <c r="K4709" s="16">
        <f>IF(OR(D4709="",F4709=""),"",F4709*IFERROR(INDEX('Sản phẩm'!$D$5:$D$304,MATCH(D4709,'Sản phẩm'!$A$5:$A$304,0)),""))</f>
        <v/>
      </c>
      <c r="L4709" s="16">
        <f>IF(J4709="","",J4709-K4709)</f>
        <v/>
      </c>
      <c r="M4709" s="14">
        <f>IF(A4709="","",MONTH(A4709))</f>
        <v/>
      </c>
      <c r="N4709" s="14">
        <f>IF(A4709="","",YEAR(A4709))</f>
        <v/>
      </c>
    </row>
    <row r="4710">
      <c r="A4710" s="15" t="n"/>
      <c r="B4710" s="10" t="n"/>
      <c r="C4710" s="10" t="n"/>
      <c r="D4710" s="10" t="n"/>
      <c r="E4710" s="14">
        <f>IF(D4710="","",IFERROR(INDEX('Sản phẩm'!$B$5:$B$304,MATCH(D4710,'Sản phẩm'!$A$5:$A$304,0)),""))</f>
        <v/>
      </c>
      <c r="F4710" s="12" t="n"/>
      <c r="G4710" s="11" t="n"/>
      <c r="H4710" s="11" t="n"/>
      <c r="I4710" s="16">
        <f>IF(D4710="","",IF(G4710&lt;&gt;"",G4710,IFERROR(INDEX('Sản phẩm'!$E$5:$E$304,MATCH(D4710,'Sản phẩm'!$A$5:$A$304,0)),"")))</f>
        <v/>
      </c>
      <c r="J4710" s="16">
        <f>IF(OR(D4710="",F4710=""),"",F4710*I4710-N(H4710))</f>
        <v/>
      </c>
      <c r="K4710" s="16">
        <f>IF(OR(D4710="",F4710=""),"",F4710*IFERROR(INDEX('Sản phẩm'!$D$5:$D$304,MATCH(D4710,'Sản phẩm'!$A$5:$A$304,0)),""))</f>
        <v/>
      </c>
      <c r="L4710" s="16">
        <f>IF(J4710="","",J4710-K4710)</f>
        <v/>
      </c>
      <c r="M4710" s="14">
        <f>IF(A4710="","",MONTH(A4710))</f>
        <v/>
      </c>
      <c r="N4710" s="14">
        <f>IF(A4710="","",YEAR(A4710))</f>
        <v/>
      </c>
    </row>
    <row r="4711">
      <c r="A4711" s="15" t="n"/>
      <c r="B4711" s="10" t="n"/>
      <c r="C4711" s="10" t="n"/>
      <c r="D4711" s="10" t="n"/>
      <c r="E4711" s="14">
        <f>IF(D4711="","",IFERROR(INDEX('Sản phẩm'!$B$5:$B$304,MATCH(D4711,'Sản phẩm'!$A$5:$A$304,0)),""))</f>
        <v/>
      </c>
      <c r="F4711" s="12" t="n"/>
      <c r="G4711" s="11" t="n"/>
      <c r="H4711" s="11" t="n"/>
      <c r="I4711" s="16">
        <f>IF(D4711="","",IF(G4711&lt;&gt;"",G4711,IFERROR(INDEX('Sản phẩm'!$E$5:$E$304,MATCH(D4711,'Sản phẩm'!$A$5:$A$304,0)),"")))</f>
        <v/>
      </c>
      <c r="J4711" s="16">
        <f>IF(OR(D4711="",F4711=""),"",F4711*I4711-N(H4711))</f>
        <v/>
      </c>
      <c r="K4711" s="16">
        <f>IF(OR(D4711="",F4711=""),"",F4711*IFERROR(INDEX('Sản phẩm'!$D$5:$D$304,MATCH(D4711,'Sản phẩm'!$A$5:$A$304,0)),""))</f>
        <v/>
      </c>
      <c r="L4711" s="16">
        <f>IF(J4711="","",J4711-K4711)</f>
        <v/>
      </c>
      <c r="M4711" s="14">
        <f>IF(A4711="","",MONTH(A4711))</f>
        <v/>
      </c>
      <c r="N4711" s="14">
        <f>IF(A4711="","",YEAR(A4711))</f>
        <v/>
      </c>
    </row>
    <row r="4712">
      <c r="A4712" s="15" t="n"/>
      <c r="B4712" s="10" t="n"/>
      <c r="C4712" s="10" t="n"/>
      <c r="D4712" s="10" t="n"/>
      <c r="E4712" s="14">
        <f>IF(D4712="","",IFERROR(INDEX('Sản phẩm'!$B$5:$B$304,MATCH(D4712,'Sản phẩm'!$A$5:$A$304,0)),""))</f>
        <v/>
      </c>
      <c r="F4712" s="12" t="n"/>
      <c r="G4712" s="11" t="n"/>
      <c r="H4712" s="11" t="n"/>
      <c r="I4712" s="16">
        <f>IF(D4712="","",IF(G4712&lt;&gt;"",G4712,IFERROR(INDEX('Sản phẩm'!$E$5:$E$304,MATCH(D4712,'Sản phẩm'!$A$5:$A$304,0)),"")))</f>
        <v/>
      </c>
      <c r="J4712" s="16">
        <f>IF(OR(D4712="",F4712=""),"",F4712*I4712-N(H4712))</f>
        <v/>
      </c>
      <c r="K4712" s="16">
        <f>IF(OR(D4712="",F4712=""),"",F4712*IFERROR(INDEX('Sản phẩm'!$D$5:$D$304,MATCH(D4712,'Sản phẩm'!$A$5:$A$304,0)),""))</f>
        <v/>
      </c>
      <c r="L4712" s="16">
        <f>IF(J4712="","",J4712-K4712)</f>
        <v/>
      </c>
      <c r="M4712" s="14">
        <f>IF(A4712="","",MONTH(A4712))</f>
        <v/>
      </c>
      <c r="N4712" s="14">
        <f>IF(A4712="","",YEAR(A4712))</f>
        <v/>
      </c>
    </row>
    <row r="4713">
      <c r="A4713" s="15" t="n"/>
      <c r="B4713" s="10" t="n"/>
      <c r="C4713" s="10" t="n"/>
      <c r="D4713" s="10" t="n"/>
      <c r="E4713" s="14">
        <f>IF(D4713="","",IFERROR(INDEX('Sản phẩm'!$B$5:$B$304,MATCH(D4713,'Sản phẩm'!$A$5:$A$304,0)),""))</f>
        <v/>
      </c>
      <c r="F4713" s="12" t="n"/>
      <c r="G4713" s="11" t="n"/>
      <c r="H4713" s="11" t="n"/>
      <c r="I4713" s="16">
        <f>IF(D4713="","",IF(G4713&lt;&gt;"",G4713,IFERROR(INDEX('Sản phẩm'!$E$5:$E$304,MATCH(D4713,'Sản phẩm'!$A$5:$A$304,0)),"")))</f>
        <v/>
      </c>
      <c r="J4713" s="16">
        <f>IF(OR(D4713="",F4713=""),"",F4713*I4713-N(H4713))</f>
        <v/>
      </c>
      <c r="K4713" s="16">
        <f>IF(OR(D4713="",F4713=""),"",F4713*IFERROR(INDEX('Sản phẩm'!$D$5:$D$304,MATCH(D4713,'Sản phẩm'!$A$5:$A$304,0)),""))</f>
        <v/>
      </c>
      <c r="L4713" s="16">
        <f>IF(J4713="","",J4713-K4713)</f>
        <v/>
      </c>
      <c r="M4713" s="14">
        <f>IF(A4713="","",MONTH(A4713))</f>
        <v/>
      </c>
      <c r="N4713" s="14">
        <f>IF(A4713="","",YEAR(A4713))</f>
        <v/>
      </c>
    </row>
    <row r="4714">
      <c r="A4714" s="15" t="n"/>
      <c r="B4714" s="10" t="n"/>
      <c r="C4714" s="10" t="n"/>
      <c r="D4714" s="10" t="n"/>
      <c r="E4714" s="14">
        <f>IF(D4714="","",IFERROR(INDEX('Sản phẩm'!$B$5:$B$304,MATCH(D4714,'Sản phẩm'!$A$5:$A$304,0)),""))</f>
        <v/>
      </c>
      <c r="F4714" s="12" t="n"/>
      <c r="G4714" s="11" t="n"/>
      <c r="H4714" s="11" t="n"/>
      <c r="I4714" s="16">
        <f>IF(D4714="","",IF(G4714&lt;&gt;"",G4714,IFERROR(INDEX('Sản phẩm'!$E$5:$E$304,MATCH(D4714,'Sản phẩm'!$A$5:$A$304,0)),"")))</f>
        <v/>
      </c>
      <c r="J4714" s="16">
        <f>IF(OR(D4714="",F4714=""),"",F4714*I4714-N(H4714))</f>
        <v/>
      </c>
      <c r="K4714" s="16">
        <f>IF(OR(D4714="",F4714=""),"",F4714*IFERROR(INDEX('Sản phẩm'!$D$5:$D$304,MATCH(D4714,'Sản phẩm'!$A$5:$A$304,0)),""))</f>
        <v/>
      </c>
      <c r="L4714" s="16">
        <f>IF(J4714="","",J4714-K4714)</f>
        <v/>
      </c>
      <c r="M4714" s="14">
        <f>IF(A4714="","",MONTH(A4714))</f>
        <v/>
      </c>
      <c r="N4714" s="14">
        <f>IF(A4714="","",YEAR(A4714))</f>
        <v/>
      </c>
    </row>
    <row r="4715">
      <c r="A4715" s="15" t="n"/>
      <c r="B4715" s="10" t="n"/>
      <c r="C4715" s="10" t="n"/>
      <c r="D4715" s="10" t="n"/>
      <c r="E4715" s="14">
        <f>IF(D4715="","",IFERROR(INDEX('Sản phẩm'!$B$5:$B$304,MATCH(D4715,'Sản phẩm'!$A$5:$A$304,0)),""))</f>
        <v/>
      </c>
      <c r="F4715" s="12" t="n"/>
      <c r="G4715" s="11" t="n"/>
      <c r="H4715" s="11" t="n"/>
      <c r="I4715" s="16">
        <f>IF(D4715="","",IF(G4715&lt;&gt;"",G4715,IFERROR(INDEX('Sản phẩm'!$E$5:$E$304,MATCH(D4715,'Sản phẩm'!$A$5:$A$304,0)),"")))</f>
        <v/>
      </c>
      <c r="J4715" s="16">
        <f>IF(OR(D4715="",F4715=""),"",F4715*I4715-N(H4715))</f>
        <v/>
      </c>
      <c r="K4715" s="16">
        <f>IF(OR(D4715="",F4715=""),"",F4715*IFERROR(INDEX('Sản phẩm'!$D$5:$D$304,MATCH(D4715,'Sản phẩm'!$A$5:$A$304,0)),""))</f>
        <v/>
      </c>
      <c r="L4715" s="16">
        <f>IF(J4715="","",J4715-K4715)</f>
        <v/>
      </c>
      <c r="M4715" s="14">
        <f>IF(A4715="","",MONTH(A4715))</f>
        <v/>
      </c>
      <c r="N4715" s="14">
        <f>IF(A4715="","",YEAR(A4715))</f>
        <v/>
      </c>
    </row>
    <row r="4716">
      <c r="A4716" s="15" t="n"/>
      <c r="B4716" s="10" t="n"/>
      <c r="C4716" s="10" t="n"/>
      <c r="D4716" s="10" t="n"/>
      <c r="E4716" s="14">
        <f>IF(D4716="","",IFERROR(INDEX('Sản phẩm'!$B$5:$B$304,MATCH(D4716,'Sản phẩm'!$A$5:$A$304,0)),""))</f>
        <v/>
      </c>
      <c r="F4716" s="12" t="n"/>
      <c r="G4716" s="11" t="n"/>
      <c r="H4716" s="11" t="n"/>
      <c r="I4716" s="16">
        <f>IF(D4716="","",IF(G4716&lt;&gt;"",G4716,IFERROR(INDEX('Sản phẩm'!$E$5:$E$304,MATCH(D4716,'Sản phẩm'!$A$5:$A$304,0)),"")))</f>
        <v/>
      </c>
      <c r="J4716" s="16">
        <f>IF(OR(D4716="",F4716=""),"",F4716*I4716-N(H4716))</f>
        <v/>
      </c>
      <c r="K4716" s="16">
        <f>IF(OR(D4716="",F4716=""),"",F4716*IFERROR(INDEX('Sản phẩm'!$D$5:$D$304,MATCH(D4716,'Sản phẩm'!$A$5:$A$304,0)),""))</f>
        <v/>
      </c>
      <c r="L4716" s="16">
        <f>IF(J4716="","",J4716-K4716)</f>
        <v/>
      </c>
      <c r="M4716" s="14">
        <f>IF(A4716="","",MONTH(A4716))</f>
        <v/>
      </c>
      <c r="N4716" s="14">
        <f>IF(A4716="","",YEAR(A4716))</f>
        <v/>
      </c>
    </row>
    <row r="4717">
      <c r="A4717" s="15" t="n"/>
      <c r="B4717" s="10" t="n"/>
      <c r="C4717" s="10" t="n"/>
      <c r="D4717" s="10" t="n"/>
      <c r="E4717" s="14">
        <f>IF(D4717="","",IFERROR(INDEX('Sản phẩm'!$B$5:$B$304,MATCH(D4717,'Sản phẩm'!$A$5:$A$304,0)),""))</f>
        <v/>
      </c>
      <c r="F4717" s="12" t="n"/>
      <c r="G4717" s="11" t="n"/>
      <c r="H4717" s="11" t="n"/>
      <c r="I4717" s="16">
        <f>IF(D4717="","",IF(G4717&lt;&gt;"",G4717,IFERROR(INDEX('Sản phẩm'!$E$5:$E$304,MATCH(D4717,'Sản phẩm'!$A$5:$A$304,0)),"")))</f>
        <v/>
      </c>
      <c r="J4717" s="16">
        <f>IF(OR(D4717="",F4717=""),"",F4717*I4717-N(H4717))</f>
        <v/>
      </c>
      <c r="K4717" s="16">
        <f>IF(OR(D4717="",F4717=""),"",F4717*IFERROR(INDEX('Sản phẩm'!$D$5:$D$304,MATCH(D4717,'Sản phẩm'!$A$5:$A$304,0)),""))</f>
        <v/>
      </c>
      <c r="L4717" s="16">
        <f>IF(J4717="","",J4717-K4717)</f>
        <v/>
      </c>
      <c r="M4717" s="14">
        <f>IF(A4717="","",MONTH(A4717))</f>
        <v/>
      </c>
      <c r="N4717" s="14">
        <f>IF(A4717="","",YEAR(A4717))</f>
        <v/>
      </c>
    </row>
    <row r="4718">
      <c r="A4718" s="15" t="n"/>
      <c r="B4718" s="10" t="n"/>
      <c r="C4718" s="10" t="n"/>
      <c r="D4718" s="10" t="n"/>
      <c r="E4718" s="14">
        <f>IF(D4718="","",IFERROR(INDEX('Sản phẩm'!$B$5:$B$304,MATCH(D4718,'Sản phẩm'!$A$5:$A$304,0)),""))</f>
        <v/>
      </c>
      <c r="F4718" s="12" t="n"/>
      <c r="G4718" s="11" t="n"/>
      <c r="H4718" s="11" t="n"/>
      <c r="I4718" s="16">
        <f>IF(D4718="","",IF(G4718&lt;&gt;"",G4718,IFERROR(INDEX('Sản phẩm'!$E$5:$E$304,MATCH(D4718,'Sản phẩm'!$A$5:$A$304,0)),"")))</f>
        <v/>
      </c>
      <c r="J4718" s="16">
        <f>IF(OR(D4718="",F4718=""),"",F4718*I4718-N(H4718))</f>
        <v/>
      </c>
      <c r="K4718" s="16">
        <f>IF(OR(D4718="",F4718=""),"",F4718*IFERROR(INDEX('Sản phẩm'!$D$5:$D$304,MATCH(D4718,'Sản phẩm'!$A$5:$A$304,0)),""))</f>
        <v/>
      </c>
      <c r="L4718" s="16">
        <f>IF(J4718="","",J4718-K4718)</f>
        <v/>
      </c>
      <c r="M4718" s="14">
        <f>IF(A4718="","",MONTH(A4718))</f>
        <v/>
      </c>
      <c r="N4718" s="14">
        <f>IF(A4718="","",YEAR(A4718))</f>
        <v/>
      </c>
    </row>
    <row r="4719">
      <c r="A4719" s="15" t="n"/>
      <c r="B4719" s="10" t="n"/>
      <c r="C4719" s="10" t="n"/>
      <c r="D4719" s="10" t="n"/>
      <c r="E4719" s="14">
        <f>IF(D4719="","",IFERROR(INDEX('Sản phẩm'!$B$5:$B$304,MATCH(D4719,'Sản phẩm'!$A$5:$A$304,0)),""))</f>
        <v/>
      </c>
      <c r="F4719" s="12" t="n"/>
      <c r="G4719" s="11" t="n"/>
      <c r="H4719" s="11" t="n"/>
      <c r="I4719" s="16">
        <f>IF(D4719="","",IF(G4719&lt;&gt;"",G4719,IFERROR(INDEX('Sản phẩm'!$E$5:$E$304,MATCH(D4719,'Sản phẩm'!$A$5:$A$304,0)),"")))</f>
        <v/>
      </c>
      <c r="J4719" s="16">
        <f>IF(OR(D4719="",F4719=""),"",F4719*I4719-N(H4719))</f>
        <v/>
      </c>
      <c r="K4719" s="16">
        <f>IF(OR(D4719="",F4719=""),"",F4719*IFERROR(INDEX('Sản phẩm'!$D$5:$D$304,MATCH(D4719,'Sản phẩm'!$A$5:$A$304,0)),""))</f>
        <v/>
      </c>
      <c r="L4719" s="16">
        <f>IF(J4719="","",J4719-K4719)</f>
        <v/>
      </c>
      <c r="M4719" s="14">
        <f>IF(A4719="","",MONTH(A4719))</f>
        <v/>
      </c>
      <c r="N4719" s="14">
        <f>IF(A4719="","",YEAR(A4719))</f>
        <v/>
      </c>
    </row>
    <row r="4720">
      <c r="A4720" s="15" t="n"/>
      <c r="B4720" s="10" t="n"/>
      <c r="C4720" s="10" t="n"/>
      <c r="D4720" s="10" t="n"/>
      <c r="E4720" s="14">
        <f>IF(D4720="","",IFERROR(INDEX('Sản phẩm'!$B$5:$B$304,MATCH(D4720,'Sản phẩm'!$A$5:$A$304,0)),""))</f>
        <v/>
      </c>
      <c r="F4720" s="12" t="n"/>
      <c r="G4720" s="11" t="n"/>
      <c r="H4720" s="11" t="n"/>
      <c r="I4720" s="16">
        <f>IF(D4720="","",IF(G4720&lt;&gt;"",G4720,IFERROR(INDEX('Sản phẩm'!$E$5:$E$304,MATCH(D4720,'Sản phẩm'!$A$5:$A$304,0)),"")))</f>
        <v/>
      </c>
      <c r="J4720" s="16">
        <f>IF(OR(D4720="",F4720=""),"",F4720*I4720-N(H4720))</f>
        <v/>
      </c>
      <c r="K4720" s="16">
        <f>IF(OR(D4720="",F4720=""),"",F4720*IFERROR(INDEX('Sản phẩm'!$D$5:$D$304,MATCH(D4720,'Sản phẩm'!$A$5:$A$304,0)),""))</f>
        <v/>
      </c>
      <c r="L4720" s="16">
        <f>IF(J4720="","",J4720-K4720)</f>
        <v/>
      </c>
      <c r="M4720" s="14">
        <f>IF(A4720="","",MONTH(A4720))</f>
        <v/>
      </c>
      <c r="N4720" s="14">
        <f>IF(A4720="","",YEAR(A4720))</f>
        <v/>
      </c>
    </row>
    <row r="4721">
      <c r="A4721" s="15" t="n"/>
      <c r="B4721" s="10" t="n"/>
      <c r="C4721" s="10" t="n"/>
      <c r="D4721" s="10" t="n"/>
      <c r="E4721" s="14">
        <f>IF(D4721="","",IFERROR(INDEX('Sản phẩm'!$B$5:$B$304,MATCH(D4721,'Sản phẩm'!$A$5:$A$304,0)),""))</f>
        <v/>
      </c>
      <c r="F4721" s="12" t="n"/>
      <c r="G4721" s="11" t="n"/>
      <c r="H4721" s="11" t="n"/>
      <c r="I4721" s="16">
        <f>IF(D4721="","",IF(G4721&lt;&gt;"",G4721,IFERROR(INDEX('Sản phẩm'!$E$5:$E$304,MATCH(D4721,'Sản phẩm'!$A$5:$A$304,0)),"")))</f>
        <v/>
      </c>
      <c r="J4721" s="16">
        <f>IF(OR(D4721="",F4721=""),"",F4721*I4721-N(H4721))</f>
        <v/>
      </c>
      <c r="K4721" s="16">
        <f>IF(OR(D4721="",F4721=""),"",F4721*IFERROR(INDEX('Sản phẩm'!$D$5:$D$304,MATCH(D4721,'Sản phẩm'!$A$5:$A$304,0)),""))</f>
        <v/>
      </c>
      <c r="L4721" s="16">
        <f>IF(J4721="","",J4721-K4721)</f>
        <v/>
      </c>
      <c r="M4721" s="14">
        <f>IF(A4721="","",MONTH(A4721))</f>
        <v/>
      </c>
      <c r="N4721" s="14">
        <f>IF(A4721="","",YEAR(A4721))</f>
        <v/>
      </c>
    </row>
    <row r="4722">
      <c r="A4722" s="15" t="n"/>
      <c r="B4722" s="10" t="n"/>
      <c r="C4722" s="10" t="n"/>
      <c r="D4722" s="10" t="n"/>
      <c r="E4722" s="14">
        <f>IF(D4722="","",IFERROR(INDEX('Sản phẩm'!$B$5:$B$304,MATCH(D4722,'Sản phẩm'!$A$5:$A$304,0)),""))</f>
        <v/>
      </c>
      <c r="F4722" s="12" t="n"/>
      <c r="G4722" s="11" t="n"/>
      <c r="H4722" s="11" t="n"/>
      <c r="I4722" s="16">
        <f>IF(D4722="","",IF(G4722&lt;&gt;"",G4722,IFERROR(INDEX('Sản phẩm'!$E$5:$E$304,MATCH(D4722,'Sản phẩm'!$A$5:$A$304,0)),"")))</f>
        <v/>
      </c>
      <c r="J4722" s="16">
        <f>IF(OR(D4722="",F4722=""),"",F4722*I4722-N(H4722))</f>
        <v/>
      </c>
      <c r="K4722" s="16">
        <f>IF(OR(D4722="",F4722=""),"",F4722*IFERROR(INDEX('Sản phẩm'!$D$5:$D$304,MATCH(D4722,'Sản phẩm'!$A$5:$A$304,0)),""))</f>
        <v/>
      </c>
      <c r="L4722" s="16">
        <f>IF(J4722="","",J4722-K4722)</f>
        <v/>
      </c>
      <c r="M4722" s="14">
        <f>IF(A4722="","",MONTH(A4722))</f>
        <v/>
      </c>
      <c r="N4722" s="14">
        <f>IF(A4722="","",YEAR(A4722))</f>
        <v/>
      </c>
    </row>
    <row r="4723">
      <c r="A4723" s="15" t="n"/>
      <c r="B4723" s="10" t="n"/>
      <c r="C4723" s="10" t="n"/>
      <c r="D4723" s="10" t="n"/>
      <c r="E4723" s="14">
        <f>IF(D4723="","",IFERROR(INDEX('Sản phẩm'!$B$5:$B$304,MATCH(D4723,'Sản phẩm'!$A$5:$A$304,0)),""))</f>
        <v/>
      </c>
      <c r="F4723" s="12" t="n"/>
      <c r="G4723" s="11" t="n"/>
      <c r="H4723" s="11" t="n"/>
      <c r="I4723" s="16">
        <f>IF(D4723="","",IF(G4723&lt;&gt;"",G4723,IFERROR(INDEX('Sản phẩm'!$E$5:$E$304,MATCH(D4723,'Sản phẩm'!$A$5:$A$304,0)),"")))</f>
        <v/>
      </c>
      <c r="J4723" s="16">
        <f>IF(OR(D4723="",F4723=""),"",F4723*I4723-N(H4723))</f>
        <v/>
      </c>
      <c r="K4723" s="16">
        <f>IF(OR(D4723="",F4723=""),"",F4723*IFERROR(INDEX('Sản phẩm'!$D$5:$D$304,MATCH(D4723,'Sản phẩm'!$A$5:$A$304,0)),""))</f>
        <v/>
      </c>
      <c r="L4723" s="16">
        <f>IF(J4723="","",J4723-K4723)</f>
        <v/>
      </c>
      <c r="M4723" s="14">
        <f>IF(A4723="","",MONTH(A4723))</f>
        <v/>
      </c>
      <c r="N4723" s="14">
        <f>IF(A4723="","",YEAR(A4723))</f>
        <v/>
      </c>
    </row>
    <row r="4724">
      <c r="A4724" s="15" t="n"/>
      <c r="B4724" s="10" t="n"/>
      <c r="C4724" s="10" t="n"/>
      <c r="D4724" s="10" t="n"/>
      <c r="E4724" s="14">
        <f>IF(D4724="","",IFERROR(INDEX('Sản phẩm'!$B$5:$B$304,MATCH(D4724,'Sản phẩm'!$A$5:$A$304,0)),""))</f>
        <v/>
      </c>
      <c r="F4724" s="12" t="n"/>
      <c r="G4724" s="11" t="n"/>
      <c r="H4724" s="11" t="n"/>
      <c r="I4724" s="16">
        <f>IF(D4724="","",IF(G4724&lt;&gt;"",G4724,IFERROR(INDEX('Sản phẩm'!$E$5:$E$304,MATCH(D4724,'Sản phẩm'!$A$5:$A$304,0)),"")))</f>
        <v/>
      </c>
      <c r="J4724" s="16">
        <f>IF(OR(D4724="",F4724=""),"",F4724*I4724-N(H4724))</f>
        <v/>
      </c>
      <c r="K4724" s="16">
        <f>IF(OR(D4724="",F4724=""),"",F4724*IFERROR(INDEX('Sản phẩm'!$D$5:$D$304,MATCH(D4724,'Sản phẩm'!$A$5:$A$304,0)),""))</f>
        <v/>
      </c>
      <c r="L4724" s="16">
        <f>IF(J4724="","",J4724-K4724)</f>
        <v/>
      </c>
      <c r="M4724" s="14">
        <f>IF(A4724="","",MONTH(A4724))</f>
        <v/>
      </c>
      <c r="N4724" s="14">
        <f>IF(A4724="","",YEAR(A4724))</f>
        <v/>
      </c>
    </row>
    <row r="4725">
      <c r="A4725" s="15" t="n"/>
      <c r="B4725" s="10" t="n"/>
      <c r="C4725" s="10" t="n"/>
      <c r="D4725" s="10" t="n"/>
      <c r="E4725" s="14">
        <f>IF(D4725="","",IFERROR(INDEX('Sản phẩm'!$B$5:$B$304,MATCH(D4725,'Sản phẩm'!$A$5:$A$304,0)),""))</f>
        <v/>
      </c>
      <c r="F4725" s="12" t="n"/>
      <c r="G4725" s="11" t="n"/>
      <c r="H4725" s="11" t="n"/>
      <c r="I4725" s="16">
        <f>IF(D4725="","",IF(G4725&lt;&gt;"",G4725,IFERROR(INDEX('Sản phẩm'!$E$5:$E$304,MATCH(D4725,'Sản phẩm'!$A$5:$A$304,0)),"")))</f>
        <v/>
      </c>
      <c r="J4725" s="16">
        <f>IF(OR(D4725="",F4725=""),"",F4725*I4725-N(H4725))</f>
        <v/>
      </c>
      <c r="K4725" s="16">
        <f>IF(OR(D4725="",F4725=""),"",F4725*IFERROR(INDEX('Sản phẩm'!$D$5:$D$304,MATCH(D4725,'Sản phẩm'!$A$5:$A$304,0)),""))</f>
        <v/>
      </c>
      <c r="L4725" s="16">
        <f>IF(J4725="","",J4725-K4725)</f>
        <v/>
      </c>
      <c r="M4725" s="14">
        <f>IF(A4725="","",MONTH(A4725))</f>
        <v/>
      </c>
      <c r="N4725" s="14">
        <f>IF(A4725="","",YEAR(A4725))</f>
        <v/>
      </c>
    </row>
    <row r="4726">
      <c r="A4726" s="15" t="n"/>
      <c r="B4726" s="10" t="n"/>
      <c r="C4726" s="10" t="n"/>
      <c r="D4726" s="10" t="n"/>
      <c r="E4726" s="14">
        <f>IF(D4726="","",IFERROR(INDEX('Sản phẩm'!$B$5:$B$304,MATCH(D4726,'Sản phẩm'!$A$5:$A$304,0)),""))</f>
        <v/>
      </c>
      <c r="F4726" s="12" t="n"/>
      <c r="G4726" s="11" t="n"/>
      <c r="H4726" s="11" t="n"/>
      <c r="I4726" s="16">
        <f>IF(D4726="","",IF(G4726&lt;&gt;"",G4726,IFERROR(INDEX('Sản phẩm'!$E$5:$E$304,MATCH(D4726,'Sản phẩm'!$A$5:$A$304,0)),"")))</f>
        <v/>
      </c>
      <c r="J4726" s="16">
        <f>IF(OR(D4726="",F4726=""),"",F4726*I4726-N(H4726))</f>
        <v/>
      </c>
      <c r="K4726" s="16">
        <f>IF(OR(D4726="",F4726=""),"",F4726*IFERROR(INDEX('Sản phẩm'!$D$5:$D$304,MATCH(D4726,'Sản phẩm'!$A$5:$A$304,0)),""))</f>
        <v/>
      </c>
      <c r="L4726" s="16">
        <f>IF(J4726="","",J4726-K4726)</f>
        <v/>
      </c>
      <c r="M4726" s="14">
        <f>IF(A4726="","",MONTH(A4726))</f>
        <v/>
      </c>
      <c r="N4726" s="14">
        <f>IF(A4726="","",YEAR(A4726))</f>
        <v/>
      </c>
    </row>
    <row r="4727">
      <c r="A4727" s="15" t="n"/>
      <c r="B4727" s="10" t="n"/>
      <c r="C4727" s="10" t="n"/>
      <c r="D4727" s="10" t="n"/>
      <c r="E4727" s="14">
        <f>IF(D4727="","",IFERROR(INDEX('Sản phẩm'!$B$5:$B$304,MATCH(D4727,'Sản phẩm'!$A$5:$A$304,0)),""))</f>
        <v/>
      </c>
      <c r="F4727" s="12" t="n"/>
      <c r="G4727" s="11" t="n"/>
      <c r="H4727" s="11" t="n"/>
      <c r="I4727" s="16">
        <f>IF(D4727="","",IF(G4727&lt;&gt;"",G4727,IFERROR(INDEX('Sản phẩm'!$E$5:$E$304,MATCH(D4727,'Sản phẩm'!$A$5:$A$304,0)),"")))</f>
        <v/>
      </c>
      <c r="J4727" s="16">
        <f>IF(OR(D4727="",F4727=""),"",F4727*I4727-N(H4727))</f>
        <v/>
      </c>
      <c r="K4727" s="16">
        <f>IF(OR(D4727="",F4727=""),"",F4727*IFERROR(INDEX('Sản phẩm'!$D$5:$D$304,MATCH(D4727,'Sản phẩm'!$A$5:$A$304,0)),""))</f>
        <v/>
      </c>
      <c r="L4727" s="16">
        <f>IF(J4727="","",J4727-K4727)</f>
        <v/>
      </c>
      <c r="M4727" s="14">
        <f>IF(A4727="","",MONTH(A4727))</f>
        <v/>
      </c>
      <c r="N4727" s="14">
        <f>IF(A4727="","",YEAR(A4727))</f>
        <v/>
      </c>
    </row>
    <row r="4728">
      <c r="A4728" s="15" t="n"/>
      <c r="B4728" s="10" t="n"/>
      <c r="C4728" s="10" t="n"/>
      <c r="D4728" s="10" t="n"/>
      <c r="E4728" s="14">
        <f>IF(D4728="","",IFERROR(INDEX('Sản phẩm'!$B$5:$B$304,MATCH(D4728,'Sản phẩm'!$A$5:$A$304,0)),""))</f>
        <v/>
      </c>
      <c r="F4728" s="12" t="n"/>
      <c r="G4728" s="11" t="n"/>
      <c r="H4728" s="11" t="n"/>
      <c r="I4728" s="16">
        <f>IF(D4728="","",IF(G4728&lt;&gt;"",G4728,IFERROR(INDEX('Sản phẩm'!$E$5:$E$304,MATCH(D4728,'Sản phẩm'!$A$5:$A$304,0)),"")))</f>
        <v/>
      </c>
      <c r="J4728" s="16">
        <f>IF(OR(D4728="",F4728=""),"",F4728*I4728-N(H4728))</f>
        <v/>
      </c>
      <c r="K4728" s="16">
        <f>IF(OR(D4728="",F4728=""),"",F4728*IFERROR(INDEX('Sản phẩm'!$D$5:$D$304,MATCH(D4728,'Sản phẩm'!$A$5:$A$304,0)),""))</f>
        <v/>
      </c>
      <c r="L4728" s="16">
        <f>IF(J4728="","",J4728-K4728)</f>
        <v/>
      </c>
      <c r="M4728" s="14">
        <f>IF(A4728="","",MONTH(A4728))</f>
        <v/>
      </c>
      <c r="N4728" s="14">
        <f>IF(A4728="","",YEAR(A4728))</f>
        <v/>
      </c>
    </row>
    <row r="4729">
      <c r="A4729" s="15" t="n"/>
      <c r="B4729" s="10" t="n"/>
      <c r="C4729" s="10" t="n"/>
      <c r="D4729" s="10" t="n"/>
      <c r="E4729" s="14">
        <f>IF(D4729="","",IFERROR(INDEX('Sản phẩm'!$B$5:$B$304,MATCH(D4729,'Sản phẩm'!$A$5:$A$304,0)),""))</f>
        <v/>
      </c>
      <c r="F4729" s="12" t="n"/>
      <c r="G4729" s="11" t="n"/>
      <c r="H4729" s="11" t="n"/>
      <c r="I4729" s="16">
        <f>IF(D4729="","",IF(G4729&lt;&gt;"",G4729,IFERROR(INDEX('Sản phẩm'!$E$5:$E$304,MATCH(D4729,'Sản phẩm'!$A$5:$A$304,0)),"")))</f>
        <v/>
      </c>
      <c r="J4729" s="16">
        <f>IF(OR(D4729="",F4729=""),"",F4729*I4729-N(H4729))</f>
        <v/>
      </c>
      <c r="K4729" s="16">
        <f>IF(OR(D4729="",F4729=""),"",F4729*IFERROR(INDEX('Sản phẩm'!$D$5:$D$304,MATCH(D4729,'Sản phẩm'!$A$5:$A$304,0)),""))</f>
        <v/>
      </c>
      <c r="L4729" s="16">
        <f>IF(J4729="","",J4729-K4729)</f>
        <v/>
      </c>
      <c r="M4729" s="14">
        <f>IF(A4729="","",MONTH(A4729))</f>
        <v/>
      </c>
      <c r="N4729" s="14">
        <f>IF(A4729="","",YEAR(A4729))</f>
        <v/>
      </c>
    </row>
    <row r="4730">
      <c r="A4730" s="15" t="n"/>
      <c r="B4730" s="10" t="n"/>
      <c r="C4730" s="10" t="n"/>
      <c r="D4730" s="10" t="n"/>
      <c r="E4730" s="14">
        <f>IF(D4730="","",IFERROR(INDEX('Sản phẩm'!$B$5:$B$304,MATCH(D4730,'Sản phẩm'!$A$5:$A$304,0)),""))</f>
        <v/>
      </c>
      <c r="F4730" s="12" t="n"/>
      <c r="G4730" s="11" t="n"/>
      <c r="H4730" s="11" t="n"/>
      <c r="I4730" s="16">
        <f>IF(D4730="","",IF(G4730&lt;&gt;"",G4730,IFERROR(INDEX('Sản phẩm'!$E$5:$E$304,MATCH(D4730,'Sản phẩm'!$A$5:$A$304,0)),"")))</f>
        <v/>
      </c>
      <c r="J4730" s="16">
        <f>IF(OR(D4730="",F4730=""),"",F4730*I4730-N(H4730))</f>
        <v/>
      </c>
      <c r="K4730" s="16">
        <f>IF(OR(D4730="",F4730=""),"",F4730*IFERROR(INDEX('Sản phẩm'!$D$5:$D$304,MATCH(D4730,'Sản phẩm'!$A$5:$A$304,0)),""))</f>
        <v/>
      </c>
      <c r="L4730" s="16">
        <f>IF(J4730="","",J4730-K4730)</f>
        <v/>
      </c>
      <c r="M4730" s="14">
        <f>IF(A4730="","",MONTH(A4730))</f>
        <v/>
      </c>
      <c r="N4730" s="14">
        <f>IF(A4730="","",YEAR(A4730))</f>
        <v/>
      </c>
    </row>
    <row r="4731">
      <c r="A4731" s="15" t="n"/>
      <c r="B4731" s="10" t="n"/>
      <c r="C4731" s="10" t="n"/>
      <c r="D4731" s="10" t="n"/>
      <c r="E4731" s="14">
        <f>IF(D4731="","",IFERROR(INDEX('Sản phẩm'!$B$5:$B$304,MATCH(D4731,'Sản phẩm'!$A$5:$A$304,0)),""))</f>
        <v/>
      </c>
      <c r="F4731" s="12" t="n"/>
      <c r="G4731" s="11" t="n"/>
      <c r="H4731" s="11" t="n"/>
      <c r="I4731" s="16">
        <f>IF(D4731="","",IF(G4731&lt;&gt;"",G4731,IFERROR(INDEX('Sản phẩm'!$E$5:$E$304,MATCH(D4731,'Sản phẩm'!$A$5:$A$304,0)),"")))</f>
        <v/>
      </c>
      <c r="J4731" s="16">
        <f>IF(OR(D4731="",F4731=""),"",F4731*I4731-N(H4731))</f>
        <v/>
      </c>
      <c r="K4731" s="16">
        <f>IF(OR(D4731="",F4731=""),"",F4731*IFERROR(INDEX('Sản phẩm'!$D$5:$D$304,MATCH(D4731,'Sản phẩm'!$A$5:$A$304,0)),""))</f>
        <v/>
      </c>
      <c r="L4731" s="16">
        <f>IF(J4731="","",J4731-K4731)</f>
        <v/>
      </c>
      <c r="M4731" s="14">
        <f>IF(A4731="","",MONTH(A4731))</f>
        <v/>
      </c>
      <c r="N4731" s="14">
        <f>IF(A4731="","",YEAR(A4731))</f>
        <v/>
      </c>
    </row>
    <row r="4732">
      <c r="A4732" s="15" t="n"/>
      <c r="B4732" s="10" t="n"/>
      <c r="C4732" s="10" t="n"/>
      <c r="D4732" s="10" t="n"/>
      <c r="E4732" s="14">
        <f>IF(D4732="","",IFERROR(INDEX('Sản phẩm'!$B$5:$B$304,MATCH(D4732,'Sản phẩm'!$A$5:$A$304,0)),""))</f>
        <v/>
      </c>
      <c r="F4732" s="12" t="n"/>
      <c r="G4732" s="11" t="n"/>
      <c r="H4732" s="11" t="n"/>
      <c r="I4732" s="16">
        <f>IF(D4732="","",IF(G4732&lt;&gt;"",G4732,IFERROR(INDEX('Sản phẩm'!$E$5:$E$304,MATCH(D4732,'Sản phẩm'!$A$5:$A$304,0)),"")))</f>
        <v/>
      </c>
      <c r="J4732" s="16">
        <f>IF(OR(D4732="",F4732=""),"",F4732*I4732-N(H4732))</f>
        <v/>
      </c>
      <c r="K4732" s="16">
        <f>IF(OR(D4732="",F4732=""),"",F4732*IFERROR(INDEX('Sản phẩm'!$D$5:$D$304,MATCH(D4732,'Sản phẩm'!$A$5:$A$304,0)),""))</f>
        <v/>
      </c>
      <c r="L4732" s="16">
        <f>IF(J4732="","",J4732-K4732)</f>
        <v/>
      </c>
      <c r="M4732" s="14">
        <f>IF(A4732="","",MONTH(A4732))</f>
        <v/>
      </c>
      <c r="N4732" s="14">
        <f>IF(A4732="","",YEAR(A4732))</f>
        <v/>
      </c>
    </row>
    <row r="4733">
      <c r="A4733" s="15" t="n"/>
      <c r="B4733" s="10" t="n"/>
      <c r="C4733" s="10" t="n"/>
      <c r="D4733" s="10" t="n"/>
      <c r="E4733" s="14">
        <f>IF(D4733="","",IFERROR(INDEX('Sản phẩm'!$B$5:$B$304,MATCH(D4733,'Sản phẩm'!$A$5:$A$304,0)),""))</f>
        <v/>
      </c>
      <c r="F4733" s="12" t="n"/>
      <c r="G4733" s="11" t="n"/>
      <c r="H4733" s="11" t="n"/>
      <c r="I4733" s="16">
        <f>IF(D4733="","",IF(G4733&lt;&gt;"",G4733,IFERROR(INDEX('Sản phẩm'!$E$5:$E$304,MATCH(D4733,'Sản phẩm'!$A$5:$A$304,0)),"")))</f>
        <v/>
      </c>
      <c r="J4733" s="16">
        <f>IF(OR(D4733="",F4733=""),"",F4733*I4733-N(H4733))</f>
        <v/>
      </c>
      <c r="K4733" s="16">
        <f>IF(OR(D4733="",F4733=""),"",F4733*IFERROR(INDEX('Sản phẩm'!$D$5:$D$304,MATCH(D4733,'Sản phẩm'!$A$5:$A$304,0)),""))</f>
        <v/>
      </c>
      <c r="L4733" s="16">
        <f>IF(J4733="","",J4733-K4733)</f>
        <v/>
      </c>
      <c r="M4733" s="14">
        <f>IF(A4733="","",MONTH(A4733))</f>
        <v/>
      </c>
      <c r="N4733" s="14">
        <f>IF(A4733="","",YEAR(A4733))</f>
        <v/>
      </c>
    </row>
    <row r="4734">
      <c r="A4734" s="15" t="n"/>
      <c r="B4734" s="10" t="n"/>
      <c r="C4734" s="10" t="n"/>
      <c r="D4734" s="10" t="n"/>
      <c r="E4734" s="14">
        <f>IF(D4734="","",IFERROR(INDEX('Sản phẩm'!$B$5:$B$304,MATCH(D4734,'Sản phẩm'!$A$5:$A$304,0)),""))</f>
        <v/>
      </c>
      <c r="F4734" s="12" t="n"/>
      <c r="G4734" s="11" t="n"/>
      <c r="H4734" s="11" t="n"/>
      <c r="I4734" s="16">
        <f>IF(D4734="","",IF(G4734&lt;&gt;"",G4734,IFERROR(INDEX('Sản phẩm'!$E$5:$E$304,MATCH(D4734,'Sản phẩm'!$A$5:$A$304,0)),"")))</f>
        <v/>
      </c>
      <c r="J4734" s="16">
        <f>IF(OR(D4734="",F4734=""),"",F4734*I4734-N(H4734))</f>
        <v/>
      </c>
      <c r="K4734" s="16">
        <f>IF(OR(D4734="",F4734=""),"",F4734*IFERROR(INDEX('Sản phẩm'!$D$5:$D$304,MATCH(D4734,'Sản phẩm'!$A$5:$A$304,0)),""))</f>
        <v/>
      </c>
      <c r="L4734" s="16">
        <f>IF(J4734="","",J4734-K4734)</f>
        <v/>
      </c>
      <c r="M4734" s="14">
        <f>IF(A4734="","",MONTH(A4734))</f>
        <v/>
      </c>
      <c r="N4734" s="14">
        <f>IF(A4734="","",YEAR(A4734))</f>
        <v/>
      </c>
    </row>
    <row r="4735">
      <c r="A4735" s="15" t="n"/>
      <c r="B4735" s="10" t="n"/>
      <c r="C4735" s="10" t="n"/>
      <c r="D4735" s="10" t="n"/>
      <c r="E4735" s="14">
        <f>IF(D4735="","",IFERROR(INDEX('Sản phẩm'!$B$5:$B$304,MATCH(D4735,'Sản phẩm'!$A$5:$A$304,0)),""))</f>
        <v/>
      </c>
      <c r="F4735" s="12" t="n"/>
      <c r="G4735" s="11" t="n"/>
      <c r="H4735" s="11" t="n"/>
      <c r="I4735" s="16">
        <f>IF(D4735="","",IF(G4735&lt;&gt;"",G4735,IFERROR(INDEX('Sản phẩm'!$E$5:$E$304,MATCH(D4735,'Sản phẩm'!$A$5:$A$304,0)),"")))</f>
        <v/>
      </c>
      <c r="J4735" s="16">
        <f>IF(OR(D4735="",F4735=""),"",F4735*I4735-N(H4735))</f>
        <v/>
      </c>
      <c r="K4735" s="16">
        <f>IF(OR(D4735="",F4735=""),"",F4735*IFERROR(INDEX('Sản phẩm'!$D$5:$D$304,MATCH(D4735,'Sản phẩm'!$A$5:$A$304,0)),""))</f>
        <v/>
      </c>
      <c r="L4735" s="16">
        <f>IF(J4735="","",J4735-K4735)</f>
        <v/>
      </c>
      <c r="M4735" s="14">
        <f>IF(A4735="","",MONTH(A4735))</f>
        <v/>
      </c>
      <c r="N4735" s="14">
        <f>IF(A4735="","",YEAR(A4735))</f>
        <v/>
      </c>
    </row>
    <row r="4736">
      <c r="A4736" s="15" t="n"/>
      <c r="B4736" s="10" t="n"/>
      <c r="C4736" s="10" t="n"/>
      <c r="D4736" s="10" t="n"/>
      <c r="E4736" s="14">
        <f>IF(D4736="","",IFERROR(INDEX('Sản phẩm'!$B$5:$B$304,MATCH(D4736,'Sản phẩm'!$A$5:$A$304,0)),""))</f>
        <v/>
      </c>
      <c r="F4736" s="12" t="n"/>
      <c r="G4736" s="11" t="n"/>
      <c r="H4736" s="11" t="n"/>
      <c r="I4736" s="16">
        <f>IF(D4736="","",IF(G4736&lt;&gt;"",G4736,IFERROR(INDEX('Sản phẩm'!$E$5:$E$304,MATCH(D4736,'Sản phẩm'!$A$5:$A$304,0)),"")))</f>
        <v/>
      </c>
      <c r="J4736" s="16">
        <f>IF(OR(D4736="",F4736=""),"",F4736*I4736-N(H4736))</f>
        <v/>
      </c>
      <c r="K4736" s="16">
        <f>IF(OR(D4736="",F4736=""),"",F4736*IFERROR(INDEX('Sản phẩm'!$D$5:$D$304,MATCH(D4736,'Sản phẩm'!$A$5:$A$304,0)),""))</f>
        <v/>
      </c>
      <c r="L4736" s="16">
        <f>IF(J4736="","",J4736-K4736)</f>
        <v/>
      </c>
      <c r="M4736" s="14">
        <f>IF(A4736="","",MONTH(A4736))</f>
        <v/>
      </c>
      <c r="N4736" s="14">
        <f>IF(A4736="","",YEAR(A4736))</f>
        <v/>
      </c>
    </row>
    <row r="4737">
      <c r="A4737" s="15" t="n"/>
      <c r="B4737" s="10" t="n"/>
      <c r="C4737" s="10" t="n"/>
      <c r="D4737" s="10" t="n"/>
      <c r="E4737" s="14">
        <f>IF(D4737="","",IFERROR(INDEX('Sản phẩm'!$B$5:$B$304,MATCH(D4737,'Sản phẩm'!$A$5:$A$304,0)),""))</f>
        <v/>
      </c>
      <c r="F4737" s="12" t="n"/>
      <c r="G4737" s="11" t="n"/>
      <c r="H4737" s="11" t="n"/>
      <c r="I4737" s="16">
        <f>IF(D4737="","",IF(G4737&lt;&gt;"",G4737,IFERROR(INDEX('Sản phẩm'!$E$5:$E$304,MATCH(D4737,'Sản phẩm'!$A$5:$A$304,0)),"")))</f>
        <v/>
      </c>
      <c r="J4737" s="16">
        <f>IF(OR(D4737="",F4737=""),"",F4737*I4737-N(H4737))</f>
        <v/>
      </c>
      <c r="K4737" s="16">
        <f>IF(OR(D4737="",F4737=""),"",F4737*IFERROR(INDEX('Sản phẩm'!$D$5:$D$304,MATCH(D4737,'Sản phẩm'!$A$5:$A$304,0)),""))</f>
        <v/>
      </c>
      <c r="L4737" s="16">
        <f>IF(J4737="","",J4737-K4737)</f>
        <v/>
      </c>
      <c r="M4737" s="14">
        <f>IF(A4737="","",MONTH(A4737))</f>
        <v/>
      </c>
      <c r="N4737" s="14">
        <f>IF(A4737="","",YEAR(A4737))</f>
        <v/>
      </c>
    </row>
    <row r="4738">
      <c r="A4738" s="15" t="n"/>
      <c r="B4738" s="10" t="n"/>
      <c r="C4738" s="10" t="n"/>
      <c r="D4738" s="10" t="n"/>
      <c r="E4738" s="14">
        <f>IF(D4738="","",IFERROR(INDEX('Sản phẩm'!$B$5:$B$304,MATCH(D4738,'Sản phẩm'!$A$5:$A$304,0)),""))</f>
        <v/>
      </c>
      <c r="F4738" s="12" t="n"/>
      <c r="G4738" s="11" t="n"/>
      <c r="H4738" s="11" t="n"/>
      <c r="I4738" s="16">
        <f>IF(D4738="","",IF(G4738&lt;&gt;"",G4738,IFERROR(INDEX('Sản phẩm'!$E$5:$E$304,MATCH(D4738,'Sản phẩm'!$A$5:$A$304,0)),"")))</f>
        <v/>
      </c>
      <c r="J4738" s="16">
        <f>IF(OR(D4738="",F4738=""),"",F4738*I4738-N(H4738))</f>
        <v/>
      </c>
      <c r="K4738" s="16">
        <f>IF(OR(D4738="",F4738=""),"",F4738*IFERROR(INDEX('Sản phẩm'!$D$5:$D$304,MATCH(D4738,'Sản phẩm'!$A$5:$A$304,0)),""))</f>
        <v/>
      </c>
      <c r="L4738" s="16">
        <f>IF(J4738="","",J4738-K4738)</f>
        <v/>
      </c>
      <c r="M4738" s="14">
        <f>IF(A4738="","",MONTH(A4738))</f>
        <v/>
      </c>
      <c r="N4738" s="14">
        <f>IF(A4738="","",YEAR(A4738))</f>
        <v/>
      </c>
    </row>
    <row r="4739">
      <c r="A4739" s="15" t="n"/>
      <c r="B4739" s="10" t="n"/>
      <c r="C4739" s="10" t="n"/>
      <c r="D4739" s="10" t="n"/>
      <c r="E4739" s="14">
        <f>IF(D4739="","",IFERROR(INDEX('Sản phẩm'!$B$5:$B$304,MATCH(D4739,'Sản phẩm'!$A$5:$A$304,0)),""))</f>
        <v/>
      </c>
      <c r="F4739" s="12" t="n"/>
      <c r="G4739" s="11" t="n"/>
      <c r="H4739" s="11" t="n"/>
      <c r="I4739" s="16">
        <f>IF(D4739="","",IF(G4739&lt;&gt;"",G4739,IFERROR(INDEX('Sản phẩm'!$E$5:$E$304,MATCH(D4739,'Sản phẩm'!$A$5:$A$304,0)),"")))</f>
        <v/>
      </c>
      <c r="J4739" s="16">
        <f>IF(OR(D4739="",F4739=""),"",F4739*I4739-N(H4739))</f>
        <v/>
      </c>
      <c r="K4739" s="16">
        <f>IF(OR(D4739="",F4739=""),"",F4739*IFERROR(INDEX('Sản phẩm'!$D$5:$D$304,MATCH(D4739,'Sản phẩm'!$A$5:$A$304,0)),""))</f>
        <v/>
      </c>
      <c r="L4739" s="16">
        <f>IF(J4739="","",J4739-K4739)</f>
        <v/>
      </c>
      <c r="M4739" s="14">
        <f>IF(A4739="","",MONTH(A4739))</f>
        <v/>
      </c>
      <c r="N4739" s="14">
        <f>IF(A4739="","",YEAR(A4739))</f>
        <v/>
      </c>
    </row>
    <row r="4740">
      <c r="A4740" s="15" t="n"/>
      <c r="B4740" s="10" t="n"/>
      <c r="C4740" s="10" t="n"/>
      <c r="D4740" s="10" t="n"/>
      <c r="E4740" s="14">
        <f>IF(D4740="","",IFERROR(INDEX('Sản phẩm'!$B$5:$B$304,MATCH(D4740,'Sản phẩm'!$A$5:$A$304,0)),""))</f>
        <v/>
      </c>
      <c r="F4740" s="12" t="n"/>
      <c r="G4740" s="11" t="n"/>
      <c r="H4740" s="11" t="n"/>
      <c r="I4740" s="16">
        <f>IF(D4740="","",IF(G4740&lt;&gt;"",G4740,IFERROR(INDEX('Sản phẩm'!$E$5:$E$304,MATCH(D4740,'Sản phẩm'!$A$5:$A$304,0)),"")))</f>
        <v/>
      </c>
      <c r="J4740" s="16">
        <f>IF(OR(D4740="",F4740=""),"",F4740*I4740-N(H4740))</f>
        <v/>
      </c>
      <c r="K4740" s="16">
        <f>IF(OR(D4740="",F4740=""),"",F4740*IFERROR(INDEX('Sản phẩm'!$D$5:$D$304,MATCH(D4740,'Sản phẩm'!$A$5:$A$304,0)),""))</f>
        <v/>
      </c>
      <c r="L4740" s="16">
        <f>IF(J4740="","",J4740-K4740)</f>
        <v/>
      </c>
      <c r="M4740" s="14">
        <f>IF(A4740="","",MONTH(A4740))</f>
        <v/>
      </c>
      <c r="N4740" s="14">
        <f>IF(A4740="","",YEAR(A4740))</f>
        <v/>
      </c>
    </row>
    <row r="4741">
      <c r="A4741" s="15" t="n"/>
      <c r="B4741" s="10" t="n"/>
      <c r="C4741" s="10" t="n"/>
      <c r="D4741" s="10" t="n"/>
      <c r="E4741" s="14">
        <f>IF(D4741="","",IFERROR(INDEX('Sản phẩm'!$B$5:$B$304,MATCH(D4741,'Sản phẩm'!$A$5:$A$304,0)),""))</f>
        <v/>
      </c>
      <c r="F4741" s="12" t="n"/>
      <c r="G4741" s="11" t="n"/>
      <c r="H4741" s="11" t="n"/>
      <c r="I4741" s="16">
        <f>IF(D4741="","",IF(G4741&lt;&gt;"",G4741,IFERROR(INDEX('Sản phẩm'!$E$5:$E$304,MATCH(D4741,'Sản phẩm'!$A$5:$A$304,0)),"")))</f>
        <v/>
      </c>
      <c r="J4741" s="16">
        <f>IF(OR(D4741="",F4741=""),"",F4741*I4741-N(H4741))</f>
        <v/>
      </c>
      <c r="K4741" s="16">
        <f>IF(OR(D4741="",F4741=""),"",F4741*IFERROR(INDEX('Sản phẩm'!$D$5:$D$304,MATCH(D4741,'Sản phẩm'!$A$5:$A$304,0)),""))</f>
        <v/>
      </c>
      <c r="L4741" s="16">
        <f>IF(J4741="","",J4741-K4741)</f>
        <v/>
      </c>
      <c r="M4741" s="14">
        <f>IF(A4741="","",MONTH(A4741))</f>
        <v/>
      </c>
      <c r="N4741" s="14">
        <f>IF(A4741="","",YEAR(A4741))</f>
        <v/>
      </c>
    </row>
    <row r="4742">
      <c r="A4742" s="15" t="n"/>
      <c r="B4742" s="10" t="n"/>
      <c r="C4742" s="10" t="n"/>
      <c r="D4742" s="10" t="n"/>
      <c r="E4742" s="14">
        <f>IF(D4742="","",IFERROR(INDEX('Sản phẩm'!$B$5:$B$304,MATCH(D4742,'Sản phẩm'!$A$5:$A$304,0)),""))</f>
        <v/>
      </c>
      <c r="F4742" s="12" t="n"/>
      <c r="G4742" s="11" t="n"/>
      <c r="H4742" s="11" t="n"/>
      <c r="I4742" s="16">
        <f>IF(D4742="","",IF(G4742&lt;&gt;"",G4742,IFERROR(INDEX('Sản phẩm'!$E$5:$E$304,MATCH(D4742,'Sản phẩm'!$A$5:$A$304,0)),"")))</f>
        <v/>
      </c>
      <c r="J4742" s="16">
        <f>IF(OR(D4742="",F4742=""),"",F4742*I4742-N(H4742))</f>
        <v/>
      </c>
      <c r="K4742" s="16">
        <f>IF(OR(D4742="",F4742=""),"",F4742*IFERROR(INDEX('Sản phẩm'!$D$5:$D$304,MATCH(D4742,'Sản phẩm'!$A$5:$A$304,0)),""))</f>
        <v/>
      </c>
      <c r="L4742" s="16">
        <f>IF(J4742="","",J4742-K4742)</f>
        <v/>
      </c>
      <c r="M4742" s="14">
        <f>IF(A4742="","",MONTH(A4742))</f>
        <v/>
      </c>
      <c r="N4742" s="14">
        <f>IF(A4742="","",YEAR(A4742))</f>
        <v/>
      </c>
    </row>
    <row r="4743">
      <c r="A4743" s="15" t="n"/>
      <c r="B4743" s="10" t="n"/>
      <c r="C4743" s="10" t="n"/>
      <c r="D4743" s="10" t="n"/>
      <c r="E4743" s="14">
        <f>IF(D4743="","",IFERROR(INDEX('Sản phẩm'!$B$5:$B$304,MATCH(D4743,'Sản phẩm'!$A$5:$A$304,0)),""))</f>
        <v/>
      </c>
      <c r="F4743" s="12" t="n"/>
      <c r="G4743" s="11" t="n"/>
      <c r="H4743" s="11" t="n"/>
      <c r="I4743" s="16">
        <f>IF(D4743="","",IF(G4743&lt;&gt;"",G4743,IFERROR(INDEX('Sản phẩm'!$E$5:$E$304,MATCH(D4743,'Sản phẩm'!$A$5:$A$304,0)),"")))</f>
        <v/>
      </c>
      <c r="J4743" s="16">
        <f>IF(OR(D4743="",F4743=""),"",F4743*I4743-N(H4743))</f>
        <v/>
      </c>
      <c r="K4743" s="16">
        <f>IF(OR(D4743="",F4743=""),"",F4743*IFERROR(INDEX('Sản phẩm'!$D$5:$D$304,MATCH(D4743,'Sản phẩm'!$A$5:$A$304,0)),""))</f>
        <v/>
      </c>
      <c r="L4743" s="16">
        <f>IF(J4743="","",J4743-K4743)</f>
        <v/>
      </c>
      <c r="M4743" s="14">
        <f>IF(A4743="","",MONTH(A4743))</f>
        <v/>
      </c>
      <c r="N4743" s="14">
        <f>IF(A4743="","",YEAR(A4743))</f>
        <v/>
      </c>
    </row>
    <row r="4744">
      <c r="A4744" s="15" t="n"/>
      <c r="B4744" s="10" t="n"/>
      <c r="C4744" s="10" t="n"/>
      <c r="D4744" s="10" t="n"/>
      <c r="E4744" s="14">
        <f>IF(D4744="","",IFERROR(INDEX('Sản phẩm'!$B$5:$B$304,MATCH(D4744,'Sản phẩm'!$A$5:$A$304,0)),""))</f>
        <v/>
      </c>
      <c r="F4744" s="12" t="n"/>
      <c r="G4744" s="11" t="n"/>
      <c r="H4744" s="11" t="n"/>
      <c r="I4744" s="16">
        <f>IF(D4744="","",IF(G4744&lt;&gt;"",G4744,IFERROR(INDEX('Sản phẩm'!$E$5:$E$304,MATCH(D4744,'Sản phẩm'!$A$5:$A$304,0)),"")))</f>
        <v/>
      </c>
      <c r="J4744" s="16">
        <f>IF(OR(D4744="",F4744=""),"",F4744*I4744-N(H4744))</f>
        <v/>
      </c>
      <c r="K4744" s="16">
        <f>IF(OR(D4744="",F4744=""),"",F4744*IFERROR(INDEX('Sản phẩm'!$D$5:$D$304,MATCH(D4744,'Sản phẩm'!$A$5:$A$304,0)),""))</f>
        <v/>
      </c>
      <c r="L4744" s="16">
        <f>IF(J4744="","",J4744-K4744)</f>
        <v/>
      </c>
      <c r="M4744" s="14">
        <f>IF(A4744="","",MONTH(A4744))</f>
        <v/>
      </c>
      <c r="N4744" s="14">
        <f>IF(A4744="","",YEAR(A4744))</f>
        <v/>
      </c>
    </row>
    <row r="4745">
      <c r="A4745" s="15" t="n"/>
      <c r="B4745" s="10" t="n"/>
      <c r="C4745" s="10" t="n"/>
      <c r="D4745" s="10" t="n"/>
      <c r="E4745" s="14">
        <f>IF(D4745="","",IFERROR(INDEX('Sản phẩm'!$B$5:$B$304,MATCH(D4745,'Sản phẩm'!$A$5:$A$304,0)),""))</f>
        <v/>
      </c>
      <c r="F4745" s="12" t="n"/>
      <c r="G4745" s="11" t="n"/>
      <c r="H4745" s="11" t="n"/>
      <c r="I4745" s="16">
        <f>IF(D4745="","",IF(G4745&lt;&gt;"",G4745,IFERROR(INDEX('Sản phẩm'!$E$5:$E$304,MATCH(D4745,'Sản phẩm'!$A$5:$A$304,0)),"")))</f>
        <v/>
      </c>
      <c r="J4745" s="16">
        <f>IF(OR(D4745="",F4745=""),"",F4745*I4745-N(H4745))</f>
        <v/>
      </c>
      <c r="K4745" s="16">
        <f>IF(OR(D4745="",F4745=""),"",F4745*IFERROR(INDEX('Sản phẩm'!$D$5:$D$304,MATCH(D4745,'Sản phẩm'!$A$5:$A$304,0)),""))</f>
        <v/>
      </c>
      <c r="L4745" s="16">
        <f>IF(J4745="","",J4745-K4745)</f>
        <v/>
      </c>
      <c r="M4745" s="14">
        <f>IF(A4745="","",MONTH(A4745))</f>
        <v/>
      </c>
      <c r="N4745" s="14">
        <f>IF(A4745="","",YEAR(A4745))</f>
        <v/>
      </c>
    </row>
    <row r="4746">
      <c r="A4746" s="15" t="n"/>
      <c r="B4746" s="10" t="n"/>
      <c r="C4746" s="10" t="n"/>
      <c r="D4746" s="10" t="n"/>
      <c r="E4746" s="14">
        <f>IF(D4746="","",IFERROR(INDEX('Sản phẩm'!$B$5:$B$304,MATCH(D4746,'Sản phẩm'!$A$5:$A$304,0)),""))</f>
        <v/>
      </c>
      <c r="F4746" s="12" t="n"/>
      <c r="G4746" s="11" t="n"/>
      <c r="H4746" s="11" t="n"/>
      <c r="I4746" s="16">
        <f>IF(D4746="","",IF(G4746&lt;&gt;"",G4746,IFERROR(INDEX('Sản phẩm'!$E$5:$E$304,MATCH(D4746,'Sản phẩm'!$A$5:$A$304,0)),"")))</f>
        <v/>
      </c>
      <c r="J4746" s="16">
        <f>IF(OR(D4746="",F4746=""),"",F4746*I4746-N(H4746))</f>
        <v/>
      </c>
      <c r="K4746" s="16">
        <f>IF(OR(D4746="",F4746=""),"",F4746*IFERROR(INDEX('Sản phẩm'!$D$5:$D$304,MATCH(D4746,'Sản phẩm'!$A$5:$A$304,0)),""))</f>
        <v/>
      </c>
      <c r="L4746" s="16">
        <f>IF(J4746="","",J4746-K4746)</f>
        <v/>
      </c>
      <c r="M4746" s="14">
        <f>IF(A4746="","",MONTH(A4746))</f>
        <v/>
      </c>
      <c r="N4746" s="14">
        <f>IF(A4746="","",YEAR(A4746))</f>
        <v/>
      </c>
    </row>
    <row r="4747">
      <c r="A4747" s="15" t="n"/>
      <c r="B4747" s="10" t="n"/>
      <c r="C4747" s="10" t="n"/>
      <c r="D4747" s="10" t="n"/>
      <c r="E4747" s="14">
        <f>IF(D4747="","",IFERROR(INDEX('Sản phẩm'!$B$5:$B$304,MATCH(D4747,'Sản phẩm'!$A$5:$A$304,0)),""))</f>
        <v/>
      </c>
      <c r="F4747" s="12" t="n"/>
      <c r="G4747" s="11" t="n"/>
      <c r="H4747" s="11" t="n"/>
      <c r="I4747" s="16">
        <f>IF(D4747="","",IF(G4747&lt;&gt;"",G4747,IFERROR(INDEX('Sản phẩm'!$E$5:$E$304,MATCH(D4747,'Sản phẩm'!$A$5:$A$304,0)),"")))</f>
        <v/>
      </c>
      <c r="J4747" s="16">
        <f>IF(OR(D4747="",F4747=""),"",F4747*I4747-N(H4747))</f>
        <v/>
      </c>
      <c r="K4747" s="16">
        <f>IF(OR(D4747="",F4747=""),"",F4747*IFERROR(INDEX('Sản phẩm'!$D$5:$D$304,MATCH(D4747,'Sản phẩm'!$A$5:$A$304,0)),""))</f>
        <v/>
      </c>
      <c r="L4747" s="16">
        <f>IF(J4747="","",J4747-K4747)</f>
        <v/>
      </c>
      <c r="M4747" s="14">
        <f>IF(A4747="","",MONTH(A4747))</f>
        <v/>
      </c>
      <c r="N4747" s="14">
        <f>IF(A4747="","",YEAR(A4747))</f>
        <v/>
      </c>
    </row>
    <row r="4748">
      <c r="A4748" s="15" t="n"/>
      <c r="B4748" s="10" t="n"/>
      <c r="C4748" s="10" t="n"/>
      <c r="D4748" s="10" t="n"/>
      <c r="E4748" s="14">
        <f>IF(D4748="","",IFERROR(INDEX('Sản phẩm'!$B$5:$B$304,MATCH(D4748,'Sản phẩm'!$A$5:$A$304,0)),""))</f>
        <v/>
      </c>
      <c r="F4748" s="12" t="n"/>
      <c r="G4748" s="11" t="n"/>
      <c r="H4748" s="11" t="n"/>
      <c r="I4748" s="16">
        <f>IF(D4748="","",IF(G4748&lt;&gt;"",G4748,IFERROR(INDEX('Sản phẩm'!$E$5:$E$304,MATCH(D4748,'Sản phẩm'!$A$5:$A$304,0)),"")))</f>
        <v/>
      </c>
      <c r="J4748" s="16">
        <f>IF(OR(D4748="",F4748=""),"",F4748*I4748-N(H4748))</f>
        <v/>
      </c>
      <c r="K4748" s="16">
        <f>IF(OR(D4748="",F4748=""),"",F4748*IFERROR(INDEX('Sản phẩm'!$D$5:$D$304,MATCH(D4748,'Sản phẩm'!$A$5:$A$304,0)),""))</f>
        <v/>
      </c>
      <c r="L4748" s="16">
        <f>IF(J4748="","",J4748-K4748)</f>
        <v/>
      </c>
      <c r="M4748" s="14">
        <f>IF(A4748="","",MONTH(A4748))</f>
        <v/>
      </c>
      <c r="N4748" s="14">
        <f>IF(A4748="","",YEAR(A4748))</f>
        <v/>
      </c>
    </row>
    <row r="4749">
      <c r="A4749" s="15" t="n"/>
      <c r="B4749" s="10" t="n"/>
      <c r="C4749" s="10" t="n"/>
      <c r="D4749" s="10" t="n"/>
      <c r="E4749" s="14">
        <f>IF(D4749="","",IFERROR(INDEX('Sản phẩm'!$B$5:$B$304,MATCH(D4749,'Sản phẩm'!$A$5:$A$304,0)),""))</f>
        <v/>
      </c>
      <c r="F4749" s="12" t="n"/>
      <c r="G4749" s="11" t="n"/>
      <c r="H4749" s="11" t="n"/>
      <c r="I4749" s="16">
        <f>IF(D4749="","",IF(G4749&lt;&gt;"",G4749,IFERROR(INDEX('Sản phẩm'!$E$5:$E$304,MATCH(D4749,'Sản phẩm'!$A$5:$A$304,0)),"")))</f>
        <v/>
      </c>
      <c r="J4749" s="16">
        <f>IF(OR(D4749="",F4749=""),"",F4749*I4749-N(H4749))</f>
        <v/>
      </c>
      <c r="K4749" s="16">
        <f>IF(OR(D4749="",F4749=""),"",F4749*IFERROR(INDEX('Sản phẩm'!$D$5:$D$304,MATCH(D4749,'Sản phẩm'!$A$5:$A$304,0)),""))</f>
        <v/>
      </c>
      <c r="L4749" s="16">
        <f>IF(J4749="","",J4749-K4749)</f>
        <v/>
      </c>
      <c r="M4749" s="14">
        <f>IF(A4749="","",MONTH(A4749))</f>
        <v/>
      </c>
      <c r="N4749" s="14">
        <f>IF(A4749="","",YEAR(A4749))</f>
        <v/>
      </c>
    </row>
    <row r="4750">
      <c r="A4750" s="15" t="n"/>
      <c r="B4750" s="10" t="n"/>
      <c r="C4750" s="10" t="n"/>
      <c r="D4750" s="10" t="n"/>
      <c r="E4750" s="14">
        <f>IF(D4750="","",IFERROR(INDEX('Sản phẩm'!$B$5:$B$304,MATCH(D4750,'Sản phẩm'!$A$5:$A$304,0)),""))</f>
        <v/>
      </c>
      <c r="F4750" s="12" t="n"/>
      <c r="G4750" s="11" t="n"/>
      <c r="H4750" s="11" t="n"/>
      <c r="I4750" s="16">
        <f>IF(D4750="","",IF(G4750&lt;&gt;"",G4750,IFERROR(INDEX('Sản phẩm'!$E$5:$E$304,MATCH(D4750,'Sản phẩm'!$A$5:$A$304,0)),"")))</f>
        <v/>
      </c>
      <c r="J4750" s="16">
        <f>IF(OR(D4750="",F4750=""),"",F4750*I4750-N(H4750))</f>
        <v/>
      </c>
      <c r="K4750" s="16">
        <f>IF(OR(D4750="",F4750=""),"",F4750*IFERROR(INDEX('Sản phẩm'!$D$5:$D$304,MATCH(D4750,'Sản phẩm'!$A$5:$A$304,0)),""))</f>
        <v/>
      </c>
      <c r="L4750" s="16">
        <f>IF(J4750="","",J4750-K4750)</f>
        <v/>
      </c>
      <c r="M4750" s="14">
        <f>IF(A4750="","",MONTH(A4750))</f>
        <v/>
      </c>
      <c r="N4750" s="14">
        <f>IF(A4750="","",YEAR(A4750))</f>
        <v/>
      </c>
    </row>
    <row r="4751">
      <c r="A4751" s="15" t="n"/>
      <c r="B4751" s="10" t="n"/>
      <c r="C4751" s="10" t="n"/>
      <c r="D4751" s="10" t="n"/>
      <c r="E4751" s="14">
        <f>IF(D4751="","",IFERROR(INDEX('Sản phẩm'!$B$5:$B$304,MATCH(D4751,'Sản phẩm'!$A$5:$A$304,0)),""))</f>
        <v/>
      </c>
      <c r="F4751" s="12" t="n"/>
      <c r="G4751" s="11" t="n"/>
      <c r="H4751" s="11" t="n"/>
      <c r="I4751" s="16">
        <f>IF(D4751="","",IF(G4751&lt;&gt;"",G4751,IFERROR(INDEX('Sản phẩm'!$E$5:$E$304,MATCH(D4751,'Sản phẩm'!$A$5:$A$304,0)),"")))</f>
        <v/>
      </c>
      <c r="J4751" s="16">
        <f>IF(OR(D4751="",F4751=""),"",F4751*I4751-N(H4751))</f>
        <v/>
      </c>
      <c r="K4751" s="16">
        <f>IF(OR(D4751="",F4751=""),"",F4751*IFERROR(INDEX('Sản phẩm'!$D$5:$D$304,MATCH(D4751,'Sản phẩm'!$A$5:$A$304,0)),""))</f>
        <v/>
      </c>
      <c r="L4751" s="16">
        <f>IF(J4751="","",J4751-K4751)</f>
        <v/>
      </c>
      <c r="M4751" s="14">
        <f>IF(A4751="","",MONTH(A4751))</f>
        <v/>
      </c>
      <c r="N4751" s="14">
        <f>IF(A4751="","",YEAR(A4751))</f>
        <v/>
      </c>
    </row>
    <row r="4752">
      <c r="A4752" s="15" t="n"/>
      <c r="B4752" s="10" t="n"/>
      <c r="C4752" s="10" t="n"/>
      <c r="D4752" s="10" t="n"/>
      <c r="E4752" s="14">
        <f>IF(D4752="","",IFERROR(INDEX('Sản phẩm'!$B$5:$B$304,MATCH(D4752,'Sản phẩm'!$A$5:$A$304,0)),""))</f>
        <v/>
      </c>
      <c r="F4752" s="12" t="n"/>
      <c r="G4752" s="11" t="n"/>
      <c r="H4752" s="11" t="n"/>
      <c r="I4752" s="16">
        <f>IF(D4752="","",IF(G4752&lt;&gt;"",G4752,IFERROR(INDEX('Sản phẩm'!$E$5:$E$304,MATCH(D4752,'Sản phẩm'!$A$5:$A$304,0)),"")))</f>
        <v/>
      </c>
      <c r="J4752" s="16">
        <f>IF(OR(D4752="",F4752=""),"",F4752*I4752-N(H4752))</f>
        <v/>
      </c>
      <c r="K4752" s="16">
        <f>IF(OR(D4752="",F4752=""),"",F4752*IFERROR(INDEX('Sản phẩm'!$D$5:$D$304,MATCH(D4752,'Sản phẩm'!$A$5:$A$304,0)),""))</f>
        <v/>
      </c>
      <c r="L4752" s="16">
        <f>IF(J4752="","",J4752-K4752)</f>
        <v/>
      </c>
      <c r="M4752" s="14">
        <f>IF(A4752="","",MONTH(A4752))</f>
        <v/>
      </c>
      <c r="N4752" s="14">
        <f>IF(A4752="","",YEAR(A4752))</f>
        <v/>
      </c>
    </row>
    <row r="4753">
      <c r="A4753" s="15" t="n"/>
      <c r="B4753" s="10" t="n"/>
      <c r="C4753" s="10" t="n"/>
      <c r="D4753" s="10" t="n"/>
      <c r="E4753" s="14">
        <f>IF(D4753="","",IFERROR(INDEX('Sản phẩm'!$B$5:$B$304,MATCH(D4753,'Sản phẩm'!$A$5:$A$304,0)),""))</f>
        <v/>
      </c>
      <c r="F4753" s="12" t="n"/>
      <c r="G4753" s="11" t="n"/>
      <c r="H4753" s="11" t="n"/>
      <c r="I4753" s="16">
        <f>IF(D4753="","",IF(G4753&lt;&gt;"",G4753,IFERROR(INDEX('Sản phẩm'!$E$5:$E$304,MATCH(D4753,'Sản phẩm'!$A$5:$A$304,0)),"")))</f>
        <v/>
      </c>
      <c r="J4753" s="16">
        <f>IF(OR(D4753="",F4753=""),"",F4753*I4753-N(H4753))</f>
        <v/>
      </c>
      <c r="K4753" s="16">
        <f>IF(OR(D4753="",F4753=""),"",F4753*IFERROR(INDEX('Sản phẩm'!$D$5:$D$304,MATCH(D4753,'Sản phẩm'!$A$5:$A$304,0)),""))</f>
        <v/>
      </c>
      <c r="L4753" s="16">
        <f>IF(J4753="","",J4753-K4753)</f>
        <v/>
      </c>
      <c r="M4753" s="14">
        <f>IF(A4753="","",MONTH(A4753))</f>
        <v/>
      </c>
      <c r="N4753" s="14">
        <f>IF(A4753="","",YEAR(A4753))</f>
        <v/>
      </c>
    </row>
    <row r="4754">
      <c r="A4754" s="15" t="n"/>
      <c r="B4754" s="10" t="n"/>
      <c r="C4754" s="10" t="n"/>
      <c r="D4754" s="10" t="n"/>
      <c r="E4754" s="14">
        <f>IF(D4754="","",IFERROR(INDEX('Sản phẩm'!$B$5:$B$304,MATCH(D4754,'Sản phẩm'!$A$5:$A$304,0)),""))</f>
        <v/>
      </c>
      <c r="F4754" s="12" t="n"/>
      <c r="G4754" s="11" t="n"/>
      <c r="H4754" s="11" t="n"/>
      <c r="I4754" s="16">
        <f>IF(D4754="","",IF(G4754&lt;&gt;"",G4754,IFERROR(INDEX('Sản phẩm'!$E$5:$E$304,MATCH(D4754,'Sản phẩm'!$A$5:$A$304,0)),"")))</f>
        <v/>
      </c>
      <c r="J4754" s="16">
        <f>IF(OR(D4754="",F4754=""),"",F4754*I4754-N(H4754))</f>
        <v/>
      </c>
      <c r="K4754" s="16">
        <f>IF(OR(D4754="",F4754=""),"",F4754*IFERROR(INDEX('Sản phẩm'!$D$5:$D$304,MATCH(D4754,'Sản phẩm'!$A$5:$A$304,0)),""))</f>
        <v/>
      </c>
      <c r="L4754" s="16">
        <f>IF(J4754="","",J4754-K4754)</f>
        <v/>
      </c>
      <c r="M4754" s="14">
        <f>IF(A4754="","",MONTH(A4754))</f>
        <v/>
      </c>
      <c r="N4754" s="14">
        <f>IF(A4754="","",YEAR(A4754))</f>
        <v/>
      </c>
    </row>
    <row r="4755">
      <c r="A4755" s="15" t="n"/>
      <c r="B4755" s="10" t="n"/>
      <c r="C4755" s="10" t="n"/>
      <c r="D4755" s="10" t="n"/>
      <c r="E4755" s="14">
        <f>IF(D4755="","",IFERROR(INDEX('Sản phẩm'!$B$5:$B$304,MATCH(D4755,'Sản phẩm'!$A$5:$A$304,0)),""))</f>
        <v/>
      </c>
      <c r="F4755" s="12" t="n"/>
      <c r="G4755" s="11" t="n"/>
      <c r="H4755" s="11" t="n"/>
      <c r="I4755" s="16">
        <f>IF(D4755="","",IF(G4755&lt;&gt;"",G4755,IFERROR(INDEX('Sản phẩm'!$E$5:$E$304,MATCH(D4755,'Sản phẩm'!$A$5:$A$304,0)),"")))</f>
        <v/>
      </c>
      <c r="J4755" s="16">
        <f>IF(OR(D4755="",F4755=""),"",F4755*I4755-N(H4755))</f>
        <v/>
      </c>
      <c r="K4755" s="16">
        <f>IF(OR(D4755="",F4755=""),"",F4755*IFERROR(INDEX('Sản phẩm'!$D$5:$D$304,MATCH(D4755,'Sản phẩm'!$A$5:$A$304,0)),""))</f>
        <v/>
      </c>
      <c r="L4755" s="16">
        <f>IF(J4755="","",J4755-K4755)</f>
        <v/>
      </c>
      <c r="M4755" s="14">
        <f>IF(A4755="","",MONTH(A4755))</f>
        <v/>
      </c>
      <c r="N4755" s="14">
        <f>IF(A4755="","",YEAR(A4755))</f>
        <v/>
      </c>
    </row>
    <row r="4756">
      <c r="A4756" s="15" t="n"/>
      <c r="B4756" s="10" t="n"/>
      <c r="C4756" s="10" t="n"/>
      <c r="D4756" s="10" t="n"/>
      <c r="E4756" s="14">
        <f>IF(D4756="","",IFERROR(INDEX('Sản phẩm'!$B$5:$B$304,MATCH(D4756,'Sản phẩm'!$A$5:$A$304,0)),""))</f>
        <v/>
      </c>
      <c r="F4756" s="12" t="n"/>
      <c r="G4756" s="11" t="n"/>
      <c r="H4756" s="11" t="n"/>
      <c r="I4756" s="16">
        <f>IF(D4756="","",IF(G4756&lt;&gt;"",G4756,IFERROR(INDEX('Sản phẩm'!$E$5:$E$304,MATCH(D4756,'Sản phẩm'!$A$5:$A$304,0)),"")))</f>
        <v/>
      </c>
      <c r="J4756" s="16">
        <f>IF(OR(D4756="",F4756=""),"",F4756*I4756-N(H4756))</f>
        <v/>
      </c>
      <c r="K4756" s="16">
        <f>IF(OR(D4756="",F4756=""),"",F4756*IFERROR(INDEX('Sản phẩm'!$D$5:$D$304,MATCH(D4756,'Sản phẩm'!$A$5:$A$304,0)),""))</f>
        <v/>
      </c>
      <c r="L4756" s="16">
        <f>IF(J4756="","",J4756-K4756)</f>
        <v/>
      </c>
      <c r="M4756" s="14">
        <f>IF(A4756="","",MONTH(A4756))</f>
        <v/>
      </c>
      <c r="N4756" s="14">
        <f>IF(A4756="","",YEAR(A4756))</f>
        <v/>
      </c>
    </row>
    <row r="4757">
      <c r="A4757" s="15" t="n"/>
      <c r="B4757" s="10" t="n"/>
      <c r="C4757" s="10" t="n"/>
      <c r="D4757" s="10" t="n"/>
      <c r="E4757" s="14">
        <f>IF(D4757="","",IFERROR(INDEX('Sản phẩm'!$B$5:$B$304,MATCH(D4757,'Sản phẩm'!$A$5:$A$304,0)),""))</f>
        <v/>
      </c>
      <c r="F4757" s="12" t="n"/>
      <c r="G4757" s="11" t="n"/>
      <c r="H4757" s="11" t="n"/>
      <c r="I4757" s="16">
        <f>IF(D4757="","",IF(G4757&lt;&gt;"",G4757,IFERROR(INDEX('Sản phẩm'!$E$5:$E$304,MATCH(D4757,'Sản phẩm'!$A$5:$A$304,0)),"")))</f>
        <v/>
      </c>
      <c r="J4757" s="16">
        <f>IF(OR(D4757="",F4757=""),"",F4757*I4757-N(H4757))</f>
        <v/>
      </c>
      <c r="K4757" s="16">
        <f>IF(OR(D4757="",F4757=""),"",F4757*IFERROR(INDEX('Sản phẩm'!$D$5:$D$304,MATCH(D4757,'Sản phẩm'!$A$5:$A$304,0)),""))</f>
        <v/>
      </c>
      <c r="L4757" s="16">
        <f>IF(J4757="","",J4757-K4757)</f>
        <v/>
      </c>
      <c r="M4757" s="14">
        <f>IF(A4757="","",MONTH(A4757))</f>
        <v/>
      </c>
      <c r="N4757" s="14">
        <f>IF(A4757="","",YEAR(A4757))</f>
        <v/>
      </c>
    </row>
    <row r="4758">
      <c r="A4758" s="15" t="n"/>
      <c r="B4758" s="10" t="n"/>
      <c r="C4758" s="10" t="n"/>
      <c r="D4758" s="10" t="n"/>
      <c r="E4758" s="14">
        <f>IF(D4758="","",IFERROR(INDEX('Sản phẩm'!$B$5:$B$304,MATCH(D4758,'Sản phẩm'!$A$5:$A$304,0)),""))</f>
        <v/>
      </c>
      <c r="F4758" s="12" t="n"/>
      <c r="G4758" s="11" t="n"/>
      <c r="H4758" s="11" t="n"/>
      <c r="I4758" s="16">
        <f>IF(D4758="","",IF(G4758&lt;&gt;"",G4758,IFERROR(INDEX('Sản phẩm'!$E$5:$E$304,MATCH(D4758,'Sản phẩm'!$A$5:$A$304,0)),"")))</f>
        <v/>
      </c>
      <c r="J4758" s="16">
        <f>IF(OR(D4758="",F4758=""),"",F4758*I4758-N(H4758))</f>
        <v/>
      </c>
      <c r="K4758" s="16">
        <f>IF(OR(D4758="",F4758=""),"",F4758*IFERROR(INDEX('Sản phẩm'!$D$5:$D$304,MATCH(D4758,'Sản phẩm'!$A$5:$A$304,0)),""))</f>
        <v/>
      </c>
      <c r="L4758" s="16">
        <f>IF(J4758="","",J4758-K4758)</f>
        <v/>
      </c>
      <c r="M4758" s="14">
        <f>IF(A4758="","",MONTH(A4758))</f>
        <v/>
      </c>
      <c r="N4758" s="14">
        <f>IF(A4758="","",YEAR(A4758))</f>
        <v/>
      </c>
    </row>
    <row r="4759">
      <c r="A4759" s="15" t="n"/>
      <c r="B4759" s="10" t="n"/>
      <c r="C4759" s="10" t="n"/>
      <c r="D4759" s="10" t="n"/>
      <c r="E4759" s="14">
        <f>IF(D4759="","",IFERROR(INDEX('Sản phẩm'!$B$5:$B$304,MATCH(D4759,'Sản phẩm'!$A$5:$A$304,0)),""))</f>
        <v/>
      </c>
      <c r="F4759" s="12" t="n"/>
      <c r="G4759" s="11" t="n"/>
      <c r="H4759" s="11" t="n"/>
      <c r="I4759" s="16">
        <f>IF(D4759="","",IF(G4759&lt;&gt;"",G4759,IFERROR(INDEX('Sản phẩm'!$E$5:$E$304,MATCH(D4759,'Sản phẩm'!$A$5:$A$304,0)),"")))</f>
        <v/>
      </c>
      <c r="J4759" s="16">
        <f>IF(OR(D4759="",F4759=""),"",F4759*I4759-N(H4759))</f>
        <v/>
      </c>
      <c r="K4759" s="16">
        <f>IF(OR(D4759="",F4759=""),"",F4759*IFERROR(INDEX('Sản phẩm'!$D$5:$D$304,MATCH(D4759,'Sản phẩm'!$A$5:$A$304,0)),""))</f>
        <v/>
      </c>
      <c r="L4759" s="16">
        <f>IF(J4759="","",J4759-K4759)</f>
        <v/>
      </c>
      <c r="M4759" s="14">
        <f>IF(A4759="","",MONTH(A4759))</f>
        <v/>
      </c>
      <c r="N4759" s="14">
        <f>IF(A4759="","",YEAR(A4759))</f>
        <v/>
      </c>
    </row>
    <row r="4760">
      <c r="A4760" s="15" t="n"/>
      <c r="B4760" s="10" t="n"/>
      <c r="C4760" s="10" t="n"/>
      <c r="D4760" s="10" t="n"/>
      <c r="E4760" s="14">
        <f>IF(D4760="","",IFERROR(INDEX('Sản phẩm'!$B$5:$B$304,MATCH(D4760,'Sản phẩm'!$A$5:$A$304,0)),""))</f>
        <v/>
      </c>
      <c r="F4760" s="12" t="n"/>
      <c r="G4760" s="11" t="n"/>
      <c r="H4760" s="11" t="n"/>
      <c r="I4760" s="16">
        <f>IF(D4760="","",IF(G4760&lt;&gt;"",G4760,IFERROR(INDEX('Sản phẩm'!$E$5:$E$304,MATCH(D4760,'Sản phẩm'!$A$5:$A$304,0)),"")))</f>
        <v/>
      </c>
      <c r="J4760" s="16">
        <f>IF(OR(D4760="",F4760=""),"",F4760*I4760-N(H4760))</f>
        <v/>
      </c>
      <c r="K4760" s="16">
        <f>IF(OR(D4760="",F4760=""),"",F4760*IFERROR(INDEX('Sản phẩm'!$D$5:$D$304,MATCH(D4760,'Sản phẩm'!$A$5:$A$304,0)),""))</f>
        <v/>
      </c>
      <c r="L4760" s="16">
        <f>IF(J4760="","",J4760-K4760)</f>
        <v/>
      </c>
      <c r="M4760" s="14">
        <f>IF(A4760="","",MONTH(A4760))</f>
        <v/>
      </c>
      <c r="N4760" s="14">
        <f>IF(A4760="","",YEAR(A4760))</f>
        <v/>
      </c>
    </row>
    <row r="4761">
      <c r="A4761" s="15" t="n"/>
      <c r="B4761" s="10" t="n"/>
      <c r="C4761" s="10" t="n"/>
      <c r="D4761" s="10" t="n"/>
      <c r="E4761" s="14">
        <f>IF(D4761="","",IFERROR(INDEX('Sản phẩm'!$B$5:$B$304,MATCH(D4761,'Sản phẩm'!$A$5:$A$304,0)),""))</f>
        <v/>
      </c>
      <c r="F4761" s="12" t="n"/>
      <c r="G4761" s="11" t="n"/>
      <c r="H4761" s="11" t="n"/>
      <c r="I4761" s="16">
        <f>IF(D4761="","",IF(G4761&lt;&gt;"",G4761,IFERROR(INDEX('Sản phẩm'!$E$5:$E$304,MATCH(D4761,'Sản phẩm'!$A$5:$A$304,0)),"")))</f>
        <v/>
      </c>
      <c r="J4761" s="16">
        <f>IF(OR(D4761="",F4761=""),"",F4761*I4761-N(H4761))</f>
        <v/>
      </c>
      <c r="K4761" s="16">
        <f>IF(OR(D4761="",F4761=""),"",F4761*IFERROR(INDEX('Sản phẩm'!$D$5:$D$304,MATCH(D4761,'Sản phẩm'!$A$5:$A$304,0)),""))</f>
        <v/>
      </c>
      <c r="L4761" s="16">
        <f>IF(J4761="","",J4761-K4761)</f>
        <v/>
      </c>
      <c r="M4761" s="14">
        <f>IF(A4761="","",MONTH(A4761))</f>
        <v/>
      </c>
      <c r="N4761" s="14">
        <f>IF(A4761="","",YEAR(A4761))</f>
        <v/>
      </c>
    </row>
    <row r="4762">
      <c r="A4762" s="15" t="n"/>
      <c r="B4762" s="10" t="n"/>
      <c r="C4762" s="10" t="n"/>
      <c r="D4762" s="10" t="n"/>
      <c r="E4762" s="14">
        <f>IF(D4762="","",IFERROR(INDEX('Sản phẩm'!$B$5:$B$304,MATCH(D4762,'Sản phẩm'!$A$5:$A$304,0)),""))</f>
        <v/>
      </c>
      <c r="F4762" s="12" t="n"/>
      <c r="G4762" s="11" t="n"/>
      <c r="H4762" s="11" t="n"/>
      <c r="I4762" s="16">
        <f>IF(D4762="","",IF(G4762&lt;&gt;"",G4762,IFERROR(INDEX('Sản phẩm'!$E$5:$E$304,MATCH(D4762,'Sản phẩm'!$A$5:$A$304,0)),"")))</f>
        <v/>
      </c>
      <c r="J4762" s="16">
        <f>IF(OR(D4762="",F4762=""),"",F4762*I4762-N(H4762))</f>
        <v/>
      </c>
      <c r="K4762" s="16">
        <f>IF(OR(D4762="",F4762=""),"",F4762*IFERROR(INDEX('Sản phẩm'!$D$5:$D$304,MATCH(D4762,'Sản phẩm'!$A$5:$A$304,0)),""))</f>
        <v/>
      </c>
      <c r="L4762" s="16">
        <f>IF(J4762="","",J4762-K4762)</f>
        <v/>
      </c>
      <c r="M4762" s="14">
        <f>IF(A4762="","",MONTH(A4762))</f>
        <v/>
      </c>
      <c r="N4762" s="14">
        <f>IF(A4762="","",YEAR(A4762))</f>
        <v/>
      </c>
    </row>
    <row r="4763">
      <c r="A4763" s="15" t="n"/>
      <c r="B4763" s="10" t="n"/>
      <c r="C4763" s="10" t="n"/>
      <c r="D4763" s="10" t="n"/>
      <c r="E4763" s="14">
        <f>IF(D4763="","",IFERROR(INDEX('Sản phẩm'!$B$5:$B$304,MATCH(D4763,'Sản phẩm'!$A$5:$A$304,0)),""))</f>
        <v/>
      </c>
      <c r="F4763" s="12" t="n"/>
      <c r="G4763" s="11" t="n"/>
      <c r="H4763" s="11" t="n"/>
      <c r="I4763" s="16">
        <f>IF(D4763="","",IF(G4763&lt;&gt;"",G4763,IFERROR(INDEX('Sản phẩm'!$E$5:$E$304,MATCH(D4763,'Sản phẩm'!$A$5:$A$304,0)),"")))</f>
        <v/>
      </c>
      <c r="J4763" s="16">
        <f>IF(OR(D4763="",F4763=""),"",F4763*I4763-N(H4763))</f>
        <v/>
      </c>
      <c r="K4763" s="16">
        <f>IF(OR(D4763="",F4763=""),"",F4763*IFERROR(INDEX('Sản phẩm'!$D$5:$D$304,MATCH(D4763,'Sản phẩm'!$A$5:$A$304,0)),""))</f>
        <v/>
      </c>
      <c r="L4763" s="16">
        <f>IF(J4763="","",J4763-K4763)</f>
        <v/>
      </c>
      <c r="M4763" s="14">
        <f>IF(A4763="","",MONTH(A4763))</f>
        <v/>
      </c>
      <c r="N4763" s="14">
        <f>IF(A4763="","",YEAR(A4763))</f>
        <v/>
      </c>
    </row>
    <row r="4764">
      <c r="A4764" s="15" t="n"/>
      <c r="B4764" s="10" t="n"/>
      <c r="C4764" s="10" t="n"/>
      <c r="D4764" s="10" t="n"/>
      <c r="E4764" s="14">
        <f>IF(D4764="","",IFERROR(INDEX('Sản phẩm'!$B$5:$B$304,MATCH(D4764,'Sản phẩm'!$A$5:$A$304,0)),""))</f>
        <v/>
      </c>
      <c r="F4764" s="12" t="n"/>
      <c r="G4764" s="11" t="n"/>
      <c r="H4764" s="11" t="n"/>
      <c r="I4764" s="16">
        <f>IF(D4764="","",IF(G4764&lt;&gt;"",G4764,IFERROR(INDEX('Sản phẩm'!$E$5:$E$304,MATCH(D4764,'Sản phẩm'!$A$5:$A$304,0)),"")))</f>
        <v/>
      </c>
      <c r="J4764" s="16">
        <f>IF(OR(D4764="",F4764=""),"",F4764*I4764-N(H4764))</f>
        <v/>
      </c>
      <c r="K4764" s="16">
        <f>IF(OR(D4764="",F4764=""),"",F4764*IFERROR(INDEX('Sản phẩm'!$D$5:$D$304,MATCH(D4764,'Sản phẩm'!$A$5:$A$304,0)),""))</f>
        <v/>
      </c>
      <c r="L4764" s="16">
        <f>IF(J4764="","",J4764-K4764)</f>
        <v/>
      </c>
      <c r="M4764" s="14">
        <f>IF(A4764="","",MONTH(A4764))</f>
        <v/>
      </c>
      <c r="N4764" s="14">
        <f>IF(A4764="","",YEAR(A4764))</f>
        <v/>
      </c>
    </row>
    <row r="4765">
      <c r="A4765" s="15" t="n"/>
      <c r="B4765" s="10" t="n"/>
      <c r="C4765" s="10" t="n"/>
      <c r="D4765" s="10" t="n"/>
      <c r="E4765" s="14">
        <f>IF(D4765="","",IFERROR(INDEX('Sản phẩm'!$B$5:$B$304,MATCH(D4765,'Sản phẩm'!$A$5:$A$304,0)),""))</f>
        <v/>
      </c>
      <c r="F4765" s="12" t="n"/>
      <c r="G4765" s="11" t="n"/>
      <c r="H4765" s="11" t="n"/>
      <c r="I4765" s="16">
        <f>IF(D4765="","",IF(G4765&lt;&gt;"",G4765,IFERROR(INDEX('Sản phẩm'!$E$5:$E$304,MATCH(D4765,'Sản phẩm'!$A$5:$A$304,0)),"")))</f>
        <v/>
      </c>
      <c r="J4765" s="16">
        <f>IF(OR(D4765="",F4765=""),"",F4765*I4765-N(H4765))</f>
        <v/>
      </c>
      <c r="K4765" s="16">
        <f>IF(OR(D4765="",F4765=""),"",F4765*IFERROR(INDEX('Sản phẩm'!$D$5:$D$304,MATCH(D4765,'Sản phẩm'!$A$5:$A$304,0)),""))</f>
        <v/>
      </c>
      <c r="L4765" s="16">
        <f>IF(J4765="","",J4765-K4765)</f>
        <v/>
      </c>
      <c r="M4765" s="14">
        <f>IF(A4765="","",MONTH(A4765))</f>
        <v/>
      </c>
      <c r="N4765" s="14">
        <f>IF(A4765="","",YEAR(A4765))</f>
        <v/>
      </c>
    </row>
    <row r="4766">
      <c r="A4766" s="15" t="n"/>
      <c r="B4766" s="10" t="n"/>
      <c r="C4766" s="10" t="n"/>
      <c r="D4766" s="10" t="n"/>
      <c r="E4766" s="14">
        <f>IF(D4766="","",IFERROR(INDEX('Sản phẩm'!$B$5:$B$304,MATCH(D4766,'Sản phẩm'!$A$5:$A$304,0)),""))</f>
        <v/>
      </c>
      <c r="F4766" s="12" t="n"/>
      <c r="G4766" s="11" t="n"/>
      <c r="H4766" s="11" t="n"/>
      <c r="I4766" s="16">
        <f>IF(D4766="","",IF(G4766&lt;&gt;"",G4766,IFERROR(INDEX('Sản phẩm'!$E$5:$E$304,MATCH(D4766,'Sản phẩm'!$A$5:$A$304,0)),"")))</f>
        <v/>
      </c>
      <c r="J4766" s="16">
        <f>IF(OR(D4766="",F4766=""),"",F4766*I4766-N(H4766))</f>
        <v/>
      </c>
      <c r="K4766" s="16">
        <f>IF(OR(D4766="",F4766=""),"",F4766*IFERROR(INDEX('Sản phẩm'!$D$5:$D$304,MATCH(D4766,'Sản phẩm'!$A$5:$A$304,0)),""))</f>
        <v/>
      </c>
      <c r="L4766" s="16">
        <f>IF(J4766="","",J4766-K4766)</f>
        <v/>
      </c>
      <c r="M4766" s="14">
        <f>IF(A4766="","",MONTH(A4766))</f>
        <v/>
      </c>
      <c r="N4766" s="14">
        <f>IF(A4766="","",YEAR(A4766))</f>
        <v/>
      </c>
    </row>
    <row r="4767">
      <c r="A4767" s="15" t="n"/>
      <c r="B4767" s="10" t="n"/>
      <c r="C4767" s="10" t="n"/>
      <c r="D4767" s="10" t="n"/>
      <c r="E4767" s="14">
        <f>IF(D4767="","",IFERROR(INDEX('Sản phẩm'!$B$5:$B$304,MATCH(D4767,'Sản phẩm'!$A$5:$A$304,0)),""))</f>
        <v/>
      </c>
      <c r="F4767" s="12" t="n"/>
      <c r="G4767" s="11" t="n"/>
      <c r="H4767" s="11" t="n"/>
      <c r="I4767" s="16">
        <f>IF(D4767="","",IF(G4767&lt;&gt;"",G4767,IFERROR(INDEX('Sản phẩm'!$E$5:$E$304,MATCH(D4767,'Sản phẩm'!$A$5:$A$304,0)),"")))</f>
        <v/>
      </c>
      <c r="J4767" s="16">
        <f>IF(OR(D4767="",F4767=""),"",F4767*I4767-N(H4767))</f>
        <v/>
      </c>
      <c r="K4767" s="16">
        <f>IF(OR(D4767="",F4767=""),"",F4767*IFERROR(INDEX('Sản phẩm'!$D$5:$D$304,MATCH(D4767,'Sản phẩm'!$A$5:$A$304,0)),""))</f>
        <v/>
      </c>
      <c r="L4767" s="16">
        <f>IF(J4767="","",J4767-K4767)</f>
        <v/>
      </c>
      <c r="M4767" s="14">
        <f>IF(A4767="","",MONTH(A4767))</f>
        <v/>
      </c>
      <c r="N4767" s="14">
        <f>IF(A4767="","",YEAR(A4767))</f>
        <v/>
      </c>
    </row>
    <row r="4768">
      <c r="A4768" s="15" t="n"/>
      <c r="B4768" s="10" t="n"/>
      <c r="C4768" s="10" t="n"/>
      <c r="D4768" s="10" t="n"/>
      <c r="E4768" s="14">
        <f>IF(D4768="","",IFERROR(INDEX('Sản phẩm'!$B$5:$B$304,MATCH(D4768,'Sản phẩm'!$A$5:$A$304,0)),""))</f>
        <v/>
      </c>
      <c r="F4768" s="12" t="n"/>
      <c r="G4768" s="11" t="n"/>
      <c r="H4768" s="11" t="n"/>
      <c r="I4768" s="16">
        <f>IF(D4768="","",IF(G4768&lt;&gt;"",G4768,IFERROR(INDEX('Sản phẩm'!$E$5:$E$304,MATCH(D4768,'Sản phẩm'!$A$5:$A$304,0)),"")))</f>
        <v/>
      </c>
      <c r="J4768" s="16">
        <f>IF(OR(D4768="",F4768=""),"",F4768*I4768-N(H4768))</f>
        <v/>
      </c>
      <c r="K4768" s="16">
        <f>IF(OR(D4768="",F4768=""),"",F4768*IFERROR(INDEX('Sản phẩm'!$D$5:$D$304,MATCH(D4768,'Sản phẩm'!$A$5:$A$304,0)),""))</f>
        <v/>
      </c>
      <c r="L4768" s="16">
        <f>IF(J4768="","",J4768-K4768)</f>
        <v/>
      </c>
      <c r="M4768" s="14">
        <f>IF(A4768="","",MONTH(A4768))</f>
        <v/>
      </c>
      <c r="N4768" s="14">
        <f>IF(A4768="","",YEAR(A4768))</f>
        <v/>
      </c>
    </row>
    <row r="4769">
      <c r="A4769" s="15" t="n"/>
      <c r="B4769" s="10" t="n"/>
      <c r="C4769" s="10" t="n"/>
      <c r="D4769" s="10" t="n"/>
      <c r="E4769" s="14">
        <f>IF(D4769="","",IFERROR(INDEX('Sản phẩm'!$B$5:$B$304,MATCH(D4769,'Sản phẩm'!$A$5:$A$304,0)),""))</f>
        <v/>
      </c>
      <c r="F4769" s="12" t="n"/>
      <c r="G4769" s="11" t="n"/>
      <c r="H4769" s="11" t="n"/>
      <c r="I4769" s="16">
        <f>IF(D4769="","",IF(G4769&lt;&gt;"",G4769,IFERROR(INDEX('Sản phẩm'!$E$5:$E$304,MATCH(D4769,'Sản phẩm'!$A$5:$A$304,0)),"")))</f>
        <v/>
      </c>
      <c r="J4769" s="16">
        <f>IF(OR(D4769="",F4769=""),"",F4769*I4769-N(H4769))</f>
        <v/>
      </c>
      <c r="K4769" s="16">
        <f>IF(OR(D4769="",F4769=""),"",F4769*IFERROR(INDEX('Sản phẩm'!$D$5:$D$304,MATCH(D4769,'Sản phẩm'!$A$5:$A$304,0)),""))</f>
        <v/>
      </c>
      <c r="L4769" s="16">
        <f>IF(J4769="","",J4769-K4769)</f>
        <v/>
      </c>
      <c r="M4769" s="14">
        <f>IF(A4769="","",MONTH(A4769))</f>
        <v/>
      </c>
      <c r="N4769" s="14">
        <f>IF(A4769="","",YEAR(A4769))</f>
        <v/>
      </c>
    </row>
    <row r="4770">
      <c r="A4770" s="15" t="n"/>
      <c r="B4770" s="10" t="n"/>
      <c r="C4770" s="10" t="n"/>
      <c r="D4770" s="10" t="n"/>
      <c r="E4770" s="14">
        <f>IF(D4770="","",IFERROR(INDEX('Sản phẩm'!$B$5:$B$304,MATCH(D4770,'Sản phẩm'!$A$5:$A$304,0)),""))</f>
        <v/>
      </c>
      <c r="F4770" s="12" t="n"/>
      <c r="G4770" s="11" t="n"/>
      <c r="H4770" s="11" t="n"/>
      <c r="I4770" s="16">
        <f>IF(D4770="","",IF(G4770&lt;&gt;"",G4770,IFERROR(INDEX('Sản phẩm'!$E$5:$E$304,MATCH(D4770,'Sản phẩm'!$A$5:$A$304,0)),"")))</f>
        <v/>
      </c>
      <c r="J4770" s="16">
        <f>IF(OR(D4770="",F4770=""),"",F4770*I4770-N(H4770))</f>
        <v/>
      </c>
      <c r="K4770" s="16">
        <f>IF(OR(D4770="",F4770=""),"",F4770*IFERROR(INDEX('Sản phẩm'!$D$5:$D$304,MATCH(D4770,'Sản phẩm'!$A$5:$A$304,0)),""))</f>
        <v/>
      </c>
      <c r="L4770" s="16">
        <f>IF(J4770="","",J4770-K4770)</f>
        <v/>
      </c>
      <c r="M4770" s="14">
        <f>IF(A4770="","",MONTH(A4770))</f>
        <v/>
      </c>
      <c r="N4770" s="14">
        <f>IF(A4770="","",YEAR(A4770))</f>
        <v/>
      </c>
    </row>
    <row r="4771">
      <c r="A4771" s="15" t="n"/>
      <c r="B4771" s="10" t="n"/>
      <c r="C4771" s="10" t="n"/>
      <c r="D4771" s="10" t="n"/>
      <c r="E4771" s="14">
        <f>IF(D4771="","",IFERROR(INDEX('Sản phẩm'!$B$5:$B$304,MATCH(D4771,'Sản phẩm'!$A$5:$A$304,0)),""))</f>
        <v/>
      </c>
      <c r="F4771" s="12" t="n"/>
      <c r="G4771" s="11" t="n"/>
      <c r="H4771" s="11" t="n"/>
      <c r="I4771" s="16">
        <f>IF(D4771="","",IF(G4771&lt;&gt;"",G4771,IFERROR(INDEX('Sản phẩm'!$E$5:$E$304,MATCH(D4771,'Sản phẩm'!$A$5:$A$304,0)),"")))</f>
        <v/>
      </c>
      <c r="J4771" s="16">
        <f>IF(OR(D4771="",F4771=""),"",F4771*I4771-N(H4771))</f>
        <v/>
      </c>
      <c r="K4771" s="16">
        <f>IF(OR(D4771="",F4771=""),"",F4771*IFERROR(INDEX('Sản phẩm'!$D$5:$D$304,MATCH(D4771,'Sản phẩm'!$A$5:$A$304,0)),""))</f>
        <v/>
      </c>
      <c r="L4771" s="16">
        <f>IF(J4771="","",J4771-K4771)</f>
        <v/>
      </c>
      <c r="M4771" s="14">
        <f>IF(A4771="","",MONTH(A4771))</f>
        <v/>
      </c>
      <c r="N4771" s="14">
        <f>IF(A4771="","",YEAR(A4771))</f>
        <v/>
      </c>
    </row>
    <row r="4772">
      <c r="A4772" s="15" t="n"/>
      <c r="B4772" s="10" t="n"/>
      <c r="C4772" s="10" t="n"/>
      <c r="D4772" s="10" t="n"/>
      <c r="E4772" s="14">
        <f>IF(D4772="","",IFERROR(INDEX('Sản phẩm'!$B$5:$B$304,MATCH(D4772,'Sản phẩm'!$A$5:$A$304,0)),""))</f>
        <v/>
      </c>
      <c r="F4772" s="12" t="n"/>
      <c r="G4772" s="11" t="n"/>
      <c r="H4772" s="11" t="n"/>
      <c r="I4772" s="16">
        <f>IF(D4772="","",IF(G4772&lt;&gt;"",G4772,IFERROR(INDEX('Sản phẩm'!$E$5:$E$304,MATCH(D4772,'Sản phẩm'!$A$5:$A$304,0)),"")))</f>
        <v/>
      </c>
      <c r="J4772" s="16">
        <f>IF(OR(D4772="",F4772=""),"",F4772*I4772-N(H4772))</f>
        <v/>
      </c>
      <c r="K4772" s="16">
        <f>IF(OR(D4772="",F4772=""),"",F4772*IFERROR(INDEX('Sản phẩm'!$D$5:$D$304,MATCH(D4772,'Sản phẩm'!$A$5:$A$304,0)),""))</f>
        <v/>
      </c>
      <c r="L4772" s="16">
        <f>IF(J4772="","",J4772-K4772)</f>
        <v/>
      </c>
      <c r="M4772" s="14">
        <f>IF(A4772="","",MONTH(A4772))</f>
        <v/>
      </c>
      <c r="N4772" s="14">
        <f>IF(A4772="","",YEAR(A4772))</f>
        <v/>
      </c>
    </row>
    <row r="4773">
      <c r="A4773" s="15" t="n"/>
      <c r="B4773" s="10" t="n"/>
      <c r="C4773" s="10" t="n"/>
      <c r="D4773" s="10" t="n"/>
      <c r="E4773" s="14">
        <f>IF(D4773="","",IFERROR(INDEX('Sản phẩm'!$B$5:$B$304,MATCH(D4773,'Sản phẩm'!$A$5:$A$304,0)),""))</f>
        <v/>
      </c>
      <c r="F4773" s="12" t="n"/>
      <c r="G4773" s="11" t="n"/>
      <c r="H4773" s="11" t="n"/>
      <c r="I4773" s="16">
        <f>IF(D4773="","",IF(G4773&lt;&gt;"",G4773,IFERROR(INDEX('Sản phẩm'!$E$5:$E$304,MATCH(D4773,'Sản phẩm'!$A$5:$A$304,0)),"")))</f>
        <v/>
      </c>
      <c r="J4773" s="16">
        <f>IF(OR(D4773="",F4773=""),"",F4773*I4773-N(H4773))</f>
        <v/>
      </c>
      <c r="K4773" s="16">
        <f>IF(OR(D4773="",F4773=""),"",F4773*IFERROR(INDEX('Sản phẩm'!$D$5:$D$304,MATCH(D4773,'Sản phẩm'!$A$5:$A$304,0)),""))</f>
        <v/>
      </c>
      <c r="L4773" s="16">
        <f>IF(J4773="","",J4773-K4773)</f>
        <v/>
      </c>
      <c r="M4773" s="14">
        <f>IF(A4773="","",MONTH(A4773))</f>
        <v/>
      </c>
      <c r="N4773" s="14">
        <f>IF(A4773="","",YEAR(A4773))</f>
        <v/>
      </c>
    </row>
    <row r="4774">
      <c r="A4774" s="15" t="n"/>
      <c r="B4774" s="10" t="n"/>
      <c r="C4774" s="10" t="n"/>
      <c r="D4774" s="10" t="n"/>
      <c r="E4774" s="14">
        <f>IF(D4774="","",IFERROR(INDEX('Sản phẩm'!$B$5:$B$304,MATCH(D4774,'Sản phẩm'!$A$5:$A$304,0)),""))</f>
        <v/>
      </c>
      <c r="F4774" s="12" t="n"/>
      <c r="G4774" s="11" t="n"/>
      <c r="H4774" s="11" t="n"/>
      <c r="I4774" s="16">
        <f>IF(D4774="","",IF(G4774&lt;&gt;"",G4774,IFERROR(INDEX('Sản phẩm'!$E$5:$E$304,MATCH(D4774,'Sản phẩm'!$A$5:$A$304,0)),"")))</f>
        <v/>
      </c>
      <c r="J4774" s="16">
        <f>IF(OR(D4774="",F4774=""),"",F4774*I4774-N(H4774))</f>
        <v/>
      </c>
      <c r="K4774" s="16">
        <f>IF(OR(D4774="",F4774=""),"",F4774*IFERROR(INDEX('Sản phẩm'!$D$5:$D$304,MATCH(D4774,'Sản phẩm'!$A$5:$A$304,0)),""))</f>
        <v/>
      </c>
      <c r="L4774" s="16">
        <f>IF(J4774="","",J4774-K4774)</f>
        <v/>
      </c>
      <c r="M4774" s="14">
        <f>IF(A4774="","",MONTH(A4774))</f>
        <v/>
      </c>
      <c r="N4774" s="14">
        <f>IF(A4774="","",YEAR(A4774))</f>
        <v/>
      </c>
    </row>
    <row r="4775">
      <c r="A4775" s="15" t="n"/>
      <c r="B4775" s="10" t="n"/>
      <c r="C4775" s="10" t="n"/>
      <c r="D4775" s="10" t="n"/>
      <c r="E4775" s="14">
        <f>IF(D4775="","",IFERROR(INDEX('Sản phẩm'!$B$5:$B$304,MATCH(D4775,'Sản phẩm'!$A$5:$A$304,0)),""))</f>
        <v/>
      </c>
      <c r="F4775" s="12" t="n"/>
      <c r="G4775" s="11" t="n"/>
      <c r="H4775" s="11" t="n"/>
      <c r="I4775" s="16">
        <f>IF(D4775="","",IF(G4775&lt;&gt;"",G4775,IFERROR(INDEX('Sản phẩm'!$E$5:$E$304,MATCH(D4775,'Sản phẩm'!$A$5:$A$304,0)),"")))</f>
        <v/>
      </c>
      <c r="J4775" s="16">
        <f>IF(OR(D4775="",F4775=""),"",F4775*I4775-N(H4775))</f>
        <v/>
      </c>
      <c r="K4775" s="16">
        <f>IF(OR(D4775="",F4775=""),"",F4775*IFERROR(INDEX('Sản phẩm'!$D$5:$D$304,MATCH(D4775,'Sản phẩm'!$A$5:$A$304,0)),""))</f>
        <v/>
      </c>
      <c r="L4775" s="16">
        <f>IF(J4775="","",J4775-K4775)</f>
        <v/>
      </c>
      <c r="M4775" s="14">
        <f>IF(A4775="","",MONTH(A4775))</f>
        <v/>
      </c>
      <c r="N4775" s="14">
        <f>IF(A4775="","",YEAR(A4775))</f>
        <v/>
      </c>
    </row>
    <row r="4776">
      <c r="A4776" s="15" t="n"/>
      <c r="B4776" s="10" t="n"/>
      <c r="C4776" s="10" t="n"/>
      <c r="D4776" s="10" t="n"/>
      <c r="E4776" s="14">
        <f>IF(D4776="","",IFERROR(INDEX('Sản phẩm'!$B$5:$B$304,MATCH(D4776,'Sản phẩm'!$A$5:$A$304,0)),""))</f>
        <v/>
      </c>
      <c r="F4776" s="12" t="n"/>
      <c r="G4776" s="11" t="n"/>
      <c r="H4776" s="11" t="n"/>
      <c r="I4776" s="16">
        <f>IF(D4776="","",IF(G4776&lt;&gt;"",G4776,IFERROR(INDEX('Sản phẩm'!$E$5:$E$304,MATCH(D4776,'Sản phẩm'!$A$5:$A$304,0)),"")))</f>
        <v/>
      </c>
      <c r="J4776" s="16">
        <f>IF(OR(D4776="",F4776=""),"",F4776*I4776-N(H4776))</f>
        <v/>
      </c>
      <c r="K4776" s="16">
        <f>IF(OR(D4776="",F4776=""),"",F4776*IFERROR(INDEX('Sản phẩm'!$D$5:$D$304,MATCH(D4776,'Sản phẩm'!$A$5:$A$304,0)),""))</f>
        <v/>
      </c>
      <c r="L4776" s="16">
        <f>IF(J4776="","",J4776-K4776)</f>
        <v/>
      </c>
      <c r="M4776" s="14">
        <f>IF(A4776="","",MONTH(A4776))</f>
        <v/>
      </c>
      <c r="N4776" s="14">
        <f>IF(A4776="","",YEAR(A4776))</f>
        <v/>
      </c>
    </row>
    <row r="4777">
      <c r="A4777" s="15" t="n"/>
      <c r="B4777" s="10" t="n"/>
      <c r="C4777" s="10" t="n"/>
      <c r="D4777" s="10" t="n"/>
      <c r="E4777" s="14">
        <f>IF(D4777="","",IFERROR(INDEX('Sản phẩm'!$B$5:$B$304,MATCH(D4777,'Sản phẩm'!$A$5:$A$304,0)),""))</f>
        <v/>
      </c>
      <c r="F4777" s="12" t="n"/>
      <c r="G4777" s="11" t="n"/>
      <c r="H4777" s="11" t="n"/>
      <c r="I4777" s="16">
        <f>IF(D4777="","",IF(G4777&lt;&gt;"",G4777,IFERROR(INDEX('Sản phẩm'!$E$5:$E$304,MATCH(D4777,'Sản phẩm'!$A$5:$A$304,0)),"")))</f>
        <v/>
      </c>
      <c r="J4777" s="16">
        <f>IF(OR(D4777="",F4777=""),"",F4777*I4777-N(H4777))</f>
        <v/>
      </c>
      <c r="K4777" s="16">
        <f>IF(OR(D4777="",F4777=""),"",F4777*IFERROR(INDEX('Sản phẩm'!$D$5:$D$304,MATCH(D4777,'Sản phẩm'!$A$5:$A$304,0)),""))</f>
        <v/>
      </c>
      <c r="L4777" s="16">
        <f>IF(J4777="","",J4777-K4777)</f>
        <v/>
      </c>
      <c r="M4777" s="14">
        <f>IF(A4777="","",MONTH(A4777))</f>
        <v/>
      </c>
      <c r="N4777" s="14">
        <f>IF(A4777="","",YEAR(A4777))</f>
        <v/>
      </c>
    </row>
    <row r="4778">
      <c r="A4778" s="15" t="n"/>
      <c r="B4778" s="10" t="n"/>
      <c r="C4778" s="10" t="n"/>
      <c r="D4778" s="10" t="n"/>
      <c r="E4778" s="14">
        <f>IF(D4778="","",IFERROR(INDEX('Sản phẩm'!$B$5:$B$304,MATCH(D4778,'Sản phẩm'!$A$5:$A$304,0)),""))</f>
        <v/>
      </c>
      <c r="F4778" s="12" t="n"/>
      <c r="G4778" s="11" t="n"/>
      <c r="H4778" s="11" t="n"/>
      <c r="I4778" s="16">
        <f>IF(D4778="","",IF(G4778&lt;&gt;"",G4778,IFERROR(INDEX('Sản phẩm'!$E$5:$E$304,MATCH(D4778,'Sản phẩm'!$A$5:$A$304,0)),"")))</f>
        <v/>
      </c>
      <c r="J4778" s="16">
        <f>IF(OR(D4778="",F4778=""),"",F4778*I4778-N(H4778))</f>
        <v/>
      </c>
      <c r="K4778" s="16">
        <f>IF(OR(D4778="",F4778=""),"",F4778*IFERROR(INDEX('Sản phẩm'!$D$5:$D$304,MATCH(D4778,'Sản phẩm'!$A$5:$A$304,0)),""))</f>
        <v/>
      </c>
      <c r="L4778" s="16">
        <f>IF(J4778="","",J4778-K4778)</f>
        <v/>
      </c>
      <c r="M4778" s="14">
        <f>IF(A4778="","",MONTH(A4778))</f>
        <v/>
      </c>
      <c r="N4778" s="14">
        <f>IF(A4778="","",YEAR(A4778))</f>
        <v/>
      </c>
    </row>
    <row r="4779">
      <c r="A4779" s="15" t="n"/>
      <c r="B4779" s="10" t="n"/>
      <c r="C4779" s="10" t="n"/>
      <c r="D4779" s="10" t="n"/>
      <c r="E4779" s="14">
        <f>IF(D4779="","",IFERROR(INDEX('Sản phẩm'!$B$5:$B$304,MATCH(D4779,'Sản phẩm'!$A$5:$A$304,0)),""))</f>
        <v/>
      </c>
      <c r="F4779" s="12" t="n"/>
      <c r="G4779" s="11" t="n"/>
      <c r="H4779" s="11" t="n"/>
      <c r="I4779" s="16">
        <f>IF(D4779="","",IF(G4779&lt;&gt;"",G4779,IFERROR(INDEX('Sản phẩm'!$E$5:$E$304,MATCH(D4779,'Sản phẩm'!$A$5:$A$304,0)),"")))</f>
        <v/>
      </c>
      <c r="J4779" s="16">
        <f>IF(OR(D4779="",F4779=""),"",F4779*I4779-N(H4779))</f>
        <v/>
      </c>
      <c r="K4779" s="16">
        <f>IF(OR(D4779="",F4779=""),"",F4779*IFERROR(INDEX('Sản phẩm'!$D$5:$D$304,MATCH(D4779,'Sản phẩm'!$A$5:$A$304,0)),""))</f>
        <v/>
      </c>
      <c r="L4779" s="16">
        <f>IF(J4779="","",J4779-K4779)</f>
        <v/>
      </c>
      <c r="M4779" s="14">
        <f>IF(A4779="","",MONTH(A4779))</f>
        <v/>
      </c>
      <c r="N4779" s="14">
        <f>IF(A4779="","",YEAR(A4779))</f>
        <v/>
      </c>
    </row>
    <row r="4780">
      <c r="A4780" s="15" t="n"/>
      <c r="B4780" s="10" t="n"/>
      <c r="C4780" s="10" t="n"/>
      <c r="D4780" s="10" t="n"/>
      <c r="E4780" s="14">
        <f>IF(D4780="","",IFERROR(INDEX('Sản phẩm'!$B$5:$B$304,MATCH(D4780,'Sản phẩm'!$A$5:$A$304,0)),""))</f>
        <v/>
      </c>
      <c r="F4780" s="12" t="n"/>
      <c r="G4780" s="11" t="n"/>
      <c r="H4780" s="11" t="n"/>
      <c r="I4780" s="16">
        <f>IF(D4780="","",IF(G4780&lt;&gt;"",G4780,IFERROR(INDEX('Sản phẩm'!$E$5:$E$304,MATCH(D4780,'Sản phẩm'!$A$5:$A$304,0)),"")))</f>
        <v/>
      </c>
      <c r="J4780" s="16">
        <f>IF(OR(D4780="",F4780=""),"",F4780*I4780-N(H4780))</f>
        <v/>
      </c>
      <c r="K4780" s="16">
        <f>IF(OR(D4780="",F4780=""),"",F4780*IFERROR(INDEX('Sản phẩm'!$D$5:$D$304,MATCH(D4780,'Sản phẩm'!$A$5:$A$304,0)),""))</f>
        <v/>
      </c>
      <c r="L4780" s="16">
        <f>IF(J4780="","",J4780-K4780)</f>
        <v/>
      </c>
      <c r="M4780" s="14">
        <f>IF(A4780="","",MONTH(A4780))</f>
        <v/>
      </c>
      <c r="N4780" s="14">
        <f>IF(A4780="","",YEAR(A4780))</f>
        <v/>
      </c>
    </row>
    <row r="4781">
      <c r="A4781" s="15" t="n"/>
      <c r="B4781" s="10" t="n"/>
      <c r="C4781" s="10" t="n"/>
      <c r="D4781" s="10" t="n"/>
      <c r="E4781" s="14">
        <f>IF(D4781="","",IFERROR(INDEX('Sản phẩm'!$B$5:$B$304,MATCH(D4781,'Sản phẩm'!$A$5:$A$304,0)),""))</f>
        <v/>
      </c>
      <c r="F4781" s="12" t="n"/>
      <c r="G4781" s="11" t="n"/>
      <c r="H4781" s="11" t="n"/>
      <c r="I4781" s="16">
        <f>IF(D4781="","",IF(G4781&lt;&gt;"",G4781,IFERROR(INDEX('Sản phẩm'!$E$5:$E$304,MATCH(D4781,'Sản phẩm'!$A$5:$A$304,0)),"")))</f>
        <v/>
      </c>
      <c r="J4781" s="16">
        <f>IF(OR(D4781="",F4781=""),"",F4781*I4781-N(H4781))</f>
        <v/>
      </c>
      <c r="K4781" s="16">
        <f>IF(OR(D4781="",F4781=""),"",F4781*IFERROR(INDEX('Sản phẩm'!$D$5:$D$304,MATCH(D4781,'Sản phẩm'!$A$5:$A$304,0)),""))</f>
        <v/>
      </c>
      <c r="L4781" s="16">
        <f>IF(J4781="","",J4781-K4781)</f>
        <v/>
      </c>
      <c r="M4781" s="14">
        <f>IF(A4781="","",MONTH(A4781))</f>
        <v/>
      </c>
      <c r="N4781" s="14">
        <f>IF(A4781="","",YEAR(A4781))</f>
        <v/>
      </c>
    </row>
    <row r="4782">
      <c r="A4782" s="15" t="n"/>
      <c r="B4782" s="10" t="n"/>
      <c r="C4782" s="10" t="n"/>
      <c r="D4782" s="10" t="n"/>
      <c r="E4782" s="14">
        <f>IF(D4782="","",IFERROR(INDEX('Sản phẩm'!$B$5:$B$304,MATCH(D4782,'Sản phẩm'!$A$5:$A$304,0)),""))</f>
        <v/>
      </c>
      <c r="F4782" s="12" t="n"/>
      <c r="G4782" s="11" t="n"/>
      <c r="H4782" s="11" t="n"/>
      <c r="I4782" s="16">
        <f>IF(D4782="","",IF(G4782&lt;&gt;"",G4782,IFERROR(INDEX('Sản phẩm'!$E$5:$E$304,MATCH(D4782,'Sản phẩm'!$A$5:$A$304,0)),"")))</f>
        <v/>
      </c>
      <c r="J4782" s="16">
        <f>IF(OR(D4782="",F4782=""),"",F4782*I4782-N(H4782))</f>
        <v/>
      </c>
      <c r="K4782" s="16">
        <f>IF(OR(D4782="",F4782=""),"",F4782*IFERROR(INDEX('Sản phẩm'!$D$5:$D$304,MATCH(D4782,'Sản phẩm'!$A$5:$A$304,0)),""))</f>
        <v/>
      </c>
      <c r="L4782" s="16">
        <f>IF(J4782="","",J4782-K4782)</f>
        <v/>
      </c>
      <c r="M4782" s="14">
        <f>IF(A4782="","",MONTH(A4782))</f>
        <v/>
      </c>
      <c r="N4782" s="14">
        <f>IF(A4782="","",YEAR(A4782))</f>
        <v/>
      </c>
    </row>
    <row r="4783">
      <c r="A4783" s="15" t="n"/>
      <c r="B4783" s="10" t="n"/>
      <c r="C4783" s="10" t="n"/>
      <c r="D4783" s="10" t="n"/>
      <c r="E4783" s="14">
        <f>IF(D4783="","",IFERROR(INDEX('Sản phẩm'!$B$5:$B$304,MATCH(D4783,'Sản phẩm'!$A$5:$A$304,0)),""))</f>
        <v/>
      </c>
      <c r="F4783" s="12" t="n"/>
      <c r="G4783" s="11" t="n"/>
      <c r="H4783" s="11" t="n"/>
      <c r="I4783" s="16">
        <f>IF(D4783="","",IF(G4783&lt;&gt;"",G4783,IFERROR(INDEX('Sản phẩm'!$E$5:$E$304,MATCH(D4783,'Sản phẩm'!$A$5:$A$304,0)),"")))</f>
        <v/>
      </c>
      <c r="J4783" s="16">
        <f>IF(OR(D4783="",F4783=""),"",F4783*I4783-N(H4783))</f>
        <v/>
      </c>
      <c r="K4783" s="16">
        <f>IF(OR(D4783="",F4783=""),"",F4783*IFERROR(INDEX('Sản phẩm'!$D$5:$D$304,MATCH(D4783,'Sản phẩm'!$A$5:$A$304,0)),""))</f>
        <v/>
      </c>
      <c r="L4783" s="16">
        <f>IF(J4783="","",J4783-K4783)</f>
        <v/>
      </c>
      <c r="M4783" s="14">
        <f>IF(A4783="","",MONTH(A4783))</f>
        <v/>
      </c>
      <c r="N4783" s="14">
        <f>IF(A4783="","",YEAR(A4783))</f>
        <v/>
      </c>
    </row>
    <row r="4784">
      <c r="A4784" s="15" t="n"/>
      <c r="B4784" s="10" t="n"/>
      <c r="C4784" s="10" t="n"/>
      <c r="D4784" s="10" t="n"/>
      <c r="E4784" s="14">
        <f>IF(D4784="","",IFERROR(INDEX('Sản phẩm'!$B$5:$B$304,MATCH(D4784,'Sản phẩm'!$A$5:$A$304,0)),""))</f>
        <v/>
      </c>
      <c r="F4784" s="12" t="n"/>
      <c r="G4784" s="11" t="n"/>
      <c r="H4784" s="11" t="n"/>
      <c r="I4784" s="16">
        <f>IF(D4784="","",IF(G4784&lt;&gt;"",G4784,IFERROR(INDEX('Sản phẩm'!$E$5:$E$304,MATCH(D4784,'Sản phẩm'!$A$5:$A$304,0)),"")))</f>
        <v/>
      </c>
      <c r="J4784" s="16">
        <f>IF(OR(D4784="",F4784=""),"",F4784*I4784-N(H4784))</f>
        <v/>
      </c>
      <c r="K4784" s="16">
        <f>IF(OR(D4784="",F4784=""),"",F4784*IFERROR(INDEX('Sản phẩm'!$D$5:$D$304,MATCH(D4784,'Sản phẩm'!$A$5:$A$304,0)),""))</f>
        <v/>
      </c>
      <c r="L4784" s="16">
        <f>IF(J4784="","",J4784-K4784)</f>
        <v/>
      </c>
      <c r="M4784" s="14">
        <f>IF(A4784="","",MONTH(A4784))</f>
        <v/>
      </c>
      <c r="N4784" s="14">
        <f>IF(A4784="","",YEAR(A4784))</f>
        <v/>
      </c>
    </row>
    <row r="4785">
      <c r="A4785" s="15" t="n"/>
      <c r="B4785" s="10" t="n"/>
      <c r="C4785" s="10" t="n"/>
      <c r="D4785" s="10" t="n"/>
      <c r="E4785" s="14">
        <f>IF(D4785="","",IFERROR(INDEX('Sản phẩm'!$B$5:$B$304,MATCH(D4785,'Sản phẩm'!$A$5:$A$304,0)),""))</f>
        <v/>
      </c>
      <c r="F4785" s="12" t="n"/>
      <c r="G4785" s="11" t="n"/>
      <c r="H4785" s="11" t="n"/>
      <c r="I4785" s="16">
        <f>IF(D4785="","",IF(G4785&lt;&gt;"",G4785,IFERROR(INDEX('Sản phẩm'!$E$5:$E$304,MATCH(D4785,'Sản phẩm'!$A$5:$A$304,0)),"")))</f>
        <v/>
      </c>
      <c r="J4785" s="16">
        <f>IF(OR(D4785="",F4785=""),"",F4785*I4785-N(H4785))</f>
        <v/>
      </c>
      <c r="K4785" s="16">
        <f>IF(OR(D4785="",F4785=""),"",F4785*IFERROR(INDEX('Sản phẩm'!$D$5:$D$304,MATCH(D4785,'Sản phẩm'!$A$5:$A$304,0)),""))</f>
        <v/>
      </c>
      <c r="L4785" s="16">
        <f>IF(J4785="","",J4785-K4785)</f>
        <v/>
      </c>
      <c r="M4785" s="14">
        <f>IF(A4785="","",MONTH(A4785))</f>
        <v/>
      </c>
      <c r="N4785" s="14">
        <f>IF(A4785="","",YEAR(A4785))</f>
        <v/>
      </c>
    </row>
    <row r="4786">
      <c r="A4786" s="15" t="n"/>
      <c r="B4786" s="10" t="n"/>
      <c r="C4786" s="10" t="n"/>
      <c r="D4786" s="10" t="n"/>
      <c r="E4786" s="14">
        <f>IF(D4786="","",IFERROR(INDEX('Sản phẩm'!$B$5:$B$304,MATCH(D4786,'Sản phẩm'!$A$5:$A$304,0)),""))</f>
        <v/>
      </c>
      <c r="F4786" s="12" t="n"/>
      <c r="G4786" s="11" t="n"/>
      <c r="H4786" s="11" t="n"/>
      <c r="I4786" s="16">
        <f>IF(D4786="","",IF(G4786&lt;&gt;"",G4786,IFERROR(INDEX('Sản phẩm'!$E$5:$E$304,MATCH(D4786,'Sản phẩm'!$A$5:$A$304,0)),"")))</f>
        <v/>
      </c>
      <c r="J4786" s="16">
        <f>IF(OR(D4786="",F4786=""),"",F4786*I4786-N(H4786))</f>
        <v/>
      </c>
      <c r="K4786" s="16">
        <f>IF(OR(D4786="",F4786=""),"",F4786*IFERROR(INDEX('Sản phẩm'!$D$5:$D$304,MATCH(D4786,'Sản phẩm'!$A$5:$A$304,0)),""))</f>
        <v/>
      </c>
      <c r="L4786" s="16">
        <f>IF(J4786="","",J4786-K4786)</f>
        <v/>
      </c>
      <c r="M4786" s="14">
        <f>IF(A4786="","",MONTH(A4786))</f>
        <v/>
      </c>
      <c r="N4786" s="14">
        <f>IF(A4786="","",YEAR(A4786))</f>
        <v/>
      </c>
    </row>
    <row r="4787">
      <c r="A4787" s="15" t="n"/>
      <c r="B4787" s="10" t="n"/>
      <c r="C4787" s="10" t="n"/>
      <c r="D4787" s="10" t="n"/>
      <c r="E4787" s="14">
        <f>IF(D4787="","",IFERROR(INDEX('Sản phẩm'!$B$5:$B$304,MATCH(D4787,'Sản phẩm'!$A$5:$A$304,0)),""))</f>
        <v/>
      </c>
      <c r="F4787" s="12" t="n"/>
      <c r="G4787" s="11" t="n"/>
      <c r="H4787" s="11" t="n"/>
      <c r="I4787" s="16">
        <f>IF(D4787="","",IF(G4787&lt;&gt;"",G4787,IFERROR(INDEX('Sản phẩm'!$E$5:$E$304,MATCH(D4787,'Sản phẩm'!$A$5:$A$304,0)),"")))</f>
        <v/>
      </c>
      <c r="J4787" s="16">
        <f>IF(OR(D4787="",F4787=""),"",F4787*I4787-N(H4787))</f>
        <v/>
      </c>
      <c r="K4787" s="16">
        <f>IF(OR(D4787="",F4787=""),"",F4787*IFERROR(INDEX('Sản phẩm'!$D$5:$D$304,MATCH(D4787,'Sản phẩm'!$A$5:$A$304,0)),""))</f>
        <v/>
      </c>
      <c r="L4787" s="16">
        <f>IF(J4787="","",J4787-K4787)</f>
        <v/>
      </c>
      <c r="M4787" s="14">
        <f>IF(A4787="","",MONTH(A4787))</f>
        <v/>
      </c>
      <c r="N4787" s="14">
        <f>IF(A4787="","",YEAR(A4787))</f>
        <v/>
      </c>
    </row>
    <row r="4788">
      <c r="A4788" s="15" t="n"/>
      <c r="B4788" s="10" t="n"/>
      <c r="C4788" s="10" t="n"/>
      <c r="D4788" s="10" t="n"/>
      <c r="E4788" s="14">
        <f>IF(D4788="","",IFERROR(INDEX('Sản phẩm'!$B$5:$B$304,MATCH(D4788,'Sản phẩm'!$A$5:$A$304,0)),""))</f>
        <v/>
      </c>
      <c r="F4788" s="12" t="n"/>
      <c r="G4788" s="11" t="n"/>
      <c r="H4788" s="11" t="n"/>
      <c r="I4788" s="16">
        <f>IF(D4788="","",IF(G4788&lt;&gt;"",G4788,IFERROR(INDEX('Sản phẩm'!$E$5:$E$304,MATCH(D4788,'Sản phẩm'!$A$5:$A$304,0)),"")))</f>
        <v/>
      </c>
      <c r="J4788" s="16">
        <f>IF(OR(D4788="",F4788=""),"",F4788*I4788-N(H4788))</f>
        <v/>
      </c>
      <c r="K4788" s="16">
        <f>IF(OR(D4788="",F4788=""),"",F4788*IFERROR(INDEX('Sản phẩm'!$D$5:$D$304,MATCH(D4788,'Sản phẩm'!$A$5:$A$304,0)),""))</f>
        <v/>
      </c>
      <c r="L4788" s="16">
        <f>IF(J4788="","",J4788-K4788)</f>
        <v/>
      </c>
      <c r="M4788" s="14">
        <f>IF(A4788="","",MONTH(A4788))</f>
        <v/>
      </c>
      <c r="N4788" s="14">
        <f>IF(A4788="","",YEAR(A4788))</f>
        <v/>
      </c>
    </row>
    <row r="4789">
      <c r="A4789" s="15" t="n"/>
      <c r="B4789" s="10" t="n"/>
      <c r="C4789" s="10" t="n"/>
      <c r="D4789" s="10" t="n"/>
      <c r="E4789" s="14">
        <f>IF(D4789="","",IFERROR(INDEX('Sản phẩm'!$B$5:$B$304,MATCH(D4789,'Sản phẩm'!$A$5:$A$304,0)),""))</f>
        <v/>
      </c>
      <c r="F4789" s="12" t="n"/>
      <c r="G4789" s="11" t="n"/>
      <c r="H4789" s="11" t="n"/>
      <c r="I4789" s="16">
        <f>IF(D4789="","",IF(G4789&lt;&gt;"",G4789,IFERROR(INDEX('Sản phẩm'!$E$5:$E$304,MATCH(D4789,'Sản phẩm'!$A$5:$A$304,0)),"")))</f>
        <v/>
      </c>
      <c r="J4789" s="16">
        <f>IF(OR(D4789="",F4789=""),"",F4789*I4789-N(H4789))</f>
        <v/>
      </c>
      <c r="K4789" s="16">
        <f>IF(OR(D4789="",F4789=""),"",F4789*IFERROR(INDEX('Sản phẩm'!$D$5:$D$304,MATCH(D4789,'Sản phẩm'!$A$5:$A$304,0)),""))</f>
        <v/>
      </c>
      <c r="L4789" s="16">
        <f>IF(J4789="","",J4789-K4789)</f>
        <v/>
      </c>
      <c r="M4789" s="14">
        <f>IF(A4789="","",MONTH(A4789))</f>
        <v/>
      </c>
      <c r="N4789" s="14">
        <f>IF(A4789="","",YEAR(A4789))</f>
        <v/>
      </c>
    </row>
    <row r="4790">
      <c r="A4790" s="15" t="n"/>
      <c r="B4790" s="10" t="n"/>
      <c r="C4790" s="10" t="n"/>
      <c r="D4790" s="10" t="n"/>
      <c r="E4790" s="14">
        <f>IF(D4790="","",IFERROR(INDEX('Sản phẩm'!$B$5:$B$304,MATCH(D4790,'Sản phẩm'!$A$5:$A$304,0)),""))</f>
        <v/>
      </c>
      <c r="F4790" s="12" t="n"/>
      <c r="G4790" s="11" t="n"/>
      <c r="H4790" s="11" t="n"/>
      <c r="I4790" s="16">
        <f>IF(D4790="","",IF(G4790&lt;&gt;"",G4790,IFERROR(INDEX('Sản phẩm'!$E$5:$E$304,MATCH(D4790,'Sản phẩm'!$A$5:$A$304,0)),"")))</f>
        <v/>
      </c>
      <c r="J4790" s="16">
        <f>IF(OR(D4790="",F4790=""),"",F4790*I4790-N(H4790))</f>
        <v/>
      </c>
      <c r="K4790" s="16">
        <f>IF(OR(D4790="",F4790=""),"",F4790*IFERROR(INDEX('Sản phẩm'!$D$5:$D$304,MATCH(D4790,'Sản phẩm'!$A$5:$A$304,0)),""))</f>
        <v/>
      </c>
      <c r="L4790" s="16">
        <f>IF(J4790="","",J4790-K4790)</f>
        <v/>
      </c>
      <c r="M4790" s="14">
        <f>IF(A4790="","",MONTH(A4790))</f>
        <v/>
      </c>
      <c r="N4790" s="14">
        <f>IF(A4790="","",YEAR(A4790))</f>
        <v/>
      </c>
    </row>
    <row r="4791">
      <c r="A4791" s="15" t="n"/>
      <c r="B4791" s="10" t="n"/>
      <c r="C4791" s="10" t="n"/>
      <c r="D4791" s="10" t="n"/>
      <c r="E4791" s="14">
        <f>IF(D4791="","",IFERROR(INDEX('Sản phẩm'!$B$5:$B$304,MATCH(D4791,'Sản phẩm'!$A$5:$A$304,0)),""))</f>
        <v/>
      </c>
      <c r="F4791" s="12" t="n"/>
      <c r="G4791" s="11" t="n"/>
      <c r="H4791" s="11" t="n"/>
      <c r="I4791" s="16">
        <f>IF(D4791="","",IF(G4791&lt;&gt;"",G4791,IFERROR(INDEX('Sản phẩm'!$E$5:$E$304,MATCH(D4791,'Sản phẩm'!$A$5:$A$304,0)),"")))</f>
        <v/>
      </c>
      <c r="J4791" s="16">
        <f>IF(OR(D4791="",F4791=""),"",F4791*I4791-N(H4791))</f>
        <v/>
      </c>
      <c r="K4791" s="16">
        <f>IF(OR(D4791="",F4791=""),"",F4791*IFERROR(INDEX('Sản phẩm'!$D$5:$D$304,MATCH(D4791,'Sản phẩm'!$A$5:$A$304,0)),""))</f>
        <v/>
      </c>
      <c r="L4791" s="16">
        <f>IF(J4791="","",J4791-K4791)</f>
        <v/>
      </c>
      <c r="M4791" s="14">
        <f>IF(A4791="","",MONTH(A4791))</f>
        <v/>
      </c>
      <c r="N4791" s="14">
        <f>IF(A4791="","",YEAR(A4791))</f>
        <v/>
      </c>
    </row>
    <row r="4792">
      <c r="A4792" s="15" t="n"/>
      <c r="B4792" s="10" t="n"/>
      <c r="C4792" s="10" t="n"/>
      <c r="D4792" s="10" t="n"/>
      <c r="E4792" s="14">
        <f>IF(D4792="","",IFERROR(INDEX('Sản phẩm'!$B$5:$B$304,MATCH(D4792,'Sản phẩm'!$A$5:$A$304,0)),""))</f>
        <v/>
      </c>
      <c r="F4792" s="12" t="n"/>
      <c r="G4792" s="11" t="n"/>
      <c r="H4792" s="11" t="n"/>
      <c r="I4792" s="16">
        <f>IF(D4792="","",IF(G4792&lt;&gt;"",G4792,IFERROR(INDEX('Sản phẩm'!$E$5:$E$304,MATCH(D4792,'Sản phẩm'!$A$5:$A$304,0)),"")))</f>
        <v/>
      </c>
      <c r="J4792" s="16">
        <f>IF(OR(D4792="",F4792=""),"",F4792*I4792-N(H4792))</f>
        <v/>
      </c>
      <c r="K4792" s="16">
        <f>IF(OR(D4792="",F4792=""),"",F4792*IFERROR(INDEX('Sản phẩm'!$D$5:$D$304,MATCH(D4792,'Sản phẩm'!$A$5:$A$304,0)),""))</f>
        <v/>
      </c>
      <c r="L4792" s="16">
        <f>IF(J4792="","",J4792-K4792)</f>
        <v/>
      </c>
      <c r="M4792" s="14">
        <f>IF(A4792="","",MONTH(A4792))</f>
        <v/>
      </c>
      <c r="N4792" s="14">
        <f>IF(A4792="","",YEAR(A4792))</f>
        <v/>
      </c>
    </row>
    <row r="4793">
      <c r="A4793" s="15" t="n"/>
      <c r="B4793" s="10" t="n"/>
      <c r="C4793" s="10" t="n"/>
      <c r="D4793" s="10" t="n"/>
      <c r="E4793" s="14">
        <f>IF(D4793="","",IFERROR(INDEX('Sản phẩm'!$B$5:$B$304,MATCH(D4793,'Sản phẩm'!$A$5:$A$304,0)),""))</f>
        <v/>
      </c>
      <c r="F4793" s="12" t="n"/>
      <c r="G4793" s="11" t="n"/>
      <c r="H4793" s="11" t="n"/>
      <c r="I4793" s="16">
        <f>IF(D4793="","",IF(G4793&lt;&gt;"",G4793,IFERROR(INDEX('Sản phẩm'!$E$5:$E$304,MATCH(D4793,'Sản phẩm'!$A$5:$A$304,0)),"")))</f>
        <v/>
      </c>
      <c r="J4793" s="16">
        <f>IF(OR(D4793="",F4793=""),"",F4793*I4793-N(H4793))</f>
        <v/>
      </c>
      <c r="K4793" s="16">
        <f>IF(OR(D4793="",F4793=""),"",F4793*IFERROR(INDEX('Sản phẩm'!$D$5:$D$304,MATCH(D4793,'Sản phẩm'!$A$5:$A$304,0)),""))</f>
        <v/>
      </c>
      <c r="L4793" s="16">
        <f>IF(J4793="","",J4793-K4793)</f>
        <v/>
      </c>
      <c r="M4793" s="14">
        <f>IF(A4793="","",MONTH(A4793))</f>
        <v/>
      </c>
      <c r="N4793" s="14">
        <f>IF(A4793="","",YEAR(A4793))</f>
        <v/>
      </c>
    </row>
    <row r="4794">
      <c r="A4794" s="15" t="n"/>
      <c r="B4794" s="10" t="n"/>
      <c r="C4794" s="10" t="n"/>
      <c r="D4794" s="10" t="n"/>
      <c r="E4794" s="14">
        <f>IF(D4794="","",IFERROR(INDEX('Sản phẩm'!$B$5:$B$304,MATCH(D4794,'Sản phẩm'!$A$5:$A$304,0)),""))</f>
        <v/>
      </c>
      <c r="F4794" s="12" t="n"/>
      <c r="G4794" s="11" t="n"/>
      <c r="H4794" s="11" t="n"/>
      <c r="I4794" s="16">
        <f>IF(D4794="","",IF(G4794&lt;&gt;"",G4794,IFERROR(INDEX('Sản phẩm'!$E$5:$E$304,MATCH(D4794,'Sản phẩm'!$A$5:$A$304,0)),"")))</f>
        <v/>
      </c>
      <c r="J4794" s="16">
        <f>IF(OR(D4794="",F4794=""),"",F4794*I4794-N(H4794))</f>
        <v/>
      </c>
      <c r="K4794" s="16">
        <f>IF(OR(D4794="",F4794=""),"",F4794*IFERROR(INDEX('Sản phẩm'!$D$5:$D$304,MATCH(D4794,'Sản phẩm'!$A$5:$A$304,0)),""))</f>
        <v/>
      </c>
      <c r="L4794" s="16">
        <f>IF(J4794="","",J4794-K4794)</f>
        <v/>
      </c>
      <c r="M4794" s="14">
        <f>IF(A4794="","",MONTH(A4794))</f>
        <v/>
      </c>
      <c r="N4794" s="14">
        <f>IF(A4794="","",YEAR(A4794))</f>
        <v/>
      </c>
    </row>
    <row r="4795">
      <c r="A4795" s="15" t="n"/>
      <c r="B4795" s="10" t="n"/>
      <c r="C4795" s="10" t="n"/>
      <c r="D4795" s="10" t="n"/>
      <c r="E4795" s="14">
        <f>IF(D4795="","",IFERROR(INDEX('Sản phẩm'!$B$5:$B$304,MATCH(D4795,'Sản phẩm'!$A$5:$A$304,0)),""))</f>
        <v/>
      </c>
      <c r="F4795" s="12" t="n"/>
      <c r="G4795" s="11" t="n"/>
      <c r="H4795" s="11" t="n"/>
      <c r="I4795" s="16">
        <f>IF(D4795="","",IF(G4795&lt;&gt;"",G4795,IFERROR(INDEX('Sản phẩm'!$E$5:$E$304,MATCH(D4795,'Sản phẩm'!$A$5:$A$304,0)),"")))</f>
        <v/>
      </c>
      <c r="J4795" s="16">
        <f>IF(OR(D4795="",F4795=""),"",F4795*I4795-N(H4795))</f>
        <v/>
      </c>
      <c r="K4795" s="16">
        <f>IF(OR(D4795="",F4795=""),"",F4795*IFERROR(INDEX('Sản phẩm'!$D$5:$D$304,MATCH(D4795,'Sản phẩm'!$A$5:$A$304,0)),""))</f>
        <v/>
      </c>
      <c r="L4795" s="16">
        <f>IF(J4795="","",J4795-K4795)</f>
        <v/>
      </c>
      <c r="M4795" s="14">
        <f>IF(A4795="","",MONTH(A4795))</f>
        <v/>
      </c>
      <c r="N4795" s="14">
        <f>IF(A4795="","",YEAR(A4795))</f>
        <v/>
      </c>
    </row>
    <row r="4796">
      <c r="A4796" s="15" t="n"/>
      <c r="B4796" s="10" t="n"/>
      <c r="C4796" s="10" t="n"/>
      <c r="D4796" s="10" t="n"/>
      <c r="E4796" s="14">
        <f>IF(D4796="","",IFERROR(INDEX('Sản phẩm'!$B$5:$B$304,MATCH(D4796,'Sản phẩm'!$A$5:$A$304,0)),""))</f>
        <v/>
      </c>
      <c r="F4796" s="12" t="n"/>
      <c r="G4796" s="11" t="n"/>
      <c r="H4796" s="11" t="n"/>
      <c r="I4796" s="16">
        <f>IF(D4796="","",IF(G4796&lt;&gt;"",G4796,IFERROR(INDEX('Sản phẩm'!$E$5:$E$304,MATCH(D4796,'Sản phẩm'!$A$5:$A$304,0)),"")))</f>
        <v/>
      </c>
      <c r="J4796" s="16">
        <f>IF(OR(D4796="",F4796=""),"",F4796*I4796-N(H4796))</f>
        <v/>
      </c>
      <c r="K4796" s="16">
        <f>IF(OR(D4796="",F4796=""),"",F4796*IFERROR(INDEX('Sản phẩm'!$D$5:$D$304,MATCH(D4796,'Sản phẩm'!$A$5:$A$304,0)),""))</f>
        <v/>
      </c>
      <c r="L4796" s="16">
        <f>IF(J4796="","",J4796-K4796)</f>
        <v/>
      </c>
      <c r="M4796" s="14">
        <f>IF(A4796="","",MONTH(A4796))</f>
        <v/>
      </c>
      <c r="N4796" s="14">
        <f>IF(A4796="","",YEAR(A4796))</f>
        <v/>
      </c>
    </row>
    <row r="4797">
      <c r="A4797" s="15" t="n"/>
      <c r="B4797" s="10" t="n"/>
      <c r="C4797" s="10" t="n"/>
      <c r="D4797" s="10" t="n"/>
      <c r="E4797" s="14">
        <f>IF(D4797="","",IFERROR(INDEX('Sản phẩm'!$B$5:$B$304,MATCH(D4797,'Sản phẩm'!$A$5:$A$304,0)),""))</f>
        <v/>
      </c>
      <c r="F4797" s="12" t="n"/>
      <c r="G4797" s="11" t="n"/>
      <c r="H4797" s="11" t="n"/>
      <c r="I4797" s="16">
        <f>IF(D4797="","",IF(G4797&lt;&gt;"",G4797,IFERROR(INDEX('Sản phẩm'!$E$5:$E$304,MATCH(D4797,'Sản phẩm'!$A$5:$A$304,0)),"")))</f>
        <v/>
      </c>
      <c r="J4797" s="16">
        <f>IF(OR(D4797="",F4797=""),"",F4797*I4797-N(H4797))</f>
        <v/>
      </c>
      <c r="K4797" s="16">
        <f>IF(OR(D4797="",F4797=""),"",F4797*IFERROR(INDEX('Sản phẩm'!$D$5:$D$304,MATCH(D4797,'Sản phẩm'!$A$5:$A$304,0)),""))</f>
        <v/>
      </c>
      <c r="L4797" s="16">
        <f>IF(J4797="","",J4797-K4797)</f>
        <v/>
      </c>
      <c r="M4797" s="14">
        <f>IF(A4797="","",MONTH(A4797))</f>
        <v/>
      </c>
      <c r="N4797" s="14">
        <f>IF(A4797="","",YEAR(A4797))</f>
        <v/>
      </c>
    </row>
    <row r="4798">
      <c r="A4798" s="15" t="n"/>
      <c r="B4798" s="10" t="n"/>
      <c r="C4798" s="10" t="n"/>
      <c r="D4798" s="10" t="n"/>
      <c r="E4798" s="14">
        <f>IF(D4798="","",IFERROR(INDEX('Sản phẩm'!$B$5:$B$304,MATCH(D4798,'Sản phẩm'!$A$5:$A$304,0)),""))</f>
        <v/>
      </c>
      <c r="F4798" s="12" t="n"/>
      <c r="G4798" s="11" t="n"/>
      <c r="H4798" s="11" t="n"/>
      <c r="I4798" s="16">
        <f>IF(D4798="","",IF(G4798&lt;&gt;"",G4798,IFERROR(INDEX('Sản phẩm'!$E$5:$E$304,MATCH(D4798,'Sản phẩm'!$A$5:$A$304,0)),"")))</f>
        <v/>
      </c>
      <c r="J4798" s="16">
        <f>IF(OR(D4798="",F4798=""),"",F4798*I4798-N(H4798))</f>
        <v/>
      </c>
      <c r="K4798" s="16">
        <f>IF(OR(D4798="",F4798=""),"",F4798*IFERROR(INDEX('Sản phẩm'!$D$5:$D$304,MATCH(D4798,'Sản phẩm'!$A$5:$A$304,0)),""))</f>
        <v/>
      </c>
      <c r="L4798" s="16">
        <f>IF(J4798="","",J4798-K4798)</f>
        <v/>
      </c>
      <c r="M4798" s="14">
        <f>IF(A4798="","",MONTH(A4798))</f>
        <v/>
      </c>
      <c r="N4798" s="14">
        <f>IF(A4798="","",YEAR(A4798))</f>
        <v/>
      </c>
    </row>
    <row r="4799">
      <c r="A4799" s="15" t="n"/>
      <c r="B4799" s="10" t="n"/>
      <c r="C4799" s="10" t="n"/>
      <c r="D4799" s="10" t="n"/>
      <c r="E4799" s="14">
        <f>IF(D4799="","",IFERROR(INDEX('Sản phẩm'!$B$5:$B$304,MATCH(D4799,'Sản phẩm'!$A$5:$A$304,0)),""))</f>
        <v/>
      </c>
      <c r="F4799" s="12" t="n"/>
      <c r="G4799" s="11" t="n"/>
      <c r="H4799" s="11" t="n"/>
      <c r="I4799" s="16">
        <f>IF(D4799="","",IF(G4799&lt;&gt;"",G4799,IFERROR(INDEX('Sản phẩm'!$E$5:$E$304,MATCH(D4799,'Sản phẩm'!$A$5:$A$304,0)),"")))</f>
        <v/>
      </c>
      <c r="J4799" s="16">
        <f>IF(OR(D4799="",F4799=""),"",F4799*I4799-N(H4799))</f>
        <v/>
      </c>
      <c r="K4799" s="16">
        <f>IF(OR(D4799="",F4799=""),"",F4799*IFERROR(INDEX('Sản phẩm'!$D$5:$D$304,MATCH(D4799,'Sản phẩm'!$A$5:$A$304,0)),""))</f>
        <v/>
      </c>
      <c r="L4799" s="16">
        <f>IF(J4799="","",J4799-K4799)</f>
        <v/>
      </c>
      <c r="M4799" s="14">
        <f>IF(A4799="","",MONTH(A4799))</f>
        <v/>
      </c>
      <c r="N4799" s="14">
        <f>IF(A4799="","",YEAR(A4799))</f>
        <v/>
      </c>
    </row>
    <row r="4800">
      <c r="A4800" s="15" t="n"/>
      <c r="B4800" s="10" t="n"/>
      <c r="C4800" s="10" t="n"/>
      <c r="D4800" s="10" t="n"/>
      <c r="E4800" s="14">
        <f>IF(D4800="","",IFERROR(INDEX('Sản phẩm'!$B$5:$B$304,MATCH(D4800,'Sản phẩm'!$A$5:$A$304,0)),""))</f>
        <v/>
      </c>
      <c r="F4800" s="12" t="n"/>
      <c r="G4800" s="11" t="n"/>
      <c r="H4800" s="11" t="n"/>
      <c r="I4800" s="16">
        <f>IF(D4800="","",IF(G4800&lt;&gt;"",G4800,IFERROR(INDEX('Sản phẩm'!$E$5:$E$304,MATCH(D4800,'Sản phẩm'!$A$5:$A$304,0)),"")))</f>
        <v/>
      </c>
      <c r="J4800" s="16">
        <f>IF(OR(D4800="",F4800=""),"",F4800*I4800-N(H4800))</f>
        <v/>
      </c>
      <c r="K4800" s="16">
        <f>IF(OR(D4800="",F4800=""),"",F4800*IFERROR(INDEX('Sản phẩm'!$D$5:$D$304,MATCH(D4800,'Sản phẩm'!$A$5:$A$304,0)),""))</f>
        <v/>
      </c>
      <c r="L4800" s="16">
        <f>IF(J4800="","",J4800-K4800)</f>
        <v/>
      </c>
      <c r="M4800" s="14">
        <f>IF(A4800="","",MONTH(A4800))</f>
        <v/>
      </c>
      <c r="N4800" s="14">
        <f>IF(A4800="","",YEAR(A4800))</f>
        <v/>
      </c>
    </row>
    <row r="4801">
      <c r="A4801" s="15" t="n"/>
      <c r="B4801" s="10" t="n"/>
      <c r="C4801" s="10" t="n"/>
      <c r="D4801" s="10" t="n"/>
      <c r="E4801" s="14">
        <f>IF(D4801="","",IFERROR(INDEX('Sản phẩm'!$B$5:$B$304,MATCH(D4801,'Sản phẩm'!$A$5:$A$304,0)),""))</f>
        <v/>
      </c>
      <c r="F4801" s="12" t="n"/>
      <c r="G4801" s="11" t="n"/>
      <c r="H4801" s="11" t="n"/>
      <c r="I4801" s="16">
        <f>IF(D4801="","",IF(G4801&lt;&gt;"",G4801,IFERROR(INDEX('Sản phẩm'!$E$5:$E$304,MATCH(D4801,'Sản phẩm'!$A$5:$A$304,0)),"")))</f>
        <v/>
      </c>
      <c r="J4801" s="16">
        <f>IF(OR(D4801="",F4801=""),"",F4801*I4801-N(H4801))</f>
        <v/>
      </c>
      <c r="K4801" s="16">
        <f>IF(OR(D4801="",F4801=""),"",F4801*IFERROR(INDEX('Sản phẩm'!$D$5:$D$304,MATCH(D4801,'Sản phẩm'!$A$5:$A$304,0)),""))</f>
        <v/>
      </c>
      <c r="L4801" s="16">
        <f>IF(J4801="","",J4801-K4801)</f>
        <v/>
      </c>
      <c r="M4801" s="14">
        <f>IF(A4801="","",MONTH(A4801))</f>
        <v/>
      </c>
      <c r="N4801" s="14">
        <f>IF(A4801="","",YEAR(A4801))</f>
        <v/>
      </c>
    </row>
    <row r="4802">
      <c r="A4802" s="15" t="n"/>
      <c r="B4802" s="10" t="n"/>
      <c r="C4802" s="10" t="n"/>
      <c r="D4802" s="10" t="n"/>
      <c r="E4802" s="14">
        <f>IF(D4802="","",IFERROR(INDEX('Sản phẩm'!$B$5:$B$304,MATCH(D4802,'Sản phẩm'!$A$5:$A$304,0)),""))</f>
        <v/>
      </c>
      <c r="F4802" s="12" t="n"/>
      <c r="G4802" s="11" t="n"/>
      <c r="H4802" s="11" t="n"/>
      <c r="I4802" s="16">
        <f>IF(D4802="","",IF(G4802&lt;&gt;"",G4802,IFERROR(INDEX('Sản phẩm'!$E$5:$E$304,MATCH(D4802,'Sản phẩm'!$A$5:$A$304,0)),"")))</f>
        <v/>
      </c>
      <c r="J4802" s="16">
        <f>IF(OR(D4802="",F4802=""),"",F4802*I4802-N(H4802))</f>
        <v/>
      </c>
      <c r="K4802" s="16">
        <f>IF(OR(D4802="",F4802=""),"",F4802*IFERROR(INDEX('Sản phẩm'!$D$5:$D$304,MATCH(D4802,'Sản phẩm'!$A$5:$A$304,0)),""))</f>
        <v/>
      </c>
      <c r="L4802" s="16">
        <f>IF(J4802="","",J4802-K4802)</f>
        <v/>
      </c>
      <c r="M4802" s="14">
        <f>IF(A4802="","",MONTH(A4802))</f>
        <v/>
      </c>
      <c r="N4802" s="14">
        <f>IF(A4802="","",YEAR(A4802))</f>
        <v/>
      </c>
    </row>
    <row r="4803">
      <c r="A4803" s="15" t="n"/>
      <c r="B4803" s="10" t="n"/>
      <c r="C4803" s="10" t="n"/>
      <c r="D4803" s="10" t="n"/>
      <c r="E4803" s="14">
        <f>IF(D4803="","",IFERROR(INDEX('Sản phẩm'!$B$5:$B$304,MATCH(D4803,'Sản phẩm'!$A$5:$A$304,0)),""))</f>
        <v/>
      </c>
      <c r="F4803" s="12" t="n"/>
      <c r="G4803" s="11" t="n"/>
      <c r="H4803" s="11" t="n"/>
      <c r="I4803" s="16">
        <f>IF(D4803="","",IF(G4803&lt;&gt;"",G4803,IFERROR(INDEX('Sản phẩm'!$E$5:$E$304,MATCH(D4803,'Sản phẩm'!$A$5:$A$304,0)),"")))</f>
        <v/>
      </c>
      <c r="J4803" s="16">
        <f>IF(OR(D4803="",F4803=""),"",F4803*I4803-N(H4803))</f>
        <v/>
      </c>
      <c r="K4803" s="16">
        <f>IF(OR(D4803="",F4803=""),"",F4803*IFERROR(INDEX('Sản phẩm'!$D$5:$D$304,MATCH(D4803,'Sản phẩm'!$A$5:$A$304,0)),""))</f>
        <v/>
      </c>
      <c r="L4803" s="16">
        <f>IF(J4803="","",J4803-K4803)</f>
        <v/>
      </c>
      <c r="M4803" s="14">
        <f>IF(A4803="","",MONTH(A4803))</f>
        <v/>
      </c>
      <c r="N4803" s="14">
        <f>IF(A4803="","",YEAR(A4803))</f>
        <v/>
      </c>
    </row>
    <row r="4804">
      <c r="A4804" s="15" t="n"/>
      <c r="B4804" s="10" t="n"/>
      <c r="C4804" s="10" t="n"/>
      <c r="D4804" s="10" t="n"/>
      <c r="E4804" s="14">
        <f>IF(D4804="","",IFERROR(INDEX('Sản phẩm'!$B$5:$B$304,MATCH(D4804,'Sản phẩm'!$A$5:$A$304,0)),""))</f>
        <v/>
      </c>
      <c r="F4804" s="12" t="n"/>
      <c r="G4804" s="11" t="n"/>
      <c r="H4804" s="11" t="n"/>
      <c r="I4804" s="16">
        <f>IF(D4804="","",IF(G4804&lt;&gt;"",G4804,IFERROR(INDEX('Sản phẩm'!$E$5:$E$304,MATCH(D4804,'Sản phẩm'!$A$5:$A$304,0)),"")))</f>
        <v/>
      </c>
      <c r="J4804" s="16">
        <f>IF(OR(D4804="",F4804=""),"",F4804*I4804-N(H4804))</f>
        <v/>
      </c>
      <c r="K4804" s="16">
        <f>IF(OR(D4804="",F4804=""),"",F4804*IFERROR(INDEX('Sản phẩm'!$D$5:$D$304,MATCH(D4804,'Sản phẩm'!$A$5:$A$304,0)),""))</f>
        <v/>
      </c>
      <c r="L4804" s="16">
        <f>IF(J4804="","",J4804-K4804)</f>
        <v/>
      </c>
      <c r="M4804" s="14">
        <f>IF(A4804="","",MONTH(A4804))</f>
        <v/>
      </c>
      <c r="N4804" s="14">
        <f>IF(A4804="","",YEAR(A4804))</f>
        <v/>
      </c>
    </row>
    <row r="4805">
      <c r="A4805" s="15" t="n"/>
      <c r="B4805" s="10" t="n"/>
      <c r="C4805" s="10" t="n"/>
      <c r="D4805" s="10" t="n"/>
      <c r="E4805" s="14">
        <f>IF(D4805="","",IFERROR(INDEX('Sản phẩm'!$B$5:$B$304,MATCH(D4805,'Sản phẩm'!$A$5:$A$304,0)),""))</f>
        <v/>
      </c>
      <c r="F4805" s="12" t="n"/>
      <c r="G4805" s="11" t="n"/>
      <c r="H4805" s="11" t="n"/>
      <c r="I4805" s="16">
        <f>IF(D4805="","",IF(G4805&lt;&gt;"",G4805,IFERROR(INDEX('Sản phẩm'!$E$5:$E$304,MATCH(D4805,'Sản phẩm'!$A$5:$A$304,0)),"")))</f>
        <v/>
      </c>
      <c r="J4805" s="16">
        <f>IF(OR(D4805="",F4805=""),"",F4805*I4805-N(H4805))</f>
        <v/>
      </c>
      <c r="K4805" s="16">
        <f>IF(OR(D4805="",F4805=""),"",F4805*IFERROR(INDEX('Sản phẩm'!$D$5:$D$304,MATCH(D4805,'Sản phẩm'!$A$5:$A$304,0)),""))</f>
        <v/>
      </c>
      <c r="L4805" s="16">
        <f>IF(J4805="","",J4805-K4805)</f>
        <v/>
      </c>
      <c r="M4805" s="14">
        <f>IF(A4805="","",MONTH(A4805))</f>
        <v/>
      </c>
      <c r="N4805" s="14">
        <f>IF(A4805="","",YEAR(A4805))</f>
        <v/>
      </c>
    </row>
    <row r="4806">
      <c r="A4806" s="15" t="n"/>
      <c r="B4806" s="10" t="n"/>
      <c r="C4806" s="10" t="n"/>
      <c r="D4806" s="10" t="n"/>
      <c r="E4806" s="14">
        <f>IF(D4806="","",IFERROR(INDEX('Sản phẩm'!$B$5:$B$304,MATCH(D4806,'Sản phẩm'!$A$5:$A$304,0)),""))</f>
        <v/>
      </c>
      <c r="F4806" s="12" t="n"/>
      <c r="G4806" s="11" t="n"/>
      <c r="H4806" s="11" t="n"/>
      <c r="I4806" s="16">
        <f>IF(D4806="","",IF(G4806&lt;&gt;"",G4806,IFERROR(INDEX('Sản phẩm'!$E$5:$E$304,MATCH(D4806,'Sản phẩm'!$A$5:$A$304,0)),"")))</f>
        <v/>
      </c>
      <c r="J4806" s="16">
        <f>IF(OR(D4806="",F4806=""),"",F4806*I4806-N(H4806))</f>
        <v/>
      </c>
      <c r="K4806" s="16">
        <f>IF(OR(D4806="",F4806=""),"",F4806*IFERROR(INDEX('Sản phẩm'!$D$5:$D$304,MATCH(D4806,'Sản phẩm'!$A$5:$A$304,0)),""))</f>
        <v/>
      </c>
      <c r="L4806" s="16">
        <f>IF(J4806="","",J4806-K4806)</f>
        <v/>
      </c>
      <c r="M4806" s="14">
        <f>IF(A4806="","",MONTH(A4806))</f>
        <v/>
      </c>
      <c r="N4806" s="14">
        <f>IF(A4806="","",YEAR(A4806))</f>
        <v/>
      </c>
    </row>
    <row r="4807">
      <c r="A4807" s="15" t="n"/>
      <c r="B4807" s="10" t="n"/>
      <c r="C4807" s="10" t="n"/>
      <c r="D4807" s="10" t="n"/>
      <c r="E4807" s="14">
        <f>IF(D4807="","",IFERROR(INDEX('Sản phẩm'!$B$5:$B$304,MATCH(D4807,'Sản phẩm'!$A$5:$A$304,0)),""))</f>
        <v/>
      </c>
      <c r="F4807" s="12" t="n"/>
      <c r="G4807" s="11" t="n"/>
      <c r="H4807" s="11" t="n"/>
      <c r="I4807" s="16">
        <f>IF(D4807="","",IF(G4807&lt;&gt;"",G4807,IFERROR(INDEX('Sản phẩm'!$E$5:$E$304,MATCH(D4807,'Sản phẩm'!$A$5:$A$304,0)),"")))</f>
        <v/>
      </c>
      <c r="J4807" s="16">
        <f>IF(OR(D4807="",F4807=""),"",F4807*I4807-N(H4807))</f>
        <v/>
      </c>
      <c r="K4807" s="16">
        <f>IF(OR(D4807="",F4807=""),"",F4807*IFERROR(INDEX('Sản phẩm'!$D$5:$D$304,MATCH(D4807,'Sản phẩm'!$A$5:$A$304,0)),""))</f>
        <v/>
      </c>
      <c r="L4807" s="16">
        <f>IF(J4807="","",J4807-K4807)</f>
        <v/>
      </c>
      <c r="M4807" s="14">
        <f>IF(A4807="","",MONTH(A4807))</f>
        <v/>
      </c>
      <c r="N4807" s="14">
        <f>IF(A4807="","",YEAR(A4807))</f>
        <v/>
      </c>
    </row>
    <row r="4808">
      <c r="A4808" s="15" t="n"/>
      <c r="B4808" s="10" t="n"/>
      <c r="C4808" s="10" t="n"/>
      <c r="D4808" s="10" t="n"/>
      <c r="E4808" s="14">
        <f>IF(D4808="","",IFERROR(INDEX('Sản phẩm'!$B$5:$B$304,MATCH(D4808,'Sản phẩm'!$A$5:$A$304,0)),""))</f>
        <v/>
      </c>
      <c r="F4808" s="12" t="n"/>
      <c r="G4808" s="11" t="n"/>
      <c r="H4808" s="11" t="n"/>
      <c r="I4808" s="16">
        <f>IF(D4808="","",IF(G4808&lt;&gt;"",G4808,IFERROR(INDEX('Sản phẩm'!$E$5:$E$304,MATCH(D4808,'Sản phẩm'!$A$5:$A$304,0)),"")))</f>
        <v/>
      </c>
      <c r="J4808" s="16">
        <f>IF(OR(D4808="",F4808=""),"",F4808*I4808-N(H4808))</f>
        <v/>
      </c>
      <c r="K4808" s="16">
        <f>IF(OR(D4808="",F4808=""),"",F4808*IFERROR(INDEX('Sản phẩm'!$D$5:$D$304,MATCH(D4808,'Sản phẩm'!$A$5:$A$304,0)),""))</f>
        <v/>
      </c>
      <c r="L4808" s="16">
        <f>IF(J4808="","",J4808-K4808)</f>
        <v/>
      </c>
      <c r="M4808" s="14">
        <f>IF(A4808="","",MONTH(A4808))</f>
        <v/>
      </c>
      <c r="N4808" s="14">
        <f>IF(A4808="","",YEAR(A4808))</f>
        <v/>
      </c>
    </row>
    <row r="4809">
      <c r="A4809" s="15" t="n"/>
      <c r="B4809" s="10" t="n"/>
      <c r="C4809" s="10" t="n"/>
      <c r="D4809" s="10" t="n"/>
      <c r="E4809" s="14">
        <f>IF(D4809="","",IFERROR(INDEX('Sản phẩm'!$B$5:$B$304,MATCH(D4809,'Sản phẩm'!$A$5:$A$304,0)),""))</f>
        <v/>
      </c>
      <c r="F4809" s="12" t="n"/>
      <c r="G4809" s="11" t="n"/>
      <c r="H4809" s="11" t="n"/>
      <c r="I4809" s="16">
        <f>IF(D4809="","",IF(G4809&lt;&gt;"",G4809,IFERROR(INDEX('Sản phẩm'!$E$5:$E$304,MATCH(D4809,'Sản phẩm'!$A$5:$A$304,0)),"")))</f>
        <v/>
      </c>
      <c r="J4809" s="16">
        <f>IF(OR(D4809="",F4809=""),"",F4809*I4809-N(H4809))</f>
        <v/>
      </c>
      <c r="K4809" s="16">
        <f>IF(OR(D4809="",F4809=""),"",F4809*IFERROR(INDEX('Sản phẩm'!$D$5:$D$304,MATCH(D4809,'Sản phẩm'!$A$5:$A$304,0)),""))</f>
        <v/>
      </c>
      <c r="L4809" s="16">
        <f>IF(J4809="","",J4809-K4809)</f>
        <v/>
      </c>
      <c r="M4809" s="14">
        <f>IF(A4809="","",MONTH(A4809))</f>
        <v/>
      </c>
      <c r="N4809" s="14">
        <f>IF(A4809="","",YEAR(A4809))</f>
        <v/>
      </c>
    </row>
    <row r="4810">
      <c r="A4810" s="15" t="n"/>
      <c r="B4810" s="10" t="n"/>
      <c r="C4810" s="10" t="n"/>
      <c r="D4810" s="10" t="n"/>
      <c r="E4810" s="14">
        <f>IF(D4810="","",IFERROR(INDEX('Sản phẩm'!$B$5:$B$304,MATCH(D4810,'Sản phẩm'!$A$5:$A$304,0)),""))</f>
        <v/>
      </c>
      <c r="F4810" s="12" t="n"/>
      <c r="G4810" s="11" t="n"/>
      <c r="H4810" s="11" t="n"/>
      <c r="I4810" s="16">
        <f>IF(D4810="","",IF(G4810&lt;&gt;"",G4810,IFERROR(INDEX('Sản phẩm'!$E$5:$E$304,MATCH(D4810,'Sản phẩm'!$A$5:$A$304,0)),"")))</f>
        <v/>
      </c>
      <c r="J4810" s="16">
        <f>IF(OR(D4810="",F4810=""),"",F4810*I4810-N(H4810))</f>
        <v/>
      </c>
      <c r="K4810" s="16">
        <f>IF(OR(D4810="",F4810=""),"",F4810*IFERROR(INDEX('Sản phẩm'!$D$5:$D$304,MATCH(D4810,'Sản phẩm'!$A$5:$A$304,0)),""))</f>
        <v/>
      </c>
      <c r="L4810" s="16">
        <f>IF(J4810="","",J4810-K4810)</f>
        <v/>
      </c>
      <c r="M4810" s="14">
        <f>IF(A4810="","",MONTH(A4810))</f>
        <v/>
      </c>
      <c r="N4810" s="14">
        <f>IF(A4810="","",YEAR(A4810))</f>
        <v/>
      </c>
    </row>
    <row r="4811">
      <c r="A4811" s="15" t="n"/>
      <c r="B4811" s="10" t="n"/>
      <c r="C4811" s="10" t="n"/>
      <c r="D4811" s="10" t="n"/>
      <c r="E4811" s="14">
        <f>IF(D4811="","",IFERROR(INDEX('Sản phẩm'!$B$5:$B$304,MATCH(D4811,'Sản phẩm'!$A$5:$A$304,0)),""))</f>
        <v/>
      </c>
      <c r="F4811" s="12" t="n"/>
      <c r="G4811" s="11" t="n"/>
      <c r="H4811" s="11" t="n"/>
      <c r="I4811" s="16">
        <f>IF(D4811="","",IF(G4811&lt;&gt;"",G4811,IFERROR(INDEX('Sản phẩm'!$E$5:$E$304,MATCH(D4811,'Sản phẩm'!$A$5:$A$304,0)),"")))</f>
        <v/>
      </c>
      <c r="J4811" s="16">
        <f>IF(OR(D4811="",F4811=""),"",F4811*I4811-N(H4811))</f>
        <v/>
      </c>
      <c r="K4811" s="16">
        <f>IF(OR(D4811="",F4811=""),"",F4811*IFERROR(INDEX('Sản phẩm'!$D$5:$D$304,MATCH(D4811,'Sản phẩm'!$A$5:$A$304,0)),""))</f>
        <v/>
      </c>
      <c r="L4811" s="16">
        <f>IF(J4811="","",J4811-K4811)</f>
        <v/>
      </c>
      <c r="M4811" s="14">
        <f>IF(A4811="","",MONTH(A4811))</f>
        <v/>
      </c>
      <c r="N4811" s="14">
        <f>IF(A4811="","",YEAR(A4811))</f>
        <v/>
      </c>
    </row>
    <row r="4812">
      <c r="A4812" s="15" t="n"/>
      <c r="B4812" s="10" t="n"/>
      <c r="C4812" s="10" t="n"/>
      <c r="D4812" s="10" t="n"/>
      <c r="E4812" s="14">
        <f>IF(D4812="","",IFERROR(INDEX('Sản phẩm'!$B$5:$B$304,MATCH(D4812,'Sản phẩm'!$A$5:$A$304,0)),""))</f>
        <v/>
      </c>
      <c r="F4812" s="12" t="n"/>
      <c r="G4812" s="11" t="n"/>
      <c r="H4812" s="11" t="n"/>
      <c r="I4812" s="16">
        <f>IF(D4812="","",IF(G4812&lt;&gt;"",G4812,IFERROR(INDEX('Sản phẩm'!$E$5:$E$304,MATCH(D4812,'Sản phẩm'!$A$5:$A$304,0)),"")))</f>
        <v/>
      </c>
      <c r="J4812" s="16">
        <f>IF(OR(D4812="",F4812=""),"",F4812*I4812-N(H4812))</f>
        <v/>
      </c>
      <c r="K4812" s="16">
        <f>IF(OR(D4812="",F4812=""),"",F4812*IFERROR(INDEX('Sản phẩm'!$D$5:$D$304,MATCH(D4812,'Sản phẩm'!$A$5:$A$304,0)),""))</f>
        <v/>
      </c>
      <c r="L4812" s="16">
        <f>IF(J4812="","",J4812-K4812)</f>
        <v/>
      </c>
      <c r="M4812" s="14">
        <f>IF(A4812="","",MONTH(A4812))</f>
        <v/>
      </c>
      <c r="N4812" s="14">
        <f>IF(A4812="","",YEAR(A4812))</f>
        <v/>
      </c>
    </row>
    <row r="4813">
      <c r="A4813" s="15" t="n"/>
      <c r="B4813" s="10" t="n"/>
      <c r="C4813" s="10" t="n"/>
      <c r="D4813" s="10" t="n"/>
      <c r="E4813" s="14">
        <f>IF(D4813="","",IFERROR(INDEX('Sản phẩm'!$B$5:$B$304,MATCH(D4813,'Sản phẩm'!$A$5:$A$304,0)),""))</f>
        <v/>
      </c>
      <c r="F4813" s="12" t="n"/>
      <c r="G4813" s="11" t="n"/>
      <c r="H4813" s="11" t="n"/>
      <c r="I4813" s="16">
        <f>IF(D4813="","",IF(G4813&lt;&gt;"",G4813,IFERROR(INDEX('Sản phẩm'!$E$5:$E$304,MATCH(D4813,'Sản phẩm'!$A$5:$A$304,0)),"")))</f>
        <v/>
      </c>
      <c r="J4813" s="16">
        <f>IF(OR(D4813="",F4813=""),"",F4813*I4813-N(H4813))</f>
        <v/>
      </c>
      <c r="K4813" s="16">
        <f>IF(OR(D4813="",F4813=""),"",F4813*IFERROR(INDEX('Sản phẩm'!$D$5:$D$304,MATCH(D4813,'Sản phẩm'!$A$5:$A$304,0)),""))</f>
        <v/>
      </c>
      <c r="L4813" s="16">
        <f>IF(J4813="","",J4813-K4813)</f>
        <v/>
      </c>
      <c r="M4813" s="14">
        <f>IF(A4813="","",MONTH(A4813))</f>
        <v/>
      </c>
      <c r="N4813" s="14">
        <f>IF(A4813="","",YEAR(A4813))</f>
        <v/>
      </c>
    </row>
    <row r="4814">
      <c r="A4814" s="15" t="n"/>
      <c r="B4814" s="10" t="n"/>
      <c r="C4814" s="10" t="n"/>
      <c r="D4814" s="10" t="n"/>
      <c r="E4814" s="14">
        <f>IF(D4814="","",IFERROR(INDEX('Sản phẩm'!$B$5:$B$304,MATCH(D4814,'Sản phẩm'!$A$5:$A$304,0)),""))</f>
        <v/>
      </c>
      <c r="F4814" s="12" t="n"/>
      <c r="G4814" s="11" t="n"/>
      <c r="H4814" s="11" t="n"/>
      <c r="I4814" s="16">
        <f>IF(D4814="","",IF(G4814&lt;&gt;"",G4814,IFERROR(INDEX('Sản phẩm'!$E$5:$E$304,MATCH(D4814,'Sản phẩm'!$A$5:$A$304,0)),"")))</f>
        <v/>
      </c>
      <c r="J4814" s="16">
        <f>IF(OR(D4814="",F4814=""),"",F4814*I4814-N(H4814))</f>
        <v/>
      </c>
      <c r="K4814" s="16">
        <f>IF(OR(D4814="",F4814=""),"",F4814*IFERROR(INDEX('Sản phẩm'!$D$5:$D$304,MATCH(D4814,'Sản phẩm'!$A$5:$A$304,0)),""))</f>
        <v/>
      </c>
      <c r="L4814" s="16">
        <f>IF(J4814="","",J4814-K4814)</f>
        <v/>
      </c>
      <c r="M4814" s="14">
        <f>IF(A4814="","",MONTH(A4814))</f>
        <v/>
      </c>
      <c r="N4814" s="14">
        <f>IF(A4814="","",YEAR(A4814))</f>
        <v/>
      </c>
    </row>
    <row r="4815">
      <c r="A4815" s="15" t="n"/>
      <c r="B4815" s="10" t="n"/>
      <c r="C4815" s="10" t="n"/>
      <c r="D4815" s="10" t="n"/>
      <c r="E4815" s="14">
        <f>IF(D4815="","",IFERROR(INDEX('Sản phẩm'!$B$5:$B$304,MATCH(D4815,'Sản phẩm'!$A$5:$A$304,0)),""))</f>
        <v/>
      </c>
      <c r="F4815" s="12" t="n"/>
      <c r="G4815" s="11" t="n"/>
      <c r="H4815" s="11" t="n"/>
      <c r="I4815" s="16">
        <f>IF(D4815="","",IF(G4815&lt;&gt;"",G4815,IFERROR(INDEX('Sản phẩm'!$E$5:$E$304,MATCH(D4815,'Sản phẩm'!$A$5:$A$304,0)),"")))</f>
        <v/>
      </c>
      <c r="J4815" s="16">
        <f>IF(OR(D4815="",F4815=""),"",F4815*I4815-N(H4815))</f>
        <v/>
      </c>
      <c r="K4815" s="16">
        <f>IF(OR(D4815="",F4815=""),"",F4815*IFERROR(INDEX('Sản phẩm'!$D$5:$D$304,MATCH(D4815,'Sản phẩm'!$A$5:$A$304,0)),""))</f>
        <v/>
      </c>
      <c r="L4815" s="16">
        <f>IF(J4815="","",J4815-K4815)</f>
        <v/>
      </c>
      <c r="M4815" s="14">
        <f>IF(A4815="","",MONTH(A4815))</f>
        <v/>
      </c>
      <c r="N4815" s="14">
        <f>IF(A4815="","",YEAR(A4815))</f>
        <v/>
      </c>
    </row>
    <row r="4816">
      <c r="A4816" s="15" t="n"/>
      <c r="B4816" s="10" t="n"/>
      <c r="C4816" s="10" t="n"/>
      <c r="D4816" s="10" t="n"/>
      <c r="E4816" s="14">
        <f>IF(D4816="","",IFERROR(INDEX('Sản phẩm'!$B$5:$B$304,MATCH(D4816,'Sản phẩm'!$A$5:$A$304,0)),""))</f>
        <v/>
      </c>
      <c r="F4816" s="12" t="n"/>
      <c r="G4816" s="11" t="n"/>
      <c r="H4816" s="11" t="n"/>
      <c r="I4816" s="16">
        <f>IF(D4816="","",IF(G4816&lt;&gt;"",G4816,IFERROR(INDEX('Sản phẩm'!$E$5:$E$304,MATCH(D4816,'Sản phẩm'!$A$5:$A$304,0)),"")))</f>
        <v/>
      </c>
      <c r="J4816" s="16">
        <f>IF(OR(D4816="",F4816=""),"",F4816*I4816-N(H4816))</f>
        <v/>
      </c>
      <c r="K4816" s="16">
        <f>IF(OR(D4816="",F4816=""),"",F4816*IFERROR(INDEX('Sản phẩm'!$D$5:$D$304,MATCH(D4816,'Sản phẩm'!$A$5:$A$304,0)),""))</f>
        <v/>
      </c>
      <c r="L4816" s="16">
        <f>IF(J4816="","",J4816-K4816)</f>
        <v/>
      </c>
      <c r="M4816" s="14">
        <f>IF(A4816="","",MONTH(A4816))</f>
        <v/>
      </c>
      <c r="N4816" s="14">
        <f>IF(A4816="","",YEAR(A4816))</f>
        <v/>
      </c>
    </row>
    <row r="4817">
      <c r="A4817" s="15" t="n"/>
      <c r="B4817" s="10" t="n"/>
      <c r="C4817" s="10" t="n"/>
      <c r="D4817" s="10" t="n"/>
      <c r="E4817" s="14">
        <f>IF(D4817="","",IFERROR(INDEX('Sản phẩm'!$B$5:$B$304,MATCH(D4817,'Sản phẩm'!$A$5:$A$304,0)),""))</f>
        <v/>
      </c>
      <c r="F4817" s="12" t="n"/>
      <c r="G4817" s="11" t="n"/>
      <c r="H4817" s="11" t="n"/>
      <c r="I4817" s="16">
        <f>IF(D4817="","",IF(G4817&lt;&gt;"",G4817,IFERROR(INDEX('Sản phẩm'!$E$5:$E$304,MATCH(D4817,'Sản phẩm'!$A$5:$A$304,0)),"")))</f>
        <v/>
      </c>
      <c r="J4817" s="16">
        <f>IF(OR(D4817="",F4817=""),"",F4817*I4817-N(H4817))</f>
        <v/>
      </c>
      <c r="K4817" s="16">
        <f>IF(OR(D4817="",F4817=""),"",F4817*IFERROR(INDEX('Sản phẩm'!$D$5:$D$304,MATCH(D4817,'Sản phẩm'!$A$5:$A$304,0)),""))</f>
        <v/>
      </c>
      <c r="L4817" s="16">
        <f>IF(J4817="","",J4817-K4817)</f>
        <v/>
      </c>
      <c r="M4817" s="14">
        <f>IF(A4817="","",MONTH(A4817))</f>
        <v/>
      </c>
      <c r="N4817" s="14">
        <f>IF(A4817="","",YEAR(A4817))</f>
        <v/>
      </c>
    </row>
    <row r="4818">
      <c r="A4818" s="15" t="n"/>
      <c r="B4818" s="10" t="n"/>
      <c r="C4818" s="10" t="n"/>
      <c r="D4818" s="10" t="n"/>
      <c r="E4818" s="14">
        <f>IF(D4818="","",IFERROR(INDEX('Sản phẩm'!$B$5:$B$304,MATCH(D4818,'Sản phẩm'!$A$5:$A$304,0)),""))</f>
        <v/>
      </c>
      <c r="F4818" s="12" t="n"/>
      <c r="G4818" s="11" t="n"/>
      <c r="H4818" s="11" t="n"/>
      <c r="I4818" s="16">
        <f>IF(D4818="","",IF(G4818&lt;&gt;"",G4818,IFERROR(INDEX('Sản phẩm'!$E$5:$E$304,MATCH(D4818,'Sản phẩm'!$A$5:$A$304,0)),"")))</f>
        <v/>
      </c>
      <c r="J4818" s="16">
        <f>IF(OR(D4818="",F4818=""),"",F4818*I4818-N(H4818))</f>
        <v/>
      </c>
      <c r="K4818" s="16">
        <f>IF(OR(D4818="",F4818=""),"",F4818*IFERROR(INDEX('Sản phẩm'!$D$5:$D$304,MATCH(D4818,'Sản phẩm'!$A$5:$A$304,0)),""))</f>
        <v/>
      </c>
      <c r="L4818" s="16">
        <f>IF(J4818="","",J4818-K4818)</f>
        <v/>
      </c>
      <c r="M4818" s="14">
        <f>IF(A4818="","",MONTH(A4818))</f>
        <v/>
      </c>
      <c r="N4818" s="14">
        <f>IF(A4818="","",YEAR(A4818))</f>
        <v/>
      </c>
    </row>
    <row r="4819">
      <c r="A4819" s="15" t="n"/>
      <c r="B4819" s="10" t="n"/>
      <c r="C4819" s="10" t="n"/>
      <c r="D4819" s="10" t="n"/>
      <c r="E4819" s="14">
        <f>IF(D4819="","",IFERROR(INDEX('Sản phẩm'!$B$5:$B$304,MATCH(D4819,'Sản phẩm'!$A$5:$A$304,0)),""))</f>
        <v/>
      </c>
      <c r="F4819" s="12" t="n"/>
      <c r="G4819" s="11" t="n"/>
      <c r="H4819" s="11" t="n"/>
      <c r="I4819" s="16">
        <f>IF(D4819="","",IF(G4819&lt;&gt;"",G4819,IFERROR(INDEX('Sản phẩm'!$E$5:$E$304,MATCH(D4819,'Sản phẩm'!$A$5:$A$304,0)),"")))</f>
        <v/>
      </c>
      <c r="J4819" s="16">
        <f>IF(OR(D4819="",F4819=""),"",F4819*I4819-N(H4819))</f>
        <v/>
      </c>
      <c r="K4819" s="16">
        <f>IF(OR(D4819="",F4819=""),"",F4819*IFERROR(INDEX('Sản phẩm'!$D$5:$D$304,MATCH(D4819,'Sản phẩm'!$A$5:$A$304,0)),""))</f>
        <v/>
      </c>
      <c r="L4819" s="16">
        <f>IF(J4819="","",J4819-K4819)</f>
        <v/>
      </c>
      <c r="M4819" s="14">
        <f>IF(A4819="","",MONTH(A4819))</f>
        <v/>
      </c>
      <c r="N4819" s="14">
        <f>IF(A4819="","",YEAR(A4819))</f>
        <v/>
      </c>
    </row>
    <row r="4820">
      <c r="A4820" s="15" t="n"/>
      <c r="B4820" s="10" t="n"/>
      <c r="C4820" s="10" t="n"/>
      <c r="D4820" s="10" t="n"/>
      <c r="E4820" s="14">
        <f>IF(D4820="","",IFERROR(INDEX('Sản phẩm'!$B$5:$B$304,MATCH(D4820,'Sản phẩm'!$A$5:$A$304,0)),""))</f>
        <v/>
      </c>
      <c r="F4820" s="12" t="n"/>
      <c r="G4820" s="11" t="n"/>
      <c r="H4820" s="11" t="n"/>
      <c r="I4820" s="16">
        <f>IF(D4820="","",IF(G4820&lt;&gt;"",G4820,IFERROR(INDEX('Sản phẩm'!$E$5:$E$304,MATCH(D4820,'Sản phẩm'!$A$5:$A$304,0)),"")))</f>
        <v/>
      </c>
      <c r="J4820" s="16">
        <f>IF(OR(D4820="",F4820=""),"",F4820*I4820-N(H4820))</f>
        <v/>
      </c>
      <c r="K4820" s="16">
        <f>IF(OR(D4820="",F4820=""),"",F4820*IFERROR(INDEX('Sản phẩm'!$D$5:$D$304,MATCH(D4820,'Sản phẩm'!$A$5:$A$304,0)),""))</f>
        <v/>
      </c>
      <c r="L4820" s="16">
        <f>IF(J4820="","",J4820-K4820)</f>
        <v/>
      </c>
      <c r="M4820" s="14">
        <f>IF(A4820="","",MONTH(A4820))</f>
        <v/>
      </c>
      <c r="N4820" s="14">
        <f>IF(A4820="","",YEAR(A4820))</f>
        <v/>
      </c>
    </row>
    <row r="4821">
      <c r="A4821" s="15" t="n"/>
      <c r="B4821" s="10" t="n"/>
      <c r="C4821" s="10" t="n"/>
      <c r="D4821" s="10" t="n"/>
      <c r="E4821" s="14">
        <f>IF(D4821="","",IFERROR(INDEX('Sản phẩm'!$B$5:$B$304,MATCH(D4821,'Sản phẩm'!$A$5:$A$304,0)),""))</f>
        <v/>
      </c>
      <c r="F4821" s="12" t="n"/>
      <c r="G4821" s="11" t="n"/>
      <c r="H4821" s="11" t="n"/>
      <c r="I4821" s="16">
        <f>IF(D4821="","",IF(G4821&lt;&gt;"",G4821,IFERROR(INDEX('Sản phẩm'!$E$5:$E$304,MATCH(D4821,'Sản phẩm'!$A$5:$A$304,0)),"")))</f>
        <v/>
      </c>
      <c r="J4821" s="16">
        <f>IF(OR(D4821="",F4821=""),"",F4821*I4821-N(H4821))</f>
        <v/>
      </c>
      <c r="K4821" s="16">
        <f>IF(OR(D4821="",F4821=""),"",F4821*IFERROR(INDEX('Sản phẩm'!$D$5:$D$304,MATCH(D4821,'Sản phẩm'!$A$5:$A$304,0)),""))</f>
        <v/>
      </c>
      <c r="L4821" s="16">
        <f>IF(J4821="","",J4821-K4821)</f>
        <v/>
      </c>
      <c r="M4821" s="14">
        <f>IF(A4821="","",MONTH(A4821))</f>
        <v/>
      </c>
      <c r="N4821" s="14">
        <f>IF(A4821="","",YEAR(A4821))</f>
        <v/>
      </c>
    </row>
    <row r="4822">
      <c r="A4822" s="15" t="n"/>
      <c r="B4822" s="10" t="n"/>
      <c r="C4822" s="10" t="n"/>
      <c r="D4822" s="10" t="n"/>
      <c r="E4822" s="14">
        <f>IF(D4822="","",IFERROR(INDEX('Sản phẩm'!$B$5:$B$304,MATCH(D4822,'Sản phẩm'!$A$5:$A$304,0)),""))</f>
        <v/>
      </c>
      <c r="F4822" s="12" t="n"/>
      <c r="G4822" s="11" t="n"/>
      <c r="H4822" s="11" t="n"/>
      <c r="I4822" s="16">
        <f>IF(D4822="","",IF(G4822&lt;&gt;"",G4822,IFERROR(INDEX('Sản phẩm'!$E$5:$E$304,MATCH(D4822,'Sản phẩm'!$A$5:$A$304,0)),"")))</f>
        <v/>
      </c>
      <c r="J4822" s="16">
        <f>IF(OR(D4822="",F4822=""),"",F4822*I4822-N(H4822))</f>
        <v/>
      </c>
      <c r="K4822" s="16">
        <f>IF(OR(D4822="",F4822=""),"",F4822*IFERROR(INDEX('Sản phẩm'!$D$5:$D$304,MATCH(D4822,'Sản phẩm'!$A$5:$A$304,0)),""))</f>
        <v/>
      </c>
      <c r="L4822" s="16">
        <f>IF(J4822="","",J4822-K4822)</f>
        <v/>
      </c>
      <c r="M4822" s="14">
        <f>IF(A4822="","",MONTH(A4822))</f>
        <v/>
      </c>
      <c r="N4822" s="14">
        <f>IF(A4822="","",YEAR(A4822))</f>
        <v/>
      </c>
    </row>
    <row r="4823">
      <c r="A4823" s="15" t="n"/>
      <c r="B4823" s="10" t="n"/>
      <c r="C4823" s="10" t="n"/>
      <c r="D4823" s="10" t="n"/>
      <c r="E4823" s="14">
        <f>IF(D4823="","",IFERROR(INDEX('Sản phẩm'!$B$5:$B$304,MATCH(D4823,'Sản phẩm'!$A$5:$A$304,0)),""))</f>
        <v/>
      </c>
      <c r="F4823" s="12" t="n"/>
      <c r="G4823" s="11" t="n"/>
      <c r="H4823" s="11" t="n"/>
      <c r="I4823" s="16">
        <f>IF(D4823="","",IF(G4823&lt;&gt;"",G4823,IFERROR(INDEX('Sản phẩm'!$E$5:$E$304,MATCH(D4823,'Sản phẩm'!$A$5:$A$304,0)),"")))</f>
        <v/>
      </c>
      <c r="J4823" s="16">
        <f>IF(OR(D4823="",F4823=""),"",F4823*I4823-N(H4823))</f>
        <v/>
      </c>
      <c r="K4823" s="16">
        <f>IF(OR(D4823="",F4823=""),"",F4823*IFERROR(INDEX('Sản phẩm'!$D$5:$D$304,MATCH(D4823,'Sản phẩm'!$A$5:$A$304,0)),""))</f>
        <v/>
      </c>
      <c r="L4823" s="16">
        <f>IF(J4823="","",J4823-K4823)</f>
        <v/>
      </c>
      <c r="M4823" s="14">
        <f>IF(A4823="","",MONTH(A4823))</f>
        <v/>
      </c>
      <c r="N4823" s="14">
        <f>IF(A4823="","",YEAR(A4823))</f>
        <v/>
      </c>
    </row>
    <row r="4824">
      <c r="A4824" s="15" t="n"/>
      <c r="B4824" s="10" t="n"/>
      <c r="C4824" s="10" t="n"/>
      <c r="D4824" s="10" t="n"/>
      <c r="E4824" s="14">
        <f>IF(D4824="","",IFERROR(INDEX('Sản phẩm'!$B$5:$B$304,MATCH(D4824,'Sản phẩm'!$A$5:$A$304,0)),""))</f>
        <v/>
      </c>
      <c r="F4824" s="12" t="n"/>
      <c r="G4824" s="11" t="n"/>
      <c r="H4824" s="11" t="n"/>
      <c r="I4824" s="16">
        <f>IF(D4824="","",IF(G4824&lt;&gt;"",G4824,IFERROR(INDEX('Sản phẩm'!$E$5:$E$304,MATCH(D4824,'Sản phẩm'!$A$5:$A$304,0)),"")))</f>
        <v/>
      </c>
      <c r="J4824" s="16">
        <f>IF(OR(D4824="",F4824=""),"",F4824*I4824-N(H4824))</f>
        <v/>
      </c>
      <c r="K4824" s="16">
        <f>IF(OR(D4824="",F4824=""),"",F4824*IFERROR(INDEX('Sản phẩm'!$D$5:$D$304,MATCH(D4824,'Sản phẩm'!$A$5:$A$304,0)),""))</f>
        <v/>
      </c>
      <c r="L4824" s="16">
        <f>IF(J4824="","",J4824-K4824)</f>
        <v/>
      </c>
      <c r="M4824" s="14">
        <f>IF(A4824="","",MONTH(A4824))</f>
        <v/>
      </c>
      <c r="N4824" s="14">
        <f>IF(A4824="","",YEAR(A4824))</f>
        <v/>
      </c>
    </row>
    <row r="4825">
      <c r="A4825" s="15" t="n"/>
      <c r="B4825" s="10" t="n"/>
      <c r="C4825" s="10" t="n"/>
      <c r="D4825" s="10" t="n"/>
      <c r="E4825" s="14">
        <f>IF(D4825="","",IFERROR(INDEX('Sản phẩm'!$B$5:$B$304,MATCH(D4825,'Sản phẩm'!$A$5:$A$304,0)),""))</f>
        <v/>
      </c>
      <c r="F4825" s="12" t="n"/>
      <c r="G4825" s="11" t="n"/>
      <c r="H4825" s="11" t="n"/>
      <c r="I4825" s="16">
        <f>IF(D4825="","",IF(G4825&lt;&gt;"",G4825,IFERROR(INDEX('Sản phẩm'!$E$5:$E$304,MATCH(D4825,'Sản phẩm'!$A$5:$A$304,0)),"")))</f>
        <v/>
      </c>
      <c r="J4825" s="16">
        <f>IF(OR(D4825="",F4825=""),"",F4825*I4825-N(H4825))</f>
        <v/>
      </c>
      <c r="K4825" s="16">
        <f>IF(OR(D4825="",F4825=""),"",F4825*IFERROR(INDEX('Sản phẩm'!$D$5:$D$304,MATCH(D4825,'Sản phẩm'!$A$5:$A$304,0)),""))</f>
        <v/>
      </c>
      <c r="L4825" s="16">
        <f>IF(J4825="","",J4825-K4825)</f>
        <v/>
      </c>
      <c r="M4825" s="14">
        <f>IF(A4825="","",MONTH(A4825))</f>
        <v/>
      </c>
      <c r="N4825" s="14">
        <f>IF(A4825="","",YEAR(A4825))</f>
        <v/>
      </c>
    </row>
    <row r="4826">
      <c r="A4826" s="15" t="n"/>
      <c r="B4826" s="10" t="n"/>
      <c r="C4826" s="10" t="n"/>
      <c r="D4826" s="10" t="n"/>
      <c r="E4826" s="14">
        <f>IF(D4826="","",IFERROR(INDEX('Sản phẩm'!$B$5:$B$304,MATCH(D4826,'Sản phẩm'!$A$5:$A$304,0)),""))</f>
        <v/>
      </c>
      <c r="F4826" s="12" t="n"/>
      <c r="G4826" s="11" t="n"/>
      <c r="H4826" s="11" t="n"/>
      <c r="I4826" s="16">
        <f>IF(D4826="","",IF(G4826&lt;&gt;"",G4826,IFERROR(INDEX('Sản phẩm'!$E$5:$E$304,MATCH(D4826,'Sản phẩm'!$A$5:$A$304,0)),"")))</f>
        <v/>
      </c>
      <c r="J4826" s="16">
        <f>IF(OR(D4826="",F4826=""),"",F4826*I4826-N(H4826))</f>
        <v/>
      </c>
      <c r="K4826" s="16">
        <f>IF(OR(D4826="",F4826=""),"",F4826*IFERROR(INDEX('Sản phẩm'!$D$5:$D$304,MATCH(D4826,'Sản phẩm'!$A$5:$A$304,0)),""))</f>
        <v/>
      </c>
      <c r="L4826" s="16">
        <f>IF(J4826="","",J4826-K4826)</f>
        <v/>
      </c>
      <c r="M4826" s="14">
        <f>IF(A4826="","",MONTH(A4826))</f>
        <v/>
      </c>
      <c r="N4826" s="14">
        <f>IF(A4826="","",YEAR(A4826))</f>
        <v/>
      </c>
    </row>
    <row r="4827">
      <c r="A4827" s="15" t="n"/>
      <c r="B4827" s="10" t="n"/>
      <c r="C4827" s="10" t="n"/>
      <c r="D4827" s="10" t="n"/>
      <c r="E4827" s="14">
        <f>IF(D4827="","",IFERROR(INDEX('Sản phẩm'!$B$5:$B$304,MATCH(D4827,'Sản phẩm'!$A$5:$A$304,0)),""))</f>
        <v/>
      </c>
      <c r="F4827" s="12" t="n"/>
      <c r="G4827" s="11" t="n"/>
      <c r="H4827" s="11" t="n"/>
      <c r="I4827" s="16">
        <f>IF(D4827="","",IF(G4827&lt;&gt;"",G4827,IFERROR(INDEX('Sản phẩm'!$E$5:$E$304,MATCH(D4827,'Sản phẩm'!$A$5:$A$304,0)),"")))</f>
        <v/>
      </c>
      <c r="J4827" s="16">
        <f>IF(OR(D4827="",F4827=""),"",F4827*I4827-N(H4827))</f>
        <v/>
      </c>
      <c r="K4827" s="16">
        <f>IF(OR(D4827="",F4827=""),"",F4827*IFERROR(INDEX('Sản phẩm'!$D$5:$D$304,MATCH(D4827,'Sản phẩm'!$A$5:$A$304,0)),""))</f>
        <v/>
      </c>
      <c r="L4827" s="16">
        <f>IF(J4827="","",J4827-K4827)</f>
        <v/>
      </c>
      <c r="M4827" s="14">
        <f>IF(A4827="","",MONTH(A4827))</f>
        <v/>
      </c>
      <c r="N4827" s="14">
        <f>IF(A4827="","",YEAR(A4827))</f>
        <v/>
      </c>
    </row>
    <row r="4828">
      <c r="A4828" s="15" t="n"/>
      <c r="B4828" s="10" t="n"/>
      <c r="C4828" s="10" t="n"/>
      <c r="D4828" s="10" t="n"/>
      <c r="E4828" s="14">
        <f>IF(D4828="","",IFERROR(INDEX('Sản phẩm'!$B$5:$B$304,MATCH(D4828,'Sản phẩm'!$A$5:$A$304,0)),""))</f>
        <v/>
      </c>
      <c r="F4828" s="12" t="n"/>
      <c r="G4828" s="11" t="n"/>
      <c r="H4828" s="11" t="n"/>
      <c r="I4828" s="16">
        <f>IF(D4828="","",IF(G4828&lt;&gt;"",G4828,IFERROR(INDEX('Sản phẩm'!$E$5:$E$304,MATCH(D4828,'Sản phẩm'!$A$5:$A$304,0)),"")))</f>
        <v/>
      </c>
      <c r="J4828" s="16">
        <f>IF(OR(D4828="",F4828=""),"",F4828*I4828-N(H4828))</f>
        <v/>
      </c>
      <c r="K4828" s="16">
        <f>IF(OR(D4828="",F4828=""),"",F4828*IFERROR(INDEX('Sản phẩm'!$D$5:$D$304,MATCH(D4828,'Sản phẩm'!$A$5:$A$304,0)),""))</f>
        <v/>
      </c>
      <c r="L4828" s="16">
        <f>IF(J4828="","",J4828-K4828)</f>
        <v/>
      </c>
      <c r="M4828" s="14">
        <f>IF(A4828="","",MONTH(A4828))</f>
        <v/>
      </c>
      <c r="N4828" s="14">
        <f>IF(A4828="","",YEAR(A4828))</f>
        <v/>
      </c>
    </row>
    <row r="4829">
      <c r="A4829" s="15" t="n"/>
      <c r="B4829" s="10" t="n"/>
      <c r="C4829" s="10" t="n"/>
      <c r="D4829" s="10" t="n"/>
      <c r="E4829" s="14">
        <f>IF(D4829="","",IFERROR(INDEX('Sản phẩm'!$B$5:$B$304,MATCH(D4829,'Sản phẩm'!$A$5:$A$304,0)),""))</f>
        <v/>
      </c>
      <c r="F4829" s="12" t="n"/>
      <c r="G4829" s="11" t="n"/>
      <c r="H4829" s="11" t="n"/>
      <c r="I4829" s="16">
        <f>IF(D4829="","",IF(G4829&lt;&gt;"",G4829,IFERROR(INDEX('Sản phẩm'!$E$5:$E$304,MATCH(D4829,'Sản phẩm'!$A$5:$A$304,0)),"")))</f>
        <v/>
      </c>
      <c r="J4829" s="16">
        <f>IF(OR(D4829="",F4829=""),"",F4829*I4829-N(H4829))</f>
        <v/>
      </c>
      <c r="K4829" s="16">
        <f>IF(OR(D4829="",F4829=""),"",F4829*IFERROR(INDEX('Sản phẩm'!$D$5:$D$304,MATCH(D4829,'Sản phẩm'!$A$5:$A$304,0)),""))</f>
        <v/>
      </c>
      <c r="L4829" s="16">
        <f>IF(J4829="","",J4829-K4829)</f>
        <v/>
      </c>
      <c r="M4829" s="14">
        <f>IF(A4829="","",MONTH(A4829))</f>
        <v/>
      </c>
      <c r="N4829" s="14">
        <f>IF(A4829="","",YEAR(A4829))</f>
        <v/>
      </c>
    </row>
    <row r="4830">
      <c r="A4830" s="15" t="n"/>
      <c r="B4830" s="10" t="n"/>
      <c r="C4830" s="10" t="n"/>
      <c r="D4830" s="10" t="n"/>
      <c r="E4830" s="14">
        <f>IF(D4830="","",IFERROR(INDEX('Sản phẩm'!$B$5:$B$304,MATCH(D4830,'Sản phẩm'!$A$5:$A$304,0)),""))</f>
        <v/>
      </c>
      <c r="F4830" s="12" t="n"/>
      <c r="G4830" s="11" t="n"/>
      <c r="H4830" s="11" t="n"/>
      <c r="I4830" s="16">
        <f>IF(D4830="","",IF(G4830&lt;&gt;"",G4830,IFERROR(INDEX('Sản phẩm'!$E$5:$E$304,MATCH(D4830,'Sản phẩm'!$A$5:$A$304,0)),"")))</f>
        <v/>
      </c>
      <c r="J4830" s="16">
        <f>IF(OR(D4830="",F4830=""),"",F4830*I4830-N(H4830))</f>
        <v/>
      </c>
      <c r="K4830" s="16">
        <f>IF(OR(D4830="",F4830=""),"",F4830*IFERROR(INDEX('Sản phẩm'!$D$5:$D$304,MATCH(D4830,'Sản phẩm'!$A$5:$A$304,0)),""))</f>
        <v/>
      </c>
      <c r="L4830" s="16">
        <f>IF(J4830="","",J4830-K4830)</f>
        <v/>
      </c>
      <c r="M4830" s="14">
        <f>IF(A4830="","",MONTH(A4830))</f>
        <v/>
      </c>
      <c r="N4830" s="14">
        <f>IF(A4830="","",YEAR(A4830))</f>
        <v/>
      </c>
    </row>
    <row r="4831">
      <c r="A4831" s="15" t="n"/>
      <c r="B4831" s="10" t="n"/>
      <c r="C4831" s="10" t="n"/>
      <c r="D4831" s="10" t="n"/>
      <c r="E4831" s="14">
        <f>IF(D4831="","",IFERROR(INDEX('Sản phẩm'!$B$5:$B$304,MATCH(D4831,'Sản phẩm'!$A$5:$A$304,0)),""))</f>
        <v/>
      </c>
      <c r="F4831" s="12" t="n"/>
      <c r="G4831" s="11" t="n"/>
      <c r="H4831" s="11" t="n"/>
      <c r="I4831" s="16">
        <f>IF(D4831="","",IF(G4831&lt;&gt;"",G4831,IFERROR(INDEX('Sản phẩm'!$E$5:$E$304,MATCH(D4831,'Sản phẩm'!$A$5:$A$304,0)),"")))</f>
        <v/>
      </c>
      <c r="J4831" s="16">
        <f>IF(OR(D4831="",F4831=""),"",F4831*I4831-N(H4831))</f>
        <v/>
      </c>
      <c r="K4831" s="16">
        <f>IF(OR(D4831="",F4831=""),"",F4831*IFERROR(INDEX('Sản phẩm'!$D$5:$D$304,MATCH(D4831,'Sản phẩm'!$A$5:$A$304,0)),""))</f>
        <v/>
      </c>
      <c r="L4831" s="16">
        <f>IF(J4831="","",J4831-K4831)</f>
        <v/>
      </c>
      <c r="M4831" s="14">
        <f>IF(A4831="","",MONTH(A4831))</f>
        <v/>
      </c>
      <c r="N4831" s="14">
        <f>IF(A4831="","",YEAR(A4831))</f>
        <v/>
      </c>
    </row>
    <row r="4832">
      <c r="A4832" s="15" t="n"/>
      <c r="B4832" s="10" t="n"/>
      <c r="C4832" s="10" t="n"/>
      <c r="D4832" s="10" t="n"/>
      <c r="E4832" s="14">
        <f>IF(D4832="","",IFERROR(INDEX('Sản phẩm'!$B$5:$B$304,MATCH(D4832,'Sản phẩm'!$A$5:$A$304,0)),""))</f>
        <v/>
      </c>
      <c r="F4832" s="12" t="n"/>
      <c r="G4832" s="11" t="n"/>
      <c r="H4832" s="11" t="n"/>
      <c r="I4832" s="16">
        <f>IF(D4832="","",IF(G4832&lt;&gt;"",G4832,IFERROR(INDEX('Sản phẩm'!$E$5:$E$304,MATCH(D4832,'Sản phẩm'!$A$5:$A$304,0)),"")))</f>
        <v/>
      </c>
      <c r="J4832" s="16">
        <f>IF(OR(D4832="",F4832=""),"",F4832*I4832-N(H4832))</f>
        <v/>
      </c>
      <c r="K4832" s="16">
        <f>IF(OR(D4832="",F4832=""),"",F4832*IFERROR(INDEX('Sản phẩm'!$D$5:$D$304,MATCH(D4832,'Sản phẩm'!$A$5:$A$304,0)),""))</f>
        <v/>
      </c>
      <c r="L4832" s="16">
        <f>IF(J4832="","",J4832-K4832)</f>
        <v/>
      </c>
      <c r="M4832" s="14">
        <f>IF(A4832="","",MONTH(A4832))</f>
        <v/>
      </c>
      <c r="N4832" s="14">
        <f>IF(A4832="","",YEAR(A4832))</f>
        <v/>
      </c>
    </row>
    <row r="4833">
      <c r="A4833" s="15" t="n"/>
      <c r="B4833" s="10" t="n"/>
      <c r="C4833" s="10" t="n"/>
      <c r="D4833" s="10" t="n"/>
      <c r="E4833" s="14">
        <f>IF(D4833="","",IFERROR(INDEX('Sản phẩm'!$B$5:$B$304,MATCH(D4833,'Sản phẩm'!$A$5:$A$304,0)),""))</f>
        <v/>
      </c>
      <c r="F4833" s="12" t="n"/>
      <c r="G4833" s="11" t="n"/>
      <c r="H4833" s="11" t="n"/>
      <c r="I4833" s="16">
        <f>IF(D4833="","",IF(G4833&lt;&gt;"",G4833,IFERROR(INDEX('Sản phẩm'!$E$5:$E$304,MATCH(D4833,'Sản phẩm'!$A$5:$A$304,0)),"")))</f>
        <v/>
      </c>
      <c r="J4833" s="16">
        <f>IF(OR(D4833="",F4833=""),"",F4833*I4833-N(H4833))</f>
        <v/>
      </c>
      <c r="K4833" s="16">
        <f>IF(OR(D4833="",F4833=""),"",F4833*IFERROR(INDEX('Sản phẩm'!$D$5:$D$304,MATCH(D4833,'Sản phẩm'!$A$5:$A$304,0)),""))</f>
        <v/>
      </c>
      <c r="L4833" s="16">
        <f>IF(J4833="","",J4833-K4833)</f>
        <v/>
      </c>
      <c r="M4833" s="14">
        <f>IF(A4833="","",MONTH(A4833))</f>
        <v/>
      </c>
      <c r="N4833" s="14">
        <f>IF(A4833="","",YEAR(A4833))</f>
        <v/>
      </c>
    </row>
    <row r="4834">
      <c r="A4834" s="15" t="n"/>
      <c r="B4834" s="10" t="n"/>
      <c r="C4834" s="10" t="n"/>
      <c r="D4834" s="10" t="n"/>
      <c r="E4834" s="14">
        <f>IF(D4834="","",IFERROR(INDEX('Sản phẩm'!$B$5:$B$304,MATCH(D4834,'Sản phẩm'!$A$5:$A$304,0)),""))</f>
        <v/>
      </c>
      <c r="F4834" s="12" t="n"/>
      <c r="G4834" s="11" t="n"/>
      <c r="H4834" s="11" t="n"/>
      <c r="I4834" s="16">
        <f>IF(D4834="","",IF(G4834&lt;&gt;"",G4834,IFERROR(INDEX('Sản phẩm'!$E$5:$E$304,MATCH(D4834,'Sản phẩm'!$A$5:$A$304,0)),"")))</f>
        <v/>
      </c>
      <c r="J4834" s="16">
        <f>IF(OR(D4834="",F4834=""),"",F4834*I4834-N(H4834))</f>
        <v/>
      </c>
      <c r="K4834" s="16">
        <f>IF(OR(D4834="",F4834=""),"",F4834*IFERROR(INDEX('Sản phẩm'!$D$5:$D$304,MATCH(D4834,'Sản phẩm'!$A$5:$A$304,0)),""))</f>
        <v/>
      </c>
      <c r="L4834" s="16">
        <f>IF(J4834="","",J4834-K4834)</f>
        <v/>
      </c>
      <c r="M4834" s="14">
        <f>IF(A4834="","",MONTH(A4834))</f>
        <v/>
      </c>
      <c r="N4834" s="14">
        <f>IF(A4834="","",YEAR(A4834))</f>
        <v/>
      </c>
    </row>
    <row r="4835">
      <c r="A4835" s="15" t="n"/>
      <c r="B4835" s="10" t="n"/>
      <c r="C4835" s="10" t="n"/>
      <c r="D4835" s="10" t="n"/>
      <c r="E4835" s="14">
        <f>IF(D4835="","",IFERROR(INDEX('Sản phẩm'!$B$5:$B$304,MATCH(D4835,'Sản phẩm'!$A$5:$A$304,0)),""))</f>
        <v/>
      </c>
      <c r="F4835" s="12" t="n"/>
      <c r="G4835" s="11" t="n"/>
      <c r="H4835" s="11" t="n"/>
      <c r="I4835" s="16">
        <f>IF(D4835="","",IF(G4835&lt;&gt;"",G4835,IFERROR(INDEX('Sản phẩm'!$E$5:$E$304,MATCH(D4835,'Sản phẩm'!$A$5:$A$304,0)),"")))</f>
        <v/>
      </c>
      <c r="J4835" s="16">
        <f>IF(OR(D4835="",F4835=""),"",F4835*I4835-N(H4835))</f>
        <v/>
      </c>
      <c r="K4835" s="16">
        <f>IF(OR(D4835="",F4835=""),"",F4835*IFERROR(INDEX('Sản phẩm'!$D$5:$D$304,MATCH(D4835,'Sản phẩm'!$A$5:$A$304,0)),""))</f>
        <v/>
      </c>
      <c r="L4835" s="16">
        <f>IF(J4835="","",J4835-K4835)</f>
        <v/>
      </c>
      <c r="M4835" s="14">
        <f>IF(A4835="","",MONTH(A4835))</f>
        <v/>
      </c>
      <c r="N4835" s="14">
        <f>IF(A4835="","",YEAR(A4835))</f>
        <v/>
      </c>
    </row>
    <row r="4836">
      <c r="A4836" s="15" t="n"/>
      <c r="B4836" s="10" t="n"/>
      <c r="C4836" s="10" t="n"/>
      <c r="D4836" s="10" t="n"/>
      <c r="E4836" s="14">
        <f>IF(D4836="","",IFERROR(INDEX('Sản phẩm'!$B$5:$B$304,MATCH(D4836,'Sản phẩm'!$A$5:$A$304,0)),""))</f>
        <v/>
      </c>
      <c r="F4836" s="12" t="n"/>
      <c r="G4836" s="11" t="n"/>
      <c r="H4836" s="11" t="n"/>
      <c r="I4836" s="16">
        <f>IF(D4836="","",IF(G4836&lt;&gt;"",G4836,IFERROR(INDEX('Sản phẩm'!$E$5:$E$304,MATCH(D4836,'Sản phẩm'!$A$5:$A$304,0)),"")))</f>
        <v/>
      </c>
      <c r="J4836" s="16">
        <f>IF(OR(D4836="",F4836=""),"",F4836*I4836-N(H4836))</f>
        <v/>
      </c>
      <c r="K4836" s="16">
        <f>IF(OR(D4836="",F4836=""),"",F4836*IFERROR(INDEX('Sản phẩm'!$D$5:$D$304,MATCH(D4836,'Sản phẩm'!$A$5:$A$304,0)),""))</f>
        <v/>
      </c>
      <c r="L4836" s="16">
        <f>IF(J4836="","",J4836-K4836)</f>
        <v/>
      </c>
      <c r="M4836" s="14">
        <f>IF(A4836="","",MONTH(A4836))</f>
        <v/>
      </c>
      <c r="N4836" s="14">
        <f>IF(A4836="","",YEAR(A4836))</f>
        <v/>
      </c>
    </row>
    <row r="4837">
      <c r="A4837" s="15" t="n"/>
      <c r="B4837" s="10" t="n"/>
      <c r="C4837" s="10" t="n"/>
      <c r="D4837" s="10" t="n"/>
      <c r="E4837" s="14">
        <f>IF(D4837="","",IFERROR(INDEX('Sản phẩm'!$B$5:$B$304,MATCH(D4837,'Sản phẩm'!$A$5:$A$304,0)),""))</f>
        <v/>
      </c>
      <c r="F4837" s="12" t="n"/>
      <c r="G4837" s="11" t="n"/>
      <c r="H4837" s="11" t="n"/>
      <c r="I4837" s="16">
        <f>IF(D4837="","",IF(G4837&lt;&gt;"",G4837,IFERROR(INDEX('Sản phẩm'!$E$5:$E$304,MATCH(D4837,'Sản phẩm'!$A$5:$A$304,0)),"")))</f>
        <v/>
      </c>
      <c r="J4837" s="16">
        <f>IF(OR(D4837="",F4837=""),"",F4837*I4837-N(H4837))</f>
        <v/>
      </c>
      <c r="K4837" s="16">
        <f>IF(OR(D4837="",F4837=""),"",F4837*IFERROR(INDEX('Sản phẩm'!$D$5:$D$304,MATCH(D4837,'Sản phẩm'!$A$5:$A$304,0)),""))</f>
        <v/>
      </c>
      <c r="L4837" s="16">
        <f>IF(J4837="","",J4837-K4837)</f>
        <v/>
      </c>
      <c r="M4837" s="14">
        <f>IF(A4837="","",MONTH(A4837))</f>
        <v/>
      </c>
      <c r="N4837" s="14">
        <f>IF(A4837="","",YEAR(A4837))</f>
        <v/>
      </c>
    </row>
    <row r="4838">
      <c r="A4838" s="15" t="n"/>
      <c r="B4838" s="10" t="n"/>
      <c r="C4838" s="10" t="n"/>
      <c r="D4838" s="10" t="n"/>
      <c r="E4838" s="14">
        <f>IF(D4838="","",IFERROR(INDEX('Sản phẩm'!$B$5:$B$304,MATCH(D4838,'Sản phẩm'!$A$5:$A$304,0)),""))</f>
        <v/>
      </c>
      <c r="F4838" s="12" t="n"/>
      <c r="G4838" s="11" t="n"/>
      <c r="H4838" s="11" t="n"/>
      <c r="I4838" s="16">
        <f>IF(D4838="","",IF(G4838&lt;&gt;"",G4838,IFERROR(INDEX('Sản phẩm'!$E$5:$E$304,MATCH(D4838,'Sản phẩm'!$A$5:$A$304,0)),"")))</f>
        <v/>
      </c>
      <c r="J4838" s="16">
        <f>IF(OR(D4838="",F4838=""),"",F4838*I4838-N(H4838))</f>
        <v/>
      </c>
      <c r="K4838" s="16">
        <f>IF(OR(D4838="",F4838=""),"",F4838*IFERROR(INDEX('Sản phẩm'!$D$5:$D$304,MATCH(D4838,'Sản phẩm'!$A$5:$A$304,0)),""))</f>
        <v/>
      </c>
      <c r="L4838" s="16">
        <f>IF(J4838="","",J4838-K4838)</f>
        <v/>
      </c>
      <c r="M4838" s="14">
        <f>IF(A4838="","",MONTH(A4838))</f>
        <v/>
      </c>
      <c r="N4838" s="14">
        <f>IF(A4838="","",YEAR(A4838))</f>
        <v/>
      </c>
    </row>
    <row r="4839">
      <c r="A4839" s="15" t="n"/>
      <c r="B4839" s="10" t="n"/>
      <c r="C4839" s="10" t="n"/>
      <c r="D4839" s="10" t="n"/>
      <c r="E4839" s="14">
        <f>IF(D4839="","",IFERROR(INDEX('Sản phẩm'!$B$5:$B$304,MATCH(D4839,'Sản phẩm'!$A$5:$A$304,0)),""))</f>
        <v/>
      </c>
      <c r="F4839" s="12" t="n"/>
      <c r="G4839" s="11" t="n"/>
      <c r="H4839" s="11" t="n"/>
      <c r="I4839" s="16">
        <f>IF(D4839="","",IF(G4839&lt;&gt;"",G4839,IFERROR(INDEX('Sản phẩm'!$E$5:$E$304,MATCH(D4839,'Sản phẩm'!$A$5:$A$304,0)),"")))</f>
        <v/>
      </c>
      <c r="J4839" s="16">
        <f>IF(OR(D4839="",F4839=""),"",F4839*I4839-N(H4839))</f>
        <v/>
      </c>
      <c r="K4839" s="16">
        <f>IF(OR(D4839="",F4839=""),"",F4839*IFERROR(INDEX('Sản phẩm'!$D$5:$D$304,MATCH(D4839,'Sản phẩm'!$A$5:$A$304,0)),""))</f>
        <v/>
      </c>
      <c r="L4839" s="16">
        <f>IF(J4839="","",J4839-K4839)</f>
        <v/>
      </c>
      <c r="M4839" s="14">
        <f>IF(A4839="","",MONTH(A4839))</f>
        <v/>
      </c>
      <c r="N4839" s="14">
        <f>IF(A4839="","",YEAR(A4839))</f>
        <v/>
      </c>
    </row>
    <row r="4840">
      <c r="A4840" s="15" t="n"/>
      <c r="B4840" s="10" t="n"/>
      <c r="C4840" s="10" t="n"/>
      <c r="D4840" s="10" t="n"/>
      <c r="E4840" s="14">
        <f>IF(D4840="","",IFERROR(INDEX('Sản phẩm'!$B$5:$B$304,MATCH(D4840,'Sản phẩm'!$A$5:$A$304,0)),""))</f>
        <v/>
      </c>
      <c r="F4840" s="12" t="n"/>
      <c r="G4840" s="11" t="n"/>
      <c r="H4840" s="11" t="n"/>
      <c r="I4840" s="16">
        <f>IF(D4840="","",IF(G4840&lt;&gt;"",G4840,IFERROR(INDEX('Sản phẩm'!$E$5:$E$304,MATCH(D4840,'Sản phẩm'!$A$5:$A$304,0)),"")))</f>
        <v/>
      </c>
      <c r="J4840" s="16">
        <f>IF(OR(D4840="",F4840=""),"",F4840*I4840-N(H4840))</f>
        <v/>
      </c>
      <c r="K4840" s="16">
        <f>IF(OR(D4840="",F4840=""),"",F4840*IFERROR(INDEX('Sản phẩm'!$D$5:$D$304,MATCH(D4840,'Sản phẩm'!$A$5:$A$304,0)),""))</f>
        <v/>
      </c>
      <c r="L4840" s="16">
        <f>IF(J4840="","",J4840-K4840)</f>
        <v/>
      </c>
      <c r="M4840" s="14">
        <f>IF(A4840="","",MONTH(A4840))</f>
        <v/>
      </c>
      <c r="N4840" s="14">
        <f>IF(A4840="","",YEAR(A4840))</f>
        <v/>
      </c>
    </row>
    <row r="4841">
      <c r="A4841" s="15" t="n"/>
      <c r="B4841" s="10" t="n"/>
      <c r="C4841" s="10" t="n"/>
      <c r="D4841" s="10" t="n"/>
      <c r="E4841" s="14">
        <f>IF(D4841="","",IFERROR(INDEX('Sản phẩm'!$B$5:$B$304,MATCH(D4841,'Sản phẩm'!$A$5:$A$304,0)),""))</f>
        <v/>
      </c>
      <c r="F4841" s="12" t="n"/>
      <c r="G4841" s="11" t="n"/>
      <c r="H4841" s="11" t="n"/>
      <c r="I4841" s="16">
        <f>IF(D4841="","",IF(G4841&lt;&gt;"",G4841,IFERROR(INDEX('Sản phẩm'!$E$5:$E$304,MATCH(D4841,'Sản phẩm'!$A$5:$A$304,0)),"")))</f>
        <v/>
      </c>
      <c r="J4841" s="16">
        <f>IF(OR(D4841="",F4841=""),"",F4841*I4841-N(H4841))</f>
        <v/>
      </c>
      <c r="K4841" s="16">
        <f>IF(OR(D4841="",F4841=""),"",F4841*IFERROR(INDEX('Sản phẩm'!$D$5:$D$304,MATCH(D4841,'Sản phẩm'!$A$5:$A$304,0)),""))</f>
        <v/>
      </c>
      <c r="L4841" s="16">
        <f>IF(J4841="","",J4841-K4841)</f>
        <v/>
      </c>
      <c r="M4841" s="14">
        <f>IF(A4841="","",MONTH(A4841))</f>
        <v/>
      </c>
      <c r="N4841" s="14">
        <f>IF(A4841="","",YEAR(A4841))</f>
        <v/>
      </c>
    </row>
    <row r="4842">
      <c r="A4842" s="15" t="n"/>
      <c r="B4842" s="10" t="n"/>
      <c r="C4842" s="10" t="n"/>
      <c r="D4842" s="10" t="n"/>
      <c r="E4842" s="14">
        <f>IF(D4842="","",IFERROR(INDEX('Sản phẩm'!$B$5:$B$304,MATCH(D4842,'Sản phẩm'!$A$5:$A$304,0)),""))</f>
        <v/>
      </c>
      <c r="F4842" s="12" t="n"/>
      <c r="G4842" s="11" t="n"/>
      <c r="H4842" s="11" t="n"/>
      <c r="I4842" s="16">
        <f>IF(D4842="","",IF(G4842&lt;&gt;"",G4842,IFERROR(INDEX('Sản phẩm'!$E$5:$E$304,MATCH(D4842,'Sản phẩm'!$A$5:$A$304,0)),"")))</f>
        <v/>
      </c>
      <c r="J4842" s="16">
        <f>IF(OR(D4842="",F4842=""),"",F4842*I4842-N(H4842))</f>
        <v/>
      </c>
      <c r="K4842" s="16">
        <f>IF(OR(D4842="",F4842=""),"",F4842*IFERROR(INDEX('Sản phẩm'!$D$5:$D$304,MATCH(D4842,'Sản phẩm'!$A$5:$A$304,0)),""))</f>
        <v/>
      </c>
      <c r="L4842" s="16">
        <f>IF(J4842="","",J4842-K4842)</f>
        <v/>
      </c>
      <c r="M4842" s="14">
        <f>IF(A4842="","",MONTH(A4842))</f>
        <v/>
      </c>
      <c r="N4842" s="14">
        <f>IF(A4842="","",YEAR(A4842))</f>
        <v/>
      </c>
    </row>
    <row r="4843">
      <c r="A4843" s="15" t="n"/>
      <c r="B4843" s="10" t="n"/>
      <c r="C4843" s="10" t="n"/>
      <c r="D4843" s="10" t="n"/>
      <c r="E4843" s="14">
        <f>IF(D4843="","",IFERROR(INDEX('Sản phẩm'!$B$5:$B$304,MATCH(D4843,'Sản phẩm'!$A$5:$A$304,0)),""))</f>
        <v/>
      </c>
      <c r="F4843" s="12" t="n"/>
      <c r="G4843" s="11" t="n"/>
      <c r="H4843" s="11" t="n"/>
      <c r="I4843" s="16">
        <f>IF(D4843="","",IF(G4843&lt;&gt;"",G4843,IFERROR(INDEX('Sản phẩm'!$E$5:$E$304,MATCH(D4843,'Sản phẩm'!$A$5:$A$304,0)),"")))</f>
        <v/>
      </c>
      <c r="J4843" s="16">
        <f>IF(OR(D4843="",F4843=""),"",F4843*I4843-N(H4843))</f>
        <v/>
      </c>
      <c r="K4843" s="16">
        <f>IF(OR(D4843="",F4843=""),"",F4843*IFERROR(INDEX('Sản phẩm'!$D$5:$D$304,MATCH(D4843,'Sản phẩm'!$A$5:$A$304,0)),""))</f>
        <v/>
      </c>
      <c r="L4843" s="16">
        <f>IF(J4843="","",J4843-K4843)</f>
        <v/>
      </c>
      <c r="M4843" s="14">
        <f>IF(A4843="","",MONTH(A4843))</f>
        <v/>
      </c>
      <c r="N4843" s="14">
        <f>IF(A4843="","",YEAR(A4843))</f>
        <v/>
      </c>
    </row>
    <row r="4844">
      <c r="A4844" s="15" t="n"/>
      <c r="B4844" s="10" t="n"/>
      <c r="C4844" s="10" t="n"/>
      <c r="D4844" s="10" t="n"/>
      <c r="E4844" s="14">
        <f>IF(D4844="","",IFERROR(INDEX('Sản phẩm'!$B$5:$B$304,MATCH(D4844,'Sản phẩm'!$A$5:$A$304,0)),""))</f>
        <v/>
      </c>
      <c r="F4844" s="12" t="n"/>
      <c r="G4844" s="11" t="n"/>
      <c r="H4844" s="11" t="n"/>
      <c r="I4844" s="16">
        <f>IF(D4844="","",IF(G4844&lt;&gt;"",G4844,IFERROR(INDEX('Sản phẩm'!$E$5:$E$304,MATCH(D4844,'Sản phẩm'!$A$5:$A$304,0)),"")))</f>
        <v/>
      </c>
      <c r="J4844" s="16">
        <f>IF(OR(D4844="",F4844=""),"",F4844*I4844-N(H4844))</f>
        <v/>
      </c>
      <c r="K4844" s="16">
        <f>IF(OR(D4844="",F4844=""),"",F4844*IFERROR(INDEX('Sản phẩm'!$D$5:$D$304,MATCH(D4844,'Sản phẩm'!$A$5:$A$304,0)),""))</f>
        <v/>
      </c>
      <c r="L4844" s="16">
        <f>IF(J4844="","",J4844-K4844)</f>
        <v/>
      </c>
      <c r="M4844" s="14">
        <f>IF(A4844="","",MONTH(A4844))</f>
        <v/>
      </c>
      <c r="N4844" s="14">
        <f>IF(A4844="","",YEAR(A4844))</f>
        <v/>
      </c>
    </row>
    <row r="4845">
      <c r="A4845" s="15" t="n"/>
      <c r="B4845" s="10" t="n"/>
      <c r="C4845" s="10" t="n"/>
      <c r="D4845" s="10" t="n"/>
      <c r="E4845" s="14">
        <f>IF(D4845="","",IFERROR(INDEX('Sản phẩm'!$B$5:$B$304,MATCH(D4845,'Sản phẩm'!$A$5:$A$304,0)),""))</f>
        <v/>
      </c>
      <c r="F4845" s="12" t="n"/>
      <c r="G4845" s="11" t="n"/>
      <c r="H4845" s="11" t="n"/>
      <c r="I4845" s="16">
        <f>IF(D4845="","",IF(G4845&lt;&gt;"",G4845,IFERROR(INDEX('Sản phẩm'!$E$5:$E$304,MATCH(D4845,'Sản phẩm'!$A$5:$A$304,0)),"")))</f>
        <v/>
      </c>
      <c r="J4845" s="16">
        <f>IF(OR(D4845="",F4845=""),"",F4845*I4845-N(H4845))</f>
        <v/>
      </c>
      <c r="K4845" s="16">
        <f>IF(OR(D4845="",F4845=""),"",F4845*IFERROR(INDEX('Sản phẩm'!$D$5:$D$304,MATCH(D4845,'Sản phẩm'!$A$5:$A$304,0)),""))</f>
        <v/>
      </c>
      <c r="L4845" s="16">
        <f>IF(J4845="","",J4845-K4845)</f>
        <v/>
      </c>
      <c r="M4845" s="14">
        <f>IF(A4845="","",MONTH(A4845))</f>
        <v/>
      </c>
      <c r="N4845" s="14">
        <f>IF(A4845="","",YEAR(A4845))</f>
        <v/>
      </c>
    </row>
    <row r="4846">
      <c r="A4846" s="15" t="n"/>
      <c r="B4846" s="10" t="n"/>
      <c r="C4846" s="10" t="n"/>
      <c r="D4846" s="10" t="n"/>
      <c r="E4846" s="14">
        <f>IF(D4846="","",IFERROR(INDEX('Sản phẩm'!$B$5:$B$304,MATCH(D4846,'Sản phẩm'!$A$5:$A$304,0)),""))</f>
        <v/>
      </c>
      <c r="F4846" s="12" t="n"/>
      <c r="G4846" s="11" t="n"/>
      <c r="H4846" s="11" t="n"/>
      <c r="I4846" s="16">
        <f>IF(D4846="","",IF(G4846&lt;&gt;"",G4846,IFERROR(INDEX('Sản phẩm'!$E$5:$E$304,MATCH(D4846,'Sản phẩm'!$A$5:$A$304,0)),"")))</f>
        <v/>
      </c>
      <c r="J4846" s="16">
        <f>IF(OR(D4846="",F4846=""),"",F4846*I4846-N(H4846))</f>
        <v/>
      </c>
      <c r="K4846" s="16">
        <f>IF(OR(D4846="",F4846=""),"",F4846*IFERROR(INDEX('Sản phẩm'!$D$5:$D$304,MATCH(D4846,'Sản phẩm'!$A$5:$A$304,0)),""))</f>
        <v/>
      </c>
      <c r="L4846" s="16">
        <f>IF(J4846="","",J4846-K4846)</f>
        <v/>
      </c>
      <c r="M4846" s="14">
        <f>IF(A4846="","",MONTH(A4846))</f>
        <v/>
      </c>
      <c r="N4846" s="14">
        <f>IF(A4846="","",YEAR(A4846))</f>
        <v/>
      </c>
    </row>
    <row r="4847">
      <c r="A4847" s="15" t="n"/>
      <c r="B4847" s="10" t="n"/>
      <c r="C4847" s="10" t="n"/>
      <c r="D4847" s="10" t="n"/>
      <c r="E4847" s="14">
        <f>IF(D4847="","",IFERROR(INDEX('Sản phẩm'!$B$5:$B$304,MATCH(D4847,'Sản phẩm'!$A$5:$A$304,0)),""))</f>
        <v/>
      </c>
      <c r="F4847" s="12" t="n"/>
      <c r="G4847" s="11" t="n"/>
      <c r="H4847" s="11" t="n"/>
      <c r="I4847" s="16">
        <f>IF(D4847="","",IF(G4847&lt;&gt;"",G4847,IFERROR(INDEX('Sản phẩm'!$E$5:$E$304,MATCH(D4847,'Sản phẩm'!$A$5:$A$304,0)),"")))</f>
        <v/>
      </c>
      <c r="J4847" s="16">
        <f>IF(OR(D4847="",F4847=""),"",F4847*I4847-N(H4847))</f>
        <v/>
      </c>
      <c r="K4847" s="16">
        <f>IF(OR(D4847="",F4847=""),"",F4847*IFERROR(INDEX('Sản phẩm'!$D$5:$D$304,MATCH(D4847,'Sản phẩm'!$A$5:$A$304,0)),""))</f>
        <v/>
      </c>
      <c r="L4847" s="16">
        <f>IF(J4847="","",J4847-K4847)</f>
        <v/>
      </c>
      <c r="M4847" s="14">
        <f>IF(A4847="","",MONTH(A4847))</f>
        <v/>
      </c>
      <c r="N4847" s="14">
        <f>IF(A4847="","",YEAR(A4847))</f>
        <v/>
      </c>
    </row>
    <row r="4848">
      <c r="A4848" s="15" t="n"/>
      <c r="B4848" s="10" t="n"/>
      <c r="C4848" s="10" t="n"/>
      <c r="D4848" s="10" t="n"/>
      <c r="E4848" s="14">
        <f>IF(D4848="","",IFERROR(INDEX('Sản phẩm'!$B$5:$B$304,MATCH(D4848,'Sản phẩm'!$A$5:$A$304,0)),""))</f>
        <v/>
      </c>
      <c r="F4848" s="12" t="n"/>
      <c r="G4848" s="11" t="n"/>
      <c r="H4848" s="11" t="n"/>
      <c r="I4848" s="16">
        <f>IF(D4848="","",IF(G4848&lt;&gt;"",G4848,IFERROR(INDEX('Sản phẩm'!$E$5:$E$304,MATCH(D4848,'Sản phẩm'!$A$5:$A$304,0)),"")))</f>
        <v/>
      </c>
      <c r="J4848" s="16">
        <f>IF(OR(D4848="",F4848=""),"",F4848*I4848-N(H4848))</f>
        <v/>
      </c>
      <c r="K4848" s="16">
        <f>IF(OR(D4848="",F4848=""),"",F4848*IFERROR(INDEX('Sản phẩm'!$D$5:$D$304,MATCH(D4848,'Sản phẩm'!$A$5:$A$304,0)),""))</f>
        <v/>
      </c>
      <c r="L4848" s="16">
        <f>IF(J4848="","",J4848-K4848)</f>
        <v/>
      </c>
      <c r="M4848" s="14">
        <f>IF(A4848="","",MONTH(A4848))</f>
        <v/>
      </c>
      <c r="N4848" s="14">
        <f>IF(A4848="","",YEAR(A4848))</f>
        <v/>
      </c>
    </row>
    <row r="4849">
      <c r="A4849" s="15" t="n"/>
      <c r="B4849" s="10" t="n"/>
      <c r="C4849" s="10" t="n"/>
      <c r="D4849" s="10" t="n"/>
      <c r="E4849" s="14">
        <f>IF(D4849="","",IFERROR(INDEX('Sản phẩm'!$B$5:$B$304,MATCH(D4849,'Sản phẩm'!$A$5:$A$304,0)),""))</f>
        <v/>
      </c>
      <c r="F4849" s="12" t="n"/>
      <c r="G4849" s="11" t="n"/>
      <c r="H4849" s="11" t="n"/>
      <c r="I4849" s="16">
        <f>IF(D4849="","",IF(G4849&lt;&gt;"",G4849,IFERROR(INDEX('Sản phẩm'!$E$5:$E$304,MATCH(D4849,'Sản phẩm'!$A$5:$A$304,0)),"")))</f>
        <v/>
      </c>
      <c r="J4849" s="16">
        <f>IF(OR(D4849="",F4849=""),"",F4849*I4849-N(H4849))</f>
        <v/>
      </c>
      <c r="K4849" s="16">
        <f>IF(OR(D4849="",F4849=""),"",F4849*IFERROR(INDEX('Sản phẩm'!$D$5:$D$304,MATCH(D4849,'Sản phẩm'!$A$5:$A$304,0)),""))</f>
        <v/>
      </c>
      <c r="L4849" s="16">
        <f>IF(J4849="","",J4849-K4849)</f>
        <v/>
      </c>
      <c r="M4849" s="14">
        <f>IF(A4849="","",MONTH(A4849))</f>
        <v/>
      </c>
      <c r="N4849" s="14">
        <f>IF(A4849="","",YEAR(A4849))</f>
        <v/>
      </c>
    </row>
    <row r="4850">
      <c r="A4850" s="15" t="n"/>
      <c r="B4850" s="10" t="n"/>
      <c r="C4850" s="10" t="n"/>
      <c r="D4850" s="10" t="n"/>
      <c r="E4850" s="14">
        <f>IF(D4850="","",IFERROR(INDEX('Sản phẩm'!$B$5:$B$304,MATCH(D4850,'Sản phẩm'!$A$5:$A$304,0)),""))</f>
        <v/>
      </c>
      <c r="F4850" s="12" t="n"/>
      <c r="G4850" s="11" t="n"/>
      <c r="H4850" s="11" t="n"/>
      <c r="I4850" s="16">
        <f>IF(D4850="","",IF(G4850&lt;&gt;"",G4850,IFERROR(INDEX('Sản phẩm'!$E$5:$E$304,MATCH(D4850,'Sản phẩm'!$A$5:$A$304,0)),"")))</f>
        <v/>
      </c>
      <c r="J4850" s="16">
        <f>IF(OR(D4850="",F4850=""),"",F4850*I4850-N(H4850))</f>
        <v/>
      </c>
      <c r="K4850" s="16">
        <f>IF(OR(D4850="",F4850=""),"",F4850*IFERROR(INDEX('Sản phẩm'!$D$5:$D$304,MATCH(D4850,'Sản phẩm'!$A$5:$A$304,0)),""))</f>
        <v/>
      </c>
      <c r="L4850" s="16">
        <f>IF(J4850="","",J4850-K4850)</f>
        <v/>
      </c>
      <c r="M4850" s="14">
        <f>IF(A4850="","",MONTH(A4850))</f>
        <v/>
      </c>
      <c r="N4850" s="14">
        <f>IF(A4850="","",YEAR(A4850))</f>
        <v/>
      </c>
    </row>
    <row r="4851">
      <c r="A4851" s="15" t="n"/>
      <c r="B4851" s="10" t="n"/>
      <c r="C4851" s="10" t="n"/>
      <c r="D4851" s="10" t="n"/>
      <c r="E4851" s="14">
        <f>IF(D4851="","",IFERROR(INDEX('Sản phẩm'!$B$5:$B$304,MATCH(D4851,'Sản phẩm'!$A$5:$A$304,0)),""))</f>
        <v/>
      </c>
      <c r="F4851" s="12" t="n"/>
      <c r="G4851" s="11" t="n"/>
      <c r="H4851" s="11" t="n"/>
      <c r="I4851" s="16">
        <f>IF(D4851="","",IF(G4851&lt;&gt;"",G4851,IFERROR(INDEX('Sản phẩm'!$E$5:$E$304,MATCH(D4851,'Sản phẩm'!$A$5:$A$304,0)),"")))</f>
        <v/>
      </c>
      <c r="J4851" s="16">
        <f>IF(OR(D4851="",F4851=""),"",F4851*I4851-N(H4851))</f>
        <v/>
      </c>
      <c r="K4851" s="16">
        <f>IF(OR(D4851="",F4851=""),"",F4851*IFERROR(INDEX('Sản phẩm'!$D$5:$D$304,MATCH(D4851,'Sản phẩm'!$A$5:$A$304,0)),""))</f>
        <v/>
      </c>
      <c r="L4851" s="16">
        <f>IF(J4851="","",J4851-K4851)</f>
        <v/>
      </c>
      <c r="M4851" s="14">
        <f>IF(A4851="","",MONTH(A4851))</f>
        <v/>
      </c>
      <c r="N4851" s="14">
        <f>IF(A4851="","",YEAR(A4851))</f>
        <v/>
      </c>
    </row>
    <row r="4852">
      <c r="A4852" s="15" t="n"/>
      <c r="B4852" s="10" t="n"/>
      <c r="C4852" s="10" t="n"/>
      <c r="D4852" s="10" t="n"/>
      <c r="E4852" s="14">
        <f>IF(D4852="","",IFERROR(INDEX('Sản phẩm'!$B$5:$B$304,MATCH(D4852,'Sản phẩm'!$A$5:$A$304,0)),""))</f>
        <v/>
      </c>
      <c r="F4852" s="12" t="n"/>
      <c r="G4852" s="11" t="n"/>
      <c r="H4852" s="11" t="n"/>
      <c r="I4852" s="16">
        <f>IF(D4852="","",IF(G4852&lt;&gt;"",G4852,IFERROR(INDEX('Sản phẩm'!$E$5:$E$304,MATCH(D4852,'Sản phẩm'!$A$5:$A$304,0)),"")))</f>
        <v/>
      </c>
      <c r="J4852" s="16">
        <f>IF(OR(D4852="",F4852=""),"",F4852*I4852-N(H4852))</f>
        <v/>
      </c>
      <c r="K4852" s="16">
        <f>IF(OR(D4852="",F4852=""),"",F4852*IFERROR(INDEX('Sản phẩm'!$D$5:$D$304,MATCH(D4852,'Sản phẩm'!$A$5:$A$304,0)),""))</f>
        <v/>
      </c>
      <c r="L4852" s="16">
        <f>IF(J4852="","",J4852-K4852)</f>
        <v/>
      </c>
      <c r="M4852" s="14">
        <f>IF(A4852="","",MONTH(A4852))</f>
        <v/>
      </c>
      <c r="N4852" s="14">
        <f>IF(A4852="","",YEAR(A4852))</f>
        <v/>
      </c>
    </row>
    <row r="4853">
      <c r="A4853" s="15" t="n"/>
      <c r="B4853" s="10" t="n"/>
      <c r="C4853" s="10" t="n"/>
      <c r="D4853" s="10" t="n"/>
      <c r="E4853" s="14">
        <f>IF(D4853="","",IFERROR(INDEX('Sản phẩm'!$B$5:$B$304,MATCH(D4853,'Sản phẩm'!$A$5:$A$304,0)),""))</f>
        <v/>
      </c>
      <c r="F4853" s="12" t="n"/>
      <c r="G4853" s="11" t="n"/>
      <c r="H4853" s="11" t="n"/>
      <c r="I4853" s="16">
        <f>IF(D4853="","",IF(G4853&lt;&gt;"",G4853,IFERROR(INDEX('Sản phẩm'!$E$5:$E$304,MATCH(D4853,'Sản phẩm'!$A$5:$A$304,0)),"")))</f>
        <v/>
      </c>
      <c r="J4853" s="16">
        <f>IF(OR(D4853="",F4853=""),"",F4853*I4853-N(H4853))</f>
        <v/>
      </c>
      <c r="K4853" s="16">
        <f>IF(OR(D4853="",F4853=""),"",F4853*IFERROR(INDEX('Sản phẩm'!$D$5:$D$304,MATCH(D4853,'Sản phẩm'!$A$5:$A$304,0)),""))</f>
        <v/>
      </c>
      <c r="L4853" s="16">
        <f>IF(J4853="","",J4853-K4853)</f>
        <v/>
      </c>
      <c r="M4853" s="14">
        <f>IF(A4853="","",MONTH(A4853))</f>
        <v/>
      </c>
      <c r="N4853" s="14">
        <f>IF(A4853="","",YEAR(A4853))</f>
        <v/>
      </c>
    </row>
    <row r="4854">
      <c r="A4854" s="15" t="n"/>
      <c r="B4854" s="10" t="n"/>
      <c r="C4854" s="10" t="n"/>
      <c r="D4854" s="10" t="n"/>
      <c r="E4854" s="14">
        <f>IF(D4854="","",IFERROR(INDEX('Sản phẩm'!$B$5:$B$304,MATCH(D4854,'Sản phẩm'!$A$5:$A$304,0)),""))</f>
        <v/>
      </c>
      <c r="F4854" s="12" t="n"/>
      <c r="G4854" s="11" t="n"/>
      <c r="H4854" s="11" t="n"/>
      <c r="I4854" s="16">
        <f>IF(D4854="","",IF(G4854&lt;&gt;"",G4854,IFERROR(INDEX('Sản phẩm'!$E$5:$E$304,MATCH(D4854,'Sản phẩm'!$A$5:$A$304,0)),"")))</f>
        <v/>
      </c>
      <c r="J4854" s="16">
        <f>IF(OR(D4854="",F4854=""),"",F4854*I4854-N(H4854))</f>
        <v/>
      </c>
      <c r="K4854" s="16">
        <f>IF(OR(D4854="",F4854=""),"",F4854*IFERROR(INDEX('Sản phẩm'!$D$5:$D$304,MATCH(D4854,'Sản phẩm'!$A$5:$A$304,0)),""))</f>
        <v/>
      </c>
      <c r="L4854" s="16">
        <f>IF(J4854="","",J4854-K4854)</f>
        <v/>
      </c>
      <c r="M4854" s="14">
        <f>IF(A4854="","",MONTH(A4854))</f>
        <v/>
      </c>
      <c r="N4854" s="14">
        <f>IF(A4854="","",YEAR(A4854))</f>
        <v/>
      </c>
    </row>
    <row r="4855">
      <c r="A4855" s="15" t="n"/>
      <c r="B4855" s="10" t="n"/>
      <c r="C4855" s="10" t="n"/>
      <c r="D4855" s="10" t="n"/>
      <c r="E4855" s="14">
        <f>IF(D4855="","",IFERROR(INDEX('Sản phẩm'!$B$5:$B$304,MATCH(D4855,'Sản phẩm'!$A$5:$A$304,0)),""))</f>
        <v/>
      </c>
      <c r="F4855" s="12" t="n"/>
      <c r="G4855" s="11" t="n"/>
      <c r="H4855" s="11" t="n"/>
      <c r="I4855" s="16">
        <f>IF(D4855="","",IF(G4855&lt;&gt;"",G4855,IFERROR(INDEX('Sản phẩm'!$E$5:$E$304,MATCH(D4855,'Sản phẩm'!$A$5:$A$304,0)),"")))</f>
        <v/>
      </c>
      <c r="J4855" s="16">
        <f>IF(OR(D4855="",F4855=""),"",F4855*I4855-N(H4855))</f>
        <v/>
      </c>
      <c r="K4855" s="16">
        <f>IF(OR(D4855="",F4855=""),"",F4855*IFERROR(INDEX('Sản phẩm'!$D$5:$D$304,MATCH(D4855,'Sản phẩm'!$A$5:$A$304,0)),""))</f>
        <v/>
      </c>
      <c r="L4855" s="16">
        <f>IF(J4855="","",J4855-K4855)</f>
        <v/>
      </c>
      <c r="M4855" s="14">
        <f>IF(A4855="","",MONTH(A4855))</f>
        <v/>
      </c>
      <c r="N4855" s="14">
        <f>IF(A4855="","",YEAR(A4855))</f>
        <v/>
      </c>
    </row>
    <row r="4856">
      <c r="A4856" s="15" t="n"/>
      <c r="B4856" s="10" t="n"/>
      <c r="C4856" s="10" t="n"/>
      <c r="D4856" s="10" t="n"/>
      <c r="E4856" s="14">
        <f>IF(D4856="","",IFERROR(INDEX('Sản phẩm'!$B$5:$B$304,MATCH(D4856,'Sản phẩm'!$A$5:$A$304,0)),""))</f>
        <v/>
      </c>
      <c r="F4856" s="12" t="n"/>
      <c r="G4856" s="11" t="n"/>
      <c r="H4856" s="11" t="n"/>
      <c r="I4856" s="16">
        <f>IF(D4856="","",IF(G4856&lt;&gt;"",G4856,IFERROR(INDEX('Sản phẩm'!$E$5:$E$304,MATCH(D4856,'Sản phẩm'!$A$5:$A$304,0)),"")))</f>
        <v/>
      </c>
      <c r="J4856" s="16">
        <f>IF(OR(D4856="",F4856=""),"",F4856*I4856-N(H4856))</f>
        <v/>
      </c>
      <c r="K4856" s="16">
        <f>IF(OR(D4856="",F4856=""),"",F4856*IFERROR(INDEX('Sản phẩm'!$D$5:$D$304,MATCH(D4856,'Sản phẩm'!$A$5:$A$304,0)),""))</f>
        <v/>
      </c>
      <c r="L4856" s="16">
        <f>IF(J4856="","",J4856-K4856)</f>
        <v/>
      </c>
      <c r="M4856" s="14">
        <f>IF(A4856="","",MONTH(A4856))</f>
        <v/>
      </c>
      <c r="N4856" s="14">
        <f>IF(A4856="","",YEAR(A4856))</f>
        <v/>
      </c>
    </row>
    <row r="4857">
      <c r="A4857" s="15" t="n"/>
      <c r="B4857" s="10" t="n"/>
      <c r="C4857" s="10" t="n"/>
      <c r="D4857" s="10" t="n"/>
      <c r="E4857" s="14">
        <f>IF(D4857="","",IFERROR(INDEX('Sản phẩm'!$B$5:$B$304,MATCH(D4857,'Sản phẩm'!$A$5:$A$304,0)),""))</f>
        <v/>
      </c>
      <c r="F4857" s="12" t="n"/>
      <c r="G4857" s="11" t="n"/>
      <c r="H4857" s="11" t="n"/>
      <c r="I4857" s="16">
        <f>IF(D4857="","",IF(G4857&lt;&gt;"",G4857,IFERROR(INDEX('Sản phẩm'!$E$5:$E$304,MATCH(D4857,'Sản phẩm'!$A$5:$A$304,0)),"")))</f>
        <v/>
      </c>
      <c r="J4857" s="16">
        <f>IF(OR(D4857="",F4857=""),"",F4857*I4857-N(H4857))</f>
        <v/>
      </c>
      <c r="K4857" s="16">
        <f>IF(OR(D4857="",F4857=""),"",F4857*IFERROR(INDEX('Sản phẩm'!$D$5:$D$304,MATCH(D4857,'Sản phẩm'!$A$5:$A$304,0)),""))</f>
        <v/>
      </c>
      <c r="L4857" s="16">
        <f>IF(J4857="","",J4857-K4857)</f>
        <v/>
      </c>
      <c r="M4857" s="14">
        <f>IF(A4857="","",MONTH(A4857))</f>
        <v/>
      </c>
      <c r="N4857" s="14">
        <f>IF(A4857="","",YEAR(A4857))</f>
        <v/>
      </c>
    </row>
    <row r="4858">
      <c r="A4858" s="15" t="n"/>
      <c r="B4858" s="10" t="n"/>
      <c r="C4858" s="10" t="n"/>
      <c r="D4858" s="10" t="n"/>
      <c r="E4858" s="14">
        <f>IF(D4858="","",IFERROR(INDEX('Sản phẩm'!$B$5:$B$304,MATCH(D4858,'Sản phẩm'!$A$5:$A$304,0)),""))</f>
        <v/>
      </c>
      <c r="F4858" s="12" t="n"/>
      <c r="G4858" s="11" t="n"/>
      <c r="H4858" s="11" t="n"/>
      <c r="I4858" s="16">
        <f>IF(D4858="","",IF(G4858&lt;&gt;"",G4858,IFERROR(INDEX('Sản phẩm'!$E$5:$E$304,MATCH(D4858,'Sản phẩm'!$A$5:$A$304,0)),"")))</f>
        <v/>
      </c>
      <c r="J4858" s="16">
        <f>IF(OR(D4858="",F4858=""),"",F4858*I4858-N(H4858))</f>
        <v/>
      </c>
      <c r="K4858" s="16">
        <f>IF(OR(D4858="",F4858=""),"",F4858*IFERROR(INDEX('Sản phẩm'!$D$5:$D$304,MATCH(D4858,'Sản phẩm'!$A$5:$A$304,0)),""))</f>
        <v/>
      </c>
      <c r="L4858" s="16">
        <f>IF(J4858="","",J4858-K4858)</f>
        <v/>
      </c>
      <c r="M4858" s="14">
        <f>IF(A4858="","",MONTH(A4858))</f>
        <v/>
      </c>
      <c r="N4858" s="14">
        <f>IF(A4858="","",YEAR(A4858))</f>
        <v/>
      </c>
    </row>
    <row r="4859">
      <c r="A4859" s="15" t="n"/>
      <c r="B4859" s="10" t="n"/>
      <c r="C4859" s="10" t="n"/>
      <c r="D4859" s="10" t="n"/>
      <c r="E4859" s="14">
        <f>IF(D4859="","",IFERROR(INDEX('Sản phẩm'!$B$5:$B$304,MATCH(D4859,'Sản phẩm'!$A$5:$A$304,0)),""))</f>
        <v/>
      </c>
      <c r="F4859" s="12" t="n"/>
      <c r="G4859" s="11" t="n"/>
      <c r="H4859" s="11" t="n"/>
      <c r="I4859" s="16">
        <f>IF(D4859="","",IF(G4859&lt;&gt;"",G4859,IFERROR(INDEX('Sản phẩm'!$E$5:$E$304,MATCH(D4859,'Sản phẩm'!$A$5:$A$304,0)),"")))</f>
        <v/>
      </c>
      <c r="J4859" s="16">
        <f>IF(OR(D4859="",F4859=""),"",F4859*I4859-N(H4859))</f>
        <v/>
      </c>
      <c r="K4859" s="16">
        <f>IF(OR(D4859="",F4859=""),"",F4859*IFERROR(INDEX('Sản phẩm'!$D$5:$D$304,MATCH(D4859,'Sản phẩm'!$A$5:$A$304,0)),""))</f>
        <v/>
      </c>
      <c r="L4859" s="16">
        <f>IF(J4859="","",J4859-K4859)</f>
        <v/>
      </c>
      <c r="M4859" s="14">
        <f>IF(A4859="","",MONTH(A4859))</f>
        <v/>
      </c>
      <c r="N4859" s="14">
        <f>IF(A4859="","",YEAR(A4859))</f>
        <v/>
      </c>
    </row>
    <row r="4860">
      <c r="A4860" s="15" t="n"/>
      <c r="B4860" s="10" t="n"/>
      <c r="C4860" s="10" t="n"/>
      <c r="D4860" s="10" t="n"/>
      <c r="E4860" s="14">
        <f>IF(D4860="","",IFERROR(INDEX('Sản phẩm'!$B$5:$B$304,MATCH(D4860,'Sản phẩm'!$A$5:$A$304,0)),""))</f>
        <v/>
      </c>
      <c r="F4860" s="12" t="n"/>
      <c r="G4860" s="11" t="n"/>
      <c r="H4860" s="11" t="n"/>
      <c r="I4860" s="16">
        <f>IF(D4860="","",IF(G4860&lt;&gt;"",G4860,IFERROR(INDEX('Sản phẩm'!$E$5:$E$304,MATCH(D4860,'Sản phẩm'!$A$5:$A$304,0)),"")))</f>
        <v/>
      </c>
      <c r="J4860" s="16">
        <f>IF(OR(D4860="",F4860=""),"",F4860*I4860-N(H4860))</f>
        <v/>
      </c>
      <c r="K4860" s="16">
        <f>IF(OR(D4860="",F4860=""),"",F4860*IFERROR(INDEX('Sản phẩm'!$D$5:$D$304,MATCH(D4860,'Sản phẩm'!$A$5:$A$304,0)),""))</f>
        <v/>
      </c>
      <c r="L4860" s="16">
        <f>IF(J4860="","",J4860-K4860)</f>
        <v/>
      </c>
      <c r="M4860" s="14">
        <f>IF(A4860="","",MONTH(A4860))</f>
        <v/>
      </c>
      <c r="N4860" s="14">
        <f>IF(A4860="","",YEAR(A4860))</f>
        <v/>
      </c>
    </row>
    <row r="4861">
      <c r="A4861" s="15" t="n"/>
      <c r="B4861" s="10" t="n"/>
      <c r="C4861" s="10" t="n"/>
      <c r="D4861" s="10" t="n"/>
      <c r="E4861" s="14">
        <f>IF(D4861="","",IFERROR(INDEX('Sản phẩm'!$B$5:$B$304,MATCH(D4861,'Sản phẩm'!$A$5:$A$304,0)),""))</f>
        <v/>
      </c>
      <c r="F4861" s="12" t="n"/>
      <c r="G4861" s="11" t="n"/>
      <c r="H4861" s="11" t="n"/>
      <c r="I4861" s="16">
        <f>IF(D4861="","",IF(G4861&lt;&gt;"",G4861,IFERROR(INDEX('Sản phẩm'!$E$5:$E$304,MATCH(D4861,'Sản phẩm'!$A$5:$A$304,0)),"")))</f>
        <v/>
      </c>
      <c r="J4861" s="16">
        <f>IF(OR(D4861="",F4861=""),"",F4861*I4861-N(H4861))</f>
        <v/>
      </c>
      <c r="K4861" s="16">
        <f>IF(OR(D4861="",F4861=""),"",F4861*IFERROR(INDEX('Sản phẩm'!$D$5:$D$304,MATCH(D4861,'Sản phẩm'!$A$5:$A$304,0)),""))</f>
        <v/>
      </c>
      <c r="L4861" s="16">
        <f>IF(J4861="","",J4861-K4861)</f>
        <v/>
      </c>
      <c r="M4861" s="14">
        <f>IF(A4861="","",MONTH(A4861))</f>
        <v/>
      </c>
      <c r="N4861" s="14">
        <f>IF(A4861="","",YEAR(A4861))</f>
        <v/>
      </c>
    </row>
    <row r="4862">
      <c r="A4862" s="15" t="n"/>
      <c r="B4862" s="10" t="n"/>
      <c r="C4862" s="10" t="n"/>
      <c r="D4862" s="10" t="n"/>
      <c r="E4862" s="14">
        <f>IF(D4862="","",IFERROR(INDEX('Sản phẩm'!$B$5:$B$304,MATCH(D4862,'Sản phẩm'!$A$5:$A$304,0)),""))</f>
        <v/>
      </c>
      <c r="F4862" s="12" t="n"/>
      <c r="G4862" s="11" t="n"/>
      <c r="H4862" s="11" t="n"/>
      <c r="I4862" s="16">
        <f>IF(D4862="","",IF(G4862&lt;&gt;"",G4862,IFERROR(INDEX('Sản phẩm'!$E$5:$E$304,MATCH(D4862,'Sản phẩm'!$A$5:$A$304,0)),"")))</f>
        <v/>
      </c>
      <c r="J4862" s="16">
        <f>IF(OR(D4862="",F4862=""),"",F4862*I4862-N(H4862))</f>
        <v/>
      </c>
      <c r="K4862" s="16">
        <f>IF(OR(D4862="",F4862=""),"",F4862*IFERROR(INDEX('Sản phẩm'!$D$5:$D$304,MATCH(D4862,'Sản phẩm'!$A$5:$A$304,0)),""))</f>
        <v/>
      </c>
      <c r="L4862" s="16">
        <f>IF(J4862="","",J4862-K4862)</f>
        <v/>
      </c>
      <c r="M4862" s="14">
        <f>IF(A4862="","",MONTH(A4862))</f>
        <v/>
      </c>
      <c r="N4862" s="14">
        <f>IF(A4862="","",YEAR(A4862))</f>
        <v/>
      </c>
    </row>
    <row r="4863">
      <c r="A4863" s="15" t="n"/>
      <c r="B4863" s="10" t="n"/>
      <c r="C4863" s="10" t="n"/>
      <c r="D4863" s="10" t="n"/>
      <c r="E4863" s="14">
        <f>IF(D4863="","",IFERROR(INDEX('Sản phẩm'!$B$5:$B$304,MATCH(D4863,'Sản phẩm'!$A$5:$A$304,0)),""))</f>
        <v/>
      </c>
      <c r="F4863" s="12" t="n"/>
      <c r="G4863" s="11" t="n"/>
      <c r="H4863" s="11" t="n"/>
      <c r="I4863" s="16">
        <f>IF(D4863="","",IF(G4863&lt;&gt;"",G4863,IFERROR(INDEX('Sản phẩm'!$E$5:$E$304,MATCH(D4863,'Sản phẩm'!$A$5:$A$304,0)),"")))</f>
        <v/>
      </c>
      <c r="J4863" s="16">
        <f>IF(OR(D4863="",F4863=""),"",F4863*I4863-N(H4863))</f>
        <v/>
      </c>
      <c r="K4863" s="16">
        <f>IF(OR(D4863="",F4863=""),"",F4863*IFERROR(INDEX('Sản phẩm'!$D$5:$D$304,MATCH(D4863,'Sản phẩm'!$A$5:$A$304,0)),""))</f>
        <v/>
      </c>
      <c r="L4863" s="16">
        <f>IF(J4863="","",J4863-K4863)</f>
        <v/>
      </c>
      <c r="M4863" s="14">
        <f>IF(A4863="","",MONTH(A4863))</f>
        <v/>
      </c>
      <c r="N4863" s="14">
        <f>IF(A4863="","",YEAR(A4863))</f>
        <v/>
      </c>
    </row>
    <row r="4864">
      <c r="A4864" s="15" t="n"/>
      <c r="B4864" s="10" t="n"/>
      <c r="C4864" s="10" t="n"/>
      <c r="D4864" s="10" t="n"/>
      <c r="E4864" s="14">
        <f>IF(D4864="","",IFERROR(INDEX('Sản phẩm'!$B$5:$B$304,MATCH(D4864,'Sản phẩm'!$A$5:$A$304,0)),""))</f>
        <v/>
      </c>
      <c r="F4864" s="12" t="n"/>
      <c r="G4864" s="11" t="n"/>
      <c r="H4864" s="11" t="n"/>
      <c r="I4864" s="16">
        <f>IF(D4864="","",IF(G4864&lt;&gt;"",G4864,IFERROR(INDEX('Sản phẩm'!$E$5:$E$304,MATCH(D4864,'Sản phẩm'!$A$5:$A$304,0)),"")))</f>
        <v/>
      </c>
      <c r="J4864" s="16">
        <f>IF(OR(D4864="",F4864=""),"",F4864*I4864-N(H4864))</f>
        <v/>
      </c>
      <c r="K4864" s="16">
        <f>IF(OR(D4864="",F4864=""),"",F4864*IFERROR(INDEX('Sản phẩm'!$D$5:$D$304,MATCH(D4864,'Sản phẩm'!$A$5:$A$304,0)),""))</f>
        <v/>
      </c>
      <c r="L4864" s="16">
        <f>IF(J4864="","",J4864-K4864)</f>
        <v/>
      </c>
      <c r="M4864" s="14">
        <f>IF(A4864="","",MONTH(A4864))</f>
        <v/>
      </c>
      <c r="N4864" s="14">
        <f>IF(A4864="","",YEAR(A4864))</f>
        <v/>
      </c>
    </row>
    <row r="4865">
      <c r="A4865" s="15" t="n"/>
      <c r="B4865" s="10" t="n"/>
      <c r="C4865" s="10" t="n"/>
      <c r="D4865" s="10" t="n"/>
      <c r="E4865" s="14">
        <f>IF(D4865="","",IFERROR(INDEX('Sản phẩm'!$B$5:$B$304,MATCH(D4865,'Sản phẩm'!$A$5:$A$304,0)),""))</f>
        <v/>
      </c>
      <c r="F4865" s="12" t="n"/>
      <c r="G4865" s="11" t="n"/>
      <c r="H4865" s="11" t="n"/>
      <c r="I4865" s="16">
        <f>IF(D4865="","",IF(G4865&lt;&gt;"",G4865,IFERROR(INDEX('Sản phẩm'!$E$5:$E$304,MATCH(D4865,'Sản phẩm'!$A$5:$A$304,0)),"")))</f>
        <v/>
      </c>
      <c r="J4865" s="16">
        <f>IF(OR(D4865="",F4865=""),"",F4865*I4865-N(H4865))</f>
        <v/>
      </c>
      <c r="K4865" s="16">
        <f>IF(OR(D4865="",F4865=""),"",F4865*IFERROR(INDEX('Sản phẩm'!$D$5:$D$304,MATCH(D4865,'Sản phẩm'!$A$5:$A$304,0)),""))</f>
        <v/>
      </c>
      <c r="L4865" s="16">
        <f>IF(J4865="","",J4865-K4865)</f>
        <v/>
      </c>
      <c r="M4865" s="14">
        <f>IF(A4865="","",MONTH(A4865))</f>
        <v/>
      </c>
      <c r="N4865" s="14">
        <f>IF(A4865="","",YEAR(A4865))</f>
        <v/>
      </c>
    </row>
    <row r="4866">
      <c r="A4866" s="15" t="n"/>
      <c r="B4866" s="10" t="n"/>
      <c r="C4866" s="10" t="n"/>
      <c r="D4866" s="10" t="n"/>
      <c r="E4866" s="14">
        <f>IF(D4866="","",IFERROR(INDEX('Sản phẩm'!$B$5:$B$304,MATCH(D4866,'Sản phẩm'!$A$5:$A$304,0)),""))</f>
        <v/>
      </c>
      <c r="F4866" s="12" t="n"/>
      <c r="G4866" s="11" t="n"/>
      <c r="H4866" s="11" t="n"/>
      <c r="I4866" s="16">
        <f>IF(D4866="","",IF(G4866&lt;&gt;"",G4866,IFERROR(INDEX('Sản phẩm'!$E$5:$E$304,MATCH(D4866,'Sản phẩm'!$A$5:$A$304,0)),"")))</f>
        <v/>
      </c>
      <c r="J4866" s="16">
        <f>IF(OR(D4866="",F4866=""),"",F4866*I4866-N(H4866))</f>
        <v/>
      </c>
      <c r="K4866" s="16">
        <f>IF(OR(D4866="",F4866=""),"",F4866*IFERROR(INDEX('Sản phẩm'!$D$5:$D$304,MATCH(D4866,'Sản phẩm'!$A$5:$A$304,0)),""))</f>
        <v/>
      </c>
      <c r="L4866" s="16">
        <f>IF(J4866="","",J4866-K4866)</f>
        <v/>
      </c>
      <c r="M4866" s="14">
        <f>IF(A4866="","",MONTH(A4866))</f>
        <v/>
      </c>
      <c r="N4866" s="14">
        <f>IF(A4866="","",YEAR(A4866))</f>
        <v/>
      </c>
    </row>
    <row r="4867">
      <c r="A4867" s="15" t="n"/>
      <c r="B4867" s="10" t="n"/>
      <c r="C4867" s="10" t="n"/>
      <c r="D4867" s="10" t="n"/>
      <c r="E4867" s="14">
        <f>IF(D4867="","",IFERROR(INDEX('Sản phẩm'!$B$5:$B$304,MATCH(D4867,'Sản phẩm'!$A$5:$A$304,0)),""))</f>
        <v/>
      </c>
      <c r="F4867" s="12" t="n"/>
      <c r="G4867" s="11" t="n"/>
      <c r="H4867" s="11" t="n"/>
      <c r="I4867" s="16">
        <f>IF(D4867="","",IF(G4867&lt;&gt;"",G4867,IFERROR(INDEX('Sản phẩm'!$E$5:$E$304,MATCH(D4867,'Sản phẩm'!$A$5:$A$304,0)),"")))</f>
        <v/>
      </c>
      <c r="J4867" s="16">
        <f>IF(OR(D4867="",F4867=""),"",F4867*I4867-N(H4867))</f>
        <v/>
      </c>
      <c r="K4867" s="16">
        <f>IF(OR(D4867="",F4867=""),"",F4867*IFERROR(INDEX('Sản phẩm'!$D$5:$D$304,MATCH(D4867,'Sản phẩm'!$A$5:$A$304,0)),""))</f>
        <v/>
      </c>
      <c r="L4867" s="16">
        <f>IF(J4867="","",J4867-K4867)</f>
        <v/>
      </c>
      <c r="M4867" s="14">
        <f>IF(A4867="","",MONTH(A4867))</f>
        <v/>
      </c>
      <c r="N4867" s="14">
        <f>IF(A4867="","",YEAR(A4867))</f>
        <v/>
      </c>
    </row>
    <row r="4868">
      <c r="A4868" s="15" t="n"/>
      <c r="B4868" s="10" t="n"/>
      <c r="C4868" s="10" t="n"/>
      <c r="D4868" s="10" t="n"/>
      <c r="E4868" s="14">
        <f>IF(D4868="","",IFERROR(INDEX('Sản phẩm'!$B$5:$B$304,MATCH(D4868,'Sản phẩm'!$A$5:$A$304,0)),""))</f>
        <v/>
      </c>
      <c r="F4868" s="12" t="n"/>
      <c r="G4868" s="11" t="n"/>
      <c r="H4868" s="11" t="n"/>
      <c r="I4868" s="16">
        <f>IF(D4868="","",IF(G4868&lt;&gt;"",G4868,IFERROR(INDEX('Sản phẩm'!$E$5:$E$304,MATCH(D4868,'Sản phẩm'!$A$5:$A$304,0)),"")))</f>
        <v/>
      </c>
      <c r="J4868" s="16">
        <f>IF(OR(D4868="",F4868=""),"",F4868*I4868-N(H4868))</f>
        <v/>
      </c>
      <c r="K4868" s="16">
        <f>IF(OR(D4868="",F4868=""),"",F4868*IFERROR(INDEX('Sản phẩm'!$D$5:$D$304,MATCH(D4868,'Sản phẩm'!$A$5:$A$304,0)),""))</f>
        <v/>
      </c>
      <c r="L4868" s="16">
        <f>IF(J4868="","",J4868-K4868)</f>
        <v/>
      </c>
      <c r="M4868" s="14">
        <f>IF(A4868="","",MONTH(A4868))</f>
        <v/>
      </c>
      <c r="N4868" s="14">
        <f>IF(A4868="","",YEAR(A4868))</f>
        <v/>
      </c>
    </row>
    <row r="4869">
      <c r="A4869" s="15" t="n"/>
      <c r="B4869" s="10" t="n"/>
      <c r="C4869" s="10" t="n"/>
      <c r="D4869" s="10" t="n"/>
      <c r="E4869" s="14">
        <f>IF(D4869="","",IFERROR(INDEX('Sản phẩm'!$B$5:$B$304,MATCH(D4869,'Sản phẩm'!$A$5:$A$304,0)),""))</f>
        <v/>
      </c>
      <c r="F4869" s="12" t="n"/>
      <c r="G4869" s="11" t="n"/>
      <c r="H4869" s="11" t="n"/>
      <c r="I4869" s="16">
        <f>IF(D4869="","",IF(G4869&lt;&gt;"",G4869,IFERROR(INDEX('Sản phẩm'!$E$5:$E$304,MATCH(D4869,'Sản phẩm'!$A$5:$A$304,0)),"")))</f>
        <v/>
      </c>
      <c r="J4869" s="16">
        <f>IF(OR(D4869="",F4869=""),"",F4869*I4869-N(H4869))</f>
        <v/>
      </c>
      <c r="K4869" s="16">
        <f>IF(OR(D4869="",F4869=""),"",F4869*IFERROR(INDEX('Sản phẩm'!$D$5:$D$304,MATCH(D4869,'Sản phẩm'!$A$5:$A$304,0)),""))</f>
        <v/>
      </c>
      <c r="L4869" s="16">
        <f>IF(J4869="","",J4869-K4869)</f>
        <v/>
      </c>
      <c r="M4869" s="14">
        <f>IF(A4869="","",MONTH(A4869))</f>
        <v/>
      </c>
      <c r="N4869" s="14">
        <f>IF(A4869="","",YEAR(A4869))</f>
        <v/>
      </c>
    </row>
    <row r="4870">
      <c r="A4870" s="15" t="n"/>
      <c r="B4870" s="10" t="n"/>
      <c r="C4870" s="10" t="n"/>
      <c r="D4870" s="10" t="n"/>
      <c r="E4870" s="14">
        <f>IF(D4870="","",IFERROR(INDEX('Sản phẩm'!$B$5:$B$304,MATCH(D4870,'Sản phẩm'!$A$5:$A$304,0)),""))</f>
        <v/>
      </c>
      <c r="F4870" s="12" t="n"/>
      <c r="G4870" s="11" t="n"/>
      <c r="H4870" s="11" t="n"/>
      <c r="I4870" s="16">
        <f>IF(D4870="","",IF(G4870&lt;&gt;"",G4870,IFERROR(INDEX('Sản phẩm'!$E$5:$E$304,MATCH(D4870,'Sản phẩm'!$A$5:$A$304,0)),"")))</f>
        <v/>
      </c>
      <c r="J4870" s="16">
        <f>IF(OR(D4870="",F4870=""),"",F4870*I4870-N(H4870))</f>
        <v/>
      </c>
      <c r="K4870" s="16">
        <f>IF(OR(D4870="",F4870=""),"",F4870*IFERROR(INDEX('Sản phẩm'!$D$5:$D$304,MATCH(D4870,'Sản phẩm'!$A$5:$A$304,0)),""))</f>
        <v/>
      </c>
      <c r="L4870" s="16">
        <f>IF(J4870="","",J4870-K4870)</f>
        <v/>
      </c>
      <c r="M4870" s="14">
        <f>IF(A4870="","",MONTH(A4870))</f>
        <v/>
      </c>
      <c r="N4870" s="14">
        <f>IF(A4870="","",YEAR(A4870))</f>
        <v/>
      </c>
    </row>
    <row r="4871">
      <c r="A4871" s="15" t="n"/>
      <c r="B4871" s="10" t="n"/>
      <c r="C4871" s="10" t="n"/>
      <c r="D4871" s="10" t="n"/>
      <c r="E4871" s="14">
        <f>IF(D4871="","",IFERROR(INDEX('Sản phẩm'!$B$5:$B$304,MATCH(D4871,'Sản phẩm'!$A$5:$A$304,0)),""))</f>
        <v/>
      </c>
      <c r="F4871" s="12" t="n"/>
      <c r="G4871" s="11" t="n"/>
      <c r="H4871" s="11" t="n"/>
      <c r="I4871" s="16">
        <f>IF(D4871="","",IF(G4871&lt;&gt;"",G4871,IFERROR(INDEX('Sản phẩm'!$E$5:$E$304,MATCH(D4871,'Sản phẩm'!$A$5:$A$304,0)),"")))</f>
        <v/>
      </c>
      <c r="J4871" s="16">
        <f>IF(OR(D4871="",F4871=""),"",F4871*I4871-N(H4871))</f>
        <v/>
      </c>
      <c r="K4871" s="16">
        <f>IF(OR(D4871="",F4871=""),"",F4871*IFERROR(INDEX('Sản phẩm'!$D$5:$D$304,MATCH(D4871,'Sản phẩm'!$A$5:$A$304,0)),""))</f>
        <v/>
      </c>
      <c r="L4871" s="16">
        <f>IF(J4871="","",J4871-K4871)</f>
        <v/>
      </c>
      <c r="M4871" s="14">
        <f>IF(A4871="","",MONTH(A4871))</f>
        <v/>
      </c>
      <c r="N4871" s="14">
        <f>IF(A4871="","",YEAR(A4871))</f>
        <v/>
      </c>
    </row>
    <row r="4872">
      <c r="A4872" s="15" t="n"/>
      <c r="B4872" s="10" t="n"/>
      <c r="C4872" s="10" t="n"/>
      <c r="D4872" s="10" t="n"/>
      <c r="E4872" s="14">
        <f>IF(D4872="","",IFERROR(INDEX('Sản phẩm'!$B$5:$B$304,MATCH(D4872,'Sản phẩm'!$A$5:$A$304,0)),""))</f>
        <v/>
      </c>
      <c r="F4872" s="12" t="n"/>
      <c r="G4872" s="11" t="n"/>
      <c r="H4872" s="11" t="n"/>
      <c r="I4872" s="16">
        <f>IF(D4872="","",IF(G4872&lt;&gt;"",G4872,IFERROR(INDEX('Sản phẩm'!$E$5:$E$304,MATCH(D4872,'Sản phẩm'!$A$5:$A$304,0)),"")))</f>
        <v/>
      </c>
      <c r="J4872" s="16">
        <f>IF(OR(D4872="",F4872=""),"",F4872*I4872-N(H4872))</f>
        <v/>
      </c>
      <c r="K4872" s="16">
        <f>IF(OR(D4872="",F4872=""),"",F4872*IFERROR(INDEX('Sản phẩm'!$D$5:$D$304,MATCH(D4872,'Sản phẩm'!$A$5:$A$304,0)),""))</f>
        <v/>
      </c>
      <c r="L4872" s="16">
        <f>IF(J4872="","",J4872-K4872)</f>
        <v/>
      </c>
      <c r="M4872" s="14">
        <f>IF(A4872="","",MONTH(A4872))</f>
        <v/>
      </c>
      <c r="N4872" s="14">
        <f>IF(A4872="","",YEAR(A4872))</f>
        <v/>
      </c>
    </row>
    <row r="4873">
      <c r="A4873" s="15" t="n"/>
      <c r="B4873" s="10" t="n"/>
      <c r="C4873" s="10" t="n"/>
      <c r="D4873" s="10" t="n"/>
      <c r="E4873" s="14">
        <f>IF(D4873="","",IFERROR(INDEX('Sản phẩm'!$B$5:$B$304,MATCH(D4873,'Sản phẩm'!$A$5:$A$304,0)),""))</f>
        <v/>
      </c>
      <c r="F4873" s="12" t="n"/>
      <c r="G4873" s="11" t="n"/>
      <c r="H4873" s="11" t="n"/>
      <c r="I4873" s="16">
        <f>IF(D4873="","",IF(G4873&lt;&gt;"",G4873,IFERROR(INDEX('Sản phẩm'!$E$5:$E$304,MATCH(D4873,'Sản phẩm'!$A$5:$A$304,0)),"")))</f>
        <v/>
      </c>
      <c r="J4873" s="16">
        <f>IF(OR(D4873="",F4873=""),"",F4873*I4873-N(H4873))</f>
        <v/>
      </c>
      <c r="K4873" s="16">
        <f>IF(OR(D4873="",F4873=""),"",F4873*IFERROR(INDEX('Sản phẩm'!$D$5:$D$304,MATCH(D4873,'Sản phẩm'!$A$5:$A$304,0)),""))</f>
        <v/>
      </c>
      <c r="L4873" s="16">
        <f>IF(J4873="","",J4873-K4873)</f>
        <v/>
      </c>
      <c r="M4873" s="14">
        <f>IF(A4873="","",MONTH(A4873))</f>
        <v/>
      </c>
      <c r="N4873" s="14">
        <f>IF(A4873="","",YEAR(A4873))</f>
        <v/>
      </c>
    </row>
    <row r="4874">
      <c r="A4874" s="15" t="n"/>
      <c r="B4874" s="10" t="n"/>
      <c r="C4874" s="10" t="n"/>
      <c r="D4874" s="10" t="n"/>
      <c r="E4874" s="14">
        <f>IF(D4874="","",IFERROR(INDEX('Sản phẩm'!$B$5:$B$304,MATCH(D4874,'Sản phẩm'!$A$5:$A$304,0)),""))</f>
        <v/>
      </c>
      <c r="F4874" s="12" t="n"/>
      <c r="G4874" s="11" t="n"/>
      <c r="H4874" s="11" t="n"/>
      <c r="I4874" s="16">
        <f>IF(D4874="","",IF(G4874&lt;&gt;"",G4874,IFERROR(INDEX('Sản phẩm'!$E$5:$E$304,MATCH(D4874,'Sản phẩm'!$A$5:$A$304,0)),"")))</f>
        <v/>
      </c>
      <c r="J4874" s="16">
        <f>IF(OR(D4874="",F4874=""),"",F4874*I4874-N(H4874))</f>
        <v/>
      </c>
      <c r="K4874" s="16">
        <f>IF(OR(D4874="",F4874=""),"",F4874*IFERROR(INDEX('Sản phẩm'!$D$5:$D$304,MATCH(D4874,'Sản phẩm'!$A$5:$A$304,0)),""))</f>
        <v/>
      </c>
      <c r="L4874" s="16">
        <f>IF(J4874="","",J4874-K4874)</f>
        <v/>
      </c>
      <c r="M4874" s="14">
        <f>IF(A4874="","",MONTH(A4874))</f>
        <v/>
      </c>
      <c r="N4874" s="14">
        <f>IF(A4874="","",YEAR(A4874))</f>
        <v/>
      </c>
    </row>
    <row r="4875">
      <c r="A4875" s="15" t="n"/>
      <c r="B4875" s="10" t="n"/>
      <c r="C4875" s="10" t="n"/>
      <c r="D4875" s="10" t="n"/>
      <c r="E4875" s="14">
        <f>IF(D4875="","",IFERROR(INDEX('Sản phẩm'!$B$5:$B$304,MATCH(D4875,'Sản phẩm'!$A$5:$A$304,0)),""))</f>
        <v/>
      </c>
      <c r="F4875" s="12" t="n"/>
      <c r="G4875" s="11" t="n"/>
      <c r="H4875" s="11" t="n"/>
      <c r="I4875" s="16">
        <f>IF(D4875="","",IF(G4875&lt;&gt;"",G4875,IFERROR(INDEX('Sản phẩm'!$E$5:$E$304,MATCH(D4875,'Sản phẩm'!$A$5:$A$304,0)),"")))</f>
        <v/>
      </c>
      <c r="J4875" s="16">
        <f>IF(OR(D4875="",F4875=""),"",F4875*I4875-N(H4875))</f>
        <v/>
      </c>
      <c r="K4875" s="16">
        <f>IF(OR(D4875="",F4875=""),"",F4875*IFERROR(INDEX('Sản phẩm'!$D$5:$D$304,MATCH(D4875,'Sản phẩm'!$A$5:$A$304,0)),""))</f>
        <v/>
      </c>
      <c r="L4875" s="16">
        <f>IF(J4875="","",J4875-K4875)</f>
        <v/>
      </c>
      <c r="M4875" s="14">
        <f>IF(A4875="","",MONTH(A4875))</f>
        <v/>
      </c>
      <c r="N4875" s="14">
        <f>IF(A4875="","",YEAR(A4875))</f>
        <v/>
      </c>
    </row>
    <row r="4876">
      <c r="A4876" s="15" t="n"/>
      <c r="B4876" s="10" t="n"/>
      <c r="C4876" s="10" t="n"/>
      <c r="D4876" s="10" t="n"/>
      <c r="E4876" s="14">
        <f>IF(D4876="","",IFERROR(INDEX('Sản phẩm'!$B$5:$B$304,MATCH(D4876,'Sản phẩm'!$A$5:$A$304,0)),""))</f>
        <v/>
      </c>
      <c r="F4876" s="12" t="n"/>
      <c r="G4876" s="11" t="n"/>
      <c r="H4876" s="11" t="n"/>
      <c r="I4876" s="16">
        <f>IF(D4876="","",IF(G4876&lt;&gt;"",G4876,IFERROR(INDEX('Sản phẩm'!$E$5:$E$304,MATCH(D4876,'Sản phẩm'!$A$5:$A$304,0)),"")))</f>
        <v/>
      </c>
      <c r="J4876" s="16">
        <f>IF(OR(D4876="",F4876=""),"",F4876*I4876-N(H4876))</f>
        <v/>
      </c>
      <c r="K4876" s="16">
        <f>IF(OR(D4876="",F4876=""),"",F4876*IFERROR(INDEX('Sản phẩm'!$D$5:$D$304,MATCH(D4876,'Sản phẩm'!$A$5:$A$304,0)),""))</f>
        <v/>
      </c>
      <c r="L4876" s="16">
        <f>IF(J4876="","",J4876-K4876)</f>
        <v/>
      </c>
      <c r="M4876" s="14">
        <f>IF(A4876="","",MONTH(A4876))</f>
        <v/>
      </c>
      <c r="N4876" s="14">
        <f>IF(A4876="","",YEAR(A4876))</f>
        <v/>
      </c>
    </row>
    <row r="4877">
      <c r="A4877" s="15" t="n"/>
      <c r="B4877" s="10" t="n"/>
      <c r="C4877" s="10" t="n"/>
      <c r="D4877" s="10" t="n"/>
      <c r="E4877" s="14">
        <f>IF(D4877="","",IFERROR(INDEX('Sản phẩm'!$B$5:$B$304,MATCH(D4877,'Sản phẩm'!$A$5:$A$304,0)),""))</f>
        <v/>
      </c>
      <c r="F4877" s="12" t="n"/>
      <c r="G4877" s="11" t="n"/>
      <c r="H4877" s="11" t="n"/>
      <c r="I4877" s="16">
        <f>IF(D4877="","",IF(G4877&lt;&gt;"",G4877,IFERROR(INDEX('Sản phẩm'!$E$5:$E$304,MATCH(D4877,'Sản phẩm'!$A$5:$A$304,0)),"")))</f>
        <v/>
      </c>
      <c r="J4877" s="16">
        <f>IF(OR(D4877="",F4877=""),"",F4877*I4877-N(H4877))</f>
        <v/>
      </c>
      <c r="K4877" s="16">
        <f>IF(OR(D4877="",F4877=""),"",F4877*IFERROR(INDEX('Sản phẩm'!$D$5:$D$304,MATCH(D4877,'Sản phẩm'!$A$5:$A$304,0)),""))</f>
        <v/>
      </c>
      <c r="L4877" s="16">
        <f>IF(J4877="","",J4877-K4877)</f>
        <v/>
      </c>
      <c r="M4877" s="14">
        <f>IF(A4877="","",MONTH(A4877))</f>
        <v/>
      </c>
      <c r="N4877" s="14">
        <f>IF(A4877="","",YEAR(A4877))</f>
        <v/>
      </c>
    </row>
    <row r="4878">
      <c r="A4878" s="15" t="n"/>
      <c r="B4878" s="10" t="n"/>
      <c r="C4878" s="10" t="n"/>
      <c r="D4878" s="10" t="n"/>
      <c r="E4878" s="14">
        <f>IF(D4878="","",IFERROR(INDEX('Sản phẩm'!$B$5:$B$304,MATCH(D4878,'Sản phẩm'!$A$5:$A$304,0)),""))</f>
        <v/>
      </c>
      <c r="F4878" s="12" t="n"/>
      <c r="G4878" s="11" t="n"/>
      <c r="H4878" s="11" t="n"/>
      <c r="I4878" s="16">
        <f>IF(D4878="","",IF(G4878&lt;&gt;"",G4878,IFERROR(INDEX('Sản phẩm'!$E$5:$E$304,MATCH(D4878,'Sản phẩm'!$A$5:$A$304,0)),"")))</f>
        <v/>
      </c>
      <c r="J4878" s="16">
        <f>IF(OR(D4878="",F4878=""),"",F4878*I4878-N(H4878))</f>
        <v/>
      </c>
      <c r="K4878" s="16">
        <f>IF(OR(D4878="",F4878=""),"",F4878*IFERROR(INDEX('Sản phẩm'!$D$5:$D$304,MATCH(D4878,'Sản phẩm'!$A$5:$A$304,0)),""))</f>
        <v/>
      </c>
      <c r="L4878" s="16">
        <f>IF(J4878="","",J4878-K4878)</f>
        <v/>
      </c>
      <c r="M4878" s="14">
        <f>IF(A4878="","",MONTH(A4878))</f>
        <v/>
      </c>
      <c r="N4878" s="14">
        <f>IF(A4878="","",YEAR(A4878))</f>
        <v/>
      </c>
    </row>
    <row r="4879">
      <c r="A4879" s="15" t="n"/>
      <c r="B4879" s="10" t="n"/>
      <c r="C4879" s="10" t="n"/>
      <c r="D4879" s="10" t="n"/>
      <c r="E4879" s="14">
        <f>IF(D4879="","",IFERROR(INDEX('Sản phẩm'!$B$5:$B$304,MATCH(D4879,'Sản phẩm'!$A$5:$A$304,0)),""))</f>
        <v/>
      </c>
      <c r="F4879" s="12" t="n"/>
      <c r="G4879" s="11" t="n"/>
      <c r="H4879" s="11" t="n"/>
      <c r="I4879" s="16">
        <f>IF(D4879="","",IF(G4879&lt;&gt;"",G4879,IFERROR(INDEX('Sản phẩm'!$E$5:$E$304,MATCH(D4879,'Sản phẩm'!$A$5:$A$304,0)),"")))</f>
        <v/>
      </c>
      <c r="J4879" s="16">
        <f>IF(OR(D4879="",F4879=""),"",F4879*I4879-N(H4879))</f>
        <v/>
      </c>
      <c r="K4879" s="16">
        <f>IF(OR(D4879="",F4879=""),"",F4879*IFERROR(INDEX('Sản phẩm'!$D$5:$D$304,MATCH(D4879,'Sản phẩm'!$A$5:$A$304,0)),""))</f>
        <v/>
      </c>
      <c r="L4879" s="16">
        <f>IF(J4879="","",J4879-K4879)</f>
        <v/>
      </c>
      <c r="M4879" s="14">
        <f>IF(A4879="","",MONTH(A4879))</f>
        <v/>
      </c>
      <c r="N4879" s="14">
        <f>IF(A4879="","",YEAR(A4879))</f>
        <v/>
      </c>
    </row>
    <row r="4880">
      <c r="A4880" s="15" t="n"/>
      <c r="B4880" s="10" t="n"/>
      <c r="C4880" s="10" t="n"/>
      <c r="D4880" s="10" t="n"/>
      <c r="E4880" s="14">
        <f>IF(D4880="","",IFERROR(INDEX('Sản phẩm'!$B$5:$B$304,MATCH(D4880,'Sản phẩm'!$A$5:$A$304,0)),""))</f>
        <v/>
      </c>
      <c r="F4880" s="12" t="n"/>
      <c r="G4880" s="11" t="n"/>
      <c r="H4880" s="11" t="n"/>
      <c r="I4880" s="16">
        <f>IF(D4880="","",IF(G4880&lt;&gt;"",G4880,IFERROR(INDEX('Sản phẩm'!$E$5:$E$304,MATCH(D4880,'Sản phẩm'!$A$5:$A$304,0)),"")))</f>
        <v/>
      </c>
      <c r="J4880" s="16">
        <f>IF(OR(D4880="",F4880=""),"",F4880*I4880-N(H4880))</f>
        <v/>
      </c>
      <c r="K4880" s="16">
        <f>IF(OR(D4880="",F4880=""),"",F4880*IFERROR(INDEX('Sản phẩm'!$D$5:$D$304,MATCH(D4880,'Sản phẩm'!$A$5:$A$304,0)),""))</f>
        <v/>
      </c>
      <c r="L4880" s="16">
        <f>IF(J4880="","",J4880-K4880)</f>
        <v/>
      </c>
      <c r="M4880" s="14">
        <f>IF(A4880="","",MONTH(A4880))</f>
        <v/>
      </c>
      <c r="N4880" s="14">
        <f>IF(A4880="","",YEAR(A4880))</f>
        <v/>
      </c>
    </row>
    <row r="4881">
      <c r="A4881" s="15" t="n"/>
      <c r="B4881" s="10" t="n"/>
      <c r="C4881" s="10" t="n"/>
      <c r="D4881" s="10" t="n"/>
      <c r="E4881" s="14">
        <f>IF(D4881="","",IFERROR(INDEX('Sản phẩm'!$B$5:$B$304,MATCH(D4881,'Sản phẩm'!$A$5:$A$304,0)),""))</f>
        <v/>
      </c>
      <c r="F4881" s="12" t="n"/>
      <c r="G4881" s="11" t="n"/>
      <c r="H4881" s="11" t="n"/>
      <c r="I4881" s="16">
        <f>IF(D4881="","",IF(G4881&lt;&gt;"",G4881,IFERROR(INDEX('Sản phẩm'!$E$5:$E$304,MATCH(D4881,'Sản phẩm'!$A$5:$A$304,0)),"")))</f>
        <v/>
      </c>
      <c r="J4881" s="16">
        <f>IF(OR(D4881="",F4881=""),"",F4881*I4881-N(H4881))</f>
        <v/>
      </c>
      <c r="K4881" s="16">
        <f>IF(OR(D4881="",F4881=""),"",F4881*IFERROR(INDEX('Sản phẩm'!$D$5:$D$304,MATCH(D4881,'Sản phẩm'!$A$5:$A$304,0)),""))</f>
        <v/>
      </c>
      <c r="L4881" s="16">
        <f>IF(J4881="","",J4881-K4881)</f>
        <v/>
      </c>
      <c r="M4881" s="14">
        <f>IF(A4881="","",MONTH(A4881))</f>
        <v/>
      </c>
      <c r="N4881" s="14">
        <f>IF(A4881="","",YEAR(A4881))</f>
        <v/>
      </c>
    </row>
    <row r="4882">
      <c r="A4882" s="15" t="n"/>
      <c r="B4882" s="10" t="n"/>
      <c r="C4882" s="10" t="n"/>
      <c r="D4882" s="10" t="n"/>
      <c r="E4882" s="14">
        <f>IF(D4882="","",IFERROR(INDEX('Sản phẩm'!$B$5:$B$304,MATCH(D4882,'Sản phẩm'!$A$5:$A$304,0)),""))</f>
        <v/>
      </c>
      <c r="F4882" s="12" t="n"/>
      <c r="G4882" s="11" t="n"/>
      <c r="H4882" s="11" t="n"/>
      <c r="I4882" s="16">
        <f>IF(D4882="","",IF(G4882&lt;&gt;"",G4882,IFERROR(INDEX('Sản phẩm'!$E$5:$E$304,MATCH(D4882,'Sản phẩm'!$A$5:$A$304,0)),"")))</f>
        <v/>
      </c>
      <c r="J4882" s="16">
        <f>IF(OR(D4882="",F4882=""),"",F4882*I4882-N(H4882))</f>
        <v/>
      </c>
      <c r="K4882" s="16">
        <f>IF(OR(D4882="",F4882=""),"",F4882*IFERROR(INDEX('Sản phẩm'!$D$5:$D$304,MATCH(D4882,'Sản phẩm'!$A$5:$A$304,0)),""))</f>
        <v/>
      </c>
      <c r="L4882" s="16">
        <f>IF(J4882="","",J4882-K4882)</f>
        <v/>
      </c>
      <c r="M4882" s="14">
        <f>IF(A4882="","",MONTH(A4882))</f>
        <v/>
      </c>
      <c r="N4882" s="14">
        <f>IF(A4882="","",YEAR(A4882))</f>
        <v/>
      </c>
    </row>
    <row r="4883">
      <c r="A4883" s="15" t="n"/>
      <c r="B4883" s="10" t="n"/>
      <c r="C4883" s="10" t="n"/>
      <c r="D4883" s="10" t="n"/>
      <c r="E4883" s="14">
        <f>IF(D4883="","",IFERROR(INDEX('Sản phẩm'!$B$5:$B$304,MATCH(D4883,'Sản phẩm'!$A$5:$A$304,0)),""))</f>
        <v/>
      </c>
      <c r="F4883" s="12" t="n"/>
      <c r="G4883" s="11" t="n"/>
      <c r="H4883" s="11" t="n"/>
      <c r="I4883" s="16">
        <f>IF(D4883="","",IF(G4883&lt;&gt;"",G4883,IFERROR(INDEX('Sản phẩm'!$E$5:$E$304,MATCH(D4883,'Sản phẩm'!$A$5:$A$304,0)),"")))</f>
        <v/>
      </c>
      <c r="J4883" s="16">
        <f>IF(OR(D4883="",F4883=""),"",F4883*I4883-N(H4883))</f>
        <v/>
      </c>
      <c r="K4883" s="16">
        <f>IF(OR(D4883="",F4883=""),"",F4883*IFERROR(INDEX('Sản phẩm'!$D$5:$D$304,MATCH(D4883,'Sản phẩm'!$A$5:$A$304,0)),""))</f>
        <v/>
      </c>
      <c r="L4883" s="16">
        <f>IF(J4883="","",J4883-K4883)</f>
        <v/>
      </c>
      <c r="M4883" s="14">
        <f>IF(A4883="","",MONTH(A4883))</f>
        <v/>
      </c>
      <c r="N4883" s="14">
        <f>IF(A4883="","",YEAR(A4883))</f>
        <v/>
      </c>
    </row>
    <row r="4884">
      <c r="A4884" s="15" t="n"/>
      <c r="B4884" s="10" t="n"/>
      <c r="C4884" s="10" t="n"/>
      <c r="D4884" s="10" t="n"/>
      <c r="E4884" s="14">
        <f>IF(D4884="","",IFERROR(INDEX('Sản phẩm'!$B$5:$B$304,MATCH(D4884,'Sản phẩm'!$A$5:$A$304,0)),""))</f>
        <v/>
      </c>
      <c r="F4884" s="12" t="n"/>
      <c r="G4884" s="11" t="n"/>
      <c r="H4884" s="11" t="n"/>
      <c r="I4884" s="16">
        <f>IF(D4884="","",IF(G4884&lt;&gt;"",G4884,IFERROR(INDEX('Sản phẩm'!$E$5:$E$304,MATCH(D4884,'Sản phẩm'!$A$5:$A$304,0)),"")))</f>
        <v/>
      </c>
      <c r="J4884" s="16">
        <f>IF(OR(D4884="",F4884=""),"",F4884*I4884-N(H4884))</f>
        <v/>
      </c>
      <c r="K4884" s="16">
        <f>IF(OR(D4884="",F4884=""),"",F4884*IFERROR(INDEX('Sản phẩm'!$D$5:$D$304,MATCH(D4884,'Sản phẩm'!$A$5:$A$304,0)),""))</f>
        <v/>
      </c>
      <c r="L4884" s="16">
        <f>IF(J4884="","",J4884-K4884)</f>
        <v/>
      </c>
      <c r="M4884" s="14">
        <f>IF(A4884="","",MONTH(A4884))</f>
        <v/>
      </c>
      <c r="N4884" s="14">
        <f>IF(A4884="","",YEAR(A4884))</f>
        <v/>
      </c>
    </row>
    <row r="4885">
      <c r="A4885" s="15" t="n"/>
      <c r="B4885" s="10" t="n"/>
      <c r="C4885" s="10" t="n"/>
      <c r="D4885" s="10" t="n"/>
      <c r="E4885" s="14">
        <f>IF(D4885="","",IFERROR(INDEX('Sản phẩm'!$B$5:$B$304,MATCH(D4885,'Sản phẩm'!$A$5:$A$304,0)),""))</f>
        <v/>
      </c>
      <c r="F4885" s="12" t="n"/>
      <c r="G4885" s="11" t="n"/>
      <c r="H4885" s="11" t="n"/>
      <c r="I4885" s="16">
        <f>IF(D4885="","",IF(G4885&lt;&gt;"",G4885,IFERROR(INDEX('Sản phẩm'!$E$5:$E$304,MATCH(D4885,'Sản phẩm'!$A$5:$A$304,0)),"")))</f>
        <v/>
      </c>
      <c r="J4885" s="16">
        <f>IF(OR(D4885="",F4885=""),"",F4885*I4885-N(H4885))</f>
        <v/>
      </c>
      <c r="K4885" s="16">
        <f>IF(OR(D4885="",F4885=""),"",F4885*IFERROR(INDEX('Sản phẩm'!$D$5:$D$304,MATCH(D4885,'Sản phẩm'!$A$5:$A$304,0)),""))</f>
        <v/>
      </c>
      <c r="L4885" s="16">
        <f>IF(J4885="","",J4885-K4885)</f>
        <v/>
      </c>
      <c r="M4885" s="14">
        <f>IF(A4885="","",MONTH(A4885))</f>
        <v/>
      </c>
      <c r="N4885" s="14">
        <f>IF(A4885="","",YEAR(A4885))</f>
        <v/>
      </c>
    </row>
    <row r="4886">
      <c r="A4886" s="15" t="n"/>
      <c r="B4886" s="10" t="n"/>
      <c r="C4886" s="10" t="n"/>
      <c r="D4886" s="10" t="n"/>
      <c r="E4886" s="14">
        <f>IF(D4886="","",IFERROR(INDEX('Sản phẩm'!$B$5:$B$304,MATCH(D4886,'Sản phẩm'!$A$5:$A$304,0)),""))</f>
        <v/>
      </c>
      <c r="F4886" s="12" t="n"/>
      <c r="G4886" s="11" t="n"/>
      <c r="H4886" s="11" t="n"/>
      <c r="I4886" s="16">
        <f>IF(D4886="","",IF(G4886&lt;&gt;"",G4886,IFERROR(INDEX('Sản phẩm'!$E$5:$E$304,MATCH(D4886,'Sản phẩm'!$A$5:$A$304,0)),"")))</f>
        <v/>
      </c>
      <c r="J4886" s="16">
        <f>IF(OR(D4886="",F4886=""),"",F4886*I4886-N(H4886))</f>
        <v/>
      </c>
      <c r="K4886" s="16">
        <f>IF(OR(D4886="",F4886=""),"",F4886*IFERROR(INDEX('Sản phẩm'!$D$5:$D$304,MATCH(D4886,'Sản phẩm'!$A$5:$A$304,0)),""))</f>
        <v/>
      </c>
      <c r="L4886" s="16">
        <f>IF(J4886="","",J4886-K4886)</f>
        <v/>
      </c>
      <c r="M4886" s="14">
        <f>IF(A4886="","",MONTH(A4886))</f>
        <v/>
      </c>
      <c r="N4886" s="14">
        <f>IF(A4886="","",YEAR(A4886))</f>
        <v/>
      </c>
    </row>
    <row r="4887">
      <c r="A4887" s="15" t="n"/>
      <c r="B4887" s="10" t="n"/>
      <c r="C4887" s="10" t="n"/>
      <c r="D4887" s="10" t="n"/>
      <c r="E4887" s="14">
        <f>IF(D4887="","",IFERROR(INDEX('Sản phẩm'!$B$5:$B$304,MATCH(D4887,'Sản phẩm'!$A$5:$A$304,0)),""))</f>
        <v/>
      </c>
      <c r="F4887" s="12" t="n"/>
      <c r="G4887" s="11" t="n"/>
      <c r="H4887" s="11" t="n"/>
      <c r="I4887" s="16">
        <f>IF(D4887="","",IF(G4887&lt;&gt;"",G4887,IFERROR(INDEX('Sản phẩm'!$E$5:$E$304,MATCH(D4887,'Sản phẩm'!$A$5:$A$304,0)),"")))</f>
        <v/>
      </c>
      <c r="J4887" s="16">
        <f>IF(OR(D4887="",F4887=""),"",F4887*I4887-N(H4887))</f>
        <v/>
      </c>
      <c r="K4887" s="16">
        <f>IF(OR(D4887="",F4887=""),"",F4887*IFERROR(INDEX('Sản phẩm'!$D$5:$D$304,MATCH(D4887,'Sản phẩm'!$A$5:$A$304,0)),""))</f>
        <v/>
      </c>
      <c r="L4887" s="16">
        <f>IF(J4887="","",J4887-K4887)</f>
        <v/>
      </c>
      <c r="M4887" s="14">
        <f>IF(A4887="","",MONTH(A4887))</f>
        <v/>
      </c>
      <c r="N4887" s="14">
        <f>IF(A4887="","",YEAR(A4887))</f>
        <v/>
      </c>
    </row>
    <row r="4888">
      <c r="A4888" s="15" t="n"/>
      <c r="B4888" s="10" t="n"/>
      <c r="C4888" s="10" t="n"/>
      <c r="D4888" s="10" t="n"/>
      <c r="E4888" s="14">
        <f>IF(D4888="","",IFERROR(INDEX('Sản phẩm'!$B$5:$B$304,MATCH(D4888,'Sản phẩm'!$A$5:$A$304,0)),""))</f>
        <v/>
      </c>
      <c r="F4888" s="12" t="n"/>
      <c r="G4888" s="11" t="n"/>
      <c r="H4888" s="11" t="n"/>
      <c r="I4888" s="16">
        <f>IF(D4888="","",IF(G4888&lt;&gt;"",G4888,IFERROR(INDEX('Sản phẩm'!$E$5:$E$304,MATCH(D4888,'Sản phẩm'!$A$5:$A$304,0)),"")))</f>
        <v/>
      </c>
      <c r="J4888" s="16">
        <f>IF(OR(D4888="",F4888=""),"",F4888*I4888-N(H4888))</f>
        <v/>
      </c>
      <c r="K4888" s="16">
        <f>IF(OR(D4888="",F4888=""),"",F4888*IFERROR(INDEX('Sản phẩm'!$D$5:$D$304,MATCH(D4888,'Sản phẩm'!$A$5:$A$304,0)),""))</f>
        <v/>
      </c>
      <c r="L4888" s="16">
        <f>IF(J4888="","",J4888-K4888)</f>
        <v/>
      </c>
      <c r="M4888" s="14">
        <f>IF(A4888="","",MONTH(A4888))</f>
        <v/>
      </c>
      <c r="N4888" s="14">
        <f>IF(A4888="","",YEAR(A4888))</f>
        <v/>
      </c>
    </row>
    <row r="4889">
      <c r="A4889" s="15" t="n"/>
      <c r="B4889" s="10" t="n"/>
      <c r="C4889" s="10" t="n"/>
      <c r="D4889" s="10" t="n"/>
      <c r="E4889" s="14">
        <f>IF(D4889="","",IFERROR(INDEX('Sản phẩm'!$B$5:$B$304,MATCH(D4889,'Sản phẩm'!$A$5:$A$304,0)),""))</f>
        <v/>
      </c>
      <c r="F4889" s="12" t="n"/>
      <c r="G4889" s="11" t="n"/>
      <c r="H4889" s="11" t="n"/>
      <c r="I4889" s="16">
        <f>IF(D4889="","",IF(G4889&lt;&gt;"",G4889,IFERROR(INDEX('Sản phẩm'!$E$5:$E$304,MATCH(D4889,'Sản phẩm'!$A$5:$A$304,0)),"")))</f>
        <v/>
      </c>
      <c r="J4889" s="16">
        <f>IF(OR(D4889="",F4889=""),"",F4889*I4889-N(H4889))</f>
        <v/>
      </c>
      <c r="K4889" s="16">
        <f>IF(OR(D4889="",F4889=""),"",F4889*IFERROR(INDEX('Sản phẩm'!$D$5:$D$304,MATCH(D4889,'Sản phẩm'!$A$5:$A$304,0)),""))</f>
        <v/>
      </c>
      <c r="L4889" s="16">
        <f>IF(J4889="","",J4889-K4889)</f>
        <v/>
      </c>
      <c r="M4889" s="14">
        <f>IF(A4889="","",MONTH(A4889))</f>
        <v/>
      </c>
      <c r="N4889" s="14">
        <f>IF(A4889="","",YEAR(A4889))</f>
        <v/>
      </c>
    </row>
    <row r="4890">
      <c r="A4890" s="15" t="n"/>
      <c r="B4890" s="10" t="n"/>
      <c r="C4890" s="10" t="n"/>
      <c r="D4890" s="10" t="n"/>
      <c r="E4890" s="14">
        <f>IF(D4890="","",IFERROR(INDEX('Sản phẩm'!$B$5:$B$304,MATCH(D4890,'Sản phẩm'!$A$5:$A$304,0)),""))</f>
        <v/>
      </c>
      <c r="F4890" s="12" t="n"/>
      <c r="G4890" s="11" t="n"/>
      <c r="H4890" s="11" t="n"/>
      <c r="I4890" s="16">
        <f>IF(D4890="","",IF(G4890&lt;&gt;"",G4890,IFERROR(INDEX('Sản phẩm'!$E$5:$E$304,MATCH(D4890,'Sản phẩm'!$A$5:$A$304,0)),"")))</f>
        <v/>
      </c>
      <c r="J4890" s="16">
        <f>IF(OR(D4890="",F4890=""),"",F4890*I4890-N(H4890))</f>
        <v/>
      </c>
      <c r="K4890" s="16">
        <f>IF(OR(D4890="",F4890=""),"",F4890*IFERROR(INDEX('Sản phẩm'!$D$5:$D$304,MATCH(D4890,'Sản phẩm'!$A$5:$A$304,0)),""))</f>
        <v/>
      </c>
      <c r="L4890" s="16">
        <f>IF(J4890="","",J4890-K4890)</f>
        <v/>
      </c>
      <c r="M4890" s="14">
        <f>IF(A4890="","",MONTH(A4890))</f>
        <v/>
      </c>
      <c r="N4890" s="14">
        <f>IF(A4890="","",YEAR(A4890))</f>
        <v/>
      </c>
    </row>
    <row r="4891">
      <c r="A4891" s="15" t="n"/>
      <c r="B4891" s="10" t="n"/>
      <c r="C4891" s="10" t="n"/>
      <c r="D4891" s="10" t="n"/>
      <c r="E4891" s="14">
        <f>IF(D4891="","",IFERROR(INDEX('Sản phẩm'!$B$5:$B$304,MATCH(D4891,'Sản phẩm'!$A$5:$A$304,0)),""))</f>
        <v/>
      </c>
      <c r="F4891" s="12" t="n"/>
      <c r="G4891" s="11" t="n"/>
      <c r="H4891" s="11" t="n"/>
      <c r="I4891" s="16">
        <f>IF(D4891="","",IF(G4891&lt;&gt;"",G4891,IFERROR(INDEX('Sản phẩm'!$E$5:$E$304,MATCH(D4891,'Sản phẩm'!$A$5:$A$304,0)),"")))</f>
        <v/>
      </c>
      <c r="J4891" s="16">
        <f>IF(OR(D4891="",F4891=""),"",F4891*I4891-N(H4891))</f>
        <v/>
      </c>
      <c r="K4891" s="16">
        <f>IF(OR(D4891="",F4891=""),"",F4891*IFERROR(INDEX('Sản phẩm'!$D$5:$D$304,MATCH(D4891,'Sản phẩm'!$A$5:$A$304,0)),""))</f>
        <v/>
      </c>
      <c r="L4891" s="16">
        <f>IF(J4891="","",J4891-K4891)</f>
        <v/>
      </c>
      <c r="M4891" s="14">
        <f>IF(A4891="","",MONTH(A4891))</f>
        <v/>
      </c>
      <c r="N4891" s="14">
        <f>IF(A4891="","",YEAR(A4891))</f>
        <v/>
      </c>
    </row>
    <row r="4892">
      <c r="A4892" s="15" t="n"/>
      <c r="B4892" s="10" t="n"/>
      <c r="C4892" s="10" t="n"/>
      <c r="D4892" s="10" t="n"/>
      <c r="E4892" s="14">
        <f>IF(D4892="","",IFERROR(INDEX('Sản phẩm'!$B$5:$B$304,MATCH(D4892,'Sản phẩm'!$A$5:$A$304,0)),""))</f>
        <v/>
      </c>
      <c r="F4892" s="12" t="n"/>
      <c r="G4892" s="11" t="n"/>
      <c r="H4892" s="11" t="n"/>
      <c r="I4892" s="16">
        <f>IF(D4892="","",IF(G4892&lt;&gt;"",G4892,IFERROR(INDEX('Sản phẩm'!$E$5:$E$304,MATCH(D4892,'Sản phẩm'!$A$5:$A$304,0)),"")))</f>
        <v/>
      </c>
      <c r="J4892" s="16">
        <f>IF(OR(D4892="",F4892=""),"",F4892*I4892-N(H4892))</f>
        <v/>
      </c>
      <c r="K4892" s="16">
        <f>IF(OR(D4892="",F4892=""),"",F4892*IFERROR(INDEX('Sản phẩm'!$D$5:$D$304,MATCH(D4892,'Sản phẩm'!$A$5:$A$304,0)),""))</f>
        <v/>
      </c>
      <c r="L4892" s="16">
        <f>IF(J4892="","",J4892-K4892)</f>
        <v/>
      </c>
      <c r="M4892" s="14">
        <f>IF(A4892="","",MONTH(A4892))</f>
        <v/>
      </c>
      <c r="N4892" s="14">
        <f>IF(A4892="","",YEAR(A4892))</f>
        <v/>
      </c>
    </row>
    <row r="4893">
      <c r="A4893" s="15" t="n"/>
      <c r="B4893" s="10" t="n"/>
      <c r="C4893" s="10" t="n"/>
      <c r="D4893" s="10" t="n"/>
      <c r="E4893" s="14">
        <f>IF(D4893="","",IFERROR(INDEX('Sản phẩm'!$B$5:$B$304,MATCH(D4893,'Sản phẩm'!$A$5:$A$304,0)),""))</f>
        <v/>
      </c>
      <c r="F4893" s="12" t="n"/>
      <c r="G4893" s="11" t="n"/>
      <c r="H4893" s="11" t="n"/>
      <c r="I4893" s="16">
        <f>IF(D4893="","",IF(G4893&lt;&gt;"",G4893,IFERROR(INDEX('Sản phẩm'!$E$5:$E$304,MATCH(D4893,'Sản phẩm'!$A$5:$A$304,0)),"")))</f>
        <v/>
      </c>
      <c r="J4893" s="16">
        <f>IF(OR(D4893="",F4893=""),"",F4893*I4893-N(H4893))</f>
        <v/>
      </c>
      <c r="K4893" s="16">
        <f>IF(OR(D4893="",F4893=""),"",F4893*IFERROR(INDEX('Sản phẩm'!$D$5:$D$304,MATCH(D4893,'Sản phẩm'!$A$5:$A$304,0)),""))</f>
        <v/>
      </c>
      <c r="L4893" s="16">
        <f>IF(J4893="","",J4893-K4893)</f>
        <v/>
      </c>
      <c r="M4893" s="14">
        <f>IF(A4893="","",MONTH(A4893))</f>
        <v/>
      </c>
      <c r="N4893" s="14">
        <f>IF(A4893="","",YEAR(A4893))</f>
        <v/>
      </c>
    </row>
    <row r="4894">
      <c r="A4894" s="15" t="n"/>
      <c r="B4894" s="10" t="n"/>
      <c r="C4894" s="10" t="n"/>
      <c r="D4894" s="10" t="n"/>
      <c r="E4894" s="14">
        <f>IF(D4894="","",IFERROR(INDEX('Sản phẩm'!$B$5:$B$304,MATCH(D4894,'Sản phẩm'!$A$5:$A$304,0)),""))</f>
        <v/>
      </c>
      <c r="F4894" s="12" t="n"/>
      <c r="G4894" s="11" t="n"/>
      <c r="H4894" s="11" t="n"/>
      <c r="I4894" s="16">
        <f>IF(D4894="","",IF(G4894&lt;&gt;"",G4894,IFERROR(INDEX('Sản phẩm'!$E$5:$E$304,MATCH(D4894,'Sản phẩm'!$A$5:$A$304,0)),"")))</f>
        <v/>
      </c>
      <c r="J4894" s="16">
        <f>IF(OR(D4894="",F4894=""),"",F4894*I4894-N(H4894))</f>
        <v/>
      </c>
      <c r="K4894" s="16">
        <f>IF(OR(D4894="",F4894=""),"",F4894*IFERROR(INDEX('Sản phẩm'!$D$5:$D$304,MATCH(D4894,'Sản phẩm'!$A$5:$A$304,0)),""))</f>
        <v/>
      </c>
      <c r="L4894" s="16">
        <f>IF(J4894="","",J4894-K4894)</f>
        <v/>
      </c>
      <c r="M4894" s="14">
        <f>IF(A4894="","",MONTH(A4894))</f>
        <v/>
      </c>
      <c r="N4894" s="14">
        <f>IF(A4894="","",YEAR(A4894))</f>
        <v/>
      </c>
    </row>
    <row r="4895">
      <c r="A4895" s="15" t="n"/>
      <c r="B4895" s="10" t="n"/>
      <c r="C4895" s="10" t="n"/>
      <c r="D4895" s="10" t="n"/>
      <c r="E4895" s="14">
        <f>IF(D4895="","",IFERROR(INDEX('Sản phẩm'!$B$5:$B$304,MATCH(D4895,'Sản phẩm'!$A$5:$A$304,0)),""))</f>
        <v/>
      </c>
      <c r="F4895" s="12" t="n"/>
      <c r="G4895" s="11" t="n"/>
      <c r="H4895" s="11" t="n"/>
      <c r="I4895" s="16">
        <f>IF(D4895="","",IF(G4895&lt;&gt;"",G4895,IFERROR(INDEX('Sản phẩm'!$E$5:$E$304,MATCH(D4895,'Sản phẩm'!$A$5:$A$304,0)),"")))</f>
        <v/>
      </c>
      <c r="J4895" s="16">
        <f>IF(OR(D4895="",F4895=""),"",F4895*I4895-N(H4895))</f>
        <v/>
      </c>
      <c r="K4895" s="16">
        <f>IF(OR(D4895="",F4895=""),"",F4895*IFERROR(INDEX('Sản phẩm'!$D$5:$D$304,MATCH(D4895,'Sản phẩm'!$A$5:$A$304,0)),""))</f>
        <v/>
      </c>
      <c r="L4895" s="16">
        <f>IF(J4895="","",J4895-K4895)</f>
        <v/>
      </c>
      <c r="M4895" s="14">
        <f>IF(A4895="","",MONTH(A4895))</f>
        <v/>
      </c>
      <c r="N4895" s="14">
        <f>IF(A4895="","",YEAR(A4895))</f>
        <v/>
      </c>
    </row>
    <row r="4896">
      <c r="A4896" s="15" t="n"/>
      <c r="B4896" s="10" t="n"/>
      <c r="C4896" s="10" t="n"/>
      <c r="D4896" s="10" t="n"/>
      <c r="E4896" s="14">
        <f>IF(D4896="","",IFERROR(INDEX('Sản phẩm'!$B$5:$B$304,MATCH(D4896,'Sản phẩm'!$A$5:$A$304,0)),""))</f>
        <v/>
      </c>
      <c r="F4896" s="12" t="n"/>
      <c r="G4896" s="11" t="n"/>
      <c r="H4896" s="11" t="n"/>
      <c r="I4896" s="16">
        <f>IF(D4896="","",IF(G4896&lt;&gt;"",G4896,IFERROR(INDEX('Sản phẩm'!$E$5:$E$304,MATCH(D4896,'Sản phẩm'!$A$5:$A$304,0)),"")))</f>
        <v/>
      </c>
      <c r="J4896" s="16">
        <f>IF(OR(D4896="",F4896=""),"",F4896*I4896-N(H4896))</f>
        <v/>
      </c>
      <c r="K4896" s="16">
        <f>IF(OR(D4896="",F4896=""),"",F4896*IFERROR(INDEX('Sản phẩm'!$D$5:$D$304,MATCH(D4896,'Sản phẩm'!$A$5:$A$304,0)),""))</f>
        <v/>
      </c>
      <c r="L4896" s="16">
        <f>IF(J4896="","",J4896-K4896)</f>
        <v/>
      </c>
      <c r="M4896" s="14">
        <f>IF(A4896="","",MONTH(A4896))</f>
        <v/>
      </c>
      <c r="N4896" s="14">
        <f>IF(A4896="","",YEAR(A4896))</f>
        <v/>
      </c>
    </row>
    <row r="4897">
      <c r="A4897" s="15" t="n"/>
      <c r="B4897" s="10" t="n"/>
      <c r="C4897" s="10" t="n"/>
      <c r="D4897" s="10" t="n"/>
      <c r="E4897" s="14">
        <f>IF(D4897="","",IFERROR(INDEX('Sản phẩm'!$B$5:$B$304,MATCH(D4897,'Sản phẩm'!$A$5:$A$304,0)),""))</f>
        <v/>
      </c>
      <c r="F4897" s="12" t="n"/>
      <c r="G4897" s="11" t="n"/>
      <c r="H4897" s="11" t="n"/>
      <c r="I4897" s="16">
        <f>IF(D4897="","",IF(G4897&lt;&gt;"",G4897,IFERROR(INDEX('Sản phẩm'!$E$5:$E$304,MATCH(D4897,'Sản phẩm'!$A$5:$A$304,0)),"")))</f>
        <v/>
      </c>
      <c r="J4897" s="16">
        <f>IF(OR(D4897="",F4897=""),"",F4897*I4897-N(H4897))</f>
        <v/>
      </c>
      <c r="K4897" s="16">
        <f>IF(OR(D4897="",F4897=""),"",F4897*IFERROR(INDEX('Sản phẩm'!$D$5:$D$304,MATCH(D4897,'Sản phẩm'!$A$5:$A$304,0)),""))</f>
        <v/>
      </c>
      <c r="L4897" s="16">
        <f>IF(J4897="","",J4897-K4897)</f>
        <v/>
      </c>
      <c r="M4897" s="14">
        <f>IF(A4897="","",MONTH(A4897))</f>
        <v/>
      </c>
      <c r="N4897" s="14">
        <f>IF(A4897="","",YEAR(A4897))</f>
        <v/>
      </c>
    </row>
    <row r="4898">
      <c r="A4898" s="15" t="n"/>
      <c r="B4898" s="10" t="n"/>
      <c r="C4898" s="10" t="n"/>
      <c r="D4898" s="10" t="n"/>
      <c r="E4898" s="14">
        <f>IF(D4898="","",IFERROR(INDEX('Sản phẩm'!$B$5:$B$304,MATCH(D4898,'Sản phẩm'!$A$5:$A$304,0)),""))</f>
        <v/>
      </c>
      <c r="F4898" s="12" t="n"/>
      <c r="G4898" s="11" t="n"/>
      <c r="H4898" s="11" t="n"/>
      <c r="I4898" s="16">
        <f>IF(D4898="","",IF(G4898&lt;&gt;"",G4898,IFERROR(INDEX('Sản phẩm'!$E$5:$E$304,MATCH(D4898,'Sản phẩm'!$A$5:$A$304,0)),"")))</f>
        <v/>
      </c>
      <c r="J4898" s="16">
        <f>IF(OR(D4898="",F4898=""),"",F4898*I4898-N(H4898))</f>
        <v/>
      </c>
      <c r="K4898" s="16">
        <f>IF(OR(D4898="",F4898=""),"",F4898*IFERROR(INDEX('Sản phẩm'!$D$5:$D$304,MATCH(D4898,'Sản phẩm'!$A$5:$A$304,0)),""))</f>
        <v/>
      </c>
      <c r="L4898" s="16">
        <f>IF(J4898="","",J4898-K4898)</f>
        <v/>
      </c>
      <c r="M4898" s="14">
        <f>IF(A4898="","",MONTH(A4898))</f>
        <v/>
      </c>
      <c r="N4898" s="14">
        <f>IF(A4898="","",YEAR(A4898))</f>
        <v/>
      </c>
    </row>
    <row r="4899">
      <c r="A4899" s="15" t="n"/>
      <c r="B4899" s="10" t="n"/>
      <c r="C4899" s="10" t="n"/>
      <c r="D4899" s="10" t="n"/>
      <c r="E4899" s="14">
        <f>IF(D4899="","",IFERROR(INDEX('Sản phẩm'!$B$5:$B$304,MATCH(D4899,'Sản phẩm'!$A$5:$A$304,0)),""))</f>
        <v/>
      </c>
      <c r="F4899" s="12" t="n"/>
      <c r="G4899" s="11" t="n"/>
      <c r="H4899" s="11" t="n"/>
      <c r="I4899" s="16">
        <f>IF(D4899="","",IF(G4899&lt;&gt;"",G4899,IFERROR(INDEX('Sản phẩm'!$E$5:$E$304,MATCH(D4899,'Sản phẩm'!$A$5:$A$304,0)),"")))</f>
        <v/>
      </c>
      <c r="J4899" s="16">
        <f>IF(OR(D4899="",F4899=""),"",F4899*I4899-N(H4899))</f>
        <v/>
      </c>
      <c r="K4899" s="16">
        <f>IF(OR(D4899="",F4899=""),"",F4899*IFERROR(INDEX('Sản phẩm'!$D$5:$D$304,MATCH(D4899,'Sản phẩm'!$A$5:$A$304,0)),""))</f>
        <v/>
      </c>
      <c r="L4899" s="16">
        <f>IF(J4899="","",J4899-K4899)</f>
        <v/>
      </c>
      <c r="M4899" s="14">
        <f>IF(A4899="","",MONTH(A4899))</f>
        <v/>
      </c>
      <c r="N4899" s="14">
        <f>IF(A4899="","",YEAR(A4899))</f>
        <v/>
      </c>
    </row>
    <row r="4900">
      <c r="A4900" s="15" t="n"/>
      <c r="B4900" s="10" t="n"/>
      <c r="C4900" s="10" t="n"/>
      <c r="D4900" s="10" t="n"/>
      <c r="E4900" s="14">
        <f>IF(D4900="","",IFERROR(INDEX('Sản phẩm'!$B$5:$B$304,MATCH(D4900,'Sản phẩm'!$A$5:$A$304,0)),""))</f>
        <v/>
      </c>
      <c r="F4900" s="12" t="n"/>
      <c r="G4900" s="11" t="n"/>
      <c r="H4900" s="11" t="n"/>
      <c r="I4900" s="16">
        <f>IF(D4900="","",IF(G4900&lt;&gt;"",G4900,IFERROR(INDEX('Sản phẩm'!$E$5:$E$304,MATCH(D4900,'Sản phẩm'!$A$5:$A$304,0)),"")))</f>
        <v/>
      </c>
      <c r="J4900" s="16">
        <f>IF(OR(D4900="",F4900=""),"",F4900*I4900-N(H4900))</f>
        <v/>
      </c>
      <c r="K4900" s="16">
        <f>IF(OR(D4900="",F4900=""),"",F4900*IFERROR(INDEX('Sản phẩm'!$D$5:$D$304,MATCH(D4900,'Sản phẩm'!$A$5:$A$304,0)),""))</f>
        <v/>
      </c>
      <c r="L4900" s="16">
        <f>IF(J4900="","",J4900-K4900)</f>
        <v/>
      </c>
      <c r="M4900" s="14">
        <f>IF(A4900="","",MONTH(A4900))</f>
        <v/>
      </c>
      <c r="N4900" s="14">
        <f>IF(A4900="","",YEAR(A4900))</f>
        <v/>
      </c>
    </row>
    <row r="4901">
      <c r="A4901" s="15" t="n"/>
      <c r="B4901" s="10" t="n"/>
      <c r="C4901" s="10" t="n"/>
      <c r="D4901" s="10" t="n"/>
      <c r="E4901" s="14">
        <f>IF(D4901="","",IFERROR(INDEX('Sản phẩm'!$B$5:$B$304,MATCH(D4901,'Sản phẩm'!$A$5:$A$304,0)),""))</f>
        <v/>
      </c>
      <c r="F4901" s="12" t="n"/>
      <c r="G4901" s="11" t="n"/>
      <c r="H4901" s="11" t="n"/>
      <c r="I4901" s="16">
        <f>IF(D4901="","",IF(G4901&lt;&gt;"",G4901,IFERROR(INDEX('Sản phẩm'!$E$5:$E$304,MATCH(D4901,'Sản phẩm'!$A$5:$A$304,0)),"")))</f>
        <v/>
      </c>
      <c r="J4901" s="16">
        <f>IF(OR(D4901="",F4901=""),"",F4901*I4901-N(H4901))</f>
        <v/>
      </c>
      <c r="K4901" s="16">
        <f>IF(OR(D4901="",F4901=""),"",F4901*IFERROR(INDEX('Sản phẩm'!$D$5:$D$304,MATCH(D4901,'Sản phẩm'!$A$5:$A$304,0)),""))</f>
        <v/>
      </c>
      <c r="L4901" s="16">
        <f>IF(J4901="","",J4901-K4901)</f>
        <v/>
      </c>
      <c r="M4901" s="14">
        <f>IF(A4901="","",MONTH(A4901))</f>
        <v/>
      </c>
      <c r="N4901" s="14">
        <f>IF(A4901="","",YEAR(A4901))</f>
        <v/>
      </c>
    </row>
    <row r="4902">
      <c r="A4902" s="15" t="n"/>
      <c r="B4902" s="10" t="n"/>
      <c r="C4902" s="10" t="n"/>
      <c r="D4902" s="10" t="n"/>
      <c r="E4902" s="14">
        <f>IF(D4902="","",IFERROR(INDEX('Sản phẩm'!$B$5:$B$304,MATCH(D4902,'Sản phẩm'!$A$5:$A$304,0)),""))</f>
        <v/>
      </c>
      <c r="F4902" s="12" t="n"/>
      <c r="G4902" s="11" t="n"/>
      <c r="H4902" s="11" t="n"/>
      <c r="I4902" s="16">
        <f>IF(D4902="","",IF(G4902&lt;&gt;"",G4902,IFERROR(INDEX('Sản phẩm'!$E$5:$E$304,MATCH(D4902,'Sản phẩm'!$A$5:$A$304,0)),"")))</f>
        <v/>
      </c>
      <c r="J4902" s="16">
        <f>IF(OR(D4902="",F4902=""),"",F4902*I4902-N(H4902))</f>
        <v/>
      </c>
      <c r="K4902" s="16">
        <f>IF(OR(D4902="",F4902=""),"",F4902*IFERROR(INDEX('Sản phẩm'!$D$5:$D$304,MATCH(D4902,'Sản phẩm'!$A$5:$A$304,0)),""))</f>
        <v/>
      </c>
      <c r="L4902" s="16">
        <f>IF(J4902="","",J4902-K4902)</f>
        <v/>
      </c>
      <c r="M4902" s="14">
        <f>IF(A4902="","",MONTH(A4902))</f>
        <v/>
      </c>
      <c r="N4902" s="14">
        <f>IF(A4902="","",YEAR(A4902))</f>
        <v/>
      </c>
    </row>
    <row r="4903">
      <c r="A4903" s="15" t="n"/>
      <c r="B4903" s="10" t="n"/>
      <c r="C4903" s="10" t="n"/>
      <c r="D4903" s="10" t="n"/>
      <c r="E4903" s="14">
        <f>IF(D4903="","",IFERROR(INDEX('Sản phẩm'!$B$5:$B$304,MATCH(D4903,'Sản phẩm'!$A$5:$A$304,0)),""))</f>
        <v/>
      </c>
      <c r="F4903" s="12" t="n"/>
      <c r="G4903" s="11" t="n"/>
      <c r="H4903" s="11" t="n"/>
      <c r="I4903" s="16">
        <f>IF(D4903="","",IF(G4903&lt;&gt;"",G4903,IFERROR(INDEX('Sản phẩm'!$E$5:$E$304,MATCH(D4903,'Sản phẩm'!$A$5:$A$304,0)),"")))</f>
        <v/>
      </c>
      <c r="J4903" s="16">
        <f>IF(OR(D4903="",F4903=""),"",F4903*I4903-N(H4903))</f>
        <v/>
      </c>
      <c r="K4903" s="16">
        <f>IF(OR(D4903="",F4903=""),"",F4903*IFERROR(INDEX('Sản phẩm'!$D$5:$D$304,MATCH(D4903,'Sản phẩm'!$A$5:$A$304,0)),""))</f>
        <v/>
      </c>
      <c r="L4903" s="16">
        <f>IF(J4903="","",J4903-K4903)</f>
        <v/>
      </c>
      <c r="M4903" s="14">
        <f>IF(A4903="","",MONTH(A4903))</f>
        <v/>
      </c>
      <c r="N4903" s="14">
        <f>IF(A4903="","",YEAR(A4903))</f>
        <v/>
      </c>
    </row>
    <row r="4904">
      <c r="A4904" s="15" t="n"/>
      <c r="B4904" s="10" t="n"/>
      <c r="C4904" s="10" t="n"/>
      <c r="D4904" s="10" t="n"/>
      <c r="E4904" s="14">
        <f>IF(D4904="","",IFERROR(INDEX('Sản phẩm'!$B$5:$B$304,MATCH(D4904,'Sản phẩm'!$A$5:$A$304,0)),""))</f>
        <v/>
      </c>
      <c r="F4904" s="12" t="n"/>
      <c r="G4904" s="11" t="n"/>
      <c r="H4904" s="11" t="n"/>
      <c r="I4904" s="16">
        <f>IF(D4904="","",IF(G4904&lt;&gt;"",G4904,IFERROR(INDEX('Sản phẩm'!$E$5:$E$304,MATCH(D4904,'Sản phẩm'!$A$5:$A$304,0)),"")))</f>
        <v/>
      </c>
      <c r="J4904" s="16">
        <f>IF(OR(D4904="",F4904=""),"",F4904*I4904-N(H4904))</f>
        <v/>
      </c>
      <c r="K4904" s="16">
        <f>IF(OR(D4904="",F4904=""),"",F4904*IFERROR(INDEX('Sản phẩm'!$D$5:$D$304,MATCH(D4904,'Sản phẩm'!$A$5:$A$304,0)),""))</f>
        <v/>
      </c>
      <c r="L4904" s="16">
        <f>IF(J4904="","",J4904-K4904)</f>
        <v/>
      </c>
      <c r="M4904" s="14">
        <f>IF(A4904="","",MONTH(A4904))</f>
        <v/>
      </c>
      <c r="N4904" s="14">
        <f>IF(A4904="","",YEAR(A4904))</f>
        <v/>
      </c>
    </row>
    <row r="4905">
      <c r="A4905" s="15" t="n"/>
      <c r="B4905" s="10" t="n"/>
      <c r="C4905" s="10" t="n"/>
      <c r="D4905" s="10" t="n"/>
      <c r="E4905" s="14">
        <f>IF(D4905="","",IFERROR(INDEX('Sản phẩm'!$B$5:$B$304,MATCH(D4905,'Sản phẩm'!$A$5:$A$304,0)),""))</f>
        <v/>
      </c>
      <c r="F4905" s="12" t="n"/>
      <c r="G4905" s="11" t="n"/>
      <c r="H4905" s="11" t="n"/>
      <c r="I4905" s="16">
        <f>IF(D4905="","",IF(G4905&lt;&gt;"",G4905,IFERROR(INDEX('Sản phẩm'!$E$5:$E$304,MATCH(D4905,'Sản phẩm'!$A$5:$A$304,0)),"")))</f>
        <v/>
      </c>
      <c r="J4905" s="16">
        <f>IF(OR(D4905="",F4905=""),"",F4905*I4905-N(H4905))</f>
        <v/>
      </c>
      <c r="K4905" s="16">
        <f>IF(OR(D4905="",F4905=""),"",F4905*IFERROR(INDEX('Sản phẩm'!$D$5:$D$304,MATCH(D4905,'Sản phẩm'!$A$5:$A$304,0)),""))</f>
        <v/>
      </c>
      <c r="L4905" s="16">
        <f>IF(J4905="","",J4905-K4905)</f>
        <v/>
      </c>
      <c r="M4905" s="14">
        <f>IF(A4905="","",MONTH(A4905))</f>
        <v/>
      </c>
      <c r="N4905" s="14">
        <f>IF(A4905="","",YEAR(A4905))</f>
        <v/>
      </c>
    </row>
    <row r="4906">
      <c r="A4906" s="15" t="n"/>
      <c r="B4906" s="10" t="n"/>
      <c r="C4906" s="10" t="n"/>
      <c r="D4906" s="10" t="n"/>
      <c r="E4906" s="14">
        <f>IF(D4906="","",IFERROR(INDEX('Sản phẩm'!$B$5:$B$304,MATCH(D4906,'Sản phẩm'!$A$5:$A$304,0)),""))</f>
        <v/>
      </c>
      <c r="F4906" s="12" t="n"/>
      <c r="G4906" s="11" t="n"/>
      <c r="H4906" s="11" t="n"/>
      <c r="I4906" s="16">
        <f>IF(D4906="","",IF(G4906&lt;&gt;"",G4906,IFERROR(INDEX('Sản phẩm'!$E$5:$E$304,MATCH(D4906,'Sản phẩm'!$A$5:$A$304,0)),"")))</f>
        <v/>
      </c>
      <c r="J4906" s="16">
        <f>IF(OR(D4906="",F4906=""),"",F4906*I4906-N(H4906))</f>
        <v/>
      </c>
      <c r="K4906" s="16">
        <f>IF(OR(D4906="",F4906=""),"",F4906*IFERROR(INDEX('Sản phẩm'!$D$5:$D$304,MATCH(D4906,'Sản phẩm'!$A$5:$A$304,0)),""))</f>
        <v/>
      </c>
      <c r="L4906" s="16">
        <f>IF(J4906="","",J4906-K4906)</f>
        <v/>
      </c>
      <c r="M4906" s="14">
        <f>IF(A4906="","",MONTH(A4906))</f>
        <v/>
      </c>
      <c r="N4906" s="14">
        <f>IF(A4906="","",YEAR(A4906))</f>
        <v/>
      </c>
    </row>
    <row r="4907">
      <c r="A4907" s="15" t="n"/>
      <c r="B4907" s="10" t="n"/>
      <c r="C4907" s="10" t="n"/>
      <c r="D4907" s="10" t="n"/>
      <c r="E4907" s="14">
        <f>IF(D4907="","",IFERROR(INDEX('Sản phẩm'!$B$5:$B$304,MATCH(D4907,'Sản phẩm'!$A$5:$A$304,0)),""))</f>
        <v/>
      </c>
      <c r="F4907" s="12" t="n"/>
      <c r="G4907" s="11" t="n"/>
      <c r="H4907" s="11" t="n"/>
      <c r="I4907" s="16">
        <f>IF(D4907="","",IF(G4907&lt;&gt;"",G4907,IFERROR(INDEX('Sản phẩm'!$E$5:$E$304,MATCH(D4907,'Sản phẩm'!$A$5:$A$304,0)),"")))</f>
        <v/>
      </c>
      <c r="J4907" s="16">
        <f>IF(OR(D4907="",F4907=""),"",F4907*I4907-N(H4907))</f>
        <v/>
      </c>
      <c r="K4907" s="16">
        <f>IF(OR(D4907="",F4907=""),"",F4907*IFERROR(INDEX('Sản phẩm'!$D$5:$D$304,MATCH(D4907,'Sản phẩm'!$A$5:$A$304,0)),""))</f>
        <v/>
      </c>
      <c r="L4907" s="16">
        <f>IF(J4907="","",J4907-K4907)</f>
        <v/>
      </c>
      <c r="M4907" s="14">
        <f>IF(A4907="","",MONTH(A4907))</f>
        <v/>
      </c>
      <c r="N4907" s="14">
        <f>IF(A4907="","",YEAR(A4907))</f>
        <v/>
      </c>
    </row>
    <row r="4908">
      <c r="A4908" s="15" t="n"/>
      <c r="B4908" s="10" t="n"/>
      <c r="C4908" s="10" t="n"/>
      <c r="D4908" s="10" t="n"/>
      <c r="E4908" s="14">
        <f>IF(D4908="","",IFERROR(INDEX('Sản phẩm'!$B$5:$B$304,MATCH(D4908,'Sản phẩm'!$A$5:$A$304,0)),""))</f>
        <v/>
      </c>
      <c r="F4908" s="12" t="n"/>
      <c r="G4908" s="11" t="n"/>
      <c r="H4908" s="11" t="n"/>
      <c r="I4908" s="16">
        <f>IF(D4908="","",IF(G4908&lt;&gt;"",G4908,IFERROR(INDEX('Sản phẩm'!$E$5:$E$304,MATCH(D4908,'Sản phẩm'!$A$5:$A$304,0)),"")))</f>
        <v/>
      </c>
      <c r="J4908" s="16">
        <f>IF(OR(D4908="",F4908=""),"",F4908*I4908-N(H4908))</f>
        <v/>
      </c>
      <c r="K4908" s="16">
        <f>IF(OR(D4908="",F4908=""),"",F4908*IFERROR(INDEX('Sản phẩm'!$D$5:$D$304,MATCH(D4908,'Sản phẩm'!$A$5:$A$304,0)),""))</f>
        <v/>
      </c>
      <c r="L4908" s="16">
        <f>IF(J4908="","",J4908-K4908)</f>
        <v/>
      </c>
      <c r="M4908" s="14">
        <f>IF(A4908="","",MONTH(A4908))</f>
        <v/>
      </c>
      <c r="N4908" s="14">
        <f>IF(A4908="","",YEAR(A4908))</f>
        <v/>
      </c>
    </row>
    <row r="4909">
      <c r="A4909" s="15" t="n"/>
      <c r="B4909" s="10" t="n"/>
      <c r="C4909" s="10" t="n"/>
      <c r="D4909" s="10" t="n"/>
      <c r="E4909" s="14">
        <f>IF(D4909="","",IFERROR(INDEX('Sản phẩm'!$B$5:$B$304,MATCH(D4909,'Sản phẩm'!$A$5:$A$304,0)),""))</f>
        <v/>
      </c>
      <c r="F4909" s="12" t="n"/>
      <c r="G4909" s="11" t="n"/>
      <c r="H4909" s="11" t="n"/>
      <c r="I4909" s="16">
        <f>IF(D4909="","",IF(G4909&lt;&gt;"",G4909,IFERROR(INDEX('Sản phẩm'!$E$5:$E$304,MATCH(D4909,'Sản phẩm'!$A$5:$A$304,0)),"")))</f>
        <v/>
      </c>
      <c r="J4909" s="16">
        <f>IF(OR(D4909="",F4909=""),"",F4909*I4909-N(H4909))</f>
        <v/>
      </c>
      <c r="K4909" s="16">
        <f>IF(OR(D4909="",F4909=""),"",F4909*IFERROR(INDEX('Sản phẩm'!$D$5:$D$304,MATCH(D4909,'Sản phẩm'!$A$5:$A$304,0)),""))</f>
        <v/>
      </c>
      <c r="L4909" s="16">
        <f>IF(J4909="","",J4909-K4909)</f>
        <v/>
      </c>
      <c r="M4909" s="14">
        <f>IF(A4909="","",MONTH(A4909))</f>
        <v/>
      </c>
      <c r="N4909" s="14">
        <f>IF(A4909="","",YEAR(A4909))</f>
        <v/>
      </c>
    </row>
    <row r="4910">
      <c r="A4910" s="15" t="n"/>
      <c r="B4910" s="10" t="n"/>
      <c r="C4910" s="10" t="n"/>
      <c r="D4910" s="10" t="n"/>
      <c r="E4910" s="14">
        <f>IF(D4910="","",IFERROR(INDEX('Sản phẩm'!$B$5:$B$304,MATCH(D4910,'Sản phẩm'!$A$5:$A$304,0)),""))</f>
        <v/>
      </c>
      <c r="F4910" s="12" t="n"/>
      <c r="G4910" s="11" t="n"/>
      <c r="H4910" s="11" t="n"/>
      <c r="I4910" s="16">
        <f>IF(D4910="","",IF(G4910&lt;&gt;"",G4910,IFERROR(INDEX('Sản phẩm'!$E$5:$E$304,MATCH(D4910,'Sản phẩm'!$A$5:$A$304,0)),"")))</f>
        <v/>
      </c>
      <c r="J4910" s="16">
        <f>IF(OR(D4910="",F4910=""),"",F4910*I4910-N(H4910))</f>
        <v/>
      </c>
      <c r="K4910" s="16">
        <f>IF(OR(D4910="",F4910=""),"",F4910*IFERROR(INDEX('Sản phẩm'!$D$5:$D$304,MATCH(D4910,'Sản phẩm'!$A$5:$A$304,0)),""))</f>
        <v/>
      </c>
      <c r="L4910" s="16">
        <f>IF(J4910="","",J4910-K4910)</f>
        <v/>
      </c>
      <c r="M4910" s="14">
        <f>IF(A4910="","",MONTH(A4910))</f>
        <v/>
      </c>
      <c r="N4910" s="14">
        <f>IF(A4910="","",YEAR(A4910))</f>
        <v/>
      </c>
    </row>
    <row r="4911">
      <c r="A4911" s="15" t="n"/>
      <c r="B4911" s="10" t="n"/>
      <c r="C4911" s="10" t="n"/>
      <c r="D4911" s="10" t="n"/>
      <c r="E4911" s="14">
        <f>IF(D4911="","",IFERROR(INDEX('Sản phẩm'!$B$5:$B$304,MATCH(D4911,'Sản phẩm'!$A$5:$A$304,0)),""))</f>
        <v/>
      </c>
      <c r="F4911" s="12" t="n"/>
      <c r="G4911" s="11" t="n"/>
      <c r="H4911" s="11" t="n"/>
      <c r="I4911" s="16">
        <f>IF(D4911="","",IF(G4911&lt;&gt;"",G4911,IFERROR(INDEX('Sản phẩm'!$E$5:$E$304,MATCH(D4911,'Sản phẩm'!$A$5:$A$304,0)),"")))</f>
        <v/>
      </c>
      <c r="J4911" s="16">
        <f>IF(OR(D4911="",F4911=""),"",F4911*I4911-N(H4911))</f>
        <v/>
      </c>
      <c r="K4911" s="16">
        <f>IF(OR(D4911="",F4911=""),"",F4911*IFERROR(INDEX('Sản phẩm'!$D$5:$D$304,MATCH(D4911,'Sản phẩm'!$A$5:$A$304,0)),""))</f>
        <v/>
      </c>
      <c r="L4911" s="16">
        <f>IF(J4911="","",J4911-K4911)</f>
        <v/>
      </c>
      <c r="M4911" s="14">
        <f>IF(A4911="","",MONTH(A4911))</f>
        <v/>
      </c>
      <c r="N4911" s="14">
        <f>IF(A4911="","",YEAR(A4911))</f>
        <v/>
      </c>
    </row>
    <row r="4912">
      <c r="A4912" s="15" t="n"/>
      <c r="B4912" s="10" t="n"/>
      <c r="C4912" s="10" t="n"/>
      <c r="D4912" s="10" t="n"/>
      <c r="E4912" s="14">
        <f>IF(D4912="","",IFERROR(INDEX('Sản phẩm'!$B$5:$B$304,MATCH(D4912,'Sản phẩm'!$A$5:$A$304,0)),""))</f>
        <v/>
      </c>
      <c r="F4912" s="12" t="n"/>
      <c r="G4912" s="11" t="n"/>
      <c r="H4912" s="11" t="n"/>
      <c r="I4912" s="16">
        <f>IF(D4912="","",IF(G4912&lt;&gt;"",G4912,IFERROR(INDEX('Sản phẩm'!$E$5:$E$304,MATCH(D4912,'Sản phẩm'!$A$5:$A$304,0)),"")))</f>
        <v/>
      </c>
      <c r="J4912" s="16">
        <f>IF(OR(D4912="",F4912=""),"",F4912*I4912-N(H4912))</f>
        <v/>
      </c>
      <c r="K4912" s="16">
        <f>IF(OR(D4912="",F4912=""),"",F4912*IFERROR(INDEX('Sản phẩm'!$D$5:$D$304,MATCH(D4912,'Sản phẩm'!$A$5:$A$304,0)),""))</f>
        <v/>
      </c>
      <c r="L4912" s="16">
        <f>IF(J4912="","",J4912-K4912)</f>
        <v/>
      </c>
      <c r="M4912" s="14">
        <f>IF(A4912="","",MONTH(A4912))</f>
        <v/>
      </c>
      <c r="N4912" s="14">
        <f>IF(A4912="","",YEAR(A4912))</f>
        <v/>
      </c>
    </row>
    <row r="4913">
      <c r="A4913" s="15" t="n"/>
      <c r="B4913" s="10" t="n"/>
      <c r="C4913" s="10" t="n"/>
      <c r="D4913" s="10" t="n"/>
      <c r="E4913" s="14">
        <f>IF(D4913="","",IFERROR(INDEX('Sản phẩm'!$B$5:$B$304,MATCH(D4913,'Sản phẩm'!$A$5:$A$304,0)),""))</f>
        <v/>
      </c>
      <c r="F4913" s="12" t="n"/>
      <c r="G4913" s="11" t="n"/>
      <c r="H4913" s="11" t="n"/>
      <c r="I4913" s="16">
        <f>IF(D4913="","",IF(G4913&lt;&gt;"",G4913,IFERROR(INDEX('Sản phẩm'!$E$5:$E$304,MATCH(D4913,'Sản phẩm'!$A$5:$A$304,0)),"")))</f>
        <v/>
      </c>
      <c r="J4913" s="16">
        <f>IF(OR(D4913="",F4913=""),"",F4913*I4913-N(H4913))</f>
        <v/>
      </c>
      <c r="K4913" s="16">
        <f>IF(OR(D4913="",F4913=""),"",F4913*IFERROR(INDEX('Sản phẩm'!$D$5:$D$304,MATCH(D4913,'Sản phẩm'!$A$5:$A$304,0)),""))</f>
        <v/>
      </c>
      <c r="L4913" s="16">
        <f>IF(J4913="","",J4913-K4913)</f>
        <v/>
      </c>
      <c r="M4913" s="14">
        <f>IF(A4913="","",MONTH(A4913))</f>
        <v/>
      </c>
      <c r="N4913" s="14">
        <f>IF(A4913="","",YEAR(A4913))</f>
        <v/>
      </c>
    </row>
    <row r="4914">
      <c r="A4914" s="15" t="n"/>
      <c r="B4914" s="10" t="n"/>
      <c r="C4914" s="10" t="n"/>
      <c r="D4914" s="10" t="n"/>
      <c r="E4914" s="14">
        <f>IF(D4914="","",IFERROR(INDEX('Sản phẩm'!$B$5:$B$304,MATCH(D4914,'Sản phẩm'!$A$5:$A$304,0)),""))</f>
        <v/>
      </c>
      <c r="F4914" s="12" t="n"/>
      <c r="G4914" s="11" t="n"/>
      <c r="H4914" s="11" t="n"/>
      <c r="I4914" s="16">
        <f>IF(D4914="","",IF(G4914&lt;&gt;"",G4914,IFERROR(INDEX('Sản phẩm'!$E$5:$E$304,MATCH(D4914,'Sản phẩm'!$A$5:$A$304,0)),"")))</f>
        <v/>
      </c>
      <c r="J4914" s="16">
        <f>IF(OR(D4914="",F4914=""),"",F4914*I4914-N(H4914))</f>
        <v/>
      </c>
      <c r="K4914" s="16">
        <f>IF(OR(D4914="",F4914=""),"",F4914*IFERROR(INDEX('Sản phẩm'!$D$5:$D$304,MATCH(D4914,'Sản phẩm'!$A$5:$A$304,0)),""))</f>
        <v/>
      </c>
      <c r="L4914" s="16">
        <f>IF(J4914="","",J4914-K4914)</f>
        <v/>
      </c>
      <c r="M4914" s="14">
        <f>IF(A4914="","",MONTH(A4914))</f>
        <v/>
      </c>
      <c r="N4914" s="14">
        <f>IF(A4914="","",YEAR(A4914))</f>
        <v/>
      </c>
    </row>
    <row r="4915">
      <c r="A4915" s="15" t="n"/>
      <c r="B4915" s="10" t="n"/>
      <c r="C4915" s="10" t="n"/>
      <c r="D4915" s="10" t="n"/>
      <c r="E4915" s="14">
        <f>IF(D4915="","",IFERROR(INDEX('Sản phẩm'!$B$5:$B$304,MATCH(D4915,'Sản phẩm'!$A$5:$A$304,0)),""))</f>
        <v/>
      </c>
      <c r="F4915" s="12" t="n"/>
      <c r="G4915" s="11" t="n"/>
      <c r="H4915" s="11" t="n"/>
      <c r="I4915" s="16">
        <f>IF(D4915="","",IF(G4915&lt;&gt;"",G4915,IFERROR(INDEX('Sản phẩm'!$E$5:$E$304,MATCH(D4915,'Sản phẩm'!$A$5:$A$304,0)),"")))</f>
        <v/>
      </c>
      <c r="J4915" s="16">
        <f>IF(OR(D4915="",F4915=""),"",F4915*I4915-N(H4915))</f>
        <v/>
      </c>
      <c r="K4915" s="16">
        <f>IF(OR(D4915="",F4915=""),"",F4915*IFERROR(INDEX('Sản phẩm'!$D$5:$D$304,MATCH(D4915,'Sản phẩm'!$A$5:$A$304,0)),""))</f>
        <v/>
      </c>
      <c r="L4915" s="16">
        <f>IF(J4915="","",J4915-K4915)</f>
        <v/>
      </c>
      <c r="M4915" s="14">
        <f>IF(A4915="","",MONTH(A4915))</f>
        <v/>
      </c>
      <c r="N4915" s="14">
        <f>IF(A4915="","",YEAR(A4915))</f>
        <v/>
      </c>
    </row>
    <row r="4916">
      <c r="A4916" s="15" t="n"/>
      <c r="B4916" s="10" t="n"/>
      <c r="C4916" s="10" t="n"/>
      <c r="D4916" s="10" t="n"/>
      <c r="E4916" s="14">
        <f>IF(D4916="","",IFERROR(INDEX('Sản phẩm'!$B$5:$B$304,MATCH(D4916,'Sản phẩm'!$A$5:$A$304,0)),""))</f>
        <v/>
      </c>
      <c r="F4916" s="12" t="n"/>
      <c r="G4916" s="11" t="n"/>
      <c r="H4916" s="11" t="n"/>
      <c r="I4916" s="16">
        <f>IF(D4916="","",IF(G4916&lt;&gt;"",G4916,IFERROR(INDEX('Sản phẩm'!$E$5:$E$304,MATCH(D4916,'Sản phẩm'!$A$5:$A$304,0)),"")))</f>
        <v/>
      </c>
      <c r="J4916" s="16">
        <f>IF(OR(D4916="",F4916=""),"",F4916*I4916-N(H4916))</f>
        <v/>
      </c>
      <c r="K4916" s="16">
        <f>IF(OR(D4916="",F4916=""),"",F4916*IFERROR(INDEX('Sản phẩm'!$D$5:$D$304,MATCH(D4916,'Sản phẩm'!$A$5:$A$304,0)),""))</f>
        <v/>
      </c>
      <c r="L4916" s="16">
        <f>IF(J4916="","",J4916-K4916)</f>
        <v/>
      </c>
      <c r="M4916" s="14">
        <f>IF(A4916="","",MONTH(A4916))</f>
        <v/>
      </c>
      <c r="N4916" s="14">
        <f>IF(A4916="","",YEAR(A4916))</f>
        <v/>
      </c>
    </row>
    <row r="4917">
      <c r="A4917" s="15" t="n"/>
      <c r="B4917" s="10" t="n"/>
      <c r="C4917" s="10" t="n"/>
      <c r="D4917" s="10" t="n"/>
      <c r="E4917" s="14">
        <f>IF(D4917="","",IFERROR(INDEX('Sản phẩm'!$B$5:$B$304,MATCH(D4917,'Sản phẩm'!$A$5:$A$304,0)),""))</f>
        <v/>
      </c>
      <c r="F4917" s="12" t="n"/>
      <c r="G4917" s="11" t="n"/>
      <c r="H4917" s="11" t="n"/>
      <c r="I4917" s="16">
        <f>IF(D4917="","",IF(G4917&lt;&gt;"",G4917,IFERROR(INDEX('Sản phẩm'!$E$5:$E$304,MATCH(D4917,'Sản phẩm'!$A$5:$A$304,0)),"")))</f>
        <v/>
      </c>
      <c r="J4917" s="16">
        <f>IF(OR(D4917="",F4917=""),"",F4917*I4917-N(H4917))</f>
        <v/>
      </c>
      <c r="K4917" s="16">
        <f>IF(OR(D4917="",F4917=""),"",F4917*IFERROR(INDEX('Sản phẩm'!$D$5:$D$304,MATCH(D4917,'Sản phẩm'!$A$5:$A$304,0)),""))</f>
        <v/>
      </c>
      <c r="L4917" s="16">
        <f>IF(J4917="","",J4917-K4917)</f>
        <v/>
      </c>
      <c r="M4917" s="14">
        <f>IF(A4917="","",MONTH(A4917))</f>
        <v/>
      </c>
      <c r="N4917" s="14">
        <f>IF(A4917="","",YEAR(A4917))</f>
        <v/>
      </c>
    </row>
    <row r="4918">
      <c r="A4918" s="15" t="n"/>
      <c r="B4918" s="10" t="n"/>
      <c r="C4918" s="10" t="n"/>
      <c r="D4918" s="10" t="n"/>
      <c r="E4918" s="14">
        <f>IF(D4918="","",IFERROR(INDEX('Sản phẩm'!$B$5:$B$304,MATCH(D4918,'Sản phẩm'!$A$5:$A$304,0)),""))</f>
        <v/>
      </c>
      <c r="F4918" s="12" t="n"/>
      <c r="G4918" s="11" t="n"/>
      <c r="H4918" s="11" t="n"/>
      <c r="I4918" s="16">
        <f>IF(D4918="","",IF(G4918&lt;&gt;"",G4918,IFERROR(INDEX('Sản phẩm'!$E$5:$E$304,MATCH(D4918,'Sản phẩm'!$A$5:$A$304,0)),"")))</f>
        <v/>
      </c>
      <c r="J4918" s="16">
        <f>IF(OR(D4918="",F4918=""),"",F4918*I4918-N(H4918))</f>
        <v/>
      </c>
      <c r="K4918" s="16">
        <f>IF(OR(D4918="",F4918=""),"",F4918*IFERROR(INDEX('Sản phẩm'!$D$5:$D$304,MATCH(D4918,'Sản phẩm'!$A$5:$A$304,0)),""))</f>
        <v/>
      </c>
      <c r="L4918" s="16">
        <f>IF(J4918="","",J4918-K4918)</f>
        <v/>
      </c>
      <c r="M4918" s="14">
        <f>IF(A4918="","",MONTH(A4918))</f>
        <v/>
      </c>
      <c r="N4918" s="14">
        <f>IF(A4918="","",YEAR(A4918))</f>
        <v/>
      </c>
    </row>
    <row r="4919">
      <c r="A4919" s="15" t="n"/>
      <c r="B4919" s="10" t="n"/>
      <c r="C4919" s="10" t="n"/>
      <c r="D4919" s="10" t="n"/>
      <c r="E4919" s="14">
        <f>IF(D4919="","",IFERROR(INDEX('Sản phẩm'!$B$5:$B$304,MATCH(D4919,'Sản phẩm'!$A$5:$A$304,0)),""))</f>
        <v/>
      </c>
      <c r="F4919" s="12" t="n"/>
      <c r="G4919" s="11" t="n"/>
      <c r="H4919" s="11" t="n"/>
      <c r="I4919" s="16">
        <f>IF(D4919="","",IF(G4919&lt;&gt;"",G4919,IFERROR(INDEX('Sản phẩm'!$E$5:$E$304,MATCH(D4919,'Sản phẩm'!$A$5:$A$304,0)),"")))</f>
        <v/>
      </c>
      <c r="J4919" s="16">
        <f>IF(OR(D4919="",F4919=""),"",F4919*I4919-N(H4919))</f>
        <v/>
      </c>
      <c r="K4919" s="16">
        <f>IF(OR(D4919="",F4919=""),"",F4919*IFERROR(INDEX('Sản phẩm'!$D$5:$D$304,MATCH(D4919,'Sản phẩm'!$A$5:$A$304,0)),""))</f>
        <v/>
      </c>
      <c r="L4919" s="16">
        <f>IF(J4919="","",J4919-K4919)</f>
        <v/>
      </c>
      <c r="M4919" s="14">
        <f>IF(A4919="","",MONTH(A4919))</f>
        <v/>
      </c>
      <c r="N4919" s="14">
        <f>IF(A4919="","",YEAR(A4919))</f>
        <v/>
      </c>
    </row>
    <row r="4920">
      <c r="A4920" s="15" t="n"/>
      <c r="B4920" s="10" t="n"/>
      <c r="C4920" s="10" t="n"/>
      <c r="D4920" s="10" t="n"/>
      <c r="E4920" s="14">
        <f>IF(D4920="","",IFERROR(INDEX('Sản phẩm'!$B$5:$B$304,MATCH(D4920,'Sản phẩm'!$A$5:$A$304,0)),""))</f>
        <v/>
      </c>
      <c r="F4920" s="12" t="n"/>
      <c r="G4920" s="11" t="n"/>
      <c r="H4920" s="11" t="n"/>
      <c r="I4920" s="16">
        <f>IF(D4920="","",IF(G4920&lt;&gt;"",G4920,IFERROR(INDEX('Sản phẩm'!$E$5:$E$304,MATCH(D4920,'Sản phẩm'!$A$5:$A$304,0)),"")))</f>
        <v/>
      </c>
      <c r="J4920" s="16">
        <f>IF(OR(D4920="",F4920=""),"",F4920*I4920-N(H4920))</f>
        <v/>
      </c>
      <c r="K4920" s="16">
        <f>IF(OR(D4920="",F4920=""),"",F4920*IFERROR(INDEX('Sản phẩm'!$D$5:$D$304,MATCH(D4920,'Sản phẩm'!$A$5:$A$304,0)),""))</f>
        <v/>
      </c>
      <c r="L4920" s="16">
        <f>IF(J4920="","",J4920-K4920)</f>
        <v/>
      </c>
      <c r="M4920" s="14">
        <f>IF(A4920="","",MONTH(A4920))</f>
        <v/>
      </c>
      <c r="N4920" s="14">
        <f>IF(A4920="","",YEAR(A4920))</f>
        <v/>
      </c>
    </row>
    <row r="4921">
      <c r="A4921" s="15" t="n"/>
      <c r="B4921" s="10" t="n"/>
      <c r="C4921" s="10" t="n"/>
      <c r="D4921" s="10" t="n"/>
      <c r="E4921" s="14">
        <f>IF(D4921="","",IFERROR(INDEX('Sản phẩm'!$B$5:$B$304,MATCH(D4921,'Sản phẩm'!$A$5:$A$304,0)),""))</f>
        <v/>
      </c>
      <c r="F4921" s="12" t="n"/>
      <c r="G4921" s="11" t="n"/>
      <c r="H4921" s="11" t="n"/>
      <c r="I4921" s="16">
        <f>IF(D4921="","",IF(G4921&lt;&gt;"",G4921,IFERROR(INDEX('Sản phẩm'!$E$5:$E$304,MATCH(D4921,'Sản phẩm'!$A$5:$A$304,0)),"")))</f>
        <v/>
      </c>
      <c r="J4921" s="16">
        <f>IF(OR(D4921="",F4921=""),"",F4921*I4921-N(H4921))</f>
        <v/>
      </c>
      <c r="K4921" s="16">
        <f>IF(OR(D4921="",F4921=""),"",F4921*IFERROR(INDEX('Sản phẩm'!$D$5:$D$304,MATCH(D4921,'Sản phẩm'!$A$5:$A$304,0)),""))</f>
        <v/>
      </c>
      <c r="L4921" s="16">
        <f>IF(J4921="","",J4921-K4921)</f>
        <v/>
      </c>
      <c r="M4921" s="14">
        <f>IF(A4921="","",MONTH(A4921))</f>
        <v/>
      </c>
      <c r="N4921" s="14">
        <f>IF(A4921="","",YEAR(A4921))</f>
        <v/>
      </c>
    </row>
    <row r="4922">
      <c r="A4922" s="15" t="n"/>
      <c r="B4922" s="10" t="n"/>
      <c r="C4922" s="10" t="n"/>
      <c r="D4922" s="10" t="n"/>
      <c r="E4922" s="14">
        <f>IF(D4922="","",IFERROR(INDEX('Sản phẩm'!$B$5:$B$304,MATCH(D4922,'Sản phẩm'!$A$5:$A$304,0)),""))</f>
        <v/>
      </c>
      <c r="F4922" s="12" t="n"/>
      <c r="G4922" s="11" t="n"/>
      <c r="H4922" s="11" t="n"/>
      <c r="I4922" s="16">
        <f>IF(D4922="","",IF(G4922&lt;&gt;"",G4922,IFERROR(INDEX('Sản phẩm'!$E$5:$E$304,MATCH(D4922,'Sản phẩm'!$A$5:$A$304,0)),"")))</f>
        <v/>
      </c>
      <c r="J4922" s="16">
        <f>IF(OR(D4922="",F4922=""),"",F4922*I4922-N(H4922))</f>
        <v/>
      </c>
      <c r="K4922" s="16">
        <f>IF(OR(D4922="",F4922=""),"",F4922*IFERROR(INDEX('Sản phẩm'!$D$5:$D$304,MATCH(D4922,'Sản phẩm'!$A$5:$A$304,0)),""))</f>
        <v/>
      </c>
      <c r="L4922" s="16">
        <f>IF(J4922="","",J4922-K4922)</f>
        <v/>
      </c>
      <c r="M4922" s="14">
        <f>IF(A4922="","",MONTH(A4922))</f>
        <v/>
      </c>
      <c r="N4922" s="14">
        <f>IF(A4922="","",YEAR(A4922))</f>
        <v/>
      </c>
    </row>
    <row r="4923">
      <c r="A4923" s="15" t="n"/>
      <c r="B4923" s="10" t="n"/>
      <c r="C4923" s="10" t="n"/>
      <c r="D4923" s="10" t="n"/>
      <c r="E4923" s="14">
        <f>IF(D4923="","",IFERROR(INDEX('Sản phẩm'!$B$5:$B$304,MATCH(D4923,'Sản phẩm'!$A$5:$A$304,0)),""))</f>
        <v/>
      </c>
      <c r="F4923" s="12" t="n"/>
      <c r="G4923" s="11" t="n"/>
      <c r="H4923" s="11" t="n"/>
      <c r="I4923" s="16">
        <f>IF(D4923="","",IF(G4923&lt;&gt;"",G4923,IFERROR(INDEX('Sản phẩm'!$E$5:$E$304,MATCH(D4923,'Sản phẩm'!$A$5:$A$304,0)),"")))</f>
        <v/>
      </c>
      <c r="J4923" s="16">
        <f>IF(OR(D4923="",F4923=""),"",F4923*I4923-N(H4923))</f>
        <v/>
      </c>
      <c r="K4923" s="16">
        <f>IF(OR(D4923="",F4923=""),"",F4923*IFERROR(INDEX('Sản phẩm'!$D$5:$D$304,MATCH(D4923,'Sản phẩm'!$A$5:$A$304,0)),""))</f>
        <v/>
      </c>
      <c r="L4923" s="16">
        <f>IF(J4923="","",J4923-K4923)</f>
        <v/>
      </c>
      <c r="M4923" s="14">
        <f>IF(A4923="","",MONTH(A4923))</f>
        <v/>
      </c>
      <c r="N4923" s="14">
        <f>IF(A4923="","",YEAR(A4923))</f>
        <v/>
      </c>
    </row>
    <row r="4924">
      <c r="A4924" s="15" t="n"/>
      <c r="B4924" s="10" t="n"/>
      <c r="C4924" s="10" t="n"/>
      <c r="D4924" s="10" t="n"/>
      <c r="E4924" s="14">
        <f>IF(D4924="","",IFERROR(INDEX('Sản phẩm'!$B$5:$B$304,MATCH(D4924,'Sản phẩm'!$A$5:$A$304,0)),""))</f>
        <v/>
      </c>
      <c r="F4924" s="12" t="n"/>
      <c r="G4924" s="11" t="n"/>
      <c r="H4924" s="11" t="n"/>
      <c r="I4924" s="16">
        <f>IF(D4924="","",IF(G4924&lt;&gt;"",G4924,IFERROR(INDEX('Sản phẩm'!$E$5:$E$304,MATCH(D4924,'Sản phẩm'!$A$5:$A$304,0)),"")))</f>
        <v/>
      </c>
      <c r="J4924" s="16">
        <f>IF(OR(D4924="",F4924=""),"",F4924*I4924-N(H4924))</f>
        <v/>
      </c>
      <c r="K4924" s="16">
        <f>IF(OR(D4924="",F4924=""),"",F4924*IFERROR(INDEX('Sản phẩm'!$D$5:$D$304,MATCH(D4924,'Sản phẩm'!$A$5:$A$304,0)),""))</f>
        <v/>
      </c>
      <c r="L4924" s="16">
        <f>IF(J4924="","",J4924-K4924)</f>
        <v/>
      </c>
      <c r="M4924" s="14">
        <f>IF(A4924="","",MONTH(A4924))</f>
        <v/>
      </c>
      <c r="N4924" s="14">
        <f>IF(A4924="","",YEAR(A4924))</f>
        <v/>
      </c>
    </row>
    <row r="4925">
      <c r="A4925" s="15" t="n"/>
      <c r="B4925" s="10" t="n"/>
      <c r="C4925" s="10" t="n"/>
      <c r="D4925" s="10" t="n"/>
      <c r="E4925" s="14">
        <f>IF(D4925="","",IFERROR(INDEX('Sản phẩm'!$B$5:$B$304,MATCH(D4925,'Sản phẩm'!$A$5:$A$304,0)),""))</f>
        <v/>
      </c>
      <c r="F4925" s="12" t="n"/>
      <c r="G4925" s="11" t="n"/>
      <c r="H4925" s="11" t="n"/>
      <c r="I4925" s="16">
        <f>IF(D4925="","",IF(G4925&lt;&gt;"",G4925,IFERROR(INDEX('Sản phẩm'!$E$5:$E$304,MATCH(D4925,'Sản phẩm'!$A$5:$A$304,0)),"")))</f>
        <v/>
      </c>
      <c r="J4925" s="16">
        <f>IF(OR(D4925="",F4925=""),"",F4925*I4925-N(H4925))</f>
        <v/>
      </c>
      <c r="K4925" s="16">
        <f>IF(OR(D4925="",F4925=""),"",F4925*IFERROR(INDEX('Sản phẩm'!$D$5:$D$304,MATCH(D4925,'Sản phẩm'!$A$5:$A$304,0)),""))</f>
        <v/>
      </c>
      <c r="L4925" s="16">
        <f>IF(J4925="","",J4925-K4925)</f>
        <v/>
      </c>
      <c r="M4925" s="14">
        <f>IF(A4925="","",MONTH(A4925))</f>
        <v/>
      </c>
      <c r="N4925" s="14">
        <f>IF(A4925="","",YEAR(A4925))</f>
        <v/>
      </c>
    </row>
    <row r="4926">
      <c r="A4926" s="15" t="n"/>
      <c r="B4926" s="10" t="n"/>
      <c r="C4926" s="10" t="n"/>
      <c r="D4926" s="10" t="n"/>
      <c r="E4926" s="14">
        <f>IF(D4926="","",IFERROR(INDEX('Sản phẩm'!$B$5:$B$304,MATCH(D4926,'Sản phẩm'!$A$5:$A$304,0)),""))</f>
        <v/>
      </c>
      <c r="F4926" s="12" t="n"/>
      <c r="G4926" s="11" t="n"/>
      <c r="H4926" s="11" t="n"/>
      <c r="I4926" s="16">
        <f>IF(D4926="","",IF(G4926&lt;&gt;"",G4926,IFERROR(INDEX('Sản phẩm'!$E$5:$E$304,MATCH(D4926,'Sản phẩm'!$A$5:$A$304,0)),"")))</f>
        <v/>
      </c>
      <c r="J4926" s="16">
        <f>IF(OR(D4926="",F4926=""),"",F4926*I4926-N(H4926))</f>
        <v/>
      </c>
      <c r="K4926" s="16">
        <f>IF(OR(D4926="",F4926=""),"",F4926*IFERROR(INDEX('Sản phẩm'!$D$5:$D$304,MATCH(D4926,'Sản phẩm'!$A$5:$A$304,0)),""))</f>
        <v/>
      </c>
      <c r="L4926" s="16">
        <f>IF(J4926="","",J4926-K4926)</f>
        <v/>
      </c>
      <c r="M4926" s="14">
        <f>IF(A4926="","",MONTH(A4926))</f>
        <v/>
      </c>
      <c r="N4926" s="14">
        <f>IF(A4926="","",YEAR(A4926))</f>
        <v/>
      </c>
    </row>
    <row r="4927">
      <c r="A4927" s="15" t="n"/>
      <c r="B4927" s="10" t="n"/>
      <c r="C4927" s="10" t="n"/>
      <c r="D4927" s="10" t="n"/>
      <c r="E4927" s="14">
        <f>IF(D4927="","",IFERROR(INDEX('Sản phẩm'!$B$5:$B$304,MATCH(D4927,'Sản phẩm'!$A$5:$A$304,0)),""))</f>
        <v/>
      </c>
      <c r="F4927" s="12" t="n"/>
      <c r="G4927" s="11" t="n"/>
      <c r="H4927" s="11" t="n"/>
      <c r="I4927" s="16">
        <f>IF(D4927="","",IF(G4927&lt;&gt;"",G4927,IFERROR(INDEX('Sản phẩm'!$E$5:$E$304,MATCH(D4927,'Sản phẩm'!$A$5:$A$304,0)),"")))</f>
        <v/>
      </c>
      <c r="J4927" s="16">
        <f>IF(OR(D4927="",F4927=""),"",F4927*I4927-N(H4927))</f>
        <v/>
      </c>
      <c r="K4927" s="16">
        <f>IF(OR(D4927="",F4927=""),"",F4927*IFERROR(INDEX('Sản phẩm'!$D$5:$D$304,MATCH(D4927,'Sản phẩm'!$A$5:$A$304,0)),""))</f>
        <v/>
      </c>
      <c r="L4927" s="16">
        <f>IF(J4927="","",J4927-K4927)</f>
        <v/>
      </c>
      <c r="M4927" s="14">
        <f>IF(A4927="","",MONTH(A4927))</f>
        <v/>
      </c>
      <c r="N4927" s="14">
        <f>IF(A4927="","",YEAR(A4927))</f>
        <v/>
      </c>
    </row>
    <row r="4928">
      <c r="A4928" s="15" t="n"/>
      <c r="B4928" s="10" t="n"/>
      <c r="C4928" s="10" t="n"/>
      <c r="D4928" s="10" t="n"/>
      <c r="E4928" s="14">
        <f>IF(D4928="","",IFERROR(INDEX('Sản phẩm'!$B$5:$B$304,MATCH(D4928,'Sản phẩm'!$A$5:$A$304,0)),""))</f>
        <v/>
      </c>
      <c r="F4928" s="12" t="n"/>
      <c r="G4928" s="11" t="n"/>
      <c r="H4928" s="11" t="n"/>
      <c r="I4928" s="16">
        <f>IF(D4928="","",IF(G4928&lt;&gt;"",G4928,IFERROR(INDEX('Sản phẩm'!$E$5:$E$304,MATCH(D4928,'Sản phẩm'!$A$5:$A$304,0)),"")))</f>
        <v/>
      </c>
      <c r="J4928" s="16">
        <f>IF(OR(D4928="",F4928=""),"",F4928*I4928-N(H4928))</f>
        <v/>
      </c>
      <c r="K4928" s="16">
        <f>IF(OR(D4928="",F4928=""),"",F4928*IFERROR(INDEX('Sản phẩm'!$D$5:$D$304,MATCH(D4928,'Sản phẩm'!$A$5:$A$304,0)),""))</f>
        <v/>
      </c>
      <c r="L4928" s="16">
        <f>IF(J4928="","",J4928-K4928)</f>
        <v/>
      </c>
      <c r="M4928" s="14">
        <f>IF(A4928="","",MONTH(A4928))</f>
        <v/>
      </c>
      <c r="N4928" s="14">
        <f>IF(A4928="","",YEAR(A4928))</f>
        <v/>
      </c>
    </row>
    <row r="4929">
      <c r="A4929" s="15" t="n"/>
      <c r="B4929" s="10" t="n"/>
      <c r="C4929" s="10" t="n"/>
      <c r="D4929" s="10" t="n"/>
      <c r="E4929" s="14">
        <f>IF(D4929="","",IFERROR(INDEX('Sản phẩm'!$B$5:$B$304,MATCH(D4929,'Sản phẩm'!$A$5:$A$304,0)),""))</f>
        <v/>
      </c>
      <c r="F4929" s="12" t="n"/>
      <c r="G4929" s="11" t="n"/>
      <c r="H4929" s="11" t="n"/>
      <c r="I4929" s="16">
        <f>IF(D4929="","",IF(G4929&lt;&gt;"",G4929,IFERROR(INDEX('Sản phẩm'!$E$5:$E$304,MATCH(D4929,'Sản phẩm'!$A$5:$A$304,0)),"")))</f>
        <v/>
      </c>
      <c r="J4929" s="16">
        <f>IF(OR(D4929="",F4929=""),"",F4929*I4929-N(H4929))</f>
        <v/>
      </c>
      <c r="K4929" s="16">
        <f>IF(OR(D4929="",F4929=""),"",F4929*IFERROR(INDEX('Sản phẩm'!$D$5:$D$304,MATCH(D4929,'Sản phẩm'!$A$5:$A$304,0)),""))</f>
        <v/>
      </c>
      <c r="L4929" s="16">
        <f>IF(J4929="","",J4929-K4929)</f>
        <v/>
      </c>
      <c r="M4929" s="14">
        <f>IF(A4929="","",MONTH(A4929))</f>
        <v/>
      </c>
      <c r="N4929" s="14">
        <f>IF(A4929="","",YEAR(A4929))</f>
        <v/>
      </c>
    </row>
    <row r="4930">
      <c r="A4930" s="15" t="n"/>
      <c r="B4930" s="10" t="n"/>
      <c r="C4930" s="10" t="n"/>
      <c r="D4930" s="10" t="n"/>
      <c r="E4930" s="14">
        <f>IF(D4930="","",IFERROR(INDEX('Sản phẩm'!$B$5:$B$304,MATCH(D4930,'Sản phẩm'!$A$5:$A$304,0)),""))</f>
        <v/>
      </c>
      <c r="F4930" s="12" t="n"/>
      <c r="G4930" s="11" t="n"/>
      <c r="H4930" s="11" t="n"/>
      <c r="I4930" s="16">
        <f>IF(D4930="","",IF(G4930&lt;&gt;"",G4930,IFERROR(INDEX('Sản phẩm'!$E$5:$E$304,MATCH(D4930,'Sản phẩm'!$A$5:$A$304,0)),"")))</f>
        <v/>
      </c>
      <c r="J4930" s="16">
        <f>IF(OR(D4930="",F4930=""),"",F4930*I4930-N(H4930))</f>
        <v/>
      </c>
      <c r="K4930" s="16">
        <f>IF(OR(D4930="",F4930=""),"",F4930*IFERROR(INDEX('Sản phẩm'!$D$5:$D$304,MATCH(D4930,'Sản phẩm'!$A$5:$A$304,0)),""))</f>
        <v/>
      </c>
      <c r="L4930" s="16">
        <f>IF(J4930="","",J4930-K4930)</f>
        <v/>
      </c>
      <c r="M4930" s="14">
        <f>IF(A4930="","",MONTH(A4930))</f>
        <v/>
      </c>
      <c r="N4930" s="14">
        <f>IF(A4930="","",YEAR(A4930))</f>
        <v/>
      </c>
    </row>
    <row r="4931">
      <c r="A4931" s="15" t="n"/>
      <c r="B4931" s="10" t="n"/>
      <c r="C4931" s="10" t="n"/>
      <c r="D4931" s="10" t="n"/>
      <c r="E4931" s="14">
        <f>IF(D4931="","",IFERROR(INDEX('Sản phẩm'!$B$5:$B$304,MATCH(D4931,'Sản phẩm'!$A$5:$A$304,0)),""))</f>
        <v/>
      </c>
      <c r="F4931" s="12" t="n"/>
      <c r="G4931" s="11" t="n"/>
      <c r="H4931" s="11" t="n"/>
      <c r="I4931" s="16">
        <f>IF(D4931="","",IF(G4931&lt;&gt;"",G4931,IFERROR(INDEX('Sản phẩm'!$E$5:$E$304,MATCH(D4931,'Sản phẩm'!$A$5:$A$304,0)),"")))</f>
        <v/>
      </c>
      <c r="J4931" s="16">
        <f>IF(OR(D4931="",F4931=""),"",F4931*I4931-N(H4931))</f>
        <v/>
      </c>
      <c r="K4931" s="16">
        <f>IF(OR(D4931="",F4931=""),"",F4931*IFERROR(INDEX('Sản phẩm'!$D$5:$D$304,MATCH(D4931,'Sản phẩm'!$A$5:$A$304,0)),""))</f>
        <v/>
      </c>
      <c r="L4931" s="16">
        <f>IF(J4931="","",J4931-K4931)</f>
        <v/>
      </c>
      <c r="M4931" s="14">
        <f>IF(A4931="","",MONTH(A4931))</f>
        <v/>
      </c>
      <c r="N4931" s="14">
        <f>IF(A4931="","",YEAR(A4931))</f>
        <v/>
      </c>
    </row>
    <row r="4932">
      <c r="A4932" s="15" t="n"/>
      <c r="B4932" s="10" t="n"/>
      <c r="C4932" s="10" t="n"/>
      <c r="D4932" s="10" t="n"/>
      <c r="E4932" s="14">
        <f>IF(D4932="","",IFERROR(INDEX('Sản phẩm'!$B$5:$B$304,MATCH(D4932,'Sản phẩm'!$A$5:$A$304,0)),""))</f>
        <v/>
      </c>
      <c r="F4932" s="12" t="n"/>
      <c r="G4932" s="11" t="n"/>
      <c r="H4932" s="11" t="n"/>
      <c r="I4932" s="16">
        <f>IF(D4932="","",IF(G4932&lt;&gt;"",G4932,IFERROR(INDEX('Sản phẩm'!$E$5:$E$304,MATCH(D4932,'Sản phẩm'!$A$5:$A$304,0)),"")))</f>
        <v/>
      </c>
      <c r="J4932" s="16">
        <f>IF(OR(D4932="",F4932=""),"",F4932*I4932-N(H4932))</f>
        <v/>
      </c>
      <c r="K4932" s="16">
        <f>IF(OR(D4932="",F4932=""),"",F4932*IFERROR(INDEX('Sản phẩm'!$D$5:$D$304,MATCH(D4932,'Sản phẩm'!$A$5:$A$304,0)),""))</f>
        <v/>
      </c>
      <c r="L4932" s="16">
        <f>IF(J4932="","",J4932-K4932)</f>
        <v/>
      </c>
      <c r="M4932" s="14">
        <f>IF(A4932="","",MONTH(A4932))</f>
        <v/>
      </c>
      <c r="N4932" s="14">
        <f>IF(A4932="","",YEAR(A4932))</f>
        <v/>
      </c>
    </row>
    <row r="4933">
      <c r="A4933" s="15" t="n"/>
      <c r="B4933" s="10" t="n"/>
      <c r="C4933" s="10" t="n"/>
      <c r="D4933" s="10" t="n"/>
      <c r="E4933" s="14">
        <f>IF(D4933="","",IFERROR(INDEX('Sản phẩm'!$B$5:$B$304,MATCH(D4933,'Sản phẩm'!$A$5:$A$304,0)),""))</f>
        <v/>
      </c>
      <c r="F4933" s="12" t="n"/>
      <c r="G4933" s="11" t="n"/>
      <c r="H4933" s="11" t="n"/>
      <c r="I4933" s="16">
        <f>IF(D4933="","",IF(G4933&lt;&gt;"",G4933,IFERROR(INDEX('Sản phẩm'!$E$5:$E$304,MATCH(D4933,'Sản phẩm'!$A$5:$A$304,0)),"")))</f>
        <v/>
      </c>
      <c r="J4933" s="16">
        <f>IF(OR(D4933="",F4933=""),"",F4933*I4933-N(H4933))</f>
        <v/>
      </c>
      <c r="K4933" s="16">
        <f>IF(OR(D4933="",F4933=""),"",F4933*IFERROR(INDEX('Sản phẩm'!$D$5:$D$304,MATCH(D4933,'Sản phẩm'!$A$5:$A$304,0)),""))</f>
        <v/>
      </c>
      <c r="L4933" s="16">
        <f>IF(J4933="","",J4933-K4933)</f>
        <v/>
      </c>
      <c r="M4933" s="14">
        <f>IF(A4933="","",MONTH(A4933))</f>
        <v/>
      </c>
      <c r="N4933" s="14">
        <f>IF(A4933="","",YEAR(A4933))</f>
        <v/>
      </c>
    </row>
    <row r="4934">
      <c r="A4934" s="15" t="n"/>
      <c r="B4934" s="10" t="n"/>
      <c r="C4934" s="10" t="n"/>
      <c r="D4934" s="10" t="n"/>
      <c r="E4934" s="14">
        <f>IF(D4934="","",IFERROR(INDEX('Sản phẩm'!$B$5:$B$304,MATCH(D4934,'Sản phẩm'!$A$5:$A$304,0)),""))</f>
        <v/>
      </c>
      <c r="F4934" s="12" t="n"/>
      <c r="G4934" s="11" t="n"/>
      <c r="H4934" s="11" t="n"/>
      <c r="I4934" s="16">
        <f>IF(D4934="","",IF(G4934&lt;&gt;"",G4934,IFERROR(INDEX('Sản phẩm'!$E$5:$E$304,MATCH(D4934,'Sản phẩm'!$A$5:$A$304,0)),"")))</f>
        <v/>
      </c>
      <c r="J4934" s="16">
        <f>IF(OR(D4934="",F4934=""),"",F4934*I4934-N(H4934))</f>
        <v/>
      </c>
      <c r="K4934" s="16">
        <f>IF(OR(D4934="",F4934=""),"",F4934*IFERROR(INDEX('Sản phẩm'!$D$5:$D$304,MATCH(D4934,'Sản phẩm'!$A$5:$A$304,0)),""))</f>
        <v/>
      </c>
      <c r="L4934" s="16">
        <f>IF(J4934="","",J4934-K4934)</f>
        <v/>
      </c>
      <c r="M4934" s="14">
        <f>IF(A4934="","",MONTH(A4934))</f>
        <v/>
      </c>
      <c r="N4934" s="14">
        <f>IF(A4934="","",YEAR(A4934))</f>
        <v/>
      </c>
    </row>
    <row r="4935">
      <c r="A4935" s="15" t="n"/>
      <c r="B4935" s="10" t="n"/>
      <c r="C4935" s="10" t="n"/>
      <c r="D4935" s="10" t="n"/>
      <c r="E4935" s="14">
        <f>IF(D4935="","",IFERROR(INDEX('Sản phẩm'!$B$5:$B$304,MATCH(D4935,'Sản phẩm'!$A$5:$A$304,0)),""))</f>
        <v/>
      </c>
      <c r="F4935" s="12" t="n"/>
      <c r="G4935" s="11" t="n"/>
      <c r="H4935" s="11" t="n"/>
      <c r="I4935" s="16">
        <f>IF(D4935="","",IF(G4935&lt;&gt;"",G4935,IFERROR(INDEX('Sản phẩm'!$E$5:$E$304,MATCH(D4935,'Sản phẩm'!$A$5:$A$304,0)),"")))</f>
        <v/>
      </c>
      <c r="J4935" s="16">
        <f>IF(OR(D4935="",F4935=""),"",F4935*I4935-N(H4935))</f>
        <v/>
      </c>
      <c r="K4935" s="16">
        <f>IF(OR(D4935="",F4935=""),"",F4935*IFERROR(INDEX('Sản phẩm'!$D$5:$D$304,MATCH(D4935,'Sản phẩm'!$A$5:$A$304,0)),""))</f>
        <v/>
      </c>
      <c r="L4935" s="16">
        <f>IF(J4935="","",J4935-K4935)</f>
        <v/>
      </c>
      <c r="M4935" s="14">
        <f>IF(A4935="","",MONTH(A4935))</f>
        <v/>
      </c>
      <c r="N4935" s="14">
        <f>IF(A4935="","",YEAR(A4935))</f>
        <v/>
      </c>
    </row>
    <row r="4936">
      <c r="A4936" s="15" t="n"/>
      <c r="B4936" s="10" t="n"/>
      <c r="C4936" s="10" t="n"/>
      <c r="D4936" s="10" t="n"/>
      <c r="E4936" s="14">
        <f>IF(D4936="","",IFERROR(INDEX('Sản phẩm'!$B$5:$B$304,MATCH(D4936,'Sản phẩm'!$A$5:$A$304,0)),""))</f>
        <v/>
      </c>
      <c r="F4936" s="12" t="n"/>
      <c r="G4936" s="11" t="n"/>
      <c r="H4936" s="11" t="n"/>
      <c r="I4936" s="16">
        <f>IF(D4936="","",IF(G4936&lt;&gt;"",G4936,IFERROR(INDEX('Sản phẩm'!$E$5:$E$304,MATCH(D4936,'Sản phẩm'!$A$5:$A$304,0)),"")))</f>
        <v/>
      </c>
      <c r="J4936" s="16">
        <f>IF(OR(D4936="",F4936=""),"",F4936*I4936-N(H4936))</f>
        <v/>
      </c>
      <c r="K4936" s="16">
        <f>IF(OR(D4936="",F4936=""),"",F4936*IFERROR(INDEX('Sản phẩm'!$D$5:$D$304,MATCH(D4936,'Sản phẩm'!$A$5:$A$304,0)),""))</f>
        <v/>
      </c>
      <c r="L4936" s="16">
        <f>IF(J4936="","",J4936-K4936)</f>
        <v/>
      </c>
      <c r="M4936" s="14">
        <f>IF(A4936="","",MONTH(A4936))</f>
        <v/>
      </c>
      <c r="N4936" s="14">
        <f>IF(A4936="","",YEAR(A4936))</f>
        <v/>
      </c>
    </row>
    <row r="4937">
      <c r="A4937" s="15" t="n"/>
      <c r="B4937" s="10" t="n"/>
      <c r="C4937" s="10" t="n"/>
      <c r="D4937" s="10" t="n"/>
      <c r="E4937" s="14">
        <f>IF(D4937="","",IFERROR(INDEX('Sản phẩm'!$B$5:$B$304,MATCH(D4937,'Sản phẩm'!$A$5:$A$304,0)),""))</f>
        <v/>
      </c>
      <c r="F4937" s="12" t="n"/>
      <c r="G4937" s="11" t="n"/>
      <c r="H4937" s="11" t="n"/>
      <c r="I4937" s="16">
        <f>IF(D4937="","",IF(G4937&lt;&gt;"",G4937,IFERROR(INDEX('Sản phẩm'!$E$5:$E$304,MATCH(D4937,'Sản phẩm'!$A$5:$A$304,0)),"")))</f>
        <v/>
      </c>
      <c r="J4937" s="16">
        <f>IF(OR(D4937="",F4937=""),"",F4937*I4937-N(H4937))</f>
        <v/>
      </c>
      <c r="K4937" s="16">
        <f>IF(OR(D4937="",F4937=""),"",F4937*IFERROR(INDEX('Sản phẩm'!$D$5:$D$304,MATCH(D4937,'Sản phẩm'!$A$5:$A$304,0)),""))</f>
        <v/>
      </c>
      <c r="L4937" s="16">
        <f>IF(J4937="","",J4937-K4937)</f>
        <v/>
      </c>
      <c r="M4937" s="14">
        <f>IF(A4937="","",MONTH(A4937))</f>
        <v/>
      </c>
      <c r="N4937" s="14">
        <f>IF(A4937="","",YEAR(A4937))</f>
        <v/>
      </c>
    </row>
    <row r="4938">
      <c r="A4938" s="15" t="n"/>
      <c r="B4938" s="10" t="n"/>
      <c r="C4938" s="10" t="n"/>
      <c r="D4938" s="10" t="n"/>
      <c r="E4938" s="14">
        <f>IF(D4938="","",IFERROR(INDEX('Sản phẩm'!$B$5:$B$304,MATCH(D4938,'Sản phẩm'!$A$5:$A$304,0)),""))</f>
        <v/>
      </c>
      <c r="F4938" s="12" t="n"/>
      <c r="G4938" s="11" t="n"/>
      <c r="H4938" s="11" t="n"/>
      <c r="I4938" s="16">
        <f>IF(D4938="","",IF(G4938&lt;&gt;"",G4938,IFERROR(INDEX('Sản phẩm'!$E$5:$E$304,MATCH(D4938,'Sản phẩm'!$A$5:$A$304,0)),"")))</f>
        <v/>
      </c>
      <c r="J4938" s="16">
        <f>IF(OR(D4938="",F4938=""),"",F4938*I4938-N(H4938))</f>
        <v/>
      </c>
      <c r="K4938" s="16">
        <f>IF(OR(D4938="",F4938=""),"",F4938*IFERROR(INDEX('Sản phẩm'!$D$5:$D$304,MATCH(D4938,'Sản phẩm'!$A$5:$A$304,0)),""))</f>
        <v/>
      </c>
      <c r="L4938" s="16">
        <f>IF(J4938="","",J4938-K4938)</f>
        <v/>
      </c>
      <c r="M4938" s="14">
        <f>IF(A4938="","",MONTH(A4938))</f>
        <v/>
      </c>
      <c r="N4938" s="14">
        <f>IF(A4938="","",YEAR(A4938))</f>
        <v/>
      </c>
    </row>
    <row r="4939">
      <c r="A4939" s="15" t="n"/>
      <c r="B4939" s="10" t="n"/>
      <c r="C4939" s="10" t="n"/>
      <c r="D4939" s="10" t="n"/>
      <c r="E4939" s="14">
        <f>IF(D4939="","",IFERROR(INDEX('Sản phẩm'!$B$5:$B$304,MATCH(D4939,'Sản phẩm'!$A$5:$A$304,0)),""))</f>
        <v/>
      </c>
      <c r="F4939" s="12" t="n"/>
      <c r="G4939" s="11" t="n"/>
      <c r="H4939" s="11" t="n"/>
      <c r="I4939" s="16">
        <f>IF(D4939="","",IF(G4939&lt;&gt;"",G4939,IFERROR(INDEX('Sản phẩm'!$E$5:$E$304,MATCH(D4939,'Sản phẩm'!$A$5:$A$304,0)),"")))</f>
        <v/>
      </c>
      <c r="J4939" s="16">
        <f>IF(OR(D4939="",F4939=""),"",F4939*I4939-N(H4939))</f>
        <v/>
      </c>
      <c r="K4939" s="16">
        <f>IF(OR(D4939="",F4939=""),"",F4939*IFERROR(INDEX('Sản phẩm'!$D$5:$D$304,MATCH(D4939,'Sản phẩm'!$A$5:$A$304,0)),""))</f>
        <v/>
      </c>
      <c r="L4939" s="16">
        <f>IF(J4939="","",J4939-K4939)</f>
        <v/>
      </c>
      <c r="M4939" s="14">
        <f>IF(A4939="","",MONTH(A4939))</f>
        <v/>
      </c>
      <c r="N4939" s="14">
        <f>IF(A4939="","",YEAR(A4939))</f>
        <v/>
      </c>
    </row>
    <row r="4940">
      <c r="A4940" s="15" t="n"/>
      <c r="B4940" s="10" t="n"/>
      <c r="C4940" s="10" t="n"/>
      <c r="D4940" s="10" t="n"/>
      <c r="E4940" s="14">
        <f>IF(D4940="","",IFERROR(INDEX('Sản phẩm'!$B$5:$B$304,MATCH(D4940,'Sản phẩm'!$A$5:$A$304,0)),""))</f>
        <v/>
      </c>
      <c r="F4940" s="12" t="n"/>
      <c r="G4940" s="11" t="n"/>
      <c r="H4940" s="11" t="n"/>
      <c r="I4940" s="16">
        <f>IF(D4940="","",IF(G4940&lt;&gt;"",G4940,IFERROR(INDEX('Sản phẩm'!$E$5:$E$304,MATCH(D4940,'Sản phẩm'!$A$5:$A$304,0)),"")))</f>
        <v/>
      </c>
      <c r="J4940" s="16">
        <f>IF(OR(D4940="",F4940=""),"",F4940*I4940-N(H4940))</f>
        <v/>
      </c>
      <c r="K4940" s="16">
        <f>IF(OR(D4940="",F4940=""),"",F4940*IFERROR(INDEX('Sản phẩm'!$D$5:$D$304,MATCH(D4940,'Sản phẩm'!$A$5:$A$304,0)),""))</f>
        <v/>
      </c>
      <c r="L4940" s="16">
        <f>IF(J4940="","",J4940-K4940)</f>
        <v/>
      </c>
      <c r="M4940" s="14">
        <f>IF(A4940="","",MONTH(A4940))</f>
        <v/>
      </c>
      <c r="N4940" s="14">
        <f>IF(A4940="","",YEAR(A4940))</f>
        <v/>
      </c>
    </row>
    <row r="4941">
      <c r="A4941" s="15" t="n"/>
      <c r="B4941" s="10" t="n"/>
      <c r="C4941" s="10" t="n"/>
      <c r="D4941" s="10" t="n"/>
      <c r="E4941" s="14">
        <f>IF(D4941="","",IFERROR(INDEX('Sản phẩm'!$B$5:$B$304,MATCH(D4941,'Sản phẩm'!$A$5:$A$304,0)),""))</f>
        <v/>
      </c>
      <c r="F4941" s="12" t="n"/>
      <c r="G4941" s="11" t="n"/>
      <c r="H4941" s="11" t="n"/>
      <c r="I4941" s="16">
        <f>IF(D4941="","",IF(G4941&lt;&gt;"",G4941,IFERROR(INDEX('Sản phẩm'!$E$5:$E$304,MATCH(D4941,'Sản phẩm'!$A$5:$A$304,0)),"")))</f>
        <v/>
      </c>
      <c r="J4941" s="16">
        <f>IF(OR(D4941="",F4941=""),"",F4941*I4941-N(H4941))</f>
        <v/>
      </c>
      <c r="K4941" s="16">
        <f>IF(OR(D4941="",F4941=""),"",F4941*IFERROR(INDEX('Sản phẩm'!$D$5:$D$304,MATCH(D4941,'Sản phẩm'!$A$5:$A$304,0)),""))</f>
        <v/>
      </c>
      <c r="L4941" s="16">
        <f>IF(J4941="","",J4941-K4941)</f>
        <v/>
      </c>
      <c r="M4941" s="14">
        <f>IF(A4941="","",MONTH(A4941))</f>
        <v/>
      </c>
      <c r="N4941" s="14">
        <f>IF(A4941="","",YEAR(A4941))</f>
        <v/>
      </c>
    </row>
    <row r="4942">
      <c r="A4942" s="15" t="n"/>
      <c r="B4942" s="10" t="n"/>
      <c r="C4942" s="10" t="n"/>
      <c r="D4942" s="10" t="n"/>
      <c r="E4942" s="14">
        <f>IF(D4942="","",IFERROR(INDEX('Sản phẩm'!$B$5:$B$304,MATCH(D4942,'Sản phẩm'!$A$5:$A$304,0)),""))</f>
        <v/>
      </c>
      <c r="F4942" s="12" t="n"/>
      <c r="G4942" s="11" t="n"/>
      <c r="H4942" s="11" t="n"/>
      <c r="I4942" s="16">
        <f>IF(D4942="","",IF(G4942&lt;&gt;"",G4942,IFERROR(INDEX('Sản phẩm'!$E$5:$E$304,MATCH(D4942,'Sản phẩm'!$A$5:$A$304,0)),"")))</f>
        <v/>
      </c>
      <c r="J4942" s="16">
        <f>IF(OR(D4942="",F4942=""),"",F4942*I4942-N(H4942))</f>
        <v/>
      </c>
      <c r="K4942" s="16">
        <f>IF(OR(D4942="",F4942=""),"",F4942*IFERROR(INDEX('Sản phẩm'!$D$5:$D$304,MATCH(D4942,'Sản phẩm'!$A$5:$A$304,0)),""))</f>
        <v/>
      </c>
      <c r="L4942" s="16">
        <f>IF(J4942="","",J4942-K4942)</f>
        <v/>
      </c>
      <c r="M4942" s="14">
        <f>IF(A4942="","",MONTH(A4942))</f>
        <v/>
      </c>
      <c r="N4942" s="14">
        <f>IF(A4942="","",YEAR(A4942))</f>
        <v/>
      </c>
    </row>
    <row r="4943">
      <c r="A4943" s="15" t="n"/>
      <c r="B4943" s="10" t="n"/>
      <c r="C4943" s="10" t="n"/>
      <c r="D4943" s="10" t="n"/>
      <c r="E4943" s="14">
        <f>IF(D4943="","",IFERROR(INDEX('Sản phẩm'!$B$5:$B$304,MATCH(D4943,'Sản phẩm'!$A$5:$A$304,0)),""))</f>
        <v/>
      </c>
      <c r="F4943" s="12" t="n"/>
      <c r="G4943" s="11" t="n"/>
      <c r="H4943" s="11" t="n"/>
      <c r="I4943" s="16">
        <f>IF(D4943="","",IF(G4943&lt;&gt;"",G4943,IFERROR(INDEX('Sản phẩm'!$E$5:$E$304,MATCH(D4943,'Sản phẩm'!$A$5:$A$304,0)),"")))</f>
        <v/>
      </c>
      <c r="J4943" s="16">
        <f>IF(OR(D4943="",F4943=""),"",F4943*I4943-N(H4943))</f>
        <v/>
      </c>
      <c r="K4943" s="16">
        <f>IF(OR(D4943="",F4943=""),"",F4943*IFERROR(INDEX('Sản phẩm'!$D$5:$D$304,MATCH(D4943,'Sản phẩm'!$A$5:$A$304,0)),""))</f>
        <v/>
      </c>
      <c r="L4943" s="16">
        <f>IF(J4943="","",J4943-K4943)</f>
        <v/>
      </c>
      <c r="M4943" s="14">
        <f>IF(A4943="","",MONTH(A4943))</f>
        <v/>
      </c>
      <c r="N4943" s="14">
        <f>IF(A4943="","",YEAR(A4943))</f>
        <v/>
      </c>
    </row>
    <row r="4944">
      <c r="A4944" s="15" t="n"/>
      <c r="B4944" s="10" t="n"/>
      <c r="C4944" s="10" t="n"/>
      <c r="D4944" s="10" t="n"/>
      <c r="E4944" s="14">
        <f>IF(D4944="","",IFERROR(INDEX('Sản phẩm'!$B$5:$B$304,MATCH(D4944,'Sản phẩm'!$A$5:$A$304,0)),""))</f>
        <v/>
      </c>
      <c r="F4944" s="12" t="n"/>
      <c r="G4944" s="11" t="n"/>
      <c r="H4944" s="11" t="n"/>
      <c r="I4944" s="16">
        <f>IF(D4944="","",IF(G4944&lt;&gt;"",G4944,IFERROR(INDEX('Sản phẩm'!$E$5:$E$304,MATCH(D4944,'Sản phẩm'!$A$5:$A$304,0)),"")))</f>
        <v/>
      </c>
      <c r="J4944" s="16">
        <f>IF(OR(D4944="",F4944=""),"",F4944*I4944-N(H4944))</f>
        <v/>
      </c>
      <c r="K4944" s="16">
        <f>IF(OR(D4944="",F4944=""),"",F4944*IFERROR(INDEX('Sản phẩm'!$D$5:$D$304,MATCH(D4944,'Sản phẩm'!$A$5:$A$304,0)),""))</f>
        <v/>
      </c>
      <c r="L4944" s="16">
        <f>IF(J4944="","",J4944-K4944)</f>
        <v/>
      </c>
      <c r="M4944" s="14">
        <f>IF(A4944="","",MONTH(A4944))</f>
        <v/>
      </c>
      <c r="N4944" s="14">
        <f>IF(A4944="","",YEAR(A4944))</f>
        <v/>
      </c>
    </row>
    <row r="4945">
      <c r="A4945" s="15" t="n"/>
      <c r="B4945" s="10" t="n"/>
      <c r="C4945" s="10" t="n"/>
      <c r="D4945" s="10" t="n"/>
      <c r="E4945" s="14">
        <f>IF(D4945="","",IFERROR(INDEX('Sản phẩm'!$B$5:$B$304,MATCH(D4945,'Sản phẩm'!$A$5:$A$304,0)),""))</f>
        <v/>
      </c>
      <c r="F4945" s="12" t="n"/>
      <c r="G4945" s="11" t="n"/>
      <c r="H4945" s="11" t="n"/>
      <c r="I4945" s="16">
        <f>IF(D4945="","",IF(G4945&lt;&gt;"",G4945,IFERROR(INDEX('Sản phẩm'!$E$5:$E$304,MATCH(D4945,'Sản phẩm'!$A$5:$A$304,0)),"")))</f>
        <v/>
      </c>
      <c r="J4945" s="16">
        <f>IF(OR(D4945="",F4945=""),"",F4945*I4945-N(H4945))</f>
        <v/>
      </c>
      <c r="K4945" s="16">
        <f>IF(OR(D4945="",F4945=""),"",F4945*IFERROR(INDEX('Sản phẩm'!$D$5:$D$304,MATCH(D4945,'Sản phẩm'!$A$5:$A$304,0)),""))</f>
        <v/>
      </c>
      <c r="L4945" s="16">
        <f>IF(J4945="","",J4945-K4945)</f>
        <v/>
      </c>
      <c r="M4945" s="14">
        <f>IF(A4945="","",MONTH(A4945))</f>
        <v/>
      </c>
      <c r="N4945" s="14">
        <f>IF(A4945="","",YEAR(A4945))</f>
        <v/>
      </c>
    </row>
    <row r="4946">
      <c r="A4946" s="15" t="n"/>
      <c r="B4946" s="10" t="n"/>
      <c r="C4946" s="10" t="n"/>
      <c r="D4946" s="10" t="n"/>
      <c r="E4946" s="14">
        <f>IF(D4946="","",IFERROR(INDEX('Sản phẩm'!$B$5:$B$304,MATCH(D4946,'Sản phẩm'!$A$5:$A$304,0)),""))</f>
        <v/>
      </c>
      <c r="F4946" s="12" t="n"/>
      <c r="G4946" s="11" t="n"/>
      <c r="H4946" s="11" t="n"/>
      <c r="I4946" s="16">
        <f>IF(D4946="","",IF(G4946&lt;&gt;"",G4946,IFERROR(INDEX('Sản phẩm'!$E$5:$E$304,MATCH(D4946,'Sản phẩm'!$A$5:$A$304,0)),"")))</f>
        <v/>
      </c>
      <c r="J4946" s="16">
        <f>IF(OR(D4946="",F4946=""),"",F4946*I4946-N(H4946))</f>
        <v/>
      </c>
      <c r="K4946" s="16">
        <f>IF(OR(D4946="",F4946=""),"",F4946*IFERROR(INDEX('Sản phẩm'!$D$5:$D$304,MATCH(D4946,'Sản phẩm'!$A$5:$A$304,0)),""))</f>
        <v/>
      </c>
      <c r="L4946" s="16">
        <f>IF(J4946="","",J4946-K4946)</f>
        <v/>
      </c>
      <c r="M4946" s="14">
        <f>IF(A4946="","",MONTH(A4946))</f>
        <v/>
      </c>
      <c r="N4946" s="14">
        <f>IF(A4946="","",YEAR(A4946))</f>
        <v/>
      </c>
    </row>
    <row r="4947">
      <c r="A4947" s="15" t="n"/>
      <c r="B4947" s="10" t="n"/>
      <c r="C4947" s="10" t="n"/>
      <c r="D4947" s="10" t="n"/>
      <c r="E4947" s="14">
        <f>IF(D4947="","",IFERROR(INDEX('Sản phẩm'!$B$5:$B$304,MATCH(D4947,'Sản phẩm'!$A$5:$A$304,0)),""))</f>
        <v/>
      </c>
      <c r="F4947" s="12" t="n"/>
      <c r="G4947" s="11" t="n"/>
      <c r="H4947" s="11" t="n"/>
      <c r="I4947" s="16">
        <f>IF(D4947="","",IF(G4947&lt;&gt;"",G4947,IFERROR(INDEX('Sản phẩm'!$E$5:$E$304,MATCH(D4947,'Sản phẩm'!$A$5:$A$304,0)),"")))</f>
        <v/>
      </c>
      <c r="J4947" s="16">
        <f>IF(OR(D4947="",F4947=""),"",F4947*I4947-N(H4947))</f>
        <v/>
      </c>
      <c r="K4947" s="16">
        <f>IF(OR(D4947="",F4947=""),"",F4947*IFERROR(INDEX('Sản phẩm'!$D$5:$D$304,MATCH(D4947,'Sản phẩm'!$A$5:$A$304,0)),""))</f>
        <v/>
      </c>
      <c r="L4947" s="16">
        <f>IF(J4947="","",J4947-K4947)</f>
        <v/>
      </c>
      <c r="M4947" s="14">
        <f>IF(A4947="","",MONTH(A4947))</f>
        <v/>
      </c>
      <c r="N4947" s="14">
        <f>IF(A4947="","",YEAR(A4947))</f>
        <v/>
      </c>
    </row>
    <row r="4948">
      <c r="A4948" s="15" t="n"/>
      <c r="B4948" s="10" t="n"/>
      <c r="C4948" s="10" t="n"/>
      <c r="D4948" s="10" t="n"/>
      <c r="E4948" s="14">
        <f>IF(D4948="","",IFERROR(INDEX('Sản phẩm'!$B$5:$B$304,MATCH(D4948,'Sản phẩm'!$A$5:$A$304,0)),""))</f>
        <v/>
      </c>
      <c r="F4948" s="12" t="n"/>
      <c r="G4948" s="11" t="n"/>
      <c r="H4948" s="11" t="n"/>
      <c r="I4948" s="16">
        <f>IF(D4948="","",IF(G4948&lt;&gt;"",G4948,IFERROR(INDEX('Sản phẩm'!$E$5:$E$304,MATCH(D4948,'Sản phẩm'!$A$5:$A$304,0)),"")))</f>
        <v/>
      </c>
      <c r="J4948" s="16">
        <f>IF(OR(D4948="",F4948=""),"",F4948*I4948-N(H4948))</f>
        <v/>
      </c>
      <c r="K4948" s="16">
        <f>IF(OR(D4948="",F4948=""),"",F4948*IFERROR(INDEX('Sản phẩm'!$D$5:$D$304,MATCH(D4948,'Sản phẩm'!$A$5:$A$304,0)),""))</f>
        <v/>
      </c>
      <c r="L4948" s="16">
        <f>IF(J4948="","",J4948-K4948)</f>
        <v/>
      </c>
      <c r="M4948" s="14">
        <f>IF(A4948="","",MONTH(A4948))</f>
        <v/>
      </c>
      <c r="N4948" s="14">
        <f>IF(A4948="","",YEAR(A4948))</f>
        <v/>
      </c>
    </row>
    <row r="4949">
      <c r="A4949" s="15" t="n"/>
      <c r="B4949" s="10" t="n"/>
      <c r="C4949" s="10" t="n"/>
      <c r="D4949" s="10" t="n"/>
      <c r="E4949" s="14">
        <f>IF(D4949="","",IFERROR(INDEX('Sản phẩm'!$B$5:$B$304,MATCH(D4949,'Sản phẩm'!$A$5:$A$304,0)),""))</f>
        <v/>
      </c>
      <c r="F4949" s="12" t="n"/>
      <c r="G4949" s="11" t="n"/>
      <c r="H4949" s="11" t="n"/>
      <c r="I4949" s="16">
        <f>IF(D4949="","",IF(G4949&lt;&gt;"",G4949,IFERROR(INDEX('Sản phẩm'!$E$5:$E$304,MATCH(D4949,'Sản phẩm'!$A$5:$A$304,0)),"")))</f>
        <v/>
      </c>
      <c r="J4949" s="16">
        <f>IF(OR(D4949="",F4949=""),"",F4949*I4949-N(H4949))</f>
        <v/>
      </c>
      <c r="K4949" s="16">
        <f>IF(OR(D4949="",F4949=""),"",F4949*IFERROR(INDEX('Sản phẩm'!$D$5:$D$304,MATCH(D4949,'Sản phẩm'!$A$5:$A$304,0)),""))</f>
        <v/>
      </c>
      <c r="L4949" s="16">
        <f>IF(J4949="","",J4949-K4949)</f>
        <v/>
      </c>
      <c r="M4949" s="14">
        <f>IF(A4949="","",MONTH(A4949))</f>
        <v/>
      </c>
      <c r="N4949" s="14">
        <f>IF(A4949="","",YEAR(A4949))</f>
        <v/>
      </c>
    </row>
    <row r="4950">
      <c r="A4950" s="15" t="n"/>
      <c r="B4950" s="10" t="n"/>
      <c r="C4950" s="10" t="n"/>
      <c r="D4950" s="10" t="n"/>
      <c r="E4950" s="14">
        <f>IF(D4950="","",IFERROR(INDEX('Sản phẩm'!$B$5:$B$304,MATCH(D4950,'Sản phẩm'!$A$5:$A$304,0)),""))</f>
        <v/>
      </c>
      <c r="F4950" s="12" t="n"/>
      <c r="G4950" s="11" t="n"/>
      <c r="H4950" s="11" t="n"/>
      <c r="I4950" s="16">
        <f>IF(D4950="","",IF(G4950&lt;&gt;"",G4950,IFERROR(INDEX('Sản phẩm'!$E$5:$E$304,MATCH(D4950,'Sản phẩm'!$A$5:$A$304,0)),"")))</f>
        <v/>
      </c>
      <c r="J4950" s="16">
        <f>IF(OR(D4950="",F4950=""),"",F4950*I4950-N(H4950))</f>
        <v/>
      </c>
      <c r="K4950" s="16">
        <f>IF(OR(D4950="",F4950=""),"",F4950*IFERROR(INDEX('Sản phẩm'!$D$5:$D$304,MATCH(D4950,'Sản phẩm'!$A$5:$A$304,0)),""))</f>
        <v/>
      </c>
      <c r="L4950" s="16">
        <f>IF(J4950="","",J4950-K4950)</f>
        <v/>
      </c>
      <c r="M4950" s="14">
        <f>IF(A4950="","",MONTH(A4950))</f>
        <v/>
      </c>
      <c r="N4950" s="14">
        <f>IF(A4950="","",YEAR(A4950))</f>
        <v/>
      </c>
    </row>
    <row r="4951">
      <c r="A4951" s="15" t="n"/>
      <c r="B4951" s="10" t="n"/>
      <c r="C4951" s="10" t="n"/>
      <c r="D4951" s="10" t="n"/>
      <c r="E4951" s="14">
        <f>IF(D4951="","",IFERROR(INDEX('Sản phẩm'!$B$5:$B$304,MATCH(D4951,'Sản phẩm'!$A$5:$A$304,0)),""))</f>
        <v/>
      </c>
      <c r="F4951" s="12" t="n"/>
      <c r="G4951" s="11" t="n"/>
      <c r="H4951" s="11" t="n"/>
      <c r="I4951" s="16">
        <f>IF(D4951="","",IF(G4951&lt;&gt;"",G4951,IFERROR(INDEX('Sản phẩm'!$E$5:$E$304,MATCH(D4951,'Sản phẩm'!$A$5:$A$304,0)),"")))</f>
        <v/>
      </c>
      <c r="J4951" s="16">
        <f>IF(OR(D4951="",F4951=""),"",F4951*I4951-N(H4951))</f>
        <v/>
      </c>
      <c r="K4951" s="16">
        <f>IF(OR(D4951="",F4951=""),"",F4951*IFERROR(INDEX('Sản phẩm'!$D$5:$D$304,MATCH(D4951,'Sản phẩm'!$A$5:$A$304,0)),""))</f>
        <v/>
      </c>
      <c r="L4951" s="16">
        <f>IF(J4951="","",J4951-K4951)</f>
        <v/>
      </c>
      <c r="M4951" s="14">
        <f>IF(A4951="","",MONTH(A4951))</f>
        <v/>
      </c>
      <c r="N4951" s="14">
        <f>IF(A4951="","",YEAR(A4951))</f>
        <v/>
      </c>
    </row>
    <row r="4952">
      <c r="A4952" s="15" t="n"/>
      <c r="B4952" s="10" t="n"/>
      <c r="C4952" s="10" t="n"/>
      <c r="D4952" s="10" t="n"/>
      <c r="E4952" s="14">
        <f>IF(D4952="","",IFERROR(INDEX('Sản phẩm'!$B$5:$B$304,MATCH(D4952,'Sản phẩm'!$A$5:$A$304,0)),""))</f>
        <v/>
      </c>
      <c r="F4952" s="12" t="n"/>
      <c r="G4952" s="11" t="n"/>
      <c r="H4952" s="11" t="n"/>
      <c r="I4952" s="16">
        <f>IF(D4952="","",IF(G4952&lt;&gt;"",G4952,IFERROR(INDEX('Sản phẩm'!$E$5:$E$304,MATCH(D4952,'Sản phẩm'!$A$5:$A$304,0)),"")))</f>
        <v/>
      </c>
      <c r="J4952" s="16">
        <f>IF(OR(D4952="",F4952=""),"",F4952*I4952-N(H4952))</f>
        <v/>
      </c>
      <c r="K4952" s="16">
        <f>IF(OR(D4952="",F4952=""),"",F4952*IFERROR(INDEX('Sản phẩm'!$D$5:$D$304,MATCH(D4952,'Sản phẩm'!$A$5:$A$304,0)),""))</f>
        <v/>
      </c>
      <c r="L4952" s="16">
        <f>IF(J4952="","",J4952-K4952)</f>
        <v/>
      </c>
      <c r="M4952" s="14">
        <f>IF(A4952="","",MONTH(A4952))</f>
        <v/>
      </c>
      <c r="N4952" s="14">
        <f>IF(A4952="","",YEAR(A4952))</f>
        <v/>
      </c>
    </row>
    <row r="4953">
      <c r="A4953" s="15" t="n"/>
      <c r="B4953" s="10" t="n"/>
      <c r="C4953" s="10" t="n"/>
      <c r="D4953" s="10" t="n"/>
      <c r="E4953" s="14">
        <f>IF(D4953="","",IFERROR(INDEX('Sản phẩm'!$B$5:$B$304,MATCH(D4953,'Sản phẩm'!$A$5:$A$304,0)),""))</f>
        <v/>
      </c>
      <c r="F4953" s="12" t="n"/>
      <c r="G4953" s="11" t="n"/>
      <c r="H4953" s="11" t="n"/>
      <c r="I4953" s="16">
        <f>IF(D4953="","",IF(G4953&lt;&gt;"",G4953,IFERROR(INDEX('Sản phẩm'!$E$5:$E$304,MATCH(D4953,'Sản phẩm'!$A$5:$A$304,0)),"")))</f>
        <v/>
      </c>
      <c r="J4953" s="16">
        <f>IF(OR(D4953="",F4953=""),"",F4953*I4953-N(H4953))</f>
        <v/>
      </c>
      <c r="K4953" s="16">
        <f>IF(OR(D4953="",F4953=""),"",F4953*IFERROR(INDEX('Sản phẩm'!$D$5:$D$304,MATCH(D4953,'Sản phẩm'!$A$5:$A$304,0)),""))</f>
        <v/>
      </c>
      <c r="L4953" s="16">
        <f>IF(J4953="","",J4953-K4953)</f>
        <v/>
      </c>
      <c r="M4953" s="14">
        <f>IF(A4953="","",MONTH(A4953))</f>
        <v/>
      </c>
      <c r="N4953" s="14">
        <f>IF(A4953="","",YEAR(A4953))</f>
        <v/>
      </c>
    </row>
    <row r="4954">
      <c r="A4954" s="15" t="n"/>
      <c r="B4954" s="10" t="n"/>
      <c r="C4954" s="10" t="n"/>
      <c r="D4954" s="10" t="n"/>
      <c r="E4954" s="14">
        <f>IF(D4954="","",IFERROR(INDEX('Sản phẩm'!$B$5:$B$304,MATCH(D4954,'Sản phẩm'!$A$5:$A$304,0)),""))</f>
        <v/>
      </c>
      <c r="F4954" s="12" t="n"/>
      <c r="G4954" s="11" t="n"/>
      <c r="H4954" s="11" t="n"/>
      <c r="I4954" s="16">
        <f>IF(D4954="","",IF(G4954&lt;&gt;"",G4954,IFERROR(INDEX('Sản phẩm'!$E$5:$E$304,MATCH(D4954,'Sản phẩm'!$A$5:$A$304,0)),"")))</f>
        <v/>
      </c>
      <c r="J4954" s="16">
        <f>IF(OR(D4954="",F4954=""),"",F4954*I4954-N(H4954))</f>
        <v/>
      </c>
      <c r="K4954" s="16">
        <f>IF(OR(D4954="",F4954=""),"",F4954*IFERROR(INDEX('Sản phẩm'!$D$5:$D$304,MATCH(D4954,'Sản phẩm'!$A$5:$A$304,0)),""))</f>
        <v/>
      </c>
      <c r="L4954" s="16">
        <f>IF(J4954="","",J4954-K4954)</f>
        <v/>
      </c>
      <c r="M4954" s="14">
        <f>IF(A4954="","",MONTH(A4954))</f>
        <v/>
      </c>
      <c r="N4954" s="14">
        <f>IF(A4954="","",YEAR(A4954))</f>
        <v/>
      </c>
    </row>
    <row r="4955">
      <c r="A4955" s="15" t="n"/>
      <c r="B4955" s="10" t="n"/>
      <c r="C4955" s="10" t="n"/>
      <c r="D4955" s="10" t="n"/>
      <c r="E4955" s="14">
        <f>IF(D4955="","",IFERROR(INDEX('Sản phẩm'!$B$5:$B$304,MATCH(D4955,'Sản phẩm'!$A$5:$A$304,0)),""))</f>
        <v/>
      </c>
      <c r="F4955" s="12" t="n"/>
      <c r="G4955" s="11" t="n"/>
      <c r="H4955" s="11" t="n"/>
      <c r="I4955" s="16">
        <f>IF(D4955="","",IF(G4955&lt;&gt;"",G4955,IFERROR(INDEX('Sản phẩm'!$E$5:$E$304,MATCH(D4955,'Sản phẩm'!$A$5:$A$304,0)),"")))</f>
        <v/>
      </c>
      <c r="J4955" s="16">
        <f>IF(OR(D4955="",F4955=""),"",F4955*I4955-N(H4955))</f>
        <v/>
      </c>
      <c r="K4955" s="16">
        <f>IF(OR(D4955="",F4955=""),"",F4955*IFERROR(INDEX('Sản phẩm'!$D$5:$D$304,MATCH(D4955,'Sản phẩm'!$A$5:$A$304,0)),""))</f>
        <v/>
      </c>
      <c r="L4955" s="16">
        <f>IF(J4955="","",J4955-K4955)</f>
        <v/>
      </c>
      <c r="M4955" s="14">
        <f>IF(A4955="","",MONTH(A4955))</f>
        <v/>
      </c>
      <c r="N4955" s="14">
        <f>IF(A4955="","",YEAR(A4955))</f>
        <v/>
      </c>
    </row>
    <row r="4956">
      <c r="A4956" s="15" t="n"/>
      <c r="B4956" s="10" t="n"/>
      <c r="C4956" s="10" t="n"/>
      <c r="D4956" s="10" t="n"/>
      <c r="E4956" s="14">
        <f>IF(D4956="","",IFERROR(INDEX('Sản phẩm'!$B$5:$B$304,MATCH(D4956,'Sản phẩm'!$A$5:$A$304,0)),""))</f>
        <v/>
      </c>
      <c r="F4956" s="12" t="n"/>
      <c r="G4956" s="11" t="n"/>
      <c r="H4956" s="11" t="n"/>
      <c r="I4956" s="16">
        <f>IF(D4956="","",IF(G4956&lt;&gt;"",G4956,IFERROR(INDEX('Sản phẩm'!$E$5:$E$304,MATCH(D4956,'Sản phẩm'!$A$5:$A$304,0)),"")))</f>
        <v/>
      </c>
      <c r="J4956" s="16">
        <f>IF(OR(D4956="",F4956=""),"",F4956*I4956-N(H4956))</f>
        <v/>
      </c>
      <c r="K4956" s="16">
        <f>IF(OR(D4956="",F4956=""),"",F4956*IFERROR(INDEX('Sản phẩm'!$D$5:$D$304,MATCH(D4956,'Sản phẩm'!$A$5:$A$304,0)),""))</f>
        <v/>
      </c>
      <c r="L4956" s="16">
        <f>IF(J4956="","",J4956-K4956)</f>
        <v/>
      </c>
      <c r="M4956" s="14">
        <f>IF(A4956="","",MONTH(A4956))</f>
        <v/>
      </c>
      <c r="N4956" s="14">
        <f>IF(A4956="","",YEAR(A4956))</f>
        <v/>
      </c>
    </row>
    <row r="4957">
      <c r="A4957" s="15" t="n"/>
      <c r="B4957" s="10" t="n"/>
      <c r="C4957" s="10" t="n"/>
      <c r="D4957" s="10" t="n"/>
      <c r="E4957" s="14">
        <f>IF(D4957="","",IFERROR(INDEX('Sản phẩm'!$B$5:$B$304,MATCH(D4957,'Sản phẩm'!$A$5:$A$304,0)),""))</f>
        <v/>
      </c>
      <c r="F4957" s="12" t="n"/>
      <c r="G4957" s="11" t="n"/>
      <c r="H4957" s="11" t="n"/>
      <c r="I4957" s="16">
        <f>IF(D4957="","",IF(G4957&lt;&gt;"",G4957,IFERROR(INDEX('Sản phẩm'!$E$5:$E$304,MATCH(D4957,'Sản phẩm'!$A$5:$A$304,0)),"")))</f>
        <v/>
      </c>
      <c r="J4957" s="16">
        <f>IF(OR(D4957="",F4957=""),"",F4957*I4957-N(H4957))</f>
        <v/>
      </c>
      <c r="K4957" s="16">
        <f>IF(OR(D4957="",F4957=""),"",F4957*IFERROR(INDEX('Sản phẩm'!$D$5:$D$304,MATCH(D4957,'Sản phẩm'!$A$5:$A$304,0)),""))</f>
        <v/>
      </c>
      <c r="L4957" s="16">
        <f>IF(J4957="","",J4957-K4957)</f>
        <v/>
      </c>
      <c r="M4957" s="14">
        <f>IF(A4957="","",MONTH(A4957))</f>
        <v/>
      </c>
      <c r="N4957" s="14">
        <f>IF(A4957="","",YEAR(A4957))</f>
        <v/>
      </c>
    </row>
    <row r="4958">
      <c r="A4958" s="15" t="n"/>
      <c r="B4958" s="10" t="n"/>
      <c r="C4958" s="10" t="n"/>
      <c r="D4958" s="10" t="n"/>
      <c r="E4958" s="14">
        <f>IF(D4958="","",IFERROR(INDEX('Sản phẩm'!$B$5:$B$304,MATCH(D4958,'Sản phẩm'!$A$5:$A$304,0)),""))</f>
        <v/>
      </c>
      <c r="F4958" s="12" t="n"/>
      <c r="G4958" s="11" t="n"/>
      <c r="H4958" s="11" t="n"/>
      <c r="I4958" s="16">
        <f>IF(D4958="","",IF(G4958&lt;&gt;"",G4958,IFERROR(INDEX('Sản phẩm'!$E$5:$E$304,MATCH(D4958,'Sản phẩm'!$A$5:$A$304,0)),"")))</f>
        <v/>
      </c>
      <c r="J4958" s="16">
        <f>IF(OR(D4958="",F4958=""),"",F4958*I4958-N(H4958))</f>
        <v/>
      </c>
      <c r="K4958" s="16">
        <f>IF(OR(D4958="",F4958=""),"",F4958*IFERROR(INDEX('Sản phẩm'!$D$5:$D$304,MATCH(D4958,'Sản phẩm'!$A$5:$A$304,0)),""))</f>
        <v/>
      </c>
      <c r="L4958" s="16">
        <f>IF(J4958="","",J4958-K4958)</f>
        <v/>
      </c>
      <c r="M4958" s="14">
        <f>IF(A4958="","",MONTH(A4958))</f>
        <v/>
      </c>
      <c r="N4958" s="14">
        <f>IF(A4958="","",YEAR(A4958))</f>
        <v/>
      </c>
    </row>
    <row r="4959">
      <c r="A4959" s="15" t="n"/>
      <c r="B4959" s="10" t="n"/>
      <c r="C4959" s="10" t="n"/>
      <c r="D4959" s="10" t="n"/>
      <c r="E4959" s="14">
        <f>IF(D4959="","",IFERROR(INDEX('Sản phẩm'!$B$5:$B$304,MATCH(D4959,'Sản phẩm'!$A$5:$A$304,0)),""))</f>
        <v/>
      </c>
      <c r="F4959" s="12" t="n"/>
      <c r="G4959" s="11" t="n"/>
      <c r="H4959" s="11" t="n"/>
      <c r="I4959" s="16">
        <f>IF(D4959="","",IF(G4959&lt;&gt;"",G4959,IFERROR(INDEX('Sản phẩm'!$E$5:$E$304,MATCH(D4959,'Sản phẩm'!$A$5:$A$304,0)),"")))</f>
        <v/>
      </c>
      <c r="J4959" s="16">
        <f>IF(OR(D4959="",F4959=""),"",F4959*I4959-N(H4959))</f>
        <v/>
      </c>
      <c r="K4959" s="16">
        <f>IF(OR(D4959="",F4959=""),"",F4959*IFERROR(INDEX('Sản phẩm'!$D$5:$D$304,MATCH(D4959,'Sản phẩm'!$A$5:$A$304,0)),""))</f>
        <v/>
      </c>
      <c r="L4959" s="16">
        <f>IF(J4959="","",J4959-K4959)</f>
        <v/>
      </c>
      <c r="M4959" s="14">
        <f>IF(A4959="","",MONTH(A4959))</f>
        <v/>
      </c>
      <c r="N4959" s="14">
        <f>IF(A4959="","",YEAR(A4959))</f>
        <v/>
      </c>
    </row>
    <row r="4960">
      <c r="A4960" s="15" t="n"/>
      <c r="B4960" s="10" t="n"/>
      <c r="C4960" s="10" t="n"/>
      <c r="D4960" s="10" t="n"/>
      <c r="E4960" s="14">
        <f>IF(D4960="","",IFERROR(INDEX('Sản phẩm'!$B$5:$B$304,MATCH(D4960,'Sản phẩm'!$A$5:$A$304,0)),""))</f>
        <v/>
      </c>
      <c r="F4960" s="12" t="n"/>
      <c r="G4960" s="11" t="n"/>
      <c r="H4960" s="11" t="n"/>
      <c r="I4960" s="16">
        <f>IF(D4960="","",IF(G4960&lt;&gt;"",G4960,IFERROR(INDEX('Sản phẩm'!$E$5:$E$304,MATCH(D4960,'Sản phẩm'!$A$5:$A$304,0)),"")))</f>
        <v/>
      </c>
      <c r="J4960" s="16">
        <f>IF(OR(D4960="",F4960=""),"",F4960*I4960-N(H4960))</f>
        <v/>
      </c>
      <c r="K4960" s="16">
        <f>IF(OR(D4960="",F4960=""),"",F4960*IFERROR(INDEX('Sản phẩm'!$D$5:$D$304,MATCH(D4960,'Sản phẩm'!$A$5:$A$304,0)),""))</f>
        <v/>
      </c>
      <c r="L4960" s="16">
        <f>IF(J4960="","",J4960-K4960)</f>
        <v/>
      </c>
      <c r="M4960" s="14">
        <f>IF(A4960="","",MONTH(A4960))</f>
        <v/>
      </c>
      <c r="N4960" s="14">
        <f>IF(A4960="","",YEAR(A4960))</f>
        <v/>
      </c>
    </row>
    <row r="4961">
      <c r="A4961" s="15" t="n"/>
      <c r="B4961" s="10" t="n"/>
      <c r="C4961" s="10" t="n"/>
      <c r="D4961" s="10" t="n"/>
      <c r="E4961" s="14">
        <f>IF(D4961="","",IFERROR(INDEX('Sản phẩm'!$B$5:$B$304,MATCH(D4961,'Sản phẩm'!$A$5:$A$304,0)),""))</f>
        <v/>
      </c>
      <c r="F4961" s="12" t="n"/>
      <c r="G4961" s="11" t="n"/>
      <c r="H4961" s="11" t="n"/>
      <c r="I4961" s="16">
        <f>IF(D4961="","",IF(G4961&lt;&gt;"",G4961,IFERROR(INDEX('Sản phẩm'!$E$5:$E$304,MATCH(D4961,'Sản phẩm'!$A$5:$A$304,0)),"")))</f>
        <v/>
      </c>
      <c r="J4961" s="16">
        <f>IF(OR(D4961="",F4961=""),"",F4961*I4961-N(H4961))</f>
        <v/>
      </c>
      <c r="K4961" s="16">
        <f>IF(OR(D4961="",F4961=""),"",F4961*IFERROR(INDEX('Sản phẩm'!$D$5:$D$304,MATCH(D4961,'Sản phẩm'!$A$5:$A$304,0)),""))</f>
        <v/>
      </c>
      <c r="L4961" s="16">
        <f>IF(J4961="","",J4961-K4961)</f>
        <v/>
      </c>
      <c r="M4961" s="14">
        <f>IF(A4961="","",MONTH(A4961))</f>
        <v/>
      </c>
      <c r="N4961" s="14">
        <f>IF(A4961="","",YEAR(A4961))</f>
        <v/>
      </c>
    </row>
    <row r="4962">
      <c r="A4962" s="15" t="n"/>
      <c r="B4962" s="10" t="n"/>
      <c r="C4962" s="10" t="n"/>
      <c r="D4962" s="10" t="n"/>
      <c r="E4962" s="14">
        <f>IF(D4962="","",IFERROR(INDEX('Sản phẩm'!$B$5:$B$304,MATCH(D4962,'Sản phẩm'!$A$5:$A$304,0)),""))</f>
        <v/>
      </c>
      <c r="F4962" s="12" t="n"/>
      <c r="G4962" s="11" t="n"/>
      <c r="H4962" s="11" t="n"/>
      <c r="I4962" s="16">
        <f>IF(D4962="","",IF(G4962&lt;&gt;"",G4962,IFERROR(INDEX('Sản phẩm'!$E$5:$E$304,MATCH(D4962,'Sản phẩm'!$A$5:$A$304,0)),"")))</f>
        <v/>
      </c>
      <c r="J4962" s="16">
        <f>IF(OR(D4962="",F4962=""),"",F4962*I4962-N(H4962))</f>
        <v/>
      </c>
      <c r="K4962" s="16">
        <f>IF(OR(D4962="",F4962=""),"",F4962*IFERROR(INDEX('Sản phẩm'!$D$5:$D$304,MATCH(D4962,'Sản phẩm'!$A$5:$A$304,0)),""))</f>
        <v/>
      </c>
      <c r="L4962" s="16">
        <f>IF(J4962="","",J4962-K4962)</f>
        <v/>
      </c>
      <c r="M4962" s="14">
        <f>IF(A4962="","",MONTH(A4962))</f>
        <v/>
      </c>
      <c r="N4962" s="14">
        <f>IF(A4962="","",YEAR(A4962))</f>
        <v/>
      </c>
    </row>
    <row r="4963">
      <c r="A4963" s="15" t="n"/>
      <c r="B4963" s="10" t="n"/>
      <c r="C4963" s="10" t="n"/>
      <c r="D4963" s="10" t="n"/>
      <c r="E4963" s="14">
        <f>IF(D4963="","",IFERROR(INDEX('Sản phẩm'!$B$5:$B$304,MATCH(D4963,'Sản phẩm'!$A$5:$A$304,0)),""))</f>
        <v/>
      </c>
      <c r="F4963" s="12" t="n"/>
      <c r="G4963" s="11" t="n"/>
      <c r="H4963" s="11" t="n"/>
      <c r="I4963" s="16">
        <f>IF(D4963="","",IF(G4963&lt;&gt;"",G4963,IFERROR(INDEX('Sản phẩm'!$E$5:$E$304,MATCH(D4963,'Sản phẩm'!$A$5:$A$304,0)),"")))</f>
        <v/>
      </c>
      <c r="J4963" s="16">
        <f>IF(OR(D4963="",F4963=""),"",F4963*I4963-N(H4963))</f>
        <v/>
      </c>
      <c r="K4963" s="16">
        <f>IF(OR(D4963="",F4963=""),"",F4963*IFERROR(INDEX('Sản phẩm'!$D$5:$D$304,MATCH(D4963,'Sản phẩm'!$A$5:$A$304,0)),""))</f>
        <v/>
      </c>
      <c r="L4963" s="16">
        <f>IF(J4963="","",J4963-K4963)</f>
        <v/>
      </c>
      <c r="M4963" s="14">
        <f>IF(A4963="","",MONTH(A4963))</f>
        <v/>
      </c>
      <c r="N4963" s="14">
        <f>IF(A4963="","",YEAR(A4963))</f>
        <v/>
      </c>
    </row>
    <row r="4964">
      <c r="A4964" s="15" t="n"/>
      <c r="B4964" s="10" t="n"/>
      <c r="C4964" s="10" t="n"/>
      <c r="D4964" s="10" t="n"/>
      <c r="E4964" s="14">
        <f>IF(D4964="","",IFERROR(INDEX('Sản phẩm'!$B$5:$B$304,MATCH(D4964,'Sản phẩm'!$A$5:$A$304,0)),""))</f>
        <v/>
      </c>
      <c r="F4964" s="12" t="n"/>
      <c r="G4964" s="11" t="n"/>
      <c r="H4964" s="11" t="n"/>
      <c r="I4964" s="16">
        <f>IF(D4964="","",IF(G4964&lt;&gt;"",G4964,IFERROR(INDEX('Sản phẩm'!$E$5:$E$304,MATCH(D4964,'Sản phẩm'!$A$5:$A$304,0)),"")))</f>
        <v/>
      </c>
      <c r="J4964" s="16">
        <f>IF(OR(D4964="",F4964=""),"",F4964*I4964-N(H4964))</f>
        <v/>
      </c>
      <c r="K4964" s="16">
        <f>IF(OR(D4964="",F4964=""),"",F4964*IFERROR(INDEX('Sản phẩm'!$D$5:$D$304,MATCH(D4964,'Sản phẩm'!$A$5:$A$304,0)),""))</f>
        <v/>
      </c>
      <c r="L4964" s="16">
        <f>IF(J4964="","",J4964-K4964)</f>
        <v/>
      </c>
      <c r="M4964" s="14">
        <f>IF(A4964="","",MONTH(A4964))</f>
        <v/>
      </c>
      <c r="N4964" s="14">
        <f>IF(A4964="","",YEAR(A4964))</f>
        <v/>
      </c>
    </row>
    <row r="4965">
      <c r="A4965" s="15" t="n"/>
      <c r="B4965" s="10" t="n"/>
      <c r="C4965" s="10" t="n"/>
      <c r="D4965" s="10" t="n"/>
      <c r="E4965" s="14">
        <f>IF(D4965="","",IFERROR(INDEX('Sản phẩm'!$B$5:$B$304,MATCH(D4965,'Sản phẩm'!$A$5:$A$304,0)),""))</f>
        <v/>
      </c>
      <c r="F4965" s="12" t="n"/>
      <c r="G4965" s="11" t="n"/>
      <c r="H4965" s="11" t="n"/>
      <c r="I4965" s="16">
        <f>IF(D4965="","",IF(G4965&lt;&gt;"",G4965,IFERROR(INDEX('Sản phẩm'!$E$5:$E$304,MATCH(D4965,'Sản phẩm'!$A$5:$A$304,0)),"")))</f>
        <v/>
      </c>
      <c r="J4965" s="16">
        <f>IF(OR(D4965="",F4965=""),"",F4965*I4965-N(H4965))</f>
        <v/>
      </c>
      <c r="K4965" s="16">
        <f>IF(OR(D4965="",F4965=""),"",F4965*IFERROR(INDEX('Sản phẩm'!$D$5:$D$304,MATCH(D4965,'Sản phẩm'!$A$5:$A$304,0)),""))</f>
        <v/>
      </c>
      <c r="L4965" s="16">
        <f>IF(J4965="","",J4965-K4965)</f>
        <v/>
      </c>
      <c r="M4965" s="14">
        <f>IF(A4965="","",MONTH(A4965))</f>
        <v/>
      </c>
      <c r="N4965" s="14">
        <f>IF(A4965="","",YEAR(A4965))</f>
        <v/>
      </c>
    </row>
    <row r="4966">
      <c r="A4966" s="15" t="n"/>
      <c r="B4966" s="10" t="n"/>
      <c r="C4966" s="10" t="n"/>
      <c r="D4966" s="10" t="n"/>
      <c r="E4966" s="14">
        <f>IF(D4966="","",IFERROR(INDEX('Sản phẩm'!$B$5:$B$304,MATCH(D4966,'Sản phẩm'!$A$5:$A$304,0)),""))</f>
        <v/>
      </c>
      <c r="F4966" s="12" t="n"/>
      <c r="G4966" s="11" t="n"/>
      <c r="H4966" s="11" t="n"/>
      <c r="I4966" s="16">
        <f>IF(D4966="","",IF(G4966&lt;&gt;"",G4966,IFERROR(INDEX('Sản phẩm'!$E$5:$E$304,MATCH(D4966,'Sản phẩm'!$A$5:$A$304,0)),"")))</f>
        <v/>
      </c>
      <c r="J4966" s="16">
        <f>IF(OR(D4966="",F4966=""),"",F4966*I4966-N(H4966))</f>
        <v/>
      </c>
      <c r="K4966" s="16">
        <f>IF(OR(D4966="",F4966=""),"",F4966*IFERROR(INDEX('Sản phẩm'!$D$5:$D$304,MATCH(D4966,'Sản phẩm'!$A$5:$A$304,0)),""))</f>
        <v/>
      </c>
      <c r="L4966" s="16">
        <f>IF(J4966="","",J4966-K4966)</f>
        <v/>
      </c>
      <c r="M4966" s="14">
        <f>IF(A4966="","",MONTH(A4966))</f>
        <v/>
      </c>
      <c r="N4966" s="14">
        <f>IF(A4966="","",YEAR(A4966))</f>
        <v/>
      </c>
    </row>
    <row r="4967">
      <c r="A4967" s="15" t="n"/>
      <c r="B4967" s="10" t="n"/>
      <c r="C4967" s="10" t="n"/>
      <c r="D4967" s="10" t="n"/>
      <c r="E4967" s="14">
        <f>IF(D4967="","",IFERROR(INDEX('Sản phẩm'!$B$5:$B$304,MATCH(D4967,'Sản phẩm'!$A$5:$A$304,0)),""))</f>
        <v/>
      </c>
      <c r="F4967" s="12" t="n"/>
      <c r="G4967" s="11" t="n"/>
      <c r="H4967" s="11" t="n"/>
      <c r="I4967" s="16">
        <f>IF(D4967="","",IF(G4967&lt;&gt;"",G4967,IFERROR(INDEX('Sản phẩm'!$E$5:$E$304,MATCH(D4967,'Sản phẩm'!$A$5:$A$304,0)),"")))</f>
        <v/>
      </c>
      <c r="J4967" s="16">
        <f>IF(OR(D4967="",F4967=""),"",F4967*I4967-N(H4967))</f>
        <v/>
      </c>
      <c r="K4967" s="16">
        <f>IF(OR(D4967="",F4967=""),"",F4967*IFERROR(INDEX('Sản phẩm'!$D$5:$D$304,MATCH(D4967,'Sản phẩm'!$A$5:$A$304,0)),""))</f>
        <v/>
      </c>
      <c r="L4967" s="16">
        <f>IF(J4967="","",J4967-K4967)</f>
        <v/>
      </c>
      <c r="M4967" s="14">
        <f>IF(A4967="","",MONTH(A4967))</f>
        <v/>
      </c>
      <c r="N4967" s="14">
        <f>IF(A4967="","",YEAR(A4967))</f>
        <v/>
      </c>
    </row>
    <row r="4968">
      <c r="A4968" s="15" t="n"/>
      <c r="B4968" s="10" t="n"/>
      <c r="C4968" s="10" t="n"/>
      <c r="D4968" s="10" t="n"/>
      <c r="E4968" s="14">
        <f>IF(D4968="","",IFERROR(INDEX('Sản phẩm'!$B$5:$B$304,MATCH(D4968,'Sản phẩm'!$A$5:$A$304,0)),""))</f>
        <v/>
      </c>
      <c r="F4968" s="12" t="n"/>
      <c r="G4968" s="11" t="n"/>
      <c r="H4968" s="11" t="n"/>
      <c r="I4968" s="16">
        <f>IF(D4968="","",IF(G4968&lt;&gt;"",G4968,IFERROR(INDEX('Sản phẩm'!$E$5:$E$304,MATCH(D4968,'Sản phẩm'!$A$5:$A$304,0)),"")))</f>
        <v/>
      </c>
      <c r="J4968" s="16">
        <f>IF(OR(D4968="",F4968=""),"",F4968*I4968-N(H4968))</f>
        <v/>
      </c>
      <c r="K4968" s="16">
        <f>IF(OR(D4968="",F4968=""),"",F4968*IFERROR(INDEX('Sản phẩm'!$D$5:$D$304,MATCH(D4968,'Sản phẩm'!$A$5:$A$304,0)),""))</f>
        <v/>
      </c>
      <c r="L4968" s="16">
        <f>IF(J4968="","",J4968-K4968)</f>
        <v/>
      </c>
      <c r="M4968" s="14">
        <f>IF(A4968="","",MONTH(A4968))</f>
        <v/>
      </c>
      <c r="N4968" s="14">
        <f>IF(A4968="","",YEAR(A4968))</f>
        <v/>
      </c>
    </row>
    <row r="4969">
      <c r="A4969" s="15" t="n"/>
      <c r="B4969" s="10" t="n"/>
      <c r="C4969" s="10" t="n"/>
      <c r="D4969" s="10" t="n"/>
      <c r="E4969" s="14">
        <f>IF(D4969="","",IFERROR(INDEX('Sản phẩm'!$B$5:$B$304,MATCH(D4969,'Sản phẩm'!$A$5:$A$304,0)),""))</f>
        <v/>
      </c>
      <c r="F4969" s="12" t="n"/>
      <c r="G4969" s="11" t="n"/>
      <c r="H4969" s="11" t="n"/>
      <c r="I4969" s="16">
        <f>IF(D4969="","",IF(G4969&lt;&gt;"",G4969,IFERROR(INDEX('Sản phẩm'!$E$5:$E$304,MATCH(D4969,'Sản phẩm'!$A$5:$A$304,0)),"")))</f>
        <v/>
      </c>
      <c r="J4969" s="16">
        <f>IF(OR(D4969="",F4969=""),"",F4969*I4969-N(H4969))</f>
        <v/>
      </c>
      <c r="K4969" s="16">
        <f>IF(OR(D4969="",F4969=""),"",F4969*IFERROR(INDEX('Sản phẩm'!$D$5:$D$304,MATCH(D4969,'Sản phẩm'!$A$5:$A$304,0)),""))</f>
        <v/>
      </c>
      <c r="L4969" s="16">
        <f>IF(J4969="","",J4969-K4969)</f>
        <v/>
      </c>
      <c r="M4969" s="14">
        <f>IF(A4969="","",MONTH(A4969))</f>
        <v/>
      </c>
      <c r="N4969" s="14">
        <f>IF(A4969="","",YEAR(A4969))</f>
        <v/>
      </c>
    </row>
    <row r="4970">
      <c r="A4970" s="15" t="n"/>
      <c r="B4970" s="10" t="n"/>
      <c r="C4970" s="10" t="n"/>
      <c r="D4970" s="10" t="n"/>
      <c r="E4970" s="14">
        <f>IF(D4970="","",IFERROR(INDEX('Sản phẩm'!$B$5:$B$304,MATCH(D4970,'Sản phẩm'!$A$5:$A$304,0)),""))</f>
        <v/>
      </c>
      <c r="F4970" s="12" t="n"/>
      <c r="G4970" s="11" t="n"/>
      <c r="H4970" s="11" t="n"/>
      <c r="I4970" s="16">
        <f>IF(D4970="","",IF(G4970&lt;&gt;"",G4970,IFERROR(INDEX('Sản phẩm'!$E$5:$E$304,MATCH(D4970,'Sản phẩm'!$A$5:$A$304,0)),"")))</f>
        <v/>
      </c>
      <c r="J4970" s="16">
        <f>IF(OR(D4970="",F4970=""),"",F4970*I4970-N(H4970))</f>
        <v/>
      </c>
      <c r="K4970" s="16">
        <f>IF(OR(D4970="",F4970=""),"",F4970*IFERROR(INDEX('Sản phẩm'!$D$5:$D$304,MATCH(D4970,'Sản phẩm'!$A$5:$A$304,0)),""))</f>
        <v/>
      </c>
      <c r="L4970" s="16">
        <f>IF(J4970="","",J4970-K4970)</f>
        <v/>
      </c>
      <c r="M4970" s="14">
        <f>IF(A4970="","",MONTH(A4970))</f>
        <v/>
      </c>
      <c r="N4970" s="14">
        <f>IF(A4970="","",YEAR(A4970))</f>
        <v/>
      </c>
    </row>
    <row r="4971">
      <c r="A4971" s="15" t="n"/>
      <c r="B4971" s="10" t="n"/>
      <c r="C4971" s="10" t="n"/>
      <c r="D4971" s="10" t="n"/>
      <c r="E4971" s="14">
        <f>IF(D4971="","",IFERROR(INDEX('Sản phẩm'!$B$5:$B$304,MATCH(D4971,'Sản phẩm'!$A$5:$A$304,0)),""))</f>
        <v/>
      </c>
      <c r="F4971" s="12" t="n"/>
      <c r="G4971" s="11" t="n"/>
      <c r="H4971" s="11" t="n"/>
      <c r="I4971" s="16">
        <f>IF(D4971="","",IF(G4971&lt;&gt;"",G4971,IFERROR(INDEX('Sản phẩm'!$E$5:$E$304,MATCH(D4971,'Sản phẩm'!$A$5:$A$304,0)),"")))</f>
        <v/>
      </c>
      <c r="J4971" s="16">
        <f>IF(OR(D4971="",F4971=""),"",F4971*I4971-N(H4971))</f>
        <v/>
      </c>
      <c r="K4971" s="16">
        <f>IF(OR(D4971="",F4971=""),"",F4971*IFERROR(INDEX('Sản phẩm'!$D$5:$D$304,MATCH(D4971,'Sản phẩm'!$A$5:$A$304,0)),""))</f>
        <v/>
      </c>
      <c r="L4971" s="16">
        <f>IF(J4971="","",J4971-K4971)</f>
        <v/>
      </c>
      <c r="M4971" s="14">
        <f>IF(A4971="","",MONTH(A4971))</f>
        <v/>
      </c>
      <c r="N4971" s="14">
        <f>IF(A4971="","",YEAR(A4971))</f>
        <v/>
      </c>
    </row>
    <row r="4972">
      <c r="A4972" s="15" t="n"/>
      <c r="B4972" s="10" t="n"/>
      <c r="C4972" s="10" t="n"/>
      <c r="D4972" s="10" t="n"/>
      <c r="E4972" s="14">
        <f>IF(D4972="","",IFERROR(INDEX('Sản phẩm'!$B$5:$B$304,MATCH(D4972,'Sản phẩm'!$A$5:$A$304,0)),""))</f>
        <v/>
      </c>
      <c r="F4972" s="12" t="n"/>
      <c r="G4972" s="11" t="n"/>
      <c r="H4972" s="11" t="n"/>
      <c r="I4972" s="16">
        <f>IF(D4972="","",IF(G4972&lt;&gt;"",G4972,IFERROR(INDEX('Sản phẩm'!$E$5:$E$304,MATCH(D4972,'Sản phẩm'!$A$5:$A$304,0)),"")))</f>
        <v/>
      </c>
      <c r="J4972" s="16">
        <f>IF(OR(D4972="",F4972=""),"",F4972*I4972-N(H4972))</f>
        <v/>
      </c>
      <c r="K4972" s="16">
        <f>IF(OR(D4972="",F4972=""),"",F4972*IFERROR(INDEX('Sản phẩm'!$D$5:$D$304,MATCH(D4972,'Sản phẩm'!$A$5:$A$304,0)),""))</f>
        <v/>
      </c>
      <c r="L4972" s="16">
        <f>IF(J4972="","",J4972-K4972)</f>
        <v/>
      </c>
      <c r="M4972" s="14">
        <f>IF(A4972="","",MONTH(A4972))</f>
        <v/>
      </c>
      <c r="N4972" s="14">
        <f>IF(A4972="","",YEAR(A4972))</f>
        <v/>
      </c>
    </row>
    <row r="4973">
      <c r="A4973" s="15" t="n"/>
      <c r="B4973" s="10" t="n"/>
      <c r="C4973" s="10" t="n"/>
      <c r="D4973" s="10" t="n"/>
      <c r="E4973" s="14">
        <f>IF(D4973="","",IFERROR(INDEX('Sản phẩm'!$B$5:$B$304,MATCH(D4973,'Sản phẩm'!$A$5:$A$304,0)),""))</f>
        <v/>
      </c>
      <c r="F4973" s="12" t="n"/>
      <c r="G4973" s="11" t="n"/>
      <c r="H4973" s="11" t="n"/>
      <c r="I4973" s="16">
        <f>IF(D4973="","",IF(G4973&lt;&gt;"",G4973,IFERROR(INDEX('Sản phẩm'!$E$5:$E$304,MATCH(D4973,'Sản phẩm'!$A$5:$A$304,0)),"")))</f>
        <v/>
      </c>
      <c r="J4973" s="16">
        <f>IF(OR(D4973="",F4973=""),"",F4973*I4973-N(H4973))</f>
        <v/>
      </c>
      <c r="K4973" s="16">
        <f>IF(OR(D4973="",F4973=""),"",F4973*IFERROR(INDEX('Sản phẩm'!$D$5:$D$304,MATCH(D4973,'Sản phẩm'!$A$5:$A$304,0)),""))</f>
        <v/>
      </c>
      <c r="L4973" s="16">
        <f>IF(J4973="","",J4973-K4973)</f>
        <v/>
      </c>
      <c r="M4973" s="14">
        <f>IF(A4973="","",MONTH(A4973))</f>
        <v/>
      </c>
      <c r="N4973" s="14">
        <f>IF(A4973="","",YEAR(A4973))</f>
        <v/>
      </c>
    </row>
    <row r="4974">
      <c r="A4974" s="15" t="n"/>
      <c r="B4974" s="10" t="n"/>
      <c r="C4974" s="10" t="n"/>
      <c r="D4974" s="10" t="n"/>
      <c r="E4974" s="14">
        <f>IF(D4974="","",IFERROR(INDEX('Sản phẩm'!$B$5:$B$304,MATCH(D4974,'Sản phẩm'!$A$5:$A$304,0)),""))</f>
        <v/>
      </c>
      <c r="F4974" s="12" t="n"/>
      <c r="G4974" s="11" t="n"/>
      <c r="H4974" s="11" t="n"/>
      <c r="I4974" s="16">
        <f>IF(D4974="","",IF(G4974&lt;&gt;"",G4974,IFERROR(INDEX('Sản phẩm'!$E$5:$E$304,MATCH(D4974,'Sản phẩm'!$A$5:$A$304,0)),"")))</f>
        <v/>
      </c>
      <c r="J4974" s="16">
        <f>IF(OR(D4974="",F4974=""),"",F4974*I4974-N(H4974))</f>
        <v/>
      </c>
      <c r="K4974" s="16">
        <f>IF(OR(D4974="",F4974=""),"",F4974*IFERROR(INDEX('Sản phẩm'!$D$5:$D$304,MATCH(D4974,'Sản phẩm'!$A$5:$A$304,0)),""))</f>
        <v/>
      </c>
      <c r="L4974" s="16">
        <f>IF(J4974="","",J4974-K4974)</f>
        <v/>
      </c>
      <c r="M4974" s="14">
        <f>IF(A4974="","",MONTH(A4974))</f>
        <v/>
      </c>
      <c r="N4974" s="14">
        <f>IF(A4974="","",YEAR(A4974))</f>
        <v/>
      </c>
    </row>
    <row r="4975">
      <c r="A4975" s="15" t="n"/>
      <c r="B4975" s="10" t="n"/>
      <c r="C4975" s="10" t="n"/>
      <c r="D4975" s="10" t="n"/>
      <c r="E4975" s="14">
        <f>IF(D4975="","",IFERROR(INDEX('Sản phẩm'!$B$5:$B$304,MATCH(D4975,'Sản phẩm'!$A$5:$A$304,0)),""))</f>
        <v/>
      </c>
      <c r="F4975" s="12" t="n"/>
      <c r="G4975" s="11" t="n"/>
      <c r="H4975" s="11" t="n"/>
      <c r="I4975" s="16">
        <f>IF(D4975="","",IF(G4975&lt;&gt;"",G4975,IFERROR(INDEX('Sản phẩm'!$E$5:$E$304,MATCH(D4975,'Sản phẩm'!$A$5:$A$304,0)),"")))</f>
        <v/>
      </c>
      <c r="J4975" s="16">
        <f>IF(OR(D4975="",F4975=""),"",F4975*I4975-N(H4975))</f>
        <v/>
      </c>
      <c r="K4975" s="16">
        <f>IF(OR(D4975="",F4975=""),"",F4975*IFERROR(INDEX('Sản phẩm'!$D$5:$D$304,MATCH(D4975,'Sản phẩm'!$A$5:$A$304,0)),""))</f>
        <v/>
      </c>
      <c r="L4975" s="16">
        <f>IF(J4975="","",J4975-K4975)</f>
        <v/>
      </c>
      <c r="M4975" s="14">
        <f>IF(A4975="","",MONTH(A4975))</f>
        <v/>
      </c>
      <c r="N4975" s="14">
        <f>IF(A4975="","",YEAR(A4975))</f>
        <v/>
      </c>
    </row>
    <row r="4976">
      <c r="A4976" s="15" t="n"/>
      <c r="B4976" s="10" t="n"/>
      <c r="C4976" s="10" t="n"/>
      <c r="D4976" s="10" t="n"/>
      <c r="E4976" s="14">
        <f>IF(D4976="","",IFERROR(INDEX('Sản phẩm'!$B$5:$B$304,MATCH(D4976,'Sản phẩm'!$A$5:$A$304,0)),""))</f>
        <v/>
      </c>
      <c r="F4976" s="12" t="n"/>
      <c r="G4976" s="11" t="n"/>
      <c r="H4976" s="11" t="n"/>
      <c r="I4976" s="16">
        <f>IF(D4976="","",IF(G4976&lt;&gt;"",G4976,IFERROR(INDEX('Sản phẩm'!$E$5:$E$304,MATCH(D4976,'Sản phẩm'!$A$5:$A$304,0)),"")))</f>
        <v/>
      </c>
      <c r="J4976" s="16">
        <f>IF(OR(D4976="",F4976=""),"",F4976*I4976-N(H4976))</f>
        <v/>
      </c>
      <c r="K4976" s="16">
        <f>IF(OR(D4976="",F4976=""),"",F4976*IFERROR(INDEX('Sản phẩm'!$D$5:$D$304,MATCH(D4976,'Sản phẩm'!$A$5:$A$304,0)),""))</f>
        <v/>
      </c>
      <c r="L4976" s="16">
        <f>IF(J4976="","",J4976-K4976)</f>
        <v/>
      </c>
      <c r="M4976" s="14">
        <f>IF(A4976="","",MONTH(A4976))</f>
        <v/>
      </c>
      <c r="N4976" s="14">
        <f>IF(A4976="","",YEAR(A4976))</f>
        <v/>
      </c>
    </row>
    <row r="4977">
      <c r="A4977" s="15" t="n"/>
      <c r="B4977" s="10" t="n"/>
      <c r="C4977" s="10" t="n"/>
      <c r="D4977" s="10" t="n"/>
      <c r="E4977" s="14">
        <f>IF(D4977="","",IFERROR(INDEX('Sản phẩm'!$B$5:$B$304,MATCH(D4977,'Sản phẩm'!$A$5:$A$304,0)),""))</f>
        <v/>
      </c>
      <c r="F4977" s="12" t="n"/>
      <c r="G4977" s="11" t="n"/>
      <c r="H4977" s="11" t="n"/>
      <c r="I4977" s="16">
        <f>IF(D4977="","",IF(G4977&lt;&gt;"",G4977,IFERROR(INDEX('Sản phẩm'!$E$5:$E$304,MATCH(D4977,'Sản phẩm'!$A$5:$A$304,0)),"")))</f>
        <v/>
      </c>
      <c r="J4977" s="16">
        <f>IF(OR(D4977="",F4977=""),"",F4977*I4977-N(H4977))</f>
        <v/>
      </c>
      <c r="K4977" s="16">
        <f>IF(OR(D4977="",F4977=""),"",F4977*IFERROR(INDEX('Sản phẩm'!$D$5:$D$304,MATCH(D4977,'Sản phẩm'!$A$5:$A$304,0)),""))</f>
        <v/>
      </c>
      <c r="L4977" s="16">
        <f>IF(J4977="","",J4977-K4977)</f>
        <v/>
      </c>
      <c r="M4977" s="14">
        <f>IF(A4977="","",MONTH(A4977))</f>
        <v/>
      </c>
      <c r="N4977" s="14">
        <f>IF(A4977="","",YEAR(A4977))</f>
        <v/>
      </c>
    </row>
    <row r="4978">
      <c r="A4978" s="15" t="n"/>
      <c r="B4978" s="10" t="n"/>
      <c r="C4978" s="10" t="n"/>
      <c r="D4978" s="10" t="n"/>
      <c r="E4978" s="14">
        <f>IF(D4978="","",IFERROR(INDEX('Sản phẩm'!$B$5:$B$304,MATCH(D4978,'Sản phẩm'!$A$5:$A$304,0)),""))</f>
        <v/>
      </c>
      <c r="F4978" s="12" t="n"/>
      <c r="G4978" s="11" t="n"/>
      <c r="H4978" s="11" t="n"/>
      <c r="I4978" s="16">
        <f>IF(D4978="","",IF(G4978&lt;&gt;"",G4978,IFERROR(INDEX('Sản phẩm'!$E$5:$E$304,MATCH(D4978,'Sản phẩm'!$A$5:$A$304,0)),"")))</f>
        <v/>
      </c>
      <c r="J4978" s="16">
        <f>IF(OR(D4978="",F4978=""),"",F4978*I4978-N(H4978))</f>
        <v/>
      </c>
      <c r="K4978" s="16">
        <f>IF(OR(D4978="",F4978=""),"",F4978*IFERROR(INDEX('Sản phẩm'!$D$5:$D$304,MATCH(D4978,'Sản phẩm'!$A$5:$A$304,0)),""))</f>
        <v/>
      </c>
      <c r="L4978" s="16">
        <f>IF(J4978="","",J4978-K4978)</f>
        <v/>
      </c>
      <c r="M4978" s="14">
        <f>IF(A4978="","",MONTH(A4978))</f>
        <v/>
      </c>
      <c r="N4978" s="14">
        <f>IF(A4978="","",YEAR(A4978))</f>
        <v/>
      </c>
    </row>
    <row r="4979">
      <c r="A4979" s="15" t="n"/>
      <c r="B4979" s="10" t="n"/>
      <c r="C4979" s="10" t="n"/>
      <c r="D4979" s="10" t="n"/>
      <c r="E4979" s="14">
        <f>IF(D4979="","",IFERROR(INDEX('Sản phẩm'!$B$5:$B$304,MATCH(D4979,'Sản phẩm'!$A$5:$A$304,0)),""))</f>
        <v/>
      </c>
      <c r="F4979" s="12" t="n"/>
      <c r="G4979" s="11" t="n"/>
      <c r="H4979" s="11" t="n"/>
      <c r="I4979" s="16">
        <f>IF(D4979="","",IF(G4979&lt;&gt;"",G4979,IFERROR(INDEX('Sản phẩm'!$E$5:$E$304,MATCH(D4979,'Sản phẩm'!$A$5:$A$304,0)),"")))</f>
        <v/>
      </c>
      <c r="J4979" s="16">
        <f>IF(OR(D4979="",F4979=""),"",F4979*I4979-N(H4979))</f>
        <v/>
      </c>
      <c r="K4979" s="16">
        <f>IF(OR(D4979="",F4979=""),"",F4979*IFERROR(INDEX('Sản phẩm'!$D$5:$D$304,MATCH(D4979,'Sản phẩm'!$A$5:$A$304,0)),""))</f>
        <v/>
      </c>
      <c r="L4979" s="16">
        <f>IF(J4979="","",J4979-K4979)</f>
        <v/>
      </c>
      <c r="M4979" s="14">
        <f>IF(A4979="","",MONTH(A4979))</f>
        <v/>
      </c>
      <c r="N4979" s="14">
        <f>IF(A4979="","",YEAR(A4979))</f>
        <v/>
      </c>
    </row>
    <row r="4980">
      <c r="A4980" s="15" t="n"/>
      <c r="B4980" s="10" t="n"/>
      <c r="C4980" s="10" t="n"/>
      <c r="D4980" s="10" t="n"/>
      <c r="E4980" s="14">
        <f>IF(D4980="","",IFERROR(INDEX('Sản phẩm'!$B$5:$B$304,MATCH(D4980,'Sản phẩm'!$A$5:$A$304,0)),""))</f>
        <v/>
      </c>
      <c r="F4980" s="12" t="n"/>
      <c r="G4980" s="11" t="n"/>
      <c r="H4980" s="11" t="n"/>
      <c r="I4980" s="16">
        <f>IF(D4980="","",IF(G4980&lt;&gt;"",G4980,IFERROR(INDEX('Sản phẩm'!$E$5:$E$304,MATCH(D4980,'Sản phẩm'!$A$5:$A$304,0)),"")))</f>
        <v/>
      </c>
      <c r="J4980" s="16">
        <f>IF(OR(D4980="",F4980=""),"",F4980*I4980-N(H4980))</f>
        <v/>
      </c>
      <c r="K4980" s="16">
        <f>IF(OR(D4980="",F4980=""),"",F4980*IFERROR(INDEX('Sản phẩm'!$D$5:$D$304,MATCH(D4980,'Sản phẩm'!$A$5:$A$304,0)),""))</f>
        <v/>
      </c>
      <c r="L4980" s="16">
        <f>IF(J4980="","",J4980-K4980)</f>
        <v/>
      </c>
      <c r="M4980" s="14">
        <f>IF(A4980="","",MONTH(A4980))</f>
        <v/>
      </c>
      <c r="N4980" s="14">
        <f>IF(A4980="","",YEAR(A4980))</f>
        <v/>
      </c>
    </row>
    <row r="4981">
      <c r="A4981" s="15" t="n"/>
      <c r="B4981" s="10" t="n"/>
      <c r="C4981" s="10" t="n"/>
      <c r="D4981" s="10" t="n"/>
      <c r="E4981" s="14">
        <f>IF(D4981="","",IFERROR(INDEX('Sản phẩm'!$B$5:$B$304,MATCH(D4981,'Sản phẩm'!$A$5:$A$304,0)),""))</f>
        <v/>
      </c>
      <c r="F4981" s="12" t="n"/>
      <c r="G4981" s="11" t="n"/>
      <c r="H4981" s="11" t="n"/>
      <c r="I4981" s="16">
        <f>IF(D4981="","",IF(G4981&lt;&gt;"",G4981,IFERROR(INDEX('Sản phẩm'!$E$5:$E$304,MATCH(D4981,'Sản phẩm'!$A$5:$A$304,0)),"")))</f>
        <v/>
      </c>
      <c r="J4981" s="16">
        <f>IF(OR(D4981="",F4981=""),"",F4981*I4981-N(H4981))</f>
        <v/>
      </c>
      <c r="K4981" s="16">
        <f>IF(OR(D4981="",F4981=""),"",F4981*IFERROR(INDEX('Sản phẩm'!$D$5:$D$304,MATCH(D4981,'Sản phẩm'!$A$5:$A$304,0)),""))</f>
        <v/>
      </c>
      <c r="L4981" s="16">
        <f>IF(J4981="","",J4981-K4981)</f>
        <v/>
      </c>
      <c r="M4981" s="14">
        <f>IF(A4981="","",MONTH(A4981))</f>
        <v/>
      </c>
      <c r="N4981" s="14">
        <f>IF(A4981="","",YEAR(A4981))</f>
        <v/>
      </c>
    </row>
    <row r="4982">
      <c r="A4982" s="15" t="n"/>
      <c r="B4982" s="10" t="n"/>
      <c r="C4982" s="10" t="n"/>
      <c r="D4982" s="10" t="n"/>
      <c r="E4982" s="14">
        <f>IF(D4982="","",IFERROR(INDEX('Sản phẩm'!$B$5:$B$304,MATCH(D4982,'Sản phẩm'!$A$5:$A$304,0)),""))</f>
        <v/>
      </c>
      <c r="F4982" s="12" t="n"/>
      <c r="G4982" s="11" t="n"/>
      <c r="H4982" s="11" t="n"/>
      <c r="I4982" s="16">
        <f>IF(D4982="","",IF(G4982&lt;&gt;"",G4982,IFERROR(INDEX('Sản phẩm'!$E$5:$E$304,MATCH(D4982,'Sản phẩm'!$A$5:$A$304,0)),"")))</f>
        <v/>
      </c>
      <c r="J4982" s="16">
        <f>IF(OR(D4982="",F4982=""),"",F4982*I4982-N(H4982))</f>
        <v/>
      </c>
      <c r="K4982" s="16">
        <f>IF(OR(D4982="",F4982=""),"",F4982*IFERROR(INDEX('Sản phẩm'!$D$5:$D$304,MATCH(D4982,'Sản phẩm'!$A$5:$A$304,0)),""))</f>
        <v/>
      </c>
      <c r="L4982" s="16">
        <f>IF(J4982="","",J4982-K4982)</f>
        <v/>
      </c>
      <c r="M4982" s="14">
        <f>IF(A4982="","",MONTH(A4982))</f>
        <v/>
      </c>
      <c r="N4982" s="14">
        <f>IF(A4982="","",YEAR(A4982))</f>
        <v/>
      </c>
    </row>
    <row r="4983">
      <c r="A4983" s="15" t="n"/>
      <c r="B4983" s="10" t="n"/>
      <c r="C4983" s="10" t="n"/>
      <c r="D4983" s="10" t="n"/>
      <c r="E4983" s="14">
        <f>IF(D4983="","",IFERROR(INDEX('Sản phẩm'!$B$5:$B$304,MATCH(D4983,'Sản phẩm'!$A$5:$A$304,0)),""))</f>
        <v/>
      </c>
      <c r="F4983" s="12" t="n"/>
      <c r="G4983" s="11" t="n"/>
      <c r="H4983" s="11" t="n"/>
      <c r="I4983" s="16">
        <f>IF(D4983="","",IF(G4983&lt;&gt;"",G4983,IFERROR(INDEX('Sản phẩm'!$E$5:$E$304,MATCH(D4983,'Sản phẩm'!$A$5:$A$304,0)),"")))</f>
        <v/>
      </c>
      <c r="J4983" s="16">
        <f>IF(OR(D4983="",F4983=""),"",F4983*I4983-N(H4983))</f>
        <v/>
      </c>
      <c r="K4983" s="16">
        <f>IF(OR(D4983="",F4983=""),"",F4983*IFERROR(INDEX('Sản phẩm'!$D$5:$D$304,MATCH(D4983,'Sản phẩm'!$A$5:$A$304,0)),""))</f>
        <v/>
      </c>
      <c r="L4983" s="16">
        <f>IF(J4983="","",J4983-K4983)</f>
        <v/>
      </c>
      <c r="M4983" s="14">
        <f>IF(A4983="","",MONTH(A4983))</f>
        <v/>
      </c>
      <c r="N4983" s="14">
        <f>IF(A4983="","",YEAR(A4983))</f>
        <v/>
      </c>
    </row>
    <row r="4984">
      <c r="A4984" s="15" t="n"/>
      <c r="B4984" s="10" t="n"/>
      <c r="C4984" s="10" t="n"/>
      <c r="D4984" s="10" t="n"/>
      <c r="E4984" s="14">
        <f>IF(D4984="","",IFERROR(INDEX('Sản phẩm'!$B$5:$B$304,MATCH(D4984,'Sản phẩm'!$A$5:$A$304,0)),""))</f>
        <v/>
      </c>
      <c r="F4984" s="12" t="n"/>
      <c r="G4984" s="11" t="n"/>
      <c r="H4984" s="11" t="n"/>
      <c r="I4984" s="16">
        <f>IF(D4984="","",IF(G4984&lt;&gt;"",G4984,IFERROR(INDEX('Sản phẩm'!$E$5:$E$304,MATCH(D4984,'Sản phẩm'!$A$5:$A$304,0)),"")))</f>
        <v/>
      </c>
      <c r="J4984" s="16">
        <f>IF(OR(D4984="",F4984=""),"",F4984*I4984-N(H4984))</f>
        <v/>
      </c>
      <c r="K4984" s="16">
        <f>IF(OR(D4984="",F4984=""),"",F4984*IFERROR(INDEX('Sản phẩm'!$D$5:$D$304,MATCH(D4984,'Sản phẩm'!$A$5:$A$304,0)),""))</f>
        <v/>
      </c>
      <c r="L4984" s="16">
        <f>IF(J4984="","",J4984-K4984)</f>
        <v/>
      </c>
      <c r="M4984" s="14">
        <f>IF(A4984="","",MONTH(A4984))</f>
        <v/>
      </c>
      <c r="N4984" s="14">
        <f>IF(A4984="","",YEAR(A4984))</f>
        <v/>
      </c>
    </row>
    <row r="4985">
      <c r="A4985" s="15" t="n"/>
      <c r="B4985" s="10" t="n"/>
      <c r="C4985" s="10" t="n"/>
      <c r="D4985" s="10" t="n"/>
      <c r="E4985" s="14">
        <f>IF(D4985="","",IFERROR(INDEX('Sản phẩm'!$B$5:$B$304,MATCH(D4985,'Sản phẩm'!$A$5:$A$304,0)),""))</f>
        <v/>
      </c>
      <c r="F4985" s="12" t="n"/>
      <c r="G4985" s="11" t="n"/>
      <c r="H4985" s="11" t="n"/>
      <c r="I4985" s="16">
        <f>IF(D4985="","",IF(G4985&lt;&gt;"",G4985,IFERROR(INDEX('Sản phẩm'!$E$5:$E$304,MATCH(D4985,'Sản phẩm'!$A$5:$A$304,0)),"")))</f>
        <v/>
      </c>
      <c r="J4985" s="16">
        <f>IF(OR(D4985="",F4985=""),"",F4985*I4985-N(H4985))</f>
        <v/>
      </c>
      <c r="K4985" s="16">
        <f>IF(OR(D4985="",F4985=""),"",F4985*IFERROR(INDEX('Sản phẩm'!$D$5:$D$304,MATCH(D4985,'Sản phẩm'!$A$5:$A$304,0)),""))</f>
        <v/>
      </c>
      <c r="L4985" s="16">
        <f>IF(J4985="","",J4985-K4985)</f>
        <v/>
      </c>
      <c r="M4985" s="14">
        <f>IF(A4985="","",MONTH(A4985))</f>
        <v/>
      </c>
      <c r="N4985" s="14">
        <f>IF(A4985="","",YEAR(A4985))</f>
        <v/>
      </c>
    </row>
    <row r="4986">
      <c r="A4986" s="15" t="n"/>
      <c r="B4986" s="10" t="n"/>
      <c r="C4986" s="10" t="n"/>
      <c r="D4986" s="10" t="n"/>
      <c r="E4986" s="14">
        <f>IF(D4986="","",IFERROR(INDEX('Sản phẩm'!$B$5:$B$304,MATCH(D4986,'Sản phẩm'!$A$5:$A$304,0)),""))</f>
        <v/>
      </c>
      <c r="F4986" s="12" t="n"/>
      <c r="G4986" s="11" t="n"/>
      <c r="H4986" s="11" t="n"/>
      <c r="I4986" s="16">
        <f>IF(D4986="","",IF(G4986&lt;&gt;"",G4986,IFERROR(INDEX('Sản phẩm'!$E$5:$E$304,MATCH(D4986,'Sản phẩm'!$A$5:$A$304,0)),"")))</f>
        <v/>
      </c>
      <c r="J4986" s="16">
        <f>IF(OR(D4986="",F4986=""),"",F4986*I4986-N(H4986))</f>
        <v/>
      </c>
      <c r="K4986" s="16">
        <f>IF(OR(D4986="",F4986=""),"",F4986*IFERROR(INDEX('Sản phẩm'!$D$5:$D$304,MATCH(D4986,'Sản phẩm'!$A$5:$A$304,0)),""))</f>
        <v/>
      </c>
      <c r="L4986" s="16">
        <f>IF(J4986="","",J4986-K4986)</f>
        <v/>
      </c>
      <c r="M4986" s="14">
        <f>IF(A4986="","",MONTH(A4986))</f>
        <v/>
      </c>
      <c r="N4986" s="14">
        <f>IF(A4986="","",YEAR(A4986))</f>
        <v/>
      </c>
    </row>
    <row r="4987">
      <c r="A4987" s="15" t="n"/>
      <c r="B4987" s="10" t="n"/>
      <c r="C4987" s="10" t="n"/>
      <c r="D4987" s="10" t="n"/>
      <c r="E4987" s="14">
        <f>IF(D4987="","",IFERROR(INDEX('Sản phẩm'!$B$5:$B$304,MATCH(D4987,'Sản phẩm'!$A$5:$A$304,0)),""))</f>
        <v/>
      </c>
      <c r="F4987" s="12" t="n"/>
      <c r="G4987" s="11" t="n"/>
      <c r="H4987" s="11" t="n"/>
      <c r="I4987" s="16">
        <f>IF(D4987="","",IF(G4987&lt;&gt;"",G4987,IFERROR(INDEX('Sản phẩm'!$E$5:$E$304,MATCH(D4987,'Sản phẩm'!$A$5:$A$304,0)),"")))</f>
        <v/>
      </c>
      <c r="J4987" s="16">
        <f>IF(OR(D4987="",F4987=""),"",F4987*I4987-N(H4987))</f>
        <v/>
      </c>
      <c r="K4987" s="16">
        <f>IF(OR(D4987="",F4987=""),"",F4987*IFERROR(INDEX('Sản phẩm'!$D$5:$D$304,MATCH(D4987,'Sản phẩm'!$A$5:$A$304,0)),""))</f>
        <v/>
      </c>
      <c r="L4987" s="16">
        <f>IF(J4987="","",J4987-K4987)</f>
        <v/>
      </c>
      <c r="M4987" s="14">
        <f>IF(A4987="","",MONTH(A4987))</f>
        <v/>
      </c>
      <c r="N4987" s="14">
        <f>IF(A4987="","",YEAR(A4987))</f>
        <v/>
      </c>
    </row>
    <row r="4988">
      <c r="A4988" s="15" t="n"/>
      <c r="B4988" s="10" t="n"/>
      <c r="C4988" s="10" t="n"/>
      <c r="D4988" s="10" t="n"/>
      <c r="E4988" s="14">
        <f>IF(D4988="","",IFERROR(INDEX('Sản phẩm'!$B$5:$B$304,MATCH(D4988,'Sản phẩm'!$A$5:$A$304,0)),""))</f>
        <v/>
      </c>
      <c r="F4988" s="12" t="n"/>
      <c r="G4988" s="11" t="n"/>
      <c r="H4988" s="11" t="n"/>
      <c r="I4988" s="16">
        <f>IF(D4988="","",IF(G4988&lt;&gt;"",G4988,IFERROR(INDEX('Sản phẩm'!$E$5:$E$304,MATCH(D4988,'Sản phẩm'!$A$5:$A$304,0)),"")))</f>
        <v/>
      </c>
      <c r="J4988" s="16">
        <f>IF(OR(D4988="",F4988=""),"",F4988*I4988-N(H4988))</f>
        <v/>
      </c>
      <c r="K4988" s="16">
        <f>IF(OR(D4988="",F4988=""),"",F4988*IFERROR(INDEX('Sản phẩm'!$D$5:$D$304,MATCH(D4988,'Sản phẩm'!$A$5:$A$304,0)),""))</f>
        <v/>
      </c>
      <c r="L4988" s="16">
        <f>IF(J4988="","",J4988-K4988)</f>
        <v/>
      </c>
      <c r="M4988" s="14">
        <f>IF(A4988="","",MONTH(A4988))</f>
        <v/>
      </c>
      <c r="N4988" s="14">
        <f>IF(A4988="","",YEAR(A4988))</f>
        <v/>
      </c>
    </row>
    <row r="4989">
      <c r="A4989" s="15" t="n"/>
      <c r="B4989" s="10" t="n"/>
      <c r="C4989" s="10" t="n"/>
      <c r="D4989" s="10" t="n"/>
      <c r="E4989" s="14">
        <f>IF(D4989="","",IFERROR(INDEX('Sản phẩm'!$B$5:$B$304,MATCH(D4989,'Sản phẩm'!$A$5:$A$304,0)),""))</f>
        <v/>
      </c>
      <c r="F4989" s="12" t="n"/>
      <c r="G4989" s="11" t="n"/>
      <c r="H4989" s="11" t="n"/>
      <c r="I4989" s="16">
        <f>IF(D4989="","",IF(G4989&lt;&gt;"",G4989,IFERROR(INDEX('Sản phẩm'!$E$5:$E$304,MATCH(D4989,'Sản phẩm'!$A$5:$A$304,0)),"")))</f>
        <v/>
      </c>
      <c r="J4989" s="16">
        <f>IF(OR(D4989="",F4989=""),"",F4989*I4989-N(H4989))</f>
        <v/>
      </c>
      <c r="K4989" s="16">
        <f>IF(OR(D4989="",F4989=""),"",F4989*IFERROR(INDEX('Sản phẩm'!$D$5:$D$304,MATCH(D4989,'Sản phẩm'!$A$5:$A$304,0)),""))</f>
        <v/>
      </c>
      <c r="L4989" s="16">
        <f>IF(J4989="","",J4989-K4989)</f>
        <v/>
      </c>
      <c r="M4989" s="14">
        <f>IF(A4989="","",MONTH(A4989))</f>
        <v/>
      </c>
      <c r="N4989" s="14">
        <f>IF(A4989="","",YEAR(A4989))</f>
        <v/>
      </c>
    </row>
    <row r="4990">
      <c r="A4990" s="15" t="n"/>
      <c r="B4990" s="10" t="n"/>
      <c r="C4990" s="10" t="n"/>
      <c r="D4990" s="10" t="n"/>
      <c r="E4990" s="14">
        <f>IF(D4990="","",IFERROR(INDEX('Sản phẩm'!$B$5:$B$304,MATCH(D4990,'Sản phẩm'!$A$5:$A$304,0)),""))</f>
        <v/>
      </c>
      <c r="F4990" s="12" t="n"/>
      <c r="G4990" s="11" t="n"/>
      <c r="H4990" s="11" t="n"/>
      <c r="I4990" s="16">
        <f>IF(D4990="","",IF(G4990&lt;&gt;"",G4990,IFERROR(INDEX('Sản phẩm'!$E$5:$E$304,MATCH(D4990,'Sản phẩm'!$A$5:$A$304,0)),"")))</f>
        <v/>
      </c>
      <c r="J4990" s="16">
        <f>IF(OR(D4990="",F4990=""),"",F4990*I4990-N(H4990))</f>
        <v/>
      </c>
      <c r="K4990" s="16">
        <f>IF(OR(D4990="",F4990=""),"",F4990*IFERROR(INDEX('Sản phẩm'!$D$5:$D$304,MATCH(D4990,'Sản phẩm'!$A$5:$A$304,0)),""))</f>
        <v/>
      </c>
      <c r="L4990" s="16">
        <f>IF(J4990="","",J4990-K4990)</f>
        <v/>
      </c>
      <c r="M4990" s="14">
        <f>IF(A4990="","",MONTH(A4990))</f>
        <v/>
      </c>
      <c r="N4990" s="14">
        <f>IF(A4990="","",YEAR(A4990))</f>
        <v/>
      </c>
    </row>
    <row r="4991">
      <c r="A4991" s="15" t="n"/>
      <c r="B4991" s="10" t="n"/>
      <c r="C4991" s="10" t="n"/>
      <c r="D4991" s="10" t="n"/>
      <c r="E4991" s="14">
        <f>IF(D4991="","",IFERROR(INDEX('Sản phẩm'!$B$5:$B$304,MATCH(D4991,'Sản phẩm'!$A$5:$A$304,0)),""))</f>
        <v/>
      </c>
      <c r="F4991" s="12" t="n"/>
      <c r="G4991" s="11" t="n"/>
      <c r="H4991" s="11" t="n"/>
      <c r="I4991" s="16">
        <f>IF(D4991="","",IF(G4991&lt;&gt;"",G4991,IFERROR(INDEX('Sản phẩm'!$E$5:$E$304,MATCH(D4991,'Sản phẩm'!$A$5:$A$304,0)),"")))</f>
        <v/>
      </c>
      <c r="J4991" s="16">
        <f>IF(OR(D4991="",F4991=""),"",F4991*I4991-N(H4991))</f>
        <v/>
      </c>
      <c r="K4991" s="16">
        <f>IF(OR(D4991="",F4991=""),"",F4991*IFERROR(INDEX('Sản phẩm'!$D$5:$D$304,MATCH(D4991,'Sản phẩm'!$A$5:$A$304,0)),""))</f>
        <v/>
      </c>
      <c r="L4991" s="16">
        <f>IF(J4991="","",J4991-K4991)</f>
        <v/>
      </c>
      <c r="M4991" s="14">
        <f>IF(A4991="","",MONTH(A4991))</f>
        <v/>
      </c>
      <c r="N4991" s="14">
        <f>IF(A4991="","",YEAR(A4991))</f>
        <v/>
      </c>
    </row>
    <row r="4992">
      <c r="A4992" s="15" t="n"/>
      <c r="B4992" s="10" t="n"/>
      <c r="C4992" s="10" t="n"/>
      <c r="D4992" s="10" t="n"/>
      <c r="E4992" s="14">
        <f>IF(D4992="","",IFERROR(INDEX('Sản phẩm'!$B$5:$B$304,MATCH(D4992,'Sản phẩm'!$A$5:$A$304,0)),""))</f>
        <v/>
      </c>
      <c r="F4992" s="12" t="n"/>
      <c r="G4992" s="11" t="n"/>
      <c r="H4992" s="11" t="n"/>
      <c r="I4992" s="16">
        <f>IF(D4992="","",IF(G4992&lt;&gt;"",G4992,IFERROR(INDEX('Sản phẩm'!$E$5:$E$304,MATCH(D4992,'Sản phẩm'!$A$5:$A$304,0)),"")))</f>
        <v/>
      </c>
      <c r="J4992" s="16">
        <f>IF(OR(D4992="",F4992=""),"",F4992*I4992-N(H4992))</f>
        <v/>
      </c>
      <c r="K4992" s="16">
        <f>IF(OR(D4992="",F4992=""),"",F4992*IFERROR(INDEX('Sản phẩm'!$D$5:$D$304,MATCH(D4992,'Sản phẩm'!$A$5:$A$304,0)),""))</f>
        <v/>
      </c>
      <c r="L4992" s="16">
        <f>IF(J4992="","",J4992-K4992)</f>
        <v/>
      </c>
      <c r="M4992" s="14">
        <f>IF(A4992="","",MONTH(A4992))</f>
        <v/>
      </c>
      <c r="N4992" s="14">
        <f>IF(A4992="","",YEAR(A4992))</f>
        <v/>
      </c>
    </row>
    <row r="4993">
      <c r="A4993" s="15" t="n"/>
      <c r="B4993" s="10" t="n"/>
      <c r="C4993" s="10" t="n"/>
      <c r="D4993" s="10" t="n"/>
      <c r="E4993" s="14">
        <f>IF(D4993="","",IFERROR(INDEX('Sản phẩm'!$B$5:$B$304,MATCH(D4993,'Sản phẩm'!$A$5:$A$304,0)),""))</f>
        <v/>
      </c>
      <c r="F4993" s="12" t="n"/>
      <c r="G4993" s="11" t="n"/>
      <c r="H4993" s="11" t="n"/>
      <c r="I4993" s="16">
        <f>IF(D4993="","",IF(G4993&lt;&gt;"",G4993,IFERROR(INDEX('Sản phẩm'!$E$5:$E$304,MATCH(D4993,'Sản phẩm'!$A$5:$A$304,0)),"")))</f>
        <v/>
      </c>
      <c r="J4993" s="16">
        <f>IF(OR(D4993="",F4993=""),"",F4993*I4993-N(H4993))</f>
        <v/>
      </c>
      <c r="K4993" s="16">
        <f>IF(OR(D4993="",F4993=""),"",F4993*IFERROR(INDEX('Sản phẩm'!$D$5:$D$304,MATCH(D4993,'Sản phẩm'!$A$5:$A$304,0)),""))</f>
        <v/>
      </c>
      <c r="L4993" s="16">
        <f>IF(J4993="","",J4993-K4993)</f>
        <v/>
      </c>
      <c r="M4993" s="14">
        <f>IF(A4993="","",MONTH(A4993))</f>
        <v/>
      </c>
      <c r="N4993" s="14">
        <f>IF(A4993="","",YEAR(A4993))</f>
        <v/>
      </c>
    </row>
    <row r="4994">
      <c r="A4994" s="15" t="n"/>
      <c r="B4994" s="10" t="n"/>
      <c r="C4994" s="10" t="n"/>
      <c r="D4994" s="10" t="n"/>
      <c r="E4994" s="14">
        <f>IF(D4994="","",IFERROR(INDEX('Sản phẩm'!$B$5:$B$304,MATCH(D4994,'Sản phẩm'!$A$5:$A$304,0)),""))</f>
        <v/>
      </c>
      <c r="F4994" s="12" t="n"/>
      <c r="G4994" s="11" t="n"/>
      <c r="H4994" s="11" t="n"/>
      <c r="I4994" s="16">
        <f>IF(D4994="","",IF(G4994&lt;&gt;"",G4994,IFERROR(INDEX('Sản phẩm'!$E$5:$E$304,MATCH(D4994,'Sản phẩm'!$A$5:$A$304,0)),"")))</f>
        <v/>
      </c>
      <c r="J4994" s="16">
        <f>IF(OR(D4994="",F4994=""),"",F4994*I4994-N(H4994))</f>
        <v/>
      </c>
      <c r="K4994" s="16">
        <f>IF(OR(D4994="",F4994=""),"",F4994*IFERROR(INDEX('Sản phẩm'!$D$5:$D$304,MATCH(D4994,'Sản phẩm'!$A$5:$A$304,0)),""))</f>
        <v/>
      </c>
      <c r="L4994" s="16">
        <f>IF(J4994="","",J4994-K4994)</f>
        <v/>
      </c>
      <c r="M4994" s="14">
        <f>IF(A4994="","",MONTH(A4994))</f>
        <v/>
      </c>
      <c r="N4994" s="14">
        <f>IF(A4994="","",YEAR(A4994))</f>
        <v/>
      </c>
    </row>
    <row r="4995">
      <c r="A4995" s="15" t="n"/>
      <c r="B4995" s="10" t="n"/>
      <c r="C4995" s="10" t="n"/>
      <c r="D4995" s="10" t="n"/>
      <c r="E4995" s="14">
        <f>IF(D4995="","",IFERROR(INDEX('Sản phẩm'!$B$5:$B$304,MATCH(D4995,'Sản phẩm'!$A$5:$A$304,0)),""))</f>
        <v/>
      </c>
      <c r="F4995" s="12" t="n"/>
      <c r="G4995" s="11" t="n"/>
      <c r="H4995" s="11" t="n"/>
      <c r="I4995" s="16">
        <f>IF(D4995="","",IF(G4995&lt;&gt;"",G4995,IFERROR(INDEX('Sản phẩm'!$E$5:$E$304,MATCH(D4995,'Sản phẩm'!$A$5:$A$304,0)),"")))</f>
        <v/>
      </c>
      <c r="J4995" s="16">
        <f>IF(OR(D4995="",F4995=""),"",F4995*I4995-N(H4995))</f>
        <v/>
      </c>
      <c r="K4995" s="16">
        <f>IF(OR(D4995="",F4995=""),"",F4995*IFERROR(INDEX('Sản phẩm'!$D$5:$D$304,MATCH(D4995,'Sản phẩm'!$A$5:$A$304,0)),""))</f>
        <v/>
      </c>
      <c r="L4995" s="16">
        <f>IF(J4995="","",J4995-K4995)</f>
        <v/>
      </c>
      <c r="M4995" s="14">
        <f>IF(A4995="","",MONTH(A4995))</f>
        <v/>
      </c>
      <c r="N4995" s="14">
        <f>IF(A4995="","",YEAR(A4995))</f>
        <v/>
      </c>
    </row>
    <row r="4996">
      <c r="A4996" s="15" t="n"/>
      <c r="B4996" s="10" t="n"/>
      <c r="C4996" s="10" t="n"/>
      <c r="D4996" s="10" t="n"/>
      <c r="E4996" s="14">
        <f>IF(D4996="","",IFERROR(INDEX('Sản phẩm'!$B$5:$B$304,MATCH(D4996,'Sản phẩm'!$A$5:$A$304,0)),""))</f>
        <v/>
      </c>
      <c r="F4996" s="12" t="n"/>
      <c r="G4996" s="11" t="n"/>
      <c r="H4996" s="11" t="n"/>
      <c r="I4996" s="16">
        <f>IF(D4996="","",IF(G4996&lt;&gt;"",G4996,IFERROR(INDEX('Sản phẩm'!$E$5:$E$304,MATCH(D4996,'Sản phẩm'!$A$5:$A$304,0)),"")))</f>
        <v/>
      </c>
      <c r="J4996" s="16">
        <f>IF(OR(D4996="",F4996=""),"",F4996*I4996-N(H4996))</f>
        <v/>
      </c>
      <c r="K4996" s="16">
        <f>IF(OR(D4996="",F4996=""),"",F4996*IFERROR(INDEX('Sản phẩm'!$D$5:$D$304,MATCH(D4996,'Sản phẩm'!$A$5:$A$304,0)),""))</f>
        <v/>
      </c>
      <c r="L4996" s="16">
        <f>IF(J4996="","",J4996-K4996)</f>
        <v/>
      </c>
      <c r="M4996" s="14">
        <f>IF(A4996="","",MONTH(A4996))</f>
        <v/>
      </c>
      <c r="N4996" s="14">
        <f>IF(A4996="","",YEAR(A4996))</f>
        <v/>
      </c>
    </row>
    <row r="4997">
      <c r="A4997" s="15" t="n"/>
      <c r="B4997" s="10" t="n"/>
      <c r="C4997" s="10" t="n"/>
      <c r="D4997" s="10" t="n"/>
      <c r="E4997" s="14">
        <f>IF(D4997="","",IFERROR(INDEX('Sản phẩm'!$B$5:$B$304,MATCH(D4997,'Sản phẩm'!$A$5:$A$304,0)),""))</f>
        <v/>
      </c>
      <c r="F4997" s="12" t="n"/>
      <c r="G4997" s="11" t="n"/>
      <c r="H4997" s="11" t="n"/>
      <c r="I4997" s="16">
        <f>IF(D4997="","",IF(G4997&lt;&gt;"",G4997,IFERROR(INDEX('Sản phẩm'!$E$5:$E$304,MATCH(D4997,'Sản phẩm'!$A$5:$A$304,0)),"")))</f>
        <v/>
      </c>
      <c r="J4997" s="16">
        <f>IF(OR(D4997="",F4997=""),"",F4997*I4997-N(H4997))</f>
        <v/>
      </c>
      <c r="K4997" s="16">
        <f>IF(OR(D4997="",F4997=""),"",F4997*IFERROR(INDEX('Sản phẩm'!$D$5:$D$304,MATCH(D4997,'Sản phẩm'!$A$5:$A$304,0)),""))</f>
        <v/>
      </c>
      <c r="L4997" s="16">
        <f>IF(J4997="","",J4997-K4997)</f>
        <v/>
      </c>
      <c r="M4997" s="14">
        <f>IF(A4997="","",MONTH(A4997))</f>
        <v/>
      </c>
      <c r="N4997" s="14">
        <f>IF(A4997="","",YEAR(A4997))</f>
        <v/>
      </c>
    </row>
    <row r="4998">
      <c r="A4998" s="15" t="n"/>
      <c r="B4998" s="10" t="n"/>
      <c r="C4998" s="10" t="n"/>
      <c r="D4998" s="10" t="n"/>
      <c r="E4998" s="14">
        <f>IF(D4998="","",IFERROR(INDEX('Sản phẩm'!$B$5:$B$304,MATCH(D4998,'Sản phẩm'!$A$5:$A$304,0)),""))</f>
        <v/>
      </c>
      <c r="F4998" s="12" t="n"/>
      <c r="G4998" s="11" t="n"/>
      <c r="H4998" s="11" t="n"/>
      <c r="I4998" s="16">
        <f>IF(D4998="","",IF(G4998&lt;&gt;"",G4998,IFERROR(INDEX('Sản phẩm'!$E$5:$E$304,MATCH(D4998,'Sản phẩm'!$A$5:$A$304,0)),"")))</f>
        <v/>
      </c>
      <c r="J4998" s="16">
        <f>IF(OR(D4998="",F4998=""),"",F4998*I4998-N(H4998))</f>
        <v/>
      </c>
      <c r="K4998" s="16">
        <f>IF(OR(D4998="",F4998=""),"",F4998*IFERROR(INDEX('Sản phẩm'!$D$5:$D$304,MATCH(D4998,'Sản phẩm'!$A$5:$A$304,0)),""))</f>
        <v/>
      </c>
      <c r="L4998" s="16">
        <f>IF(J4998="","",J4998-K4998)</f>
        <v/>
      </c>
      <c r="M4998" s="14">
        <f>IF(A4998="","",MONTH(A4998))</f>
        <v/>
      </c>
      <c r="N4998" s="14">
        <f>IF(A4998="","",YEAR(A4998))</f>
        <v/>
      </c>
    </row>
    <row r="4999">
      <c r="A4999" s="15" t="n"/>
      <c r="B4999" s="10" t="n"/>
      <c r="C4999" s="10" t="n"/>
      <c r="D4999" s="10" t="n"/>
      <c r="E4999" s="14">
        <f>IF(D4999="","",IFERROR(INDEX('Sản phẩm'!$B$5:$B$304,MATCH(D4999,'Sản phẩm'!$A$5:$A$304,0)),""))</f>
        <v/>
      </c>
      <c r="F4999" s="12" t="n"/>
      <c r="G4999" s="11" t="n"/>
      <c r="H4999" s="11" t="n"/>
      <c r="I4999" s="16">
        <f>IF(D4999="","",IF(G4999&lt;&gt;"",G4999,IFERROR(INDEX('Sản phẩm'!$E$5:$E$304,MATCH(D4999,'Sản phẩm'!$A$5:$A$304,0)),"")))</f>
        <v/>
      </c>
      <c r="J4999" s="16">
        <f>IF(OR(D4999="",F4999=""),"",F4999*I4999-N(H4999))</f>
        <v/>
      </c>
      <c r="K4999" s="16">
        <f>IF(OR(D4999="",F4999=""),"",F4999*IFERROR(INDEX('Sản phẩm'!$D$5:$D$304,MATCH(D4999,'Sản phẩm'!$A$5:$A$304,0)),""))</f>
        <v/>
      </c>
      <c r="L4999" s="16">
        <f>IF(J4999="","",J4999-K4999)</f>
        <v/>
      </c>
      <c r="M4999" s="14">
        <f>IF(A4999="","",MONTH(A4999))</f>
        <v/>
      </c>
      <c r="N4999" s="14">
        <f>IF(A4999="","",YEAR(A4999))</f>
        <v/>
      </c>
    </row>
    <row r="5000">
      <c r="A5000" s="15" t="n"/>
      <c r="B5000" s="10" t="n"/>
      <c r="C5000" s="10" t="n"/>
      <c r="D5000" s="10" t="n"/>
      <c r="E5000" s="14">
        <f>IF(D5000="","",IFERROR(INDEX('Sản phẩm'!$B$5:$B$304,MATCH(D5000,'Sản phẩm'!$A$5:$A$304,0)),""))</f>
        <v/>
      </c>
      <c r="F5000" s="12" t="n"/>
      <c r="G5000" s="11" t="n"/>
      <c r="H5000" s="11" t="n"/>
      <c r="I5000" s="16">
        <f>IF(D5000="","",IF(G5000&lt;&gt;"",G5000,IFERROR(INDEX('Sản phẩm'!$E$5:$E$304,MATCH(D5000,'Sản phẩm'!$A$5:$A$304,0)),"")))</f>
        <v/>
      </c>
      <c r="J5000" s="16">
        <f>IF(OR(D5000="",F5000=""),"",F5000*I5000-N(H5000))</f>
        <v/>
      </c>
      <c r="K5000" s="16">
        <f>IF(OR(D5000="",F5000=""),"",F5000*IFERROR(INDEX('Sản phẩm'!$D$5:$D$304,MATCH(D5000,'Sản phẩm'!$A$5:$A$304,0)),""))</f>
        <v/>
      </c>
      <c r="L5000" s="16">
        <f>IF(J5000="","",J5000-K5000)</f>
        <v/>
      </c>
      <c r="M5000" s="14">
        <f>IF(A5000="","",MONTH(A5000))</f>
        <v/>
      </c>
      <c r="N5000" s="14">
        <f>IF(A5000="","",YEAR(A5000))</f>
        <v/>
      </c>
    </row>
    <row r="5001">
      <c r="A5001" s="15" t="n"/>
      <c r="B5001" s="10" t="n"/>
      <c r="C5001" s="10" t="n"/>
      <c r="D5001" s="10" t="n"/>
      <c r="E5001" s="14">
        <f>IF(D5001="","",IFERROR(INDEX('Sản phẩm'!$B$5:$B$304,MATCH(D5001,'Sản phẩm'!$A$5:$A$304,0)),""))</f>
        <v/>
      </c>
      <c r="F5001" s="12" t="n"/>
      <c r="G5001" s="11" t="n"/>
      <c r="H5001" s="11" t="n"/>
      <c r="I5001" s="16">
        <f>IF(D5001="","",IF(G5001&lt;&gt;"",G5001,IFERROR(INDEX('Sản phẩm'!$E$5:$E$304,MATCH(D5001,'Sản phẩm'!$A$5:$A$304,0)),"")))</f>
        <v/>
      </c>
      <c r="J5001" s="16">
        <f>IF(OR(D5001="",F5001=""),"",F5001*I5001-N(H5001))</f>
        <v/>
      </c>
      <c r="K5001" s="16">
        <f>IF(OR(D5001="",F5001=""),"",F5001*IFERROR(INDEX('Sản phẩm'!$D$5:$D$304,MATCH(D5001,'Sản phẩm'!$A$5:$A$304,0)),""))</f>
        <v/>
      </c>
      <c r="L5001" s="16">
        <f>IF(J5001="","",J5001-K5001)</f>
        <v/>
      </c>
      <c r="M5001" s="14">
        <f>IF(A5001="","",MONTH(A5001))</f>
        <v/>
      </c>
      <c r="N5001" s="14">
        <f>IF(A5001="","",YEAR(A5001))</f>
        <v/>
      </c>
    </row>
    <row r="5002">
      <c r="A5002" s="15" t="n"/>
      <c r="B5002" s="10" t="n"/>
      <c r="C5002" s="10" t="n"/>
      <c r="D5002" s="10" t="n"/>
      <c r="E5002" s="14">
        <f>IF(D5002="","",IFERROR(INDEX('Sản phẩm'!$B$5:$B$304,MATCH(D5002,'Sản phẩm'!$A$5:$A$304,0)),""))</f>
        <v/>
      </c>
      <c r="F5002" s="12" t="n"/>
      <c r="G5002" s="11" t="n"/>
      <c r="H5002" s="11" t="n"/>
      <c r="I5002" s="16">
        <f>IF(D5002="","",IF(G5002&lt;&gt;"",G5002,IFERROR(INDEX('Sản phẩm'!$E$5:$E$304,MATCH(D5002,'Sản phẩm'!$A$5:$A$304,0)),"")))</f>
        <v/>
      </c>
      <c r="J5002" s="16">
        <f>IF(OR(D5002="",F5002=""),"",F5002*I5002-N(H5002))</f>
        <v/>
      </c>
      <c r="K5002" s="16">
        <f>IF(OR(D5002="",F5002=""),"",F5002*IFERROR(INDEX('Sản phẩm'!$D$5:$D$304,MATCH(D5002,'Sản phẩm'!$A$5:$A$304,0)),""))</f>
        <v/>
      </c>
      <c r="L5002" s="16">
        <f>IF(J5002="","",J5002-K5002)</f>
        <v/>
      </c>
      <c r="M5002" s="14">
        <f>IF(A5002="","",MONTH(A5002))</f>
        <v/>
      </c>
      <c r="N5002" s="14">
        <f>IF(A5002="","",YEAR(A5002))</f>
        <v/>
      </c>
    </row>
    <row r="5003">
      <c r="A5003" s="15" t="n"/>
      <c r="B5003" s="10" t="n"/>
      <c r="C5003" s="10" t="n"/>
      <c r="D5003" s="10" t="n"/>
      <c r="E5003" s="14">
        <f>IF(D5003="","",IFERROR(INDEX('Sản phẩm'!$B$5:$B$304,MATCH(D5003,'Sản phẩm'!$A$5:$A$304,0)),""))</f>
        <v/>
      </c>
      <c r="F5003" s="12" t="n"/>
      <c r="G5003" s="11" t="n"/>
      <c r="H5003" s="11" t="n"/>
      <c r="I5003" s="16">
        <f>IF(D5003="","",IF(G5003&lt;&gt;"",G5003,IFERROR(INDEX('Sản phẩm'!$E$5:$E$304,MATCH(D5003,'Sản phẩm'!$A$5:$A$304,0)),"")))</f>
        <v/>
      </c>
      <c r="J5003" s="16">
        <f>IF(OR(D5003="",F5003=""),"",F5003*I5003-N(H5003))</f>
        <v/>
      </c>
      <c r="K5003" s="16">
        <f>IF(OR(D5003="",F5003=""),"",F5003*IFERROR(INDEX('Sản phẩm'!$D$5:$D$304,MATCH(D5003,'Sản phẩm'!$A$5:$A$304,0)),""))</f>
        <v/>
      </c>
      <c r="L5003" s="16">
        <f>IF(J5003="","",J5003-K5003)</f>
        <v/>
      </c>
      <c r="M5003" s="14">
        <f>IF(A5003="","",MONTH(A5003))</f>
        <v/>
      </c>
      <c r="N5003" s="14">
        <f>IF(A5003="","",YEAR(A5003))</f>
        <v/>
      </c>
    </row>
    <row r="5004">
      <c r="A5004" s="15" t="n"/>
      <c r="B5004" s="10" t="n"/>
      <c r="C5004" s="10" t="n"/>
      <c r="D5004" s="10" t="n"/>
      <c r="E5004" s="14">
        <f>IF(D5004="","",IFERROR(INDEX('Sản phẩm'!$B$5:$B$304,MATCH(D5004,'Sản phẩm'!$A$5:$A$304,0)),""))</f>
        <v/>
      </c>
      <c r="F5004" s="12" t="n"/>
      <c r="G5004" s="11" t="n"/>
      <c r="H5004" s="11" t="n"/>
      <c r="I5004" s="16">
        <f>IF(D5004="","",IF(G5004&lt;&gt;"",G5004,IFERROR(INDEX('Sản phẩm'!$E$5:$E$304,MATCH(D5004,'Sản phẩm'!$A$5:$A$304,0)),"")))</f>
        <v/>
      </c>
      <c r="J5004" s="16">
        <f>IF(OR(D5004="",F5004=""),"",F5004*I5004-N(H5004))</f>
        <v/>
      </c>
      <c r="K5004" s="16">
        <f>IF(OR(D5004="",F5004=""),"",F5004*IFERROR(INDEX('Sản phẩm'!$D$5:$D$304,MATCH(D5004,'Sản phẩm'!$A$5:$A$304,0)),""))</f>
        <v/>
      </c>
      <c r="L5004" s="16">
        <f>IF(J5004="","",J5004-K5004)</f>
        <v/>
      </c>
      <c r="M5004" s="14">
        <f>IF(A5004="","",MONTH(A5004))</f>
        <v/>
      </c>
      <c r="N5004" s="14">
        <f>IF(A5004="","",YEAR(A5004))</f>
        <v/>
      </c>
    </row>
  </sheetData>
  <dataValidations count="1">
    <dataValidation sqref="D5:D5004" showDropDown="0" showInputMessage="0" showErrorMessage="1" allowBlank="1" errorTitle="Giá trị không có trong danh sách" error="Chọn một mục trong danh sách." type="list">
      <formula1>=DS_MASP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3" customWidth="1" min="5" max="5"/>
    <col width="13" customWidth="1" min="6" max="6"/>
    <col width="18" customWidth="1" min="7" max="7"/>
  </cols>
  <sheetData>
    <row r="1">
      <c r="A1" s="7" t="inlineStr">
        <is>
          <t>Báo cáo kinh doanh theo tháng</t>
        </is>
      </c>
    </row>
    <row r="2">
      <c r="A2" s="8" t="inlineStr">
        <is>
          <t>Nhập năm ở ô vàng.</t>
        </is>
      </c>
    </row>
    <row r="3">
      <c r="A3" s="17" t="inlineStr">
        <is>
          <t>Năm:</t>
        </is>
      </c>
      <c r="B3" s="18" t="n">
        <v>2026</v>
      </c>
    </row>
    <row r="5" ht="32" customHeight="1">
      <c r="A5" s="9" t="inlineStr">
        <is>
          <t>Tháng</t>
        </is>
      </c>
      <c r="B5" s="9" t="inlineStr">
        <is>
          <t>Doanh thu (đ)</t>
        </is>
      </c>
      <c r="C5" s="9" t="inlineStr">
        <is>
          <t>Tiền vốn (đ)</t>
        </is>
      </c>
      <c r="D5" s="9" t="inlineStr">
        <is>
          <t>Lãi gộp (đ)</t>
        </is>
      </c>
      <c r="E5" s="9" t="inlineStr">
        <is>
          <t>Tỷ lệ lãi gộp</t>
        </is>
      </c>
      <c r="F5" s="9" t="inlineStr">
        <is>
          <t>Số lượng bán</t>
        </is>
      </c>
      <c r="G5" s="9" t="inlineStr">
        <is>
          <t>Tiền nhập hàng (đ)</t>
        </is>
      </c>
    </row>
    <row r="6">
      <c r="A6" s="19" t="n">
        <v>1</v>
      </c>
      <c r="B6" s="16">
        <f>SUMIFS('Bán hàng'!$J$5:$J$5004,'Bán hàng'!$M$5:$M$5004,A6,'Bán hàng'!$N$5:$N$5004,$B$3)</f>
        <v/>
      </c>
      <c r="C6" s="16">
        <f>SUMIFS('Bán hàng'!$K$5:$K$5004,'Bán hàng'!$M$5:$M$5004,A6,'Bán hàng'!$N$5:$N$5004,$B$3)</f>
        <v/>
      </c>
      <c r="D6" s="16">
        <f>B6-C6</f>
        <v/>
      </c>
      <c r="E6" s="20">
        <f>IF(B6=0,"",D6/B6)</f>
        <v/>
      </c>
      <c r="F6" s="13">
        <f>SUMIFS('Bán hàng'!$F$5:$F$5004,'Bán hàng'!$M$5:$M$5004,A6,'Bán hàng'!$N$5:$N$5004,$B$3)</f>
        <v/>
      </c>
      <c r="G6" s="16">
        <f>SUMIFS('Nhập kho'!$F$5:$F$2004,'Nhập kho'!$H$5:$H$2004,A6,'Nhập kho'!$I$5:$I$2004,$B$3)</f>
        <v/>
      </c>
    </row>
    <row r="7">
      <c r="A7" s="19" t="n">
        <v>2</v>
      </c>
      <c r="B7" s="16">
        <f>SUMIFS('Bán hàng'!$J$5:$J$5004,'Bán hàng'!$M$5:$M$5004,A7,'Bán hàng'!$N$5:$N$5004,$B$3)</f>
        <v/>
      </c>
      <c r="C7" s="16">
        <f>SUMIFS('Bán hàng'!$K$5:$K$5004,'Bán hàng'!$M$5:$M$5004,A7,'Bán hàng'!$N$5:$N$5004,$B$3)</f>
        <v/>
      </c>
      <c r="D7" s="16">
        <f>B7-C7</f>
        <v/>
      </c>
      <c r="E7" s="20">
        <f>IF(B7=0,"",D7/B7)</f>
        <v/>
      </c>
      <c r="F7" s="13">
        <f>SUMIFS('Bán hàng'!$F$5:$F$5004,'Bán hàng'!$M$5:$M$5004,A7,'Bán hàng'!$N$5:$N$5004,$B$3)</f>
        <v/>
      </c>
      <c r="G7" s="16">
        <f>SUMIFS('Nhập kho'!$F$5:$F$2004,'Nhập kho'!$H$5:$H$2004,A7,'Nhập kho'!$I$5:$I$2004,$B$3)</f>
        <v/>
      </c>
    </row>
    <row r="8">
      <c r="A8" s="19" t="n">
        <v>3</v>
      </c>
      <c r="B8" s="16">
        <f>SUMIFS('Bán hàng'!$J$5:$J$5004,'Bán hàng'!$M$5:$M$5004,A8,'Bán hàng'!$N$5:$N$5004,$B$3)</f>
        <v/>
      </c>
      <c r="C8" s="16">
        <f>SUMIFS('Bán hàng'!$K$5:$K$5004,'Bán hàng'!$M$5:$M$5004,A8,'Bán hàng'!$N$5:$N$5004,$B$3)</f>
        <v/>
      </c>
      <c r="D8" s="16">
        <f>B8-C8</f>
        <v/>
      </c>
      <c r="E8" s="20">
        <f>IF(B8=0,"",D8/B8)</f>
        <v/>
      </c>
      <c r="F8" s="13">
        <f>SUMIFS('Bán hàng'!$F$5:$F$5004,'Bán hàng'!$M$5:$M$5004,A8,'Bán hàng'!$N$5:$N$5004,$B$3)</f>
        <v/>
      </c>
      <c r="G8" s="16">
        <f>SUMIFS('Nhập kho'!$F$5:$F$2004,'Nhập kho'!$H$5:$H$2004,A8,'Nhập kho'!$I$5:$I$2004,$B$3)</f>
        <v/>
      </c>
    </row>
    <row r="9">
      <c r="A9" s="19" t="n">
        <v>4</v>
      </c>
      <c r="B9" s="16">
        <f>SUMIFS('Bán hàng'!$J$5:$J$5004,'Bán hàng'!$M$5:$M$5004,A9,'Bán hàng'!$N$5:$N$5004,$B$3)</f>
        <v/>
      </c>
      <c r="C9" s="16">
        <f>SUMIFS('Bán hàng'!$K$5:$K$5004,'Bán hàng'!$M$5:$M$5004,A9,'Bán hàng'!$N$5:$N$5004,$B$3)</f>
        <v/>
      </c>
      <c r="D9" s="16">
        <f>B9-C9</f>
        <v/>
      </c>
      <c r="E9" s="20">
        <f>IF(B9=0,"",D9/B9)</f>
        <v/>
      </c>
      <c r="F9" s="13">
        <f>SUMIFS('Bán hàng'!$F$5:$F$5004,'Bán hàng'!$M$5:$M$5004,A9,'Bán hàng'!$N$5:$N$5004,$B$3)</f>
        <v/>
      </c>
      <c r="G9" s="16">
        <f>SUMIFS('Nhập kho'!$F$5:$F$2004,'Nhập kho'!$H$5:$H$2004,A9,'Nhập kho'!$I$5:$I$2004,$B$3)</f>
        <v/>
      </c>
    </row>
    <row r="10">
      <c r="A10" s="19" t="n">
        <v>5</v>
      </c>
      <c r="B10" s="16">
        <f>SUMIFS('Bán hàng'!$J$5:$J$5004,'Bán hàng'!$M$5:$M$5004,A10,'Bán hàng'!$N$5:$N$5004,$B$3)</f>
        <v/>
      </c>
      <c r="C10" s="16">
        <f>SUMIFS('Bán hàng'!$K$5:$K$5004,'Bán hàng'!$M$5:$M$5004,A10,'Bán hàng'!$N$5:$N$5004,$B$3)</f>
        <v/>
      </c>
      <c r="D10" s="16">
        <f>B10-C10</f>
        <v/>
      </c>
      <c r="E10" s="20">
        <f>IF(B10=0,"",D10/B10)</f>
        <v/>
      </c>
      <c r="F10" s="13">
        <f>SUMIFS('Bán hàng'!$F$5:$F$5004,'Bán hàng'!$M$5:$M$5004,A10,'Bán hàng'!$N$5:$N$5004,$B$3)</f>
        <v/>
      </c>
      <c r="G10" s="16">
        <f>SUMIFS('Nhập kho'!$F$5:$F$2004,'Nhập kho'!$H$5:$H$2004,A10,'Nhập kho'!$I$5:$I$2004,$B$3)</f>
        <v/>
      </c>
    </row>
    <row r="11">
      <c r="A11" s="19" t="n">
        <v>6</v>
      </c>
      <c r="B11" s="16">
        <f>SUMIFS('Bán hàng'!$J$5:$J$5004,'Bán hàng'!$M$5:$M$5004,A11,'Bán hàng'!$N$5:$N$5004,$B$3)</f>
        <v/>
      </c>
      <c r="C11" s="16">
        <f>SUMIFS('Bán hàng'!$K$5:$K$5004,'Bán hàng'!$M$5:$M$5004,A11,'Bán hàng'!$N$5:$N$5004,$B$3)</f>
        <v/>
      </c>
      <c r="D11" s="16">
        <f>B11-C11</f>
        <v/>
      </c>
      <c r="E11" s="20">
        <f>IF(B11=0,"",D11/B11)</f>
        <v/>
      </c>
      <c r="F11" s="13">
        <f>SUMIFS('Bán hàng'!$F$5:$F$5004,'Bán hàng'!$M$5:$M$5004,A11,'Bán hàng'!$N$5:$N$5004,$B$3)</f>
        <v/>
      </c>
      <c r="G11" s="16">
        <f>SUMIFS('Nhập kho'!$F$5:$F$2004,'Nhập kho'!$H$5:$H$2004,A11,'Nhập kho'!$I$5:$I$2004,$B$3)</f>
        <v/>
      </c>
    </row>
    <row r="12">
      <c r="A12" s="19" t="n">
        <v>7</v>
      </c>
      <c r="B12" s="16">
        <f>SUMIFS('Bán hàng'!$J$5:$J$5004,'Bán hàng'!$M$5:$M$5004,A12,'Bán hàng'!$N$5:$N$5004,$B$3)</f>
        <v/>
      </c>
      <c r="C12" s="16">
        <f>SUMIFS('Bán hàng'!$K$5:$K$5004,'Bán hàng'!$M$5:$M$5004,A12,'Bán hàng'!$N$5:$N$5004,$B$3)</f>
        <v/>
      </c>
      <c r="D12" s="16">
        <f>B12-C12</f>
        <v/>
      </c>
      <c r="E12" s="20">
        <f>IF(B12=0,"",D12/B12)</f>
        <v/>
      </c>
      <c r="F12" s="13">
        <f>SUMIFS('Bán hàng'!$F$5:$F$5004,'Bán hàng'!$M$5:$M$5004,A12,'Bán hàng'!$N$5:$N$5004,$B$3)</f>
        <v/>
      </c>
      <c r="G12" s="16">
        <f>SUMIFS('Nhập kho'!$F$5:$F$2004,'Nhập kho'!$H$5:$H$2004,A12,'Nhập kho'!$I$5:$I$2004,$B$3)</f>
        <v/>
      </c>
    </row>
    <row r="13">
      <c r="A13" s="19" t="n">
        <v>8</v>
      </c>
      <c r="B13" s="16">
        <f>SUMIFS('Bán hàng'!$J$5:$J$5004,'Bán hàng'!$M$5:$M$5004,A13,'Bán hàng'!$N$5:$N$5004,$B$3)</f>
        <v/>
      </c>
      <c r="C13" s="16">
        <f>SUMIFS('Bán hàng'!$K$5:$K$5004,'Bán hàng'!$M$5:$M$5004,A13,'Bán hàng'!$N$5:$N$5004,$B$3)</f>
        <v/>
      </c>
      <c r="D13" s="16">
        <f>B13-C13</f>
        <v/>
      </c>
      <c r="E13" s="20">
        <f>IF(B13=0,"",D13/B13)</f>
        <v/>
      </c>
      <c r="F13" s="13">
        <f>SUMIFS('Bán hàng'!$F$5:$F$5004,'Bán hàng'!$M$5:$M$5004,A13,'Bán hàng'!$N$5:$N$5004,$B$3)</f>
        <v/>
      </c>
      <c r="G13" s="16">
        <f>SUMIFS('Nhập kho'!$F$5:$F$2004,'Nhập kho'!$H$5:$H$2004,A13,'Nhập kho'!$I$5:$I$2004,$B$3)</f>
        <v/>
      </c>
    </row>
    <row r="14">
      <c r="A14" s="19" t="n">
        <v>9</v>
      </c>
      <c r="B14" s="16">
        <f>SUMIFS('Bán hàng'!$J$5:$J$5004,'Bán hàng'!$M$5:$M$5004,A14,'Bán hàng'!$N$5:$N$5004,$B$3)</f>
        <v/>
      </c>
      <c r="C14" s="16">
        <f>SUMIFS('Bán hàng'!$K$5:$K$5004,'Bán hàng'!$M$5:$M$5004,A14,'Bán hàng'!$N$5:$N$5004,$B$3)</f>
        <v/>
      </c>
      <c r="D14" s="16">
        <f>B14-C14</f>
        <v/>
      </c>
      <c r="E14" s="20">
        <f>IF(B14=0,"",D14/B14)</f>
        <v/>
      </c>
      <c r="F14" s="13">
        <f>SUMIFS('Bán hàng'!$F$5:$F$5004,'Bán hàng'!$M$5:$M$5004,A14,'Bán hàng'!$N$5:$N$5004,$B$3)</f>
        <v/>
      </c>
      <c r="G14" s="16">
        <f>SUMIFS('Nhập kho'!$F$5:$F$2004,'Nhập kho'!$H$5:$H$2004,A14,'Nhập kho'!$I$5:$I$2004,$B$3)</f>
        <v/>
      </c>
    </row>
    <row r="15">
      <c r="A15" s="19" t="n">
        <v>10</v>
      </c>
      <c r="B15" s="16">
        <f>SUMIFS('Bán hàng'!$J$5:$J$5004,'Bán hàng'!$M$5:$M$5004,A15,'Bán hàng'!$N$5:$N$5004,$B$3)</f>
        <v/>
      </c>
      <c r="C15" s="16">
        <f>SUMIFS('Bán hàng'!$K$5:$K$5004,'Bán hàng'!$M$5:$M$5004,A15,'Bán hàng'!$N$5:$N$5004,$B$3)</f>
        <v/>
      </c>
      <c r="D15" s="16">
        <f>B15-C15</f>
        <v/>
      </c>
      <c r="E15" s="20">
        <f>IF(B15=0,"",D15/B15)</f>
        <v/>
      </c>
      <c r="F15" s="13">
        <f>SUMIFS('Bán hàng'!$F$5:$F$5004,'Bán hàng'!$M$5:$M$5004,A15,'Bán hàng'!$N$5:$N$5004,$B$3)</f>
        <v/>
      </c>
      <c r="G15" s="16">
        <f>SUMIFS('Nhập kho'!$F$5:$F$2004,'Nhập kho'!$H$5:$H$2004,A15,'Nhập kho'!$I$5:$I$2004,$B$3)</f>
        <v/>
      </c>
    </row>
    <row r="16">
      <c r="A16" s="19" t="n">
        <v>11</v>
      </c>
      <c r="B16" s="16">
        <f>SUMIFS('Bán hàng'!$J$5:$J$5004,'Bán hàng'!$M$5:$M$5004,A16,'Bán hàng'!$N$5:$N$5004,$B$3)</f>
        <v/>
      </c>
      <c r="C16" s="16">
        <f>SUMIFS('Bán hàng'!$K$5:$K$5004,'Bán hàng'!$M$5:$M$5004,A16,'Bán hàng'!$N$5:$N$5004,$B$3)</f>
        <v/>
      </c>
      <c r="D16" s="16">
        <f>B16-C16</f>
        <v/>
      </c>
      <c r="E16" s="20">
        <f>IF(B16=0,"",D16/B16)</f>
        <v/>
      </c>
      <c r="F16" s="13">
        <f>SUMIFS('Bán hàng'!$F$5:$F$5004,'Bán hàng'!$M$5:$M$5004,A16,'Bán hàng'!$N$5:$N$5004,$B$3)</f>
        <v/>
      </c>
      <c r="G16" s="16">
        <f>SUMIFS('Nhập kho'!$F$5:$F$2004,'Nhập kho'!$H$5:$H$2004,A16,'Nhập kho'!$I$5:$I$2004,$B$3)</f>
        <v/>
      </c>
    </row>
    <row r="17">
      <c r="A17" s="19" t="n">
        <v>12</v>
      </c>
      <c r="B17" s="16">
        <f>SUMIFS('Bán hàng'!$J$5:$J$5004,'Bán hàng'!$M$5:$M$5004,A17,'Bán hàng'!$N$5:$N$5004,$B$3)</f>
        <v/>
      </c>
      <c r="C17" s="16">
        <f>SUMIFS('Bán hàng'!$K$5:$K$5004,'Bán hàng'!$M$5:$M$5004,A17,'Bán hàng'!$N$5:$N$5004,$B$3)</f>
        <v/>
      </c>
      <c r="D17" s="16">
        <f>B17-C17</f>
        <v/>
      </c>
      <c r="E17" s="20">
        <f>IF(B17=0,"",D17/B17)</f>
        <v/>
      </c>
      <c r="F17" s="13">
        <f>SUMIFS('Bán hàng'!$F$5:$F$5004,'Bán hàng'!$M$5:$M$5004,A17,'Bán hàng'!$N$5:$N$5004,$B$3)</f>
        <v/>
      </c>
      <c r="G17" s="16">
        <f>SUMIFS('Nhập kho'!$F$5:$F$2004,'Nhập kho'!$H$5:$H$2004,A17,'Nhập kho'!$I$5:$I$2004,$B$3)</f>
        <v/>
      </c>
    </row>
    <row r="18">
      <c r="A18" s="21" t="inlineStr">
        <is>
          <t>Cả năm</t>
        </is>
      </c>
      <c r="B18" s="21">
        <f>SUM(B6:B17)</f>
        <v/>
      </c>
      <c r="C18" s="21">
        <f>SUM(C6:C17)</f>
        <v/>
      </c>
      <c r="D18" s="21">
        <f>SUM(D6:D17)</f>
        <v/>
      </c>
      <c r="E18" s="22">
        <f>IF(B18=0,"",D18/B18)</f>
        <v/>
      </c>
      <c r="F18" s="23">
        <f>SUM(F6:F17)</f>
        <v/>
      </c>
      <c r="G18" s="21">
        <f>SUM(G6:G17)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2026-10-11T04:43:20Z</dcterms:created>
  <dcterms:modified xsi:type="dcterms:W3CDTF">2026-10-11T04:43:26Z</dcterms:modified>
</cp:coreProperties>
</file>