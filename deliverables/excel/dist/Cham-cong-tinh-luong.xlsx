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Cài đặt" sheetId="2" state="visible" r:id="rId2"/>
    <sheet name="Nhân viên" sheetId="3" state="visible" r:id="rId3"/>
    <sheet name="Chấm công" sheetId="4" state="visible" r:id="rId4"/>
    <sheet name="Bảng lương" sheetId="5" state="visible" r:id="rId5"/>
  </sheets>
  <definedNames>
    <definedName name="CD_THANG">'Cài đặt'!$B$4</definedName>
    <definedName name="CD_NAM">'Cài đặt'!$B$5</definedName>
    <definedName name="CD_CONG_CHUAN">'Cài đặt'!$B$6</definedName>
    <definedName name="CD_GIO_NGAY">'Cài đặt'!$B$7</definedName>
    <definedName name="CD_HE_SO_TC">'Cài đặt'!$B$8</definedName>
    <definedName name="DS_MANV">'Nhân viên'!$A$5:$A$104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0A2D47"/>
      <sz val="16"/>
    </font>
    <font>
      <name val="Arial"/>
      <i val="1"/>
      <color rgb="005B6B80"/>
      <sz val="11"/>
    </font>
    <font>
      <name val="Arial"/>
      <b val="1"/>
      <sz val="11"/>
    </font>
    <font>
      <name val="Arial"/>
      <b val="1"/>
      <color rgb="000A2D47"/>
      <sz val="11"/>
    </font>
    <font>
      <name val="Arial"/>
      <color rgb="00000000"/>
      <sz val="11"/>
    </font>
    <font>
      <name val="Arial"/>
      <color rgb="005B6B80"/>
      <sz val="11"/>
    </font>
    <font>
      <name val="Arial"/>
      <b val="1"/>
      <color rgb="000A2D47"/>
      <sz val="14"/>
    </font>
    <font>
      <name val="Arial"/>
      <sz val="11"/>
    </font>
    <font>
      <name val="Arial"/>
      <i val="1"/>
      <color rgb="005B6B80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A2D47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2" borderId="1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4" fontId="8" fillId="2" borderId="1" pivotButton="0" quotePrefix="0" xfId="0"/>
    <xf numFmtId="0" fontId="11" fillId="3" borderId="1" applyAlignment="1" pivotButton="0" quotePrefix="0" xfId="0">
      <alignment horizontal="center"/>
    </xf>
    <xf numFmtId="0" fontId="8" fillId="0" borderId="1" pivotButton="0" quotePrefix="0" xfId="0"/>
    <xf numFmtId="0" fontId="8" fillId="2" borderId="1" applyAlignment="1" pivotButton="0" quotePrefix="0" xfId="0">
      <alignment horizontal="center"/>
    </xf>
    <xf numFmtId="164" fontId="8" fillId="0" borderId="1" pivotButton="0" quotePrefix="0" xfId="0"/>
    <xf numFmtId="165" fontId="8" fillId="0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Chấm công &amp; tính lương</t>
        </is>
      </c>
    </row>
    <row r="2">
      <c r="A2" s="2" t="inlineStr">
        <is>
          <t>Sản phẩm của Zee Bee · app.zeebee.vn — dùng được bằng Excel (2010 trở lên) hoặc Google Sheets.</t>
        </is>
      </c>
    </row>
    <row r="4">
      <c r="A4" s="3" t="inlineStr">
        <is>
          <t>Ô tô VÀNG = ô bạn nhập. Ô TRẮNG = công thức tự tính, đừng xóa.</t>
        </is>
      </c>
    </row>
    <row r="6">
      <c r="A6" s="4" t="inlineStr">
        <is>
          <t>1. Cài đặt (làm mỗi tháng)</t>
        </is>
      </c>
    </row>
    <row r="7">
      <c r="A7" s="5" t="inlineStr">
        <is>
          <t xml:space="preserve">   Sheet "Cài đặt": nhập Tháng, Năm cần chấm công; Số ngày công chuẩn (thường 26), Số giờ/ngày, Hệ số tăng ca.</t>
        </is>
      </c>
    </row>
    <row r="8">
      <c r="A8" s="4" t="inlineStr">
        <is>
          <t>2. Khai báo nhân viên</t>
        </is>
      </c>
    </row>
    <row r="9">
      <c r="A9" s="5" t="inlineStr">
        <is>
          <t xml:space="preserve">   Sheet "Nhân viên": Mã NV, Họ tên, Chức vụ, Lương tháng (đủ công), Phụ cấp cố định.</t>
        </is>
      </c>
    </row>
    <row r="10">
      <c r="A10" s="4" t="inlineStr">
        <is>
          <t>3. Chấm công hằng ngày</t>
        </is>
      </c>
    </row>
    <row r="11">
      <c r="A11" s="5" t="inlineStr">
        <is>
          <t xml:space="preserve">   Sheet "Chấm công": chọn Mã NV ở cột A; mỗi ngày gõ 1 ký hiệu:</t>
        </is>
      </c>
    </row>
    <row r="12">
      <c r="A12" s="5" t="inlineStr">
        <is>
          <t xml:space="preserve">      X = đi làm đủ ngày (1 công)    N = nửa ngày (0,5 công)    P = nghỉ phép CÓ lương (1 công)</t>
        </is>
      </c>
    </row>
    <row r="13">
      <c r="A13" s="5" t="inlineStr">
        <is>
          <t xml:space="preserve">      O = nghỉ KHÔNG lương (0 công)  để trống = chưa chấm / không làm</t>
        </is>
      </c>
    </row>
    <row r="14">
      <c r="A14" s="5" t="inlineStr">
        <is>
          <t xml:space="preserve">   Cột "Giờ tăng ca": tổng số giờ tăng ca trong tháng.</t>
        </is>
      </c>
    </row>
    <row r="15">
      <c r="A15" s="4" t="inlineStr">
        <is>
          <t>4. Bảng lương</t>
        </is>
      </c>
    </row>
    <row r="16">
      <c r="A16" s="5" t="inlineStr">
        <is>
          <t xml:space="preserve">   Sheet "Bảng lương": tự tính lương theo công, tiền tăng ca, phụ cấp. Nhập thêm Thưởng và Khấu trừ (tạm ứng,</t>
        </is>
      </c>
    </row>
    <row r="17">
      <c r="A17" s="5" t="inlineStr">
        <is>
          <t xml:space="preserve">   BHXH, phạt…) ở ô vàng → ra Thực nhận.</t>
        </is>
      </c>
    </row>
    <row r="18">
      <c r="A18" s="4" t="inlineStr">
        <is>
          <t>5. Lưu ý</t>
        </is>
      </c>
    </row>
    <row r="19">
      <c r="A19" s="5" t="inlineStr">
        <is>
          <t xml:space="preserve">   File KHÔNG tự tính BHXH và thuế TNCN — nếu có, nhập số tiền vào cột Khấu trừ.</t>
        </is>
      </c>
    </row>
    <row r="20">
      <c r="A20" s="5" t="inlineStr">
        <is>
          <t xml:space="preserve">   Sang tháng mới: lưu một bản sao file (Save As) rồi xóa ký hiệu chấm công cũ, đổi Tháng ở sheet Cài đặt.</t>
        </is>
      </c>
    </row>
    <row r="21">
      <c r="A21" s="5" t="inlineStr">
        <is>
          <t xml:space="preserve">   Dòng ví dụ (NV01, NV02): xóa hoặc sửa thành nhân viên thật.</t>
        </is>
      </c>
    </row>
    <row r="23">
      <c r="A23" s="6" t="inlineStr">
        <is>
          <t>Hỗ trợ: nhắn Zalo cho Seller đã bán sản phẩm cho bạn, hoặc Zalo 0976 094 453.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</cols>
  <sheetData>
    <row r="1">
      <c r="A1" s="7" t="inlineStr">
        <is>
          <t>Cài đặt kỳ chấm công</t>
        </is>
      </c>
    </row>
    <row r="4">
      <c r="A4" s="8" t="inlineStr">
        <is>
          <t>Tháng</t>
        </is>
      </c>
      <c r="B4" s="9" t="n">
        <v>10</v>
      </c>
      <c r="C4" s="10" t="inlineStr">
        <is>
          <t>1–12</t>
        </is>
      </c>
    </row>
    <row r="5">
      <c r="A5" s="8" t="inlineStr">
        <is>
          <t>Năm</t>
        </is>
      </c>
      <c r="B5" s="9" t="n">
        <v>2026</v>
      </c>
      <c r="C5" s="10" t="inlineStr"/>
    </row>
    <row r="6">
      <c r="A6" s="8" t="inlineStr">
        <is>
          <t>Số ngày công chuẩn / tháng</t>
        </is>
      </c>
      <c r="B6" s="9" t="n">
        <v>26</v>
      </c>
      <c r="C6" s="10" t="inlineStr">
        <is>
          <t>Đủ công = nhận đủ lương tháng</t>
        </is>
      </c>
    </row>
    <row r="7">
      <c r="A7" s="8" t="inlineStr">
        <is>
          <t>Số giờ làm / ngày</t>
        </is>
      </c>
      <c r="B7" s="9" t="n">
        <v>8</v>
      </c>
      <c r="C7" s="10" t="inlineStr">
        <is>
          <t>Dùng tính lương 1 giờ</t>
        </is>
      </c>
    </row>
    <row r="8">
      <c r="A8" s="8" t="inlineStr">
        <is>
          <t>Hệ số tăng ca</t>
        </is>
      </c>
      <c r="B8" s="9" t="n">
        <v>1.5</v>
      </c>
      <c r="C8" s="10" t="inlineStr">
        <is>
          <t>1,5 = 150% lương giờ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6" customWidth="1" min="4" max="4"/>
    <col width="14" customWidth="1" min="5" max="5"/>
  </cols>
  <sheetData>
    <row r="1">
      <c r="A1" s="7" t="inlineStr">
        <is>
          <t>Danh sách nhân viên</t>
        </is>
      </c>
    </row>
    <row r="4" ht="32" customHeight="1">
      <c r="A4" s="11" t="inlineStr">
        <is>
          <t>Mã NV</t>
        </is>
      </c>
      <c r="B4" s="11" t="inlineStr">
        <is>
          <t>Họ tên</t>
        </is>
      </c>
      <c r="C4" s="11" t="inlineStr">
        <is>
          <t>Chức vụ</t>
        </is>
      </c>
      <c r="D4" s="11" t="inlineStr">
        <is>
          <t>Lương tháng (đ)</t>
        </is>
      </c>
      <c r="E4" s="11" t="inlineStr">
        <is>
          <t>Phụ cấp (đ)</t>
        </is>
      </c>
    </row>
    <row r="5">
      <c r="A5" s="9" t="inlineStr">
        <is>
          <t>NV01</t>
        </is>
      </c>
      <c r="B5" s="9" t="inlineStr">
        <is>
          <t>Nguyễn Văn A (ví dụ)</t>
        </is>
      </c>
      <c r="C5" s="9" t="inlineStr">
        <is>
          <t>Phục vụ</t>
        </is>
      </c>
      <c r="D5" s="12" t="n">
        <v>6000000</v>
      </c>
      <c r="E5" s="12" t="n">
        <v>500000</v>
      </c>
    </row>
    <row r="6">
      <c r="A6" s="9" t="inlineStr">
        <is>
          <t>NV02</t>
        </is>
      </c>
      <c r="B6" s="9" t="inlineStr">
        <is>
          <t>Trần Thị B (ví dụ)</t>
        </is>
      </c>
      <c r="C6" s="9" t="inlineStr">
        <is>
          <t>Thu ngân</t>
        </is>
      </c>
      <c r="D6" s="12" t="n">
        <v>7000000</v>
      </c>
      <c r="E6" s="12" t="n">
        <v>300000</v>
      </c>
    </row>
    <row r="7">
      <c r="A7" s="9" t="n"/>
      <c r="B7" s="9" t="n"/>
      <c r="C7" s="9" t="n"/>
      <c r="D7" s="12" t="n"/>
      <c r="E7" s="12" t="n"/>
    </row>
    <row r="8">
      <c r="A8" s="9" t="n"/>
      <c r="B8" s="9" t="n"/>
      <c r="C8" s="9" t="n"/>
      <c r="D8" s="12" t="n"/>
      <c r="E8" s="12" t="n"/>
    </row>
    <row r="9">
      <c r="A9" s="9" t="n"/>
      <c r="B9" s="9" t="n"/>
      <c r="C9" s="9" t="n"/>
      <c r="D9" s="12" t="n"/>
      <c r="E9" s="12" t="n"/>
    </row>
    <row r="10">
      <c r="A10" s="9" t="n"/>
      <c r="B10" s="9" t="n"/>
      <c r="C10" s="9" t="n"/>
      <c r="D10" s="12" t="n"/>
      <c r="E10" s="12" t="n"/>
    </row>
    <row r="11">
      <c r="A11" s="9" t="n"/>
      <c r="B11" s="9" t="n"/>
      <c r="C11" s="9" t="n"/>
      <c r="D11" s="12" t="n"/>
      <c r="E11" s="12" t="n"/>
    </row>
    <row r="12">
      <c r="A12" s="9" t="n"/>
      <c r="B12" s="9" t="n"/>
      <c r="C12" s="9" t="n"/>
      <c r="D12" s="12" t="n"/>
      <c r="E12" s="12" t="n"/>
    </row>
    <row r="13">
      <c r="A13" s="9" t="n"/>
      <c r="B13" s="9" t="n"/>
      <c r="C13" s="9" t="n"/>
      <c r="D13" s="12" t="n"/>
      <c r="E13" s="12" t="n"/>
    </row>
    <row r="14">
      <c r="A14" s="9" t="n"/>
      <c r="B14" s="9" t="n"/>
      <c r="C14" s="9" t="n"/>
      <c r="D14" s="12" t="n"/>
      <c r="E14" s="12" t="n"/>
    </row>
    <row r="15">
      <c r="A15" s="9" t="n"/>
      <c r="B15" s="9" t="n"/>
      <c r="C15" s="9" t="n"/>
      <c r="D15" s="12" t="n"/>
      <c r="E15" s="12" t="n"/>
    </row>
    <row r="16">
      <c r="A16" s="9" t="n"/>
      <c r="B16" s="9" t="n"/>
      <c r="C16" s="9" t="n"/>
      <c r="D16" s="12" t="n"/>
      <c r="E16" s="12" t="n"/>
    </row>
    <row r="17">
      <c r="A17" s="9" t="n"/>
      <c r="B17" s="9" t="n"/>
      <c r="C17" s="9" t="n"/>
      <c r="D17" s="12" t="n"/>
      <c r="E17" s="12" t="n"/>
    </row>
    <row r="18">
      <c r="A18" s="9" t="n"/>
      <c r="B18" s="9" t="n"/>
      <c r="C18" s="9" t="n"/>
      <c r="D18" s="12" t="n"/>
      <c r="E18" s="12" t="n"/>
    </row>
    <row r="19">
      <c r="A19" s="9" t="n"/>
      <c r="B19" s="9" t="n"/>
      <c r="C19" s="9" t="n"/>
      <c r="D19" s="12" t="n"/>
      <c r="E19" s="12" t="n"/>
    </row>
    <row r="20">
      <c r="A20" s="9" t="n"/>
      <c r="B20" s="9" t="n"/>
      <c r="C20" s="9" t="n"/>
      <c r="D20" s="12" t="n"/>
      <c r="E20" s="12" t="n"/>
    </row>
    <row r="21">
      <c r="A21" s="9" t="n"/>
      <c r="B21" s="9" t="n"/>
      <c r="C21" s="9" t="n"/>
      <c r="D21" s="12" t="n"/>
      <c r="E21" s="12" t="n"/>
    </row>
    <row r="22">
      <c r="A22" s="9" t="n"/>
      <c r="B22" s="9" t="n"/>
      <c r="C22" s="9" t="n"/>
      <c r="D22" s="12" t="n"/>
      <c r="E22" s="12" t="n"/>
    </row>
    <row r="23">
      <c r="A23" s="9" t="n"/>
      <c r="B23" s="9" t="n"/>
      <c r="C23" s="9" t="n"/>
      <c r="D23" s="12" t="n"/>
      <c r="E23" s="12" t="n"/>
    </row>
    <row r="24">
      <c r="A24" s="9" t="n"/>
      <c r="B24" s="9" t="n"/>
      <c r="C24" s="9" t="n"/>
      <c r="D24" s="12" t="n"/>
      <c r="E24" s="12" t="n"/>
    </row>
    <row r="25">
      <c r="A25" s="9" t="n"/>
      <c r="B25" s="9" t="n"/>
      <c r="C25" s="9" t="n"/>
      <c r="D25" s="12" t="n"/>
      <c r="E25" s="12" t="n"/>
    </row>
    <row r="26">
      <c r="A26" s="9" t="n"/>
      <c r="B26" s="9" t="n"/>
      <c r="C26" s="9" t="n"/>
      <c r="D26" s="12" t="n"/>
      <c r="E26" s="12" t="n"/>
    </row>
    <row r="27">
      <c r="A27" s="9" t="n"/>
      <c r="B27" s="9" t="n"/>
      <c r="C27" s="9" t="n"/>
      <c r="D27" s="12" t="n"/>
      <c r="E27" s="12" t="n"/>
    </row>
    <row r="28">
      <c r="A28" s="9" t="n"/>
      <c r="B28" s="9" t="n"/>
      <c r="C28" s="9" t="n"/>
      <c r="D28" s="12" t="n"/>
      <c r="E28" s="12" t="n"/>
    </row>
    <row r="29">
      <c r="A29" s="9" t="n"/>
      <c r="B29" s="9" t="n"/>
      <c r="C29" s="9" t="n"/>
      <c r="D29" s="12" t="n"/>
      <c r="E29" s="12" t="n"/>
    </row>
    <row r="30">
      <c r="A30" s="9" t="n"/>
      <c r="B30" s="9" t="n"/>
      <c r="C30" s="9" t="n"/>
      <c r="D30" s="12" t="n"/>
      <c r="E30" s="12" t="n"/>
    </row>
    <row r="31">
      <c r="A31" s="9" t="n"/>
      <c r="B31" s="9" t="n"/>
      <c r="C31" s="9" t="n"/>
      <c r="D31" s="12" t="n"/>
      <c r="E31" s="12" t="n"/>
    </row>
    <row r="32">
      <c r="A32" s="9" t="n"/>
      <c r="B32" s="9" t="n"/>
      <c r="C32" s="9" t="n"/>
      <c r="D32" s="12" t="n"/>
      <c r="E32" s="12" t="n"/>
    </row>
    <row r="33">
      <c r="A33" s="9" t="n"/>
      <c r="B33" s="9" t="n"/>
      <c r="C33" s="9" t="n"/>
      <c r="D33" s="12" t="n"/>
      <c r="E33" s="12" t="n"/>
    </row>
    <row r="34">
      <c r="A34" s="9" t="n"/>
      <c r="B34" s="9" t="n"/>
      <c r="C34" s="9" t="n"/>
      <c r="D34" s="12" t="n"/>
      <c r="E34" s="12" t="n"/>
    </row>
    <row r="35">
      <c r="A35" s="9" t="n"/>
      <c r="B35" s="9" t="n"/>
      <c r="C35" s="9" t="n"/>
      <c r="D35" s="12" t="n"/>
      <c r="E35" s="12" t="n"/>
    </row>
    <row r="36">
      <c r="A36" s="9" t="n"/>
      <c r="B36" s="9" t="n"/>
      <c r="C36" s="9" t="n"/>
      <c r="D36" s="12" t="n"/>
      <c r="E36" s="12" t="n"/>
    </row>
    <row r="37">
      <c r="A37" s="9" t="n"/>
      <c r="B37" s="9" t="n"/>
      <c r="C37" s="9" t="n"/>
      <c r="D37" s="12" t="n"/>
      <c r="E37" s="12" t="n"/>
    </row>
    <row r="38">
      <c r="A38" s="9" t="n"/>
      <c r="B38" s="9" t="n"/>
      <c r="C38" s="9" t="n"/>
      <c r="D38" s="12" t="n"/>
      <c r="E38" s="12" t="n"/>
    </row>
    <row r="39">
      <c r="A39" s="9" t="n"/>
      <c r="B39" s="9" t="n"/>
      <c r="C39" s="9" t="n"/>
      <c r="D39" s="12" t="n"/>
      <c r="E39" s="12" t="n"/>
    </row>
    <row r="40">
      <c r="A40" s="9" t="n"/>
      <c r="B40" s="9" t="n"/>
      <c r="C40" s="9" t="n"/>
      <c r="D40" s="12" t="n"/>
      <c r="E40" s="12" t="n"/>
    </row>
    <row r="41">
      <c r="A41" s="9" t="n"/>
      <c r="B41" s="9" t="n"/>
      <c r="C41" s="9" t="n"/>
      <c r="D41" s="12" t="n"/>
      <c r="E41" s="12" t="n"/>
    </row>
    <row r="42">
      <c r="A42" s="9" t="n"/>
      <c r="B42" s="9" t="n"/>
      <c r="C42" s="9" t="n"/>
      <c r="D42" s="12" t="n"/>
      <c r="E42" s="12" t="n"/>
    </row>
    <row r="43">
      <c r="A43" s="9" t="n"/>
      <c r="B43" s="9" t="n"/>
      <c r="C43" s="9" t="n"/>
      <c r="D43" s="12" t="n"/>
      <c r="E43" s="12" t="n"/>
    </row>
    <row r="44">
      <c r="A44" s="9" t="n"/>
      <c r="B44" s="9" t="n"/>
      <c r="C44" s="9" t="n"/>
      <c r="D44" s="12" t="n"/>
      <c r="E44" s="12" t="n"/>
    </row>
    <row r="45">
      <c r="A45" s="9" t="n"/>
      <c r="B45" s="9" t="n"/>
      <c r="C45" s="9" t="n"/>
      <c r="D45" s="12" t="n"/>
      <c r="E45" s="12" t="n"/>
    </row>
    <row r="46">
      <c r="A46" s="9" t="n"/>
      <c r="B46" s="9" t="n"/>
      <c r="C46" s="9" t="n"/>
      <c r="D46" s="12" t="n"/>
      <c r="E46" s="12" t="n"/>
    </row>
    <row r="47">
      <c r="A47" s="9" t="n"/>
      <c r="B47" s="9" t="n"/>
      <c r="C47" s="9" t="n"/>
      <c r="D47" s="12" t="n"/>
      <c r="E47" s="12" t="n"/>
    </row>
    <row r="48">
      <c r="A48" s="9" t="n"/>
      <c r="B48" s="9" t="n"/>
      <c r="C48" s="9" t="n"/>
      <c r="D48" s="12" t="n"/>
      <c r="E48" s="12" t="n"/>
    </row>
    <row r="49">
      <c r="A49" s="9" t="n"/>
      <c r="B49" s="9" t="n"/>
      <c r="C49" s="9" t="n"/>
      <c r="D49" s="12" t="n"/>
      <c r="E49" s="12" t="n"/>
    </row>
    <row r="50">
      <c r="A50" s="9" t="n"/>
      <c r="B50" s="9" t="n"/>
      <c r="C50" s="9" t="n"/>
      <c r="D50" s="12" t="n"/>
      <c r="E50" s="12" t="n"/>
    </row>
    <row r="51">
      <c r="A51" s="9" t="n"/>
      <c r="B51" s="9" t="n"/>
      <c r="C51" s="9" t="n"/>
      <c r="D51" s="12" t="n"/>
      <c r="E51" s="12" t="n"/>
    </row>
    <row r="52">
      <c r="A52" s="9" t="n"/>
      <c r="B52" s="9" t="n"/>
      <c r="C52" s="9" t="n"/>
      <c r="D52" s="12" t="n"/>
      <c r="E52" s="12" t="n"/>
    </row>
    <row r="53">
      <c r="A53" s="9" t="n"/>
      <c r="B53" s="9" t="n"/>
      <c r="C53" s="9" t="n"/>
      <c r="D53" s="12" t="n"/>
      <c r="E53" s="12" t="n"/>
    </row>
    <row r="54">
      <c r="A54" s="9" t="n"/>
      <c r="B54" s="9" t="n"/>
      <c r="C54" s="9" t="n"/>
      <c r="D54" s="12" t="n"/>
      <c r="E54" s="12" t="n"/>
    </row>
    <row r="55">
      <c r="A55" s="9" t="n"/>
      <c r="B55" s="9" t="n"/>
      <c r="C55" s="9" t="n"/>
      <c r="D55" s="12" t="n"/>
      <c r="E55" s="12" t="n"/>
    </row>
    <row r="56">
      <c r="A56" s="9" t="n"/>
      <c r="B56" s="9" t="n"/>
      <c r="C56" s="9" t="n"/>
      <c r="D56" s="12" t="n"/>
      <c r="E56" s="12" t="n"/>
    </row>
    <row r="57">
      <c r="A57" s="9" t="n"/>
      <c r="B57" s="9" t="n"/>
      <c r="C57" s="9" t="n"/>
      <c r="D57" s="12" t="n"/>
      <c r="E57" s="12" t="n"/>
    </row>
    <row r="58">
      <c r="A58" s="9" t="n"/>
      <c r="B58" s="9" t="n"/>
      <c r="C58" s="9" t="n"/>
      <c r="D58" s="12" t="n"/>
      <c r="E58" s="12" t="n"/>
    </row>
    <row r="59">
      <c r="A59" s="9" t="n"/>
      <c r="B59" s="9" t="n"/>
      <c r="C59" s="9" t="n"/>
      <c r="D59" s="12" t="n"/>
      <c r="E59" s="12" t="n"/>
    </row>
    <row r="60">
      <c r="A60" s="9" t="n"/>
      <c r="B60" s="9" t="n"/>
      <c r="C60" s="9" t="n"/>
      <c r="D60" s="12" t="n"/>
      <c r="E60" s="12" t="n"/>
    </row>
    <row r="61">
      <c r="A61" s="9" t="n"/>
      <c r="B61" s="9" t="n"/>
      <c r="C61" s="9" t="n"/>
      <c r="D61" s="12" t="n"/>
      <c r="E61" s="12" t="n"/>
    </row>
    <row r="62">
      <c r="A62" s="9" t="n"/>
      <c r="B62" s="9" t="n"/>
      <c r="C62" s="9" t="n"/>
      <c r="D62" s="12" t="n"/>
      <c r="E62" s="12" t="n"/>
    </row>
    <row r="63">
      <c r="A63" s="9" t="n"/>
      <c r="B63" s="9" t="n"/>
      <c r="C63" s="9" t="n"/>
      <c r="D63" s="12" t="n"/>
      <c r="E63" s="12" t="n"/>
    </row>
    <row r="64">
      <c r="A64" s="9" t="n"/>
      <c r="B64" s="9" t="n"/>
      <c r="C64" s="9" t="n"/>
      <c r="D64" s="12" t="n"/>
      <c r="E64" s="12" t="n"/>
    </row>
    <row r="65">
      <c r="A65" s="9" t="n"/>
      <c r="B65" s="9" t="n"/>
      <c r="C65" s="9" t="n"/>
      <c r="D65" s="12" t="n"/>
      <c r="E65" s="12" t="n"/>
    </row>
    <row r="66">
      <c r="A66" s="9" t="n"/>
      <c r="B66" s="9" t="n"/>
      <c r="C66" s="9" t="n"/>
      <c r="D66" s="12" t="n"/>
      <c r="E66" s="12" t="n"/>
    </row>
    <row r="67">
      <c r="A67" s="9" t="n"/>
      <c r="B67" s="9" t="n"/>
      <c r="C67" s="9" t="n"/>
      <c r="D67" s="12" t="n"/>
      <c r="E67" s="12" t="n"/>
    </row>
    <row r="68">
      <c r="A68" s="9" t="n"/>
      <c r="B68" s="9" t="n"/>
      <c r="C68" s="9" t="n"/>
      <c r="D68" s="12" t="n"/>
      <c r="E68" s="12" t="n"/>
    </row>
    <row r="69">
      <c r="A69" s="9" t="n"/>
      <c r="B69" s="9" t="n"/>
      <c r="C69" s="9" t="n"/>
      <c r="D69" s="12" t="n"/>
      <c r="E69" s="12" t="n"/>
    </row>
    <row r="70">
      <c r="A70" s="9" t="n"/>
      <c r="B70" s="9" t="n"/>
      <c r="C70" s="9" t="n"/>
      <c r="D70" s="12" t="n"/>
      <c r="E70" s="12" t="n"/>
    </row>
    <row r="71">
      <c r="A71" s="9" t="n"/>
      <c r="B71" s="9" t="n"/>
      <c r="C71" s="9" t="n"/>
      <c r="D71" s="12" t="n"/>
      <c r="E71" s="12" t="n"/>
    </row>
    <row r="72">
      <c r="A72" s="9" t="n"/>
      <c r="B72" s="9" t="n"/>
      <c r="C72" s="9" t="n"/>
      <c r="D72" s="12" t="n"/>
      <c r="E72" s="12" t="n"/>
    </row>
    <row r="73">
      <c r="A73" s="9" t="n"/>
      <c r="B73" s="9" t="n"/>
      <c r="C73" s="9" t="n"/>
      <c r="D73" s="12" t="n"/>
      <c r="E73" s="12" t="n"/>
    </row>
    <row r="74">
      <c r="A74" s="9" t="n"/>
      <c r="B74" s="9" t="n"/>
      <c r="C74" s="9" t="n"/>
      <c r="D74" s="12" t="n"/>
      <c r="E74" s="12" t="n"/>
    </row>
    <row r="75">
      <c r="A75" s="9" t="n"/>
      <c r="B75" s="9" t="n"/>
      <c r="C75" s="9" t="n"/>
      <c r="D75" s="12" t="n"/>
      <c r="E75" s="12" t="n"/>
    </row>
    <row r="76">
      <c r="A76" s="9" t="n"/>
      <c r="B76" s="9" t="n"/>
      <c r="C76" s="9" t="n"/>
      <c r="D76" s="12" t="n"/>
      <c r="E76" s="12" t="n"/>
    </row>
    <row r="77">
      <c r="A77" s="9" t="n"/>
      <c r="B77" s="9" t="n"/>
      <c r="C77" s="9" t="n"/>
      <c r="D77" s="12" t="n"/>
      <c r="E77" s="12" t="n"/>
    </row>
    <row r="78">
      <c r="A78" s="9" t="n"/>
      <c r="B78" s="9" t="n"/>
      <c r="C78" s="9" t="n"/>
      <c r="D78" s="12" t="n"/>
      <c r="E78" s="12" t="n"/>
    </row>
    <row r="79">
      <c r="A79" s="9" t="n"/>
      <c r="B79" s="9" t="n"/>
      <c r="C79" s="9" t="n"/>
      <c r="D79" s="12" t="n"/>
      <c r="E79" s="12" t="n"/>
    </row>
    <row r="80">
      <c r="A80" s="9" t="n"/>
      <c r="B80" s="9" t="n"/>
      <c r="C80" s="9" t="n"/>
      <c r="D80" s="12" t="n"/>
      <c r="E80" s="12" t="n"/>
    </row>
    <row r="81">
      <c r="A81" s="9" t="n"/>
      <c r="B81" s="9" t="n"/>
      <c r="C81" s="9" t="n"/>
      <c r="D81" s="12" t="n"/>
      <c r="E81" s="12" t="n"/>
    </row>
    <row r="82">
      <c r="A82" s="9" t="n"/>
      <c r="B82" s="9" t="n"/>
      <c r="C82" s="9" t="n"/>
      <c r="D82" s="12" t="n"/>
      <c r="E82" s="12" t="n"/>
    </row>
    <row r="83">
      <c r="A83" s="9" t="n"/>
      <c r="B83" s="9" t="n"/>
      <c r="C83" s="9" t="n"/>
      <c r="D83" s="12" t="n"/>
      <c r="E83" s="12" t="n"/>
    </row>
    <row r="84">
      <c r="A84" s="9" t="n"/>
      <c r="B84" s="9" t="n"/>
      <c r="C84" s="9" t="n"/>
      <c r="D84" s="12" t="n"/>
      <c r="E84" s="12" t="n"/>
    </row>
    <row r="85">
      <c r="A85" s="9" t="n"/>
      <c r="B85" s="9" t="n"/>
      <c r="C85" s="9" t="n"/>
      <c r="D85" s="12" t="n"/>
      <c r="E85" s="12" t="n"/>
    </row>
    <row r="86">
      <c r="A86" s="9" t="n"/>
      <c r="B86" s="9" t="n"/>
      <c r="C86" s="9" t="n"/>
      <c r="D86" s="12" t="n"/>
      <c r="E86" s="12" t="n"/>
    </row>
    <row r="87">
      <c r="A87" s="9" t="n"/>
      <c r="B87" s="9" t="n"/>
      <c r="C87" s="9" t="n"/>
      <c r="D87" s="12" t="n"/>
      <c r="E87" s="12" t="n"/>
    </row>
    <row r="88">
      <c r="A88" s="9" t="n"/>
      <c r="B88" s="9" t="n"/>
      <c r="C88" s="9" t="n"/>
      <c r="D88" s="12" t="n"/>
      <c r="E88" s="12" t="n"/>
    </row>
    <row r="89">
      <c r="A89" s="9" t="n"/>
      <c r="B89" s="9" t="n"/>
      <c r="C89" s="9" t="n"/>
      <c r="D89" s="12" t="n"/>
      <c r="E89" s="12" t="n"/>
    </row>
    <row r="90">
      <c r="A90" s="9" t="n"/>
      <c r="B90" s="9" t="n"/>
      <c r="C90" s="9" t="n"/>
      <c r="D90" s="12" t="n"/>
      <c r="E90" s="12" t="n"/>
    </row>
    <row r="91">
      <c r="A91" s="9" t="n"/>
      <c r="B91" s="9" t="n"/>
      <c r="C91" s="9" t="n"/>
      <c r="D91" s="12" t="n"/>
      <c r="E91" s="12" t="n"/>
    </row>
    <row r="92">
      <c r="A92" s="9" t="n"/>
      <c r="B92" s="9" t="n"/>
      <c r="C92" s="9" t="n"/>
      <c r="D92" s="12" t="n"/>
      <c r="E92" s="12" t="n"/>
    </row>
    <row r="93">
      <c r="A93" s="9" t="n"/>
      <c r="B93" s="9" t="n"/>
      <c r="C93" s="9" t="n"/>
      <c r="D93" s="12" t="n"/>
      <c r="E93" s="12" t="n"/>
    </row>
    <row r="94">
      <c r="A94" s="9" t="n"/>
      <c r="B94" s="9" t="n"/>
      <c r="C94" s="9" t="n"/>
      <c r="D94" s="12" t="n"/>
      <c r="E94" s="12" t="n"/>
    </row>
    <row r="95">
      <c r="A95" s="9" t="n"/>
      <c r="B95" s="9" t="n"/>
      <c r="C95" s="9" t="n"/>
      <c r="D95" s="12" t="n"/>
      <c r="E95" s="12" t="n"/>
    </row>
    <row r="96">
      <c r="A96" s="9" t="n"/>
      <c r="B96" s="9" t="n"/>
      <c r="C96" s="9" t="n"/>
      <c r="D96" s="12" t="n"/>
      <c r="E96" s="12" t="n"/>
    </row>
    <row r="97">
      <c r="A97" s="9" t="n"/>
      <c r="B97" s="9" t="n"/>
      <c r="C97" s="9" t="n"/>
      <c r="D97" s="12" t="n"/>
      <c r="E97" s="12" t="n"/>
    </row>
    <row r="98">
      <c r="A98" s="9" t="n"/>
      <c r="B98" s="9" t="n"/>
      <c r="C98" s="9" t="n"/>
      <c r="D98" s="12" t="n"/>
      <c r="E98" s="12" t="n"/>
    </row>
    <row r="99">
      <c r="A99" s="9" t="n"/>
      <c r="B99" s="9" t="n"/>
      <c r="C99" s="9" t="n"/>
      <c r="D99" s="12" t="n"/>
      <c r="E99" s="12" t="n"/>
    </row>
    <row r="100">
      <c r="A100" s="9" t="n"/>
      <c r="B100" s="9" t="n"/>
      <c r="C100" s="9" t="n"/>
      <c r="D100" s="12" t="n"/>
      <c r="E100" s="12" t="n"/>
    </row>
    <row r="101">
      <c r="A101" s="9" t="n"/>
      <c r="B101" s="9" t="n"/>
      <c r="C101" s="9" t="n"/>
      <c r="D101" s="12" t="n"/>
      <c r="E101" s="12" t="n"/>
    </row>
    <row r="102">
      <c r="A102" s="9" t="n"/>
      <c r="B102" s="9" t="n"/>
      <c r="C102" s="9" t="n"/>
      <c r="D102" s="12" t="n"/>
      <c r="E102" s="12" t="n"/>
    </row>
    <row r="103">
      <c r="A103" s="9" t="n"/>
      <c r="B103" s="9" t="n"/>
      <c r="C103" s="9" t="n"/>
      <c r="D103" s="12" t="n"/>
      <c r="E103" s="12" t="n"/>
    </row>
    <row r="104">
      <c r="A104" s="9" t="n"/>
      <c r="B104" s="9" t="n"/>
      <c r="C104" s="9" t="n"/>
      <c r="D104" s="12" t="n"/>
      <c r="E104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7">
        <f>"Bảng chấm công tháng "&amp;CD_THANG&amp;"/"&amp;CD_NAM</f>
        <v/>
      </c>
    </row>
    <row r="2">
      <c r="A2" s="10" t="inlineStr">
        <is>
          <t>X = đủ ngày · N = nửa ngày · P = phép có lương · O = nghỉ không lương</t>
        </is>
      </c>
    </row>
    <row r="4">
      <c r="A4" s="13" t="inlineStr">
        <is>
          <t>Mã NV</t>
        </is>
      </c>
      <c r="B4" s="13" t="inlineStr">
        <is>
          <t>Họ tên</t>
        </is>
      </c>
      <c r="C4" s="13">
        <f>IF(1&gt;DAY(EOMONTH(DATE(CD_NAM,CD_THANG,1),0)),"",1)</f>
        <v/>
      </c>
      <c r="D4" s="13">
        <f>IF(2&gt;DAY(EOMONTH(DATE(CD_NAM,CD_THANG,1),0)),"",2)</f>
        <v/>
      </c>
      <c r="E4" s="13">
        <f>IF(3&gt;DAY(EOMONTH(DATE(CD_NAM,CD_THANG,1),0)),"",3)</f>
        <v/>
      </c>
      <c r="F4" s="13">
        <f>IF(4&gt;DAY(EOMONTH(DATE(CD_NAM,CD_THANG,1),0)),"",4)</f>
        <v/>
      </c>
      <c r="G4" s="13">
        <f>IF(5&gt;DAY(EOMONTH(DATE(CD_NAM,CD_THANG,1),0)),"",5)</f>
        <v/>
      </c>
      <c r="H4" s="13">
        <f>IF(6&gt;DAY(EOMONTH(DATE(CD_NAM,CD_THANG,1),0)),"",6)</f>
        <v/>
      </c>
      <c r="I4" s="13">
        <f>IF(7&gt;DAY(EOMONTH(DATE(CD_NAM,CD_THANG,1),0)),"",7)</f>
        <v/>
      </c>
      <c r="J4" s="13">
        <f>IF(8&gt;DAY(EOMONTH(DATE(CD_NAM,CD_THANG,1),0)),"",8)</f>
        <v/>
      </c>
      <c r="K4" s="13">
        <f>IF(9&gt;DAY(EOMONTH(DATE(CD_NAM,CD_THANG,1),0)),"",9)</f>
        <v/>
      </c>
      <c r="L4" s="13">
        <f>IF(10&gt;DAY(EOMONTH(DATE(CD_NAM,CD_THANG,1),0)),"",10)</f>
        <v/>
      </c>
      <c r="M4" s="13">
        <f>IF(11&gt;DAY(EOMONTH(DATE(CD_NAM,CD_THANG,1),0)),"",11)</f>
        <v/>
      </c>
      <c r="N4" s="13">
        <f>IF(12&gt;DAY(EOMONTH(DATE(CD_NAM,CD_THANG,1),0)),"",12)</f>
        <v/>
      </c>
      <c r="O4" s="13">
        <f>IF(13&gt;DAY(EOMONTH(DATE(CD_NAM,CD_THANG,1),0)),"",13)</f>
        <v/>
      </c>
      <c r="P4" s="13">
        <f>IF(14&gt;DAY(EOMONTH(DATE(CD_NAM,CD_THANG,1),0)),"",14)</f>
        <v/>
      </c>
      <c r="Q4" s="13">
        <f>IF(15&gt;DAY(EOMONTH(DATE(CD_NAM,CD_THANG,1),0)),"",15)</f>
        <v/>
      </c>
      <c r="R4" s="13">
        <f>IF(16&gt;DAY(EOMONTH(DATE(CD_NAM,CD_THANG,1),0)),"",16)</f>
        <v/>
      </c>
      <c r="S4" s="13">
        <f>IF(17&gt;DAY(EOMONTH(DATE(CD_NAM,CD_THANG,1),0)),"",17)</f>
        <v/>
      </c>
      <c r="T4" s="13">
        <f>IF(18&gt;DAY(EOMONTH(DATE(CD_NAM,CD_THANG,1),0)),"",18)</f>
        <v/>
      </c>
      <c r="U4" s="13">
        <f>IF(19&gt;DAY(EOMONTH(DATE(CD_NAM,CD_THANG,1),0)),"",19)</f>
        <v/>
      </c>
      <c r="V4" s="13">
        <f>IF(20&gt;DAY(EOMONTH(DATE(CD_NAM,CD_THANG,1),0)),"",20)</f>
        <v/>
      </c>
      <c r="W4" s="13">
        <f>IF(21&gt;DAY(EOMONTH(DATE(CD_NAM,CD_THANG,1),0)),"",21)</f>
        <v/>
      </c>
      <c r="X4" s="13">
        <f>IF(22&gt;DAY(EOMONTH(DATE(CD_NAM,CD_THANG,1),0)),"",22)</f>
        <v/>
      </c>
      <c r="Y4" s="13">
        <f>IF(23&gt;DAY(EOMONTH(DATE(CD_NAM,CD_THANG,1),0)),"",23)</f>
        <v/>
      </c>
      <c r="Z4" s="13">
        <f>IF(24&gt;DAY(EOMONTH(DATE(CD_NAM,CD_THANG,1),0)),"",24)</f>
        <v/>
      </c>
      <c r="AA4" s="13">
        <f>IF(25&gt;DAY(EOMONTH(DATE(CD_NAM,CD_THANG,1),0)),"",25)</f>
        <v/>
      </c>
      <c r="AB4" s="13">
        <f>IF(26&gt;DAY(EOMONTH(DATE(CD_NAM,CD_THANG,1),0)),"",26)</f>
        <v/>
      </c>
      <c r="AC4" s="13">
        <f>IF(27&gt;DAY(EOMONTH(DATE(CD_NAM,CD_THANG,1),0)),"",27)</f>
        <v/>
      </c>
      <c r="AD4" s="13">
        <f>IF(28&gt;DAY(EOMONTH(DATE(CD_NAM,CD_THANG,1),0)),"",28)</f>
        <v/>
      </c>
      <c r="AE4" s="13">
        <f>IF(29&gt;DAY(EOMONTH(DATE(CD_NAM,CD_THANG,1),0)),"",29)</f>
        <v/>
      </c>
      <c r="AF4" s="13">
        <f>IF(30&gt;DAY(EOMONTH(DATE(CD_NAM,CD_THANG,1),0)),"",30)</f>
        <v/>
      </c>
      <c r="AG4" s="13">
        <f>IF(31&gt;DAY(EOMONTH(DATE(CD_NAM,CD_THANG,1),0)),"",31)</f>
        <v/>
      </c>
      <c r="AH4" s="13" t="inlineStr">
        <is>
          <t>Công</t>
        </is>
      </c>
      <c r="AI4" s="13" t="inlineStr">
        <is>
          <t>Phép</t>
        </is>
      </c>
      <c r="AJ4" s="13" t="inlineStr">
        <is>
          <t>Nghỉ KL</t>
        </is>
      </c>
      <c r="AK4" s="13" t="inlineStr">
        <is>
          <t>Giờ tăng ca</t>
        </is>
      </c>
    </row>
    <row r="5">
      <c r="A5" s="13" t="n"/>
      <c r="B5" s="13" t="n"/>
      <c r="C5" s="13">
        <f>IF(C4="","",CHOOSE(WEEKDAY(DATE(CD_NAM,CD_THANG,1)),"CN","T2","T3","T4","T5","T6","T7"))</f>
        <v/>
      </c>
      <c r="D5" s="13">
        <f>IF(D4="","",CHOOSE(WEEKDAY(DATE(CD_NAM,CD_THANG,2)),"CN","T2","T3","T4","T5","T6","T7"))</f>
        <v/>
      </c>
      <c r="E5" s="13">
        <f>IF(E4="","",CHOOSE(WEEKDAY(DATE(CD_NAM,CD_THANG,3)),"CN","T2","T3","T4","T5","T6","T7"))</f>
        <v/>
      </c>
      <c r="F5" s="13">
        <f>IF(F4="","",CHOOSE(WEEKDAY(DATE(CD_NAM,CD_THANG,4)),"CN","T2","T3","T4","T5","T6","T7"))</f>
        <v/>
      </c>
      <c r="G5" s="13">
        <f>IF(G4="","",CHOOSE(WEEKDAY(DATE(CD_NAM,CD_THANG,5)),"CN","T2","T3","T4","T5","T6","T7"))</f>
        <v/>
      </c>
      <c r="H5" s="13">
        <f>IF(H4="","",CHOOSE(WEEKDAY(DATE(CD_NAM,CD_THANG,6)),"CN","T2","T3","T4","T5","T6","T7"))</f>
        <v/>
      </c>
      <c r="I5" s="13">
        <f>IF(I4="","",CHOOSE(WEEKDAY(DATE(CD_NAM,CD_THANG,7)),"CN","T2","T3","T4","T5","T6","T7"))</f>
        <v/>
      </c>
      <c r="J5" s="13">
        <f>IF(J4="","",CHOOSE(WEEKDAY(DATE(CD_NAM,CD_THANG,8)),"CN","T2","T3","T4","T5","T6","T7"))</f>
        <v/>
      </c>
      <c r="K5" s="13">
        <f>IF(K4="","",CHOOSE(WEEKDAY(DATE(CD_NAM,CD_THANG,9)),"CN","T2","T3","T4","T5","T6","T7"))</f>
        <v/>
      </c>
      <c r="L5" s="13">
        <f>IF(L4="","",CHOOSE(WEEKDAY(DATE(CD_NAM,CD_THANG,10)),"CN","T2","T3","T4","T5","T6","T7"))</f>
        <v/>
      </c>
      <c r="M5" s="13">
        <f>IF(M4="","",CHOOSE(WEEKDAY(DATE(CD_NAM,CD_THANG,11)),"CN","T2","T3","T4","T5","T6","T7"))</f>
        <v/>
      </c>
      <c r="N5" s="13">
        <f>IF(N4="","",CHOOSE(WEEKDAY(DATE(CD_NAM,CD_THANG,12)),"CN","T2","T3","T4","T5","T6","T7"))</f>
        <v/>
      </c>
      <c r="O5" s="13">
        <f>IF(O4="","",CHOOSE(WEEKDAY(DATE(CD_NAM,CD_THANG,13)),"CN","T2","T3","T4","T5","T6","T7"))</f>
        <v/>
      </c>
      <c r="P5" s="13">
        <f>IF(P4="","",CHOOSE(WEEKDAY(DATE(CD_NAM,CD_THANG,14)),"CN","T2","T3","T4","T5","T6","T7"))</f>
        <v/>
      </c>
      <c r="Q5" s="13">
        <f>IF(Q4="","",CHOOSE(WEEKDAY(DATE(CD_NAM,CD_THANG,15)),"CN","T2","T3","T4","T5","T6","T7"))</f>
        <v/>
      </c>
      <c r="R5" s="13">
        <f>IF(R4="","",CHOOSE(WEEKDAY(DATE(CD_NAM,CD_THANG,16)),"CN","T2","T3","T4","T5","T6","T7"))</f>
        <v/>
      </c>
      <c r="S5" s="13">
        <f>IF(S4="","",CHOOSE(WEEKDAY(DATE(CD_NAM,CD_THANG,17)),"CN","T2","T3","T4","T5","T6","T7"))</f>
        <v/>
      </c>
      <c r="T5" s="13">
        <f>IF(T4="","",CHOOSE(WEEKDAY(DATE(CD_NAM,CD_THANG,18)),"CN","T2","T3","T4","T5","T6","T7"))</f>
        <v/>
      </c>
      <c r="U5" s="13">
        <f>IF(U4="","",CHOOSE(WEEKDAY(DATE(CD_NAM,CD_THANG,19)),"CN","T2","T3","T4","T5","T6","T7"))</f>
        <v/>
      </c>
      <c r="V5" s="13">
        <f>IF(V4="","",CHOOSE(WEEKDAY(DATE(CD_NAM,CD_THANG,20)),"CN","T2","T3","T4","T5","T6","T7"))</f>
        <v/>
      </c>
      <c r="W5" s="13">
        <f>IF(W4="","",CHOOSE(WEEKDAY(DATE(CD_NAM,CD_THANG,21)),"CN","T2","T3","T4","T5","T6","T7"))</f>
        <v/>
      </c>
      <c r="X5" s="13">
        <f>IF(X4="","",CHOOSE(WEEKDAY(DATE(CD_NAM,CD_THANG,22)),"CN","T2","T3","T4","T5","T6","T7"))</f>
        <v/>
      </c>
      <c r="Y5" s="13">
        <f>IF(Y4="","",CHOOSE(WEEKDAY(DATE(CD_NAM,CD_THANG,23)),"CN","T2","T3","T4","T5","T6","T7"))</f>
        <v/>
      </c>
      <c r="Z5" s="13">
        <f>IF(Z4="","",CHOOSE(WEEKDAY(DATE(CD_NAM,CD_THANG,24)),"CN","T2","T3","T4","T5","T6","T7"))</f>
        <v/>
      </c>
      <c r="AA5" s="13">
        <f>IF(AA4="","",CHOOSE(WEEKDAY(DATE(CD_NAM,CD_THANG,25)),"CN","T2","T3","T4","T5","T6","T7"))</f>
        <v/>
      </c>
      <c r="AB5" s="13">
        <f>IF(AB4="","",CHOOSE(WEEKDAY(DATE(CD_NAM,CD_THANG,26)),"CN","T2","T3","T4","T5","T6","T7"))</f>
        <v/>
      </c>
      <c r="AC5" s="13">
        <f>IF(AC4="","",CHOOSE(WEEKDAY(DATE(CD_NAM,CD_THANG,27)),"CN","T2","T3","T4","T5","T6","T7"))</f>
        <v/>
      </c>
      <c r="AD5" s="13">
        <f>IF(AD4="","",CHOOSE(WEEKDAY(DATE(CD_NAM,CD_THANG,28)),"CN","T2","T3","T4","T5","T6","T7"))</f>
        <v/>
      </c>
      <c r="AE5" s="13">
        <f>IF(AE4="","",CHOOSE(WEEKDAY(DATE(CD_NAM,CD_THANG,29)),"CN","T2","T3","T4","T5","T6","T7"))</f>
        <v/>
      </c>
      <c r="AF5" s="13">
        <f>IF(AF4="","",CHOOSE(WEEKDAY(DATE(CD_NAM,CD_THANG,30)),"CN","T2","T3","T4","T5","T6","T7"))</f>
        <v/>
      </c>
      <c r="AG5" s="13">
        <f>IF(AG4="","",CHOOSE(WEEKDAY(DATE(CD_NAM,CD_THANG,31)),"CN","T2","T3","T4","T5","T6","T7"))</f>
        <v/>
      </c>
      <c r="AH5" s="13" t="n"/>
      <c r="AI5" s="13" t="n"/>
      <c r="AJ5" s="13" t="n"/>
      <c r="AK5" s="13" t="n"/>
    </row>
    <row r="6">
      <c r="A6" s="9" t="inlineStr">
        <is>
          <t>NV01</t>
        </is>
      </c>
      <c r="B6" s="14">
        <f>IF(A6="","",IFERROR(INDEX('Nhân viên'!$B$5:$B$104,MATCH(A6,'Nhân viên'!$A$5:$A$104,0)),""))</f>
        <v/>
      </c>
      <c r="C6" s="15" t="inlineStr">
        <is>
          <t>X</t>
        </is>
      </c>
      <c r="D6" s="15" t="inlineStr">
        <is>
          <t>X</t>
        </is>
      </c>
      <c r="E6" s="15" t="inlineStr">
        <is>
          <t>X</t>
        </is>
      </c>
      <c r="F6" s="15" t="inlineStr">
        <is>
          <t>X</t>
        </is>
      </c>
      <c r="G6" s="15" t="inlineStr">
        <is>
          <t>X</t>
        </is>
      </c>
      <c r="H6" s="15" t="inlineStr">
        <is>
          <t>N</t>
        </is>
      </c>
      <c r="I6" s="15" t="inlineStr"/>
      <c r="J6" s="15" t="inlineStr">
        <is>
          <t>X</t>
        </is>
      </c>
      <c r="K6" s="15" t="inlineStr">
        <is>
          <t>X</t>
        </is>
      </c>
      <c r="L6" s="15" t="inlineStr">
        <is>
          <t>X</t>
        </is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4">
        <f>IF(A6="","",COUNTIF(C6:AG6,"X")+COUNTIF(C6:AG6,"P")+0.5*COUNTIF(C6:AG6,"N"))</f>
        <v/>
      </c>
      <c r="AI6" s="14">
        <f>IF(A6="","",COUNTIF(C6:AG6,"P"))</f>
        <v/>
      </c>
      <c r="AJ6" s="14">
        <f>IF(A6="","",COUNTIF(C6:AG6,"O"))</f>
        <v/>
      </c>
      <c r="AK6" s="9" t="n">
        <v>4</v>
      </c>
    </row>
    <row r="7">
      <c r="A7" s="9" t="inlineStr">
        <is>
          <t>NV02</t>
        </is>
      </c>
      <c r="B7" s="14">
        <f>IF(A7="","",IFERROR(INDEX('Nhân viên'!$B$5:$B$104,MATCH(A7,'Nhân viên'!$A$5:$A$104,0)),""))</f>
        <v/>
      </c>
      <c r="C7" s="15" t="inlineStr">
        <is>
          <t>X</t>
        </is>
      </c>
      <c r="D7" s="15" t="inlineStr">
        <is>
          <t>X</t>
        </is>
      </c>
      <c r="E7" s="15" t="inlineStr">
        <is>
          <t>X</t>
        </is>
      </c>
      <c r="F7" s="15" t="inlineStr">
        <is>
          <t>P</t>
        </is>
      </c>
      <c r="G7" s="15" t="inlineStr">
        <is>
          <t>X</t>
        </is>
      </c>
      <c r="H7" s="15" t="inlineStr">
        <is>
          <t>X</t>
        </is>
      </c>
      <c r="I7" s="15" t="inlineStr">
        <is>
          <t>X</t>
        </is>
      </c>
      <c r="J7" s="15" t="inlineStr">
        <is>
          <t>X</t>
        </is>
      </c>
      <c r="K7" s="15" t="inlineStr">
        <is>
          <t>X</t>
        </is>
      </c>
      <c r="L7" s="15" t="inlineStr">
        <is>
          <t>X</t>
        </is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4">
        <f>IF(A7="","",COUNTIF(C7:AG7,"X")+COUNTIF(C7:AG7,"P")+0.5*COUNTIF(C7:AG7,"N"))</f>
        <v/>
      </c>
      <c r="AI7" s="14">
        <f>IF(A7="","",COUNTIF(C7:AG7,"P"))</f>
        <v/>
      </c>
      <c r="AJ7" s="14">
        <f>IF(A7="","",COUNTIF(C7:AG7,"O"))</f>
        <v/>
      </c>
      <c r="AK7" s="9" t="n">
        <v>0</v>
      </c>
    </row>
    <row r="8">
      <c r="A8" s="9" t="n"/>
      <c r="B8" s="14">
        <f>IF(A8="","",IFERROR(INDEX('Nhân viên'!$B$5:$B$104,MATCH(A8,'Nhân viên'!$A$5:$A$104,0)),""))</f>
        <v/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4">
        <f>IF(A8="","",COUNTIF(C8:AG8,"X")+COUNTIF(C8:AG8,"P")+0.5*COUNTIF(C8:AG8,"N"))</f>
        <v/>
      </c>
      <c r="AI8" s="14">
        <f>IF(A8="","",COUNTIF(C8:AG8,"P"))</f>
        <v/>
      </c>
      <c r="AJ8" s="14">
        <f>IF(A8="","",COUNTIF(C8:AG8,"O"))</f>
        <v/>
      </c>
      <c r="AK8" s="9" t="n"/>
    </row>
    <row r="9">
      <c r="A9" s="9" t="n"/>
      <c r="B9" s="14">
        <f>IF(A9="","",IFERROR(INDEX('Nhân viên'!$B$5:$B$104,MATCH(A9,'Nhân viên'!$A$5:$A$104,0)),""))</f>
        <v/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4">
        <f>IF(A9="","",COUNTIF(C9:AG9,"X")+COUNTIF(C9:AG9,"P")+0.5*COUNTIF(C9:AG9,"N"))</f>
        <v/>
      </c>
      <c r="AI9" s="14">
        <f>IF(A9="","",COUNTIF(C9:AG9,"P"))</f>
        <v/>
      </c>
      <c r="AJ9" s="14">
        <f>IF(A9="","",COUNTIF(C9:AG9,"O"))</f>
        <v/>
      </c>
      <c r="AK9" s="9" t="n"/>
    </row>
    <row r="10">
      <c r="A10" s="9" t="n"/>
      <c r="B10" s="14">
        <f>IF(A10="","",IFERROR(INDEX('Nhân viên'!$B$5:$B$104,MATCH(A10,'Nhân viên'!$A$5:$A$104,0)),""))</f>
        <v/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4">
        <f>IF(A10="","",COUNTIF(C10:AG10,"X")+COUNTIF(C10:AG10,"P")+0.5*COUNTIF(C10:AG10,"N"))</f>
        <v/>
      </c>
      <c r="AI10" s="14">
        <f>IF(A10="","",COUNTIF(C10:AG10,"P"))</f>
        <v/>
      </c>
      <c r="AJ10" s="14">
        <f>IF(A10="","",COUNTIF(C10:AG10,"O"))</f>
        <v/>
      </c>
      <c r="AK10" s="9" t="n"/>
    </row>
    <row r="11">
      <c r="A11" s="9" t="n"/>
      <c r="B11" s="14">
        <f>IF(A11="","",IFERROR(INDEX('Nhân viên'!$B$5:$B$104,MATCH(A11,'Nhân viên'!$A$5:$A$104,0)),""))</f>
        <v/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4">
        <f>IF(A11="","",COUNTIF(C11:AG11,"X")+COUNTIF(C11:AG11,"P")+0.5*COUNTIF(C11:AG11,"N"))</f>
        <v/>
      </c>
      <c r="AI11" s="14">
        <f>IF(A11="","",COUNTIF(C11:AG11,"P"))</f>
        <v/>
      </c>
      <c r="AJ11" s="14">
        <f>IF(A11="","",COUNTIF(C11:AG11,"O"))</f>
        <v/>
      </c>
      <c r="AK11" s="9" t="n"/>
    </row>
    <row r="12">
      <c r="A12" s="9" t="n"/>
      <c r="B12" s="14">
        <f>IF(A12="","",IFERROR(INDEX('Nhân viên'!$B$5:$B$104,MATCH(A12,'Nhân viên'!$A$5:$A$104,0)),""))</f>
        <v/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4">
        <f>IF(A12="","",COUNTIF(C12:AG12,"X")+COUNTIF(C12:AG12,"P")+0.5*COUNTIF(C12:AG12,"N"))</f>
        <v/>
      </c>
      <c r="AI12" s="14">
        <f>IF(A12="","",COUNTIF(C12:AG12,"P"))</f>
        <v/>
      </c>
      <c r="AJ12" s="14">
        <f>IF(A12="","",COUNTIF(C12:AG12,"O"))</f>
        <v/>
      </c>
      <c r="AK12" s="9" t="n"/>
    </row>
    <row r="13">
      <c r="A13" s="9" t="n"/>
      <c r="B13" s="14">
        <f>IF(A13="","",IFERROR(INDEX('Nhân viên'!$B$5:$B$104,MATCH(A13,'Nhân viên'!$A$5:$A$104,0)),""))</f>
        <v/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4">
        <f>IF(A13="","",COUNTIF(C13:AG13,"X")+COUNTIF(C13:AG13,"P")+0.5*COUNTIF(C13:AG13,"N"))</f>
        <v/>
      </c>
      <c r="AI13" s="14">
        <f>IF(A13="","",COUNTIF(C13:AG13,"P"))</f>
        <v/>
      </c>
      <c r="AJ13" s="14">
        <f>IF(A13="","",COUNTIF(C13:AG13,"O"))</f>
        <v/>
      </c>
      <c r="AK13" s="9" t="n"/>
    </row>
    <row r="14">
      <c r="A14" s="9" t="n"/>
      <c r="B14" s="14">
        <f>IF(A14="","",IFERROR(INDEX('Nhân viên'!$B$5:$B$104,MATCH(A14,'Nhân viên'!$A$5:$A$104,0)),""))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4">
        <f>IF(A14="","",COUNTIF(C14:AG14,"X")+COUNTIF(C14:AG14,"P")+0.5*COUNTIF(C14:AG14,"N"))</f>
        <v/>
      </c>
      <c r="AI14" s="14">
        <f>IF(A14="","",COUNTIF(C14:AG14,"P"))</f>
        <v/>
      </c>
      <c r="AJ14" s="14">
        <f>IF(A14="","",COUNTIF(C14:AG14,"O"))</f>
        <v/>
      </c>
      <c r="AK14" s="9" t="n"/>
    </row>
    <row r="15">
      <c r="A15" s="9" t="n"/>
      <c r="B15" s="14">
        <f>IF(A15="","",IFERROR(INDEX('Nhân viên'!$B$5:$B$104,MATCH(A15,'Nhân viên'!$A$5:$A$104,0)),""))</f>
        <v/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4">
        <f>IF(A15="","",COUNTIF(C15:AG15,"X")+COUNTIF(C15:AG15,"P")+0.5*COUNTIF(C15:AG15,"N"))</f>
        <v/>
      </c>
      <c r="AI15" s="14">
        <f>IF(A15="","",COUNTIF(C15:AG15,"P"))</f>
        <v/>
      </c>
      <c r="AJ15" s="14">
        <f>IF(A15="","",COUNTIF(C15:AG15,"O"))</f>
        <v/>
      </c>
      <c r="AK15" s="9" t="n"/>
    </row>
    <row r="16">
      <c r="A16" s="9" t="n"/>
      <c r="B16" s="14">
        <f>IF(A16="","",IFERROR(INDEX('Nhân viên'!$B$5:$B$104,MATCH(A16,'Nhân viên'!$A$5:$A$104,0)),""))</f>
        <v/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4">
        <f>IF(A16="","",COUNTIF(C16:AG16,"X")+COUNTIF(C16:AG16,"P")+0.5*COUNTIF(C16:AG16,"N"))</f>
        <v/>
      </c>
      <c r="AI16" s="14">
        <f>IF(A16="","",COUNTIF(C16:AG16,"P"))</f>
        <v/>
      </c>
      <c r="AJ16" s="14">
        <f>IF(A16="","",COUNTIF(C16:AG16,"O"))</f>
        <v/>
      </c>
      <c r="AK16" s="9" t="n"/>
    </row>
    <row r="17">
      <c r="A17" s="9" t="n"/>
      <c r="B17" s="14">
        <f>IF(A17="","",IFERROR(INDEX('Nhân viên'!$B$5:$B$104,MATCH(A17,'Nhân viên'!$A$5:$A$104,0)),""))</f>
        <v/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4">
        <f>IF(A17="","",COUNTIF(C17:AG17,"X")+COUNTIF(C17:AG17,"P")+0.5*COUNTIF(C17:AG17,"N"))</f>
        <v/>
      </c>
      <c r="AI17" s="14">
        <f>IF(A17="","",COUNTIF(C17:AG17,"P"))</f>
        <v/>
      </c>
      <c r="AJ17" s="14">
        <f>IF(A17="","",COUNTIF(C17:AG17,"O"))</f>
        <v/>
      </c>
      <c r="AK17" s="9" t="n"/>
    </row>
    <row r="18">
      <c r="A18" s="9" t="n"/>
      <c r="B18" s="14">
        <f>IF(A18="","",IFERROR(INDEX('Nhân viên'!$B$5:$B$104,MATCH(A18,'Nhân viên'!$A$5:$A$104,0)),""))</f>
        <v/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4">
        <f>IF(A18="","",COUNTIF(C18:AG18,"X")+COUNTIF(C18:AG18,"P")+0.5*COUNTIF(C18:AG18,"N"))</f>
        <v/>
      </c>
      <c r="AI18" s="14">
        <f>IF(A18="","",COUNTIF(C18:AG18,"P"))</f>
        <v/>
      </c>
      <c r="AJ18" s="14">
        <f>IF(A18="","",COUNTIF(C18:AG18,"O"))</f>
        <v/>
      </c>
      <c r="AK18" s="9" t="n"/>
    </row>
    <row r="19">
      <c r="A19" s="9" t="n"/>
      <c r="B19" s="14">
        <f>IF(A19="","",IFERROR(INDEX('Nhân viên'!$B$5:$B$104,MATCH(A19,'Nhân viên'!$A$5:$A$104,0)),""))</f>
        <v/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4">
        <f>IF(A19="","",COUNTIF(C19:AG19,"X")+COUNTIF(C19:AG19,"P")+0.5*COUNTIF(C19:AG19,"N"))</f>
        <v/>
      </c>
      <c r="AI19" s="14">
        <f>IF(A19="","",COUNTIF(C19:AG19,"P"))</f>
        <v/>
      </c>
      <c r="AJ19" s="14">
        <f>IF(A19="","",COUNTIF(C19:AG19,"O"))</f>
        <v/>
      </c>
      <c r="AK19" s="9" t="n"/>
    </row>
    <row r="20">
      <c r="A20" s="9" t="n"/>
      <c r="B20" s="14">
        <f>IF(A20="","",IFERROR(INDEX('Nhân viên'!$B$5:$B$104,MATCH(A20,'Nhân viên'!$A$5:$A$104,0)),""))</f>
        <v/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4">
        <f>IF(A20="","",COUNTIF(C20:AG20,"X")+COUNTIF(C20:AG20,"P")+0.5*COUNTIF(C20:AG20,"N"))</f>
        <v/>
      </c>
      <c r="AI20" s="14">
        <f>IF(A20="","",COUNTIF(C20:AG20,"P"))</f>
        <v/>
      </c>
      <c r="AJ20" s="14">
        <f>IF(A20="","",COUNTIF(C20:AG20,"O"))</f>
        <v/>
      </c>
      <c r="AK20" s="9" t="n"/>
    </row>
    <row r="21">
      <c r="A21" s="9" t="n"/>
      <c r="B21" s="14">
        <f>IF(A21="","",IFERROR(INDEX('Nhân viên'!$B$5:$B$104,MATCH(A21,'Nhân viên'!$A$5:$A$104,0)),""))</f>
        <v/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4">
        <f>IF(A21="","",COUNTIF(C21:AG21,"X")+COUNTIF(C21:AG21,"P")+0.5*COUNTIF(C21:AG21,"N"))</f>
        <v/>
      </c>
      <c r="AI21" s="14">
        <f>IF(A21="","",COUNTIF(C21:AG21,"P"))</f>
        <v/>
      </c>
      <c r="AJ21" s="14">
        <f>IF(A21="","",COUNTIF(C21:AG21,"O"))</f>
        <v/>
      </c>
      <c r="AK21" s="9" t="n"/>
    </row>
    <row r="22">
      <c r="A22" s="9" t="n"/>
      <c r="B22" s="14">
        <f>IF(A22="","",IFERROR(INDEX('Nhân viên'!$B$5:$B$104,MATCH(A22,'Nhân viên'!$A$5:$A$104,0)),""))</f>
        <v/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4">
        <f>IF(A22="","",COUNTIF(C22:AG22,"X")+COUNTIF(C22:AG22,"P")+0.5*COUNTIF(C22:AG22,"N"))</f>
        <v/>
      </c>
      <c r="AI22" s="14">
        <f>IF(A22="","",COUNTIF(C22:AG22,"P"))</f>
        <v/>
      </c>
      <c r="AJ22" s="14">
        <f>IF(A22="","",COUNTIF(C22:AG22,"O"))</f>
        <v/>
      </c>
      <c r="AK22" s="9" t="n"/>
    </row>
    <row r="23">
      <c r="A23" s="9" t="n"/>
      <c r="B23" s="14">
        <f>IF(A23="","",IFERROR(INDEX('Nhân viên'!$B$5:$B$104,MATCH(A23,'Nhân viên'!$A$5:$A$104,0)),""))</f>
        <v/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4">
        <f>IF(A23="","",COUNTIF(C23:AG23,"X")+COUNTIF(C23:AG23,"P")+0.5*COUNTIF(C23:AG23,"N"))</f>
        <v/>
      </c>
      <c r="AI23" s="14">
        <f>IF(A23="","",COUNTIF(C23:AG23,"P"))</f>
        <v/>
      </c>
      <c r="AJ23" s="14">
        <f>IF(A23="","",COUNTIF(C23:AG23,"O"))</f>
        <v/>
      </c>
      <c r="AK23" s="9" t="n"/>
    </row>
    <row r="24">
      <c r="A24" s="9" t="n"/>
      <c r="B24" s="14">
        <f>IF(A24="","",IFERROR(INDEX('Nhân viên'!$B$5:$B$104,MATCH(A24,'Nhân viên'!$A$5:$A$104,0)),""))</f>
        <v/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4">
        <f>IF(A24="","",COUNTIF(C24:AG24,"X")+COUNTIF(C24:AG24,"P")+0.5*COUNTIF(C24:AG24,"N"))</f>
        <v/>
      </c>
      <c r="AI24" s="14">
        <f>IF(A24="","",COUNTIF(C24:AG24,"P"))</f>
        <v/>
      </c>
      <c r="AJ24" s="14">
        <f>IF(A24="","",COUNTIF(C24:AG24,"O"))</f>
        <v/>
      </c>
      <c r="AK24" s="9" t="n"/>
    </row>
    <row r="25">
      <c r="A25" s="9" t="n"/>
      <c r="B25" s="14">
        <f>IF(A25="","",IFERROR(INDEX('Nhân viên'!$B$5:$B$104,MATCH(A25,'Nhân viên'!$A$5:$A$104,0)),""))</f>
        <v/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4">
        <f>IF(A25="","",COUNTIF(C25:AG25,"X")+COUNTIF(C25:AG25,"P")+0.5*COUNTIF(C25:AG25,"N"))</f>
        <v/>
      </c>
      <c r="AI25" s="14">
        <f>IF(A25="","",COUNTIF(C25:AG25,"P"))</f>
        <v/>
      </c>
      <c r="AJ25" s="14">
        <f>IF(A25="","",COUNTIF(C25:AG25,"O"))</f>
        <v/>
      </c>
      <c r="AK25" s="9" t="n"/>
    </row>
    <row r="26">
      <c r="A26" s="9" t="n"/>
      <c r="B26" s="14">
        <f>IF(A26="","",IFERROR(INDEX('Nhân viên'!$B$5:$B$104,MATCH(A26,'Nhân viên'!$A$5:$A$104,0)),""))</f>
        <v/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4">
        <f>IF(A26="","",COUNTIF(C26:AG26,"X")+COUNTIF(C26:AG26,"P")+0.5*COUNTIF(C26:AG26,"N"))</f>
        <v/>
      </c>
      <c r="AI26" s="14">
        <f>IF(A26="","",COUNTIF(C26:AG26,"P"))</f>
        <v/>
      </c>
      <c r="AJ26" s="14">
        <f>IF(A26="","",COUNTIF(C26:AG26,"O"))</f>
        <v/>
      </c>
      <c r="AK26" s="9" t="n"/>
    </row>
    <row r="27">
      <c r="A27" s="9" t="n"/>
      <c r="B27" s="14">
        <f>IF(A27="","",IFERROR(INDEX('Nhân viên'!$B$5:$B$104,MATCH(A27,'Nhân viên'!$A$5:$A$104,0)),""))</f>
        <v/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4">
        <f>IF(A27="","",COUNTIF(C27:AG27,"X")+COUNTIF(C27:AG27,"P")+0.5*COUNTIF(C27:AG27,"N"))</f>
        <v/>
      </c>
      <c r="AI27" s="14">
        <f>IF(A27="","",COUNTIF(C27:AG27,"P"))</f>
        <v/>
      </c>
      <c r="AJ27" s="14">
        <f>IF(A27="","",COUNTIF(C27:AG27,"O"))</f>
        <v/>
      </c>
      <c r="AK27" s="9" t="n"/>
    </row>
    <row r="28">
      <c r="A28" s="9" t="n"/>
      <c r="B28" s="14">
        <f>IF(A28="","",IFERROR(INDEX('Nhân viên'!$B$5:$B$104,MATCH(A28,'Nhân viên'!$A$5:$A$104,0)),""))</f>
        <v/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4">
        <f>IF(A28="","",COUNTIF(C28:AG28,"X")+COUNTIF(C28:AG28,"P")+0.5*COUNTIF(C28:AG28,"N"))</f>
        <v/>
      </c>
      <c r="AI28" s="14">
        <f>IF(A28="","",COUNTIF(C28:AG28,"P"))</f>
        <v/>
      </c>
      <c r="AJ28" s="14">
        <f>IF(A28="","",COUNTIF(C28:AG28,"O"))</f>
        <v/>
      </c>
      <c r="AK28" s="9" t="n"/>
    </row>
    <row r="29">
      <c r="A29" s="9" t="n"/>
      <c r="B29" s="14">
        <f>IF(A29="","",IFERROR(INDEX('Nhân viên'!$B$5:$B$104,MATCH(A29,'Nhân viên'!$A$5:$A$104,0)),""))</f>
        <v/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4">
        <f>IF(A29="","",COUNTIF(C29:AG29,"X")+COUNTIF(C29:AG29,"P")+0.5*COUNTIF(C29:AG29,"N"))</f>
        <v/>
      </c>
      <c r="AI29" s="14">
        <f>IF(A29="","",COUNTIF(C29:AG29,"P"))</f>
        <v/>
      </c>
      <c r="AJ29" s="14">
        <f>IF(A29="","",COUNTIF(C29:AG29,"O"))</f>
        <v/>
      </c>
      <c r="AK29" s="9" t="n"/>
    </row>
    <row r="30">
      <c r="A30" s="9" t="n"/>
      <c r="B30" s="14">
        <f>IF(A30="","",IFERROR(INDEX('Nhân viên'!$B$5:$B$104,MATCH(A30,'Nhân viên'!$A$5:$A$104,0)),""))</f>
        <v/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4">
        <f>IF(A30="","",COUNTIF(C30:AG30,"X")+COUNTIF(C30:AG30,"P")+0.5*COUNTIF(C30:AG30,"N"))</f>
        <v/>
      </c>
      <c r="AI30" s="14">
        <f>IF(A30="","",COUNTIF(C30:AG30,"P"))</f>
        <v/>
      </c>
      <c r="AJ30" s="14">
        <f>IF(A30="","",COUNTIF(C30:AG30,"O"))</f>
        <v/>
      </c>
      <c r="AK30" s="9" t="n"/>
    </row>
    <row r="31">
      <c r="A31" s="9" t="n"/>
      <c r="B31" s="14">
        <f>IF(A31="","",IFERROR(INDEX('Nhân viên'!$B$5:$B$104,MATCH(A31,'Nhân viên'!$A$5:$A$104,0)),""))</f>
        <v/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4">
        <f>IF(A31="","",COUNTIF(C31:AG31,"X")+COUNTIF(C31:AG31,"P")+0.5*COUNTIF(C31:AG31,"N"))</f>
        <v/>
      </c>
      <c r="AI31" s="14">
        <f>IF(A31="","",COUNTIF(C31:AG31,"P"))</f>
        <v/>
      </c>
      <c r="AJ31" s="14">
        <f>IF(A31="","",COUNTIF(C31:AG31,"O"))</f>
        <v/>
      </c>
      <c r="AK31" s="9" t="n"/>
    </row>
    <row r="32">
      <c r="A32" s="9" t="n"/>
      <c r="B32" s="14">
        <f>IF(A32="","",IFERROR(INDEX('Nhân viên'!$B$5:$B$104,MATCH(A32,'Nhân viên'!$A$5:$A$104,0)),""))</f>
        <v/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4">
        <f>IF(A32="","",COUNTIF(C32:AG32,"X")+COUNTIF(C32:AG32,"P")+0.5*COUNTIF(C32:AG32,"N"))</f>
        <v/>
      </c>
      <c r="AI32" s="14">
        <f>IF(A32="","",COUNTIF(C32:AG32,"P"))</f>
        <v/>
      </c>
      <c r="AJ32" s="14">
        <f>IF(A32="","",COUNTIF(C32:AG32,"O"))</f>
        <v/>
      </c>
      <c r="AK32" s="9" t="n"/>
    </row>
    <row r="33">
      <c r="A33" s="9" t="n"/>
      <c r="B33" s="14">
        <f>IF(A33="","",IFERROR(INDEX('Nhân viên'!$B$5:$B$104,MATCH(A33,'Nhân viên'!$A$5:$A$104,0)),""))</f>
        <v/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4">
        <f>IF(A33="","",COUNTIF(C33:AG33,"X")+COUNTIF(C33:AG33,"P")+0.5*COUNTIF(C33:AG33,"N"))</f>
        <v/>
      </c>
      <c r="AI33" s="14">
        <f>IF(A33="","",COUNTIF(C33:AG33,"P"))</f>
        <v/>
      </c>
      <c r="AJ33" s="14">
        <f>IF(A33="","",COUNTIF(C33:AG33,"O"))</f>
        <v/>
      </c>
      <c r="AK33" s="9" t="n"/>
    </row>
    <row r="34">
      <c r="A34" s="9" t="n"/>
      <c r="B34" s="14">
        <f>IF(A34="","",IFERROR(INDEX('Nhân viên'!$B$5:$B$104,MATCH(A34,'Nhân viên'!$A$5:$A$104,0)),""))</f>
        <v/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4">
        <f>IF(A34="","",COUNTIF(C34:AG34,"X")+COUNTIF(C34:AG34,"P")+0.5*COUNTIF(C34:AG34,"N"))</f>
        <v/>
      </c>
      <c r="AI34" s="14">
        <f>IF(A34="","",COUNTIF(C34:AG34,"P"))</f>
        <v/>
      </c>
      <c r="AJ34" s="14">
        <f>IF(A34="","",COUNTIF(C34:AG34,"O"))</f>
        <v/>
      </c>
      <c r="AK34" s="9" t="n"/>
    </row>
    <row r="35">
      <c r="A35" s="9" t="n"/>
      <c r="B35" s="14">
        <f>IF(A35="","",IFERROR(INDEX('Nhân viên'!$B$5:$B$104,MATCH(A35,'Nhân viên'!$A$5:$A$104,0)),""))</f>
        <v/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4">
        <f>IF(A35="","",COUNTIF(C35:AG35,"X")+COUNTIF(C35:AG35,"P")+0.5*COUNTIF(C35:AG35,"N"))</f>
        <v/>
      </c>
      <c r="AI35" s="14">
        <f>IF(A35="","",COUNTIF(C35:AG35,"P"))</f>
        <v/>
      </c>
      <c r="AJ35" s="14">
        <f>IF(A35="","",COUNTIF(C35:AG35,"O"))</f>
        <v/>
      </c>
      <c r="AK35" s="9" t="n"/>
    </row>
    <row r="36">
      <c r="A36" s="9" t="n"/>
      <c r="B36" s="14">
        <f>IF(A36="","",IFERROR(INDEX('Nhân viên'!$B$5:$B$104,MATCH(A36,'Nhân viên'!$A$5:$A$104,0)),""))</f>
        <v/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4">
        <f>IF(A36="","",COUNTIF(C36:AG36,"X")+COUNTIF(C36:AG36,"P")+0.5*COUNTIF(C36:AG36,"N"))</f>
        <v/>
      </c>
      <c r="AI36" s="14">
        <f>IF(A36="","",COUNTIF(C36:AG36,"P"))</f>
        <v/>
      </c>
      <c r="AJ36" s="14">
        <f>IF(A36="","",COUNTIF(C36:AG36,"O"))</f>
        <v/>
      </c>
      <c r="AK36" s="9" t="n"/>
    </row>
    <row r="37">
      <c r="A37" s="9" t="n"/>
      <c r="B37" s="14">
        <f>IF(A37="","",IFERROR(INDEX('Nhân viên'!$B$5:$B$104,MATCH(A37,'Nhân viên'!$A$5:$A$104,0)),""))</f>
        <v/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4">
        <f>IF(A37="","",COUNTIF(C37:AG37,"X")+COUNTIF(C37:AG37,"P")+0.5*COUNTIF(C37:AG37,"N"))</f>
        <v/>
      </c>
      <c r="AI37" s="14">
        <f>IF(A37="","",COUNTIF(C37:AG37,"P"))</f>
        <v/>
      </c>
      <c r="AJ37" s="14">
        <f>IF(A37="","",COUNTIF(C37:AG37,"O"))</f>
        <v/>
      </c>
      <c r="AK37" s="9" t="n"/>
    </row>
    <row r="38">
      <c r="A38" s="9" t="n"/>
      <c r="B38" s="14">
        <f>IF(A38="","",IFERROR(INDEX('Nhân viên'!$B$5:$B$104,MATCH(A38,'Nhân viên'!$A$5:$A$104,0)),""))</f>
        <v/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4">
        <f>IF(A38="","",COUNTIF(C38:AG38,"X")+COUNTIF(C38:AG38,"P")+0.5*COUNTIF(C38:AG38,"N"))</f>
        <v/>
      </c>
      <c r="AI38" s="14">
        <f>IF(A38="","",COUNTIF(C38:AG38,"P"))</f>
        <v/>
      </c>
      <c r="AJ38" s="14">
        <f>IF(A38="","",COUNTIF(C38:AG38,"O"))</f>
        <v/>
      </c>
      <c r="AK38" s="9" t="n"/>
    </row>
    <row r="39">
      <c r="A39" s="9" t="n"/>
      <c r="B39" s="14">
        <f>IF(A39="","",IFERROR(INDEX('Nhân viên'!$B$5:$B$104,MATCH(A39,'Nhân viên'!$A$5:$A$104,0)),""))</f>
        <v/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4">
        <f>IF(A39="","",COUNTIF(C39:AG39,"X")+COUNTIF(C39:AG39,"P")+0.5*COUNTIF(C39:AG39,"N"))</f>
        <v/>
      </c>
      <c r="AI39" s="14">
        <f>IF(A39="","",COUNTIF(C39:AG39,"P"))</f>
        <v/>
      </c>
      <c r="AJ39" s="14">
        <f>IF(A39="","",COUNTIF(C39:AG39,"O"))</f>
        <v/>
      </c>
      <c r="AK39" s="9" t="n"/>
    </row>
    <row r="40">
      <c r="A40" s="9" t="n"/>
      <c r="B40" s="14">
        <f>IF(A40="","",IFERROR(INDEX('Nhân viên'!$B$5:$B$104,MATCH(A40,'Nhân viên'!$A$5:$A$104,0)),""))</f>
        <v/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4">
        <f>IF(A40="","",COUNTIF(C40:AG40,"X")+COUNTIF(C40:AG40,"P")+0.5*COUNTIF(C40:AG40,"N"))</f>
        <v/>
      </c>
      <c r="AI40" s="14">
        <f>IF(A40="","",COUNTIF(C40:AG40,"P"))</f>
        <v/>
      </c>
      <c r="AJ40" s="14">
        <f>IF(A40="","",COUNTIF(C40:AG40,"O"))</f>
        <v/>
      </c>
      <c r="AK40" s="9" t="n"/>
    </row>
    <row r="41">
      <c r="A41" s="9" t="n"/>
      <c r="B41" s="14">
        <f>IF(A41="","",IFERROR(INDEX('Nhân viên'!$B$5:$B$104,MATCH(A41,'Nhân viên'!$A$5:$A$104,0)),""))</f>
        <v/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4">
        <f>IF(A41="","",COUNTIF(C41:AG41,"X")+COUNTIF(C41:AG41,"P")+0.5*COUNTIF(C41:AG41,"N"))</f>
        <v/>
      </c>
      <c r="AI41" s="14">
        <f>IF(A41="","",COUNTIF(C41:AG41,"P"))</f>
        <v/>
      </c>
      <c r="AJ41" s="14">
        <f>IF(A41="","",COUNTIF(C41:AG41,"O"))</f>
        <v/>
      </c>
      <c r="AK41" s="9" t="n"/>
    </row>
    <row r="42">
      <c r="A42" s="9" t="n"/>
      <c r="B42" s="14">
        <f>IF(A42="","",IFERROR(INDEX('Nhân viên'!$B$5:$B$104,MATCH(A42,'Nhân viên'!$A$5:$A$104,0)),""))</f>
        <v/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4">
        <f>IF(A42="","",COUNTIF(C42:AG42,"X")+COUNTIF(C42:AG42,"P")+0.5*COUNTIF(C42:AG42,"N"))</f>
        <v/>
      </c>
      <c r="AI42" s="14">
        <f>IF(A42="","",COUNTIF(C42:AG42,"P"))</f>
        <v/>
      </c>
      <c r="AJ42" s="14">
        <f>IF(A42="","",COUNTIF(C42:AG42,"O"))</f>
        <v/>
      </c>
      <c r="AK42" s="9" t="n"/>
    </row>
    <row r="43">
      <c r="A43" s="9" t="n"/>
      <c r="B43" s="14">
        <f>IF(A43="","",IFERROR(INDEX('Nhân viên'!$B$5:$B$104,MATCH(A43,'Nhân viên'!$A$5:$A$104,0)),""))</f>
        <v/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4">
        <f>IF(A43="","",COUNTIF(C43:AG43,"X")+COUNTIF(C43:AG43,"P")+0.5*COUNTIF(C43:AG43,"N"))</f>
        <v/>
      </c>
      <c r="AI43" s="14">
        <f>IF(A43="","",COUNTIF(C43:AG43,"P"))</f>
        <v/>
      </c>
      <c r="AJ43" s="14">
        <f>IF(A43="","",COUNTIF(C43:AG43,"O"))</f>
        <v/>
      </c>
      <c r="AK43" s="9" t="n"/>
    </row>
    <row r="44">
      <c r="A44" s="9" t="n"/>
      <c r="B44" s="14">
        <f>IF(A44="","",IFERROR(INDEX('Nhân viên'!$B$5:$B$104,MATCH(A44,'Nhân viên'!$A$5:$A$104,0)),""))</f>
        <v/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4">
        <f>IF(A44="","",COUNTIF(C44:AG44,"X")+COUNTIF(C44:AG44,"P")+0.5*COUNTIF(C44:AG44,"N"))</f>
        <v/>
      </c>
      <c r="AI44" s="14">
        <f>IF(A44="","",COUNTIF(C44:AG44,"P"))</f>
        <v/>
      </c>
      <c r="AJ44" s="14">
        <f>IF(A44="","",COUNTIF(C44:AG44,"O"))</f>
        <v/>
      </c>
      <c r="AK44" s="9" t="n"/>
    </row>
    <row r="45">
      <c r="A45" s="9" t="n"/>
      <c r="B45" s="14">
        <f>IF(A45="","",IFERROR(INDEX('Nhân viên'!$B$5:$B$104,MATCH(A45,'Nhân viên'!$A$5:$A$104,0)),""))</f>
        <v/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4">
        <f>IF(A45="","",COUNTIF(C45:AG45,"X")+COUNTIF(C45:AG45,"P")+0.5*COUNTIF(C45:AG45,"N"))</f>
        <v/>
      </c>
      <c r="AI45" s="14">
        <f>IF(A45="","",COUNTIF(C45:AG45,"P"))</f>
        <v/>
      </c>
      <c r="AJ45" s="14">
        <f>IF(A45="","",COUNTIF(C45:AG45,"O"))</f>
        <v/>
      </c>
      <c r="AK45" s="9" t="n"/>
    </row>
    <row r="46">
      <c r="A46" s="9" t="n"/>
      <c r="B46" s="14">
        <f>IF(A46="","",IFERROR(INDEX('Nhân viên'!$B$5:$B$104,MATCH(A46,'Nhân viên'!$A$5:$A$104,0)),""))</f>
        <v/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4">
        <f>IF(A46="","",COUNTIF(C46:AG46,"X")+COUNTIF(C46:AG46,"P")+0.5*COUNTIF(C46:AG46,"N"))</f>
        <v/>
      </c>
      <c r="AI46" s="14">
        <f>IF(A46="","",COUNTIF(C46:AG46,"P"))</f>
        <v/>
      </c>
      <c r="AJ46" s="14">
        <f>IF(A46="","",COUNTIF(C46:AG46,"O"))</f>
        <v/>
      </c>
      <c r="AK46" s="9" t="n"/>
    </row>
    <row r="47">
      <c r="A47" s="9" t="n"/>
      <c r="B47" s="14">
        <f>IF(A47="","",IFERROR(INDEX('Nhân viên'!$B$5:$B$104,MATCH(A47,'Nhân viên'!$A$5:$A$104,0)),""))</f>
        <v/>
      </c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4">
        <f>IF(A47="","",COUNTIF(C47:AG47,"X")+COUNTIF(C47:AG47,"P")+0.5*COUNTIF(C47:AG47,"N"))</f>
        <v/>
      </c>
      <c r="AI47" s="14">
        <f>IF(A47="","",COUNTIF(C47:AG47,"P"))</f>
        <v/>
      </c>
      <c r="AJ47" s="14">
        <f>IF(A47="","",COUNTIF(C47:AG47,"O"))</f>
        <v/>
      </c>
      <c r="AK47" s="9" t="n"/>
    </row>
    <row r="48">
      <c r="A48" s="9" t="n"/>
      <c r="B48" s="14">
        <f>IF(A48="","",IFERROR(INDEX('Nhân viên'!$B$5:$B$104,MATCH(A48,'Nhân viên'!$A$5:$A$104,0)),""))</f>
        <v/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4">
        <f>IF(A48="","",COUNTIF(C48:AG48,"X")+COUNTIF(C48:AG48,"P")+0.5*COUNTIF(C48:AG48,"N"))</f>
        <v/>
      </c>
      <c r="AI48" s="14">
        <f>IF(A48="","",COUNTIF(C48:AG48,"P"))</f>
        <v/>
      </c>
      <c r="AJ48" s="14">
        <f>IF(A48="","",COUNTIF(C48:AG48,"O"))</f>
        <v/>
      </c>
      <c r="AK48" s="9" t="n"/>
    </row>
    <row r="49">
      <c r="A49" s="9" t="n"/>
      <c r="B49" s="14">
        <f>IF(A49="","",IFERROR(INDEX('Nhân viên'!$B$5:$B$104,MATCH(A49,'Nhân viên'!$A$5:$A$104,0)),""))</f>
        <v/>
      </c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4">
        <f>IF(A49="","",COUNTIF(C49:AG49,"X")+COUNTIF(C49:AG49,"P")+0.5*COUNTIF(C49:AG49,"N"))</f>
        <v/>
      </c>
      <c r="AI49" s="14">
        <f>IF(A49="","",COUNTIF(C49:AG49,"P"))</f>
        <v/>
      </c>
      <c r="AJ49" s="14">
        <f>IF(A49="","",COUNTIF(C49:AG49,"O"))</f>
        <v/>
      </c>
      <c r="AK49" s="9" t="n"/>
    </row>
    <row r="50">
      <c r="A50" s="9" t="n"/>
      <c r="B50" s="14">
        <f>IF(A50="","",IFERROR(INDEX('Nhân viên'!$B$5:$B$104,MATCH(A50,'Nhân viên'!$A$5:$A$104,0)),""))</f>
        <v/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4">
        <f>IF(A50="","",COUNTIF(C50:AG50,"X")+COUNTIF(C50:AG50,"P")+0.5*COUNTIF(C50:AG50,"N"))</f>
        <v/>
      </c>
      <c r="AI50" s="14">
        <f>IF(A50="","",COUNTIF(C50:AG50,"P"))</f>
        <v/>
      </c>
      <c r="AJ50" s="14">
        <f>IF(A50="","",COUNTIF(C50:AG50,"O"))</f>
        <v/>
      </c>
      <c r="AK50" s="9" t="n"/>
    </row>
    <row r="51">
      <c r="A51" s="9" t="n"/>
      <c r="B51" s="14">
        <f>IF(A51="","",IFERROR(INDEX('Nhân viên'!$B$5:$B$104,MATCH(A51,'Nhân viên'!$A$5:$A$104,0)),""))</f>
        <v/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4">
        <f>IF(A51="","",COUNTIF(C51:AG51,"X")+COUNTIF(C51:AG51,"P")+0.5*COUNTIF(C51:AG51,"N"))</f>
        <v/>
      </c>
      <c r="AI51" s="14">
        <f>IF(A51="","",COUNTIF(C51:AG51,"P"))</f>
        <v/>
      </c>
      <c r="AJ51" s="14">
        <f>IF(A51="","",COUNTIF(C51:AG51,"O"))</f>
        <v/>
      </c>
      <c r="AK51" s="9" t="n"/>
    </row>
    <row r="52">
      <c r="A52" s="9" t="n"/>
      <c r="B52" s="14">
        <f>IF(A52="","",IFERROR(INDEX('Nhân viên'!$B$5:$B$104,MATCH(A52,'Nhân viên'!$A$5:$A$104,0)),""))</f>
        <v/>
      </c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4">
        <f>IF(A52="","",COUNTIF(C52:AG52,"X")+COUNTIF(C52:AG52,"P")+0.5*COUNTIF(C52:AG52,"N"))</f>
        <v/>
      </c>
      <c r="AI52" s="14">
        <f>IF(A52="","",COUNTIF(C52:AG52,"P"))</f>
        <v/>
      </c>
      <c r="AJ52" s="14">
        <f>IF(A52="","",COUNTIF(C52:AG52,"O"))</f>
        <v/>
      </c>
      <c r="AK52" s="9" t="n"/>
    </row>
    <row r="53">
      <c r="A53" s="9" t="n"/>
      <c r="B53" s="14">
        <f>IF(A53="","",IFERROR(INDEX('Nhân viên'!$B$5:$B$104,MATCH(A53,'Nhân viên'!$A$5:$A$104,0)),""))</f>
        <v/>
      </c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4">
        <f>IF(A53="","",COUNTIF(C53:AG53,"X")+COUNTIF(C53:AG53,"P")+0.5*COUNTIF(C53:AG53,"N"))</f>
        <v/>
      </c>
      <c r="AI53" s="14">
        <f>IF(A53="","",COUNTIF(C53:AG53,"P"))</f>
        <v/>
      </c>
      <c r="AJ53" s="14">
        <f>IF(A53="","",COUNTIF(C53:AG53,"O"))</f>
        <v/>
      </c>
      <c r="AK53" s="9" t="n"/>
    </row>
    <row r="54">
      <c r="A54" s="9" t="n"/>
      <c r="B54" s="14">
        <f>IF(A54="","",IFERROR(INDEX('Nhân viên'!$B$5:$B$104,MATCH(A54,'Nhân viên'!$A$5:$A$104,0)),""))</f>
        <v/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4">
        <f>IF(A54="","",COUNTIF(C54:AG54,"X")+COUNTIF(C54:AG54,"P")+0.5*COUNTIF(C54:AG54,"N"))</f>
        <v/>
      </c>
      <c r="AI54" s="14">
        <f>IF(A54="","",COUNTIF(C54:AG54,"P"))</f>
        <v/>
      </c>
      <c r="AJ54" s="14">
        <f>IF(A54="","",COUNTIF(C54:AG54,"O"))</f>
        <v/>
      </c>
      <c r="AK54" s="9" t="n"/>
    </row>
    <row r="55">
      <c r="A55" s="9" t="n"/>
      <c r="B55" s="14">
        <f>IF(A55="","",IFERROR(INDEX('Nhân viên'!$B$5:$B$104,MATCH(A55,'Nhân viên'!$A$5:$A$104,0)),""))</f>
        <v/>
      </c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4">
        <f>IF(A55="","",COUNTIF(C55:AG55,"X")+COUNTIF(C55:AG55,"P")+0.5*COUNTIF(C55:AG55,"N"))</f>
        <v/>
      </c>
      <c r="AI55" s="14">
        <f>IF(A55="","",COUNTIF(C55:AG55,"P"))</f>
        <v/>
      </c>
      <c r="AJ55" s="14">
        <f>IF(A55="","",COUNTIF(C55:AG55,"O"))</f>
        <v/>
      </c>
      <c r="AK55" s="9" t="n"/>
    </row>
    <row r="56">
      <c r="A56" s="9" t="n"/>
      <c r="B56" s="14">
        <f>IF(A56="","",IFERROR(INDEX('Nhân viên'!$B$5:$B$104,MATCH(A56,'Nhân viên'!$A$5:$A$104,0)),""))</f>
        <v/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4">
        <f>IF(A56="","",COUNTIF(C56:AG56,"X")+COUNTIF(C56:AG56,"P")+0.5*COUNTIF(C56:AG56,"N"))</f>
        <v/>
      </c>
      <c r="AI56" s="14">
        <f>IF(A56="","",COUNTIF(C56:AG56,"P"))</f>
        <v/>
      </c>
      <c r="AJ56" s="14">
        <f>IF(A56="","",COUNTIF(C56:AG56,"O"))</f>
        <v/>
      </c>
      <c r="AK56" s="9" t="n"/>
    </row>
    <row r="57">
      <c r="A57" s="9" t="n"/>
      <c r="B57" s="14">
        <f>IF(A57="","",IFERROR(INDEX('Nhân viên'!$B$5:$B$104,MATCH(A57,'Nhân viên'!$A$5:$A$104,0)),""))</f>
        <v/>
      </c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4">
        <f>IF(A57="","",COUNTIF(C57:AG57,"X")+COUNTIF(C57:AG57,"P")+0.5*COUNTIF(C57:AG57,"N"))</f>
        <v/>
      </c>
      <c r="AI57" s="14">
        <f>IF(A57="","",COUNTIF(C57:AG57,"P"))</f>
        <v/>
      </c>
      <c r="AJ57" s="14">
        <f>IF(A57="","",COUNTIF(C57:AG57,"O"))</f>
        <v/>
      </c>
      <c r="AK57" s="9" t="n"/>
    </row>
    <row r="58">
      <c r="A58" s="9" t="n"/>
      <c r="B58" s="14">
        <f>IF(A58="","",IFERROR(INDEX('Nhân viên'!$B$5:$B$104,MATCH(A58,'Nhân viên'!$A$5:$A$104,0)),""))</f>
        <v/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4">
        <f>IF(A58="","",COUNTIF(C58:AG58,"X")+COUNTIF(C58:AG58,"P")+0.5*COUNTIF(C58:AG58,"N"))</f>
        <v/>
      </c>
      <c r="AI58" s="14">
        <f>IF(A58="","",COUNTIF(C58:AG58,"P"))</f>
        <v/>
      </c>
      <c r="AJ58" s="14">
        <f>IF(A58="","",COUNTIF(C58:AG58,"O"))</f>
        <v/>
      </c>
      <c r="AK58" s="9" t="n"/>
    </row>
    <row r="59">
      <c r="A59" s="9" t="n"/>
      <c r="B59" s="14">
        <f>IF(A59="","",IFERROR(INDEX('Nhân viên'!$B$5:$B$104,MATCH(A59,'Nhân viên'!$A$5:$A$104,0)),""))</f>
        <v/>
      </c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4">
        <f>IF(A59="","",COUNTIF(C59:AG59,"X")+COUNTIF(C59:AG59,"P")+0.5*COUNTIF(C59:AG59,"N"))</f>
        <v/>
      </c>
      <c r="AI59" s="14">
        <f>IF(A59="","",COUNTIF(C59:AG59,"P"))</f>
        <v/>
      </c>
      <c r="AJ59" s="14">
        <f>IF(A59="","",COUNTIF(C59:AG59,"O"))</f>
        <v/>
      </c>
      <c r="AK59" s="9" t="n"/>
    </row>
    <row r="60">
      <c r="A60" s="9" t="n"/>
      <c r="B60" s="14">
        <f>IF(A60="","",IFERROR(INDEX('Nhân viên'!$B$5:$B$104,MATCH(A60,'Nhân viên'!$A$5:$A$104,0)),""))</f>
        <v/>
      </c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4">
        <f>IF(A60="","",COUNTIF(C60:AG60,"X")+COUNTIF(C60:AG60,"P")+0.5*COUNTIF(C60:AG60,"N"))</f>
        <v/>
      </c>
      <c r="AI60" s="14">
        <f>IF(A60="","",COUNTIF(C60:AG60,"P"))</f>
        <v/>
      </c>
      <c r="AJ60" s="14">
        <f>IF(A60="","",COUNTIF(C60:AG60,"O"))</f>
        <v/>
      </c>
      <c r="AK60" s="9" t="n"/>
    </row>
    <row r="61">
      <c r="A61" s="9" t="n"/>
      <c r="B61" s="14">
        <f>IF(A61="","",IFERROR(INDEX('Nhân viên'!$B$5:$B$104,MATCH(A61,'Nhân viên'!$A$5:$A$104,0)),""))</f>
        <v/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4">
        <f>IF(A61="","",COUNTIF(C61:AG61,"X")+COUNTIF(C61:AG61,"P")+0.5*COUNTIF(C61:AG61,"N"))</f>
        <v/>
      </c>
      <c r="AI61" s="14">
        <f>IF(A61="","",COUNTIF(C61:AG61,"P"))</f>
        <v/>
      </c>
      <c r="AJ61" s="14">
        <f>IF(A61="","",COUNTIF(C61:AG61,"O"))</f>
        <v/>
      </c>
      <c r="AK61" s="9" t="n"/>
    </row>
    <row r="62">
      <c r="A62" s="9" t="n"/>
      <c r="B62" s="14">
        <f>IF(A62="","",IFERROR(INDEX('Nhân viên'!$B$5:$B$104,MATCH(A62,'Nhân viên'!$A$5:$A$104,0)),""))</f>
        <v/>
      </c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4">
        <f>IF(A62="","",COUNTIF(C62:AG62,"X")+COUNTIF(C62:AG62,"P")+0.5*COUNTIF(C62:AG62,"N"))</f>
        <v/>
      </c>
      <c r="AI62" s="14">
        <f>IF(A62="","",COUNTIF(C62:AG62,"P"))</f>
        <v/>
      </c>
      <c r="AJ62" s="14">
        <f>IF(A62="","",COUNTIF(C62:AG62,"O"))</f>
        <v/>
      </c>
      <c r="AK62" s="9" t="n"/>
    </row>
    <row r="63">
      <c r="A63" s="9" t="n"/>
      <c r="B63" s="14">
        <f>IF(A63="","",IFERROR(INDEX('Nhân viên'!$B$5:$B$104,MATCH(A63,'Nhân viên'!$A$5:$A$104,0)),""))</f>
        <v/>
      </c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4">
        <f>IF(A63="","",COUNTIF(C63:AG63,"X")+COUNTIF(C63:AG63,"P")+0.5*COUNTIF(C63:AG63,"N"))</f>
        <v/>
      </c>
      <c r="AI63" s="14">
        <f>IF(A63="","",COUNTIF(C63:AG63,"P"))</f>
        <v/>
      </c>
      <c r="AJ63" s="14">
        <f>IF(A63="","",COUNTIF(C63:AG63,"O"))</f>
        <v/>
      </c>
      <c r="AK63" s="9" t="n"/>
    </row>
    <row r="64">
      <c r="A64" s="9" t="n"/>
      <c r="B64" s="14">
        <f>IF(A64="","",IFERROR(INDEX('Nhân viên'!$B$5:$B$104,MATCH(A64,'Nhân viên'!$A$5:$A$104,0)),""))</f>
        <v/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4">
        <f>IF(A64="","",COUNTIF(C64:AG64,"X")+COUNTIF(C64:AG64,"P")+0.5*COUNTIF(C64:AG64,"N"))</f>
        <v/>
      </c>
      <c r="AI64" s="14">
        <f>IF(A64="","",COUNTIF(C64:AG64,"P"))</f>
        <v/>
      </c>
      <c r="AJ64" s="14">
        <f>IF(A64="","",COUNTIF(C64:AG64,"O"))</f>
        <v/>
      </c>
      <c r="AK64" s="9" t="n"/>
    </row>
    <row r="65">
      <c r="A65" s="9" t="n"/>
      <c r="B65" s="14">
        <f>IF(A65="","",IFERROR(INDEX('Nhân viên'!$B$5:$B$104,MATCH(A65,'Nhân viên'!$A$5:$A$104,0)),""))</f>
        <v/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4">
        <f>IF(A65="","",COUNTIF(C65:AG65,"X")+COUNTIF(C65:AG65,"P")+0.5*COUNTIF(C65:AG65,"N"))</f>
        <v/>
      </c>
      <c r="AI65" s="14">
        <f>IF(A65="","",COUNTIF(C65:AG65,"P"))</f>
        <v/>
      </c>
      <c r="AJ65" s="14">
        <f>IF(A65="","",COUNTIF(C65:AG65,"O"))</f>
        <v/>
      </c>
      <c r="AK65" s="9" t="n"/>
    </row>
    <row r="66">
      <c r="A66" s="9" t="n"/>
      <c r="B66" s="14">
        <f>IF(A66="","",IFERROR(INDEX('Nhân viên'!$B$5:$B$104,MATCH(A66,'Nhân viên'!$A$5:$A$104,0)),""))</f>
        <v/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4">
        <f>IF(A66="","",COUNTIF(C66:AG66,"X")+COUNTIF(C66:AG66,"P")+0.5*COUNTIF(C66:AG66,"N"))</f>
        <v/>
      </c>
      <c r="AI66" s="14">
        <f>IF(A66="","",COUNTIF(C66:AG66,"P"))</f>
        <v/>
      </c>
      <c r="AJ66" s="14">
        <f>IF(A66="","",COUNTIF(C66:AG66,"O"))</f>
        <v/>
      </c>
      <c r="AK66" s="9" t="n"/>
    </row>
    <row r="67">
      <c r="A67" s="9" t="n"/>
      <c r="B67" s="14">
        <f>IF(A67="","",IFERROR(INDEX('Nhân viên'!$B$5:$B$104,MATCH(A67,'Nhân viên'!$A$5:$A$104,0)),""))</f>
        <v/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4">
        <f>IF(A67="","",COUNTIF(C67:AG67,"X")+COUNTIF(C67:AG67,"P")+0.5*COUNTIF(C67:AG67,"N"))</f>
        <v/>
      </c>
      <c r="AI67" s="14">
        <f>IF(A67="","",COUNTIF(C67:AG67,"P"))</f>
        <v/>
      </c>
      <c r="AJ67" s="14">
        <f>IF(A67="","",COUNTIF(C67:AG67,"O"))</f>
        <v/>
      </c>
      <c r="AK67" s="9" t="n"/>
    </row>
    <row r="68">
      <c r="A68" s="9" t="n"/>
      <c r="B68" s="14">
        <f>IF(A68="","",IFERROR(INDEX('Nhân viên'!$B$5:$B$104,MATCH(A68,'Nhân viên'!$A$5:$A$104,0)),""))</f>
        <v/>
      </c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4">
        <f>IF(A68="","",COUNTIF(C68:AG68,"X")+COUNTIF(C68:AG68,"P")+0.5*COUNTIF(C68:AG68,"N"))</f>
        <v/>
      </c>
      <c r="AI68" s="14">
        <f>IF(A68="","",COUNTIF(C68:AG68,"P"))</f>
        <v/>
      </c>
      <c r="AJ68" s="14">
        <f>IF(A68="","",COUNTIF(C68:AG68,"O"))</f>
        <v/>
      </c>
      <c r="AK68" s="9" t="n"/>
    </row>
    <row r="69">
      <c r="A69" s="9" t="n"/>
      <c r="B69" s="14">
        <f>IF(A69="","",IFERROR(INDEX('Nhân viên'!$B$5:$B$104,MATCH(A69,'Nhân viên'!$A$5:$A$104,0)),""))</f>
        <v/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4">
        <f>IF(A69="","",COUNTIF(C69:AG69,"X")+COUNTIF(C69:AG69,"P")+0.5*COUNTIF(C69:AG69,"N"))</f>
        <v/>
      </c>
      <c r="AI69" s="14">
        <f>IF(A69="","",COUNTIF(C69:AG69,"P"))</f>
        <v/>
      </c>
      <c r="AJ69" s="14">
        <f>IF(A69="","",COUNTIF(C69:AG69,"O"))</f>
        <v/>
      </c>
      <c r="AK69" s="9" t="n"/>
    </row>
    <row r="70">
      <c r="A70" s="9" t="n"/>
      <c r="B70" s="14">
        <f>IF(A70="","",IFERROR(INDEX('Nhân viên'!$B$5:$B$104,MATCH(A70,'Nhân viên'!$A$5:$A$104,0)),""))</f>
        <v/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4">
        <f>IF(A70="","",COUNTIF(C70:AG70,"X")+COUNTIF(C70:AG70,"P")+0.5*COUNTIF(C70:AG70,"N"))</f>
        <v/>
      </c>
      <c r="AI70" s="14">
        <f>IF(A70="","",COUNTIF(C70:AG70,"P"))</f>
        <v/>
      </c>
      <c r="AJ70" s="14">
        <f>IF(A70="","",COUNTIF(C70:AG70,"O"))</f>
        <v/>
      </c>
      <c r="AK70" s="9" t="n"/>
    </row>
    <row r="71">
      <c r="A71" s="9" t="n"/>
      <c r="B71" s="14">
        <f>IF(A71="","",IFERROR(INDEX('Nhân viên'!$B$5:$B$104,MATCH(A71,'Nhân viên'!$A$5:$A$104,0)),""))</f>
        <v/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4">
        <f>IF(A71="","",COUNTIF(C71:AG71,"X")+COUNTIF(C71:AG71,"P")+0.5*COUNTIF(C71:AG71,"N"))</f>
        <v/>
      </c>
      <c r="AI71" s="14">
        <f>IF(A71="","",COUNTIF(C71:AG71,"P"))</f>
        <v/>
      </c>
      <c r="AJ71" s="14">
        <f>IF(A71="","",COUNTIF(C71:AG71,"O"))</f>
        <v/>
      </c>
      <c r="AK71" s="9" t="n"/>
    </row>
    <row r="72">
      <c r="A72" s="9" t="n"/>
      <c r="B72" s="14">
        <f>IF(A72="","",IFERROR(INDEX('Nhân viên'!$B$5:$B$104,MATCH(A72,'Nhân viên'!$A$5:$A$104,0)),""))</f>
        <v/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4">
        <f>IF(A72="","",COUNTIF(C72:AG72,"X")+COUNTIF(C72:AG72,"P")+0.5*COUNTIF(C72:AG72,"N"))</f>
        <v/>
      </c>
      <c r="AI72" s="14">
        <f>IF(A72="","",COUNTIF(C72:AG72,"P"))</f>
        <v/>
      </c>
      <c r="AJ72" s="14">
        <f>IF(A72="","",COUNTIF(C72:AG72,"O"))</f>
        <v/>
      </c>
      <c r="AK72" s="9" t="n"/>
    </row>
    <row r="73">
      <c r="A73" s="9" t="n"/>
      <c r="B73" s="14">
        <f>IF(A73="","",IFERROR(INDEX('Nhân viên'!$B$5:$B$104,MATCH(A73,'Nhân viên'!$A$5:$A$104,0)),""))</f>
        <v/>
      </c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4">
        <f>IF(A73="","",COUNTIF(C73:AG73,"X")+COUNTIF(C73:AG73,"P")+0.5*COUNTIF(C73:AG73,"N"))</f>
        <v/>
      </c>
      <c r="AI73" s="14">
        <f>IF(A73="","",COUNTIF(C73:AG73,"P"))</f>
        <v/>
      </c>
      <c r="AJ73" s="14">
        <f>IF(A73="","",COUNTIF(C73:AG73,"O"))</f>
        <v/>
      </c>
      <c r="AK73" s="9" t="n"/>
    </row>
    <row r="74">
      <c r="A74" s="9" t="n"/>
      <c r="B74" s="14">
        <f>IF(A74="","",IFERROR(INDEX('Nhân viên'!$B$5:$B$104,MATCH(A74,'Nhân viên'!$A$5:$A$104,0)),""))</f>
        <v/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4">
        <f>IF(A74="","",COUNTIF(C74:AG74,"X")+COUNTIF(C74:AG74,"P")+0.5*COUNTIF(C74:AG74,"N"))</f>
        <v/>
      </c>
      <c r="AI74" s="14">
        <f>IF(A74="","",COUNTIF(C74:AG74,"P"))</f>
        <v/>
      </c>
      <c r="AJ74" s="14">
        <f>IF(A74="","",COUNTIF(C74:AG74,"O"))</f>
        <v/>
      </c>
      <c r="AK74" s="9" t="n"/>
    </row>
    <row r="75">
      <c r="A75" s="9" t="n"/>
      <c r="B75" s="14">
        <f>IF(A75="","",IFERROR(INDEX('Nhân viên'!$B$5:$B$104,MATCH(A75,'Nhân viên'!$A$5:$A$104,0)),""))</f>
        <v/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4">
        <f>IF(A75="","",COUNTIF(C75:AG75,"X")+COUNTIF(C75:AG75,"P")+0.5*COUNTIF(C75:AG75,"N"))</f>
        <v/>
      </c>
      <c r="AI75" s="14">
        <f>IF(A75="","",COUNTIF(C75:AG75,"P"))</f>
        <v/>
      </c>
      <c r="AJ75" s="14">
        <f>IF(A75="","",COUNTIF(C75:AG75,"O"))</f>
        <v/>
      </c>
      <c r="AK75" s="9" t="n"/>
    </row>
    <row r="76">
      <c r="A76" s="9" t="n"/>
      <c r="B76" s="14">
        <f>IF(A76="","",IFERROR(INDEX('Nhân viên'!$B$5:$B$104,MATCH(A76,'Nhân viên'!$A$5:$A$104,0)),""))</f>
        <v/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4">
        <f>IF(A76="","",COUNTIF(C76:AG76,"X")+COUNTIF(C76:AG76,"P")+0.5*COUNTIF(C76:AG76,"N"))</f>
        <v/>
      </c>
      <c r="AI76" s="14">
        <f>IF(A76="","",COUNTIF(C76:AG76,"P"))</f>
        <v/>
      </c>
      <c r="AJ76" s="14">
        <f>IF(A76="","",COUNTIF(C76:AG76,"O"))</f>
        <v/>
      </c>
      <c r="AK76" s="9" t="n"/>
    </row>
    <row r="77">
      <c r="A77" s="9" t="n"/>
      <c r="B77" s="14">
        <f>IF(A77="","",IFERROR(INDEX('Nhân viên'!$B$5:$B$104,MATCH(A77,'Nhân viên'!$A$5:$A$104,0)),""))</f>
        <v/>
      </c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4">
        <f>IF(A77="","",COUNTIF(C77:AG77,"X")+COUNTIF(C77:AG77,"P")+0.5*COUNTIF(C77:AG77,"N"))</f>
        <v/>
      </c>
      <c r="AI77" s="14">
        <f>IF(A77="","",COUNTIF(C77:AG77,"P"))</f>
        <v/>
      </c>
      <c r="AJ77" s="14">
        <f>IF(A77="","",COUNTIF(C77:AG77,"O"))</f>
        <v/>
      </c>
      <c r="AK77" s="9" t="n"/>
    </row>
    <row r="78">
      <c r="A78" s="9" t="n"/>
      <c r="B78" s="14">
        <f>IF(A78="","",IFERROR(INDEX('Nhân viên'!$B$5:$B$104,MATCH(A78,'Nhân viên'!$A$5:$A$104,0)),""))</f>
        <v/>
      </c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4">
        <f>IF(A78="","",COUNTIF(C78:AG78,"X")+COUNTIF(C78:AG78,"P")+0.5*COUNTIF(C78:AG78,"N"))</f>
        <v/>
      </c>
      <c r="AI78" s="14">
        <f>IF(A78="","",COUNTIF(C78:AG78,"P"))</f>
        <v/>
      </c>
      <c r="AJ78" s="14">
        <f>IF(A78="","",COUNTIF(C78:AG78,"O"))</f>
        <v/>
      </c>
      <c r="AK78" s="9" t="n"/>
    </row>
    <row r="79">
      <c r="A79" s="9" t="n"/>
      <c r="B79" s="14">
        <f>IF(A79="","",IFERROR(INDEX('Nhân viên'!$B$5:$B$104,MATCH(A79,'Nhân viên'!$A$5:$A$104,0)),""))</f>
        <v/>
      </c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4">
        <f>IF(A79="","",COUNTIF(C79:AG79,"X")+COUNTIF(C79:AG79,"P")+0.5*COUNTIF(C79:AG79,"N"))</f>
        <v/>
      </c>
      <c r="AI79" s="14">
        <f>IF(A79="","",COUNTIF(C79:AG79,"P"))</f>
        <v/>
      </c>
      <c r="AJ79" s="14">
        <f>IF(A79="","",COUNTIF(C79:AG79,"O"))</f>
        <v/>
      </c>
      <c r="AK79" s="9" t="n"/>
    </row>
    <row r="80">
      <c r="A80" s="9" t="n"/>
      <c r="B80" s="14">
        <f>IF(A80="","",IFERROR(INDEX('Nhân viên'!$B$5:$B$104,MATCH(A80,'Nhân viên'!$A$5:$A$104,0)),""))</f>
        <v/>
      </c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4">
        <f>IF(A80="","",COUNTIF(C80:AG80,"X")+COUNTIF(C80:AG80,"P")+0.5*COUNTIF(C80:AG80,"N"))</f>
        <v/>
      </c>
      <c r="AI80" s="14">
        <f>IF(A80="","",COUNTIF(C80:AG80,"P"))</f>
        <v/>
      </c>
      <c r="AJ80" s="14">
        <f>IF(A80="","",COUNTIF(C80:AG80,"O"))</f>
        <v/>
      </c>
      <c r="AK80" s="9" t="n"/>
    </row>
    <row r="81">
      <c r="A81" s="9" t="n"/>
      <c r="B81" s="14">
        <f>IF(A81="","",IFERROR(INDEX('Nhân viên'!$B$5:$B$104,MATCH(A81,'Nhân viên'!$A$5:$A$104,0)),""))</f>
        <v/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4">
        <f>IF(A81="","",COUNTIF(C81:AG81,"X")+COUNTIF(C81:AG81,"P")+0.5*COUNTIF(C81:AG81,"N"))</f>
        <v/>
      </c>
      <c r="AI81" s="14">
        <f>IF(A81="","",COUNTIF(C81:AG81,"P"))</f>
        <v/>
      </c>
      <c r="AJ81" s="14">
        <f>IF(A81="","",COUNTIF(C81:AG81,"O"))</f>
        <v/>
      </c>
      <c r="AK81" s="9" t="n"/>
    </row>
    <row r="82">
      <c r="A82" s="9" t="n"/>
      <c r="B82" s="14">
        <f>IF(A82="","",IFERROR(INDEX('Nhân viên'!$B$5:$B$104,MATCH(A82,'Nhân viên'!$A$5:$A$104,0)),""))</f>
        <v/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4">
        <f>IF(A82="","",COUNTIF(C82:AG82,"X")+COUNTIF(C82:AG82,"P")+0.5*COUNTIF(C82:AG82,"N"))</f>
        <v/>
      </c>
      <c r="AI82" s="14">
        <f>IF(A82="","",COUNTIF(C82:AG82,"P"))</f>
        <v/>
      </c>
      <c r="AJ82" s="14">
        <f>IF(A82="","",COUNTIF(C82:AG82,"O"))</f>
        <v/>
      </c>
      <c r="AK82" s="9" t="n"/>
    </row>
    <row r="83">
      <c r="A83" s="9" t="n"/>
      <c r="B83" s="14">
        <f>IF(A83="","",IFERROR(INDEX('Nhân viên'!$B$5:$B$104,MATCH(A83,'Nhân viên'!$A$5:$A$104,0)),""))</f>
        <v/>
      </c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4">
        <f>IF(A83="","",COUNTIF(C83:AG83,"X")+COUNTIF(C83:AG83,"P")+0.5*COUNTIF(C83:AG83,"N"))</f>
        <v/>
      </c>
      <c r="AI83" s="14">
        <f>IF(A83="","",COUNTIF(C83:AG83,"P"))</f>
        <v/>
      </c>
      <c r="AJ83" s="14">
        <f>IF(A83="","",COUNTIF(C83:AG83,"O"))</f>
        <v/>
      </c>
      <c r="AK83" s="9" t="n"/>
    </row>
    <row r="84">
      <c r="A84" s="9" t="n"/>
      <c r="B84" s="14">
        <f>IF(A84="","",IFERROR(INDEX('Nhân viên'!$B$5:$B$104,MATCH(A84,'Nhân viên'!$A$5:$A$104,0)),""))</f>
        <v/>
      </c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4">
        <f>IF(A84="","",COUNTIF(C84:AG84,"X")+COUNTIF(C84:AG84,"P")+0.5*COUNTIF(C84:AG84,"N"))</f>
        <v/>
      </c>
      <c r="AI84" s="14">
        <f>IF(A84="","",COUNTIF(C84:AG84,"P"))</f>
        <v/>
      </c>
      <c r="AJ84" s="14">
        <f>IF(A84="","",COUNTIF(C84:AG84,"O"))</f>
        <v/>
      </c>
      <c r="AK84" s="9" t="n"/>
    </row>
    <row r="85">
      <c r="A85" s="9" t="n"/>
      <c r="B85" s="14">
        <f>IF(A85="","",IFERROR(INDEX('Nhân viên'!$B$5:$B$104,MATCH(A85,'Nhân viên'!$A$5:$A$104,0)),""))</f>
        <v/>
      </c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4">
        <f>IF(A85="","",COUNTIF(C85:AG85,"X")+COUNTIF(C85:AG85,"P")+0.5*COUNTIF(C85:AG85,"N"))</f>
        <v/>
      </c>
      <c r="AI85" s="14">
        <f>IF(A85="","",COUNTIF(C85:AG85,"P"))</f>
        <v/>
      </c>
      <c r="AJ85" s="14">
        <f>IF(A85="","",COUNTIF(C85:AG85,"O"))</f>
        <v/>
      </c>
      <c r="AK85" s="9" t="n"/>
    </row>
    <row r="86">
      <c r="A86" s="9" t="n"/>
      <c r="B86" s="14">
        <f>IF(A86="","",IFERROR(INDEX('Nhân viên'!$B$5:$B$104,MATCH(A86,'Nhân viên'!$A$5:$A$104,0)),""))</f>
        <v/>
      </c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4">
        <f>IF(A86="","",COUNTIF(C86:AG86,"X")+COUNTIF(C86:AG86,"P")+0.5*COUNTIF(C86:AG86,"N"))</f>
        <v/>
      </c>
      <c r="AI86" s="14">
        <f>IF(A86="","",COUNTIF(C86:AG86,"P"))</f>
        <v/>
      </c>
      <c r="AJ86" s="14">
        <f>IF(A86="","",COUNTIF(C86:AG86,"O"))</f>
        <v/>
      </c>
      <c r="AK86" s="9" t="n"/>
    </row>
    <row r="87">
      <c r="A87" s="9" t="n"/>
      <c r="B87" s="14">
        <f>IF(A87="","",IFERROR(INDEX('Nhân viên'!$B$5:$B$104,MATCH(A87,'Nhân viên'!$A$5:$A$104,0)),""))</f>
        <v/>
      </c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4">
        <f>IF(A87="","",COUNTIF(C87:AG87,"X")+COUNTIF(C87:AG87,"P")+0.5*COUNTIF(C87:AG87,"N"))</f>
        <v/>
      </c>
      <c r="AI87" s="14">
        <f>IF(A87="","",COUNTIF(C87:AG87,"P"))</f>
        <v/>
      </c>
      <c r="AJ87" s="14">
        <f>IF(A87="","",COUNTIF(C87:AG87,"O"))</f>
        <v/>
      </c>
      <c r="AK87" s="9" t="n"/>
    </row>
    <row r="88">
      <c r="A88" s="9" t="n"/>
      <c r="B88" s="14">
        <f>IF(A88="","",IFERROR(INDEX('Nhân viên'!$B$5:$B$104,MATCH(A88,'Nhân viên'!$A$5:$A$104,0)),""))</f>
        <v/>
      </c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4">
        <f>IF(A88="","",COUNTIF(C88:AG88,"X")+COUNTIF(C88:AG88,"P")+0.5*COUNTIF(C88:AG88,"N"))</f>
        <v/>
      </c>
      <c r="AI88" s="14">
        <f>IF(A88="","",COUNTIF(C88:AG88,"P"))</f>
        <v/>
      </c>
      <c r="AJ88" s="14">
        <f>IF(A88="","",COUNTIF(C88:AG88,"O"))</f>
        <v/>
      </c>
      <c r="AK88" s="9" t="n"/>
    </row>
    <row r="89">
      <c r="A89" s="9" t="n"/>
      <c r="B89" s="14">
        <f>IF(A89="","",IFERROR(INDEX('Nhân viên'!$B$5:$B$104,MATCH(A89,'Nhân viên'!$A$5:$A$104,0)),""))</f>
        <v/>
      </c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4">
        <f>IF(A89="","",COUNTIF(C89:AG89,"X")+COUNTIF(C89:AG89,"P")+0.5*COUNTIF(C89:AG89,"N"))</f>
        <v/>
      </c>
      <c r="AI89" s="14">
        <f>IF(A89="","",COUNTIF(C89:AG89,"P"))</f>
        <v/>
      </c>
      <c r="AJ89" s="14">
        <f>IF(A89="","",COUNTIF(C89:AG89,"O"))</f>
        <v/>
      </c>
      <c r="AK89" s="9" t="n"/>
    </row>
    <row r="90">
      <c r="A90" s="9" t="n"/>
      <c r="B90" s="14">
        <f>IF(A90="","",IFERROR(INDEX('Nhân viên'!$B$5:$B$104,MATCH(A90,'Nhân viên'!$A$5:$A$104,0)),""))</f>
        <v/>
      </c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4">
        <f>IF(A90="","",COUNTIF(C90:AG90,"X")+COUNTIF(C90:AG90,"P")+0.5*COUNTIF(C90:AG90,"N"))</f>
        <v/>
      </c>
      <c r="AI90" s="14">
        <f>IF(A90="","",COUNTIF(C90:AG90,"P"))</f>
        <v/>
      </c>
      <c r="AJ90" s="14">
        <f>IF(A90="","",COUNTIF(C90:AG90,"O"))</f>
        <v/>
      </c>
      <c r="AK90" s="9" t="n"/>
    </row>
    <row r="91">
      <c r="A91" s="9" t="n"/>
      <c r="B91" s="14">
        <f>IF(A91="","",IFERROR(INDEX('Nhân viên'!$B$5:$B$104,MATCH(A91,'Nhân viên'!$A$5:$A$104,0)),""))</f>
        <v/>
      </c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4">
        <f>IF(A91="","",COUNTIF(C91:AG91,"X")+COUNTIF(C91:AG91,"P")+0.5*COUNTIF(C91:AG91,"N"))</f>
        <v/>
      </c>
      <c r="AI91" s="14">
        <f>IF(A91="","",COUNTIF(C91:AG91,"P"))</f>
        <v/>
      </c>
      <c r="AJ91" s="14">
        <f>IF(A91="","",COUNTIF(C91:AG91,"O"))</f>
        <v/>
      </c>
      <c r="AK91" s="9" t="n"/>
    </row>
    <row r="92">
      <c r="A92" s="9" t="n"/>
      <c r="B92" s="14">
        <f>IF(A92="","",IFERROR(INDEX('Nhân viên'!$B$5:$B$104,MATCH(A92,'Nhân viên'!$A$5:$A$104,0)),""))</f>
        <v/>
      </c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4">
        <f>IF(A92="","",COUNTIF(C92:AG92,"X")+COUNTIF(C92:AG92,"P")+0.5*COUNTIF(C92:AG92,"N"))</f>
        <v/>
      </c>
      <c r="AI92" s="14">
        <f>IF(A92="","",COUNTIF(C92:AG92,"P"))</f>
        <v/>
      </c>
      <c r="AJ92" s="14">
        <f>IF(A92="","",COUNTIF(C92:AG92,"O"))</f>
        <v/>
      </c>
      <c r="AK92" s="9" t="n"/>
    </row>
    <row r="93">
      <c r="A93" s="9" t="n"/>
      <c r="B93" s="14">
        <f>IF(A93="","",IFERROR(INDEX('Nhân viên'!$B$5:$B$104,MATCH(A93,'Nhân viên'!$A$5:$A$104,0)),""))</f>
        <v/>
      </c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4">
        <f>IF(A93="","",COUNTIF(C93:AG93,"X")+COUNTIF(C93:AG93,"P")+0.5*COUNTIF(C93:AG93,"N"))</f>
        <v/>
      </c>
      <c r="AI93" s="14">
        <f>IF(A93="","",COUNTIF(C93:AG93,"P"))</f>
        <v/>
      </c>
      <c r="AJ93" s="14">
        <f>IF(A93="","",COUNTIF(C93:AG93,"O"))</f>
        <v/>
      </c>
      <c r="AK93" s="9" t="n"/>
    </row>
    <row r="94">
      <c r="A94" s="9" t="n"/>
      <c r="B94" s="14">
        <f>IF(A94="","",IFERROR(INDEX('Nhân viên'!$B$5:$B$104,MATCH(A94,'Nhân viên'!$A$5:$A$104,0)),""))</f>
        <v/>
      </c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4">
        <f>IF(A94="","",COUNTIF(C94:AG94,"X")+COUNTIF(C94:AG94,"P")+0.5*COUNTIF(C94:AG94,"N"))</f>
        <v/>
      </c>
      <c r="AI94" s="14">
        <f>IF(A94="","",COUNTIF(C94:AG94,"P"))</f>
        <v/>
      </c>
      <c r="AJ94" s="14">
        <f>IF(A94="","",COUNTIF(C94:AG94,"O"))</f>
        <v/>
      </c>
      <c r="AK94" s="9" t="n"/>
    </row>
    <row r="95">
      <c r="A95" s="9" t="n"/>
      <c r="B95" s="14">
        <f>IF(A95="","",IFERROR(INDEX('Nhân viên'!$B$5:$B$104,MATCH(A95,'Nhân viên'!$A$5:$A$104,0)),""))</f>
        <v/>
      </c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4">
        <f>IF(A95="","",COUNTIF(C95:AG95,"X")+COUNTIF(C95:AG95,"P")+0.5*COUNTIF(C95:AG95,"N"))</f>
        <v/>
      </c>
      <c r="AI95" s="14">
        <f>IF(A95="","",COUNTIF(C95:AG95,"P"))</f>
        <v/>
      </c>
      <c r="AJ95" s="14">
        <f>IF(A95="","",COUNTIF(C95:AG95,"O"))</f>
        <v/>
      </c>
      <c r="AK95" s="9" t="n"/>
    </row>
    <row r="96">
      <c r="A96" s="9" t="n"/>
      <c r="B96" s="14">
        <f>IF(A96="","",IFERROR(INDEX('Nhân viên'!$B$5:$B$104,MATCH(A96,'Nhân viên'!$A$5:$A$104,0)),""))</f>
        <v/>
      </c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4">
        <f>IF(A96="","",COUNTIF(C96:AG96,"X")+COUNTIF(C96:AG96,"P")+0.5*COUNTIF(C96:AG96,"N"))</f>
        <v/>
      </c>
      <c r="AI96" s="14">
        <f>IF(A96="","",COUNTIF(C96:AG96,"P"))</f>
        <v/>
      </c>
      <c r="AJ96" s="14">
        <f>IF(A96="","",COUNTIF(C96:AG96,"O"))</f>
        <v/>
      </c>
      <c r="AK96" s="9" t="n"/>
    </row>
    <row r="97">
      <c r="A97" s="9" t="n"/>
      <c r="B97" s="14">
        <f>IF(A97="","",IFERROR(INDEX('Nhân viên'!$B$5:$B$104,MATCH(A97,'Nhân viên'!$A$5:$A$104,0)),""))</f>
        <v/>
      </c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4">
        <f>IF(A97="","",COUNTIF(C97:AG97,"X")+COUNTIF(C97:AG97,"P")+0.5*COUNTIF(C97:AG97,"N"))</f>
        <v/>
      </c>
      <c r="AI97" s="14">
        <f>IF(A97="","",COUNTIF(C97:AG97,"P"))</f>
        <v/>
      </c>
      <c r="AJ97" s="14">
        <f>IF(A97="","",COUNTIF(C97:AG97,"O"))</f>
        <v/>
      </c>
      <c r="AK97" s="9" t="n"/>
    </row>
    <row r="98">
      <c r="A98" s="9" t="n"/>
      <c r="B98" s="14">
        <f>IF(A98="","",IFERROR(INDEX('Nhân viên'!$B$5:$B$104,MATCH(A98,'Nhân viên'!$A$5:$A$104,0)),""))</f>
        <v/>
      </c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4">
        <f>IF(A98="","",COUNTIF(C98:AG98,"X")+COUNTIF(C98:AG98,"P")+0.5*COUNTIF(C98:AG98,"N"))</f>
        <v/>
      </c>
      <c r="AI98" s="14">
        <f>IF(A98="","",COUNTIF(C98:AG98,"P"))</f>
        <v/>
      </c>
      <c r="AJ98" s="14">
        <f>IF(A98="","",COUNTIF(C98:AG98,"O"))</f>
        <v/>
      </c>
      <c r="AK98" s="9" t="n"/>
    </row>
    <row r="99">
      <c r="A99" s="9" t="n"/>
      <c r="B99" s="14">
        <f>IF(A99="","",IFERROR(INDEX('Nhân viên'!$B$5:$B$104,MATCH(A99,'Nhân viên'!$A$5:$A$104,0)),""))</f>
        <v/>
      </c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4">
        <f>IF(A99="","",COUNTIF(C99:AG99,"X")+COUNTIF(C99:AG99,"P")+0.5*COUNTIF(C99:AG99,"N"))</f>
        <v/>
      </c>
      <c r="AI99" s="14">
        <f>IF(A99="","",COUNTIF(C99:AG99,"P"))</f>
        <v/>
      </c>
      <c r="AJ99" s="14">
        <f>IF(A99="","",COUNTIF(C99:AG99,"O"))</f>
        <v/>
      </c>
      <c r="AK99" s="9" t="n"/>
    </row>
    <row r="100">
      <c r="A100" s="9" t="n"/>
      <c r="B100" s="14">
        <f>IF(A100="","",IFERROR(INDEX('Nhân viên'!$B$5:$B$104,MATCH(A100,'Nhân viên'!$A$5:$A$104,0)),""))</f>
        <v/>
      </c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4">
        <f>IF(A100="","",COUNTIF(C100:AG100,"X")+COUNTIF(C100:AG100,"P")+0.5*COUNTIF(C100:AG100,"N"))</f>
        <v/>
      </c>
      <c r="AI100" s="14">
        <f>IF(A100="","",COUNTIF(C100:AG100,"P"))</f>
        <v/>
      </c>
      <c r="AJ100" s="14">
        <f>IF(A100="","",COUNTIF(C100:AG100,"O"))</f>
        <v/>
      </c>
      <c r="AK100" s="9" t="n"/>
    </row>
    <row r="101">
      <c r="A101" s="9" t="n"/>
      <c r="B101" s="14">
        <f>IF(A101="","",IFERROR(INDEX('Nhân viên'!$B$5:$B$104,MATCH(A101,'Nhân viên'!$A$5:$A$104,0)),""))</f>
        <v/>
      </c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4">
        <f>IF(A101="","",COUNTIF(C101:AG101,"X")+COUNTIF(C101:AG101,"P")+0.5*COUNTIF(C101:AG101,"N"))</f>
        <v/>
      </c>
      <c r="AI101" s="14">
        <f>IF(A101="","",COUNTIF(C101:AG101,"P"))</f>
        <v/>
      </c>
      <c r="AJ101" s="14">
        <f>IF(A101="","",COUNTIF(C101:AG101,"O"))</f>
        <v/>
      </c>
      <c r="AK101" s="9" t="n"/>
    </row>
    <row r="102">
      <c r="A102" s="9" t="n"/>
      <c r="B102" s="14">
        <f>IF(A102="","",IFERROR(INDEX('Nhân viên'!$B$5:$B$104,MATCH(A102,'Nhân viên'!$A$5:$A$104,0)),""))</f>
        <v/>
      </c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4">
        <f>IF(A102="","",COUNTIF(C102:AG102,"X")+COUNTIF(C102:AG102,"P")+0.5*COUNTIF(C102:AG102,"N"))</f>
        <v/>
      </c>
      <c r="AI102" s="14">
        <f>IF(A102="","",COUNTIF(C102:AG102,"P"))</f>
        <v/>
      </c>
      <c r="AJ102" s="14">
        <f>IF(A102="","",COUNTIF(C102:AG102,"O"))</f>
        <v/>
      </c>
      <c r="AK102" s="9" t="n"/>
    </row>
    <row r="103">
      <c r="A103" s="9" t="n"/>
      <c r="B103" s="14">
        <f>IF(A103="","",IFERROR(INDEX('Nhân viên'!$B$5:$B$104,MATCH(A103,'Nhân viên'!$A$5:$A$104,0)),""))</f>
        <v/>
      </c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4">
        <f>IF(A103="","",COUNTIF(C103:AG103,"X")+COUNTIF(C103:AG103,"P")+0.5*COUNTIF(C103:AG103,"N"))</f>
        <v/>
      </c>
      <c r="AI103" s="14">
        <f>IF(A103="","",COUNTIF(C103:AG103,"P"))</f>
        <v/>
      </c>
      <c r="AJ103" s="14">
        <f>IF(A103="","",COUNTIF(C103:AG103,"O"))</f>
        <v/>
      </c>
      <c r="AK103" s="9" t="n"/>
    </row>
    <row r="104">
      <c r="A104" s="9" t="n"/>
      <c r="B104" s="14">
        <f>IF(A104="","",IFERROR(INDEX('Nhân viên'!$B$5:$B$104,MATCH(A104,'Nhân viên'!$A$5:$A$104,0)),""))</f>
        <v/>
      </c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4">
        <f>IF(A104="","",COUNTIF(C104:AG104,"X")+COUNTIF(C104:AG104,"P")+0.5*COUNTIF(C104:AG104,"N"))</f>
        <v/>
      </c>
      <c r="AI104" s="14">
        <f>IF(A104="","",COUNTIF(C104:AG104,"P"))</f>
        <v/>
      </c>
      <c r="AJ104" s="14">
        <f>IF(A104="","",COUNTIF(C104:AG104,"O"))</f>
        <v/>
      </c>
      <c r="AK104" s="9" t="n"/>
    </row>
    <row r="105">
      <c r="A105" s="9" t="n"/>
      <c r="B105" s="14">
        <f>IF(A105="","",IFERROR(INDEX('Nhân viên'!$B$5:$B$104,MATCH(A105,'Nhân viên'!$A$5:$A$104,0)),""))</f>
        <v/>
      </c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4">
        <f>IF(A105="","",COUNTIF(C105:AG105,"X")+COUNTIF(C105:AG105,"P")+0.5*COUNTIF(C105:AG105,"N"))</f>
        <v/>
      </c>
      <c r="AI105" s="14">
        <f>IF(A105="","",COUNTIF(C105:AG105,"P"))</f>
        <v/>
      </c>
      <c r="AJ105" s="14">
        <f>IF(A105="","",COUNTIF(C105:AG105,"O"))</f>
        <v/>
      </c>
      <c r="AK105" s="9" t="n"/>
    </row>
  </sheetData>
  <dataValidations count="2">
    <dataValidation sqref="A6:A105" showDropDown="0" showInputMessage="0" showErrorMessage="1" allowBlank="1" errorTitle="Giá trị không có trong danh sách" error="Chọn một mục trong danh sách." type="list">
      <formula1>=DS_MANV</formula1>
    </dataValidation>
    <dataValidation sqref="C6:AG105" showDropDown="0" showInputMessage="0" showErrorMessage="1" allowBlank="1" errorTitle="Giá trị không có trong danh sách" error="Chọn một mục trong danh sách." type="list">
      <formula1>"X,N,P,O"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1" customWidth="1" min="4" max="4"/>
    <col width="15" customWidth="1" min="5" max="5"/>
    <col width="10" customWidth="1" min="6" max="6"/>
    <col width="14" customWidth="1" min="7" max="7"/>
    <col width="13" customWidth="1" min="8" max="8"/>
    <col width="13" customWidth="1" min="9" max="9"/>
    <col width="13" customWidth="1" min="10" max="10"/>
    <col width="15" customWidth="1" min="11" max="11"/>
    <col width="14" customWidth="1" min="12" max="12"/>
  </cols>
  <sheetData>
    <row r="1">
      <c r="A1" s="7">
        <f>"Bảng lương tháng "&amp;CD_THANG&amp;"/"&amp;CD_NAM</f>
        <v/>
      </c>
    </row>
    <row r="2">
      <c r="A2" s="10" t="inlineStr">
        <is>
          <t>Ô vàng: Thưởng, Khấu trừ. Còn lại tự tính từ Chấm công và Nhân viên.</t>
        </is>
      </c>
    </row>
    <row r="4" ht="32" customHeight="1">
      <c r="A4" s="11" t="inlineStr">
        <is>
          <t>Mã NV</t>
        </is>
      </c>
      <c r="B4" s="11" t="inlineStr">
        <is>
          <t>Họ tên</t>
        </is>
      </c>
      <c r="C4" s="11" t="inlineStr">
        <is>
          <t>Lương tháng</t>
        </is>
      </c>
      <c r="D4" s="11" t="inlineStr">
        <is>
          <t>Công thực tế</t>
        </is>
      </c>
      <c r="E4" s="11" t="inlineStr">
        <is>
          <t>Lương theo công</t>
        </is>
      </c>
      <c r="F4" s="11" t="inlineStr">
        <is>
          <t>Giờ tăng ca</t>
        </is>
      </c>
      <c r="G4" s="11" t="inlineStr">
        <is>
          <t>Tiền tăng ca</t>
        </is>
      </c>
      <c r="H4" s="11" t="inlineStr">
        <is>
          <t>Phụ cấp</t>
        </is>
      </c>
      <c r="I4" s="11" t="inlineStr">
        <is>
          <t>Thưởng</t>
        </is>
      </c>
      <c r="J4" s="11" t="inlineStr">
        <is>
          <t>Khấu trừ</t>
        </is>
      </c>
      <c r="K4" s="11" t="inlineStr">
        <is>
          <t>Thực nhận</t>
        </is>
      </c>
      <c r="L4" s="11" t="inlineStr">
        <is>
          <t>Ký nhận</t>
        </is>
      </c>
    </row>
    <row r="5">
      <c r="A5" s="14">
        <f>IF('Chấm công'!A6="","",'Chấm công'!A6)</f>
        <v/>
      </c>
      <c r="B5" s="14">
        <f>IF(A5="","",IFERROR(INDEX('Nhân viên'!$B$5:$B$104,MATCH(A5,'Nhân viên'!$A$5:$A$104,0)),""))</f>
        <v/>
      </c>
      <c r="C5" s="16">
        <f>IF(A5="","",N(IFERROR(INDEX('Nhân viên'!$D$5:$D$104,MATCH(A5,'Nhân viên'!$A$5:$A$104,0)),"")))</f>
        <v/>
      </c>
      <c r="D5" s="17">
        <f>IF(A5="","",N(IFERROR(INDEX('Chấm công'!$AH$6:$AH$105,MATCH(A5,'Chấm công'!$A$6:$A$105,0)),0)))</f>
        <v/>
      </c>
      <c r="E5" s="16">
        <f>IF(A5="","",ROUND(C5/CD_CONG_CHUAN*D5,0))</f>
        <v/>
      </c>
      <c r="F5" s="17">
        <f>IF(A5="","",N(IFERROR(INDEX('Chấm công'!$AK$6:$AK$105,MATCH(A5,'Chấm công'!$A$6:$A$105,0)),0)))</f>
        <v/>
      </c>
      <c r="G5" s="16">
        <f>IF(A5="","",ROUND(C5/CD_CONG_CHUAN/CD_GIO_NGAY*CD_HE_SO_TC*F5,0))</f>
        <v/>
      </c>
      <c r="H5" s="16">
        <f>IF(A5="","",N(IFERROR(INDEX('Nhân viên'!$E$5:$E$104,MATCH(A5,'Nhân viên'!$A$5:$A$104,0)),"")))</f>
        <v/>
      </c>
      <c r="I5" s="12" t="n"/>
      <c r="J5" s="12" t="n"/>
      <c r="K5" s="16">
        <f>IF(A5="","",E5+G5+H5+N(I5)-N(J5))</f>
        <v/>
      </c>
      <c r="L5" s="16" t="n"/>
    </row>
    <row r="6">
      <c r="A6" s="14">
        <f>IF('Chấm công'!A7="","",'Chấm công'!A7)</f>
        <v/>
      </c>
      <c r="B6" s="14">
        <f>IF(A6="","",IFERROR(INDEX('Nhân viên'!$B$5:$B$104,MATCH(A6,'Nhân viên'!$A$5:$A$104,0)),""))</f>
        <v/>
      </c>
      <c r="C6" s="16">
        <f>IF(A6="","",N(IFERROR(INDEX('Nhân viên'!$D$5:$D$104,MATCH(A6,'Nhân viên'!$A$5:$A$104,0)),"")))</f>
        <v/>
      </c>
      <c r="D6" s="17">
        <f>IF(A6="","",N(IFERROR(INDEX('Chấm công'!$AH$6:$AH$105,MATCH(A6,'Chấm công'!$A$6:$A$105,0)),0)))</f>
        <v/>
      </c>
      <c r="E6" s="16">
        <f>IF(A6="","",ROUND(C6/CD_CONG_CHUAN*D6,0))</f>
        <v/>
      </c>
      <c r="F6" s="17">
        <f>IF(A6="","",N(IFERROR(INDEX('Chấm công'!$AK$6:$AK$105,MATCH(A6,'Chấm công'!$A$6:$A$105,0)),0)))</f>
        <v/>
      </c>
      <c r="G6" s="16">
        <f>IF(A6="","",ROUND(C6/CD_CONG_CHUAN/CD_GIO_NGAY*CD_HE_SO_TC*F6,0))</f>
        <v/>
      </c>
      <c r="H6" s="16">
        <f>IF(A6="","",N(IFERROR(INDEX('Nhân viên'!$E$5:$E$104,MATCH(A6,'Nhân viên'!$A$5:$A$104,0)),"")))</f>
        <v/>
      </c>
      <c r="I6" s="12" t="n"/>
      <c r="J6" s="12" t="n"/>
      <c r="K6" s="16">
        <f>IF(A6="","",E6+G6+H6+N(I6)-N(J6))</f>
        <v/>
      </c>
      <c r="L6" s="16" t="n"/>
    </row>
    <row r="7">
      <c r="A7" s="14">
        <f>IF('Chấm công'!A8="","",'Chấm công'!A8)</f>
        <v/>
      </c>
      <c r="B7" s="14">
        <f>IF(A7="","",IFERROR(INDEX('Nhân viên'!$B$5:$B$104,MATCH(A7,'Nhân viên'!$A$5:$A$104,0)),""))</f>
        <v/>
      </c>
      <c r="C7" s="16">
        <f>IF(A7="","",N(IFERROR(INDEX('Nhân viên'!$D$5:$D$104,MATCH(A7,'Nhân viên'!$A$5:$A$104,0)),"")))</f>
        <v/>
      </c>
      <c r="D7" s="17">
        <f>IF(A7="","",N(IFERROR(INDEX('Chấm công'!$AH$6:$AH$105,MATCH(A7,'Chấm công'!$A$6:$A$105,0)),0)))</f>
        <v/>
      </c>
      <c r="E7" s="16">
        <f>IF(A7="","",ROUND(C7/CD_CONG_CHUAN*D7,0))</f>
        <v/>
      </c>
      <c r="F7" s="17">
        <f>IF(A7="","",N(IFERROR(INDEX('Chấm công'!$AK$6:$AK$105,MATCH(A7,'Chấm công'!$A$6:$A$105,0)),0)))</f>
        <v/>
      </c>
      <c r="G7" s="16">
        <f>IF(A7="","",ROUND(C7/CD_CONG_CHUAN/CD_GIO_NGAY*CD_HE_SO_TC*F7,0))</f>
        <v/>
      </c>
      <c r="H7" s="16">
        <f>IF(A7="","",N(IFERROR(INDEX('Nhân viên'!$E$5:$E$104,MATCH(A7,'Nhân viên'!$A$5:$A$104,0)),"")))</f>
        <v/>
      </c>
      <c r="I7" s="12" t="n"/>
      <c r="J7" s="12" t="n"/>
      <c r="K7" s="16">
        <f>IF(A7="","",E7+G7+H7+N(I7)-N(J7))</f>
        <v/>
      </c>
      <c r="L7" s="16" t="n"/>
    </row>
    <row r="8">
      <c r="A8" s="14">
        <f>IF('Chấm công'!A9="","",'Chấm công'!A9)</f>
        <v/>
      </c>
      <c r="B8" s="14">
        <f>IF(A8="","",IFERROR(INDEX('Nhân viên'!$B$5:$B$104,MATCH(A8,'Nhân viên'!$A$5:$A$104,0)),""))</f>
        <v/>
      </c>
      <c r="C8" s="16">
        <f>IF(A8="","",N(IFERROR(INDEX('Nhân viên'!$D$5:$D$104,MATCH(A8,'Nhân viên'!$A$5:$A$104,0)),"")))</f>
        <v/>
      </c>
      <c r="D8" s="17">
        <f>IF(A8="","",N(IFERROR(INDEX('Chấm công'!$AH$6:$AH$105,MATCH(A8,'Chấm công'!$A$6:$A$105,0)),0)))</f>
        <v/>
      </c>
      <c r="E8" s="16">
        <f>IF(A8="","",ROUND(C8/CD_CONG_CHUAN*D8,0))</f>
        <v/>
      </c>
      <c r="F8" s="17">
        <f>IF(A8="","",N(IFERROR(INDEX('Chấm công'!$AK$6:$AK$105,MATCH(A8,'Chấm công'!$A$6:$A$105,0)),0)))</f>
        <v/>
      </c>
      <c r="G8" s="16">
        <f>IF(A8="","",ROUND(C8/CD_CONG_CHUAN/CD_GIO_NGAY*CD_HE_SO_TC*F8,0))</f>
        <v/>
      </c>
      <c r="H8" s="16">
        <f>IF(A8="","",N(IFERROR(INDEX('Nhân viên'!$E$5:$E$104,MATCH(A8,'Nhân viên'!$A$5:$A$104,0)),"")))</f>
        <v/>
      </c>
      <c r="I8" s="12" t="n"/>
      <c r="J8" s="12" t="n"/>
      <c r="K8" s="16">
        <f>IF(A8="","",E8+G8+H8+N(I8)-N(J8))</f>
        <v/>
      </c>
      <c r="L8" s="16" t="n"/>
    </row>
    <row r="9">
      <c r="A9" s="14">
        <f>IF('Chấm công'!A10="","",'Chấm công'!A10)</f>
        <v/>
      </c>
      <c r="B9" s="14">
        <f>IF(A9="","",IFERROR(INDEX('Nhân viên'!$B$5:$B$104,MATCH(A9,'Nhân viên'!$A$5:$A$104,0)),""))</f>
        <v/>
      </c>
      <c r="C9" s="16">
        <f>IF(A9="","",N(IFERROR(INDEX('Nhân viên'!$D$5:$D$104,MATCH(A9,'Nhân viên'!$A$5:$A$104,0)),"")))</f>
        <v/>
      </c>
      <c r="D9" s="17">
        <f>IF(A9="","",N(IFERROR(INDEX('Chấm công'!$AH$6:$AH$105,MATCH(A9,'Chấm công'!$A$6:$A$105,0)),0)))</f>
        <v/>
      </c>
      <c r="E9" s="16">
        <f>IF(A9="","",ROUND(C9/CD_CONG_CHUAN*D9,0))</f>
        <v/>
      </c>
      <c r="F9" s="17">
        <f>IF(A9="","",N(IFERROR(INDEX('Chấm công'!$AK$6:$AK$105,MATCH(A9,'Chấm công'!$A$6:$A$105,0)),0)))</f>
        <v/>
      </c>
      <c r="G9" s="16">
        <f>IF(A9="","",ROUND(C9/CD_CONG_CHUAN/CD_GIO_NGAY*CD_HE_SO_TC*F9,0))</f>
        <v/>
      </c>
      <c r="H9" s="16">
        <f>IF(A9="","",N(IFERROR(INDEX('Nhân viên'!$E$5:$E$104,MATCH(A9,'Nhân viên'!$A$5:$A$104,0)),"")))</f>
        <v/>
      </c>
      <c r="I9" s="12" t="n"/>
      <c r="J9" s="12" t="n"/>
      <c r="K9" s="16">
        <f>IF(A9="","",E9+G9+H9+N(I9)-N(J9))</f>
        <v/>
      </c>
      <c r="L9" s="16" t="n"/>
    </row>
    <row r="10">
      <c r="A10" s="14">
        <f>IF('Chấm công'!A11="","",'Chấm công'!A11)</f>
        <v/>
      </c>
      <c r="B10" s="14">
        <f>IF(A10="","",IFERROR(INDEX('Nhân viên'!$B$5:$B$104,MATCH(A10,'Nhân viên'!$A$5:$A$104,0)),""))</f>
        <v/>
      </c>
      <c r="C10" s="16">
        <f>IF(A10="","",N(IFERROR(INDEX('Nhân viên'!$D$5:$D$104,MATCH(A10,'Nhân viên'!$A$5:$A$104,0)),"")))</f>
        <v/>
      </c>
      <c r="D10" s="17">
        <f>IF(A10="","",N(IFERROR(INDEX('Chấm công'!$AH$6:$AH$105,MATCH(A10,'Chấm công'!$A$6:$A$105,0)),0)))</f>
        <v/>
      </c>
      <c r="E10" s="16">
        <f>IF(A10="","",ROUND(C10/CD_CONG_CHUAN*D10,0))</f>
        <v/>
      </c>
      <c r="F10" s="17">
        <f>IF(A10="","",N(IFERROR(INDEX('Chấm công'!$AK$6:$AK$105,MATCH(A10,'Chấm công'!$A$6:$A$105,0)),0)))</f>
        <v/>
      </c>
      <c r="G10" s="16">
        <f>IF(A10="","",ROUND(C10/CD_CONG_CHUAN/CD_GIO_NGAY*CD_HE_SO_TC*F10,0))</f>
        <v/>
      </c>
      <c r="H10" s="16">
        <f>IF(A10="","",N(IFERROR(INDEX('Nhân viên'!$E$5:$E$104,MATCH(A10,'Nhân viên'!$A$5:$A$104,0)),"")))</f>
        <v/>
      </c>
      <c r="I10" s="12" t="n"/>
      <c r="J10" s="12" t="n"/>
      <c r="K10" s="16">
        <f>IF(A10="","",E10+G10+H10+N(I10)-N(J10))</f>
        <v/>
      </c>
      <c r="L10" s="16" t="n"/>
    </row>
    <row r="11">
      <c r="A11" s="14">
        <f>IF('Chấm công'!A12="","",'Chấm công'!A12)</f>
        <v/>
      </c>
      <c r="B11" s="14">
        <f>IF(A11="","",IFERROR(INDEX('Nhân viên'!$B$5:$B$104,MATCH(A11,'Nhân viên'!$A$5:$A$104,0)),""))</f>
        <v/>
      </c>
      <c r="C11" s="16">
        <f>IF(A11="","",N(IFERROR(INDEX('Nhân viên'!$D$5:$D$104,MATCH(A11,'Nhân viên'!$A$5:$A$104,0)),"")))</f>
        <v/>
      </c>
      <c r="D11" s="17">
        <f>IF(A11="","",N(IFERROR(INDEX('Chấm công'!$AH$6:$AH$105,MATCH(A11,'Chấm công'!$A$6:$A$105,0)),0)))</f>
        <v/>
      </c>
      <c r="E11" s="16">
        <f>IF(A11="","",ROUND(C11/CD_CONG_CHUAN*D11,0))</f>
        <v/>
      </c>
      <c r="F11" s="17">
        <f>IF(A11="","",N(IFERROR(INDEX('Chấm công'!$AK$6:$AK$105,MATCH(A11,'Chấm công'!$A$6:$A$105,0)),0)))</f>
        <v/>
      </c>
      <c r="G11" s="16">
        <f>IF(A11="","",ROUND(C11/CD_CONG_CHUAN/CD_GIO_NGAY*CD_HE_SO_TC*F11,0))</f>
        <v/>
      </c>
      <c r="H11" s="16">
        <f>IF(A11="","",N(IFERROR(INDEX('Nhân viên'!$E$5:$E$104,MATCH(A11,'Nhân viên'!$A$5:$A$104,0)),"")))</f>
        <v/>
      </c>
      <c r="I11" s="12" t="n"/>
      <c r="J11" s="12" t="n"/>
      <c r="K11" s="16">
        <f>IF(A11="","",E11+G11+H11+N(I11)-N(J11))</f>
        <v/>
      </c>
      <c r="L11" s="16" t="n"/>
    </row>
    <row r="12">
      <c r="A12" s="14">
        <f>IF('Chấm công'!A13="","",'Chấm công'!A13)</f>
        <v/>
      </c>
      <c r="B12" s="14">
        <f>IF(A12="","",IFERROR(INDEX('Nhân viên'!$B$5:$B$104,MATCH(A12,'Nhân viên'!$A$5:$A$104,0)),""))</f>
        <v/>
      </c>
      <c r="C12" s="16">
        <f>IF(A12="","",N(IFERROR(INDEX('Nhân viên'!$D$5:$D$104,MATCH(A12,'Nhân viên'!$A$5:$A$104,0)),"")))</f>
        <v/>
      </c>
      <c r="D12" s="17">
        <f>IF(A12="","",N(IFERROR(INDEX('Chấm công'!$AH$6:$AH$105,MATCH(A12,'Chấm công'!$A$6:$A$105,0)),0)))</f>
        <v/>
      </c>
      <c r="E12" s="16">
        <f>IF(A12="","",ROUND(C12/CD_CONG_CHUAN*D12,0))</f>
        <v/>
      </c>
      <c r="F12" s="17">
        <f>IF(A12="","",N(IFERROR(INDEX('Chấm công'!$AK$6:$AK$105,MATCH(A12,'Chấm công'!$A$6:$A$105,0)),0)))</f>
        <v/>
      </c>
      <c r="G12" s="16">
        <f>IF(A12="","",ROUND(C12/CD_CONG_CHUAN/CD_GIO_NGAY*CD_HE_SO_TC*F12,0))</f>
        <v/>
      </c>
      <c r="H12" s="16">
        <f>IF(A12="","",N(IFERROR(INDEX('Nhân viên'!$E$5:$E$104,MATCH(A12,'Nhân viên'!$A$5:$A$104,0)),"")))</f>
        <v/>
      </c>
      <c r="I12" s="12" t="n"/>
      <c r="J12" s="12" t="n"/>
      <c r="K12" s="16">
        <f>IF(A12="","",E12+G12+H12+N(I12)-N(J12))</f>
        <v/>
      </c>
      <c r="L12" s="16" t="n"/>
    </row>
    <row r="13">
      <c r="A13" s="14">
        <f>IF('Chấm công'!A14="","",'Chấm công'!A14)</f>
        <v/>
      </c>
      <c r="B13" s="14">
        <f>IF(A13="","",IFERROR(INDEX('Nhân viên'!$B$5:$B$104,MATCH(A13,'Nhân viên'!$A$5:$A$104,0)),""))</f>
        <v/>
      </c>
      <c r="C13" s="16">
        <f>IF(A13="","",N(IFERROR(INDEX('Nhân viên'!$D$5:$D$104,MATCH(A13,'Nhân viên'!$A$5:$A$104,0)),"")))</f>
        <v/>
      </c>
      <c r="D13" s="17">
        <f>IF(A13="","",N(IFERROR(INDEX('Chấm công'!$AH$6:$AH$105,MATCH(A13,'Chấm công'!$A$6:$A$105,0)),0)))</f>
        <v/>
      </c>
      <c r="E13" s="16">
        <f>IF(A13="","",ROUND(C13/CD_CONG_CHUAN*D13,0))</f>
        <v/>
      </c>
      <c r="F13" s="17">
        <f>IF(A13="","",N(IFERROR(INDEX('Chấm công'!$AK$6:$AK$105,MATCH(A13,'Chấm công'!$A$6:$A$105,0)),0)))</f>
        <v/>
      </c>
      <c r="G13" s="16">
        <f>IF(A13="","",ROUND(C13/CD_CONG_CHUAN/CD_GIO_NGAY*CD_HE_SO_TC*F13,0))</f>
        <v/>
      </c>
      <c r="H13" s="16">
        <f>IF(A13="","",N(IFERROR(INDEX('Nhân viên'!$E$5:$E$104,MATCH(A13,'Nhân viên'!$A$5:$A$104,0)),"")))</f>
        <v/>
      </c>
      <c r="I13" s="12" t="n"/>
      <c r="J13" s="12" t="n"/>
      <c r="K13" s="16">
        <f>IF(A13="","",E13+G13+H13+N(I13)-N(J13))</f>
        <v/>
      </c>
      <c r="L13" s="16" t="n"/>
    </row>
    <row r="14">
      <c r="A14" s="14">
        <f>IF('Chấm công'!A15="","",'Chấm công'!A15)</f>
        <v/>
      </c>
      <c r="B14" s="14">
        <f>IF(A14="","",IFERROR(INDEX('Nhân viên'!$B$5:$B$104,MATCH(A14,'Nhân viên'!$A$5:$A$104,0)),""))</f>
        <v/>
      </c>
      <c r="C14" s="16">
        <f>IF(A14="","",N(IFERROR(INDEX('Nhân viên'!$D$5:$D$104,MATCH(A14,'Nhân viên'!$A$5:$A$104,0)),"")))</f>
        <v/>
      </c>
      <c r="D14" s="17">
        <f>IF(A14="","",N(IFERROR(INDEX('Chấm công'!$AH$6:$AH$105,MATCH(A14,'Chấm công'!$A$6:$A$105,0)),0)))</f>
        <v/>
      </c>
      <c r="E14" s="16">
        <f>IF(A14="","",ROUND(C14/CD_CONG_CHUAN*D14,0))</f>
        <v/>
      </c>
      <c r="F14" s="17">
        <f>IF(A14="","",N(IFERROR(INDEX('Chấm công'!$AK$6:$AK$105,MATCH(A14,'Chấm công'!$A$6:$A$105,0)),0)))</f>
        <v/>
      </c>
      <c r="G14" s="16">
        <f>IF(A14="","",ROUND(C14/CD_CONG_CHUAN/CD_GIO_NGAY*CD_HE_SO_TC*F14,0))</f>
        <v/>
      </c>
      <c r="H14" s="16">
        <f>IF(A14="","",N(IFERROR(INDEX('Nhân viên'!$E$5:$E$104,MATCH(A14,'Nhân viên'!$A$5:$A$104,0)),"")))</f>
        <v/>
      </c>
      <c r="I14" s="12" t="n"/>
      <c r="J14" s="12" t="n"/>
      <c r="K14" s="16">
        <f>IF(A14="","",E14+G14+H14+N(I14)-N(J14))</f>
        <v/>
      </c>
      <c r="L14" s="16" t="n"/>
    </row>
    <row r="15">
      <c r="A15" s="14">
        <f>IF('Chấm công'!A16="","",'Chấm công'!A16)</f>
        <v/>
      </c>
      <c r="B15" s="14">
        <f>IF(A15="","",IFERROR(INDEX('Nhân viên'!$B$5:$B$104,MATCH(A15,'Nhân viên'!$A$5:$A$104,0)),""))</f>
        <v/>
      </c>
      <c r="C15" s="16">
        <f>IF(A15="","",N(IFERROR(INDEX('Nhân viên'!$D$5:$D$104,MATCH(A15,'Nhân viên'!$A$5:$A$104,0)),"")))</f>
        <v/>
      </c>
      <c r="D15" s="17">
        <f>IF(A15="","",N(IFERROR(INDEX('Chấm công'!$AH$6:$AH$105,MATCH(A15,'Chấm công'!$A$6:$A$105,0)),0)))</f>
        <v/>
      </c>
      <c r="E15" s="16">
        <f>IF(A15="","",ROUND(C15/CD_CONG_CHUAN*D15,0))</f>
        <v/>
      </c>
      <c r="F15" s="17">
        <f>IF(A15="","",N(IFERROR(INDEX('Chấm công'!$AK$6:$AK$105,MATCH(A15,'Chấm công'!$A$6:$A$105,0)),0)))</f>
        <v/>
      </c>
      <c r="G15" s="16">
        <f>IF(A15="","",ROUND(C15/CD_CONG_CHUAN/CD_GIO_NGAY*CD_HE_SO_TC*F15,0))</f>
        <v/>
      </c>
      <c r="H15" s="16">
        <f>IF(A15="","",N(IFERROR(INDEX('Nhân viên'!$E$5:$E$104,MATCH(A15,'Nhân viên'!$A$5:$A$104,0)),"")))</f>
        <v/>
      </c>
      <c r="I15" s="12" t="n"/>
      <c r="J15" s="12" t="n"/>
      <c r="K15" s="16">
        <f>IF(A15="","",E15+G15+H15+N(I15)-N(J15))</f>
        <v/>
      </c>
      <c r="L15" s="16" t="n"/>
    </row>
    <row r="16">
      <c r="A16" s="14">
        <f>IF('Chấm công'!A17="","",'Chấm công'!A17)</f>
        <v/>
      </c>
      <c r="B16" s="14">
        <f>IF(A16="","",IFERROR(INDEX('Nhân viên'!$B$5:$B$104,MATCH(A16,'Nhân viên'!$A$5:$A$104,0)),""))</f>
        <v/>
      </c>
      <c r="C16" s="16">
        <f>IF(A16="","",N(IFERROR(INDEX('Nhân viên'!$D$5:$D$104,MATCH(A16,'Nhân viên'!$A$5:$A$104,0)),"")))</f>
        <v/>
      </c>
      <c r="D16" s="17">
        <f>IF(A16="","",N(IFERROR(INDEX('Chấm công'!$AH$6:$AH$105,MATCH(A16,'Chấm công'!$A$6:$A$105,0)),0)))</f>
        <v/>
      </c>
      <c r="E16" s="16">
        <f>IF(A16="","",ROUND(C16/CD_CONG_CHUAN*D16,0))</f>
        <v/>
      </c>
      <c r="F16" s="17">
        <f>IF(A16="","",N(IFERROR(INDEX('Chấm công'!$AK$6:$AK$105,MATCH(A16,'Chấm công'!$A$6:$A$105,0)),0)))</f>
        <v/>
      </c>
      <c r="G16" s="16">
        <f>IF(A16="","",ROUND(C16/CD_CONG_CHUAN/CD_GIO_NGAY*CD_HE_SO_TC*F16,0))</f>
        <v/>
      </c>
      <c r="H16" s="16">
        <f>IF(A16="","",N(IFERROR(INDEX('Nhân viên'!$E$5:$E$104,MATCH(A16,'Nhân viên'!$A$5:$A$104,0)),"")))</f>
        <v/>
      </c>
      <c r="I16" s="12" t="n"/>
      <c r="J16" s="12" t="n"/>
      <c r="K16" s="16">
        <f>IF(A16="","",E16+G16+H16+N(I16)-N(J16))</f>
        <v/>
      </c>
      <c r="L16" s="16" t="n"/>
    </row>
    <row r="17">
      <c r="A17" s="14">
        <f>IF('Chấm công'!A18="","",'Chấm công'!A18)</f>
        <v/>
      </c>
      <c r="B17" s="14">
        <f>IF(A17="","",IFERROR(INDEX('Nhân viên'!$B$5:$B$104,MATCH(A17,'Nhân viên'!$A$5:$A$104,0)),""))</f>
        <v/>
      </c>
      <c r="C17" s="16">
        <f>IF(A17="","",N(IFERROR(INDEX('Nhân viên'!$D$5:$D$104,MATCH(A17,'Nhân viên'!$A$5:$A$104,0)),"")))</f>
        <v/>
      </c>
      <c r="D17" s="17">
        <f>IF(A17="","",N(IFERROR(INDEX('Chấm công'!$AH$6:$AH$105,MATCH(A17,'Chấm công'!$A$6:$A$105,0)),0)))</f>
        <v/>
      </c>
      <c r="E17" s="16">
        <f>IF(A17="","",ROUND(C17/CD_CONG_CHUAN*D17,0))</f>
        <v/>
      </c>
      <c r="F17" s="17">
        <f>IF(A17="","",N(IFERROR(INDEX('Chấm công'!$AK$6:$AK$105,MATCH(A17,'Chấm công'!$A$6:$A$105,0)),0)))</f>
        <v/>
      </c>
      <c r="G17" s="16">
        <f>IF(A17="","",ROUND(C17/CD_CONG_CHUAN/CD_GIO_NGAY*CD_HE_SO_TC*F17,0))</f>
        <v/>
      </c>
      <c r="H17" s="16">
        <f>IF(A17="","",N(IFERROR(INDEX('Nhân viên'!$E$5:$E$104,MATCH(A17,'Nhân viên'!$A$5:$A$104,0)),"")))</f>
        <v/>
      </c>
      <c r="I17" s="12" t="n"/>
      <c r="J17" s="12" t="n"/>
      <c r="K17" s="16">
        <f>IF(A17="","",E17+G17+H17+N(I17)-N(J17))</f>
        <v/>
      </c>
      <c r="L17" s="16" t="n"/>
    </row>
    <row r="18">
      <c r="A18" s="14">
        <f>IF('Chấm công'!A19="","",'Chấm công'!A19)</f>
        <v/>
      </c>
      <c r="B18" s="14">
        <f>IF(A18="","",IFERROR(INDEX('Nhân viên'!$B$5:$B$104,MATCH(A18,'Nhân viên'!$A$5:$A$104,0)),""))</f>
        <v/>
      </c>
      <c r="C18" s="16">
        <f>IF(A18="","",N(IFERROR(INDEX('Nhân viên'!$D$5:$D$104,MATCH(A18,'Nhân viên'!$A$5:$A$104,0)),"")))</f>
        <v/>
      </c>
      <c r="D18" s="17">
        <f>IF(A18="","",N(IFERROR(INDEX('Chấm công'!$AH$6:$AH$105,MATCH(A18,'Chấm công'!$A$6:$A$105,0)),0)))</f>
        <v/>
      </c>
      <c r="E18" s="16">
        <f>IF(A18="","",ROUND(C18/CD_CONG_CHUAN*D18,0))</f>
        <v/>
      </c>
      <c r="F18" s="17">
        <f>IF(A18="","",N(IFERROR(INDEX('Chấm công'!$AK$6:$AK$105,MATCH(A18,'Chấm công'!$A$6:$A$105,0)),0)))</f>
        <v/>
      </c>
      <c r="G18" s="16">
        <f>IF(A18="","",ROUND(C18/CD_CONG_CHUAN/CD_GIO_NGAY*CD_HE_SO_TC*F18,0))</f>
        <v/>
      </c>
      <c r="H18" s="16">
        <f>IF(A18="","",N(IFERROR(INDEX('Nhân viên'!$E$5:$E$104,MATCH(A18,'Nhân viên'!$A$5:$A$104,0)),"")))</f>
        <v/>
      </c>
      <c r="I18" s="12" t="n"/>
      <c r="J18" s="12" t="n"/>
      <c r="K18" s="16">
        <f>IF(A18="","",E18+G18+H18+N(I18)-N(J18))</f>
        <v/>
      </c>
      <c r="L18" s="16" t="n"/>
    </row>
    <row r="19">
      <c r="A19" s="14">
        <f>IF('Chấm công'!A20="","",'Chấm công'!A20)</f>
        <v/>
      </c>
      <c r="B19" s="14">
        <f>IF(A19="","",IFERROR(INDEX('Nhân viên'!$B$5:$B$104,MATCH(A19,'Nhân viên'!$A$5:$A$104,0)),""))</f>
        <v/>
      </c>
      <c r="C19" s="16">
        <f>IF(A19="","",N(IFERROR(INDEX('Nhân viên'!$D$5:$D$104,MATCH(A19,'Nhân viên'!$A$5:$A$104,0)),"")))</f>
        <v/>
      </c>
      <c r="D19" s="17">
        <f>IF(A19="","",N(IFERROR(INDEX('Chấm công'!$AH$6:$AH$105,MATCH(A19,'Chấm công'!$A$6:$A$105,0)),0)))</f>
        <v/>
      </c>
      <c r="E19" s="16">
        <f>IF(A19="","",ROUND(C19/CD_CONG_CHUAN*D19,0))</f>
        <v/>
      </c>
      <c r="F19" s="17">
        <f>IF(A19="","",N(IFERROR(INDEX('Chấm công'!$AK$6:$AK$105,MATCH(A19,'Chấm công'!$A$6:$A$105,0)),0)))</f>
        <v/>
      </c>
      <c r="G19" s="16">
        <f>IF(A19="","",ROUND(C19/CD_CONG_CHUAN/CD_GIO_NGAY*CD_HE_SO_TC*F19,0))</f>
        <v/>
      </c>
      <c r="H19" s="16">
        <f>IF(A19="","",N(IFERROR(INDEX('Nhân viên'!$E$5:$E$104,MATCH(A19,'Nhân viên'!$A$5:$A$104,0)),"")))</f>
        <v/>
      </c>
      <c r="I19" s="12" t="n"/>
      <c r="J19" s="12" t="n"/>
      <c r="K19" s="16">
        <f>IF(A19="","",E19+G19+H19+N(I19)-N(J19))</f>
        <v/>
      </c>
      <c r="L19" s="16" t="n"/>
    </row>
    <row r="20">
      <c r="A20" s="14">
        <f>IF('Chấm công'!A21="","",'Chấm công'!A21)</f>
        <v/>
      </c>
      <c r="B20" s="14">
        <f>IF(A20="","",IFERROR(INDEX('Nhân viên'!$B$5:$B$104,MATCH(A20,'Nhân viên'!$A$5:$A$104,0)),""))</f>
        <v/>
      </c>
      <c r="C20" s="16">
        <f>IF(A20="","",N(IFERROR(INDEX('Nhân viên'!$D$5:$D$104,MATCH(A20,'Nhân viên'!$A$5:$A$104,0)),"")))</f>
        <v/>
      </c>
      <c r="D20" s="17">
        <f>IF(A20="","",N(IFERROR(INDEX('Chấm công'!$AH$6:$AH$105,MATCH(A20,'Chấm công'!$A$6:$A$105,0)),0)))</f>
        <v/>
      </c>
      <c r="E20" s="16">
        <f>IF(A20="","",ROUND(C20/CD_CONG_CHUAN*D20,0))</f>
        <v/>
      </c>
      <c r="F20" s="17">
        <f>IF(A20="","",N(IFERROR(INDEX('Chấm công'!$AK$6:$AK$105,MATCH(A20,'Chấm công'!$A$6:$A$105,0)),0)))</f>
        <v/>
      </c>
      <c r="G20" s="16">
        <f>IF(A20="","",ROUND(C20/CD_CONG_CHUAN/CD_GIO_NGAY*CD_HE_SO_TC*F20,0))</f>
        <v/>
      </c>
      <c r="H20" s="16">
        <f>IF(A20="","",N(IFERROR(INDEX('Nhân viên'!$E$5:$E$104,MATCH(A20,'Nhân viên'!$A$5:$A$104,0)),"")))</f>
        <v/>
      </c>
      <c r="I20" s="12" t="n"/>
      <c r="J20" s="12" t="n"/>
      <c r="K20" s="16">
        <f>IF(A20="","",E20+G20+H20+N(I20)-N(J20))</f>
        <v/>
      </c>
      <c r="L20" s="16" t="n"/>
    </row>
    <row r="21">
      <c r="A21" s="14">
        <f>IF('Chấm công'!A22="","",'Chấm công'!A22)</f>
        <v/>
      </c>
      <c r="B21" s="14">
        <f>IF(A21="","",IFERROR(INDEX('Nhân viên'!$B$5:$B$104,MATCH(A21,'Nhân viên'!$A$5:$A$104,0)),""))</f>
        <v/>
      </c>
      <c r="C21" s="16">
        <f>IF(A21="","",N(IFERROR(INDEX('Nhân viên'!$D$5:$D$104,MATCH(A21,'Nhân viên'!$A$5:$A$104,0)),"")))</f>
        <v/>
      </c>
      <c r="D21" s="17">
        <f>IF(A21="","",N(IFERROR(INDEX('Chấm công'!$AH$6:$AH$105,MATCH(A21,'Chấm công'!$A$6:$A$105,0)),0)))</f>
        <v/>
      </c>
      <c r="E21" s="16">
        <f>IF(A21="","",ROUND(C21/CD_CONG_CHUAN*D21,0))</f>
        <v/>
      </c>
      <c r="F21" s="17">
        <f>IF(A21="","",N(IFERROR(INDEX('Chấm công'!$AK$6:$AK$105,MATCH(A21,'Chấm công'!$A$6:$A$105,0)),0)))</f>
        <v/>
      </c>
      <c r="G21" s="16">
        <f>IF(A21="","",ROUND(C21/CD_CONG_CHUAN/CD_GIO_NGAY*CD_HE_SO_TC*F21,0))</f>
        <v/>
      </c>
      <c r="H21" s="16">
        <f>IF(A21="","",N(IFERROR(INDEX('Nhân viên'!$E$5:$E$104,MATCH(A21,'Nhân viên'!$A$5:$A$104,0)),"")))</f>
        <v/>
      </c>
      <c r="I21" s="12" t="n"/>
      <c r="J21" s="12" t="n"/>
      <c r="K21" s="16">
        <f>IF(A21="","",E21+G21+H21+N(I21)-N(J21))</f>
        <v/>
      </c>
      <c r="L21" s="16" t="n"/>
    </row>
    <row r="22">
      <c r="A22" s="14">
        <f>IF('Chấm công'!A23="","",'Chấm công'!A23)</f>
        <v/>
      </c>
      <c r="B22" s="14">
        <f>IF(A22="","",IFERROR(INDEX('Nhân viên'!$B$5:$B$104,MATCH(A22,'Nhân viên'!$A$5:$A$104,0)),""))</f>
        <v/>
      </c>
      <c r="C22" s="16">
        <f>IF(A22="","",N(IFERROR(INDEX('Nhân viên'!$D$5:$D$104,MATCH(A22,'Nhân viên'!$A$5:$A$104,0)),"")))</f>
        <v/>
      </c>
      <c r="D22" s="17">
        <f>IF(A22="","",N(IFERROR(INDEX('Chấm công'!$AH$6:$AH$105,MATCH(A22,'Chấm công'!$A$6:$A$105,0)),0)))</f>
        <v/>
      </c>
      <c r="E22" s="16">
        <f>IF(A22="","",ROUND(C22/CD_CONG_CHUAN*D22,0))</f>
        <v/>
      </c>
      <c r="F22" s="17">
        <f>IF(A22="","",N(IFERROR(INDEX('Chấm công'!$AK$6:$AK$105,MATCH(A22,'Chấm công'!$A$6:$A$105,0)),0)))</f>
        <v/>
      </c>
      <c r="G22" s="16">
        <f>IF(A22="","",ROUND(C22/CD_CONG_CHUAN/CD_GIO_NGAY*CD_HE_SO_TC*F22,0))</f>
        <v/>
      </c>
      <c r="H22" s="16">
        <f>IF(A22="","",N(IFERROR(INDEX('Nhân viên'!$E$5:$E$104,MATCH(A22,'Nhân viên'!$A$5:$A$104,0)),"")))</f>
        <v/>
      </c>
      <c r="I22" s="12" t="n"/>
      <c r="J22" s="12" t="n"/>
      <c r="K22" s="16">
        <f>IF(A22="","",E22+G22+H22+N(I22)-N(J22))</f>
        <v/>
      </c>
      <c r="L22" s="16" t="n"/>
    </row>
    <row r="23">
      <c r="A23" s="14">
        <f>IF('Chấm công'!A24="","",'Chấm công'!A24)</f>
        <v/>
      </c>
      <c r="B23" s="14">
        <f>IF(A23="","",IFERROR(INDEX('Nhân viên'!$B$5:$B$104,MATCH(A23,'Nhân viên'!$A$5:$A$104,0)),""))</f>
        <v/>
      </c>
      <c r="C23" s="16">
        <f>IF(A23="","",N(IFERROR(INDEX('Nhân viên'!$D$5:$D$104,MATCH(A23,'Nhân viên'!$A$5:$A$104,0)),"")))</f>
        <v/>
      </c>
      <c r="D23" s="17">
        <f>IF(A23="","",N(IFERROR(INDEX('Chấm công'!$AH$6:$AH$105,MATCH(A23,'Chấm công'!$A$6:$A$105,0)),0)))</f>
        <v/>
      </c>
      <c r="E23" s="16">
        <f>IF(A23="","",ROUND(C23/CD_CONG_CHUAN*D23,0))</f>
        <v/>
      </c>
      <c r="F23" s="17">
        <f>IF(A23="","",N(IFERROR(INDEX('Chấm công'!$AK$6:$AK$105,MATCH(A23,'Chấm công'!$A$6:$A$105,0)),0)))</f>
        <v/>
      </c>
      <c r="G23" s="16">
        <f>IF(A23="","",ROUND(C23/CD_CONG_CHUAN/CD_GIO_NGAY*CD_HE_SO_TC*F23,0))</f>
        <v/>
      </c>
      <c r="H23" s="16">
        <f>IF(A23="","",N(IFERROR(INDEX('Nhân viên'!$E$5:$E$104,MATCH(A23,'Nhân viên'!$A$5:$A$104,0)),"")))</f>
        <v/>
      </c>
      <c r="I23" s="12" t="n"/>
      <c r="J23" s="12" t="n"/>
      <c r="K23" s="16">
        <f>IF(A23="","",E23+G23+H23+N(I23)-N(J23))</f>
        <v/>
      </c>
      <c r="L23" s="16" t="n"/>
    </row>
    <row r="24">
      <c r="A24" s="14">
        <f>IF('Chấm công'!A25="","",'Chấm công'!A25)</f>
        <v/>
      </c>
      <c r="B24" s="14">
        <f>IF(A24="","",IFERROR(INDEX('Nhân viên'!$B$5:$B$104,MATCH(A24,'Nhân viên'!$A$5:$A$104,0)),""))</f>
        <v/>
      </c>
      <c r="C24" s="16">
        <f>IF(A24="","",N(IFERROR(INDEX('Nhân viên'!$D$5:$D$104,MATCH(A24,'Nhân viên'!$A$5:$A$104,0)),"")))</f>
        <v/>
      </c>
      <c r="D24" s="17">
        <f>IF(A24="","",N(IFERROR(INDEX('Chấm công'!$AH$6:$AH$105,MATCH(A24,'Chấm công'!$A$6:$A$105,0)),0)))</f>
        <v/>
      </c>
      <c r="E24" s="16">
        <f>IF(A24="","",ROUND(C24/CD_CONG_CHUAN*D24,0))</f>
        <v/>
      </c>
      <c r="F24" s="17">
        <f>IF(A24="","",N(IFERROR(INDEX('Chấm công'!$AK$6:$AK$105,MATCH(A24,'Chấm công'!$A$6:$A$105,0)),0)))</f>
        <v/>
      </c>
      <c r="G24" s="16">
        <f>IF(A24="","",ROUND(C24/CD_CONG_CHUAN/CD_GIO_NGAY*CD_HE_SO_TC*F24,0))</f>
        <v/>
      </c>
      <c r="H24" s="16">
        <f>IF(A24="","",N(IFERROR(INDEX('Nhân viên'!$E$5:$E$104,MATCH(A24,'Nhân viên'!$A$5:$A$104,0)),"")))</f>
        <v/>
      </c>
      <c r="I24" s="12" t="n"/>
      <c r="J24" s="12" t="n"/>
      <c r="K24" s="16">
        <f>IF(A24="","",E24+G24+H24+N(I24)-N(J24))</f>
        <v/>
      </c>
      <c r="L24" s="16" t="n"/>
    </row>
    <row r="25">
      <c r="A25" s="14">
        <f>IF('Chấm công'!A26="","",'Chấm công'!A26)</f>
        <v/>
      </c>
      <c r="B25" s="14">
        <f>IF(A25="","",IFERROR(INDEX('Nhân viên'!$B$5:$B$104,MATCH(A25,'Nhân viên'!$A$5:$A$104,0)),""))</f>
        <v/>
      </c>
      <c r="C25" s="16">
        <f>IF(A25="","",N(IFERROR(INDEX('Nhân viên'!$D$5:$D$104,MATCH(A25,'Nhân viên'!$A$5:$A$104,0)),"")))</f>
        <v/>
      </c>
      <c r="D25" s="17">
        <f>IF(A25="","",N(IFERROR(INDEX('Chấm công'!$AH$6:$AH$105,MATCH(A25,'Chấm công'!$A$6:$A$105,0)),0)))</f>
        <v/>
      </c>
      <c r="E25" s="16">
        <f>IF(A25="","",ROUND(C25/CD_CONG_CHUAN*D25,0))</f>
        <v/>
      </c>
      <c r="F25" s="17">
        <f>IF(A25="","",N(IFERROR(INDEX('Chấm công'!$AK$6:$AK$105,MATCH(A25,'Chấm công'!$A$6:$A$105,0)),0)))</f>
        <v/>
      </c>
      <c r="G25" s="16">
        <f>IF(A25="","",ROUND(C25/CD_CONG_CHUAN/CD_GIO_NGAY*CD_HE_SO_TC*F25,0))</f>
        <v/>
      </c>
      <c r="H25" s="16">
        <f>IF(A25="","",N(IFERROR(INDEX('Nhân viên'!$E$5:$E$104,MATCH(A25,'Nhân viên'!$A$5:$A$104,0)),"")))</f>
        <v/>
      </c>
      <c r="I25" s="12" t="n"/>
      <c r="J25" s="12" t="n"/>
      <c r="K25" s="16">
        <f>IF(A25="","",E25+G25+H25+N(I25)-N(J25))</f>
        <v/>
      </c>
      <c r="L25" s="16" t="n"/>
    </row>
    <row r="26">
      <c r="A26" s="14">
        <f>IF('Chấm công'!A27="","",'Chấm công'!A27)</f>
        <v/>
      </c>
      <c r="B26" s="14">
        <f>IF(A26="","",IFERROR(INDEX('Nhân viên'!$B$5:$B$104,MATCH(A26,'Nhân viên'!$A$5:$A$104,0)),""))</f>
        <v/>
      </c>
      <c r="C26" s="16">
        <f>IF(A26="","",N(IFERROR(INDEX('Nhân viên'!$D$5:$D$104,MATCH(A26,'Nhân viên'!$A$5:$A$104,0)),"")))</f>
        <v/>
      </c>
      <c r="D26" s="17">
        <f>IF(A26="","",N(IFERROR(INDEX('Chấm công'!$AH$6:$AH$105,MATCH(A26,'Chấm công'!$A$6:$A$105,0)),0)))</f>
        <v/>
      </c>
      <c r="E26" s="16">
        <f>IF(A26="","",ROUND(C26/CD_CONG_CHUAN*D26,0))</f>
        <v/>
      </c>
      <c r="F26" s="17">
        <f>IF(A26="","",N(IFERROR(INDEX('Chấm công'!$AK$6:$AK$105,MATCH(A26,'Chấm công'!$A$6:$A$105,0)),0)))</f>
        <v/>
      </c>
      <c r="G26" s="16">
        <f>IF(A26="","",ROUND(C26/CD_CONG_CHUAN/CD_GIO_NGAY*CD_HE_SO_TC*F26,0))</f>
        <v/>
      </c>
      <c r="H26" s="16">
        <f>IF(A26="","",N(IFERROR(INDEX('Nhân viên'!$E$5:$E$104,MATCH(A26,'Nhân viên'!$A$5:$A$104,0)),"")))</f>
        <v/>
      </c>
      <c r="I26" s="12" t="n"/>
      <c r="J26" s="12" t="n"/>
      <c r="K26" s="16">
        <f>IF(A26="","",E26+G26+H26+N(I26)-N(J26))</f>
        <v/>
      </c>
      <c r="L26" s="16" t="n"/>
    </row>
    <row r="27">
      <c r="A27" s="14">
        <f>IF('Chấm công'!A28="","",'Chấm công'!A28)</f>
        <v/>
      </c>
      <c r="B27" s="14">
        <f>IF(A27="","",IFERROR(INDEX('Nhân viên'!$B$5:$B$104,MATCH(A27,'Nhân viên'!$A$5:$A$104,0)),""))</f>
        <v/>
      </c>
      <c r="C27" s="16">
        <f>IF(A27="","",N(IFERROR(INDEX('Nhân viên'!$D$5:$D$104,MATCH(A27,'Nhân viên'!$A$5:$A$104,0)),"")))</f>
        <v/>
      </c>
      <c r="D27" s="17">
        <f>IF(A27="","",N(IFERROR(INDEX('Chấm công'!$AH$6:$AH$105,MATCH(A27,'Chấm công'!$A$6:$A$105,0)),0)))</f>
        <v/>
      </c>
      <c r="E27" s="16">
        <f>IF(A27="","",ROUND(C27/CD_CONG_CHUAN*D27,0))</f>
        <v/>
      </c>
      <c r="F27" s="17">
        <f>IF(A27="","",N(IFERROR(INDEX('Chấm công'!$AK$6:$AK$105,MATCH(A27,'Chấm công'!$A$6:$A$105,0)),0)))</f>
        <v/>
      </c>
      <c r="G27" s="16">
        <f>IF(A27="","",ROUND(C27/CD_CONG_CHUAN/CD_GIO_NGAY*CD_HE_SO_TC*F27,0))</f>
        <v/>
      </c>
      <c r="H27" s="16">
        <f>IF(A27="","",N(IFERROR(INDEX('Nhân viên'!$E$5:$E$104,MATCH(A27,'Nhân viên'!$A$5:$A$104,0)),"")))</f>
        <v/>
      </c>
      <c r="I27" s="12" t="n"/>
      <c r="J27" s="12" t="n"/>
      <c r="K27" s="16">
        <f>IF(A27="","",E27+G27+H27+N(I27)-N(J27))</f>
        <v/>
      </c>
      <c r="L27" s="16" t="n"/>
    </row>
    <row r="28">
      <c r="A28" s="14">
        <f>IF('Chấm công'!A29="","",'Chấm công'!A29)</f>
        <v/>
      </c>
      <c r="B28" s="14">
        <f>IF(A28="","",IFERROR(INDEX('Nhân viên'!$B$5:$B$104,MATCH(A28,'Nhân viên'!$A$5:$A$104,0)),""))</f>
        <v/>
      </c>
      <c r="C28" s="16">
        <f>IF(A28="","",N(IFERROR(INDEX('Nhân viên'!$D$5:$D$104,MATCH(A28,'Nhân viên'!$A$5:$A$104,0)),"")))</f>
        <v/>
      </c>
      <c r="D28" s="17">
        <f>IF(A28="","",N(IFERROR(INDEX('Chấm công'!$AH$6:$AH$105,MATCH(A28,'Chấm công'!$A$6:$A$105,0)),0)))</f>
        <v/>
      </c>
      <c r="E28" s="16">
        <f>IF(A28="","",ROUND(C28/CD_CONG_CHUAN*D28,0))</f>
        <v/>
      </c>
      <c r="F28" s="17">
        <f>IF(A28="","",N(IFERROR(INDEX('Chấm công'!$AK$6:$AK$105,MATCH(A28,'Chấm công'!$A$6:$A$105,0)),0)))</f>
        <v/>
      </c>
      <c r="G28" s="16">
        <f>IF(A28="","",ROUND(C28/CD_CONG_CHUAN/CD_GIO_NGAY*CD_HE_SO_TC*F28,0))</f>
        <v/>
      </c>
      <c r="H28" s="16">
        <f>IF(A28="","",N(IFERROR(INDEX('Nhân viên'!$E$5:$E$104,MATCH(A28,'Nhân viên'!$A$5:$A$104,0)),"")))</f>
        <v/>
      </c>
      <c r="I28" s="12" t="n"/>
      <c r="J28" s="12" t="n"/>
      <c r="K28" s="16">
        <f>IF(A28="","",E28+G28+H28+N(I28)-N(J28))</f>
        <v/>
      </c>
      <c r="L28" s="16" t="n"/>
    </row>
    <row r="29">
      <c r="A29" s="14">
        <f>IF('Chấm công'!A30="","",'Chấm công'!A30)</f>
        <v/>
      </c>
      <c r="B29" s="14">
        <f>IF(A29="","",IFERROR(INDEX('Nhân viên'!$B$5:$B$104,MATCH(A29,'Nhân viên'!$A$5:$A$104,0)),""))</f>
        <v/>
      </c>
      <c r="C29" s="16">
        <f>IF(A29="","",N(IFERROR(INDEX('Nhân viên'!$D$5:$D$104,MATCH(A29,'Nhân viên'!$A$5:$A$104,0)),"")))</f>
        <v/>
      </c>
      <c r="D29" s="17">
        <f>IF(A29="","",N(IFERROR(INDEX('Chấm công'!$AH$6:$AH$105,MATCH(A29,'Chấm công'!$A$6:$A$105,0)),0)))</f>
        <v/>
      </c>
      <c r="E29" s="16">
        <f>IF(A29="","",ROUND(C29/CD_CONG_CHUAN*D29,0))</f>
        <v/>
      </c>
      <c r="F29" s="17">
        <f>IF(A29="","",N(IFERROR(INDEX('Chấm công'!$AK$6:$AK$105,MATCH(A29,'Chấm công'!$A$6:$A$105,0)),0)))</f>
        <v/>
      </c>
      <c r="G29" s="16">
        <f>IF(A29="","",ROUND(C29/CD_CONG_CHUAN/CD_GIO_NGAY*CD_HE_SO_TC*F29,0))</f>
        <v/>
      </c>
      <c r="H29" s="16">
        <f>IF(A29="","",N(IFERROR(INDEX('Nhân viên'!$E$5:$E$104,MATCH(A29,'Nhân viên'!$A$5:$A$104,0)),"")))</f>
        <v/>
      </c>
      <c r="I29" s="12" t="n"/>
      <c r="J29" s="12" t="n"/>
      <c r="K29" s="16">
        <f>IF(A29="","",E29+G29+H29+N(I29)-N(J29))</f>
        <v/>
      </c>
      <c r="L29" s="16" t="n"/>
    </row>
    <row r="30">
      <c r="A30" s="14">
        <f>IF('Chấm công'!A31="","",'Chấm công'!A31)</f>
        <v/>
      </c>
      <c r="B30" s="14">
        <f>IF(A30="","",IFERROR(INDEX('Nhân viên'!$B$5:$B$104,MATCH(A30,'Nhân viên'!$A$5:$A$104,0)),""))</f>
        <v/>
      </c>
      <c r="C30" s="16">
        <f>IF(A30="","",N(IFERROR(INDEX('Nhân viên'!$D$5:$D$104,MATCH(A30,'Nhân viên'!$A$5:$A$104,0)),"")))</f>
        <v/>
      </c>
      <c r="D30" s="17">
        <f>IF(A30="","",N(IFERROR(INDEX('Chấm công'!$AH$6:$AH$105,MATCH(A30,'Chấm công'!$A$6:$A$105,0)),0)))</f>
        <v/>
      </c>
      <c r="E30" s="16">
        <f>IF(A30="","",ROUND(C30/CD_CONG_CHUAN*D30,0))</f>
        <v/>
      </c>
      <c r="F30" s="17">
        <f>IF(A30="","",N(IFERROR(INDEX('Chấm công'!$AK$6:$AK$105,MATCH(A30,'Chấm công'!$A$6:$A$105,0)),0)))</f>
        <v/>
      </c>
      <c r="G30" s="16">
        <f>IF(A30="","",ROUND(C30/CD_CONG_CHUAN/CD_GIO_NGAY*CD_HE_SO_TC*F30,0))</f>
        <v/>
      </c>
      <c r="H30" s="16">
        <f>IF(A30="","",N(IFERROR(INDEX('Nhân viên'!$E$5:$E$104,MATCH(A30,'Nhân viên'!$A$5:$A$104,0)),"")))</f>
        <v/>
      </c>
      <c r="I30" s="12" t="n"/>
      <c r="J30" s="12" t="n"/>
      <c r="K30" s="16">
        <f>IF(A30="","",E30+G30+H30+N(I30)-N(J30))</f>
        <v/>
      </c>
      <c r="L30" s="16" t="n"/>
    </row>
    <row r="31">
      <c r="A31" s="14">
        <f>IF('Chấm công'!A32="","",'Chấm công'!A32)</f>
        <v/>
      </c>
      <c r="B31" s="14">
        <f>IF(A31="","",IFERROR(INDEX('Nhân viên'!$B$5:$B$104,MATCH(A31,'Nhân viên'!$A$5:$A$104,0)),""))</f>
        <v/>
      </c>
      <c r="C31" s="16">
        <f>IF(A31="","",N(IFERROR(INDEX('Nhân viên'!$D$5:$D$104,MATCH(A31,'Nhân viên'!$A$5:$A$104,0)),"")))</f>
        <v/>
      </c>
      <c r="D31" s="17">
        <f>IF(A31="","",N(IFERROR(INDEX('Chấm công'!$AH$6:$AH$105,MATCH(A31,'Chấm công'!$A$6:$A$105,0)),0)))</f>
        <v/>
      </c>
      <c r="E31" s="16">
        <f>IF(A31="","",ROUND(C31/CD_CONG_CHUAN*D31,0))</f>
        <v/>
      </c>
      <c r="F31" s="17">
        <f>IF(A31="","",N(IFERROR(INDEX('Chấm công'!$AK$6:$AK$105,MATCH(A31,'Chấm công'!$A$6:$A$105,0)),0)))</f>
        <v/>
      </c>
      <c r="G31" s="16">
        <f>IF(A31="","",ROUND(C31/CD_CONG_CHUAN/CD_GIO_NGAY*CD_HE_SO_TC*F31,0))</f>
        <v/>
      </c>
      <c r="H31" s="16">
        <f>IF(A31="","",N(IFERROR(INDEX('Nhân viên'!$E$5:$E$104,MATCH(A31,'Nhân viên'!$A$5:$A$104,0)),"")))</f>
        <v/>
      </c>
      <c r="I31" s="12" t="n"/>
      <c r="J31" s="12" t="n"/>
      <c r="K31" s="16">
        <f>IF(A31="","",E31+G31+H31+N(I31)-N(J31))</f>
        <v/>
      </c>
      <c r="L31" s="16" t="n"/>
    </row>
    <row r="32">
      <c r="A32" s="14">
        <f>IF('Chấm công'!A33="","",'Chấm công'!A33)</f>
        <v/>
      </c>
      <c r="B32" s="14">
        <f>IF(A32="","",IFERROR(INDEX('Nhân viên'!$B$5:$B$104,MATCH(A32,'Nhân viên'!$A$5:$A$104,0)),""))</f>
        <v/>
      </c>
      <c r="C32" s="16">
        <f>IF(A32="","",N(IFERROR(INDEX('Nhân viên'!$D$5:$D$104,MATCH(A32,'Nhân viên'!$A$5:$A$104,0)),"")))</f>
        <v/>
      </c>
      <c r="D32" s="17">
        <f>IF(A32="","",N(IFERROR(INDEX('Chấm công'!$AH$6:$AH$105,MATCH(A32,'Chấm công'!$A$6:$A$105,0)),0)))</f>
        <v/>
      </c>
      <c r="E32" s="16">
        <f>IF(A32="","",ROUND(C32/CD_CONG_CHUAN*D32,0))</f>
        <v/>
      </c>
      <c r="F32" s="17">
        <f>IF(A32="","",N(IFERROR(INDEX('Chấm công'!$AK$6:$AK$105,MATCH(A32,'Chấm công'!$A$6:$A$105,0)),0)))</f>
        <v/>
      </c>
      <c r="G32" s="16">
        <f>IF(A32="","",ROUND(C32/CD_CONG_CHUAN/CD_GIO_NGAY*CD_HE_SO_TC*F32,0))</f>
        <v/>
      </c>
      <c r="H32" s="16">
        <f>IF(A32="","",N(IFERROR(INDEX('Nhân viên'!$E$5:$E$104,MATCH(A32,'Nhân viên'!$A$5:$A$104,0)),"")))</f>
        <v/>
      </c>
      <c r="I32" s="12" t="n"/>
      <c r="J32" s="12" t="n"/>
      <c r="K32" s="16">
        <f>IF(A32="","",E32+G32+H32+N(I32)-N(J32))</f>
        <v/>
      </c>
      <c r="L32" s="16" t="n"/>
    </row>
    <row r="33">
      <c r="A33" s="14">
        <f>IF('Chấm công'!A34="","",'Chấm công'!A34)</f>
        <v/>
      </c>
      <c r="B33" s="14">
        <f>IF(A33="","",IFERROR(INDEX('Nhân viên'!$B$5:$B$104,MATCH(A33,'Nhân viên'!$A$5:$A$104,0)),""))</f>
        <v/>
      </c>
      <c r="C33" s="16">
        <f>IF(A33="","",N(IFERROR(INDEX('Nhân viên'!$D$5:$D$104,MATCH(A33,'Nhân viên'!$A$5:$A$104,0)),"")))</f>
        <v/>
      </c>
      <c r="D33" s="17">
        <f>IF(A33="","",N(IFERROR(INDEX('Chấm công'!$AH$6:$AH$105,MATCH(A33,'Chấm công'!$A$6:$A$105,0)),0)))</f>
        <v/>
      </c>
      <c r="E33" s="16">
        <f>IF(A33="","",ROUND(C33/CD_CONG_CHUAN*D33,0))</f>
        <v/>
      </c>
      <c r="F33" s="17">
        <f>IF(A33="","",N(IFERROR(INDEX('Chấm công'!$AK$6:$AK$105,MATCH(A33,'Chấm công'!$A$6:$A$105,0)),0)))</f>
        <v/>
      </c>
      <c r="G33" s="16">
        <f>IF(A33="","",ROUND(C33/CD_CONG_CHUAN/CD_GIO_NGAY*CD_HE_SO_TC*F33,0))</f>
        <v/>
      </c>
      <c r="H33" s="16">
        <f>IF(A33="","",N(IFERROR(INDEX('Nhân viên'!$E$5:$E$104,MATCH(A33,'Nhân viên'!$A$5:$A$104,0)),"")))</f>
        <v/>
      </c>
      <c r="I33" s="12" t="n"/>
      <c r="J33" s="12" t="n"/>
      <c r="K33" s="16">
        <f>IF(A33="","",E33+G33+H33+N(I33)-N(J33))</f>
        <v/>
      </c>
      <c r="L33" s="16" t="n"/>
    </row>
    <row r="34">
      <c r="A34" s="14">
        <f>IF('Chấm công'!A35="","",'Chấm công'!A35)</f>
        <v/>
      </c>
      <c r="B34" s="14">
        <f>IF(A34="","",IFERROR(INDEX('Nhân viên'!$B$5:$B$104,MATCH(A34,'Nhân viên'!$A$5:$A$104,0)),""))</f>
        <v/>
      </c>
      <c r="C34" s="16">
        <f>IF(A34="","",N(IFERROR(INDEX('Nhân viên'!$D$5:$D$104,MATCH(A34,'Nhân viên'!$A$5:$A$104,0)),"")))</f>
        <v/>
      </c>
      <c r="D34" s="17">
        <f>IF(A34="","",N(IFERROR(INDEX('Chấm công'!$AH$6:$AH$105,MATCH(A34,'Chấm công'!$A$6:$A$105,0)),0)))</f>
        <v/>
      </c>
      <c r="E34" s="16">
        <f>IF(A34="","",ROUND(C34/CD_CONG_CHUAN*D34,0))</f>
        <v/>
      </c>
      <c r="F34" s="17">
        <f>IF(A34="","",N(IFERROR(INDEX('Chấm công'!$AK$6:$AK$105,MATCH(A34,'Chấm công'!$A$6:$A$105,0)),0)))</f>
        <v/>
      </c>
      <c r="G34" s="16">
        <f>IF(A34="","",ROUND(C34/CD_CONG_CHUAN/CD_GIO_NGAY*CD_HE_SO_TC*F34,0))</f>
        <v/>
      </c>
      <c r="H34" s="16">
        <f>IF(A34="","",N(IFERROR(INDEX('Nhân viên'!$E$5:$E$104,MATCH(A34,'Nhân viên'!$A$5:$A$104,0)),"")))</f>
        <v/>
      </c>
      <c r="I34" s="12" t="n"/>
      <c r="J34" s="12" t="n"/>
      <c r="K34" s="16">
        <f>IF(A34="","",E34+G34+H34+N(I34)-N(J34))</f>
        <v/>
      </c>
      <c r="L34" s="16" t="n"/>
    </row>
    <row r="35">
      <c r="A35" s="14">
        <f>IF('Chấm công'!A36="","",'Chấm công'!A36)</f>
        <v/>
      </c>
      <c r="B35" s="14">
        <f>IF(A35="","",IFERROR(INDEX('Nhân viên'!$B$5:$B$104,MATCH(A35,'Nhân viên'!$A$5:$A$104,0)),""))</f>
        <v/>
      </c>
      <c r="C35" s="16">
        <f>IF(A35="","",N(IFERROR(INDEX('Nhân viên'!$D$5:$D$104,MATCH(A35,'Nhân viên'!$A$5:$A$104,0)),"")))</f>
        <v/>
      </c>
      <c r="D35" s="17">
        <f>IF(A35="","",N(IFERROR(INDEX('Chấm công'!$AH$6:$AH$105,MATCH(A35,'Chấm công'!$A$6:$A$105,0)),0)))</f>
        <v/>
      </c>
      <c r="E35" s="16">
        <f>IF(A35="","",ROUND(C35/CD_CONG_CHUAN*D35,0))</f>
        <v/>
      </c>
      <c r="F35" s="17">
        <f>IF(A35="","",N(IFERROR(INDEX('Chấm công'!$AK$6:$AK$105,MATCH(A35,'Chấm công'!$A$6:$A$105,0)),0)))</f>
        <v/>
      </c>
      <c r="G35" s="16">
        <f>IF(A35="","",ROUND(C35/CD_CONG_CHUAN/CD_GIO_NGAY*CD_HE_SO_TC*F35,0))</f>
        <v/>
      </c>
      <c r="H35" s="16">
        <f>IF(A35="","",N(IFERROR(INDEX('Nhân viên'!$E$5:$E$104,MATCH(A35,'Nhân viên'!$A$5:$A$104,0)),"")))</f>
        <v/>
      </c>
      <c r="I35" s="12" t="n"/>
      <c r="J35" s="12" t="n"/>
      <c r="K35" s="16">
        <f>IF(A35="","",E35+G35+H35+N(I35)-N(J35))</f>
        <v/>
      </c>
      <c r="L35" s="16" t="n"/>
    </row>
    <row r="36">
      <c r="A36" s="14">
        <f>IF('Chấm công'!A37="","",'Chấm công'!A37)</f>
        <v/>
      </c>
      <c r="B36" s="14">
        <f>IF(A36="","",IFERROR(INDEX('Nhân viên'!$B$5:$B$104,MATCH(A36,'Nhân viên'!$A$5:$A$104,0)),""))</f>
        <v/>
      </c>
      <c r="C36" s="16">
        <f>IF(A36="","",N(IFERROR(INDEX('Nhân viên'!$D$5:$D$104,MATCH(A36,'Nhân viên'!$A$5:$A$104,0)),"")))</f>
        <v/>
      </c>
      <c r="D36" s="17">
        <f>IF(A36="","",N(IFERROR(INDEX('Chấm công'!$AH$6:$AH$105,MATCH(A36,'Chấm công'!$A$6:$A$105,0)),0)))</f>
        <v/>
      </c>
      <c r="E36" s="16">
        <f>IF(A36="","",ROUND(C36/CD_CONG_CHUAN*D36,0))</f>
        <v/>
      </c>
      <c r="F36" s="17">
        <f>IF(A36="","",N(IFERROR(INDEX('Chấm công'!$AK$6:$AK$105,MATCH(A36,'Chấm công'!$A$6:$A$105,0)),0)))</f>
        <v/>
      </c>
      <c r="G36" s="16">
        <f>IF(A36="","",ROUND(C36/CD_CONG_CHUAN/CD_GIO_NGAY*CD_HE_SO_TC*F36,0))</f>
        <v/>
      </c>
      <c r="H36" s="16">
        <f>IF(A36="","",N(IFERROR(INDEX('Nhân viên'!$E$5:$E$104,MATCH(A36,'Nhân viên'!$A$5:$A$104,0)),"")))</f>
        <v/>
      </c>
      <c r="I36" s="12" t="n"/>
      <c r="J36" s="12" t="n"/>
      <c r="K36" s="16">
        <f>IF(A36="","",E36+G36+H36+N(I36)-N(J36))</f>
        <v/>
      </c>
      <c r="L36" s="16" t="n"/>
    </row>
    <row r="37">
      <c r="A37" s="14">
        <f>IF('Chấm công'!A38="","",'Chấm công'!A38)</f>
        <v/>
      </c>
      <c r="B37" s="14">
        <f>IF(A37="","",IFERROR(INDEX('Nhân viên'!$B$5:$B$104,MATCH(A37,'Nhân viên'!$A$5:$A$104,0)),""))</f>
        <v/>
      </c>
      <c r="C37" s="16">
        <f>IF(A37="","",N(IFERROR(INDEX('Nhân viên'!$D$5:$D$104,MATCH(A37,'Nhân viên'!$A$5:$A$104,0)),"")))</f>
        <v/>
      </c>
      <c r="D37" s="17">
        <f>IF(A37="","",N(IFERROR(INDEX('Chấm công'!$AH$6:$AH$105,MATCH(A37,'Chấm công'!$A$6:$A$105,0)),0)))</f>
        <v/>
      </c>
      <c r="E37" s="16">
        <f>IF(A37="","",ROUND(C37/CD_CONG_CHUAN*D37,0))</f>
        <v/>
      </c>
      <c r="F37" s="17">
        <f>IF(A37="","",N(IFERROR(INDEX('Chấm công'!$AK$6:$AK$105,MATCH(A37,'Chấm công'!$A$6:$A$105,0)),0)))</f>
        <v/>
      </c>
      <c r="G37" s="16">
        <f>IF(A37="","",ROUND(C37/CD_CONG_CHUAN/CD_GIO_NGAY*CD_HE_SO_TC*F37,0))</f>
        <v/>
      </c>
      <c r="H37" s="16">
        <f>IF(A37="","",N(IFERROR(INDEX('Nhân viên'!$E$5:$E$104,MATCH(A37,'Nhân viên'!$A$5:$A$104,0)),"")))</f>
        <v/>
      </c>
      <c r="I37" s="12" t="n"/>
      <c r="J37" s="12" t="n"/>
      <c r="K37" s="16">
        <f>IF(A37="","",E37+G37+H37+N(I37)-N(J37))</f>
        <v/>
      </c>
      <c r="L37" s="16" t="n"/>
    </row>
    <row r="38">
      <c r="A38" s="14">
        <f>IF('Chấm công'!A39="","",'Chấm công'!A39)</f>
        <v/>
      </c>
      <c r="B38" s="14">
        <f>IF(A38="","",IFERROR(INDEX('Nhân viên'!$B$5:$B$104,MATCH(A38,'Nhân viên'!$A$5:$A$104,0)),""))</f>
        <v/>
      </c>
      <c r="C38" s="16">
        <f>IF(A38="","",N(IFERROR(INDEX('Nhân viên'!$D$5:$D$104,MATCH(A38,'Nhân viên'!$A$5:$A$104,0)),"")))</f>
        <v/>
      </c>
      <c r="D38" s="17">
        <f>IF(A38="","",N(IFERROR(INDEX('Chấm công'!$AH$6:$AH$105,MATCH(A38,'Chấm công'!$A$6:$A$105,0)),0)))</f>
        <v/>
      </c>
      <c r="E38" s="16">
        <f>IF(A38="","",ROUND(C38/CD_CONG_CHUAN*D38,0))</f>
        <v/>
      </c>
      <c r="F38" s="17">
        <f>IF(A38="","",N(IFERROR(INDEX('Chấm công'!$AK$6:$AK$105,MATCH(A38,'Chấm công'!$A$6:$A$105,0)),0)))</f>
        <v/>
      </c>
      <c r="G38" s="16">
        <f>IF(A38="","",ROUND(C38/CD_CONG_CHUAN/CD_GIO_NGAY*CD_HE_SO_TC*F38,0))</f>
        <v/>
      </c>
      <c r="H38" s="16">
        <f>IF(A38="","",N(IFERROR(INDEX('Nhân viên'!$E$5:$E$104,MATCH(A38,'Nhân viên'!$A$5:$A$104,0)),"")))</f>
        <v/>
      </c>
      <c r="I38" s="12" t="n"/>
      <c r="J38" s="12" t="n"/>
      <c r="K38" s="16">
        <f>IF(A38="","",E38+G38+H38+N(I38)-N(J38))</f>
        <v/>
      </c>
      <c r="L38" s="16" t="n"/>
    </row>
    <row r="39">
      <c r="A39" s="14">
        <f>IF('Chấm công'!A40="","",'Chấm công'!A40)</f>
        <v/>
      </c>
      <c r="B39" s="14">
        <f>IF(A39="","",IFERROR(INDEX('Nhân viên'!$B$5:$B$104,MATCH(A39,'Nhân viên'!$A$5:$A$104,0)),""))</f>
        <v/>
      </c>
      <c r="C39" s="16">
        <f>IF(A39="","",N(IFERROR(INDEX('Nhân viên'!$D$5:$D$104,MATCH(A39,'Nhân viên'!$A$5:$A$104,0)),"")))</f>
        <v/>
      </c>
      <c r="D39" s="17">
        <f>IF(A39="","",N(IFERROR(INDEX('Chấm công'!$AH$6:$AH$105,MATCH(A39,'Chấm công'!$A$6:$A$105,0)),0)))</f>
        <v/>
      </c>
      <c r="E39" s="16">
        <f>IF(A39="","",ROUND(C39/CD_CONG_CHUAN*D39,0))</f>
        <v/>
      </c>
      <c r="F39" s="17">
        <f>IF(A39="","",N(IFERROR(INDEX('Chấm công'!$AK$6:$AK$105,MATCH(A39,'Chấm công'!$A$6:$A$105,0)),0)))</f>
        <v/>
      </c>
      <c r="G39" s="16">
        <f>IF(A39="","",ROUND(C39/CD_CONG_CHUAN/CD_GIO_NGAY*CD_HE_SO_TC*F39,0))</f>
        <v/>
      </c>
      <c r="H39" s="16">
        <f>IF(A39="","",N(IFERROR(INDEX('Nhân viên'!$E$5:$E$104,MATCH(A39,'Nhân viên'!$A$5:$A$104,0)),"")))</f>
        <v/>
      </c>
      <c r="I39" s="12" t="n"/>
      <c r="J39" s="12" t="n"/>
      <c r="K39" s="16">
        <f>IF(A39="","",E39+G39+H39+N(I39)-N(J39))</f>
        <v/>
      </c>
      <c r="L39" s="16" t="n"/>
    </row>
    <row r="40">
      <c r="A40" s="14">
        <f>IF('Chấm công'!A41="","",'Chấm công'!A41)</f>
        <v/>
      </c>
      <c r="B40" s="14">
        <f>IF(A40="","",IFERROR(INDEX('Nhân viên'!$B$5:$B$104,MATCH(A40,'Nhân viên'!$A$5:$A$104,0)),""))</f>
        <v/>
      </c>
      <c r="C40" s="16">
        <f>IF(A40="","",N(IFERROR(INDEX('Nhân viên'!$D$5:$D$104,MATCH(A40,'Nhân viên'!$A$5:$A$104,0)),"")))</f>
        <v/>
      </c>
      <c r="D40" s="17">
        <f>IF(A40="","",N(IFERROR(INDEX('Chấm công'!$AH$6:$AH$105,MATCH(A40,'Chấm công'!$A$6:$A$105,0)),0)))</f>
        <v/>
      </c>
      <c r="E40" s="16">
        <f>IF(A40="","",ROUND(C40/CD_CONG_CHUAN*D40,0))</f>
        <v/>
      </c>
      <c r="F40" s="17">
        <f>IF(A40="","",N(IFERROR(INDEX('Chấm công'!$AK$6:$AK$105,MATCH(A40,'Chấm công'!$A$6:$A$105,0)),0)))</f>
        <v/>
      </c>
      <c r="G40" s="16">
        <f>IF(A40="","",ROUND(C40/CD_CONG_CHUAN/CD_GIO_NGAY*CD_HE_SO_TC*F40,0))</f>
        <v/>
      </c>
      <c r="H40" s="16">
        <f>IF(A40="","",N(IFERROR(INDEX('Nhân viên'!$E$5:$E$104,MATCH(A40,'Nhân viên'!$A$5:$A$104,0)),"")))</f>
        <v/>
      </c>
      <c r="I40" s="12" t="n"/>
      <c r="J40" s="12" t="n"/>
      <c r="K40" s="16">
        <f>IF(A40="","",E40+G40+H40+N(I40)-N(J40))</f>
        <v/>
      </c>
      <c r="L40" s="16" t="n"/>
    </row>
    <row r="41">
      <c r="A41" s="14">
        <f>IF('Chấm công'!A42="","",'Chấm công'!A42)</f>
        <v/>
      </c>
      <c r="B41" s="14">
        <f>IF(A41="","",IFERROR(INDEX('Nhân viên'!$B$5:$B$104,MATCH(A41,'Nhân viên'!$A$5:$A$104,0)),""))</f>
        <v/>
      </c>
      <c r="C41" s="16">
        <f>IF(A41="","",N(IFERROR(INDEX('Nhân viên'!$D$5:$D$104,MATCH(A41,'Nhân viên'!$A$5:$A$104,0)),"")))</f>
        <v/>
      </c>
      <c r="D41" s="17">
        <f>IF(A41="","",N(IFERROR(INDEX('Chấm công'!$AH$6:$AH$105,MATCH(A41,'Chấm công'!$A$6:$A$105,0)),0)))</f>
        <v/>
      </c>
      <c r="E41" s="16">
        <f>IF(A41="","",ROUND(C41/CD_CONG_CHUAN*D41,0))</f>
        <v/>
      </c>
      <c r="F41" s="17">
        <f>IF(A41="","",N(IFERROR(INDEX('Chấm công'!$AK$6:$AK$105,MATCH(A41,'Chấm công'!$A$6:$A$105,0)),0)))</f>
        <v/>
      </c>
      <c r="G41" s="16">
        <f>IF(A41="","",ROUND(C41/CD_CONG_CHUAN/CD_GIO_NGAY*CD_HE_SO_TC*F41,0))</f>
        <v/>
      </c>
      <c r="H41" s="16">
        <f>IF(A41="","",N(IFERROR(INDEX('Nhân viên'!$E$5:$E$104,MATCH(A41,'Nhân viên'!$A$5:$A$104,0)),"")))</f>
        <v/>
      </c>
      <c r="I41" s="12" t="n"/>
      <c r="J41" s="12" t="n"/>
      <c r="K41" s="16">
        <f>IF(A41="","",E41+G41+H41+N(I41)-N(J41))</f>
        <v/>
      </c>
      <c r="L41" s="16" t="n"/>
    </row>
    <row r="42">
      <c r="A42" s="14">
        <f>IF('Chấm công'!A43="","",'Chấm công'!A43)</f>
        <v/>
      </c>
      <c r="B42" s="14">
        <f>IF(A42="","",IFERROR(INDEX('Nhân viên'!$B$5:$B$104,MATCH(A42,'Nhân viên'!$A$5:$A$104,0)),""))</f>
        <v/>
      </c>
      <c r="C42" s="16">
        <f>IF(A42="","",N(IFERROR(INDEX('Nhân viên'!$D$5:$D$104,MATCH(A42,'Nhân viên'!$A$5:$A$104,0)),"")))</f>
        <v/>
      </c>
      <c r="D42" s="17">
        <f>IF(A42="","",N(IFERROR(INDEX('Chấm công'!$AH$6:$AH$105,MATCH(A42,'Chấm công'!$A$6:$A$105,0)),0)))</f>
        <v/>
      </c>
      <c r="E42" s="16">
        <f>IF(A42="","",ROUND(C42/CD_CONG_CHUAN*D42,0))</f>
        <v/>
      </c>
      <c r="F42" s="17">
        <f>IF(A42="","",N(IFERROR(INDEX('Chấm công'!$AK$6:$AK$105,MATCH(A42,'Chấm công'!$A$6:$A$105,0)),0)))</f>
        <v/>
      </c>
      <c r="G42" s="16">
        <f>IF(A42="","",ROUND(C42/CD_CONG_CHUAN/CD_GIO_NGAY*CD_HE_SO_TC*F42,0))</f>
        <v/>
      </c>
      <c r="H42" s="16">
        <f>IF(A42="","",N(IFERROR(INDEX('Nhân viên'!$E$5:$E$104,MATCH(A42,'Nhân viên'!$A$5:$A$104,0)),"")))</f>
        <v/>
      </c>
      <c r="I42" s="12" t="n"/>
      <c r="J42" s="12" t="n"/>
      <c r="K42" s="16">
        <f>IF(A42="","",E42+G42+H42+N(I42)-N(J42))</f>
        <v/>
      </c>
      <c r="L42" s="16" t="n"/>
    </row>
    <row r="43">
      <c r="A43" s="14">
        <f>IF('Chấm công'!A44="","",'Chấm công'!A44)</f>
        <v/>
      </c>
      <c r="B43" s="14">
        <f>IF(A43="","",IFERROR(INDEX('Nhân viên'!$B$5:$B$104,MATCH(A43,'Nhân viên'!$A$5:$A$104,0)),""))</f>
        <v/>
      </c>
      <c r="C43" s="16">
        <f>IF(A43="","",N(IFERROR(INDEX('Nhân viên'!$D$5:$D$104,MATCH(A43,'Nhân viên'!$A$5:$A$104,0)),"")))</f>
        <v/>
      </c>
      <c r="D43" s="17">
        <f>IF(A43="","",N(IFERROR(INDEX('Chấm công'!$AH$6:$AH$105,MATCH(A43,'Chấm công'!$A$6:$A$105,0)),0)))</f>
        <v/>
      </c>
      <c r="E43" s="16">
        <f>IF(A43="","",ROUND(C43/CD_CONG_CHUAN*D43,0))</f>
        <v/>
      </c>
      <c r="F43" s="17">
        <f>IF(A43="","",N(IFERROR(INDEX('Chấm công'!$AK$6:$AK$105,MATCH(A43,'Chấm công'!$A$6:$A$105,0)),0)))</f>
        <v/>
      </c>
      <c r="G43" s="16">
        <f>IF(A43="","",ROUND(C43/CD_CONG_CHUAN/CD_GIO_NGAY*CD_HE_SO_TC*F43,0))</f>
        <v/>
      </c>
      <c r="H43" s="16">
        <f>IF(A43="","",N(IFERROR(INDEX('Nhân viên'!$E$5:$E$104,MATCH(A43,'Nhân viên'!$A$5:$A$104,0)),"")))</f>
        <v/>
      </c>
      <c r="I43" s="12" t="n"/>
      <c r="J43" s="12" t="n"/>
      <c r="K43" s="16">
        <f>IF(A43="","",E43+G43+H43+N(I43)-N(J43))</f>
        <v/>
      </c>
      <c r="L43" s="16" t="n"/>
    </row>
    <row r="44">
      <c r="A44" s="14">
        <f>IF('Chấm công'!A45="","",'Chấm công'!A45)</f>
        <v/>
      </c>
      <c r="B44" s="14">
        <f>IF(A44="","",IFERROR(INDEX('Nhân viên'!$B$5:$B$104,MATCH(A44,'Nhân viên'!$A$5:$A$104,0)),""))</f>
        <v/>
      </c>
      <c r="C44" s="16">
        <f>IF(A44="","",N(IFERROR(INDEX('Nhân viên'!$D$5:$D$104,MATCH(A44,'Nhân viên'!$A$5:$A$104,0)),"")))</f>
        <v/>
      </c>
      <c r="D44" s="17">
        <f>IF(A44="","",N(IFERROR(INDEX('Chấm công'!$AH$6:$AH$105,MATCH(A44,'Chấm công'!$A$6:$A$105,0)),0)))</f>
        <v/>
      </c>
      <c r="E44" s="16">
        <f>IF(A44="","",ROUND(C44/CD_CONG_CHUAN*D44,0))</f>
        <v/>
      </c>
      <c r="F44" s="17">
        <f>IF(A44="","",N(IFERROR(INDEX('Chấm công'!$AK$6:$AK$105,MATCH(A44,'Chấm công'!$A$6:$A$105,0)),0)))</f>
        <v/>
      </c>
      <c r="G44" s="16">
        <f>IF(A44="","",ROUND(C44/CD_CONG_CHUAN/CD_GIO_NGAY*CD_HE_SO_TC*F44,0))</f>
        <v/>
      </c>
      <c r="H44" s="16">
        <f>IF(A44="","",N(IFERROR(INDEX('Nhân viên'!$E$5:$E$104,MATCH(A44,'Nhân viên'!$A$5:$A$104,0)),"")))</f>
        <v/>
      </c>
      <c r="I44" s="12" t="n"/>
      <c r="J44" s="12" t="n"/>
      <c r="K44" s="16">
        <f>IF(A44="","",E44+G44+H44+N(I44)-N(J44))</f>
        <v/>
      </c>
      <c r="L44" s="16" t="n"/>
    </row>
    <row r="45">
      <c r="A45" s="14">
        <f>IF('Chấm công'!A46="","",'Chấm công'!A46)</f>
        <v/>
      </c>
      <c r="B45" s="14">
        <f>IF(A45="","",IFERROR(INDEX('Nhân viên'!$B$5:$B$104,MATCH(A45,'Nhân viên'!$A$5:$A$104,0)),""))</f>
        <v/>
      </c>
      <c r="C45" s="16">
        <f>IF(A45="","",N(IFERROR(INDEX('Nhân viên'!$D$5:$D$104,MATCH(A45,'Nhân viên'!$A$5:$A$104,0)),"")))</f>
        <v/>
      </c>
      <c r="D45" s="17">
        <f>IF(A45="","",N(IFERROR(INDEX('Chấm công'!$AH$6:$AH$105,MATCH(A45,'Chấm công'!$A$6:$A$105,0)),0)))</f>
        <v/>
      </c>
      <c r="E45" s="16">
        <f>IF(A45="","",ROUND(C45/CD_CONG_CHUAN*D45,0))</f>
        <v/>
      </c>
      <c r="F45" s="17">
        <f>IF(A45="","",N(IFERROR(INDEX('Chấm công'!$AK$6:$AK$105,MATCH(A45,'Chấm công'!$A$6:$A$105,0)),0)))</f>
        <v/>
      </c>
      <c r="G45" s="16">
        <f>IF(A45="","",ROUND(C45/CD_CONG_CHUAN/CD_GIO_NGAY*CD_HE_SO_TC*F45,0))</f>
        <v/>
      </c>
      <c r="H45" s="16">
        <f>IF(A45="","",N(IFERROR(INDEX('Nhân viên'!$E$5:$E$104,MATCH(A45,'Nhân viên'!$A$5:$A$104,0)),"")))</f>
        <v/>
      </c>
      <c r="I45" s="12" t="n"/>
      <c r="J45" s="12" t="n"/>
      <c r="K45" s="16">
        <f>IF(A45="","",E45+G45+H45+N(I45)-N(J45))</f>
        <v/>
      </c>
      <c r="L45" s="16" t="n"/>
    </row>
    <row r="46">
      <c r="A46" s="14">
        <f>IF('Chấm công'!A47="","",'Chấm công'!A47)</f>
        <v/>
      </c>
      <c r="B46" s="14">
        <f>IF(A46="","",IFERROR(INDEX('Nhân viên'!$B$5:$B$104,MATCH(A46,'Nhân viên'!$A$5:$A$104,0)),""))</f>
        <v/>
      </c>
      <c r="C46" s="16">
        <f>IF(A46="","",N(IFERROR(INDEX('Nhân viên'!$D$5:$D$104,MATCH(A46,'Nhân viên'!$A$5:$A$104,0)),"")))</f>
        <v/>
      </c>
      <c r="D46" s="17">
        <f>IF(A46="","",N(IFERROR(INDEX('Chấm công'!$AH$6:$AH$105,MATCH(A46,'Chấm công'!$A$6:$A$105,0)),0)))</f>
        <v/>
      </c>
      <c r="E46" s="16">
        <f>IF(A46="","",ROUND(C46/CD_CONG_CHUAN*D46,0))</f>
        <v/>
      </c>
      <c r="F46" s="17">
        <f>IF(A46="","",N(IFERROR(INDEX('Chấm công'!$AK$6:$AK$105,MATCH(A46,'Chấm công'!$A$6:$A$105,0)),0)))</f>
        <v/>
      </c>
      <c r="G46" s="16">
        <f>IF(A46="","",ROUND(C46/CD_CONG_CHUAN/CD_GIO_NGAY*CD_HE_SO_TC*F46,0))</f>
        <v/>
      </c>
      <c r="H46" s="16">
        <f>IF(A46="","",N(IFERROR(INDEX('Nhân viên'!$E$5:$E$104,MATCH(A46,'Nhân viên'!$A$5:$A$104,0)),"")))</f>
        <v/>
      </c>
      <c r="I46" s="12" t="n"/>
      <c r="J46" s="12" t="n"/>
      <c r="K46" s="16">
        <f>IF(A46="","",E46+G46+H46+N(I46)-N(J46))</f>
        <v/>
      </c>
      <c r="L46" s="16" t="n"/>
    </row>
    <row r="47">
      <c r="A47" s="14">
        <f>IF('Chấm công'!A48="","",'Chấm công'!A48)</f>
        <v/>
      </c>
      <c r="B47" s="14">
        <f>IF(A47="","",IFERROR(INDEX('Nhân viên'!$B$5:$B$104,MATCH(A47,'Nhân viên'!$A$5:$A$104,0)),""))</f>
        <v/>
      </c>
      <c r="C47" s="16">
        <f>IF(A47="","",N(IFERROR(INDEX('Nhân viên'!$D$5:$D$104,MATCH(A47,'Nhân viên'!$A$5:$A$104,0)),"")))</f>
        <v/>
      </c>
      <c r="D47" s="17">
        <f>IF(A47="","",N(IFERROR(INDEX('Chấm công'!$AH$6:$AH$105,MATCH(A47,'Chấm công'!$A$6:$A$105,0)),0)))</f>
        <v/>
      </c>
      <c r="E47" s="16">
        <f>IF(A47="","",ROUND(C47/CD_CONG_CHUAN*D47,0))</f>
        <v/>
      </c>
      <c r="F47" s="17">
        <f>IF(A47="","",N(IFERROR(INDEX('Chấm công'!$AK$6:$AK$105,MATCH(A47,'Chấm công'!$A$6:$A$105,0)),0)))</f>
        <v/>
      </c>
      <c r="G47" s="16">
        <f>IF(A47="","",ROUND(C47/CD_CONG_CHUAN/CD_GIO_NGAY*CD_HE_SO_TC*F47,0))</f>
        <v/>
      </c>
      <c r="H47" s="16">
        <f>IF(A47="","",N(IFERROR(INDEX('Nhân viên'!$E$5:$E$104,MATCH(A47,'Nhân viên'!$A$5:$A$104,0)),"")))</f>
        <v/>
      </c>
      <c r="I47" s="12" t="n"/>
      <c r="J47" s="12" t="n"/>
      <c r="K47" s="16">
        <f>IF(A47="","",E47+G47+H47+N(I47)-N(J47))</f>
        <v/>
      </c>
      <c r="L47" s="16" t="n"/>
    </row>
    <row r="48">
      <c r="A48" s="14">
        <f>IF('Chấm công'!A49="","",'Chấm công'!A49)</f>
        <v/>
      </c>
      <c r="B48" s="14">
        <f>IF(A48="","",IFERROR(INDEX('Nhân viên'!$B$5:$B$104,MATCH(A48,'Nhân viên'!$A$5:$A$104,0)),""))</f>
        <v/>
      </c>
      <c r="C48" s="16">
        <f>IF(A48="","",N(IFERROR(INDEX('Nhân viên'!$D$5:$D$104,MATCH(A48,'Nhân viên'!$A$5:$A$104,0)),"")))</f>
        <v/>
      </c>
      <c r="D48" s="17">
        <f>IF(A48="","",N(IFERROR(INDEX('Chấm công'!$AH$6:$AH$105,MATCH(A48,'Chấm công'!$A$6:$A$105,0)),0)))</f>
        <v/>
      </c>
      <c r="E48" s="16">
        <f>IF(A48="","",ROUND(C48/CD_CONG_CHUAN*D48,0))</f>
        <v/>
      </c>
      <c r="F48" s="17">
        <f>IF(A48="","",N(IFERROR(INDEX('Chấm công'!$AK$6:$AK$105,MATCH(A48,'Chấm công'!$A$6:$A$105,0)),0)))</f>
        <v/>
      </c>
      <c r="G48" s="16">
        <f>IF(A48="","",ROUND(C48/CD_CONG_CHUAN/CD_GIO_NGAY*CD_HE_SO_TC*F48,0))</f>
        <v/>
      </c>
      <c r="H48" s="16">
        <f>IF(A48="","",N(IFERROR(INDEX('Nhân viên'!$E$5:$E$104,MATCH(A48,'Nhân viên'!$A$5:$A$104,0)),"")))</f>
        <v/>
      </c>
      <c r="I48" s="12" t="n"/>
      <c r="J48" s="12" t="n"/>
      <c r="K48" s="16">
        <f>IF(A48="","",E48+G48+H48+N(I48)-N(J48))</f>
        <v/>
      </c>
      <c r="L48" s="16" t="n"/>
    </row>
    <row r="49">
      <c r="A49" s="14">
        <f>IF('Chấm công'!A50="","",'Chấm công'!A50)</f>
        <v/>
      </c>
      <c r="B49" s="14">
        <f>IF(A49="","",IFERROR(INDEX('Nhân viên'!$B$5:$B$104,MATCH(A49,'Nhân viên'!$A$5:$A$104,0)),""))</f>
        <v/>
      </c>
      <c r="C49" s="16">
        <f>IF(A49="","",N(IFERROR(INDEX('Nhân viên'!$D$5:$D$104,MATCH(A49,'Nhân viên'!$A$5:$A$104,0)),"")))</f>
        <v/>
      </c>
      <c r="D49" s="17">
        <f>IF(A49="","",N(IFERROR(INDEX('Chấm công'!$AH$6:$AH$105,MATCH(A49,'Chấm công'!$A$6:$A$105,0)),0)))</f>
        <v/>
      </c>
      <c r="E49" s="16">
        <f>IF(A49="","",ROUND(C49/CD_CONG_CHUAN*D49,0))</f>
        <v/>
      </c>
      <c r="F49" s="17">
        <f>IF(A49="","",N(IFERROR(INDEX('Chấm công'!$AK$6:$AK$105,MATCH(A49,'Chấm công'!$A$6:$A$105,0)),0)))</f>
        <v/>
      </c>
      <c r="G49" s="16">
        <f>IF(A49="","",ROUND(C49/CD_CONG_CHUAN/CD_GIO_NGAY*CD_HE_SO_TC*F49,0))</f>
        <v/>
      </c>
      <c r="H49" s="16">
        <f>IF(A49="","",N(IFERROR(INDEX('Nhân viên'!$E$5:$E$104,MATCH(A49,'Nhân viên'!$A$5:$A$104,0)),"")))</f>
        <v/>
      </c>
      <c r="I49" s="12" t="n"/>
      <c r="J49" s="12" t="n"/>
      <c r="K49" s="16">
        <f>IF(A49="","",E49+G49+H49+N(I49)-N(J49))</f>
        <v/>
      </c>
      <c r="L49" s="16" t="n"/>
    </row>
    <row r="50">
      <c r="A50" s="14">
        <f>IF('Chấm công'!A51="","",'Chấm công'!A51)</f>
        <v/>
      </c>
      <c r="B50" s="14">
        <f>IF(A50="","",IFERROR(INDEX('Nhân viên'!$B$5:$B$104,MATCH(A50,'Nhân viên'!$A$5:$A$104,0)),""))</f>
        <v/>
      </c>
      <c r="C50" s="16">
        <f>IF(A50="","",N(IFERROR(INDEX('Nhân viên'!$D$5:$D$104,MATCH(A50,'Nhân viên'!$A$5:$A$104,0)),"")))</f>
        <v/>
      </c>
      <c r="D50" s="17">
        <f>IF(A50="","",N(IFERROR(INDEX('Chấm công'!$AH$6:$AH$105,MATCH(A50,'Chấm công'!$A$6:$A$105,0)),0)))</f>
        <v/>
      </c>
      <c r="E50" s="16">
        <f>IF(A50="","",ROUND(C50/CD_CONG_CHUAN*D50,0))</f>
        <v/>
      </c>
      <c r="F50" s="17">
        <f>IF(A50="","",N(IFERROR(INDEX('Chấm công'!$AK$6:$AK$105,MATCH(A50,'Chấm công'!$A$6:$A$105,0)),0)))</f>
        <v/>
      </c>
      <c r="G50" s="16">
        <f>IF(A50="","",ROUND(C50/CD_CONG_CHUAN/CD_GIO_NGAY*CD_HE_SO_TC*F50,0))</f>
        <v/>
      </c>
      <c r="H50" s="16">
        <f>IF(A50="","",N(IFERROR(INDEX('Nhân viên'!$E$5:$E$104,MATCH(A50,'Nhân viên'!$A$5:$A$104,0)),"")))</f>
        <v/>
      </c>
      <c r="I50" s="12" t="n"/>
      <c r="J50" s="12" t="n"/>
      <c r="K50" s="16">
        <f>IF(A50="","",E50+G50+H50+N(I50)-N(J50))</f>
        <v/>
      </c>
      <c r="L50" s="16" t="n"/>
    </row>
    <row r="51">
      <c r="A51" s="14">
        <f>IF('Chấm công'!A52="","",'Chấm công'!A52)</f>
        <v/>
      </c>
      <c r="B51" s="14">
        <f>IF(A51="","",IFERROR(INDEX('Nhân viên'!$B$5:$B$104,MATCH(A51,'Nhân viên'!$A$5:$A$104,0)),""))</f>
        <v/>
      </c>
      <c r="C51" s="16">
        <f>IF(A51="","",N(IFERROR(INDEX('Nhân viên'!$D$5:$D$104,MATCH(A51,'Nhân viên'!$A$5:$A$104,0)),"")))</f>
        <v/>
      </c>
      <c r="D51" s="17">
        <f>IF(A51="","",N(IFERROR(INDEX('Chấm công'!$AH$6:$AH$105,MATCH(A51,'Chấm công'!$A$6:$A$105,0)),0)))</f>
        <v/>
      </c>
      <c r="E51" s="16">
        <f>IF(A51="","",ROUND(C51/CD_CONG_CHUAN*D51,0))</f>
        <v/>
      </c>
      <c r="F51" s="17">
        <f>IF(A51="","",N(IFERROR(INDEX('Chấm công'!$AK$6:$AK$105,MATCH(A51,'Chấm công'!$A$6:$A$105,0)),0)))</f>
        <v/>
      </c>
      <c r="G51" s="16">
        <f>IF(A51="","",ROUND(C51/CD_CONG_CHUAN/CD_GIO_NGAY*CD_HE_SO_TC*F51,0))</f>
        <v/>
      </c>
      <c r="H51" s="16">
        <f>IF(A51="","",N(IFERROR(INDEX('Nhân viên'!$E$5:$E$104,MATCH(A51,'Nhân viên'!$A$5:$A$104,0)),"")))</f>
        <v/>
      </c>
      <c r="I51" s="12" t="n"/>
      <c r="J51" s="12" t="n"/>
      <c r="K51" s="16">
        <f>IF(A51="","",E51+G51+H51+N(I51)-N(J51))</f>
        <v/>
      </c>
      <c r="L51" s="16" t="n"/>
    </row>
    <row r="52">
      <c r="A52" s="14">
        <f>IF('Chấm công'!A53="","",'Chấm công'!A53)</f>
        <v/>
      </c>
      <c r="B52" s="14">
        <f>IF(A52="","",IFERROR(INDEX('Nhân viên'!$B$5:$B$104,MATCH(A52,'Nhân viên'!$A$5:$A$104,0)),""))</f>
        <v/>
      </c>
      <c r="C52" s="16">
        <f>IF(A52="","",N(IFERROR(INDEX('Nhân viên'!$D$5:$D$104,MATCH(A52,'Nhân viên'!$A$5:$A$104,0)),"")))</f>
        <v/>
      </c>
      <c r="D52" s="17">
        <f>IF(A52="","",N(IFERROR(INDEX('Chấm công'!$AH$6:$AH$105,MATCH(A52,'Chấm công'!$A$6:$A$105,0)),0)))</f>
        <v/>
      </c>
      <c r="E52" s="16">
        <f>IF(A52="","",ROUND(C52/CD_CONG_CHUAN*D52,0))</f>
        <v/>
      </c>
      <c r="F52" s="17">
        <f>IF(A52="","",N(IFERROR(INDEX('Chấm công'!$AK$6:$AK$105,MATCH(A52,'Chấm công'!$A$6:$A$105,0)),0)))</f>
        <v/>
      </c>
      <c r="G52" s="16">
        <f>IF(A52="","",ROUND(C52/CD_CONG_CHUAN/CD_GIO_NGAY*CD_HE_SO_TC*F52,0))</f>
        <v/>
      </c>
      <c r="H52" s="16">
        <f>IF(A52="","",N(IFERROR(INDEX('Nhân viên'!$E$5:$E$104,MATCH(A52,'Nhân viên'!$A$5:$A$104,0)),"")))</f>
        <v/>
      </c>
      <c r="I52" s="12" t="n"/>
      <c r="J52" s="12" t="n"/>
      <c r="K52" s="16">
        <f>IF(A52="","",E52+G52+H52+N(I52)-N(J52))</f>
        <v/>
      </c>
      <c r="L52" s="16" t="n"/>
    </row>
    <row r="53">
      <c r="A53" s="14">
        <f>IF('Chấm công'!A54="","",'Chấm công'!A54)</f>
        <v/>
      </c>
      <c r="B53" s="14">
        <f>IF(A53="","",IFERROR(INDEX('Nhân viên'!$B$5:$B$104,MATCH(A53,'Nhân viên'!$A$5:$A$104,0)),""))</f>
        <v/>
      </c>
      <c r="C53" s="16">
        <f>IF(A53="","",N(IFERROR(INDEX('Nhân viên'!$D$5:$D$104,MATCH(A53,'Nhân viên'!$A$5:$A$104,0)),"")))</f>
        <v/>
      </c>
      <c r="D53" s="17">
        <f>IF(A53="","",N(IFERROR(INDEX('Chấm công'!$AH$6:$AH$105,MATCH(A53,'Chấm công'!$A$6:$A$105,0)),0)))</f>
        <v/>
      </c>
      <c r="E53" s="16">
        <f>IF(A53="","",ROUND(C53/CD_CONG_CHUAN*D53,0))</f>
        <v/>
      </c>
      <c r="F53" s="17">
        <f>IF(A53="","",N(IFERROR(INDEX('Chấm công'!$AK$6:$AK$105,MATCH(A53,'Chấm công'!$A$6:$A$105,0)),0)))</f>
        <v/>
      </c>
      <c r="G53" s="16">
        <f>IF(A53="","",ROUND(C53/CD_CONG_CHUAN/CD_GIO_NGAY*CD_HE_SO_TC*F53,0))</f>
        <v/>
      </c>
      <c r="H53" s="16">
        <f>IF(A53="","",N(IFERROR(INDEX('Nhân viên'!$E$5:$E$104,MATCH(A53,'Nhân viên'!$A$5:$A$104,0)),"")))</f>
        <v/>
      </c>
      <c r="I53" s="12" t="n"/>
      <c r="J53" s="12" t="n"/>
      <c r="K53" s="16">
        <f>IF(A53="","",E53+G53+H53+N(I53)-N(J53))</f>
        <v/>
      </c>
      <c r="L53" s="16" t="n"/>
    </row>
    <row r="54">
      <c r="A54" s="14">
        <f>IF('Chấm công'!A55="","",'Chấm công'!A55)</f>
        <v/>
      </c>
      <c r="B54" s="14">
        <f>IF(A54="","",IFERROR(INDEX('Nhân viên'!$B$5:$B$104,MATCH(A54,'Nhân viên'!$A$5:$A$104,0)),""))</f>
        <v/>
      </c>
      <c r="C54" s="16">
        <f>IF(A54="","",N(IFERROR(INDEX('Nhân viên'!$D$5:$D$104,MATCH(A54,'Nhân viên'!$A$5:$A$104,0)),"")))</f>
        <v/>
      </c>
      <c r="D54" s="17">
        <f>IF(A54="","",N(IFERROR(INDEX('Chấm công'!$AH$6:$AH$105,MATCH(A54,'Chấm công'!$A$6:$A$105,0)),0)))</f>
        <v/>
      </c>
      <c r="E54" s="16">
        <f>IF(A54="","",ROUND(C54/CD_CONG_CHUAN*D54,0))</f>
        <v/>
      </c>
      <c r="F54" s="17">
        <f>IF(A54="","",N(IFERROR(INDEX('Chấm công'!$AK$6:$AK$105,MATCH(A54,'Chấm công'!$A$6:$A$105,0)),0)))</f>
        <v/>
      </c>
      <c r="G54" s="16">
        <f>IF(A54="","",ROUND(C54/CD_CONG_CHUAN/CD_GIO_NGAY*CD_HE_SO_TC*F54,0))</f>
        <v/>
      </c>
      <c r="H54" s="16">
        <f>IF(A54="","",N(IFERROR(INDEX('Nhân viên'!$E$5:$E$104,MATCH(A54,'Nhân viên'!$A$5:$A$104,0)),"")))</f>
        <v/>
      </c>
      <c r="I54" s="12" t="n"/>
      <c r="J54" s="12" t="n"/>
      <c r="K54" s="16">
        <f>IF(A54="","",E54+G54+H54+N(I54)-N(J54))</f>
        <v/>
      </c>
      <c r="L54" s="16" t="n"/>
    </row>
    <row r="55">
      <c r="A55" s="14">
        <f>IF('Chấm công'!A56="","",'Chấm công'!A56)</f>
        <v/>
      </c>
      <c r="B55" s="14">
        <f>IF(A55="","",IFERROR(INDEX('Nhân viên'!$B$5:$B$104,MATCH(A55,'Nhân viên'!$A$5:$A$104,0)),""))</f>
        <v/>
      </c>
      <c r="C55" s="16">
        <f>IF(A55="","",N(IFERROR(INDEX('Nhân viên'!$D$5:$D$104,MATCH(A55,'Nhân viên'!$A$5:$A$104,0)),"")))</f>
        <v/>
      </c>
      <c r="D55" s="17">
        <f>IF(A55="","",N(IFERROR(INDEX('Chấm công'!$AH$6:$AH$105,MATCH(A55,'Chấm công'!$A$6:$A$105,0)),0)))</f>
        <v/>
      </c>
      <c r="E55" s="16">
        <f>IF(A55="","",ROUND(C55/CD_CONG_CHUAN*D55,0))</f>
        <v/>
      </c>
      <c r="F55" s="17">
        <f>IF(A55="","",N(IFERROR(INDEX('Chấm công'!$AK$6:$AK$105,MATCH(A55,'Chấm công'!$A$6:$A$105,0)),0)))</f>
        <v/>
      </c>
      <c r="G55" s="16">
        <f>IF(A55="","",ROUND(C55/CD_CONG_CHUAN/CD_GIO_NGAY*CD_HE_SO_TC*F55,0))</f>
        <v/>
      </c>
      <c r="H55" s="16">
        <f>IF(A55="","",N(IFERROR(INDEX('Nhân viên'!$E$5:$E$104,MATCH(A55,'Nhân viên'!$A$5:$A$104,0)),"")))</f>
        <v/>
      </c>
      <c r="I55" s="12" t="n"/>
      <c r="J55" s="12" t="n"/>
      <c r="K55" s="16">
        <f>IF(A55="","",E55+G55+H55+N(I55)-N(J55))</f>
        <v/>
      </c>
      <c r="L55" s="16" t="n"/>
    </row>
    <row r="56">
      <c r="A56" s="14">
        <f>IF('Chấm công'!A57="","",'Chấm công'!A57)</f>
        <v/>
      </c>
      <c r="B56" s="14">
        <f>IF(A56="","",IFERROR(INDEX('Nhân viên'!$B$5:$B$104,MATCH(A56,'Nhân viên'!$A$5:$A$104,0)),""))</f>
        <v/>
      </c>
      <c r="C56" s="16">
        <f>IF(A56="","",N(IFERROR(INDEX('Nhân viên'!$D$5:$D$104,MATCH(A56,'Nhân viên'!$A$5:$A$104,0)),"")))</f>
        <v/>
      </c>
      <c r="D56" s="17">
        <f>IF(A56="","",N(IFERROR(INDEX('Chấm công'!$AH$6:$AH$105,MATCH(A56,'Chấm công'!$A$6:$A$105,0)),0)))</f>
        <v/>
      </c>
      <c r="E56" s="16">
        <f>IF(A56="","",ROUND(C56/CD_CONG_CHUAN*D56,0))</f>
        <v/>
      </c>
      <c r="F56" s="17">
        <f>IF(A56="","",N(IFERROR(INDEX('Chấm công'!$AK$6:$AK$105,MATCH(A56,'Chấm công'!$A$6:$A$105,0)),0)))</f>
        <v/>
      </c>
      <c r="G56" s="16">
        <f>IF(A56="","",ROUND(C56/CD_CONG_CHUAN/CD_GIO_NGAY*CD_HE_SO_TC*F56,0))</f>
        <v/>
      </c>
      <c r="H56" s="16">
        <f>IF(A56="","",N(IFERROR(INDEX('Nhân viên'!$E$5:$E$104,MATCH(A56,'Nhân viên'!$A$5:$A$104,0)),"")))</f>
        <v/>
      </c>
      <c r="I56" s="12" t="n"/>
      <c r="J56" s="12" t="n"/>
      <c r="K56" s="16">
        <f>IF(A56="","",E56+G56+H56+N(I56)-N(J56))</f>
        <v/>
      </c>
      <c r="L56" s="16" t="n"/>
    </row>
    <row r="57">
      <c r="A57" s="14">
        <f>IF('Chấm công'!A58="","",'Chấm công'!A58)</f>
        <v/>
      </c>
      <c r="B57" s="14">
        <f>IF(A57="","",IFERROR(INDEX('Nhân viên'!$B$5:$B$104,MATCH(A57,'Nhân viên'!$A$5:$A$104,0)),""))</f>
        <v/>
      </c>
      <c r="C57" s="16">
        <f>IF(A57="","",N(IFERROR(INDEX('Nhân viên'!$D$5:$D$104,MATCH(A57,'Nhân viên'!$A$5:$A$104,0)),"")))</f>
        <v/>
      </c>
      <c r="D57" s="17">
        <f>IF(A57="","",N(IFERROR(INDEX('Chấm công'!$AH$6:$AH$105,MATCH(A57,'Chấm công'!$A$6:$A$105,0)),0)))</f>
        <v/>
      </c>
      <c r="E57" s="16">
        <f>IF(A57="","",ROUND(C57/CD_CONG_CHUAN*D57,0))</f>
        <v/>
      </c>
      <c r="F57" s="17">
        <f>IF(A57="","",N(IFERROR(INDEX('Chấm công'!$AK$6:$AK$105,MATCH(A57,'Chấm công'!$A$6:$A$105,0)),0)))</f>
        <v/>
      </c>
      <c r="G57" s="16">
        <f>IF(A57="","",ROUND(C57/CD_CONG_CHUAN/CD_GIO_NGAY*CD_HE_SO_TC*F57,0))</f>
        <v/>
      </c>
      <c r="H57" s="16">
        <f>IF(A57="","",N(IFERROR(INDEX('Nhân viên'!$E$5:$E$104,MATCH(A57,'Nhân viên'!$A$5:$A$104,0)),"")))</f>
        <v/>
      </c>
      <c r="I57" s="12" t="n"/>
      <c r="J57" s="12" t="n"/>
      <c r="K57" s="16">
        <f>IF(A57="","",E57+G57+H57+N(I57)-N(J57))</f>
        <v/>
      </c>
      <c r="L57" s="16" t="n"/>
    </row>
    <row r="58">
      <c r="A58" s="14">
        <f>IF('Chấm công'!A59="","",'Chấm công'!A59)</f>
        <v/>
      </c>
      <c r="B58" s="14">
        <f>IF(A58="","",IFERROR(INDEX('Nhân viên'!$B$5:$B$104,MATCH(A58,'Nhân viên'!$A$5:$A$104,0)),""))</f>
        <v/>
      </c>
      <c r="C58" s="16">
        <f>IF(A58="","",N(IFERROR(INDEX('Nhân viên'!$D$5:$D$104,MATCH(A58,'Nhân viên'!$A$5:$A$104,0)),"")))</f>
        <v/>
      </c>
      <c r="D58" s="17">
        <f>IF(A58="","",N(IFERROR(INDEX('Chấm công'!$AH$6:$AH$105,MATCH(A58,'Chấm công'!$A$6:$A$105,0)),0)))</f>
        <v/>
      </c>
      <c r="E58" s="16">
        <f>IF(A58="","",ROUND(C58/CD_CONG_CHUAN*D58,0))</f>
        <v/>
      </c>
      <c r="F58" s="17">
        <f>IF(A58="","",N(IFERROR(INDEX('Chấm công'!$AK$6:$AK$105,MATCH(A58,'Chấm công'!$A$6:$A$105,0)),0)))</f>
        <v/>
      </c>
      <c r="G58" s="16">
        <f>IF(A58="","",ROUND(C58/CD_CONG_CHUAN/CD_GIO_NGAY*CD_HE_SO_TC*F58,0))</f>
        <v/>
      </c>
      <c r="H58" s="16">
        <f>IF(A58="","",N(IFERROR(INDEX('Nhân viên'!$E$5:$E$104,MATCH(A58,'Nhân viên'!$A$5:$A$104,0)),"")))</f>
        <v/>
      </c>
      <c r="I58" s="12" t="n"/>
      <c r="J58" s="12" t="n"/>
      <c r="K58" s="16">
        <f>IF(A58="","",E58+G58+H58+N(I58)-N(J58))</f>
        <v/>
      </c>
      <c r="L58" s="16" t="n"/>
    </row>
    <row r="59">
      <c r="A59" s="14">
        <f>IF('Chấm công'!A60="","",'Chấm công'!A60)</f>
        <v/>
      </c>
      <c r="B59" s="14">
        <f>IF(A59="","",IFERROR(INDEX('Nhân viên'!$B$5:$B$104,MATCH(A59,'Nhân viên'!$A$5:$A$104,0)),""))</f>
        <v/>
      </c>
      <c r="C59" s="16">
        <f>IF(A59="","",N(IFERROR(INDEX('Nhân viên'!$D$5:$D$104,MATCH(A59,'Nhân viên'!$A$5:$A$104,0)),"")))</f>
        <v/>
      </c>
      <c r="D59" s="17">
        <f>IF(A59="","",N(IFERROR(INDEX('Chấm công'!$AH$6:$AH$105,MATCH(A59,'Chấm công'!$A$6:$A$105,0)),0)))</f>
        <v/>
      </c>
      <c r="E59" s="16">
        <f>IF(A59="","",ROUND(C59/CD_CONG_CHUAN*D59,0))</f>
        <v/>
      </c>
      <c r="F59" s="17">
        <f>IF(A59="","",N(IFERROR(INDEX('Chấm công'!$AK$6:$AK$105,MATCH(A59,'Chấm công'!$A$6:$A$105,0)),0)))</f>
        <v/>
      </c>
      <c r="G59" s="16">
        <f>IF(A59="","",ROUND(C59/CD_CONG_CHUAN/CD_GIO_NGAY*CD_HE_SO_TC*F59,0))</f>
        <v/>
      </c>
      <c r="H59" s="16">
        <f>IF(A59="","",N(IFERROR(INDEX('Nhân viên'!$E$5:$E$104,MATCH(A59,'Nhân viên'!$A$5:$A$104,0)),"")))</f>
        <v/>
      </c>
      <c r="I59" s="12" t="n"/>
      <c r="J59" s="12" t="n"/>
      <c r="K59" s="16">
        <f>IF(A59="","",E59+G59+H59+N(I59)-N(J59))</f>
        <v/>
      </c>
      <c r="L59" s="16" t="n"/>
    </row>
    <row r="60">
      <c r="A60" s="14">
        <f>IF('Chấm công'!A61="","",'Chấm công'!A61)</f>
        <v/>
      </c>
      <c r="B60" s="14">
        <f>IF(A60="","",IFERROR(INDEX('Nhân viên'!$B$5:$B$104,MATCH(A60,'Nhân viên'!$A$5:$A$104,0)),""))</f>
        <v/>
      </c>
      <c r="C60" s="16">
        <f>IF(A60="","",N(IFERROR(INDEX('Nhân viên'!$D$5:$D$104,MATCH(A60,'Nhân viên'!$A$5:$A$104,0)),"")))</f>
        <v/>
      </c>
      <c r="D60" s="17">
        <f>IF(A60="","",N(IFERROR(INDEX('Chấm công'!$AH$6:$AH$105,MATCH(A60,'Chấm công'!$A$6:$A$105,0)),0)))</f>
        <v/>
      </c>
      <c r="E60" s="16">
        <f>IF(A60="","",ROUND(C60/CD_CONG_CHUAN*D60,0))</f>
        <v/>
      </c>
      <c r="F60" s="17">
        <f>IF(A60="","",N(IFERROR(INDEX('Chấm công'!$AK$6:$AK$105,MATCH(A60,'Chấm công'!$A$6:$A$105,0)),0)))</f>
        <v/>
      </c>
      <c r="G60" s="16">
        <f>IF(A60="","",ROUND(C60/CD_CONG_CHUAN/CD_GIO_NGAY*CD_HE_SO_TC*F60,0))</f>
        <v/>
      </c>
      <c r="H60" s="16">
        <f>IF(A60="","",N(IFERROR(INDEX('Nhân viên'!$E$5:$E$104,MATCH(A60,'Nhân viên'!$A$5:$A$104,0)),"")))</f>
        <v/>
      </c>
      <c r="I60" s="12" t="n"/>
      <c r="J60" s="12" t="n"/>
      <c r="K60" s="16">
        <f>IF(A60="","",E60+G60+H60+N(I60)-N(J60))</f>
        <v/>
      </c>
      <c r="L60" s="16" t="n"/>
    </row>
    <row r="61">
      <c r="A61" s="14">
        <f>IF('Chấm công'!A62="","",'Chấm công'!A62)</f>
        <v/>
      </c>
      <c r="B61" s="14">
        <f>IF(A61="","",IFERROR(INDEX('Nhân viên'!$B$5:$B$104,MATCH(A61,'Nhân viên'!$A$5:$A$104,0)),""))</f>
        <v/>
      </c>
      <c r="C61" s="16">
        <f>IF(A61="","",N(IFERROR(INDEX('Nhân viên'!$D$5:$D$104,MATCH(A61,'Nhân viên'!$A$5:$A$104,0)),"")))</f>
        <v/>
      </c>
      <c r="D61" s="17">
        <f>IF(A61="","",N(IFERROR(INDEX('Chấm công'!$AH$6:$AH$105,MATCH(A61,'Chấm công'!$A$6:$A$105,0)),0)))</f>
        <v/>
      </c>
      <c r="E61" s="16">
        <f>IF(A61="","",ROUND(C61/CD_CONG_CHUAN*D61,0))</f>
        <v/>
      </c>
      <c r="F61" s="17">
        <f>IF(A61="","",N(IFERROR(INDEX('Chấm công'!$AK$6:$AK$105,MATCH(A61,'Chấm công'!$A$6:$A$105,0)),0)))</f>
        <v/>
      </c>
      <c r="G61" s="16">
        <f>IF(A61="","",ROUND(C61/CD_CONG_CHUAN/CD_GIO_NGAY*CD_HE_SO_TC*F61,0))</f>
        <v/>
      </c>
      <c r="H61" s="16">
        <f>IF(A61="","",N(IFERROR(INDEX('Nhân viên'!$E$5:$E$104,MATCH(A61,'Nhân viên'!$A$5:$A$104,0)),"")))</f>
        <v/>
      </c>
      <c r="I61" s="12" t="n"/>
      <c r="J61" s="12" t="n"/>
      <c r="K61" s="16">
        <f>IF(A61="","",E61+G61+H61+N(I61)-N(J61))</f>
        <v/>
      </c>
      <c r="L61" s="16" t="n"/>
    </row>
    <row r="62">
      <c r="A62" s="14">
        <f>IF('Chấm công'!A63="","",'Chấm công'!A63)</f>
        <v/>
      </c>
      <c r="B62" s="14">
        <f>IF(A62="","",IFERROR(INDEX('Nhân viên'!$B$5:$B$104,MATCH(A62,'Nhân viên'!$A$5:$A$104,0)),""))</f>
        <v/>
      </c>
      <c r="C62" s="16">
        <f>IF(A62="","",N(IFERROR(INDEX('Nhân viên'!$D$5:$D$104,MATCH(A62,'Nhân viên'!$A$5:$A$104,0)),"")))</f>
        <v/>
      </c>
      <c r="D62" s="17">
        <f>IF(A62="","",N(IFERROR(INDEX('Chấm công'!$AH$6:$AH$105,MATCH(A62,'Chấm công'!$A$6:$A$105,0)),0)))</f>
        <v/>
      </c>
      <c r="E62" s="16">
        <f>IF(A62="","",ROUND(C62/CD_CONG_CHUAN*D62,0))</f>
        <v/>
      </c>
      <c r="F62" s="17">
        <f>IF(A62="","",N(IFERROR(INDEX('Chấm công'!$AK$6:$AK$105,MATCH(A62,'Chấm công'!$A$6:$A$105,0)),0)))</f>
        <v/>
      </c>
      <c r="G62" s="16">
        <f>IF(A62="","",ROUND(C62/CD_CONG_CHUAN/CD_GIO_NGAY*CD_HE_SO_TC*F62,0))</f>
        <v/>
      </c>
      <c r="H62" s="16">
        <f>IF(A62="","",N(IFERROR(INDEX('Nhân viên'!$E$5:$E$104,MATCH(A62,'Nhân viên'!$A$5:$A$104,0)),"")))</f>
        <v/>
      </c>
      <c r="I62" s="12" t="n"/>
      <c r="J62" s="12" t="n"/>
      <c r="K62" s="16">
        <f>IF(A62="","",E62+G62+H62+N(I62)-N(J62))</f>
        <v/>
      </c>
      <c r="L62" s="16" t="n"/>
    </row>
    <row r="63">
      <c r="A63" s="14">
        <f>IF('Chấm công'!A64="","",'Chấm công'!A64)</f>
        <v/>
      </c>
      <c r="B63" s="14">
        <f>IF(A63="","",IFERROR(INDEX('Nhân viên'!$B$5:$B$104,MATCH(A63,'Nhân viên'!$A$5:$A$104,0)),""))</f>
        <v/>
      </c>
      <c r="C63" s="16">
        <f>IF(A63="","",N(IFERROR(INDEX('Nhân viên'!$D$5:$D$104,MATCH(A63,'Nhân viên'!$A$5:$A$104,0)),"")))</f>
        <v/>
      </c>
      <c r="D63" s="17">
        <f>IF(A63="","",N(IFERROR(INDEX('Chấm công'!$AH$6:$AH$105,MATCH(A63,'Chấm công'!$A$6:$A$105,0)),0)))</f>
        <v/>
      </c>
      <c r="E63" s="16">
        <f>IF(A63="","",ROUND(C63/CD_CONG_CHUAN*D63,0))</f>
        <v/>
      </c>
      <c r="F63" s="17">
        <f>IF(A63="","",N(IFERROR(INDEX('Chấm công'!$AK$6:$AK$105,MATCH(A63,'Chấm công'!$A$6:$A$105,0)),0)))</f>
        <v/>
      </c>
      <c r="G63" s="16">
        <f>IF(A63="","",ROUND(C63/CD_CONG_CHUAN/CD_GIO_NGAY*CD_HE_SO_TC*F63,0))</f>
        <v/>
      </c>
      <c r="H63" s="16">
        <f>IF(A63="","",N(IFERROR(INDEX('Nhân viên'!$E$5:$E$104,MATCH(A63,'Nhân viên'!$A$5:$A$104,0)),"")))</f>
        <v/>
      </c>
      <c r="I63" s="12" t="n"/>
      <c r="J63" s="12" t="n"/>
      <c r="K63" s="16">
        <f>IF(A63="","",E63+G63+H63+N(I63)-N(J63))</f>
        <v/>
      </c>
      <c r="L63" s="16" t="n"/>
    </row>
    <row r="64">
      <c r="A64" s="14">
        <f>IF('Chấm công'!A65="","",'Chấm công'!A65)</f>
        <v/>
      </c>
      <c r="B64" s="14">
        <f>IF(A64="","",IFERROR(INDEX('Nhân viên'!$B$5:$B$104,MATCH(A64,'Nhân viên'!$A$5:$A$104,0)),""))</f>
        <v/>
      </c>
      <c r="C64" s="16">
        <f>IF(A64="","",N(IFERROR(INDEX('Nhân viên'!$D$5:$D$104,MATCH(A64,'Nhân viên'!$A$5:$A$104,0)),"")))</f>
        <v/>
      </c>
      <c r="D64" s="17">
        <f>IF(A64="","",N(IFERROR(INDEX('Chấm công'!$AH$6:$AH$105,MATCH(A64,'Chấm công'!$A$6:$A$105,0)),0)))</f>
        <v/>
      </c>
      <c r="E64" s="16">
        <f>IF(A64="","",ROUND(C64/CD_CONG_CHUAN*D64,0))</f>
        <v/>
      </c>
      <c r="F64" s="17">
        <f>IF(A64="","",N(IFERROR(INDEX('Chấm công'!$AK$6:$AK$105,MATCH(A64,'Chấm công'!$A$6:$A$105,0)),0)))</f>
        <v/>
      </c>
      <c r="G64" s="16">
        <f>IF(A64="","",ROUND(C64/CD_CONG_CHUAN/CD_GIO_NGAY*CD_HE_SO_TC*F64,0))</f>
        <v/>
      </c>
      <c r="H64" s="16">
        <f>IF(A64="","",N(IFERROR(INDEX('Nhân viên'!$E$5:$E$104,MATCH(A64,'Nhân viên'!$A$5:$A$104,0)),"")))</f>
        <v/>
      </c>
      <c r="I64" s="12" t="n"/>
      <c r="J64" s="12" t="n"/>
      <c r="K64" s="16">
        <f>IF(A64="","",E64+G64+H64+N(I64)-N(J64))</f>
        <v/>
      </c>
      <c r="L64" s="16" t="n"/>
    </row>
    <row r="65">
      <c r="A65" s="14">
        <f>IF('Chấm công'!A66="","",'Chấm công'!A66)</f>
        <v/>
      </c>
      <c r="B65" s="14">
        <f>IF(A65="","",IFERROR(INDEX('Nhân viên'!$B$5:$B$104,MATCH(A65,'Nhân viên'!$A$5:$A$104,0)),""))</f>
        <v/>
      </c>
      <c r="C65" s="16">
        <f>IF(A65="","",N(IFERROR(INDEX('Nhân viên'!$D$5:$D$104,MATCH(A65,'Nhân viên'!$A$5:$A$104,0)),"")))</f>
        <v/>
      </c>
      <c r="D65" s="17">
        <f>IF(A65="","",N(IFERROR(INDEX('Chấm công'!$AH$6:$AH$105,MATCH(A65,'Chấm công'!$A$6:$A$105,0)),0)))</f>
        <v/>
      </c>
      <c r="E65" s="16">
        <f>IF(A65="","",ROUND(C65/CD_CONG_CHUAN*D65,0))</f>
        <v/>
      </c>
      <c r="F65" s="17">
        <f>IF(A65="","",N(IFERROR(INDEX('Chấm công'!$AK$6:$AK$105,MATCH(A65,'Chấm công'!$A$6:$A$105,0)),0)))</f>
        <v/>
      </c>
      <c r="G65" s="16">
        <f>IF(A65="","",ROUND(C65/CD_CONG_CHUAN/CD_GIO_NGAY*CD_HE_SO_TC*F65,0))</f>
        <v/>
      </c>
      <c r="H65" s="16">
        <f>IF(A65="","",N(IFERROR(INDEX('Nhân viên'!$E$5:$E$104,MATCH(A65,'Nhân viên'!$A$5:$A$104,0)),"")))</f>
        <v/>
      </c>
      <c r="I65" s="12" t="n"/>
      <c r="J65" s="12" t="n"/>
      <c r="K65" s="16">
        <f>IF(A65="","",E65+G65+H65+N(I65)-N(J65))</f>
        <v/>
      </c>
      <c r="L65" s="16" t="n"/>
    </row>
    <row r="66">
      <c r="A66" s="14">
        <f>IF('Chấm công'!A67="","",'Chấm công'!A67)</f>
        <v/>
      </c>
      <c r="B66" s="14">
        <f>IF(A66="","",IFERROR(INDEX('Nhân viên'!$B$5:$B$104,MATCH(A66,'Nhân viên'!$A$5:$A$104,0)),""))</f>
        <v/>
      </c>
      <c r="C66" s="16">
        <f>IF(A66="","",N(IFERROR(INDEX('Nhân viên'!$D$5:$D$104,MATCH(A66,'Nhân viên'!$A$5:$A$104,0)),"")))</f>
        <v/>
      </c>
      <c r="D66" s="17">
        <f>IF(A66="","",N(IFERROR(INDEX('Chấm công'!$AH$6:$AH$105,MATCH(A66,'Chấm công'!$A$6:$A$105,0)),0)))</f>
        <v/>
      </c>
      <c r="E66" s="16">
        <f>IF(A66="","",ROUND(C66/CD_CONG_CHUAN*D66,0))</f>
        <v/>
      </c>
      <c r="F66" s="17">
        <f>IF(A66="","",N(IFERROR(INDEX('Chấm công'!$AK$6:$AK$105,MATCH(A66,'Chấm công'!$A$6:$A$105,0)),0)))</f>
        <v/>
      </c>
      <c r="G66" s="16">
        <f>IF(A66="","",ROUND(C66/CD_CONG_CHUAN/CD_GIO_NGAY*CD_HE_SO_TC*F66,0))</f>
        <v/>
      </c>
      <c r="H66" s="16">
        <f>IF(A66="","",N(IFERROR(INDEX('Nhân viên'!$E$5:$E$104,MATCH(A66,'Nhân viên'!$A$5:$A$104,0)),"")))</f>
        <v/>
      </c>
      <c r="I66" s="12" t="n"/>
      <c r="J66" s="12" t="n"/>
      <c r="K66" s="16">
        <f>IF(A66="","",E66+G66+H66+N(I66)-N(J66))</f>
        <v/>
      </c>
      <c r="L66" s="16" t="n"/>
    </row>
    <row r="67">
      <c r="A67" s="14">
        <f>IF('Chấm công'!A68="","",'Chấm công'!A68)</f>
        <v/>
      </c>
      <c r="B67" s="14">
        <f>IF(A67="","",IFERROR(INDEX('Nhân viên'!$B$5:$B$104,MATCH(A67,'Nhân viên'!$A$5:$A$104,0)),""))</f>
        <v/>
      </c>
      <c r="C67" s="16">
        <f>IF(A67="","",N(IFERROR(INDEX('Nhân viên'!$D$5:$D$104,MATCH(A67,'Nhân viên'!$A$5:$A$104,0)),"")))</f>
        <v/>
      </c>
      <c r="D67" s="17">
        <f>IF(A67="","",N(IFERROR(INDEX('Chấm công'!$AH$6:$AH$105,MATCH(A67,'Chấm công'!$A$6:$A$105,0)),0)))</f>
        <v/>
      </c>
      <c r="E67" s="16">
        <f>IF(A67="","",ROUND(C67/CD_CONG_CHUAN*D67,0))</f>
        <v/>
      </c>
      <c r="F67" s="17">
        <f>IF(A67="","",N(IFERROR(INDEX('Chấm công'!$AK$6:$AK$105,MATCH(A67,'Chấm công'!$A$6:$A$105,0)),0)))</f>
        <v/>
      </c>
      <c r="G67" s="16">
        <f>IF(A67="","",ROUND(C67/CD_CONG_CHUAN/CD_GIO_NGAY*CD_HE_SO_TC*F67,0))</f>
        <v/>
      </c>
      <c r="H67" s="16">
        <f>IF(A67="","",N(IFERROR(INDEX('Nhân viên'!$E$5:$E$104,MATCH(A67,'Nhân viên'!$A$5:$A$104,0)),"")))</f>
        <v/>
      </c>
      <c r="I67" s="12" t="n"/>
      <c r="J67" s="12" t="n"/>
      <c r="K67" s="16">
        <f>IF(A67="","",E67+G67+H67+N(I67)-N(J67))</f>
        <v/>
      </c>
      <c r="L67" s="16" t="n"/>
    </row>
    <row r="68">
      <c r="A68" s="14">
        <f>IF('Chấm công'!A69="","",'Chấm công'!A69)</f>
        <v/>
      </c>
      <c r="B68" s="14">
        <f>IF(A68="","",IFERROR(INDEX('Nhân viên'!$B$5:$B$104,MATCH(A68,'Nhân viên'!$A$5:$A$104,0)),""))</f>
        <v/>
      </c>
      <c r="C68" s="16">
        <f>IF(A68="","",N(IFERROR(INDEX('Nhân viên'!$D$5:$D$104,MATCH(A68,'Nhân viên'!$A$5:$A$104,0)),"")))</f>
        <v/>
      </c>
      <c r="D68" s="17">
        <f>IF(A68="","",N(IFERROR(INDEX('Chấm công'!$AH$6:$AH$105,MATCH(A68,'Chấm công'!$A$6:$A$105,0)),0)))</f>
        <v/>
      </c>
      <c r="E68" s="16">
        <f>IF(A68="","",ROUND(C68/CD_CONG_CHUAN*D68,0))</f>
        <v/>
      </c>
      <c r="F68" s="17">
        <f>IF(A68="","",N(IFERROR(INDEX('Chấm công'!$AK$6:$AK$105,MATCH(A68,'Chấm công'!$A$6:$A$105,0)),0)))</f>
        <v/>
      </c>
      <c r="G68" s="16">
        <f>IF(A68="","",ROUND(C68/CD_CONG_CHUAN/CD_GIO_NGAY*CD_HE_SO_TC*F68,0))</f>
        <v/>
      </c>
      <c r="H68" s="16">
        <f>IF(A68="","",N(IFERROR(INDEX('Nhân viên'!$E$5:$E$104,MATCH(A68,'Nhân viên'!$A$5:$A$104,0)),"")))</f>
        <v/>
      </c>
      <c r="I68" s="12" t="n"/>
      <c r="J68" s="12" t="n"/>
      <c r="K68" s="16">
        <f>IF(A68="","",E68+G68+H68+N(I68)-N(J68))</f>
        <v/>
      </c>
      <c r="L68" s="16" t="n"/>
    </row>
    <row r="69">
      <c r="A69" s="14">
        <f>IF('Chấm công'!A70="","",'Chấm công'!A70)</f>
        <v/>
      </c>
      <c r="B69" s="14">
        <f>IF(A69="","",IFERROR(INDEX('Nhân viên'!$B$5:$B$104,MATCH(A69,'Nhân viên'!$A$5:$A$104,0)),""))</f>
        <v/>
      </c>
      <c r="C69" s="16">
        <f>IF(A69="","",N(IFERROR(INDEX('Nhân viên'!$D$5:$D$104,MATCH(A69,'Nhân viên'!$A$5:$A$104,0)),"")))</f>
        <v/>
      </c>
      <c r="D69" s="17">
        <f>IF(A69="","",N(IFERROR(INDEX('Chấm công'!$AH$6:$AH$105,MATCH(A69,'Chấm công'!$A$6:$A$105,0)),0)))</f>
        <v/>
      </c>
      <c r="E69" s="16">
        <f>IF(A69="","",ROUND(C69/CD_CONG_CHUAN*D69,0))</f>
        <v/>
      </c>
      <c r="F69" s="17">
        <f>IF(A69="","",N(IFERROR(INDEX('Chấm công'!$AK$6:$AK$105,MATCH(A69,'Chấm công'!$A$6:$A$105,0)),0)))</f>
        <v/>
      </c>
      <c r="G69" s="16">
        <f>IF(A69="","",ROUND(C69/CD_CONG_CHUAN/CD_GIO_NGAY*CD_HE_SO_TC*F69,0))</f>
        <v/>
      </c>
      <c r="H69" s="16">
        <f>IF(A69="","",N(IFERROR(INDEX('Nhân viên'!$E$5:$E$104,MATCH(A69,'Nhân viên'!$A$5:$A$104,0)),"")))</f>
        <v/>
      </c>
      <c r="I69" s="12" t="n"/>
      <c r="J69" s="12" t="n"/>
      <c r="K69" s="16">
        <f>IF(A69="","",E69+G69+H69+N(I69)-N(J69))</f>
        <v/>
      </c>
      <c r="L69" s="16" t="n"/>
    </row>
    <row r="70">
      <c r="A70" s="14">
        <f>IF('Chấm công'!A71="","",'Chấm công'!A71)</f>
        <v/>
      </c>
      <c r="B70" s="14">
        <f>IF(A70="","",IFERROR(INDEX('Nhân viên'!$B$5:$B$104,MATCH(A70,'Nhân viên'!$A$5:$A$104,0)),""))</f>
        <v/>
      </c>
      <c r="C70" s="16">
        <f>IF(A70="","",N(IFERROR(INDEX('Nhân viên'!$D$5:$D$104,MATCH(A70,'Nhân viên'!$A$5:$A$104,0)),"")))</f>
        <v/>
      </c>
      <c r="D70" s="17">
        <f>IF(A70="","",N(IFERROR(INDEX('Chấm công'!$AH$6:$AH$105,MATCH(A70,'Chấm công'!$A$6:$A$105,0)),0)))</f>
        <v/>
      </c>
      <c r="E70" s="16">
        <f>IF(A70="","",ROUND(C70/CD_CONG_CHUAN*D70,0))</f>
        <v/>
      </c>
      <c r="F70" s="17">
        <f>IF(A70="","",N(IFERROR(INDEX('Chấm công'!$AK$6:$AK$105,MATCH(A70,'Chấm công'!$A$6:$A$105,0)),0)))</f>
        <v/>
      </c>
      <c r="G70" s="16">
        <f>IF(A70="","",ROUND(C70/CD_CONG_CHUAN/CD_GIO_NGAY*CD_HE_SO_TC*F70,0))</f>
        <v/>
      </c>
      <c r="H70" s="16">
        <f>IF(A70="","",N(IFERROR(INDEX('Nhân viên'!$E$5:$E$104,MATCH(A70,'Nhân viên'!$A$5:$A$104,0)),"")))</f>
        <v/>
      </c>
      <c r="I70" s="12" t="n"/>
      <c r="J70" s="12" t="n"/>
      <c r="K70" s="16">
        <f>IF(A70="","",E70+G70+H70+N(I70)-N(J70))</f>
        <v/>
      </c>
      <c r="L70" s="16" t="n"/>
    </row>
    <row r="71">
      <c r="A71" s="14">
        <f>IF('Chấm công'!A72="","",'Chấm công'!A72)</f>
        <v/>
      </c>
      <c r="B71" s="14">
        <f>IF(A71="","",IFERROR(INDEX('Nhân viên'!$B$5:$B$104,MATCH(A71,'Nhân viên'!$A$5:$A$104,0)),""))</f>
        <v/>
      </c>
      <c r="C71" s="16">
        <f>IF(A71="","",N(IFERROR(INDEX('Nhân viên'!$D$5:$D$104,MATCH(A71,'Nhân viên'!$A$5:$A$104,0)),"")))</f>
        <v/>
      </c>
      <c r="D71" s="17">
        <f>IF(A71="","",N(IFERROR(INDEX('Chấm công'!$AH$6:$AH$105,MATCH(A71,'Chấm công'!$A$6:$A$105,0)),0)))</f>
        <v/>
      </c>
      <c r="E71" s="16">
        <f>IF(A71="","",ROUND(C71/CD_CONG_CHUAN*D71,0))</f>
        <v/>
      </c>
      <c r="F71" s="17">
        <f>IF(A71="","",N(IFERROR(INDEX('Chấm công'!$AK$6:$AK$105,MATCH(A71,'Chấm công'!$A$6:$A$105,0)),0)))</f>
        <v/>
      </c>
      <c r="G71" s="16">
        <f>IF(A71="","",ROUND(C71/CD_CONG_CHUAN/CD_GIO_NGAY*CD_HE_SO_TC*F71,0))</f>
        <v/>
      </c>
      <c r="H71" s="16">
        <f>IF(A71="","",N(IFERROR(INDEX('Nhân viên'!$E$5:$E$104,MATCH(A71,'Nhân viên'!$A$5:$A$104,0)),"")))</f>
        <v/>
      </c>
      <c r="I71" s="12" t="n"/>
      <c r="J71" s="12" t="n"/>
      <c r="K71" s="16">
        <f>IF(A71="","",E71+G71+H71+N(I71)-N(J71))</f>
        <v/>
      </c>
      <c r="L71" s="16" t="n"/>
    </row>
    <row r="72">
      <c r="A72" s="14">
        <f>IF('Chấm công'!A73="","",'Chấm công'!A73)</f>
        <v/>
      </c>
      <c r="B72" s="14">
        <f>IF(A72="","",IFERROR(INDEX('Nhân viên'!$B$5:$B$104,MATCH(A72,'Nhân viên'!$A$5:$A$104,0)),""))</f>
        <v/>
      </c>
      <c r="C72" s="16">
        <f>IF(A72="","",N(IFERROR(INDEX('Nhân viên'!$D$5:$D$104,MATCH(A72,'Nhân viên'!$A$5:$A$104,0)),"")))</f>
        <v/>
      </c>
      <c r="D72" s="17">
        <f>IF(A72="","",N(IFERROR(INDEX('Chấm công'!$AH$6:$AH$105,MATCH(A72,'Chấm công'!$A$6:$A$105,0)),0)))</f>
        <v/>
      </c>
      <c r="E72" s="16">
        <f>IF(A72="","",ROUND(C72/CD_CONG_CHUAN*D72,0))</f>
        <v/>
      </c>
      <c r="F72" s="17">
        <f>IF(A72="","",N(IFERROR(INDEX('Chấm công'!$AK$6:$AK$105,MATCH(A72,'Chấm công'!$A$6:$A$105,0)),0)))</f>
        <v/>
      </c>
      <c r="G72" s="16">
        <f>IF(A72="","",ROUND(C72/CD_CONG_CHUAN/CD_GIO_NGAY*CD_HE_SO_TC*F72,0))</f>
        <v/>
      </c>
      <c r="H72" s="16">
        <f>IF(A72="","",N(IFERROR(INDEX('Nhân viên'!$E$5:$E$104,MATCH(A72,'Nhân viên'!$A$5:$A$104,0)),"")))</f>
        <v/>
      </c>
      <c r="I72" s="12" t="n"/>
      <c r="J72" s="12" t="n"/>
      <c r="K72" s="16">
        <f>IF(A72="","",E72+G72+H72+N(I72)-N(J72))</f>
        <v/>
      </c>
      <c r="L72" s="16" t="n"/>
    </row>
    <row r="73">
      <c r="A73" s="14">
        <f>IF('Chấm công'!A74="","",'Chấm công'!A74)</f>
        <v/>
      </c>
      <c r="B73" s="14">
        <f>IF(A73="","",IFERROR(INDEX('Nhân viên'!$B$5:$B$104,MATCH(A73,'Nhân viên'!$A$5:$A$104,0)),""))</f>
        <v/>
      </c>
      <c r="C73" s="16">
        <f>IF(A73="","",N(IFERROR(INDEX('Nhân viên'!$D$5:$D$104,MATCH(A73,'Nhân viên'!$A$5:$A$104,0)),"")))</f>
        <v/>
      </c>
      <c r="D73" s="17">
        <f>IF(A73="","",N(IFERROR(INDEX('Chấm công'!$AH$6:$AH$105,MATCH(A73,'Chấm công'!$A$6:$A$105,0)),0)))</f>
        <v/>
      </c>
      <c r="E73" s="16">
        <f>IF(A73="","",ROUND(C73/CD_CONG_CHUAN*D73,0))</f>
        <v/>
      </c>
      <c r="F73" s="17">
        <f>IF(A73="","",N(IFERROR(INDEX('Chấm công'!$AK$6:$AK$105,MATCH(A73,'Chấm công'!$A$6:$A$105,0)),0)))</f>
        <v/>
      </c>
      <c r="G73" s="16">
        <f>IF(A73="","",ROUND(C73/CD_CONG_CHUAN/CD_GIO_NGAY*CD_HE_SO_TC*F73,0))</f>
        <v/>
      </c>
      <c r="H73" s="16">
        <f>IF(A73="","",N(IFERROR(INDEX('Nhân viên'!$E$5:$E$104,MATCH(A73,'Nhân viên'!$A$5:$A$104,0)),"")))</f>
        <v/>
      </c>
      <c r="I73" s="12" t="n"/>
      <c r="J73" s="12" t="n"/>
      <c r="K73" s="16">
        <f>IF(A73="","",E73+G73+H73+N(I73)-N(J73))</f>
        <v/>
      </c>
      <c r="L73" s="16" t="n"/>
    </row>
    <row r="74">
      <c r="A74" s="14">
        <f>IF('Chấm công'!A75="","",'Chấm công'!A75)</f>
        <v/>
      </c>
      <c r="B74" s="14">
        <f>IF(A74="","",IFERROR(INDEX('Nhân viên'!$B$5:$B$104,MATCH(A74,'Nhân viên'!$A$5:$A$104,0)),""))</f>
        <v/>
      </c>
      <c r="C74" s="16">
        <f>IF(A74="","",N(IFERROR(INDEX('Nhân viên'!$D$5:$D$104,MATCH(A74,'Nhân viên'!$A$5:$A$104,0)),"")))</f>
        <v/>
      </c>
      <c r="D74" s="17">
        <f>IF(A74="","",N(IFERROR(INDEX('Chấm công'!$AH$6:$AH$105,MATCH(A74,'Chấm công'!$A$6:$A$105,0)),0)))</f>
        <v/>
      </c>
      <c r="E74" s="16">
        <f>IF(A74="","",ROUND(C74/CD_CONG_CHUAN*D74,0))</f>
        <v/>
      </c>
      <c r="F74" s="17">
        <f>IF(A74="","",N(IFERROR(INDEX('Chấm công'!$AK$6:$AK$105,MATCH(A74,'Chấm công'!$A$6:$A$105,0)),0)))</f>
        <v/>
      </c>
      <c r="G74" s="16">
        <f>IF(A74="","",ROUND(C74/CD_CONG_CHUAN/CD_GIO_NGAY*CD_HE_SO_TC*F74,0))</f>
        <v/>
      </c>
      <c r="H74" s="16">
        <f>IF(A74="","",N(IFERROR(INDEX('Nhân viên'!$E$5:$E$104,MATCH(A74,'Nhân viên'!$A$5:$A$104,0)),"")))</f>
        <v/>
      </c>
      <c r="I74" s="12" t="n"/>
      <c r="J74" s="12" t="n"/>
      <c r="K74" s="16">
        <f>IF(A74="","",E74+G74+H74+N(I74)-N(J74))</f>
        <v/>
      </c>
      <c r="L74" s="16" t="n"/>
    </row>
    <row r="75">
      <c r="A75" s="14">
        <f>IF('Chấm công'!A76="","",'Chấm công'!A76)</f>
        <v/>
      </c>
      <c r="B75" s="14">
        <f>IF(A75="","",IFERROR(INDEX('Nhân viên'!$B$5:$B$104,MATCH(A75,'Nhân viên'!$A$5:$A$104,0)),""))</f>
        <v/>
      </c>
      <c r="C75" s="16">
        <f>IF(A75="","",N(IFERROR(INDEX('Nhân viên'!$D$5:$D$104,MATCH(A75,'Nhân viên'!$A$5:$A$104,0)),"")))</f>
        <v/>
      </c>
      <c r="D75" s="17">
        <f>IF(A75="","",N(IFERROR(INDEX('Chấm công'!$AH$6:$AH$105,MATCH(A75,'Chấm công'!$A$6:$A$105,0)),0)))</f>
        <v/>
      </c>
      <c r="E75" s="16">
        <f>IF(A75="","",ROUND(C75/CD_CONG_CHUAN*D75,0))</f>
        <v/>
      </c>
      <c r="F75" s="17">
        <f>IF(A75="","",N(IFERROR(INDEX('Chấm công'!$AK$6:$AK$105,MATCH(A75,'Chấm công'!$A$6:$A$105,0)),0)))</f>
        <v/>
      </c>
      <c r="G75" s="16">
        <f>IF(A75="","",ROUND(C75/CD_CONG_CHUAN/CD_GIO_NGAY*CD_HE_SO_TC*F75,0))</f>
        <v/>
      </c>
      <c r="H75" s="16">
        <f>IF(A75="","",N(IFERROR(INDEX('Nhân viên'!$E$5:$E$104,MATCH(A75,'Nhân viên'!$A$5:$A$104,0)),"")))</f>
        <v/>
      </c>
      <c r="I75" s="12" t="n"/>
      <c r="J75" s="12" t="n"/>
      <c r="K75" s="16">
        <f>IF(A75="","",E75+G75+H75+N(I75)-N(J75))</f>
        <v/>
      </c>
      <c r="L75" s="16" t="n"/>
    </row>
    <row r="76">
      <c r="A76" s="14">
        <f>IF('Chấm công'!A77="","",'Chấm công'!A77)</f>
        <v/>
      </c>
      <c r="B76" s="14">
        <f>IF(A76="","",IFERROR(INDEX('Nhân viên'!$B$5:$B$104,MATCH(A76,'Nhân viên'!$A$5:$A$104,0)),""))</f>
        <v/>
      </c>
      <c r="C76" s="16">
        <f>IF(A76="","",N(IFERROR(INDEX('Nhân viên'!$D$5:$D$104,MATCH(A76,'Nhân viên'!$A$5:$A$104,0)),"")))</f>
        <v/>
      </c>
      <c r="D76" s="17">
        <f>IF(A76="","",N(IFERROR(INDEX('Chấm công'!$AH$6:$AH$105,MATCH(A76,'Chấm công'!$A$6:$A$105,0)),0)))</f>
        <v/>
      </c>
      <c r="E76" s="16">
        <f>IF(A76="","",ROUND(C76/CD_CONG_CHUAN*D76,0))</f>
        <v/>
      </c>
      <c r="F76" s="17">
        <f>IF(A76="","",N(IFERROR(INDEX('Chấm công'!$AK$6:$AK$105,MATCH(A76,'Chấm công'!$A$6:$A$105,0)),0)))</f>
        <v/>
      </c>
      <c r="G76" s="16">
        <f>IF(A76="","",ROUND(C76/CD_CONG_CHUAN/CD_GIO_NGAY*CD_HE_SO_TC*F76,0))</f>
        <v/>
      </c>
      <c r="H76" s="16">
        <f>IF(A76="","",N(IFERROR(INDEX('Nhân viên'!$E$5:$E$104,MATCH(A76,'Nhân viên'!$A$5:$A$104,0)),"")))</f>
        <v/>
      </c>
      <c r="I76" s="12" t="n"/>
      <c r="J76" s="12" t="n"/>
      <c r="K76" s="16">
        <f>IF(A76="","",E76+G76+H76+N(I76)-N(J76))</f>
        <v/>
      </c>
      <c r="L76" s="16" t="n"/>
    </row>
    <row r="77">
      <c r="A77" s="14">
        <f>IF('Chấm công'!A78="","",'Chấm công'!A78)</f>
        <v/>
      </c>
      <c r="B77" s="14">
        <f>IF(A77="","",IFERROR(INDEX('Nhân viên'!$B$5:$B$104,MATCH(A77,'Nhân viên'!$A$5:$A$104,0)),""))</f>
        <v/>
      </c>
      <c r="C77" s="16">
        <f>IF(A77="","",N(IFERROR(INDEX('Nhân viên'!$D$5:$D$104,MATCH(A77,'Nhân viên'!$A$5:$A$104,0)),"")))</f>
        <v/>
      </c>
      <c r="D77" s="17">
        <f>IF(A77="","",N(IFERROR(INDEX('Chấm công'!$AH$6:$AH$105,MATCH(A77,'Chấm công'!$A$6:$A$105,0)),0)))</f>
        <v/>
      </c>
      <c r="E77" s="16">
        <f>IF(A77="","",ROUND(C77/CD_CONG_CHUAN*D77,0))</f>
        <v/>
      </c>
      <c r="F77" s="17">
        <f>IF(A77="","",N(IFERROR(INDEX('Chấm công'!$AK$6:$AK$105,MATCH(A77,'Chấm công'!$A$6:$A$105,0)),0)))</f>
        <v/>
      </c>
      <c r="G77" s="16">
        <f>IF(A77="","",ROUND(C77/CD_CONG_CHUAN/CD_GIO_NGAY*CD_HE_SO_TC*F77,0))</f>
        <v/>
      </c>
      <c r="H77" s="16">
        <f>IF(A77="","",N(IFERROR(INDEX('Nhân viên'!$E$5:$E$104,MATCH(A77,'Nhân viên'!$A$5:$A$104,0)),"")))</f>
        <v/>
      </c>
      <c r="I77" s="12" t="n"/>
      <c r="J77" s="12" t="n"/>
      <c r="K77" s="16">
        <f>IF(A77="","",E77+G77+H77+N(I77)-N(J77))</f>
        <v/>
      </c>
      <c r="L77" s="16" t="n"/>
    </row>
    <row r="78">
      <c r="A78" s="14">
        <f>IF('Chấm công'!A79="","",'Chấm công'!A79)</f>
        <v/>
      </c>
      <c r="B78" s="14">
        <f>IF(A78="","",IFERROR(INDEX('Nhân viên'!$B$5:$B$104,MATCH(A78,'Nhân viên'!$A$5:$A$104,0)),""))</f>
        <v/>
      </c>
      <c r="C78" s="16">
        <f>IF(A78="","",N(IFERROR(INDEX('Nhân viên'!$D$5:$D$104,MATCH(A78,'Nhân viên'!$A$5:$A$104,0)),"")))</f>
        <v/>
      </c>
      <c r="D78" s="17">
        <f>IF(A78="","",N(IFERROR(INDEX('Chấm công'!$AH$6:$AH$105,MATCH(A78,'Chấm công'!$A$6:$A$105,0)),0)))</f>
        <v/>
      </c>
      <c r="E78" s="16">
        <f>IF(A78="","",ROUND(C78/CD_CONG_CHUAN*D78,0))</f>
        <v/>
      </c>
      <c r="F78" s="17">
        <f>IF(A78="","",N(IFERROR(INDEX('Chấm công'!$AK$6:$AK$105,MATCH(A78,'Chấm công'!$A$6:$A$105,0)),0)))</f>
        <v/>
      </c>
      <c r="G78" s="16">
        <f>IF(A78="","",ROUND(C78/CD_CONG_CHUAN/CD_GIO_NGAY*CD_HE_SO_TC*F78,0))</f>
        <v/>
      </c>
      <c r="H78" s="16">
        <f>IF(A78="","",N(IFERROR(INDEX('Nhân viên'!$E$5:$E$104,MATCH(A78,'Nhân viên'!$A$5:$A$104,0)),"")))</f>
        <v/>
      </c>
      <c r="I78" s="12" t="n"/>
      <c r="J78" s="12" t="n"/>
      <c r="K78" s="16">
        <f>IF(A78="","",E78+G78+H78+N(I78)-N(J78))</f>
        <v/>
      </c>
      <c r="L78" s="16" t="n"/>
    </row>
    <row r="79">
      <c r="A79" s="14">
        <f>IF('Chấm công'!A80="","",'Chấm công'!A80)</f>
        <v/>
      </c>
      <c r="B79" s="14">
        <f>IF(A79="","",IFERROR(INDEX('Nhân viên'!$B$5:$B$104,MATCH(A79,'Nhân viên'!$A$5:$A$104,0)),""))</f>
        <v/>
      </c>
      <c r="C79" s="16">
        <f>IF(A79="","",N(IFERROR(INDEX('Nhân viên'!$D$5:$D$104,MATCH(A79,'Nhân viên'!$A$5:$A$104,0)),"")))</f>
        <v/>
      </c>
      <c r="D79" s="17">
        <f>IF(A79="","",N(IFERROR(INDEX('Chấm công'!$AH$6:$AH$105,MATCH(A79,'Chấm công'!$A$6:$A$105,0)),0)))</f>
        <v/>
      </c>
      <c r="E79" s="16">
        <f>IF(A79="","",ROUND(C79/CD_CONG_CHUAN*D79,0))</f>
        <v/>
      </c>
      <c r="F79" s="17">
        <f>IF(A79="","",N(IFERROR(INDEX('Chấm công'!$AK$6:$AK$105,MATCH(A79,'Chấm công'!$A$6:$A$105,0)),0)))</f>
        <v/>
      </c>
      <c r="G79" s="16">
        <f>IF(A79="","",ROUND(C79/CD_CONG_CHUAN/CD_GIO_NGAY*CD_HE_SO_TC*F79,0))</f>
        <v/>
      </c>
      <c r="H79" s="16">
        <f>IF(A79="","",N(IFERROR(INDEX('Nhân viên'!$E$5:$E$104,MATCH(A79,'Nhân viên'!$A$5:$A$104,0)),"")))</f>
        <v/>
      </c>
      <c r="I79" s="12" t="n"/>
      <c r="J79" s="12" t="n"/>
      <c r="K79" s="16">
        <f>IF(A79="","",E79+G79+H79+N(I79)-N(J79))</f>
        <v/>
      </c>
      <c r="L79" s="16" t="n"/>
    </row>
    <row r="80">
      <c r="A80" s="14">
        <f>IF('Chấm công'!A81="","",'Chấm công'!A81)</f>
        <v/>
      </c>
      <c r="B80" s="14">
        <f>IF(A80="","",IFERROR(INDEX('Nhân viên'!$B$5:$B$104,MATCH(A80,'Nhân viên'!$A$5:$A$104,0)),""))</f>
        <v/>
      </c>
      <c r="C80" s="16">
        <f>IF(A80="","",N(IFERROR(INDEX('Nhân viên'!$D$5:$D$104,MATCH(A80,'Nhân viên'!$A$5:$A$104,0)),"")))</f>
        <v/>
      </c>
      <c r="D80" s="17">
        <f>IF(A80="","",N(IFERROR(INDEX('Chấm công'!$AH$6:$AH$105,MATCH(A80,'Chấm công'!$A$6:$A$105,0)),0)))</f>
        <v/>
      </c>
      <c r="E80" s="16">
        <f>IF(A80="","",ROUND(C80/CD_CONG_CHUAN*D80,0))</f>
        <v/>
      </c>
      <c r="F80" s="17">
        <f>IF(A80="","",N(IFERROR(INDEX('Chấm công'!$AK$6:$AK$105,MATCH(A80,'Chấm công'!$A$6:$A$105,0)),0)))</f>
        <v/>
      </c>
      <c r="G80" s="16">
        <f>IF(A80="","",ROUND(C80/CD_CONG_CHUAN/CD_GIO_NGAY*CD_HE_SO_TC*F80,0))</f>
        <v/>
      </c>
      <c r="H80" s="16">
        <f>IF(A80="","",N(IFERROR(INDEX('Nhân viên'!$E$5:$E$104,MATCH(A80,'Nhân viên'!$A$5:$A$104,0)),"")))</f>
        <v/>
      </c>
      <c r="I80" s="12" t="n"/>
      <c r="J80" s="12" t="n"/>
      <c r="K80" s="16">
        <f>IF(A80="","",E80+G80+H80+N(I80)-N(J80))</f>
        <v/>
      </c>
      <c r="L80" s="16" t="n"/>
    </row>
    <row r="81">
      <c r="A81" s="14">
        <f>IF('Chấm công'!A82="","",'Chấm công'!A82)</f>
        <v/>
      </c>
      <c r="B81" s="14">
        <f>IF(A81="","",IFERROR(INDEX('Nhân viên'!$B$5:$B$104,MATCH(A81,'Nhân viên'!$A$5:$A$104,0)),""))</f>
        <v/>
      </c>
      <c r="C81" s="16">
        <f>IF(A81="","",N(IFERROR(INDEX('Nhân viên'!$D$5:$D$104,MATCH(A81,'Nhân viên'!$A$5:$A$104,0)),"")))</f>
        <v/>
      </c>
      <c r="D81" s="17">
        <f>IF(A81="","",N(IFERROR(INDEX('Chấm công'!$AH$6:$AH$105,MATCH(A81,'Chấm công'!$A$6:$A$105,0)),0)))</f>
        <v/>
      </c>
      <c r="E81" s="16">
        <f>IF(A81="","",ROUND(C81/CD_CONG_CHUAN*D81,0))</f>
        <v/>
      </c>
      <c r="F81" s="17">
        <f>IF(A81="","",N(IFERROR(INDEX('Chấm công'!$AK$6:$AK$105,MATCH(A81,'Chấm công'!$A$6:$A$105,0)),0)))</f>
        <v/>
      </c>
      <c r="G81" s="16">
        <f>IF(A81="","",ROUND(C81/CD_CONG_CHUAN/CD_GIO_NGAY*CD_HE_SO_TC*F81,0))</f>
        <v/>
      </c>
      <c r="H81" s="16">
        <f>IF(A81="","",N(IFERROR(INDEX('Nhân viên'!$E$5:$E$104,MATCH(A81,'Nhân viên'!$A$5:$A$104,0)),"")))</f>
        <v/>
      </c>
      <c r="I81" s="12" t="n"/>
      <c r="J81" s="12" t="n"/>
      <c r="K81" s="16">
        <f>IF(A81="","",E81+G81+H81+N(I81)-N(J81))</f>
        <v/>
      </c>
      <c r="L81" s="16" t="n"/>
    </row>
    <row r="82">
      <c r="A82" s="14">
        <f>IF('Chấm công'!A83="","",'Chấm công'!A83)</f>
        <v/>
      </c>
      <c r="B82" s="14">
        <f>IF(A82="","",IFERROR(INDEX('Nhân viên'!$B$5:$B$104,MATCH(A82,'Nhân viên'!$A$5:$A$104,0)),""))</f>
        <v/>
      </c>
      <c r="C82" s="16">
        <f>IF(A82="","",N(IFERROR(INDEX('Nhân viên'!$D$5:$D$104,MATCH(A82,'Nhân viên'!$A$5:$A$104,0)),"")))</f>
        <v/>
      </c>
      <c r="D82" s="17">
        <f>IF(A82="","",N(IFERROR(INDEX('Chấm công'!$AH$6:$AH$105,MATCH(A82,'Chấm công'!$A$6:$A$105,0)),0)))</f>
        <v/>
      </c>
      <c r="E82" s="16">
        <f>IF(A82="","",ROUND(C82/CD_CONG_CHUAN*D82,0))</f>
        <v/>
      </c>
      <c r="F82" s="17">
        <f>IF(A82="","",N(IFERROR(INDEX('Chấm công'!$AK$6:$AK$105,MATCH(A82,'Chấm công'!$A$6:$A$105,0)),0)))</f>
        <v/>
      </c>
      <c r="G82" s="16">
        <f>IF(A82="","",ROUND(C82/CD_CONG_CHUAN/CD_GIO_NGAY*CD_HE_SO_TC*F82,0))</f>
        <v/>
      </c>
      <c r="H82" s="16">
        <f>IF(A82="","",N(IFERROR(INDEX('Nhân viên'!$E$5:$E$104,MATCH(A82,'Nhân viên'!$A$5:$A$104,0)),"")))</f>
        <v/>
      </c>
      <c r="I82" s="12" t="n"/>
      <c r="J82" s="12" t="n"/>
      <c r="K82" s="16">
        <f>IF(A82="","",E82+G82+H82+N(I82)-N(J82))</f>
        <v/>
      </c>
      <c r="L82" s="16" t="n"/>
    </row>
    <row r="83">
      <c r="A83" s="14">
        <f>IF('Chấm công'!A84="","",'Chấm công'!A84)</f>
        <v/>
      </c>
      <c r="B83" s="14">
        <f>IF(A83="","",IFERROR(INDEX('Nhân viên'!$B$5:$B$104,MATCH(A83,'Nhân viên'!$A$5:$A$104,0)),""))</f>
        <v/>
      </c>
      <c r="C83" s="16">
        <f>IF(A83="","",N(IFERROR(INDEX('Nhân viên'!$D$5:$D$104,MATCH(A83,'Nhân viên'!$A$5:$A$104,0)),"")))</f>
        <v/>
      </c>
      <c r="D83" s="17">
        <f>IF(A83="","",N(IFERROR(INDEX('Chấm công'!$AH$6:$AH$105,MATCH(A83,'Chấm công'!$A$6:$A$105,0)),0)))</f>
        <v/>
      </c>
      <c r="E83" s="16">
        <f>IF(A83="","",ROUND(C83/CD_CONG_CHUAN*D83,0))</f>
        <v/>
      </c>
      <c r="F83" s="17">
        <f>IF(A83="","",N(IFERROR(INDEX('Chấm công'!$AK$6:$AK$105,MATCH(A83,'Chấm công'!$A$6:$A$105,0)),0)))</f>
        <v/>
      </c>
      <c r="G83" s="16">
        <f>IF(A83="","",ROUND(C83/CD_CONG_CHUAN/CD_GIO_NGAY*CD_HE_SO_TC*F83,0))</f>
        <v/>
      </c>
      <c r="H83" s="16">
        <f>IF(A83="","",N(IFERROR(INDEX('Nhân viên'!$E$5:$E$104,MATCH(A83,'Nhân viên'!$A$5:$A$104,0)),"")))</f>
        <v/>
      </c>
      <c r="I83" s="12" t="n"/>
      <c r="J83" s="12" t="n"/>
      <c r="K83" s="16">
        <f>IF(A83="","",E83+G83+H83+N(I83)-N(J83))</f>
        <v/>
      </c>
      <c r="L83" s="16" t="n"/>
    </row>
    <row r="84">
      <c r="A84" s="14">
        <f>IF('Chấm công'!A85="","",'Chấm công'!A85)</f>
        <v/>
      </c>
      <c r="B84" s="14">
        <f>IF(A84="","",IFERROR(INDEX('Nhân viên'!$B$5:$B$104,MATCH(A84,'Nhân viên'!$A$5:$A$104,0)),""))</f>
        <v/>
      </c>
      <c r="C84" s="16">
        <f>IF(A84="","",N(IFERROR(INDEX('Nhân viên'!$D$5:$D$104,MATCH(A84,'Nhân viên'!$A$5:$A$104,0)),"")))</f>
        <v/>
      </c>
      <c r="D84" s="17">
        <f>IF(A84="","",N(IFERROR(INDEX('Chấm công'!$AH$6:$AH$105,MATCH(A84,'Chấm công'!$A$6:$A$105,0)),0)))</f>
        <v/>
      </c>
      <c r="E84" s="16">
        <f>IF(A84="","",ROUND(C84/CD_CONG_CHUAN*D84,0))</f>
        <v/>
      </c>
      <c r="F84" s="17">
        <f>IF(A84="","",N(IFERROR(INDEX('Chấm công'!$AK$6:$AK$105,MATCH(A84,'Chấm công'!$A$6:$A$105,0)),0)))</f>
        <v/>
      </c>
      <c r="G84" s="16">
        <f>IF(A84="","",ROUND(C84/CD_CONG_CHUAN/CD_GIO_NGAY*CD_HE_SO_TC*F84,0))</f>
        <v/>
      </c>
      <c r="H84" s="16">
        <f>IF(A84="","",N(IFERROR(INDEX('Nhân viên'!$E$5:$E$104,MATCH(A84,'Nhân viên'!$A$5:$A$104,0)),"")))</f>
        <v/>
      </c>
      <c r="I84" s="12" t="n"/>
      <c r="J84" s="12" t="n"/>
      <c r="K84" s="16">
        <f>IF(A84="","",E84+G84+H84+N(I84)-N(J84))</f>
        <v/>
      </c>
      <c r="L84" s="16" t="n"/>
    </row>
    <row r="85">
      <c r="A85" s="14">
        <f>IF('Chấm công'!A86="","",'Chấm công'!A86)</f>
        <v/>
      </c>
      <c r="B85" s="14">
        <f>IF(A85="","",IFERROR(INDEX('Nhân viên'!$B$5:$B$104,MATCH(A85,'Nhân viên'!$A$5:$A$104,0)),""))</f>
        <v/>
      </c>
      <c r="C85" s="16">
        <f>IF(A85="","",N(IFERROR(INDEX('Nhân viên'!$D$5:$D$104,MATCH(A85,'Nhân viên'!$A$5:$A$104,0)),"")))</f>
        <v/>
      </c>
      <c r="D85" s="17">
        <f>IF(A85="","",N(IFERROR(INDEX('Chấm công'!$AH$6:$AH$105,MATCH(A85,'Chấm công'!$A$6:$A$105,0)),0)))</f>
        <v/>
      </c>
      <c r="E85" s="16">
        <f>IF(A85="","",ROUND(C85/CD_CONG_CHUAN*D85,0))</f>
        <v/>
      </c>
      <c r="F85" s="17">
        <f>IF(A85="","",N(IFERROR(INDEX('Chấm công'!$AK$6:$AK$105,MATCH(A85,'Chấm công'!$A$6:$A$105,0)),0)))</f>
        <v/>
      </c>
      <c r="G85" s="16">
        <f>IF(A85="","",ROUND(C85/CD_CONG_CHUAN/CD_GIO_NGAY*CD_HE_SO_TC*F85,0))</f>
        <v/>
      </c>
      <c r="H85" s="16">
        <f>IF(A85="","",N(IFERROR(INDEX('Nhân viên'!$E$5:$E$104,MATCH(A85,'Nhân viên'!$A$5:$A$104,0)),"")))</f>
        <v/>
      </c>
      <c r="I85" s="12" t="n"/>
      <c r="J85" s="12" t="n"/>
      <c r="K85" s="16">
        <f>IF(A85="","",E85+G85+H85+N(I85)-N(J85))</f>
        <v/>
      </c>
      <c r="L85" s="16" t="n"/>
    </row>
    <row r="86">
      <c r="A86" s="14">
        <f>IF('Chấm công'!A87="","",'Chấm công'!A87)</f>
        <v/>
      </c>
      <c r="B86" s="14">
        <f>IF(A86="","",IFERROR(INDEX('Nhân viên'!$B$5:$B$104,MATCH(A86,'Nhân viên'!$A$5:$A$104,0)),""))</f>
        <v/>
      </c>
      <c r="C86" s="16">
        <f>IF(A86="","",N(IFERROR(INDEX('Nhân viên'!$D$5:$D$104,MATCH(A86,'Nhân viên'!$A$5:$A$104,0)),"")))</f>
        <v/>
      </c>
      <c r="D86" s="17">
        <f>IF(A86="","",N(IFERROR(INDEX('Chấm công'!$AH$6:$AH$105,MATCH(A86,'Chấm công'!$A$6:$A$105,0)),0)))</f>
        <v/>
      </c>
      <c r="E86" s="16">
        <f>IF(A86="","",ROUND(C86/CD_CONG_CHUAN*D86,0))</f>
        <v/>
      </c>
      <c r="F86" s="17">
        <f>IF(A86="","",N(IFERROR(INDEX('Chấm công'!$AK$6:$AK$105,MATCH(A86,'Chấm công'!$A$6:$A$105,0)),0)))</f>
        <v/>
      </c>
      <c r="G86" s="16">
        <f>IF(A86="","",ROUND(C86/CD_CONG_CHUAN/CD_GIO_NGAY*CD_HE_SO_TC*F86,0))</f>
        <v/>
      </c>
      <c r="H86" s="16">
        <f>IF(A86="","",N(IFERROR(INDEX('Nhân viên'!$E$5:$E$104,MATCH(A86,'Nhân viên'!$A$5:$A$104,0)),"")))</f>
        <v/>
      </c>
      <c r="I86" s="12" t="n"/>
      <c r="J86" s="12" t="n"/>
      <c r="K86" s="16">
        <f>IF(A86="","",E86+G86+H86+N(I86)-N(J86))</f>
        <v/>
      </c>
      <c r="L86" s="16" t="n"/>
    </row>
    <row r="87">
      <c r="A87" s="14">
        <f>IF('Chấm công'!A88="","",'Chấm công'!A88)</f>
        <v/>
      </c>
      <c r="B87" s="14">
        <f>IF(A87="","",IFERROR(INDEX('Nhân viên'!$B$5:$B$104,MATCH(A87,'Nhân viên'!$A$5:$A$104,0)),""))</f>
        <v/>
      </c>
      <c r="C87" s="16">
        <f>IF(A87="","",N(IFERROR(INDEX('Nhân viên'!$D$5:$D$104,MATCH(A87,'Nhân viên'!$A$5:$A$104,0)),"")))</f>
        <v/>
      </c>
      <c r="D87" s="17">
        <f>IF(A87="","",N(IFERROR(INDEX('Chấm công'!$AH$6:$AH$105,MATCH(A87,'Chấm công'!$A$6:$A$105,0)),0)))</f>
        <v/>
      </c>
      <c r="E87" s="16">
        <f>IF(A87="","",ROUND(C87/CD_CONG_CHUAN*D87,0))</f>
        <v/>
      </c>
      <c r="F87" s="17">
        <f>IF(A87="","",N(IFERROR(INDEX('Chấm công'!$AK$6:$AK$105,MATCH(A87,'Chấm công'!$A$6:$A$105,0)),0)))</f>
        <v/>
      </c>
      <c r="G87" s="16">
        <f>IF(A87="","",ROUND(C87/CD_CONG_CHUAN/CD_GIO_NGAY*CD_HE_SO_TC*F87,0))</f>
        <v/>
      </c>
      <c r="H87" s="16">
        <f>IF(A87="","",N(IFERROR(INDEX('Nhân viên'!$E$5:$E$104,MATCH(A87,'Nhân viên'!$A$5:$A$104,0)),"")))</f>
        <v/>
      </c>
      <c r="I87" s="12" t="n"/>
      <c r="J87" s="12" t="n"/>
      <c r="K87" s="16">
        <f>IF(A87="","",E87+G87+H87+N(I87)-N(J87))</f>
        <v/>
      </c>
      <c r="L87" s="16" t="n"/>
    </row>
    <row r="88">
      <c r="A88" s="14">
        <f>IF('Chấm công'!A89="","",'Chấm công'!A89)</f>
        <v/>
      </c>
      <c r="B88" s="14">
        <f>IF(A88="","",IFERROR(INDEX('Nhân viên'!$B$5:$B$104,MATCH(A88,'Nhân viên'!$A$5:$A$104,0)),""))</f>
        <v/>
      </c>
      <c r="C88" s="16">
        <f>IF(A88="","",N(IFERROR(INDEX('Nhân viên'!$D$5:$D$104,MATCH(A88,'Nhân viên'!$A$5:$A$104,0)),"")))</f>
        <v/>
      </c>
      <c r="D88" s="17">
        <f>IF(A88="","",N(IFERROR(INDEX('Chấm công'!$AH$6:$AH$105,MATCH(A88,'Chấm công'!$A$6:$A$105,0)),0)))</f>
        <v/>
      </c>
      <c r="E88" s="16">
        <f>IF(A88="","",ROUND(C88/CD_CONG_CHUAN*D88,0))</f>
        <v/>
      </c>
      <c r="F88" s="17">
        <f>IF(A88="","",N(IFERROR(INDEX('Chấm công'!$AK$6:$AK$105,MATCH(A88,'Chấm công'!$A$6:$A$105,0)),0)))</f>
        <v/>
      </c>
      <c r="G88" s="16">
        <f>IF(A88="","",ROUND(C88/CD_CONG_CHUAN/CD_GIO_NGAY*CD_HE_SO_TC*F88,0))</f>
        <v/>
      </c>
      <c r="H88" s="16">
        <f>IF(A88="","",N(IFERROR(INDEX('Nhân viên'!$E$5:$E$104,MATCH(A88,'Nhân viên'!$A$5:$A$104,0)),"")))</f>
        <v/>
      </c>
      <c r="I88" s="12" t="n"/>
      <c r="J88" s="12" t="n"/>
      <c r="K88" s="16">
        <f>IF(A88="","",E88+G88+H88+N(I88)-N(J88))</f>
        <v/>
      </c>
      <c r="L88" s="16" t="n"/>
    </row>
    <row r="89">
      <c r="A89" s="14">
        <f>IF('Chấm công'!A90="","",'Chấm công'!A90)</f>
        <v/>
      </c>
      <c r="B89" s="14">
        <f>IF(A89="","",IFERROR(INDEX('Nhân viên'!$B$5:$B$104,MATCH(A89,'Nhân viên'!$A$5:$A$104,0)),""))</f>
        <v/>
      </c>
      <c r="C89" s="16">
        <f>IF(A89="","",N(IFERROR(INDEX('Nhân viên'!$D$5:$D$104,MATCH(A89,'Nhân viên'!$A$5:$A$104,0)),"")))</f>
        <v/>
      </c>
      <c r="D89" s="17">
        <f>IF(A89="","",N(IFERROR(INDEX('Chấm công'!$AH$6:$AH$105,MATCH(A89,'Chấm công'!$A$6:$A$105,0)),0)))</f>
        <v/>
      </c>
      <c r="E89" s="16">
        <f>IF(A89="","",ROUND(C89/CD_CONG_CHUAN*D89,0))</f>
        <v/>
      </c>
      <c r="F89" s="17">
        <f>IF(A89="","",N(IFERROR(INDEX('Chấm công'!$AK$6:$AK$105,MATCH(A89,'Chấm công'!$A$6:$A$105,0)),0)))</f>
        <v/>
      </c>
      <c r="G89" s="16">
        <f>IF(A89="","",ROUND(C89/CD_CONG_CHUAN/CD_GIO_NGAY*CD_HE_SO_TC*F89,0))</f>
        <v/>
      </c>
      <c r="H89" s="16">
        <f>IF(A89="","",N(IFERROR(INDEX('Nhân viên'!$E$5:$E$104,MATCH(A89,'Nhân viên'!$A$5:$A$104,0)),"")))</f>
        <v/>
      </c>
      <c r="I89" s="12" t="n"/>
      <c r="J89" s="12" t="n"/>
      <c r="K89" s="16">
        <f>IF(A89="","",E89+G89+H89+N(I89)-N(J89))</f>
        <v/>
      </c>
      <c r="L89" s="16" t="n"/>
    </row>
    <row r="90">
      <c r="A90" s="14">
        <f>IF('Chấm công'!A91="","",'Chấm công'!A91)</f>
        <v/>
      </c>
      <c r="B90" s="14">
        <f>IF(A90="","",IFERROR(INDEX('Nhân viên'!$B$5:$B$104,MATCH(A90,'Nhân viên'!$A$5:$A$104,0)),""))</f>
        <v/>
      </c>
      <c r="C90" s="16">
        <f>IF(A90="","",N(IFERROR(INDEX('Nhân viên'!$D$5:$D$104,MATCH(A90,'Nhân viên'!$A$5:$A$104,0)),"")))</f>
        <v/>
      </c>
      <c r="D90" s="17">
        <f>IF(A90="","",N(IFERROR(INDEX('Chấm công'!$AH$6:$AH$105,MATCH(A90,'Chấm công'!$A$6:$A$105,0)),0)))</f>
        <v/>
      </c>
      <c r="E90" s="16">
        <f>IF(A90="","",ROUND(C90/CD_CONG_CHUAN*D90,0))</f>
        <v/>
      </c>
      <c r="F90" s="17">
        <f>IF(A90="","",N(IFERROR(INDEX('Chấm công'!$AK$6:$AK$105,MATCH(A90,'Chấm công'!$A$6:$A$105,0)),0)))</f>
        <v/>
      </c>
      <c r="G90" s="16">
        <f>IF(A90="","",ROUND(C90/CD_CONG_CHUAN/CD_GIO_NGAY*CD_HE_SO_TC*F90,0))</f>
        <v/>
      </c>
      <c r="H90" s="16">
        <f>IF(A90="","",N(IFERROR(INDEX('Nhân viên'!$E$5:$E$104,MATCH(A90,'Nhân viên'!$A$5:$A$104,0)),"")))</f>
        <v/>
      </c>
      <c r="I90" s="12" t="n"/>
      <c r="J90" s="12" t="n"/>
      <c r="K90" s="16">
        <f>IF(A90="","",E90+G90+H90+N(I90)-N(J90))</f>
        <v/>
      </c>
      <c r="L90" s="16" t="n"/>
    </row>
    <row r="91">
      <c r="A91" s="14">
        <f>IF('Chấm công'!A92="","",'Chấm công'!A92)</f>
        <v/>
      </c>
      <c r="B91" s="14">
        <f>IF(A91="","",IFERROR(INDEX('Nhân viên'!$B$5:$B$104,MATCH(A91,'Nhân viên'!$A$5:$A$104,0)),""))</f>
        <v/>
      </c>
      <c r="C91" s="16">
        <f>IF(A91="","",N(IFERROR(INDEX('Nhân viên'!$D$5:$D$104,MATCH(A91,'Nhân viên'!$A$5:$A$104,0)),"")))</f>
        <v/>
      </c>
      <c r="D91" s="17">
        <f>IF(A91="","",N(IFERROR(INDEX('Chấm công'!$AH$6:$AH$105,MATCH(A91,'Chấm công'!$A$6:$A$105,0)),0)))</f>
        <v/>
      </c>
      <c r="E91" s="16">
        <f>IF(A91="","",ROUND(C91/CD_CONG_CHUAN*D91,0))</f>
        <v/>
      </c>
      <c r="F91" s="17">
        <f>IF(A91="","",N(IFERROR(INDEX('Chấm công'!$AK$6:$AK$105,MATCH(A91,'Chấm công'!$A$6:$A$105,0)),0)))</f>
        <v/>
      </c>
      <c r="G91" s="16">
        <f>IF(A91="","",ROUND(C91/CD_CONG_CHUAN/CD_GIO_NGAY*CD_HE_SO_TC*F91,0))</f>
        <v/>
      </c>
      <c r="H91" s="16">
        <f>IF(A91="","",N(IFERROR(INDEX('Nhân viên'!$E$5:$E$104,MATCH(A91,'Nhân viên'!$A$5:$A$104,0)),"")))</f>
        <v/>
      </c>
      <c r="I91" s="12" t="n"/>
      <c r="J91" s="12" t="n"/>
      <c r="K91" s="16">
        <f>IF(A91="","",E91+G91+H91+N(I91)-N(J91))</f>
        <v/>
      </c>
      <c r="L91" s="16" t="n"/>
    </row>
    <row r="92">
      <c r="A92" s="14">
        <f>IF('Chấm công'!A93="","",'Chấm công'!A93)</f>
        <v/>
      </c>
      <c r="B92" s="14">
        <f>IF(A92="","",IFERROR(INDEX('Nhân viên'!$B$5:$B$104,MATCH(A92,'Nhân viên'!$A$5:$A$104,0)),""))</f>
        <v/>
      </c>
      <c r="C92" s="16">
        <f>IF(A92="","",N(IFERROR(INDEX('Nhân viên'!$D$5:$D$104,MATCH(A92,'Nhân viên'!$A$5:$A$104,0)),"")))</f>
        <v/>
      </c>
      <c r="D92" s="17">
        <f>IF(A92="","",N(IFERROR(INDEX('Chấm công'!$AH$6:$AH$105,MATCH(A92,'Chấm công'!$A$6:$A$105,0)),0)))</f>
        <v/>
      </c>
      <c r="E92" s="16">
        <f>IF(A92="","",ROUND(C92/CD_CONG_CHUAN*D92,0))</f>
        <v/>
      </c>
      <c r="F92" s="17">
        <f>IF(A92="","",N(IFERROR(INDEX('Chấm công'!$AK$6:$AK$105,MATCH(A92,'Chấm công'!$A$6:$A$105,0)),0)))</f>
        <v/>
      </c>
      <c r="G92" s="16">
        <f>IF(A92="","",ROUND(C92/CD_CONG_CHUAN/CD_GIO_NGAY*CD_HE_SO_TC*F92,0))</f>
        <v/>
      </c>
      <c r="H92" s="16">
        <f>IF(A92="","",N(IFERROR(INDEX('Nhân viên'!$E$5:$E$104,MATCH(A92,'Nhân viên'!$A$5:$A$104,0)),"")))</f>
        <v/>
      </c>
      <c r="I92" s="12" t="n"/>
      <c r="J92" s="12" t="n"/>
      <c r="K92" s="16">
        <f>IF(A92="","",E92+G92+H92+N(I92)-N(J92))</f>
        <v/>
      </c>
      <c r="L92" s="16" t="n"/>
    </row>
    <row r="93">
      <c r="A93" s="14">
        <f>IF('Chấm công'!A94="","",'Chấm công'!A94)</f>
        <v/>
      </c>
      <c r="B93" s="14">
        <f>IF(A93="","",IFERROR(INDEX('Nhân viên'!$B$5:$B$104,MATCH(A93,'Nhân viên'!$A$5:$A$104,0)),""))</f>
        <v/>
      </c>
      <c r="C93" s="16">
        <f>IF(A93="","",N(IFERROR(INDEX('Nhân viên'!$D$5:$D$104,MATCH(A93,'Nhân viên'!$A$5:$A$104,0)),"")))</f>
        <v/>
      </c>
      <c r="D93" s="17">
        <f>IF(A93="","",N(IFERROR(INDEX('Chấm công'!$AH$6:$AH$105,MATCH(A93,'Chấm công'!$A$6:$A$105,0)),0)))</f>
        <v/>
      </c>
      <c r="E93" s="16">
        <f>IF(A93="","",ROUND(C93/CD_CONG_CHUAN*D93,0))</f>
        <v/>
      </c>
      <c r="F93" s="17">
        <f>IF(A93="","",N(IFERROR(INDEX('Chấm công'!$AK$6:$AK$105,MATCH(A93,'Chấm công'!$A$6:$A$105,0)),0)))</f>
        <v/>
      </c>
      <c r="G93" s="16">
        <f>IF(A93="","",ROUND(C93/CD_CONG_CHUAN/CD_GIO_NGAY*CD_HE_SO_TC*F93,0))</f>
        <v/>
      </c>
      <c r="H93" s="16">
        <f>IF(A93="","",N(IFERROR(INDEX('Nhân viên'!$E$5:$E$104,MATCH(A93,'Nhân viên'!$A$5:$A$104,0)),"")))</f>
        <v/>
      </c>
      <c r="I93" s="12" t="n"/>
      <c r="J93" s="12" t="n"/>
      <c r="K93" s="16">
        <f>IF(A93="","",E93+G93+H93+N(I93)-N(J93))</f>
        <v/>
      </c>
      <c r="L93" s="16" t="n"/>
    </row>
    <row r="94">
      <c r="A94" s="14">
        <f>IF('Chấm công'!A95="","",'Chấm công'!A95)</f>
        <v/>
      </c>
      <c r="B94" s="14">
        <f>IF(A94="","",IFERROR(INDEX('Nhân viên'!$B$5:$B$104,MATCH(A94,'Nhân viên'!$A$5:$A$104,0)),""))</f>
        <v/>
      </c>
      <c r="C94" s="16">
        <f>IF(A94="","",N(IFERROR(INDEX('Nhân viên'!$D$5:$D$104,MATCH(A94,'Nhân viên'!$A$5:$A$104,0)),"")))</f>
        <v/>
      </c>
      <c r="D94" s="17">
        <f>IF(A94="","",N(IFERROR(INDEX('Chấm công'!$AH$6:$AH$105,MATCH(A94,'Chấm công'!$A$6:$A$105,0)),0)))</f>
        <v/>
      </c>
      <c r="E94" s="16">
        <f>IF(A94="","",ROUND(C94/CD_CONG_CHUAN*D94,0))</f>
        <v/>
      </c>
      <c r="F94" s="17">
        <f>IF(A94="","",N(IFERROR(INDEX('Chấm công'!$AK$6:$AK$105,MATCH(A94,'Chấm công'!$A$6:$A$105,0)),0)))</f>
        <v/>
      </c>
      <c r="G94" s="16">
        <f>IF(A94="","",ROUND(C94/CD_CONG_CHUAN/CD_GIO_NGAY*CD_HE_SO_TC*F94,0))</f>
        <v/>
      </c>
      <c r="H94" s="16">
        <f>IF(A94="","",N(IFERROR(INDEX('Nhân viên'!$E$5:$E$104,MATCH(A94,'Nhân viên'!$A$5:$A$104,0)),"")))</f>
        <v/>
      </c>
      <c r="I94" s="12" t="n"/>
      <c r="J94" s="12" t="n"/>
      <c r="K94" s="16">
        <f>IF(A94="","",E94+G94+H94+N(I94)-N(J94))</f>
        <v/>
      </c>
      <c r="L94" s="16" t="n"/>
    </row>
    <row r="95">
      <c r="A95" s="14">
        <f>IF('Chấm công'!A96="","",'Chấm công'!A96)</f>
        <v/>
      </c>
      <c r="B95" s="14">
        <f>IF(A95="","",IFERROR(INDEX('Nhân viên'!$B$5:$B$104,MATCH(A95,'Nhân viên'!$A$5:$A$104,0)),""))</f>
        <v/>
      </c>
      <c r="C95" s="16">
        <f>IF(A95="","",N(IFERROR(INDEX('Nhân viên'!$D$5:$D$104,MATCH(A95,'Nhân viên'!$A$5:$A$104,0)),"")))</f>
        <v/>
      </c>
      <c r="D95" s="17">
        <f>IF(A95="","",N(IFERROR(INDEX('Chấm công'!$AH$6:$AH$105,MATCH(A95,'Chấm công'!$A$6:$A$105,0)),0)))</f>
        <v/>
      </c>
      <c r="E95" s="16">
        <f>IF(A95="","",ROUND(C95/CD_CONG_CHUAN*D95,0))</f>
        <v/>
      </c>
      <c r="F95" s="17">
        <f>IF(A95="","",N(IFERROR(INDEX('Chấm công'!$AK$6:$AK$105,MATCH(A95,'Chấm công'!$A$6:$A$105,0)),0)))</f>
        <v/>
      </c>
      <c r="G95" s="16">
        <f>IF(A95="","",ROUND(C95/CD_CONG_CHUAN/CD_GIO_NGAY*CD_HE_SO_TC*F95,0))</f>
        <v/>
      </c>
      <c r="H95" s="16">
        <f>IF(A95="","",N(IFERROR(INDEX('Nhân viên'!$E$5:$E$104,MATCH(A95,'Nhân viên'!$A$5:$A$104,0)),"")))</f>
        <v/>
      </c>
      <c r="I95" s="12" t="n"/>
      <c r="J95" s="12" t="n"/>
      <c r="K95" s="16">
        <f>IF(A95="","",E95+G95+H95+N(I95)-N(J95))</f>
        <v/>
      </c>
      <c r="L95" s="16" t="n"/>
    </row>
    <row r="96">
      <c r="A96" s="14">
        <f>IF('Chấm công'!A97="","",'Chấm công'!A97)</f>
        <v/>
      </c>
      <c r="B96" s="14">
        <f>IF(A96="","",IFERROR(INDEX('Nhân viên'!$B$5:$B$104,MATCH(A96,'Nhân viên'!$A$5:$A$104,0)),""))</f>
        <v/>
      </c>
      <c r="C96" s="16">
        <f>IF(A96="","",N(IFERROR(INDEX('Nhân viên'!$D$5:$D$104,MATCH(A96,'Nhân viên'!$A$5:$A$104,0)),"")))</f>
        <v/>
      </c>
      <c r="D96" s="17">
        <f>IF(A96="","",N(IFERROR(INDEX('Chấm công'!$AH$6:$AH$105,MATCH(A96,'Chấm công'!$A$6:$A$105,0)),0)))</f>
        <v/>
      </c>
      <c r="E96" s="16">
        <f>IF(A96="","",ROUND(C96/CD_CONG_CHUAN*D96,0))</f>
        <v/>
      </c>
      <c r="F96" s="17">
        <f>IF(A96="","",N(IFERROR(INDEX('Chấm công'!$AK$6:$AK$105,MATCH(A96,'Chấm công'!$A$6:$A$105,0)),0)))</f>
        <v/>
      </c>
      <c r="G96" s="16">
        <f>IF(A96="","",ROUND(C96/CD_CONG_CHUAN/CD_GIO_NGAY*CD_HE_SO_TC*F96,0))</f>
        <v/>
      </c>
      <c r="H96" s="16">
        <f>IF(A96="","",N(IFERROR(INDEX('Nhân viên'!$E$5:$E$104,MATCH(A96,'Nhân viên'!$A$5:$A$104,0)),"")))</f>
        <v/>
      </c>
      <c r="I96" s="12" t="n"/>
      <c r="J96" s="12" t="n"/>
      <c r="K96" s="16">
        <f>IF(A96="","",E96+G96+H96+N(I96)-N(J96))</f>
        <v/>
      </c>
      <c r="L96" s="16" t="n"/>
    </row>
    <row r="97">
      <c r="A97" s="14">
        <f>IF('Chấm công'!A98="","",'Chấm công'!A98)</f>
        <v/>
      </c>
      <c r="B97" s="14">
        <f>IF(A97="","",IFERROR(INDEX('Nhân viên'!$B$5:$B$104,MATCH(A97,'Nhân viên'!$A$5:$A$104,0)),""))</f>
        <v/>
      </c>
      <c r="C97" s="16">
        <f>IF(A97="","",N(IFERROR(INDEX('Nhân viên'!$D$5:$D$104,MATCH(A97,'Nhân viên'!$A$5:$A$104,0)),"")))</f>
        <v/>
      </c>
      <c r="D97" s="17">
        <f>IF(A97="","",N(IFERROR(INDEX('Chấm công'!$AH$6:$AH$105,MATCH(A97,'Chấm công'!$A$6:$A$105,0)),0)))</f>
        <v/>
      </c>
      <c r="E97" s="16">
        <f>IF(A97="","",ROUND(C97/CD_CONG_CHUAN*D97,0))</f>
        <v/>
      </c>
      <c r="F97" s="17">
        <f>IF(A97="","",N(IFERROR(INDEX('Chấm công'!$AK$6:$AK$105,MATCH(A97,'Chấm công'!$A$6:$A$105,0)),0)))</f>
        <v/>
      </c>
      <c r="G97" s="16">
        <f>IF(A97="","",ROUND(C97/CD_CONG_CHUAN/CD_GIO_NGAY*CD_HE_SO_TC*F97,0))</f>
        <v/>
      </c>
      <c r="H97" s="16">
        <f>IF(A97="","",N(IFERROR(INDEX('Nhân viên'!$E$5:$E$104,MATCH(A97,'Nhân viên'!$A$5:$A$104,0)),"")))</f>
        <v/>
      </c>
      <c r="I97" s="12" t="n"/>
      <c r="J97" s="12" t="n"/>
      <c r="K97" s="16">
        <f>IF(A97="","",E97+G97+H97+N(I97)-N(J97))</f>
        <v/>
      </c>
      <c r="L97" s="16" t="n"/>
    </row>
    <row r="98">
      <c r="A98" s="14">
        <f>IF('Chấm công'!A99="","",'Chấm công'!A99)</f>
        <v/>
      </c>
      <c r="B98" s="14">
        <f>IF(A98="","",IFERROR(INDEX('Nhân viên'!$B$5:$B$104,MATCH(A98,'Nhân viên'!$A$5:$A$104,0)),""))</f>
        <v/>
      </c>
      <c r="C98" s="16">
        <f>IF(A98="","",N(IFERROR(INDEX('Nhân viên'!$D$5:$D$104,MATCH(A98,'Nhân viên'!$A$5:$A$104,0)),"")))</f>
        <v/>
      </c>
      <c r="D98" s="17">
        <f>IF(A98="","",N(IFERROR(INDEX('Chấm công'!$AH$6:$AH$105,MATCH(A98,'Chấm công'!$A$6:$A$105,0)),0)))</f>
        <v/>
      </c>
      <c r="E98" s="16">
        <f>IF(A98="","",ROUND(C98/CD_CONG_CHUAN*D98,0))</f>
        <v/>
      </c>
      <c r="F98" s="17">
        <f>IF(A98="","",N(IFERROR(INDEX('Chấm công'!$AK$6:$AK$105,MATCH(A98,'Chấm công'!$A$6:$A$105,0)),0)))</f>
        <v/>
      </c>
      <c r="G98" s="16">
        <f>IF(A98="","",ROUND(C98/CD_CONG_CHUAN/CD_GIO_NGAY*CD_HE_SO_TC*F98,0))</f>
        <v/>
      </c>
      <c r="H98" s="16">
        <f>IF(A98="","",N(IFERROR(INDEX('Nhân viên'!$E$5:$E$104,MATCH(A98,'Nhân viên'!$A$5:$A$104,0)),"")))</f>
        <v/>
      </c>
      <c r="I98" s="12" t="n"/>
      <c r="J98" s="12" t="n"/>
      <c r="K98" s="16">
        <f>IF(A98="","",E98+G98+H98+N(I98)-N(J98))</f>
        <v/>
      </c>
      <c r="L98" s="16" t="n"/>
    </row>
    <row r="99">
      <c r="A99" s="14">
        <f>IF('Chấm công'!A100="","",'Chấm công'!A100)</f>
        <v/>
      </c>
      <c r="B99" s="14">
        <f>IF(A99="","",IFERROR(INDEX('Nhân viên'!$B$5:$B$104,MATCH(A99,'Nhân viên'!$A$5:$A$104,0)),""))</f>
        <v/>
      </c>
      <c r="C99" s="16">
        <f>IF(A99="","",N(IFERROR(INDEX('Nhân viên'!$D$5:$D$104,MATCH(A99,'Nhân viên'!$A$5:$A$104,0)),"")))</f>
        <v/>
      </c>
      <c r="D99" s="17">
        <f>IF(A99="","",N(IFERROR(INDEX('Chấm công'!$AH$6:$AH$105,MATCH(A99,'Chấm công'!$A$6:$A$105,0)),0)))</f>
        <v/>
      </c>
      <c r="E99" s="16">
        <f>IF(A99="","",ROUND(C99/CD_CONG_CHUAN*D99,0))</f>
        <v/>
      </c>
      <c r="F99" s="17">
        <f>IF(A99="","",N(IFERROR(INDEX('Chấm công'!$AK$6:$AK$105,MATCH(A99,'Chấm công'!$A$6:$A$105,0)),0)))</f>
        <v/>
      </c>
      <c r="G99" s="16">
        <f>IF(A99="","",ROUND(C99/CD_CONG_CHUAN/CD_GIO_NGAY*CD_HE_SO_TC*F99,0))</f>
        <v/>
      </c>
      <c r="H99" s="16">
        <f>IF(A99="","",N(IFERROR(INDEX('Nhân viên'!$E$5:$E$104,MATCH(A99,'Nhân viên'!$A$5:$A$104,0)),"")))</f>
        <v/>
      </c>
      <c r="I99" s="12" t="n"/>
      <c r="J99" s="12" t="n"/>
      <c r="K99" s="16">
        <f>IF(A99="","",E99+G99+H99+N(I99)-N(J99))</f>
        <v/>
      </c>
      <c r="L99" s="16" t="n"/>
    </row>
    <row r="100">
      <c r="A100" s="14">
        <f>IF('Chấm công'!A101="","",'Chấm công'!A101)</f>
        <v/>
      </c>
      <c r="B100" s="14">
        <f>IF(A100="","",IFERROR(INDEX('Nhân viên'!$B$5:$B$104,MATCH(A100,'Nhân viên'!$A$5:$A$104,0)),""))</f>
        <v/>
      </c>
      <c r="C100" s="16">
        <f>IF(A100="","",N(IFERROR(INDEX('Nhân viên'!$D$5:$D$104,MATCH(A100,'Nhân viên'!$A$5:$A$104,0)),"")))</f>
        <v/>
      </c>
      <c r="D100" s="17">
        <f>IF(A100="","",N(IFERROR(INDEX('Chấm công'!$AH$6:$AH$105,MATCH(A100,'Chấm công'!$A$6:$A$105,0)),0)))</f>
        <v/>
      </c>
      <c r="E100" s="16">
        <f>IF(A100="","",ROUND(C100/CD_CONG_CHUAN*D100,0))</f>
        <v/>
      </c>
      <c r="F100" s="17">
        <f>IF(A100="","",N(IFERROR(INDEX('Chấm công'!$AK$6:$AK$105,MATCH(A100,'Chấm công'!$A$6:$A$105,0)),0)))</f>
        <v/>
      </c>
      <c r="G100" s="16">
        <f>IF(A100="","",ROUND(C100/CD_CONG_CHUAN/CD_GIO_NGAY*CD_HE_SO_TC*F100,0))</f>
        <v/>
      </c>
      <c r="H100" s="16">
        <f>IF(A100="","",N(IFERROR(INDEX('Nhân viên'!$E$5:$E$104,MATCH(A100,'Nhân viên'!$A$5:$A$104,0)),"")))</f>
        <v/>
      </c>
      <c r="I100" s="12" t="n"/>
      <c r="J100" s="12" t="n"/>
      <c r="K100" s="16">
        <f>IF(A100="","",E100+G100+H100+N(I100)-N(J100))</f>
        <v/>
      </c>
      <c r="L100" s="16" t="n"/>
    </row>
    <row r="101">
      <c r="A101" s="14">
        <f>IF('Chấm công'!A102="","",'Chấm công'!A102)</f>
        <v/>
      </c>
      <c r="B101" s="14">
        <f>IF(A101="","",IFERROR(INDEX('Nhân viên'!$B$5:$B$104,MATCH(A101,'Nhân viên'!$A$5:$A$104,0)),""))</f>
        <v/>
      </c>
      <c r="C101" s="16">
        <f>IF(A101="","",N(IFERROR(INDEX('Nhân viên'!$D$5:$D$104,MATCH(A101,'Nhân viên'!$A$5:$A$104,0)),"")))</f>
        <v/>
      </c>
      <c r="D101" s="17">
        <f>IF(A101="","",N(IFERROR(INDEX('Chấm công'!$AH$6:$AH$105,MATCH(A101,'Chấm công'!$A$6:$A$105,0)),0)))</f>
        <v/>
      </c>
      <c r="E101" s="16">
        <f>IF(A101="","",ROUND(C101/CD_CONG_CHUAN*D101,0))</f>
        <v/>
      </c>
      <c r="F101" s="17">
        <f>IF(A101="","",N(IFERROR(INDEX('Chấm công'!$AK$6:$AK$105,MATCH(A101,'Chấm công'!$A$6:$A$105,0)),0)))</f>
        <v/>
      </c>
      <c r="G101" s="16">
        <f>IF(A101="","",ROUND(C101/CD_CONG_CHUAN/CD_GIO_NGAY*CD_HE_SO_TC*F101,0))</f>
        <v/>
      </c>
      <c r="H101" s="16">
        <f>IF(A101="","",N(IFERROR(INDEX('Nhân viên'!$E$5:$E$104,MATCH(A101,'Nhân viên'!$A$5:$A$104,0)),"")))</f>
        <v/>
      </c>
      <c r="I101" s="12" t="n"/>
      <c r="J101" s="12" t="n"/>
      <c r="K101" s="16">
        <f>IF(A101="","",E101+G101+H101+N(I101)-N(J101))</f>
        <v/>
      </c>
      <c r="L101" s="16" t="n"/>
    </row>
    <row r="102">
      <c r="A102" s="14">
        <f>IF('Chấm công'!A103="","",'Chấm công'!A103)</f>
        <v/>
      </c>
      <c r="B102" s="14">
        <f>IF(A102="","",IFERROR(INDEX('Nhân viên'!$B$5:$B$104,MATCH(A102,'Nhân viên'!$A$5:$A$104,0)),""))</f>
        <v/>
      </c>
      <c r="C102" s="16">
        <f>IF(A102="","",N(IFERROR(INDEX('Nhân viên'!$D$5:$D$104,MATCH(A102,'Nhân viên'!$A$5:$A$104,0)),"")))</f>
        <v/>
      </c>
      <c r="D102" s="17">
        <f>IF(A102="","",N(IFERROR(INDEX('Chấm công'!$AH$6:$AH$105,MATCH(A102,'Chấm công'!$A$6:$A$105,0)),0)))</f>
        <v/>
      </c>
      <c r="E102" s="16">
        <f>IF(A102="","",ROUND(C102/CD_CONG_CHUAN*D102,0))</f>
        <v/>
      </c>
      <c r="F102" s="17">
        <f>IF(A102="","",N(IFERROR(INDEX('Chấm công'!$AK$6:$AK$105,MATCH(A102,'Chấm công'!$A$6:$A$105,0)),0)))</f>
        <v/>
      </c>
      <c r="G102" s="16">
        <f>IF(A102="","",ROUND(C102/CD_CONG_CHUAN/CD_GIO_NGAY*CD_HE_SO_TC*F102,0))</f>
        <v/>
      </c>
      <c r="H102" s="16">
        <f>IF(A102="","",N(IFERROR(INDEX('Nhân viên'!$E$5:$E$104,MATCH(A102,'Nhân viên'!$A$5:$A$104,0)),"")))</f>
        <v/>
      </c>
      <c r="I102" s="12" t="n"/>
      <c r="J102" s="12" t="n"/>
      <c r="K102" s="16">
        <f>IF(A102="","",E102+G102+H102+N(I102)-N(J102))</f>
        <v/>
      </c>
      <c r="L102" s="16" t="n"/>
    </row>
    <row r="103">
      <c r="A103" s="14">
        <f>IF('Chấm công'!A104="","",'Chấm công'!A104)</f>
        <v/>
      </c>
      <c r="B103" s="14">
        <f>IF(A103="","",IFERROR(INDEX('Nhân viên'!$B$5:$B$104,MATCH(A103,'Nhân viên'!$A$5:$A$104,0)),""))</f>
        <v/>
      </c>
      <c r="C103" s="16">
        <f>IF(A103="","",N(IFERROR(INDEX('Nhân viên'!$D$5:$D$104,MATCH(A103,'Nhân viên'!$A$5:$A$104,0)),"")))</f>
        <v/>
      </c>
      <c r="D103" s="17">
        <f>IF(A103="","",N(IFERROR(INDEX('Chấm công'!$AH$6:$AH$105,MATCH(A103,'Chấm công'!$A$6:$A$105,0)),0)))</f>
        <v/>
      </c>
      <c r="E103" s="16">
        <f>IF(A103="","",ROUND(C103/CD_CONG_CHUAN*D103,0))</f>
        <v/>
      </c>
      <c r="F103" s="17">
        <f>IF(A103="","",N(IFERROR(INDEX('Chấm công'!$AK$6:$AK$105,MATCH(A103,'Chấm công'!$A$6:$A$105,0)),0)))</f>
        <v/>
      </c>
      <c r="G103" s="16">
        <f>IF(A103="","",ROUND(C103/CD_CONG_CHUAN/CD_GIO_NGAY*CD_HE_SO_TC*F103,0))</f>
        <v/>
      </c>
      <c r="H103" s="16">
        <f>IF(A103="","",N(IFERROR(INDEX('Nhân viên'!$E$5:$E$104,MATCH(A103,'Nhân viên'!$A$5:$A$104,0)),"")))</f>
        <v/>
      </c>
      <c r="I103" s="12" t="n"/>
      <c r="J103" s="12" t="n"/>
      <c r="K103" s="16">
        <f>IF(A103="","",E103+G103+H103+N(I103)-N(J103))</f>
        <v/>
      </c>
      <c r="L103" s="16" t="n"/>
    </row>
    <row r="104">
      <c r="A104" s="14">
        <f>IF('Chấm công'!A105="","",'Chấm công'!A105)</f>
        <v/>
      </c>
      <c r="B104" s="14">
        <f>IF(A104="","",IFERROR(INDEX('Nhân viên'!$B$5:$B$104,MATCH(A104,'Nhân viên'!$A$5:$A$104,0)),""))</f>
        <v/>
      </c>
      <c r="C104" s="16">
        <f>IF(A104="","",N(IFERROR(INDEX('Nhân viên'!$D$5:$D$104,MATCH(A104,'Nhân viên'!$A$5:$A$104,0)),"")))</f>
        <v/>
      </c>
      <c r="D104" s="17">
        <f>IF(A104="","",N(IFERROR(INDEX('Chấm công'!$AH$6:$AH$105,MATCH(A104,'Chấm công'!$A$6:$A$105,0)),0)))</f>
        <v/>
      </c>
      <c r="E104" s="16">
        <f>IF(A104="","",ROUND(C104/CD_CONG_CHUAN*D104,0))</f>
        <v/>
      </c>
      <c r="F104" s="17">
        <f>IF(A104="","",N(IFERROR(INDEX('Chấm công'!$AK$6:$AK$105,MATCH(A104,'Chấm công'!$A$6:$A$105,0)),0)))</f>
        <v/>
      </c>
      <c r="G104" s="16">
        <f>IF(A104="","",ROUND(C104/CD_CONG_CHUAN/CD_GIO_NGAY*CD_HE_SO_TC*F104,0))</f>
        <v/>
      </c>
      <c r="H104" s="16">
        <f>IF(A104="","",N(IFERROR(INDEX('Nhân viên'!$E$5:$E$104,MATCH(A104,'Nhân viên'!$A$5:$A$104,0)),"")))</f>
        <v/>
      </c>
      <c r="I104" s="12" t="n"/>
      <c r="J104" s="12" t="n"/>
      <c r="K104" s="16">
        <f>IF(A104="","",E104+G104+H104+N(I104)-N(J104))</f>
        <v/>
      </c>
      <c r="L104" s="16" t="n"/>
    </row>
    <row r="105">
      <c r="A105" s="18" t="n"/>
      <c r="B105" s="18" t="inlineStr">
        <is>
          <t>TỔNG CỘNG</t>
        </is>
      </c>
      <c r="C105" s="18" t="n"/>
      <c r="D105" s="18" t="n"/>
      <c r="E105" s="18">
        <f>SUM(E5:E104)</f>
        <v/>
      </c>
      <c r="F105" s="18" t="n"/>
      <c r="G105" s="18">
        <f>SUM(G5:G104)</f>
        <v/>
      </c>
      <c r="H105" s="18">
        <f>SUM(H5:H104)</f>
        <v/>
      </c>
      <c r="I105" s="18">
        <f>SUM(I5:I104)</f>
        <v/>
      </c>
      <c r="J105" s="18">
        <f>SUM(J5:J104)</f>
        <v/>
      </c>
      <c r="K105" s="18">
        <f>SUM(K5:K104)</f>
        <v/>
      </c>
      <c r="L10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2026-10-11T04:43:28Z</dcterms:created>
  <dcterms:modified xsi:type="dcterms:W3CDTF">2026-10-11T04:43:28Z</dcterms:modified>
</cp:coreProperties>
</file>